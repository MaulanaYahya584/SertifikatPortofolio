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pakuy\Documents\tugas my skill\FIX Tugas\"/>
    </mc:Choice>
  </mc:AlternateContent>
  <xr:revisionPtr revIDLastSave="0" documentId="8_{6238454E-AD75-AE49-8D00-4ED570031AF3}" xr6:coauthVersionLast="47" xr6:coauthVersionMax="47" xr10:uidLastSave="{00000000-0000-0000-0000-000000000000}"/>
  <bookViews>
    <workbookView xWindow="-120" yWindow="-120" windowWidth="29040" windowHeight="15720" activeTab="7" xr2:uid="{00000000-000D-0000-FFFF-FFFF00000000}"/>
  </bookViews>
  <sheets>
    <sheet name="Guide " sheetId="5" r:id="rId1"/>
    <sheet name="Kode Diskon" sheetId="7" r:id="rId2"/>
    <sheet name="Katalog" sheetId="8" r:id="rId3"/>
    <sheet name="Tanggal" sheetId="15" r:id="rId4"/>
    <sheet name="Main Data" sheetId="9" r:id="rId5"/>
    <sheet name="Pivot Table" sheetId="13" r:id="rId6"/>
    <sheet name="Dashboard FIX" sheetId="17" r:id="rId7"/>
    <sheet name="Nama_Kelompok" sheetId="18" r:id="rId8"/>
  </sheets>
  <definedNames>
    <definedName name="_xlnm._FilterDatabase" localSheetId="4" hidden="1">'Main Data'!$A$2:$AM$1002</definedName>
    <definedName name="_xlchart.v1.0" hidden="1">'Pivot Table'!$A$6:$A$9</definedName>
    <definedName name="_xlchart.v1.1" hidden="1">'Pivot Table'!$B$6:$B$9</definedName>
    <definedName name="_xlchart.v1.2" hidden="1">'Pivot Table'!$M$3:$M$6</definedName>
    <definedName name="Slicer_Jenis_item">#N/A</definedName>
    <definedName name="Slicer_Lokasi_pembeli">#N/A</definedName>
    <definedName name="Slicer_Marketplace">#N/A</definedName>
    <definedName name="Slicer_Months__Tanggal_terjual">#N/A</definedName>
    <definedName name="Slicer_Quarters__Tanggal_terjual">#N/A</definedName>
    <definedName name="Z_722A6DE2_7F3B_4CD9_A859_89FEF70688C8_.wvu.FilterData" localSheetId="4" hidden="1">'Main Data'!$A$2:$AM$1002</definedName>
    <definedName name="Z_CBEAF7A2_551D_4E4D_98AB_DBDAE398B0D7_.wvu.FilterData" localSheetId="4" hidden="1">'Main Data'!$A$2:$AM$1002</definedName>
  </definedNames>
  <calcPr calcId="191028"/>
  <customWorkbookViews>
    <customWorkbookView name="Filter 1" guid="{CBEAF7A2-551D-4E4D-98AB-DBDAE398B0D7}" maximized="1" windowWidth="0" windowHeight="0" activeSheetId="0"/>
    <customWorkbookView name="Filter 3" guid="{FAF8D5D7-B080-47B0-9AD0-027ABA3A5E74}" maximized="1" windowWidth="0" windowHeight="0" activeSheetId="0"/>
    <customWorkbookView name="Filter 2" guid="{B73DC1C2-18D2-4E92-BD72-E0BBA1D76BE4}" maximized="1" windowWidth="0" windowHeight="0" activeSheetId="0"/>
    <customWorkbookView name="Adib" guid="{722A6DE2-7F3B-4CD9-A859-89FEF70688C8}" maximized="1" windowWidth="0" windowHeight="0" activeSheetId="0"/>
    <customWorkbookView name="Filter 4" guid="{DE660E18-AA2A-4C8D-BA94-C0D7908AE21D}" maximized="1" windowWidth="0" windowHeight="0" activeSheetId="0"/>
  </customWorkbookViews>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32" i="17" l="1"/>
  <c r="AU1002" i="9"/>
  <c r="AO1002" i="9"/>
  <c r="AQ1002" i="9"/>
  <c r="AS1002" i="9"/>
  <c r="AW1002" i="9"/>
  <c r="AY1002" i="9"/>
  <c r="BA1002" i="9"/>
  <c r="BC1002" i="9"/>
  <c r="BE1002" i="9"/>
  <c r="AT1002" i="9"/>
  <c r="AN1002" i="9"/>
  <c r="AK1002" i="9"/>
  <c r="AD1002" i="9"/>
  <c r="B1002" i="9"/>
  <c r="AU1001" i="9"/>
  <c r="AO1001" i="9"/>
  <c r="AQ1001" i="9"/>
  <c r="AS1001" i="9"/>
  <c r="AW1001" i="9"/>
  <c r="AY1001" i="9"/>
  <c r="BA1001" i="9"/>
  <c r="BC1001" i="9"/>
  <c r="BE1001" i="9"/>
  <c r="AT1001" i="9"/>
  <c r="AN1001" i="9"/>
  <c r="AK1001" i="9"/>
  <c r="AD1001" i="9"/>
  <c r="B1001" i="9"/>
  <c r="AU1000" i="9"/>
  <c r="AO1000" i="9"/>
  <c r="AQ1000" i="9"/>
  <c r="AS1000" i="9"/>
  <c r="AW1000" i="9"/>
  <c r="AY1000" i="9"/>
  <c r="BA1000" i="9"/>
  <c r="BC1000" i="9"/>
  <c r="BE1000" i="9"/>
  <c r="AT1000" i="9"/>
  <c r="AN1000" i="9"/>
  <c r="AK1000" i="9"/>
  <c r="AD1000" i="9"/>
  <c r="B1000" i="9"/>
  <c r="AU999" i="9"/>
  <c r="AO999" i="9"/>
  <c r="AQ999" i="9"/>
  <c r="AS999" i="9"/>
  <c r="AW999" i="9"/>
  <c r="AY999" i="9"/>
  <c r="BA999" i="9"/>
  <c r="BC999" i="9"/>
  <c r="BE999" i="9"/>
  <c r="AT999" i="9"/>
  <c r="AK999" i="9"/>
  <c r="AD999" i="9"/>
  <c r="B999" i="9"/>
  <c r="AU998" i="9"/>
  <c r="AT998" i="9"/>
  <c r="AN998" i="9"/>
  <c r="AP998" i="9"/>
  <c r="AR998" i="9"/>
  <c r="AK998" i="9"/>
  <c r="AD998" i="9"/>
  <c r="B998" i="9"/>
  <c r="AU997" i="9"/>
  <c r="AT997" i="9"/>
  <c r="AN997" i="9"/>
  <c r="AP997" i="9"/>
  <c r="AK997" i="9"/>
  <c r="AD997" i="9"/>
  <c r="B997" i="9"/>
  <c r="AU996" i="9"/>
  <c r="AO996" i="9"/>
  <c r="AQ996" i="9"/>
  <c r="AS996" i="9"/>
  <c r="AW996" i="9"/>
  <c r="AY996" i="9"/>
  <c r="BA996" i="9"/>
  <c r="BC996" i="9"/>
  <c r="BE996" i="9"/>
  <c r="AT996" i="9"/>
  <c r="AN996" i="9"/>
  <c r="AK996" i="9"/>
  <c r="C996" i="9"/>
  <c r="AD996" i="9"/>
  <c r="B996" i="9"/>
  <c r="AU995" i="9"/>
  <c r="AO995" i="9"/>
  <c r="AQ995" i="9"/>
  <c r="AS995" i="9"/>
  <c r="AW995" i="9"/>
  <c r="AY995" i="9"/>
  <c r="BA995" i="9"/>
  <c r="BC995" i="9"/>
  <c r="BE995" i="9"/>
  <c r="AT995" i="9"/>
  <c r="AN995" i="9"/>
  <c r="AP995" i="9"/>
  <c r="AK995" i="9"/>
  <c r="AD995" i="9"/>
  <c r="B995" i="9"/>
  <c r="AU994" i="9"/>
  <c r="AT994" i="9"/>
  <c r="AN994" i="9"/>
  <c r="AP994" i="9"/>
  <c r="AR994" i="9"/>
  <c r="AK994" i="9"/>
  <c r="AD994" i="9"/>
  <c r="B994" i="9"/>
  <c r="AU993" i="9"/>
  <c r="AT993" i="9"/>
  <c r="AN993" i="9"/>
  <c r="AP993" i="9"/>
  <c r="AR993" i="9"/>
  <c r="AV993" i="9"/>
  <c r="AX993" i="9"/>
  <c r="AK993" i="9"/>
  <c r="C993" i="9"/>
  <c r="AD993" i="9"/>
  <c r="B993" i="9"/>
  <c r="AU992" i="9"/>
  <c r="AO992" i="9"/>
  <c r="AQ992" i="9"/>
  <c r="AS992" i="9"/>
  <c r="AW992" i="9"/>
  <c r="AY992" i="9"/>
  <c r="BA992" i="9"/>
  <c r="BC992" i="9"/>
  <c r="BE992" i="9"/>
  <c r="AT992" i="9"/>
  <c r="AN992" i="9"/>
  <c r="AK992" i="9"/>
  <c r="AD992" i="9"/>
  <c r="B992" i="9"/>
  <c r="AU991" i="9"/>
  <c r="AO991" i="9"/>
  <c r="AQ991" i="9"/>
  <c r="AS991" i="9"/>
  <c r="AW991" i="9"/>
  <c r="AY991" i="9"/>
  <c r="BA991" i="9"/>
  <c r="BC991" i="9"/>
  <c r="BE991" i="9"/>
  <c r="AT991" i="9"/>
  <c r="AN991" i="9"/>
  <c r="AP991" i="9"/>
  <c r="AR991" i="9"/>
  <c r="AK991" i="9"/>
  <c r="AD991" i="9"/>
  <c r="B991" i="9"/>
  <c r="AU990" i="9"/>
  <c r="AT990" i="9"/>
  <c r="AN990" i="9"/>
  <c r="AK990" i="9"/>
  <c r="AD990" i="9"/>
  <c r="B990" i="9"/>
  <c r="AU989" i="9"/>
  <c r="AT989" i="9"/>
  <c r="AN989" i="9"/>
  <c r="AK989" i="9"/>
  <c r="AD989" i="9"/>
  <c r="B989" i="9"/>
  <c r="C989" i="9"/>
  <c r="AU988" i="9"/>
  <c r="AT988" i="9"/>
  <c r="AN988" i="9"/>
  <c r="AK988" i="9"/>
  <c r="AD988" i="9"/>
  <c r="B988" i="9"/>
  <c r="AU987" i="9"/>
  <c r="AT987" i="9"/>
  <c r="AN987" i="9"/>
  <c r="AK987" i="9"/>
  <c r="AD987" i="9"/>
  <c r="B987" i="9"/>
  <c r="AU986" i="9"/>
  <c r="AT986" i="9"/>
  <c r="AN986" i="9"/>
  <c r="AP986" i="9"/>
  <c r="AR986" i="9"/>
  <c r="AK986" i="9"/>
  <c r="AD986" i="9"/>
  <c r="B986" i="9"/>
  <c r="AU985" i="9"/>
  <c r="AO985" i="9"/>
  <c r="AQ985" i="9"/>
  <c r="AS985" i="9"/>
  <c r="AW985" i="9"/>
  <c r="AY985" i="9"/>
  <c r="BA985" i="9"/>
  <c r="BC985" i="9"/>
  <c r="BE985" i="9"/>
  <c r="AT985" i="9"/>
  <c r="AK985" i="9"/>
  <c r="AD985" i="9"/>
  <c r="B985" i="9"/>
  <c r="C985" i="9"/>
  <c r="AU984" i="9"/>
  <c r="AT984" i="9"/>
  <c r="AN984" i="9"/>
  <c r="AK984" i="9"/>
  <c r="AD984" i="9"/>
  <c r="B984" i="9"/>
  <c r="AU983" i="9"/>
  <c r="AO983" i="9"/>
  <c r="AQ983" i="9"/>
  <c r="AS983" i="9"/>
  <c r="AW983" i="9"/>
  <c r="AY983" i="9"/>
  <c r="BA983" i="9"/>
  <c r="BC983" i="9"/>
  <c r="BE983" i="9"/>
  <c r="AT983" i="9"/>
  <c r="AN983" i="9"/>
  <c r="AK983" i="9"/>
  <c r="AD983" i="9"/>
  <c r="B983" i="9"/>
  <c r="AU982" i="9"/>
  <c r="AT982" i="9"/>
  <c r="AN982" i="9"/>
  <c r="AK982" i="9"/>
  <c r="AD982" i="9"/>
  <c r="B982" i="9"/>
  <c r="AU981" i="9"/>
  <c r="AO981" i="9"/>
  <c r="AQ981" i="9"/>
  <c r="AS981" i="9"/>
  <c r="AW981" i="9"/>
  <c r="AY981" i="9"/>
  <c r="BA981" i="9"/>
  <c r="BC981" i="9"/>
  <c r="BE981" i="9"/>
  <c r="AT981" i="9"/>
  <c r="AK981" i="9"/>
  <c r="AD981" i="9"/>
  <c r="B981" i="9"/>
  <c r="C981" i="9"/>
  <c r="AU980" i="9"/>
  <c r="AO980" i="9"/>
  <c r="AQ980" i="9"/>
  <c r="AS980" i="9"/>
  <c r="AW980" i="9"/>
  <c r="AY980" i="9"/>
  <c r="BA980" i="9"/>
  <c r="BC980" i="9"/>
  <c r="BE980" i="9"/>
  <c r="AT980" i="9"/>
  <c r="AN980" i="9"/>
  <c r="AK980" i="9"/>
  <c r="AD980" i="9"/>
  <c r="B980" i="9"/>
  <c r="AU979" i="9"/>
  <c r="AO979" i="9"/>
  <c r="AQ979" i="9"/>
  <c r="AS979" i="9"/>
  <c r="AW979" i="9"/>
  <c r="AY979" i="9"/>
  <c r="BA979" i="9"/>
  <c r="BC979" i="9"/>
  <c r="BE979" i="9"/>
  <c r="AT979" i="9"/>
  <c r="AK979" i="9"/>
  <c r="AD979" i="9"/>
  <c r="B979" i="9"/>
  <c r="C979" i="9"/>
  <c r="AU978" i="9"/>
  <c r="AO978" i="9"/>
  <c r="AQ978" i="9"/>
  <c r="AS978" i="9"/>
  <c r="AW978" i="9"/>
  <c r="AY978" i="9"/>
  <c r="BA978" i="9"/>
  <c r="BC978" i="9"/>
  <c r="BE978" i="9"/>
  <c r="AT978" i="9"/>
  <c r="AK978" i="9"/>
  <c r="AD978" i="9"/>
  <c r="B978" i="9"/>
  <c r="AU977" i="9"/>
  <c r="AO977" i="9"/>
  <c r="AQ977" i="9"/>
  <c r="AS977" i="9"/>
  <c r="AW977" i="9"/>
  <c r="AY977" i="9"/>
  <c r="BA977" i="9"/>
  <c r="BC977" i="9"/>
  <c r="BE977" i="9"/>
  <c r="AT977" i="9"/>
  <c r="AK977" i="9"/>
  <c r="C977" i="9"/>
  <c r="AD977" i="9"/>
  <c r="B977" i="9"/>
  <c r="AU976" i="9"/>
  <c r="AO976" i="9"/>
  <c r="AQ976" i="9"/>
  <c r="AS976" i="9"/>
  <c r="AW976" i="9"/>
  <c r="AY976" i="9"/>
  <c r="BA976" i="9"/>
  <c r="BC976" i="9"/>
  <c r="BE976" i="9"/>
  <c r="AT976" i="9"/>
  <c r="AK976" i="9"/>
  <c r="AD976" i="9"/>
  <c r="B976" i="9"/>
  <c r="AU975" i="9"/>
  <c r="AO975" i="9"/>
  <c r="AQ975" i="9"/>
  <c r="AS975" i="9"/>
  <c r="AW975" i="9"/>
  <c r="AY975" i="9"/>
  <c r="BA975" i="9"/>
  <c r="BC975" i="9"/>
  <c r="BE975" i="9"/>
  <c r="AT975" i="9"/>
  <c r="AK975" i="9"/>
  <c r="AD975" i="9"/>
  <c r="B975" i="9"/>
  <c r="AU974" i="9"/>
  <c r="AT974" i="9"/>
  <c r="AN974" i="9"/>
  <c r="AP974" i="9"/>
  <c r="AK974" i="9"/>
  <c r="AD974" i="9"/>
  <c r="B974" i="9"/>
  <c r="AU973" i="9"/>
  <c r="AO973" i="9"/>
  <c r="AQ973" i="9"/>
  <c r="AS973" i="9"/>
  <c r="AW973" i="9"/>
  <c r="AY973" i="9"/>
  <c r="BA973" i="9"/>
  <c r="BC973" i="9"/>
  <c r="BE973" i="9"/>
  <c r="AT973" i="9"/>
  <c r="AN973" i="9"/>
  <c r="AK973" i="9"/>
  <c r="AD973" i="9"/>
  <c r="B973" i="9"/>
  <c r="AU972" i="9"/>
  <c r="AT972" i="9"/>
  <c r="AN972" i="9"/>
  <c r="AP972" i="9"/>
  <c r="AK972" i="9"/>
  <c r="AD972" i="9"/>
  <c r="B972" i="9"/>
  <c r="AU971" i="9"/>
  <c r="AO971" i="9"/>
  <c r="AQ971" i="9"/>
  <c r="AS971" i="9"/>
  <c r="AW971" i="9"/>
  <c r="AY971" i="9"/>
  <c r="BA971" i="9"/>
  <c r="BC971" i="9"/>
  <c r="BE971" i="9"/>
  <c r="AT971" i="9"/>
  <c r="AN971" i="9"/>
  <c r="AP971" i="9"/>
  <c r="AK971" i="9"/>
  <c r="AD971" i="9"/>
  <c r="B971" i="9"/>
  <c r="AU970" i="9"/>
  <c r="AO970" i="9"/>
  <c r="AQ970" i="9"/>
  <c r="AS970" i="9"/>
  <c r="AW970" i="9"/>
  <c r="AY970" i="9"/>
  <c r="BA970" i="9"/>
  <c r="BC970" i="9"/>
  <c r="BE970" i="9"/>
  <c r="AT970" i="9"/>
  <c r="AK970" i="9"/>
  <c r="AD970" i="9"/>
  <c r="B970" i="9"/>
  <c r="AU969" i="9"/>
  <c r="AO969" i="9"/>
  <c r="AQ969" i="9"/>
  <c r="AS969" i="9"/>
  <c r="AW969" i="9"/>
  <c r="AT969" i="9"/>
  <c r="AN969" i="9"/>
  <c r="AP969" i="9"/>
  <c r="AR969" i="9"/>
  <c r="AV969" i="9"/>
  <c r="AX969" i="9"/>
  <c r="AK969" i="9"/>
  <c r="AD969" i="9"/>
  <c r="B969" i="9"/>
  <c r="AU968" i="9"/>
  <c r="AO968" i="9"/>
  <c r="AQ968" i="9"/>
  <c r="AS968" i="9"/>
  <c r="AW968" i="9"/>
  <c r="AY968" i="9"/>
  <c r="BA968" i="9"/>
  <c r="BC968" i="9"/>
  <c r="BE968" i="9"/>
  <c r="AT968" i="9"/>
  <c r="AN968" i="9"/>
  <c r="AK968" i="9"/>
  <c r="AD968" i="9"/>
  <c r="B968" i="9"/>
  <c r="AU967" i="9"/>
  <c r="AO967" i="9"/>
  <c r="AT967" i="9"/>
  <c r="AN967" i="9"/>
  <c r="AP967" i="9"/>
  <c r="AR967" i="9"/>
  <c r="AK967" i="9"/>
  <c r="AD967" i="9"/>
  <c r="B967" i="9"/>
  <c r="AU966" i="9"/>
  <c r="AT966" i="9"/>
  <c r="AN966" i="9"/>
  <c r="AP966" i="9"/>
  <c r="AK966" i="9"/>
  <c r="AD966" i="9"/>
  <c r="B966" i="9"/>
  <c r="AU965" i="9"/>
  <c r="AT965" i="9"/>
  <c r="AN965" i="9"/>
  <c r="AP965" i="9"/>
  <c r="AK965" i="9"/>
  <c r="C965" i="9"/>
  <c r="AD965" i="9"/>
  <c r="B965" i="9"/>
  <c r="AU964" i="9"/>
  <c r="AT964" i="9"/>
  <c r="AN964" i="9"/>
  <c r="AP964" i="9"/>
  <c r="AR964" i="9"/>
  <c r="AK964" i="9"/>
  <c r="AD964" i="9"/>
  <c r="B964" i="9"/>
  <c r="C964" i="9"/>
  <c r="AU963" i="9"/>
  <c r="AO963" i="9"/>
  <c r="AT963" i="9"/>
  <c r="AK963" i="9"/>
  <c r="C963" i="9"/>
  <c r="AD963" i="9"/>
  <c r="B963" i="9"/>
  <c r="AU962" i="9"/>
  <c r="AO962" i="9"/>
  <c r="AQ962" i="9"/>
  <c r="AS962" i="9"/>
  <c r="AW962" i="9"/>
  <c r="AY962" i="9"/>
  <c r="BA962" i="9"/>
  <c r="BC962" i="9"/>
  <c r="BE962" i="9"/>
  <c r="AT962" i="9"/>
  <c r="AK962" i="9"/>
  <c r="AD962" i="9"/>
  <c r="B962" i="9"/>
  <c r="AU961" i="9"/>
  <c r="AO961" i="9"/>
  <c r="AQ961" i="9"/>
  <c r="AS961" i="9"/>
  <c r="AW961" i="9"/>
  <c r="AY961" i="9"/>
  <c r="BA961" i="9"/>
  <c r="BC961" i="9"/>
  <c r="BE961" i="9"/>
  <c r="AT961" i="9"/>
  <c r="AN961" i="9"/>
  <c r="AP961" i="9"/>
  <c r="AR961" i="9"/>
  <c r="AK961" i="9"/>
  <c r="AD961" i="9"/>
  <c r="B961" i="9"/>
  <c r="AU960" i="9"/>
  <c r="AT960" i="9"/>
  <c r="AN960" i="9"/>
  <c r="AK960" i="9"/>
  <c r="AD960" i="9"/>
  <c r="B960" i="9"/>
  <c r="AU959" i="9"/>
  <c r="AO959" i="9"/>
  <c r="AQ959" i="9"/>
  <c r="AS959" i="9"/>
  <c r="AW959" i="9"/>
  <c r="AY959" i="9"/>
  <c r="BA959" i="9"/>
  <c r="BC959" i="9"/>
  <c r="BE959" i="9"/>
  <c r="AT959" i="9"/>
  <c r="AN959" i="9"/>
  <c r="AP959" i="9"/>
  <c r="AR959" i="9"/>
  <c r="AK959" i="9"/>
  <c r="AD959" i="9"/>
  <c r="B959" i="9"/>
  <c r="AU958" i="9"/>
  <c r="AO958" i="9"/>
  <c r="AQ958" i="9"/>
  <c r="AS958" i="9"/>
  <c r="AW958" i="9"/>
  <c r="AY958" i="9"/>
  <c r="BA958" i="9"/>
  <c r="BC958" i="9"/>
  <c r="BE958" i="9"/>
  <c r="AT958" i="9"/>
  <c r="AK958" i="9"/>
  <c r="AD958" i="9"/>
  <c r="B958" i="9"/>
  <c r="AU957" i="9"/>
  <c r="AO957" i="9"/>
  <c r="AQ957" i="9"/>
  <c r="AS957" i="9"/>
  <c r="AW957" i="9"/>
  <c r="AY957" i="9"/>
  <c r="BA957" i="9"/>
  <c r="BC957" i="9"/>
  <c r="BE957" i="9"/>
  <c r="AT957" i="9"/>
  <c r="AK957" i="9"/>
  <c r="AD957" i="9"/>
  <c r="B957" i="9"/>
  <c r="AU956" i="9"/>
  <c r="AT956" i="9"/>
  <c r="AN956" i="9"/>
  <c r="AP956" i="9"/>
  <c r="AR956" i="9"/>
  <c r="AV956" i="9"/>
  <c r="AK956" i="9"/>
  <c r="AD956" i="9"/>
  <c r="B956" i="9"/>
  <c r="AY955" i="9"/>
  <c r="BA955" i="9"/>
  <c r="BC955" i="9"/>
  <c r="BE955" i="9"/>
  <c r="AU955" i="9"/>
  <c r="AO955" i="9"/>
  <c r="AQ955" i="9"/>
  <c r="AS955" i="9"/>
  <c r="AW955" i="9"/>
  <c r="AT955" i="9"/>
  <c r="AK955" i="9"/>
  <c r="AD955" i="9"/>
  <c r="B955" i="9"/>
  <c r="AU954" i="9"/>
  <c r="AO954" i="9"/>
  <c r="AQ954" i="9"/>
  <c r="AS954" i="9"/>
  <c r="AW954" i="9"/>
  <c r="AY954" i="9"/>
  <c r="BA954" i="9"/>
  <c r="BC954" i="9"/>
  <c r="BE954" i="9"/>
  <c r="AT954" i="9"/>
  <c r="AN954" i="9"/>
  <c r="AK954" i="9"/>
  <c r="C954" i="9"/>
  <c r="AD954" i="9"/>
  <c r="B954" i="9"/>
  <c r="AU953" i="9"/>
  <c r="AO953" i="9"/>
  <c r="AT953" i="9"/>
  <c r="AN953" i="9"/>
  <c r="AP953" i="9"/>
  <c r="AR953" i="9"/>
  <c r="AV953" i="9"/>
  <c r="AK953" i="9"/>
  <c r="AD953" i="9"/>
  <c r="B953" i="9"/>
  <c r="AU952" i="9"/>
  <c r="AT952" i="9"/>
  <c r="AN952" i="9"/>
  <c r="AK952" i="9"/>
  <c r="AD952" i="9"/>
  <c r="B952" i="9"/>
  <c r="AU951" i="9"/>
  <c r="AO951" i="9"/>
  <c r="AT951" i="9"/>
  <c r="AN951" i="9"/>
  <c r="AP951" i="9"/>
  <c r="AK951" i="9"/>
  <c r="C951" i="9"/>
  <c r="AD951" i="9"/>
  <c r="B951" i="9"/>
  <c r="AU950" i="9"/>
  <c r="AT950" i="9"/>
  <c r="AN950" i="9"/>
  <c r="AK950" i="9"/>
  <c r="AD950" i="9"/>
  <c r="B950" i="9"/>
  <c r="AU949" i="9"/>
  <c r="AO949" i="9"/>
  <c r="AQ949" i="9"/>
  <c r="AS949" i="9"/>
  <c r="AW949" i="9"/>
  <c r="AY949" i="9"/>
  <c r="BA949" i="9"/>
  <c r="BC949" i="9"/>
  <c r="BE949" i="9"/>
  <c r="AT949" i="9"/>
  <c r="AN949" i="9"/>
  <c r="AK949" i="9"/>
  <c r="AD949" i="9"/>
  <c r="B949" i="9"/>
  <c r="AU948" i="9"/>
  <c r="AT948" i="9"/>
  <c r="AN948" i="9"/>
  <c r="AK948" i="9"/>
  <c r="AD948" i="9"/>
  <c r="B948" i="9"/>
  <c r="AU947" i="9"/>
  <c r="AT947" i="9"/>
  <c r="AN947" i="9"/>
  <c r="AP947" i="9"/>
  <c r="AR947" i="9"/>
  <c r="AK947" i="9"/>
  <c r="C947" i="9"/>
  <c r="AD947" i="9"/>
  <c r="B947" i="9"/>
  <c r="AU946" i="9"/>
  <c r="AT946" i="9"/>
  <c r="AN946" i="9"/>
  <c r="AK946" i="9"/>
  <c r="AD946" i="9"/>
  <c r="B946" i="9"/>
  <c r="AU945" i="9"/>
  <c r="AT945" i="9"/>
  <c r="AN945" i="9"/>
  <c r="AP945" i="9"/>
  <c r="AK945" i="9"/>
  <c r="AD945" i="9"/>
  <c r="B945" i="9"/>
  <c r="AU944" i="9"/>
  <c r="AT944" i="9"/>
  <c r="AN944" i="9"/>
  <c r="AK944" i="9"/>
  <c r="AD944" i="9"/>
  <c r="B944" i="9"/>
  <c r="AU943" i="9"/>
  <c r="AO943" i="9"/>
  <c r="AT943" i="9"/>
  <c r="AK943" i="9"/>
  <c r="AD943" i="9"/>
  <c r="B943" i="9"/>
  <c r="AU942" i="9"/>
  <c r="AT942" i="9"/>
  <c r="AN942" i="9"/>
  <c r="AK942" i="9"/>
  <c r="AD942" i="9"/>
  <c r="B942" i="9"/>
  <c r="AU941" i="9"/>
  <c r="AO941" i="9"/>
  <c r="AQ941" i="9"/>
  <c r="AS941" i="9"/>
  <c r="AW941" i="9"/>
  <c r="AY941" i="9"/>
  <c r="BA941" i="9"/>
  <c r="BC941" i="9"/>
  <c r="BE941" i="9"/>
  <c r="AT941" i="9"/>
  <c r="AN941" i="9"/>
  <c r="AP941" i="9"/>
  <c r="AK941" i="9"/>
  <c r="AD941" i="9"/>
  <c r="B941" i="9"/>
  <c r="AU940" i="9"/>
  <c r="AT940" i="9"/>
  <c r="AN940" i="9"/>
  <c r="AK940" i="9"/>
  <c r="AD940" i="9"/>
  <c r="B940" i="9"/>
  <c r="AU939" i="9"/>
  <c r="AO939" i="9"/>
  <c r="AQ939" i="9"/>
  <c r="AS939" i="9"/>
  <c r="AW939" i="9"/>
  <c r="AY939" i="9"/>
  <c r="BA939" i="9"/>
  <c r="BC939" i="9"/>
  <c r="BE939" i="9"/>
  <c r="AT939" i="9"/>
  <c r="AN939" i="9"/>
  <c r="AP939" i="9"/>
  <c r="AK939" i="9"/>
  <c r="AD939" i="9"/>
  <c r="B939" i="9"/>
  <c r="AU938" i="9"/>
  <c r="AO938" i="9"/>
  <c r="AQ938" i="9"/>
  <c r="AS938" i="9"/>
  <c r="AW938" i="9"/>
  <c r="AY938" i="9"/>
  <c r="BA938" i="9"/>
  <c r="BC938" i="9"/>
  <c r="BE938" i="9"/>
  <c r="AT938" i="9"/>
  <c r="AN938" i="9"/>
  <c r="AP938" i="9"/>
  <c r="AK938" i="9"/>
  <c r="AD938" i="9"/>
  <c r="B938" i="9"/>
  <c r="AU937" i="9"/>
  <c r="AO937" i="9"/>
  <c r="AQ937" i="9"/>
  <c r="AS937" i="9"/>
  <c r="AW937" i="9"/>
  <c r="AY937" i="9"/>
  <c r="BA937" i="9"/>
  <c r="BC937" i="9"/>
  <c r="BE937" i="9"/>
  <c r="AT937" i="9"/>
  <c r="AK937" i="9"/>
  <c r="AD937" i="9"/>
  <c r="B937" i="9"/>
  <c r="AU936" i="9"/>
  <c r="AT936" i="9"/>
  <c r="AN936" i="9"/>
  <c r="AK936" i="9"/>
  <c r="C936" i="9"/>
  <c r="AD936" i="9"/>
  <c r="B936" i="9"/>
  <c r="AU935" i="9"/>
  <c r="AO935" i="9"/>
  <c r="AT935" i="9"/>
  <c r="AK935" i="9"/>
  <c r="AD935" i="9"/>
  <c r="B935" i="9"/>
  <c r="AU934" i="9"/>
  <c r="AO934" i="9"/>
  <c r="AQ934" i="9"/>
  <c r="AS934" i="9"/>
  <c r="AW934" i="9"/>
  <c r="AY934" i="9"/>
  <c r="BA934" i="9"/>
  <c r="BC934" i="9"/>
  <c r="BE934" i="9"/>
  <c r="AT934" i="9"/>
  <c r="AN934" i="9"/>
  <c r="AP934" i="9"/>
  <c r="AK934" i="9"/>
  <c r="AD934" i="9"/>
  <c r="B934" i="9"/>
  <c r="AU933" i="9"/>
  <c r="AO933" i="9"/>
  <c r="AT933" i="9"/>
  <c r="AN933" i="9"/>
  <c r="AP933" i="9"/>
  <c r="AK933" i="9"/>
  <c r="AD933" i="9"/>
  <c r="B933" i="9"/>
  <c r="AU932" i="9"/>
  <c r="AO932" i="9"/>
  <c r="AQ932" i="9"/>
  <c r="AS932" i="9"/>
  <c r="AW932" i="9"/>
  <c r="AY932" i="9"/>
  <c r="BA932" i="9"/>
  <c r="BC932" i="9"/>
  <c r="BE932" i="9"/>
  <c r="AT932" i="9"/>
  <c r="AK932" i="9"/>
  <c r="AD932" i="9"/>
  <c r="B932" i="9"/>
  <c r="AU931" i="9"/>
  <c r="AO931" i="9"/>
  <c r="AQ931" i="9"/>
  <c r="AS931" i="9"/>
  <c r="AW931" i="9"/>
  <c r="AY931" i="9"/>
  <c r="BA931" i="9"/>
  <c r="BC931" i="9"/>
  <c r="BE931" i="9"/>
  <c r="AT931" i="9"/>
  <c r="AK931" i="9"/>
  <c r="AD931" i="9"/>
  <c r="B931" i="9"/>
  <c r="AU930" i="9"/>
  <c r="AO930" i="9"/>
  <c r="AT930" i="9"/>
  <c r="AK930" i="9"/>
  <c r="AD930" i="9"/>
  <c r="B930" i="9"/>
  <c r="AU929" i="9"/>
  <c r="AT929" i="9"/>
  <c r="AN929" i="9"/>
  <c r="AP929" i="9"/>
  <c r="AK929" i="9"/>
  <c r="AD929" i="9"/>
  <c r="B929" i="9"/>
  <c r="AU928" i="9"/>
  <c r="AO928" i="9"/>
  <c r="AQ928" i="9"/>
  <c r="AS928" i="9"/>
  <c r="AW928" i="9"/>
  <c r="AY928" i="9"/>
  <c r="BA928" i="9"/>
  <c r="BC928" i="9"/>
  <c r="BE928" i="9"/>
  <c r="AT928" i="9"/>
  <c r="AK928" i="9"/>
  <c r="AD928" i="9"/>
  <c r="B928" i="9"/>
  <c r="AU927" i="9"/>
  <c r="AO927" i="9"/>
  <c r="AQ927" i="9"/>
  <c r="AS927" i="9"/>
  <c r="AW927" i="9"/>
  <c r="AY927" i="9"/>
  <c r="BA927" i="9"/>
  <c r="BC927" i="9"/>
  <c r="BE927" i="9"/>
  <c r="AT927" i="9"/>
  <c r="AK927" i="9"/>
  <c r="C927" i="9"/>
  <c r="AD927" i="9"/>
  <c r="B927" i="9"/>
  <c r="AU926" i="9"/>
  <c r="AO926" i="9"/>
  <c r="AQ926" i="9"/>
  <c r="AS926" i="9"/>
  <c r="AW926" i="9"/>
  <c r="AY926" i="9"/>
  <c r="BA926" i="9"/>
  <c r="BC926" i="9"/>
  <c r="BE926" i="9"/>
  <c r="AT926" i="9"/>
  <c r="AN926" i="9"/>
  <c r="AK926" i="9"/>
  <c r="AD926" i="9"/>
  <c r="B926" i="9"/>
  <c r="AU925" i="9"/>
  <c r="AT925" i="9"/>
  <c r="AN925" i="9"/>
  <c r="AP925" i="9"/>
  <c r="AK925" i="9"/>
  <c r="AD925" i="9"/>
  <c r="B925" i="9"/>
  <c r="AU924" i="9"/>
  <c r="AO924" i="9"/>
  <c r="AQ924" i="9"/>
  <c r="AS924" i="9"/>
  <c r="AW924" i="9"/>
  <c r="AY924" i="9"/>
  <c r="BA924" i="9"/>
  <c r="BC924" i="9"/>
  <c r="BE924" i="9"/>
  <c r="AT924" i="9"/>
  <c r="AN924" i="9"/>
  <c r="AK924" i="9"/>
  <c r="AD924" i="9"/>
  <c r="B924" i="9"/>
  <c r="AU923" i="9"/>
  <c r="AT923" i="9"/>
  <c r="AO923" i="9"/>
  <c r="AQ923" i="9"/>
  <c r="AS923" i="9"/>
  <c r="AW923" i="9"/>
  <c r="AY923" i="9"/>
  <c r="BA923" i="9"/>
  <c r="BC923" i="9"/>
  <c r="BE923" i="9"/>
  <c r="AK923" i="9"/>
  <c r="C923" i="9"/>
  <c r="AD923" i="9"/>
  <c r="B923" i="9"/>
  <c r="AU922" i="9"/>
  <c r="AO922" i="9"/>
  <c r="AQ922" i="9"/>
  <c r="AS922" i="9"/>
  <c r="AW922" i="9"/>
  <c r="AY922" i="9"/>
  <c r="BA922" i="9"/>
  <c r="BC922" i="9"/>
  <c r="BE922" i="9"/>
  <c r="AT922" i="9"/>
  <c r="AK922" i="9"/>
  <c r="AD922" i="9"/>
  <c r="B922" i="9"/>
  <c r="AU921" i="9"/>
  <c r="AT921" i="9"/>
  <c r="AN921" i="9"/>
  <c r="AK921" i="9"/>
  <c r="AD921" i="9"/>
  <c r="B921" i="9"/>
  <c r="AU920" i="9"/>
  <c r="AO920" i="9"/>
  <c r="AQ920" i="9"/>
  <c r="AS920" i="9"/>
  <c r="AW920" i="9"/>
  <c r="AY920" i="9"/>
  <c r="BA920" i="9"/>
  <c r="BC920" i="9"/>
  <c r="BE920" i="9"/>
  <c r="AT920" i="9"/>
  <c r="E920" i="9"/>
  <c r="AK920" i="9"/>
  <c r="AD920" i="9"/>
  <c r="B920" i="9"/>
  <c r="AU919" i="9"/>
  <c r="AO919" i="9"/>
  <c r="AQ919" i="9"/>
  <c r="AS919" i="9"/>
  <c r="AT919" i="9"/>
  <c r="AK919" i="9"/>
  <c r="AD919" i="9"/>
  <c r="B919" i="9"/>
  <c r="AU918" i="9"/>
  <c r="AO918" i="9"/>
  <c r="AQ918" i="9"/>
  <c r="AS918" i="9"/>
  <c r="AW918" i="9"/>
  <c r="AY918" i="9"/>
  <c r="BA918" i="9"/>
  <c r="BC918" i="9"/>
  <c r="BE918" i="9"/>
  <c r="AT918" i="9"/>
  <c r="AN918" i="9"/>
  <c r="AK918" i="9"/>
  <c r="AD918" i="9"/>
  <c r="B918" i="9"/>
  <c r="AU917" i="9"/>
  <c r="AO917" i="9"/>
  <c r="AQ917" i="9"/>
  <c r="AS917" i="9"/>
  <c r="AW917" i="9"/>
  <c r="AY917" i="9"/>
  <c r="BA917" i="9"/>
  <c r="BC917" i="9"/>
  <c r="BE917" i="9"/>
  <c r="AT917" i="9"/>
  <c r="AK917" i="9"/>
  <c r="AD917" i="9"/>
  <c r="B917" i="9"/>
  <c r="AU916" i="9"/>
  <c r="AO916" i="9"/>
  <c r="AQ916" i="9"/>
  <c r="AS916" i="9"/>
  <c r="AW916" i="9"/>
  <c r="AY916" i="9"/>
  <c r="BA916" i="9"/>
  <c r="BC916" i="9"/>
  <c r="BE916" i="9"/>
  <c r="AT916" i="9"/>
  <c r="AN916" i="9"/>
  <c r="AK916" i="9"/>
  <c r="AD916" i="9"/>
  <c r="B916" i="9"/>
  <c r="AU915" i="9"/>
  <c r="AO915" i="9"/>
  <c r="AQ915" i="9"/>
  <c r="AS915" i="9"/>
  <c r="AW915" i="9"/>
  <c r="AY915" i="9"/>
  <c r="BA915" i="9"/>
  <c r="BC915" i="9"/>
  <c r="BE915" i="9"/>
  <c r="AT915" i="9"/>
  <c r="E915" i="9"/>
  <c r="AK915" i="9"/>
  <c r="AD915" i="9"/>
  <c r="B915" i="9"/>
  <c r="AU914" i="9"/>
  <c r="AO914" i="9"/>
  <c r="AQ914" i="9"/>
  <c r="AS914" i="9"/>
  <c r="AW914" i="9"/>
  <c r="AY914" i="9"/>
  <c r="BA914" i="9"/>
  <c r="BC914" i="9"/>
  <c r="BE914" i="9"/>
  <c r="AT914" i="9"/>
  <c r="E914" i="9"/>
  <c r="AK914" i="9"/>
  <c r="AD914" i="9"/>
  <c r="B914" i="9"/>
  <c r="AU913" i="9"/>
  <c r="AT913" i="9"/>
  <c r="AN913" i="9"/>
  <c r="AK913" i="9"/>
  <c r="AD913" i="9"/>
  <c r="B913" i="9"/>
  <c r="AU912" i="9"/>
  <c r="AO912" i="9"/>
  <c r="AQ912" i="9"/>
  <c r="AS912" i="9"/>
  <c r="AW912" i="9"/>
  <c r="AY912" i="9"/>
  <c r="BA912" i="9"/>
  <c r="BC912" i="9"/>
  <c r="BE912" i="9"/>
  <c r="AT912" i="9"/>
  <c r="AN912" i="9"/>
  <c r="AK912" i="9"/>
  <c r="AD912" i="9"/>
  <c r="B912" i="9"/>
  <c r="AU911" i="9"/>
  <c r="AO911" i="9"/>
  <c r="AQ911" i="9"/>
  <c r="AT911" i="9"/>
  <c r="AN911" i="9"/>
  <c r="AP911" i="9"/>
  <c r="AR911" i="9"/>
  <c r="AV911" i="9"/>
  <c r="AK911" i="9"/>
  <c r="AD911" i="9"/>
  <c r="B911" i="9"/>
  <c r="AU910" i="9"/>
  <c r="AO910" i="9"/>
  <c r="AQ910" i="9"/>
  <c r="AS910" i="9"/>
  <c r="AW910" i="9"/>
  <c r="AY910" i="9"/>
  <c r="BA910" i="9"/>
  <c r="BC910" i="9"/>
  <c r="BE910" i="9"/>
  <c r="AT910" i="9"/>
  <c r="AK910" i="9"/>
  <c r="AD910" i="9"/>
  <c r="B910" i="9"/>
  <c r="AU909" i="9"/>
  <c r="AO909" i="9"/>
  <c r="AQ909" i="9"/>
  <c r="AS909" i="9"/>
  <c r="AW909" i="9"/>
  <c r="AY909" i="9"/>
  <c r="BA909" i="9"/>
  <c r="BC909" i="9"/>
  <c r="BE909" i="9"/>
  <c r="AT909" i="9"/>
  <c r="AN909" i="9"/>
  <c r="AK909" i="9"/>
  <c r="AD909" i="9"/>
  <c r="B909" i="9"/>
  <c r="AU908" i="9"/>
  <c r="AO908" i="9"/>
  <c r="AQ908" i="9"/>
  <c r="AS908" i="9"/>
  <c r="AW908" i="9"/>
  <c r="AY908" i="9"/>
  <c r="BA908" i="9"/>
  <c r="BC908" i="9"/>
  <c r="BE908" i="9"/>
  <c r="AT908" i="9"/>
  <c r="AN908" i="9"/>
  <c r="AK908" i="9"/>
  <c r="AD908" i="9"/>
  <c r="B908" i="9"/>
  <c r="AU907" i="9"/>
  <c r="AT907" i="9"/>
  <c r="AN907" i="9"/>
  <c r="AK907" i="9"/>
  <c r="AD907" i="9"/>
  <c r="B907" i="9"/>
  <c r="AU906" i="9"/>
  <c r="AO906" i="9"/>
  <c r="AQ906" i="9"/>
  <c r="AS906" i="9"/>
  <c r="AW906" i="9"/>
  <c r="AY906" i="9"/>
  <c r="BA906" i="9"/>
  <c r="BC906" i="9"/>
  <c r="BE906" i="9"/>
  <c r="AT906" i="9"/>
  <c r="AN906" i="9"/>
  <c r="AK906" i="9"/>
  <c r="AD906" i="9"/>
  <c r="B906" i="9"/>
  <c r="AU905" i="9"/>
  <c r="AO905" i="9"/>
  <c r="AQ905" i="9"/>
  <c r="AS905" i="9"/>
  <c r="AW905" i="9"/>
  <c r="AY905" i="9"/>
  <c r="BA905" i="9"/>
  <c r="BC905" i="9"/>
  <c r="BE905" i="9"/>
  <c r="AT905" i="9"/>
  <c r="AN905" i="9"/>
  <c r="AK905" i="9"/>
  <c r="AD905" i="9"/>
  <c r="B905" i="9"/>
  <c r="AU904" i="9"/>
  <c r="AO904" i="9"/>
  <c r="AQ904" i="9"/>
  <c r="AS904" i="9"/>
  <c r="AW904" i="9"/>
  <c r="AY904" i="9"/>
  <c r="BA904" i="9"/>
  <c r="BC904" i="9"/>
  <c r="BE904" i="9"/>
  <c r="AT904" i="9"/>
  <c r="AK904" i="9"/>
  <c r="C904" i="9"/>
  <c r="AD904" i="9"/>
  <c r="B904" i="9"/>
  <c r="AU903" i="9"/>
  <c r="AO903" i="9"/>
  <c r="AT903" i="9"/>
  <c r="AN903" i="9"/>
  <c r="AP903" i="9"/>
  <c r="AK903" i="9"/>
  <c r="AD903" i="9"/>
  <c r="B903" i="9"/>
  <c r="AU902" i="9"/>
  <c r="AO902" i="9"/>
  <c r="AQ902" i="9"/>
  <c r="AS902" i="9"/>
  <c r="AW902" i="9"/>
  <c r="AY902" i="9"/>
  <c r="BA902" i="9"/>
  <c r="BC902" i="9"/>
  <c r="BE902" i="9"/>
  <c r="AT902" i="9"/>
  <c r="AN902" i="9"/>
  <c r="AP902" i="9"/>
  <c r="AK902" i="9"/>
  <c r="AD902" i="9"/>
  <c r="B902" i="9"/>
  <c r="AU901" i="9"/>
  <c r="AO901" i="9"/>
  <c r="AQ901" i="9"/>
  <c r="AS901" i="9"/>
  <c r="AW901" i="9"/>
  <c r="AY901" i="9"/>
  <c r="BA901" i="9"/>
  <c r="BC901" i="9"/>
  <c r="BE901" i="9"/>
  <c r="AT901" i="9"/>
  <c r="AK901" i="9"/>
  <c r="AD901" i="9"/>
  <c r="B901" i="9"/>
  <c r="AU900" i="9"/>
  <c r="AO900" i="9"/>
  <c r="AQ900" i="9"/>
  <c r="AS900" i="9"/>
  <c r="AW900" i="9"/>
  <c r="AY900" i="9"/>
  <c r="BA900" i="9"/>
  <c r="BC900" i="9"/>
  <c r="BE900" i="9"/>
  <c r="AT900" i="9"/>
  <c r="AN900" i="9"/>
  <c r="AK900" i="9"/>
  <c r="AD900" i="9"/>
  <c r="B900" i="9"/>
  <c r="AU899" i="9"/>
  <c r="AO899" i="9"/>
  <c r="AQ899" i="9"/>
  <c r="AS899" i="9"/>
  <c r="AW899" i="9"/>
  <c r="AY899" i="9"/>
  <c r="BA899" i="9"/>
  <c r="BC899" i="9"/>
  <c r="BE899" i="9"/>
  <c r="AT899" i="9"/>
  <c r="AK899" i="9"/>
  <c r="AD899" i="9"/>
  <c r="B899" i="9"/>
  <c r="AU898" i="9"/>
  <c r="AT898" i="9"/>
  <c r="AN898" i="9"/>
  <c r="AK898" i="9"/>
  <c r="AD898" i="9"/>
  <c r="B898" i="9"/>
  <c r="AU897" i="9"/>
  <c r="AO897" i="9"/>
  <c r="AQ897" i="9"/>
  <c r="AS897" i="9"/>
  <c r="AW897" i="9"/>
  <c r="AY897" i="9"/>
  <c r="BA897" i="9"/>
  <c r="BC897" i="9"/>
  <c r="BE897" i="9"/>
  <c r="AT897" i="9"/>
  <c r="AK897" i="9"/>
  <c r="AD897" i="9"/>
  <c r="B897" i="9"/>
  <c r="AU896" i="9"/>
  <c r="AO896" i="9"/>
  <c r="AQ896" i="9"/>
  <c r="AS896" i="9"/>
  <c r="AW896" i="9"/>
  <c r="AY896" i="9"/>
  <c r="BA896" i="9"/>
  <c r="BC896" i="9"/>
  <c r="BE896" i="9"/>
  <c r="AT896" i="9"/>
  <c r="AK896" i="9"/>
  <c r="AD896" i="9"/>
  <c r="B896" i="9"/>
  <c r="AU895" i="9"/>
  <c r="AO895" i="9"/>
  <c r="AQ895" i="9"/>
  <c r="AT895" i="9"/>
  <c r="AN895" i="9"/>
  <c r="AP895" i="9"/>
  <c r="AR895" i="9"/>
  <c r="AV895" i="9"/>
  <c r="AX895" i="9"/>
  <c r="AK895" i="9"/>
  <c r="AD895" i="9"/>
  <c r="B895" i="9"/>
  <c r="AU894" i="9"/>
  <c r="AO894" i="9"/>
  <c r="AQ894" i="9"/>
  <c r="AS894" i="9"/>
  <c r="AW894" i="9"/>
  <c r="AY894" i="9"/>
  <c r="BA894" i="9"/>
  <c r="BC894" i="9"/>
  <c r="BE894" i="9"/>
  <c r="AT894" i="9"/>
  <c r="AN894" i="9"/>
  <c r="AK894" i="9"/>
  <c r="AD894" i="9"/>
  <c r="B894" i="9"/>
  <c r="AU893" i="9"/>
  <c r="AO893" i="9"/>
  <c r="AQ893" i="9"/>
  <c r="AS893" i="9"/>
  <c r="AW893" i="9"/>
  <c r="AY893" i="9"/>
  <c r="BA893" i="9"/>
  <c r="BC893" i="9"/>
  <c r="BE893" i="9"/>
  <c r="AT893" i="9"/>
  <c r="AK893" i="9"/>
  <c r="AD893" i="9"/>
  <c r="B893" i="9"/>
  <c r="AU892" i="9"/>
  <c r="AO892" i="9"/>
  <c r="AQ892" i="9"/>
  <c r="AS892" i="9"/>
  <c r="AW892" i="9"/>
  <c r="AY892" i="9"/>
  <c r="BA892" i="9"/>
  <c r="BC892" i="9"/>
  <c r="BE892" i="9"/>
  <c r="AT892" i="9"/>
  <c r="AN892" i="9"/>
  <c r="AK892" i="9"/>
  <c r="AD892" i="9"/>
  <c r="B892" i="9"/>
  <c r="AU891" i="9"/>
  <c r="AO891" i="9"/>
  <c r="AQ891" i="9"/>
  <c r="AS891" i="9"/>
  <c r="AW891" i="9"/>
  <c r="AY891" i="9"/>
  <c r="BA891" i="9"/>
  <c r="BC891" i="9"/>
  <c r="BE891" i="9"/>
  <c r="AT891" i="9"/>
  <c r="AN891" i="9"/>
  <c r="AP891" i="9"/>
  <c r="AK891" i="9"/>
  <c r="AD891" i="9"/>
  <c r="B891" i="9"/>
  <c r="AU890" i="9"/>
  <c r="AO890" i="9"/>
  <c r="AT890" i="9"/>
  <c r="AK890" i="9"/>
  <c r="AD890" i="9"/>
  <c r="B890" i="9"/>
  <c r="AU889" i="9"/>
  <c r="AO889" i="9"/>
  <c r="AQ889" i="9"/>
  <c r="AS889" i="9"/>
  <c r="AW889" i="9"/>
  <c r="AY889" i="9"/>
  <c r="BA889" i="9"/>
  <c r="BC889" i="9"/>
  <c r="BE889" i="9"/>
  <c r="AT889" i="9"/>
  <c r="AK889" i="9"/>
  <c r="C889" i="9"/>
  <c r="AD889" i="9"/>
  <c r="B889" i="9"/>
  <c r="AU888" i="9"/>
  <c r="AT888" i="9"/>
  <c r="AN888" i="9"/>
  <c r="AP888" i="9"/>
  <c r="AR888" i="9"/>
  <c r="AK888" i="9"/>
  <c r="AD888" i="9"/>
  <c r="B888" i="9"/>
  <c r="AU887" i="9"/>
  <c r="AO887" i="9"/>
  <c r="AQ887" i="9"/>
  <c r="AS887" i="9"/>
  <c r="AW887" i="9"/>
  <c r="AY887" i="9"/>
  <c r="BA887" i="9"/>
  <c r="BC887" i="9"/>
  <c r="BE887" i="9"/>
  <c r="AT887" i="9"/>
  <c r="AN887" i="9"/>
  <c r="AK887" i="9"/>
  <c r="AD887" i="9"/>
  <c r="B887" i="9"/>
  <c r="AU886" i="9"/>
  <c r="AO886" i="9"/>
  <c r="AQ886" i="9"/>
  <c r="AS886" i="9"/>
  <c r="AW886" i="9"/>
  <c r="AY886" i="9"/>
  <c r="BA886" i="9"/>
  <c r="BC886" i="9"/>
  <c r="BE886" i="9"/>
  <c r="AT886" i="9"/>
  <c r="AK886" i="9"/>
  <c r="AD886" i="9"/>
  <c r="B886" i="9"/>
  <c r="AU885" i="9"/>
  <c r="AO885" i="9"/>
  <c r="AQ885" i="9"/>
  <c r="AS885" i="9"/>
  <c r="AW885" i="9"/>
  <c r="AY885" i="9"/>
  <c r="BA885" i="9"/>
  <c r="BC885" i="9"/>
  <c r="BE885" i="9"/>
  <c r="AT885" i="9"/>
  <c r="AN885" i="9"/>
  <c r="AK885" i="9"/>
  <c r="AD885" i="9"/>
  <c r="B885" i="9"/>
  <c r="AU884" i="9"/>
  <c r="AO884" i="9"/>
  <c r="AQ884" i="9"/>
  <c r="AS884" i="9"/>
  <c r="AW884" i="9"/>
  <c r="AY884" i="9"/>
  <c r="BA884" i="9"/>
  <c r="BC884" i="9"/>
  <c r="BE884" i="9"/>
  <c r="AT884" i="9"/>
  <c r="AN884" i="9"/>
  <c r="AK884" i="9"/>
  <c r="AD884" i="9"/>
  <c r="B884" i="9"/>
  <c r="AU883" i="9"/>
  <c r="AO883" i="9"/>
  <c r="AQ883" i="9"/>
  <c r="AS883" i="9"/>
  <c r="AW883" i="9"/>
  <c r="AY883" i="9"/>
  <c r="BA883" i="9"/>
  <c r="BC883" i="9"/>
  <c r="BE883" i="9"/>
  <c r="AT883" i="9"/>
  <c r="AN883" i="9"/>
  <c r="AK883" i="9"/>
  <c r="AD883" i="9"/>
  <c r="B883" i="9"/>
  <c r="C883" i="9"/>
  <c r="AU882" i="9"/>
  <c r="AO882" i="9"/>
  <c r="AQ882" i="9"/>
  <c r="AS882" i="9"/>
  <c r="AW882" i="9"/>
  <c r="AY882" i="9"/>
  <c r="BA882" i="9"/>
  <c r="BC882" i="9"/>
  <c r="BE882" i="9"/>
  <c r="AT882" i="9"/>
  <c r="AN882" i="9"/>
  <c r="AK882" i="9"/>
  <c r="AD882" i="9"/>
  <c r="B882" i="9"/>
  <c r="AU881" i="9"/>
  <c r="AO881" i="9"/>
  <c r="AQ881" i="9"/>
  <c r="AS881" i="9"/>
  <c r="AW881" i="9"/>
  <c r="AY881" i="9"/>
  <c r="BA881" i="9"/>
  <c r="BC881" i="9"/>
  <c r="BE881" i="9"/>
  <c r="AT881" i="9"/>
  <c r="AN881" i="9"/>
  <c r="AK881" i="9"/>
  <c r="AD881" i="9"/>
  <c r="B881" i="9"/>
  <c r="AU880" i="9"/>
  <c r="AO880" i="9"/>
  <c r="AQ880" i="9"/>
  <c r="AS880" i="9"/>
  <c r="AW880" i="9"/>
  <c r="AY880" i="9"/>
  <c r="BA880" i="9"/>
  <c r="BC880" i="9"/>
  <c r="BE880" i="9"/>
  <c r="AT880" i="9"/>
  <c r="AK880" i="9"/>
  <c r="AD880" i="9"/>
  <c r="B880" i="9"/>
  <c r="AU879" i="9"/>
  <c r="AO879" i="9"/>
  <c r="AQ879" i="9"/>
  <c r="AS879" i="9"/>
  <c r="AW879" i="9"/>
  <c r="AY879" i="9"/>
  <c r="BA879" i="9"/>
  <c r="BC879" i="9"/>
  <c r="BE879" i="9"/>
  <c r="AT879" i="9"/>
  <c r="AK879" i="9"/>
  <c r="AD879" i="9"/>
  <c r="B879" i="9"/>
  <c r="AU878" i="9"/>
  <c r="AO878" i="9"/>
  <c r="AQ878" i="9"/>
  <c r="AS878" i="9"/>
  <c r="AW878" i="9"/>
  <c r="AY878" i="9"/>
  <c r="BA878" i="9"/>
  <c r="BC878" i="9"/>
  <c r="BE878" i="9"/>
  <c r="AT878" i="9"/>
  <c r="AN878" i="9"/>
  <c r="AP878" i="9"/>
  <c r="AK878" i="9"/>
  <c r="AD878" i="9"/>
  <c r="B878" i="9"/>
  <c r="AU877" i="9"/>
  <c r="AO877" i="9"/>
  <c r="AQ877" i="9"/>
  <c r="AT877" i="9"/>
  <c r="AN877" i="9"/>
  <c r="AK877" i="9"/>
  <c r="AD877" i="9"/>
  <c r="B877" i="9"/>
  <c r="AU876" i="9"/>
  <c r="AO876" i="9"/>
  <c r="AT876" i="9"/>
  <c r="AN876" i="9"/>
  <c r="AP876" i="9"/>
  <c r="AR876" i="9"/>
  <c r="AK876" i="9"/>
  <c r="AD876" i="9"/>
  <c r="B876" i="9"/>
  <c r="AU875" i="9"/>
  <c r="AT875" i="9"/>
  <c r="AN875" i="9"/>
  <c r="AK875" i="9"/>
  <c r="AD875" i="9"/>
  <c r="B875" i="9"/>
  <c r="AU874" i="9"/>
  <c r="AO874" i="9"/>
  <c r="AQ874" i="9"/>
  <c r="AS874" i="9"/>
  <c r="AW874" i="9"/>
  <c r="AY874" i="9"/>
  <c r="BA874" i="9"/>
  <c r="BC874" i="9"/>
  <c r="BE874" i="9"/>
  <c r="AT874" i="9"/>
  <c r="AK874" i="9"/>
  <c r="C874" i="9"/>
  <c r="AD874" i="9"/>
  <c r="B874" i="9"/>
  <c r="AU873" i="9"/>
  <c r="AO873" i="9"/>
  <c r="AQ873" i="9"/>
  <c r="AT873" i="9"/>
  <c r="AN873" i="9"/>
  <c r="AK873" i="9"/>
  <c r="AD873" i="9"/>
  <c r="B873" i="9"/>
  <c r="AU872" i="9"/>
  <c r="AT872" i="9"/>
  <c r="AN872" i="9"/>
  <c r="AP872" i="9"/>
  <c r="AR872" i="9"/>
  <c r="AK872" i="9"/>
  <c r="AD872" i="9"/>
  <c r="B872" i="9"/>
  <c r="AU871" i="9"/>
  <c r="AT871" i="9"/>
  <c r="AN871" i="9"/>
  <c r="AK871" i="9"/>
  <c r="AD871" i="9"/>
  <c r="B871" i="9"/>
  <c r="AU870" i="9"/>
  <c r="AO870" i="9"/>
  <c r="AQ870" i="9"/>
  <c r="AS870" i="9"/>
  <c r="AW870" i="9"/>
  <c r="AY870" i="9"/>
  <c r="BA870" i="9"/>
  <c r="BC870" i="9"/>
  <c r="BE870" i="9"/>
  <c r="AT870" i="9"/>
  <c r="AN870" i="9"/>
  <c r="AK870" i="9"/>
  <c r="AD870" i="9"/>
  <c r="B870" i="9"/>
  <c r="AU869" i="9"/>
  <c r="AT869" i="9"/>
  <c r="AN869" i="9"/>
  <c r="AP869" i="9"/>
  <c r="AR869" i="9"/>
  <c r="AO869" i="9"/>
  <c r="AQ869" i="9"/>
  <c r="AK869" i="9"/>
  <c r="AD869" i="9"/>
  <c r="B869" i="9"/>
  <c r="AU868" i="9"/>
  <c r="AT868" i="9"/>
  <c r="AN868" i="9"/>
  <c r="AP868" i="9"/>
  <c r="AK868" i="9"/>
  <c r="AD868" i="9"/>
  <c r="B868" i="9"/>
  <c r="AU867" i="9"/>
  <c r="AO867" i="9"/>
  <c r="AQ867" i="9"/>
  <c r="AS867" i="9"/>
  <c r="AW867" i="9"/>
  <c r="AY867" i="9"/>
  <c r="BA867" i="9"/>
  <c r="BC867" i="9"/>
  <c r="BE867" i="9"/>
  <c r="AT867" i="9"/>
  <c r="AK867" i="9"/>
  <c r="AD867" i="9"/>
  <c r="B867" i="9"/>
  <c r="AU866" i="9"/>
  <c r="AO866" i="9"/>
  <c r="AQ866" i="9"/>
  <c r="AS866" i="9"/>
  <c r="AT866" i="9"/>
  <c r="AN866" i="9"/>
  <c r="AP866" i="9"/>
  <c r="AR866" i="9"/>
  <c r="AV866" i="9"/>
  <c r="AX866" i="9"/>
  <c r="AZ866" i="9"/>
  <c r="AK866" i="9"/>
  <c r="AD866" i="9"/>
  <c r="B866" i="9"/>
  <c r="AU865" i="9"/>
  <c r="AT865" i="9"/>
  <c r="AN865" i="9"/>
  <c r="AK865" i="9"/>
  <c r="AD865" i="9"/>
  <c r="B865" i="9"/>
  <c r="AU864" i="9"/>
  <c r="AO864" i="9"/>
  <c r="AQ864" i="9"/>
  <c r="AS864" i="9"/>
  <c r="AW864" i="9"/>
  <c r="AY864" i="9"/>
  <c r="BA864" i="9"/>
  <c r="BC864" i="9"/>
  <c r="BE864" i="9"/>
  <c r="AT864" i="9"/>
  <c r="AK864" i="9"/>
  <c r="C864" i="9"/>
  <c r="AD864" i="9"/>
  <c r="B864" i="9"/>
  <c r="AU863" i="9"/>
  <c r="AT863" i="9"/>
  <c r="AN863" i="9"/>
  <c r="AK863" i="9"/>
  <c r="AD863" i="9"/>
  <c r="B863" i="9"/>
  <c r="AU862" i="9"/>
  <c r="AO862" i="9"/>
  <c r="AQ862" i="9"/>
  <c r="AS862" i="9"/>
  <c r="AW862" i="9"/>
  <c r="AY862" i="9"/>
  <c r="BA862" i="9"/>
  <c r="BC862" i="9"/>
  <c r="BE862" i="9"/>
  <c r="AT862" i="9"/>
  <c r="AN862" i="9"/>
  <c r="AK862" i="9"/>
  <c r="AD862" i="9"/>
  <c r="B862" i="9"/>
  <c r="AU861" i="9"/>
  <c r="AO861" i="9"/>
  <c r="AQ861" i="9"/>
  <c r="AS861" i="9"/>
  <c r="AW861" i="9"/>
  <c r="AY861" i="9"/>
  <c r="BA861" i="9"/>
  <c r="BC861" i="9"/>
  <c r="BE861" i="9"/>
  <c r="AT861" i="9"/>
  <c r="AN861" i="9"/>
  <c r="AK861" i="9"/>
  <c r="AD861" i="9"/>
  <c r="B861" i="9"/>
  <c r="AU860" i="9"/>
  <c r="AO860" i="9"/>
  <c r="AQ860" i="9"/>
  <c r="AS860" i="9"/>
  <c r="AW860" i="9"/>
  <c r="AY860" i="9"/>
  <c r="BA860" i="9"/>
  <c r="BC860" i="9"/>
  <c r="BE860" i="9"/>
  <c r="AT860" i="9"/>
  <c r="AN860" i="9"/>
  <c r="AK860" i="9"/>
  <c r="AD860" i="9"/>
  <c r="B860" i="9"/>
  <c r="AU859" i="9"/>
  <c r="AO859" i="9"/>
  <c r="AQ859" i="9"/>
  <c r="AS859" i="9"/>
  <c r="AW859" i="9"/>
  <c r="AY859" i="9"/>
  <c r="BA859" i="9"/>
  <c r="BC859" i="9"/>
  <c r="BE859" i="9"/>
  <c r="AT859" i="9"/>
  <c r="AN859" i="9"/>
  <c r="AP859" i="9"/>
  <c r="AK859" i="9"/>
  <c r="AD859" i="9"/>
  <c r="B859" i="9"/>
  <c r="AU858" i="9"/>
  <c r="AO858" i="9"/>
  <c r="AQ858" i="9"/>
  <c r="AS858" i="9"/>
  <c r="AW858" i="9"/>
  <c r="AY858" i="9"/>
  <c r="BA858" i="9"/>
  <c r="BC858" i="9"/>
  <c r="BE858" i="9"/>
  <c r="AT858" i="9"/>
  <c r="AN858" i="9"/>
  <c r="AK858" i="9"/>
  <c r="AD858" i="9"/>
  <c r="B858" i="9"/>
  <c r="AU857" i="9"/>
  <c r="AO857" i="9"/>
  <c r="AQ857" i="9"/>
  <c r="AS857" i="9"/>
  <c r="AW857" i="9"/>
  <c r="AY857" i="9"/>
  <c r="BA857" i="9"/>
  <c r="BC857" i="9"/>
  <c r="BE857" i="9"/>
  <c r="AT857" i="9"/>
  <c r="AK857" i="9"/>
  <c r="AD857" i="9"/>
  <c r="B857" i="9"/>
  <c r="AU856" i="9"/>
  <c r="AO856" i="9"/>
  <c r="AQ856" i="9"/>
  <c r="AS856" i="9"/>
  <c r="AW856" i="9"/>
  <c r="AY856" i="9"/>
  <c r="BA856" i="9"/>
  <c r="BC856" i="9"/>
  <c r="BE856" i="9"/>
  <c r="AT856" i="9"/>
  <c r="AK856" i="9"/>
  <c r="C856" i="9"/>
  <c r="AD856" i="9"/>
  <c r="B856" i="9"/>
  <c r="AU855" i="9"/>
  <c r="AO855" i="9"/>
  <c r="AQ855" i="9"/>
  <c r="AS855" i="9"/>
  <c r="AW855" i="9"/>
  <c r="AY855" i="9"/>
  <c r="BA855" i="9"/>
  <c r="BC855" i="9"/>
  <c r="BE855" i="9"/>
  <c r="AT855" i="9"/>
  <c r="AN855" i="9"/>
  <c r="AK855" i="9"/>
  <c r="AD855" i="9"/>
  <c r="B855" i="9"/>
  <c r="AU854" i="9"/>
  <c r="AO854" i="9"/>
  <c r="AQ854" i="9"/>
  <c r="AS854" i="9"/>
  <c r="AW854" i="9"/>
  <c r="AY854" i="9"/>
  <c r="BA854" i="9"/>
  <c r="BC854" i="9"/>
  <c r="BE854" i="9"/>
  <c r="AT854" i="9"/>
  <c r="AK854" i="9"/>
  <c r="AD854" i="9"/>
  <c r="B854" i="9"/>
  <c r="AU853" i="9"/>
  <c r="AO853" i="9"/>
  <c r="AQ853" i="9"/>
  <c r="AS853" i="9"/>
  <c r="AW853" i="9"/>
  <c r="AY853" i="9"/>
  <c r="BA853" i="9"/>
  <c r="BC853" i="9"/>
  <c r="BE853" i="9"/>
  <c r="AT853" i="9"/>
  <c r="AN853" i="9"/>
  <c r="AP853" i="9"/>
  <c r="AK853" i="9"/>
  <c r="AD853" i="9"/>
  <c r="B853" i="9"/>
  <c r="AU852" i="9"/>
  <c r="AO852" i="9"/>
  <c r="AQ852" i="9"/>
  <c r="AS852" i="9"/>
  <c r="AW852" i="9"/>
  <c r="AY852" i="9"/>
  <c r="BA852" i="9"/>
  <c r="BC852" i="9"/>
  <c r="BE852" i="9"/>
  <c r="AT852" i="9"/>
  <c r="AK852" i="9"/>
  <c r="AD852" i="9"/>
  <c r="B852" i="9"/>
  <c r="AU851" i="9"/>
  <c r="AO851" i="9"/>
  <c r="AQ851" i="9"/>
  <c r="AS851" i="9"/>
  <c r="AW851" i="9"/>
  <c r="AY851" i="9"/>
  <c r="BA851" i="9"/>
  <c r="BC851" i="9"/>
  <c r="BE851" i="9"/>
  <c r="AT851" i="9"/>
  <c r="AN851" i="9"/>
  <c r="AP851" i="9"/>
  <c r="AR851" i="9"/>
  <c r="AK851" i="9"/>
  <c r="AD851" i="9"/>
  <c r="B851" i="9"/>
  <c r="AU850" i="9"/>
  <c r="AT850" i="9"/>
  <c r="AN850" i="9"/>
  <c r="AK850" i="9"/>
  <c r="AD850" i="9"/>
  <c r="B850" i="9"/>
  <c r="AU849" i="9"/>
  <c r="AO849" i="9"/>
  <c r="AQ849" i="9"/>
  <c r="AS849" i="9"/>
  <c r="AW849" i="9"/>
  <c r="AY849" i="9"/>
  <c r="BA849" i="9"/>
  <c r="BC849" i="9"/>
  <c r="BE849" i="9"/>
  <c r="AT849" i="9"/>
  <c r="AK849" i="9"/>
  <c r="AD849" i="9"/>
  <c r="B849" i="9"/>
  <c r="AU848" i="9"/>
  <c r="AT848" i="9"/>
  <c r="AN848" i="9"/>
  <c r="AK848" i="9"/>
  <c r="AD848" i="9"/>
  <c r="B848" i="9"/>
  <c r="AU847" i="9"/>
  <c r="AO847" i="9"/>
  <c r="AQ847" i="9"/>
  <c r="AS847" i="9"/>
  <c r="AW847" i="9"/>
  <c r="AY847" i="9"/>
  <c r="BA847" i="9"/>
  <c r="BC847" i="9"/>
  <c r="BE847" i="9"/>
  <c r="AT847" i="9"/>
  <c r="AN847" i="9"/>
  <c r="AP847" i="9"/>
  <c r="AR847" i="9"/>
  <c r="AK847" i="9"/>
  <c r="AD847" i="9"/>
  <c r="B847" i="9"/>
  <c r="AU846" i="9"/>
  <c r="AO846" i="9"/>
  <c r="AQ846" i="9"/>
  <c r="AS846" i="9"/>
  <c r="AW846" i="9"/>
  <c r="AY846" i="9"/>
  <c r="BA846" i="9"/>
  <c r="BC846" i="9"/>
  <c r="BE846" i="9"/>
  <c r="AT846" i="9"/>
  <c r="AN846" i="9"/>
  <c r="AK846" i="9"/>
  <c r="AD846" i="9"/>
  <c r="B846" i="9"/>
  <c r="AU845" i="9"/>
  <c r="AO845" i="9"/>
  <c r="AQ845" i="9"/>
  <c r="AS845" i="9"/>
  <c r="AW845" i="9"/>
  <c r="AY845" i="9"/>
  <c r="BA845" i="9"/>
  <c r="BC845" i="9"/>
  <c r="BE845" i="9"/>
  <c r="AT845" i="9"/>
  <c r="AN845" i="9"/>
  <c r="AK845" i="9"/>
  <c r="AD845" i="9"/>
  <c r="B845" i="9"/>
  <c r="AU844" i="9"/>
  <c r="AO844" i="9"/>
  <c r="AQ844" i="9"/>
  <c r="AS844" i="9"/>
  <c r="AW844" i="9"/>
  <c r="AY844" i="9"/>
  <c r="BA844" i="9"/>
  <c r="BC844" i="9"/>
  <c r="BE844" i="9"/>
  <c r="AT844" i="9"/>
  <c r="AN844" i="9"/>
  <c r="AK844" i="9"/>
  <c r="C844" i="9"/>
  <c r="AD844" i="9"/>
  <c r="B844" i="9"/>
  <c r="AU843" i="9"/>
  <c r="AO843" i="9"/>
  <c r="AQ843" i="9"/>
  <c r="AS843" i="9"/>
  <c r="AW843" i="9"/>
  <c r="AY843" i="9"/>
  <c r="BA843" i="9"/>
  <c r="BC843" i="9"/>
  <c r="BE843" i="9"/>
  <c r="AT843" i="9"/>
  <c r="AN843" i="9"/>
  <c r="AP843" i="9"/>
  <c r="AR843" i="9"/>
  <c r="AV843" i="9"/>
  <c r="AX843" i="9"/>
  <c r="AK843" i="9"/>
  <c r="AD843" i="9"/>
  <c r="B843" i="9"/>
  <c r="AU842" i="9"/>
  <c r="AO842" i="9"/>
  <c r="AQ842" i="9"/>
  <c r="AS842" i="9"/>
  <c r="AW842" i="9"/>
  <c r="AY842" i="9"/>
  <c r="BA842" i="9"/>
  <c r="BC842" i="9"/>
  <c r="BE842" i="9"/>
  <c r="AT842" i="9"/>
  <c r="AN842" i="9"/>
  <c r="AP842" i="9"/>
  <c r="AK842" i="9"/>
  <c r="AD842" i="9"/>
  <c r="B842" i="9"/>
  <c r="AU841" i="9"/>
  <c r="AT841" i="9"/>
  <c r="AN841" i="9"/>
  <c r="AP841" i="9"/>
  <c r="AK841" i="9"/>
  <c r="AD841" i="9"/>
  <c r="B841" i="9"/>
  <c r="AU840" i="9"/>
  <c r="AO840" i="9"/>
  <c r="AQ840" i="9"/>
  <c r="AS840" i="9"/>
  <c r="AW840" i="9"/>
  <c r="AY840" i="9"/>
  <c r="BA840" i="9"/>
  <c r="BC840" i="9"/>
  <c r="BE840" i="9"/>
  <c r="AT840" i="9"/>
  <c r="AN840" i="9"/>
  <c r="AP840" i="9"/>
  <c r="AR840" i="9"/>
  <c r="AK840" i="9"/>
  <c r="C840" i="9"/>
  <c r="AD840" i="9"/>
  <c r="B840" i="9"/>
  <c r="AU839" i="9"/>
  <c r="AO839" i="9"/>
  <c r="AQ839" i="9"/>
  <c r="AS839" i="9"/>
  <c r="AW839" i="9"/>
  <c r="AY839" i="9"/>
  <c r="BA839" i="9"/>
  <c r="BC839" i="9"/>
  <c r="BE839" i="9"/>
  <c r="AT839" i="9"/>
  <c r="AN839" i="9"/>
  <c r="AK839" i="9"/>
  <c r="AD839" i="9"/>
  <c r="B839" i="9"/>
  <c r="AU838" i="9"/>
  <c r="AO838" i="9"/>
  <c r="AQ838" i="9"/>
  <c r="AS838" i="9"/>
  <c r="AW838" i="9"/>
  <c r="AY838" i="9"/>
  <c r="BA838" i="9"/>
  <c r="BC838" i="9"/>
  <c r="BE838" i="9"/>
  <c r="AT838" i="9"/>
  <c r="AN838" i="9"/>
  <c r="AP838" i="9"/>
  <c r="AK838" i="9"/>
  <c r="AD838" i="9"/>
  <c r="B838" i="9"/>
  <c r="AU837" i="9"/>
  <c r="AO837" i="9"/>
  <c r="AQ837" i="9"/>
  <c r="AS837" i="9"/>
  <c r="AW837" i="9"/>
  <c r="AY837" i="9"/>
  <c r="BA837" i="9"/>
  <c r="BC837" i="9"/>
  <c r="BE837" i="9"/>
  <c r="AT837" i="9"/>
  <c r="AK837" i="9"/>
  <c r="AD837" i="9"/>
  <c r="B837" i="9"/>
  <c r="AU836" i="9"/>
  <c r="AO836" i="9"/>
  <c r="AQ836" i="9"/>
  <c r="AS836" i="9"/>
  <c r="AW836" i="9"/>
  <c r="AY836" i="9"/>
  <c r="BA836" i="9"/>
  <c r="BC836" i="9"/>
  <c r="BE836" i="9"/>
  <c r="AT836" i="9"/>
  <c r="AN836" i="9"/>
  <c r="AK836" i="9"/>
  <c r="AD836" i="9"/>
  <c r="B836" i="9"/>
  <c r="AU835" i="9"/>
  <c r="AO835" i="9"/>
  <c r="AQ835" i="9"/>
  <c r="AS835" i="9"/>
  <c r="AW835" i="9"/>
  <c r="AY835" i="9"/>
  <c r="BA835" i="9"/>
  <c r="BC835" i="9"/>
  <c r="BE835" i="9"/>
  <c r="AT835" i="9"/>
  <c r="AK835" i="9"/>
  <c r="AD835" i="9"/>
  <c r="B835" i="9"/>
  <c r="AU834" i="9"/>
  <c r="AO834" i="9"/>
  <c r="AQ834" i="9"/>
  <c r="AS834" i="9"/>
  <c r="AW834" i="9"/>
  <c r="AY834" i="9"/>
  <c r="BA834" i="9"/>
  <c r="BC834" i="9"/>
  <c r="BE834" i="9"/>
  <c r="AT834" i="9"/>
  <c r="AN834" i="9"/>
  <c r="AK834" i="9"/>
  <c r="AD834" i="9"/>
  <c r="B834" i="9"/>
  <c r="AU833" i="9"/>
  <c r="AO833" i="9"/>
  <c r="AQ833" i="9"/>
  <c r="AS833" i="9"/>
  <c r="AW833" i="9"/>
  <c r="AY833" i="9"/>
  <c r="BA833" i="9"/>
  <c r="BC833" i="9"/>
  <c r="BE833" i="9"/>
  <c r="AT833" i="9"/>
  <c r="AK833" i="9"/>
  <c r="AD833" i="9"/>
  <c r="B833" i="9"/>
  <c r="AU832" i="9"/>
  <c r="AT832" i="9"/>
  <c r="AN832" i="9"/>
  <c r="AP832" i="9"/>
  <c r="AR832" i="9"/>
  <c r="AK832" i="9"/>
  <c r="AD832" i="9"/>
  <c r="B832" i="9"/>
  <c r="AU831" i="9"/>
  <c r="AO831" i="9"/>
  <c r="AQ831" i="9"/>
  <c r="AS831" i="9"/>
  <c r="AW831" i="9"/>
  <c r="AY831" i="9"/>
  <c r="BA831" i="9"/>
  <c r="BC831" i="9"/>
  <c r="BE831" i="9"/>
  <c r="AT831" i="9"/>
  <c r="AK831" i="9"/>
  <c r="C831" i="9"/>
  <c r="AD831" i="9"/>
  <c r="B831" i="9"/>
  <c r="AU830" i="9"/>
  <c r="AO830" i="9"/>
  <c r="AQ830" i="9"/>
  <c r="AS830" i="9"/>
  <c r="AW830" i="9"/>
  <c r="AY830" i="9"/>
  <c r="BA830" i="9"/>
  <c r="BC830" i="9"/>
  <c r="BE830" i="9"/>
  <c r="AT830" i="9"/>
  <c r="AK830" i="9"/>
  <c r="AD830" i="9"/>
  <c r="B830" i="9"/>
  <c r="AU829" i="9"/>
  <c r="AO829" i="9"/>
  <c r="AQ829" i="9"/>
  <c r="AS829" i="9"/>
  <c r="AW829" i="9"/>
  <c r="AY829" i="9"/>
  <c r="BA829" i="9"/>
  <c r="BC829" i="9"/>
  <c r="BE829" i="9"/>
  <c r="AT829" i="9"/>
  <c r="AN829" i="9"/>
  <c r="AK829" i="9"/>
  <c r="C829" i="9"/>
  <c r="AD829" i="9"/>
  <c r="B829" i="9"/>
  <c r="AU828" i="9"/>
  <c r="AT828" i="9"/>
  <c r="AN828" i="9"/>
  <c r="AK828" i="9"/>
  <c r="AD828" i="9"/>
  <c r="B828" i="9"/>
  <c r="AU827" i="9"/>
  <c r="AO827" i="9"/>
  <c r="AQ827" i="9"/>
  <c r="AS827" i="9"/>
  <c r="AW827" i="9"/>
  <c r="AY827" i="9"/>
  <c r="BA827" i="9"/>
  <c r="BC827" i="9"/>
  <c r="BE827" i="9"/>
  <c r="AT827" i="9"/>
  <c r="AK827" i="9"/>
  <c r="AD827" i="9"/>
  <c r="B827" i="9"/>
  <c r="AU826" i="9"/>
  <c r="AT826" i="9"/>
  <c r="AN826" i="9"/>
  <c r="AK826" i="9"/>
  <c r="AD826" i="9"/>
  <c r="B826" i="9"/>
  <c r="AU825" i="9"/>
  <c r="AO825" i="9"/>
  <c r="AQ825" i="9"/>
  <c r="AS825" i="9"/>
  <c r="AW825" i="9"/>
  <c r="AY825" i="9"/>
  <c r="BA825" i="9"/>
  <c r="BC825" i="9"/>
  <c r="BE825" i="9"/>
  <c r="AT825" i="9"/>
  <c r="AN825" i="9"/>
  <c r="AK825" i="9"/>
  <c r="AD825" i="9"/>
  <c r="B825" i="9"/>
  <c r="AU824" i="9"/>
  <c r="AT824" i="9"/>
  <c r="AN824" i="9"/>
  <c r="AK824" i="9"/>
  <c r="AD824" i="9"/>
  <c r="B824" i="9"/>
  <c r="AU823" i="9"/>
  <c r="AO823" i="9"/>
  <c r="AQ823" i="9"/>
  <c r="AS823" i="9"/>
  <c r="AW823" i="9"/>
  <c r="AY823" i="9"/>
  <c r="BA823" i="9"/>
  <c r="BC823" i="9"/>
  <c r="BE823" i="9"/>
  <c r="AT823" i="9"/>
  <c r="AN823" i="9"/>
  <c r="AK823" i="9"/>
  <c r="AD823" i="9"/>
  <c r="B823" i="9"/>
  <c r="AU822" i="9"/>
  <c r="AO822" i="9"/>
  <c r="AQ822" i="9"/>
  <c r="AS822" i="9"/>
  <c r="AW822" i="9"/>
  <c r="AY822" i="9"/>
  <c r="BA822" i="9"/>
  <c r="BC822" i="9"/>
  <c r="BE822" i="9"/>
  <c r="AT822" i="9"/>
  <c r="AN822" i="9"/>
  <c r="AK822" i="9"/>
  <c r="AD822" i="9"/>
  <c r="B822" i="9"/>
  <c r="AU821" i="9"/>
  <c r="AO821" i="9"/>
  <c r="AQ821" i="9"/>
  <c r="AS821" i="9"/>
  <c r="AW821" i="9"/>
  <c r="AY821" i="9"/>
  <c r="BA821" i="9"/>
  <c r="BC821" i="9"/>
  <c r="BE821" i="9"/>
  <c r="AT821" i="9"/>
  <c r="AN821" i="9"/>
  <c r="AK821" i="9"/>
  <c r="AD821" i="9"/>
  <c r="B821" i="9"/>
  <c r="AU820" i="9"/>
  <c r="AO820" i="9"/>
  <c r="AQ820" i="9"/>
  <c r="AS820" i="9"/>
  <c r="AW820" i="9"/>
  <c r="AY820" i="9"/>
  <c r="BA820" i="9"/>
  <c r="BC820" i="9"/>
  <c r="BE820" i="9"/>
  <c r="AT820" i="9"/>
  <c r="AN820" i="9"/>
  <c r="AK820" i="9"/>
  <c r="AD820" i="9"/>
  <c r="B820" i="9"/>
  <c r="AU819" i="9"/>
  <c r="AO819" i="9"/>
  <c r="AQ819" i="9"/>
  <c r="AS819" i="9"/>
  <c r="AW819" i="9"/>
  <c r="AY819" i="9"/>
  <c r="BA819" i="9"/>
  <c r="BC819" i="9"/>
  <c r="BE819" i="9"/>
  <c r="AT819" i="9"/>
  <c r="AN819" i="9"/>
  <c r="AK819" i="9"/>
  <c r="AD819" i="9"/>
  <c r="B819" i="9"/>
  <c r="AU818" i="9"/>
  <c r="AO818" i="9"/>
  <c r="AQ818" i="9"/>
  <c r="AS818" i="9"/>
  <c r="AW818" i="9"/>
  <c r="AY818" i="9"/>
  <c r="BA818" i="9"/>
  <c r="BC818" i="9"/>
  <c r="BE818" i="9"/>
  <c r="AT818" i="9"/>
  <c r="AK818" i="9"/>
  <c r="AD818" i="9"/>
  <c r="B818" i="9"/>
  <c r="AU817" i="9"/>
  <c r="AO817" i="9"/>
  <c r="AQ817" i="9"/>
  <c r="AS817" i="9"/>
  <c r="AW817" i="9"/>
  <c r="AY817" i="9"/>
  <c r="BA817" i="9"/>
  <c r="BC817" i="9"/>
  <c r="BE817" i="9"/>
  <c r="AT817" i="9"/>
  <c r="AN817" i="9"/>
  <c r="AK817" i="9"/>
  <c r="AD817" i="9"/>
  <c r="B817" i="9"/>
  <c r="AU816" i="9"/>
  <c r="AO816" i="9"/>
  <c r="AQ816" i="9"/>
  <c r="AS816" i="9"/>
  <c r="AW816" i="9"/>
  <c r="AY816" i="9"/>
  <c r="BA816" i="9"/>
  <c r="BC816" i="9"/>
  <c r="BE816" i="9"/>
  <c r="AT816" i="9"/>
  <c r="AN816" i="9"/>
  <c r="AK816" i="9"/>
  <c r="AD816" i="9"/>
  <c r="B816" i="9"/>
  <c r="AU815" i="9"/>
  <c r="AO815" i="9"/>
  <c r="AQ815" i="9"/>
  <c r="AS815" i="9"/>
  <c r="AW815" i="9"/>
  <c r="AY815" i="9"/>
  <c r="BA815" i="9"/>
  <c r="BC815" i="9"/>
  <c r="BE815" i="9"/>
  <c r="AT815" i="9"/>
  <c r="AK815" i="9"/>
  <c r="AD815" i="9"/>
  <c r="B815" i="9"/>
  <c r="AU814" i="9"/>
  <c r="AO814" i="9"/>
  <c r="AT814" i="9"/>
  <c r="AK814" i="9"/>
  <c r="AD814" i="9"/>
  <c r="B814" i="9"/>
  <c r="AU813" i="9"/>
  <c r="AO813" i="9"/>
  <c r="AQ813" i="9"/>
  <c r="AS813" i="9"/>
  <c r="AW813" i="9"/>
  <c r="AY813" i="9"/>
  <c r="BA813" i="9"/>
  <c r="BC813" i="9"/>
  <c r="BE813" i="9"/>
  <c r="AT813" i="9"/>
  <c r="AN813" i="9"/>
  <c r="AK813" i="9"/>
  <c r="AD813" i="9"/>
  <c r="B813" i="9"/>
  <c r="AU812" i="9"/>
  <c r="AO812" i="9"/>
  <c r="AQ812" i="9"/>
  <c r="AS812" i="9"/>
  <c r="AW812" i="9"/>
  <c r="AY812" i="9"/>
  <c r="BA812" i="9"/>
  <c r="BC812" i="9"/>
  <c r="BE812" i="9"/>
  <c r="AT812" i="9"/>
  <c r="AK812" i="9"/>
  <c r="AD812" i="9"/>
  <c r="B812" i="9"/>
  <c r="AU811" i="9"/>
  <c r="AO811" i="9"/>
  <c r="AQ811" i="9"/>
  <c r="AS811" i="9"/>
  <c r="AW811" i="9"/>
  <c r="AY811" i="9"/>
  <c r="BA811" i="9"/>
  <c r="BC811" i="9"/>
  <c r="BE811" i="9"/>
  <c r="AT811" i="9"/>
  <c r="AK811" i="9"/>
  <c r="AD811" i="9"/>
  <c r="B811" i="9"/>
  <c r="AU810" i="9"/>
  <c r="AT810" i="9"/>
  <c r="AN810" i="9"/>
  <c r="AP810" i="9"/>
  <c r="AO810" i="9"/>
  <c r="AQ810" i="9"/>
  <c r="AS810" i="9"/>
  <c r="AW810" i="9"/>
  <c r="AY810" i="9"/>
  <c r="BA810" i="9"/>
  <c r="BC810" i="9"/>
  <c r="BE810" i="9"/>
  <c r="AK810" i="9"/>
  <c r="AD810" i="9"/>
  <c r="B810" i="9"/>
  <c r="AU809" i="9"/>
  <c r="AT809" i="9"/>
  <c r="AN809" i="9"/>
  <c r="AK809" i="9"/>
  <c r="AD809" i="9"/>
  <c r="B809" i="9"/>
  <c r="AU808" i="9"/>
  <c r="AO808" i="9"/>
  <c r="AQ808" i="9"/>
  <c r="AS808" i="9"/>
  <c r="AW808" i="9"/>
  <c r="AY808" i="9"/>
  <c r="BA808" i="9"/>
  <c r="BC808" i="9"/>
  <c r="BE808" i="9"/>
  <c r="AT808" i="9"/>
  <c r="AN808" i="9"/>
  <c r="AK808" i="9"/>
  <c r="AD808" i="9"/>
  <c r="B808" i="9"/>
  <c r="C808" i="9"/>
  <c r="AU807" i="9"/>
  <c r="AO807" i="9"/>
  <c r="AQ807" i="9"/>
  <c r="AS807" i="9"/>
  <c r="AW807" i="9"/>
  <c r="AY807" i="9"/>
  <c r="BA807" i="9"/>
  <c r="BC807" i="9"/>
  <c r="BE807" i="9"/>
  <c r="AT807" i="9"/>
  <c r="AK807" i="9"/>
  <c r="AD807" i="9"/>
  <c r="B807" i="9"/>
  <c r="AU806" i="9"/>
  <c r="AO806" i="9"/>
  <c r="AQ806" i="9"/>
  <c r="AS806" i="9"/>
  <c r="AW806" i="9"/>
  <c r="AY806" i="9"/>
  <c r="BA806" i="9"/>
  <c r="BC806" i="9"/>
  <c r="BE806" i="9"/>
  <c r="AT806" i="9"/>
  <c r="AK806" i="9"/>
  <c r="AD806" i="9"/>
  <c r="B806" i="9"/>
  <c r="AU805" i="9"/>
  <c r="AO805" i="9"/>
  <c r="AQ805" i="9"/>
  <c r="AS805" i="9"/>
  <c r="AW805" i="9"/>
  <c r="AY805" i="9"/>
  <c r="BA805" i="9"/>
  <c r="BC805" i="9"/>
  <c r="BE805" i="9"/>
  <c r="AT805" i="9"/>
  <c r="AN805" i="9"/>
  <c r="AK805" i="9"/>
  <c r="AD805" i="9"/>
  <c r="B805" i="9"/>
  <c r="AU804" i="9"/>
  <c r="AO804" i="9"/>
  <c r="AQ804" i="9"/>
  <c r="AS804" i="9"/>
  <c r="AW804" i="9"/>
  <c r="AY804" i="9"/>
  <c r="BA804" i="9"/>
  <c r="BC804" i="9"/>
  <c r="BE804" i="9"/>
  <c r="AT804" i="9"/>
  <c r="AN804" i="9"/>
  <c r="AK804" i="9"/>
  <c r="AD804" i="9"/>
  <c r="B804" i="9"/>
  <c r="AU803" i="9"/>
  <c r="AT803" i="9"/>
  <c r="AN803" i="9"/>
  <c r="AP803" i="9"/>
  <c r="AK803" i="9"/>
  <c r="AD803" i="9"/>
  <c r="B803" i="9"/>
  <c r="C803" i="9"/>
  <c r="AU802" i="9"/>
  <c r="AO802" i="9"/>
  <c r="AQ802" i="9"/>
  <c r="AS802" i="9"/>
  <c r="AW802" i="9"/>
  <c r="AY802" i="9"/>
  <c r="BA802" i="9"/>
  <c r="BC802" i="9"/>
  <c r="BE802" i="9"/>
  <c r="AT802" i="9"/>
  <c r="AK802" i="9"/>
  <c r="AD802" i="9"/>
  <c r="B802" i="9"/>
  <c r="AU801" i="9"/>
  <c r="AO801" i="9"/>
  <c r="AQ801" i="9"/>
  <c r="AS801" i="9"/>
  <c r="AW801" i="9"/>
  <c r="AY801" i="9"/>
  <c r="BA801" i="9"/>
  <c r="BC801" i="9"/>
  <c r="BE801" i="9"/>
  <c r="AT801" i="9"/>
  <c r="AN801" i="9"/>
  <c r="AK801" i="9"/>
  <c r="C801" i="9"/>
  <c r="AD801" i="9"/>
  <c r="B801" i="9"/>
  <c r="AU800" i="9"/>
  <c r="AO800" i="9"/>
  <c r="AQ800" i="9"/>
  <c r="AS800" i="9"/>
  <c r="AW800" i="9"/>
  <c r="AY800" i="9"/>
  <c r="BA800" i="9"/>
  <c r="BC800" i="9"/>
  <c r="BE800" i="9"/>
  <c r="AT800" i="9"/>
  <c r="AK800" i="9"/>
  <c r="AD800" i="9"/>
  <c r="B800" i="9"/>
  <c r="C800" i="9"/>
  <c r="AU799" i="9"/>
  <c r="AO799" i="9"/>
  <c r="AQ799" i="9"/>
  <c r="AS799" i="9"/>
  <c r="AW799" i="9"/>
  <c r="AY799" i="9"/>
  <c r="BA799" i="9"/>
  <c r="BC799" i="9"/>
  <c r="BE799" i="9"/>
  <c r="AT799" i="9"/>
  <c r="AK799" i="9"/>
  <c r="AD799" i="9"/>
  <c r="B799" i="9"/>
  <c r="AU798" i="9"/>
  <c r="AO798" i="9"/>
  <c r="AQ798" i="9"/>
  <c r="AS798" i="9"/>
  <c r="AW798" i="9"/>
  <c r="AY798" i="9"/>
  <c r="BA798" i="9"/>
  <c r="BC798" i="9"/>
  <c r="BE798" i="9"/>
  <c r="AT798" i="9"/>
  <c r="AN798" i="9"/>
  <c r="AK798" i="9"/>
  <c r="AD798" i="9"/>
  <c r="B798" i="9"/>
  <c r="AU797" i="9"/>
  <c r="AT797" i="9"/>
  <c r="AN797" i="9"/>
  <c r="AP797" i="9"/>
  <c r="AK797" i="9"/>
  <c r="AD797" i="9"/>
  <c r="B797" i="9"/>
  <c r="AU796" i="9"/>
  <c r="AO796" i="9"/>
  <c r="AQ796" i="9"/>
  <c r="AS796" i="9"/>
  <c r="AW796" i="9"/>
  <c r="AY796" i="9"/>
  <c r="BA796" i="9"/>
  <c r="BC796" i="9"/>
  <c r="BE796" i="9"/>
  <c r="AT796" i="9"/>
  <c r="AN796" i="9"/>
  <c r="AK796" i="9"/>
  <c r="AD796" i="9"/>
  <c r="B796" i="9"/>
  <c r="AU795" i="9"/>
  <c r="AO795" i="9"/>
  <c r="AQ795" i="9"/>
  <c r="AS795" i="9"/>
  <c r="AW795" i="9"/>
  <c r="AY795" i="9"/>
  <c r="BA795" i="9"/>
  <c r="BC795" i="9"/>
  <c r="BE795" i="9"/>
  <c r="AT795" i="9"/>
  <c r="AN795" i="9"/>
  <c r="AP795" i="9"/>
  <c r="AK795" i="9"/>
  <c r="AD795" i="9"/>
  <c r="B795" i="9"/>
  <c r="AU794" i="9"/>
  <c r="AO794" i="9"/>
  <c r="AQ794" i="9"/>
  <c r="AS794" i="9"/>
  <c r="AW794" i="9"/>
  <c r="AY794" i="9"/>
  <c r="BA794" i="9"/>
  <c r="BC794" i="9"/>
  <c r="BE794" i="9"/>
  <c r="AT794" i="9"/>
  <c r="AN794" i="9"/>
  <c r="AP794" i="9"/>
  <c r="AR794" i="9"/>
  <c r="AK794" i="9"/>
  <c r="AD794" i="9"/>
  <c r="B794" i="9"/>
  <c r="AU793" i="9"/>
  <c r="AO793" i="9"/>
  <c r="AQ793" i="9"/>
  <c r="AS793" i="9"/>
  <c r="AW793" i="9"/>
  <c r="AY793" i="9"/>
  <c r="BA793" i="9"/>
  <c r="BC793" i="9"/>
  <c r="BE793" i="9"/>
  <c r="AT793" i="9"/>
  <c r="AN793" i="9"/>
  <c r="AK793" i="9"/>
  <c r="AD793" i="9"/>
  <c r="B793" i="9"/>
  <c r="AU792" i="9"/>
  <c r="AT792" i="9"/>
  <c r="AN792" i="9"/>
  <c r="AP792" i="9"/>
  <c r="AK792" i="9"/>
  <c r="AD792" i="9"/>
  <c r="B792" i="9"/>
  <c r="AU791" i="9"/>
  <c r="AO791" i="9"/>
  <c r="AQ791" i="9"/>
  <c r="AS791" i="9"/>
  <c r="AW791" i="9"/>
  <c r="AY791" i="9"/>
  <c r="BA791" i="9"/>
  <c r="BC791" i="9"/>
  <c r="BE791" i="9"/>
  <c r="AT791" i="9"/>
  <c r="AN791" i="9"/>
  <c r="AK791" i="9"/>
  <c r="AD791" i="9"/>
  <c r="B791" i="9"/>
  <c r="AU790" i="9"/>
  <c r="AO790" i="9"/>
  <c r="AQ790" i="9"/>
  <c r="AS790" i="9"/>
  <c r="AW790" i="9"/>
  <c r="AY790" i="9"/>
  <c r="BA790" i="9"/>
  <c r="BC790" i="9"/>
  <c r="BE790" i="9"/>
  <c r="AT790" i="9"/>
  <c r="AN790" i="9"/>
  <c r="AP790" i="9"/>
  <c r="AR790" i="9"/>
  <c r="AK790" i="9"/>
  <c r="AD790" i="9"/>
  <c r="B790" i="9"/>
  <c r="AU789" i="9"/>
  <c r="AT789" i="9"/>
  <c r="AN789" i="9"/>
  <c r="AP789" i="9"/>
  <c r="AK789" i="9"/>
  <c r="AD789" i="9"/>
  <c r="B789" i="9"/>
  <c r="AU788" i="9"/>
  <c r="AT788" i="9"/>
  <c r="AN788" i="9"/>
  <c r="AP788" i="9"/>
  <c r="AR788" i="9"/>
  <c r="AK788" i="9"/>
  <c r="AD788" i="9"/>
  <c r="B788" i="9"/>
  <c r="AU787" i="9"/>
  <c r="AO787" i="9"/>
  <c r="AQ787" i="9"/>
  <c r="AS787" i="9"/>
  <c r="AW787" i="9"/>
  <c r="AY787" i="9"/>
  <c r="BA787" i="9"/>
  <c r="BC787" i="9"/>
  <c r="BE787" i="9"/>
  <c r="AT787" i="9"/>
  <c r="AN787" i="9"/>
  <c r="AK787" i="9"/>
  <c r="AD787" i="9"/>
  <c r="B787" i="9"/>
  <c r="AU786" i="9"/>
  <c r="AO786" i="9"/>
  <c r="AQ786" i="9"/>
  <c r="AS786" i="9"/>
  <c r="AW786" i="9"/>
  <c r="AY786" i="9"/>
  <c r="BA786" i="9"/>
  <c r="BC786" i="9"/>
  <c r="BE786" i="9"/>
  <c r="AT786" i="9"/>
  <c r="AN786" i="9"/>
  <c r="AK786" i="9"/>
  <c r="AD786" i="9"/>
  <c r="B786" i="9"/>
  <c r="AU785" i="9"/>
  <c r="AO785" i="9"/>
  <c r="AQ785" i="9"/>
  <c r="AS785" i="9"/>
  <c r="AW785" i="9"/>
  <c r="AY785" i="9"/>
  <c r="BA785" i="9"/>
  <c r="BC785" i="9"/>
  <c r="BE785" i="9"/>
  <c r="AT785" i="9"/>
  <c r="E785" i="9"/>
  <c r="AK785" i="9"/>
  <c r="C785" i="9"/>
  <c r="AD785" i="9"/>
  <c r="B785" i="9"/>
  <c r="AU784" i="9"/>
  <c r="AO784" i="9"/>
  <c r="AQ784" i="9"/>
  <c r="AS784" i="9"/>
  <c r="AW784" i="9"/>
  <c r="AY784" i="9"/>
  <c r="BA784" i="9"/>
  <c r="BC784" i="9"/>
  <c r="BE784" i="9"/>
  <c r="AT784" i="9"/>
  <c r="AN784" i="9"/>
  <c r="AK784" i="9"/>
  <c r="AD784" i="9"/>
  <c r="B784" i="9"/>
  <c r="AU783" i="9"/>
  <c r="AO783" i="9"/>
  <c r="AQ783" i="9"/>
  <c r="AT783" i="9"/>
  <c r="AN783" i="9"/>
  <c r="AK783" i="9"/>
  <c r="AD783" i="9"/>
  <c r="B783" i="9"/>
  <c r="AU782" i="9"/>
  <c r="AT782" i="9"/>
  <c r="AN782" i="9"/>
  <c r="AK782" i="9"/>
  <c r="AD782" i="9"/>
  <c r="B782" i="9"/>
  <c r="AU781" i="9"/>
  <c r="AO781" i="9"/>
  <c r="AQ781" i="9"/>
  <c r="AS781" i="9"/>
  <c r="AW781" i="9"/>
  <c r="AY781" i="9"/>
  <c r="BA781" i="9"/>
  <c r="BC781" i="9"/>
  <c r="BE781" i="9"/>
  <c r="AT781" i="9"/>
  <c r="AN781" i="9"/>
  <c r="AK781" i="9"/>
  <c r="AD781" i="9"/>
  <c r="B781" i="9"/>
  <c r="AU780" i="9"/>
  <c r="AO780" i="9"/>
  <c r="AT780" i="9"/>
  <c r="AN780" i="9"/>
  <c r="AP780" i="9"/>
  <c r="AR780" i="9"/>
  <c r="AK780" i="9"/>
  <c r="AD780" i="9"/>
  <c r="B780" i="9"/>
  <c r="AU779" i="9"/>
  <c r="AT779" i="9"/>
  <c r="AN779" i="9"/>
  <c r="AP779" i="9"/>
  <c r="AK779" i="9"/>
  <c r="AD779" i="9"/>
  <c r="B779" i="9"/>
  <c r="AU778" i="9"/>
  <c r="AT778" i="9"/>
  <c r="AN778" i="9"/>
  <c r="AP778" i="9"/>
  <c r="AK778" i="9"/>
  <c r="AD778" i="9"/>
  <c r="B778" i="9"/>
  <c r="AU777" i="9"/>
  <c r="AO777" i="9"/>
  <c r="AQ777" i="9"/>
  <c r="AS777" i="9"/>
  <c r="AW777" i="9"/>
  <c r="AY777" i="9"/>
  <c r="BA777" i="9"/>
  <c r="BC777" i="9"/>
  <c r="BE777" i="9"/>
  <c r="AT777" i="9"/>
  <c r="AN777" i="9"/>
  <c r="AP777" i="9"/>
  <c r="AR777" i="9"/>
  <c r="AK777" i="9"/>
  <c r="AD777" i="9"/>
  <c r="B777" i="9"/>
  <c r="AU776" i="9"/>
  <c r="AT776" i="9"/>
  <c r="AN776" i="9"/>
  <c r="AP776" i="9"/>
  <c r="AK776" i="9"/>
  <c r="AD776" i="9"/>
  <c r="B776" i="9"/>
  <c r="AU775" i="9"/>
  <c r="AT775" i="9"/>
  <c r="AN775" i="9"/>
  <c r="AP775" i="9"/>
  <c r="AK775" i="9"/>
  <c r="AD775" i="9"/>
  <c r="B775" i="9"/>
  <c r="AU774" i="9"/>
  <c r="AO774" i="9"/>
  <c r="AQ774" i="9"/>
  <c r="AT774" i="9"/>
  <c r="AN774" i="9"/>
  <c r="AS774" i="9"/>
  <c r="AW774" i="9"/>
  <c r="AY774" i="9"/>
  <c r="BA774" i="9"/>
  <c r="BC774" i="9"/>
  <c r="BE774" i="9"/>
  <c r="AK774" i="9"/>
  <c r="AD774" i="9"/>
  <c r="B774" i="9"/>
  <c r="AU773" i="9"/>
  <c r="AO773" i="9"/>
  <c r="AQ773" i="9"/>
  <c r="AS773" i="9"/>
  <c r="AW773" i="9"/>
  <c r="AY773" i="9"/>
  <c r="BA773" i="9"/>
  <c r="BC773" i="9"/>
  <c r="BE773" i="9"/>
  <c r="AT773" i="9"/>
  <c r="E773" i="9"/>
  <c r="AN773" i="9"/>
  <c r="H773" i="9"/>
  <c r="AK773" i="9"/>
  <c r="AD773" i="9"/>
  <c r="B773" i="9"/>
  <c r="AU772" i="9"/>
  <c r="AO772" i="9"/>
  <c r="AQ772" i="9"/>
  <c r="AS772" i="9"/>
  <c r="AW772" i="9"/>
  <c r="AY772" i="9"/>
  <c r="BA772" i="9"/>
  <c r="BC772" i="9"/>
  <c r="BE772" i="9"/>
  <c r="AT772" i="9"/>
  <c r="AN772" i="9"/>
  <c r="AP772" i="9"/>
  <c r="AK772" i="9"/>
  <c r="AD772" i="9"/>
  <c r="B772" i="9"/>
  <c r="AU771" i="9"/>
  <c r="AO771" i="9"/>
  <c r="AQ771" i="9"/>
  <c r="AS771" i="9"/>
  <c r="AW771" i="9"/>
  <c r="AY771" i="9"/>
  <c r="BA771" i="9"/>
  <c r="BC771" i="9"/>
  <c r="BE771" i="9"/>
  <c r="AT771" i="9"/>
  <c r="AK771" i="9"/>
  <c r="AD771" i="9"/>
  <c r="B771" i="9"/>
  <c r="AU770" i="9"/>
  <c r="AO770" i="9"/>
  <c r="AQ770" i="9"/>
  <c r="AS770" i="9"/>
  <c r="AW770" i="9"/>
  <c r="AY770" i="9"/>
  <c r="BA770" i="9"/>
  <c r="BC770" i="9"/>
  <c r="BE770" i="9"/>
  <c r="AT770" i="9"/>
  <c r="AK770" i="9"/>
  <c r="AD770" i="9"/>
  <c r="B770" i="9"/>
  <c r="AU769" i="9"/>
  <c r="AO769" i="9"/>
  <c r="AQ769" i="9"/>
  <c r="AS769" i="9"/>
  <c r="AW769" i="9"/>
  <c r="AY769" i="9"/>
  <c r="BA769" i="9"/>
  <c r="BC769" i="9"/>
  <c r="BE769" i="9"/>
  <c r="AT769" i="9"/>
  <c r="AK769" i="9"/>
  <c r="AD769" i="9"/>
  <c r="B769" i="9"/>
  <c r="AU768" i="9"/>
  <c r="AO768" i="9"/>
  <c r="AQ768" i="9"/>
  <c r="AS768" i="9"/>
  <c r="AW768" i="9"/>
  <c r="AY768" i="9"/>
  <c r="BA768" i="9"/>
  <c r="BC768" i="9"/>
  <c r="BE768" i="9"/>
  <c r="AT768" i="9"/>
  <c r="AK768" i="9"/>
  <c r="AD768" i="9"/>
  <c r="B768" i="9"/>
  <c r="AU767" i="9"/>
  <c r="AT767" i="9"/>
  <c r="AN767" i="9"/>
  <c r="AP767" i="9"/>
  <c r="AK767" i="9"/>
  <c r="AD767" i="9"/>
  <c r="B767" i="9"/>
  <c r="AU766" i="9"/>
  <c r="AO766" i="9"/>
  <c r="AQ766" i="9"/>
  <c r="AS766" i="9"/>
  <c r="AW766" i="9"/>
  <c r="AY766" i="9"/>
  <c r="BA766" i="9"/>
  <c r="BC766" i="9"/>
  <c r="BE766" i="9"/>
  <c r="AT766" i="9"/>
  <c r="AN766" i="9"/>
  <c r="AK766" i="9"/>
  <c r="AD766" i="9"/>
  <c r="B766" i="9"/>
  <c r="AU765" i="9"/>
  <c r="AO765" i="9"/>
  <c r="AQ765" i="9"/>
  <c r="AS765" i="9"/>
  <c r="AW765" i="9"/>
  <c r="AY765" i="9"/>
  <c r="BA765" i="9"/>
  <c r="BC765" i="9"/>
  <c r="BE765" i="9"/>
  <c r="AT765" i="9"/>
  <c r="AN765" i="9"/>
  <c r="AP765" i="9"/>
  <c r="AR765" i="9"/>
  <c r="AK765" i="9"/>
  <c r="AD765" i="9"/>
  <c r="B765" i="9"/>
  <c r="AU764" i="9"/>
  <c r="AO764" i="9"/>
  <c r="AQ764" i="9"/>
  <c r="AS764" i="9"/>
  <c r="AW764" i="9"/>
  <c r="AY764" i="9"/>
  <c r="BA764" i="9"/>
  <c r="BC764" i="9"/>
  <c r="BE764" i="9"/>
  <c r="AT764" i="9"/>
  <c r="AN764" i="9"/>
  <c r="AP764" i="9"/>
  <c r="AK764" i="9"/>
  <c r="AD764" i="9"/>
  <c r="B764" i="9"/>
  <c r="AU763" i="9"/>
  <c r="AO763" i="9"/>
  <c r="AT763" i="9"/>
  <c r="AN763" i="9"/>
  <c r="AP763" i="9"/>
  <c r="AK763" i="9"/>
  <c r="AD763" i="9"/>
  <c r="B763" i="9"/>
  <c r="AU762" i="9"/>
  <c r="AO762" i="9"/>
  <c r="AQ762" i="9"/>
  <c r="AS762" i="9"/>
  <c r="AW762" i="9"/>
  <c r="AY762" i="9"/>
  <c r="BA762" i="9"/>
  <c r="BC762" i="9"/>
  <c r="BE762" i="9"/>
  <c r="AT762" i="9"/>
  <c r="AN762" i="9"/>
  <c r="AK762" i="9"/>
  <c r="AD762" i="9"/>
  <c r="B762" i="9"/>
  <c r="AU761" i="9"/>
  <c r="AT761" i="9"/>
  <c r="AO761" i="9"/>
  <c r="AQ761" i="9"/>
  <c r="AS761" i="9"/>
  <c r="AW761" i="9"/>
  <c r="AY761" i="9"/>
  <c r="BA761" i="9"/>
  <c r="BC761" i="9"/>
  <c r="BE761" i="9"/>
  <c r="AK761" i="9"/>
  <c r="AD761" i="9"/>
  <c r="B761" i="9"/>
  <c r="AU760" i="9"/>
  <c r="AO760" i="9"/>
  <c r="AQ760" i="9"/>
  <c r="AS760" i="9"/>
  <c r="AW760" i="9"/>
  <c r="AY760" i="9"/>
  <c r="BA760" i="9"/>
  <c r="BC760" i="9"/>
  <c r="BE760" i="9"/>
  <c r="AT760" i="9"/>
  <c r="AK760" i="9"/>
  <c r="AD760" i="9"/>
  <c r="B760" i="9"/>
  <c r="AU759" i="9"/>
  <c r="AO759" i="9"/>
  <c r="AT759" i="9"/>
  <c r="AN759" i="9"/>
  <c r="AP759" i="9"/>
  <c r="AK759" i="9"/>
  <c r="AD759" i="9"/>
  <c r="B759" i="9"/>
  <c r="AU758" i="9"/>
  <c r="AO758" i="9"/>
  <c r="AQ758" i="9"/>
  <c r="AS758" i="9"/>
  <c r="AW758" i="9"/>
  <c r="AY758" i="9"/>
  <c r="BA758" i="9"/>
  <c r="BC758" i="9"/>
  <c r="BE758" i="9"/>
  <c r="AT758" i="9"/>
  <c r="AN758" i="9"/>
  <c r="AP758" i="9"/>
  <c r="AK758" i="9"/>
  <c r="AD758" i="9"/>
  <c r="B758" i="9"/>
  <c r="AU757" i="9"/>
  <c r="AO757" i="9"/>
  <c r="AQ757" i="9"/>
  <c r="AS757" i="9"/>
  <c r="AW757" i="9"/>
  <c r="AY757" i="9"/>
  <c r="BA757" i="9"/>
  <c r="BC757" i="9"/>
  <c r="BE757" i="9"/>
  <c r="AT757" i="9"/>
  <c r="AK757" i="9"/>
  <c r="AD757" i="9"/>
  <c r="B757" i="9"/>
  <c r="AU756" i="9"/>
  <c r="AO756" i="9"/>
  <c r="AQ756" i="9"/>
  <c r="AS756" i="9"/>
  <c r="AW756" i="9"/>
  <c r="AY756" i="9"/>
  <c r="BA756" i="9"/>
  <c r="BC756" i="9"/>
  <c r="BE756" i="9"/>
  <c r="AT756" i="9"/>
  <c r="AK756" i="9"/>
  <c r="AD756" i="9"/>
  <c r="B756" i="9"/>
  <c r="AU755" i="9"/>
  <c r="AT755" i="9"/>
  <c r="AN755" i="9"/>
  <c r="AP755" i="9"/>
  <c r="AK755" i="9"/>
  <c r="AD755" i="9"/>
  <c r="B755" i="9"/>
  <c r="AU754" i="9"/>
  <c r="AT754" i="9"/>
  <c r="AN754" i="9"/>
  <c r="AK754" i="9"/>
  <c r="AD754" i="9"/>
  <c r="B754" i="9"/>
  <c r="AU753" i="9"/>
  <c r="AO753" i="9"/>
  <c r="AQ753" i="9"/>
  <c r="AS753" i="9"/>
  <c r="AW753" i="9"/>
  <c r="AY753" i="9"/>
  <c r="BA753" i="9"/>
  <c r="BC753" i="9"/>
  <c r="BE753" i="9"/>
  <c r="AT753" i="9"/>
  <c r="AN753" i="9"/>
  <c r="AK753" i="9"/>
  <c r="AD753" i="9"/>
  <c r="B753" i="9"/>
  <c r="AU752" i="9"/>
  <c r="AO752" i="9"/>
  <c r="AQ752" i="9"/>
  <c r="AS752" i="9"/>
  <c r="AW752" i="9"/>
  <c r="AY752" i="9"/>
  <c r="BA752" i="9"/>
  <c r="BC752" i="9"/>
  <c r="BE752" i="9"/>
  <c r="AT752" i="9"/>
  <c r="AK752" i="9"/>
  <c r="AD752" i="9"/>
  <c r="B752" i="9"/>
  <c r="AU751" i="9"/>
  <c r="AO751" i="9"/>
  <c r="AQ751" i="9"/>
  <c r="AS751" i="9"/>
  <c r="AW751" i="9"/>
  <c r="AY751" i="9"/>
  <c r="BA751" i="9"/>
  <c r="BC751" i="9"/>
  <c r="BE751" i="9"/>
  <c r="AT751" i="9"/>
  <c r="AK751" i="9"/>
  <c r="AD751" i="9"/>
  <c r="B751" i="9"/>
  <c r="AU750" i="9"/>
  <c r="AT750" i="9"/>
  <c r="AN750" i="9"/>
  <c r="AK750" i="9"/>
  <c r="AD750" i="9"/>
  <c r="B750" i="9"/>
  <c r="AU749" i="9"/>
  <c r="AO749" i="9"/>
  <c r="AQ749" i="9"/>
  <c r="AS749" i="9"/>
  <c r="AW749" i="9"/>
  <c r="AY749" i="9"/>
  <c r="BA749" i="9"/>
  <c r="BC749" i="9"/>
  <c r="BE749" i="9"/>
  <c r="AT749" i="9"/>
  <c r="AN749" i="9"/>
  <c r="AP749" i="9"/>
  <c r="AK749" i="9"/>
  <c r="AD749" i="9"/>
  <c r="B749" i="9"/>
  <c r="AU748" i="9"/>
  <c r="AO748" i="9"/>
  <c r="AQ748" i="9"/>
  <c r="AS748" i="9"/>
  <c r="AW748" i="9"/>
  <c r="AY748" i="9"/>
  <c r="BA748" i="9"/>
  <c r="BC748" i="9"/>
  <c r="BE748" i="9"/>
  <c r="AT748" i="9"/>
  <c r="AN748" i="9"/>
  <c r="AK748" i="9"/>
  <c r="AD748" i="9"/>
  <c r="B748" i="9"/>
  <c r="AU747" i="9"/>
  <c r="AO747" i="9"/>
  <c r="AQ747" i="9"/>
  <c r="AS747" i="9"/>
  <c r="AW747" i="9"/>
  <c r="AY747" i="9"/>
  <c r="BA747" i="9"/>
  <c r="BC747" i="9"/>
  <c r="BE747" i="9"/>
  <c r="AT747" i="9"/>
  <c r="AN747" i="9"/>
  <c r="AK747" i="9"/>
  <c r="AD747" i="9"/>
  <c r="B747" i="9"/>
  <c r="AU746" i="9"/>
  <c r="AT746" i="9"/>
  <c r="AN746" i="9"/>
  <c r="AK746" i="9"/>
  <c r="AD746" i="9"/>
  <c r="B746" i="9"/>
  <c r="AU745" i="9"/>
  <c r="AO745" i="9"/>
  <c r="AQ745" i="9"/>
  <c r="AS745" i="9"/>
  <c r="AW745" i="9"/>
  <c r="AY745" i="9"/>
  <c r="BA745" i="9"/>
  <c r="BC745" i="9"/>
  <c r="BE745" i="9"/>
  <c r="AT745" i="9"/>
  <c r="AN745" i="9"/>
  <c r="AP745" i="9"/>
  <c r="AR745" i="9"/>
  <c r="AK745" i="9"/>
  <c r="AD745" i="9"/>
  <c r="B745" i="9"/>
  <c r="AU744" i="9"/>
  <c r="AO744" i="9"/>
  <c r="AQ744" i="9"/>
  <c r="AS744" i="9"/>
  <c r="AW744" i="9"/>
  <c r="AY744" i="9"/>
  <c r="BA744" i="9"/>
  <c r="BC744" i="9"/>
  <c r="BE744" i="9"/>
  <c r="AT744" i="9"/>
  <c r="AN744" i="9"/>
  <c r="AK744" i="9"/>
  <c r="AD744" i="9"/>
  <c r="B744" i="9"/>
  <c r="AU743" i="9"/>
  <c r="AO743" i="9"/>
  <c r="AQ743" i="9"/>
  <c r="AS743" i="9"/>
  <c r="AW743" i="9"/>
  <c r="AY743" i="9"/>
  <c r="BA743" i="9"/>
  <c r="BC743" i="9"/>
  <c r="BE743" i="9"/>
  <c r="AT743" i="9"/>
  <c r="AN743" i="9"/>
  <c r="AP743" i="9"/>
  <c r="AK743" i="9"/>
  <c r="AD743" i="9"/>
  <c r="B743" i="9"/>
  <c r="AU742" i="9"/>
  <c r="AO742" i="9"/>
  <c r="AQ742" i="9"/>
  <c r="AS742" i="9"/>
  <c r="AW742" i="9"/>
  <c r="AY742" i="9"/>
  <c r="BA742" i="9"/>
  <c r="BC742" i="9"/>
  <c r="BE742" i="9"/>
  <c r="AT742" i="9"/>
  <c r="AN742" i="9"/>
  <c r="AP742" i="9"/>
  <c r="AK742" i="9"/>
  <c r="C742" i="9"/>
  <c r="AD742" i="9"/>
  <c r="B742" i="9"/>
  <c r="AU741" i="9"/>
  <c r="AO741" i="9"/>
  <c r="AQ741" i="9"/>
  <c r="AS741" i="9"/>
  <c r="AW741" i="9"/>
  <c r="AY741" i="9"/>
  <c r="BA741" i="9"/>
  <c r="BC741" i="9"/>
  <c r="BE741" i="9"/>
  <c r="AT741" i="9"/>
  <c r="AN741" i="9"/>
  <c r="AK741" i="9"/>
  <c r="AD741" i="9"/>
  <c r="B741" i="9"/>
  <c r="AU740" i="9"/>
  <c r="AO740" i="9"/>
  <c r="AQ740" i="9"/>
  <c r="AS740" i="9"/>
  <c r="AW740" i="9"/>
  <c r="AY740" i="9"/>
  <c r="BA740" i="9"/>
  <c r="BC740" i="9"/>
  <c r="BE740" i="9"/>
  <c r="AT740" i="9"/>
  <c r="AN740" i="9"/>
  <c r="AK740" i="9"/>
  <c r="AD740" i="9"/>
  <c r="B740" i="9"/>
  <c r="AU739" i="9"/>
  <c r="AT739" i="9"/>
  <c r="AN739" i="9"/>
  <c r="AP739" i="9"/>
  <c r="AR739" i="9"/>
  <c r="AK739" i="9"/>
  <c r="AD739" i="9"/>
  <c r="B739" i="9"/>
  <c r="AU738" i="9"/>
  <c r="AO738" i="9"/>
  <c r="AQ738" i="9"/>
  <c r="AS738" i="9"/>
  <c r="AW738" i="9"/>
  <c r="AY738" i="9"/>
  <c r="BA738" i="9"/>
  <c r="BC738" i="9"/>
  <c r="BE738" i="9"/>
  <c r="AT738" i="9"/>
  <c r="AN738" i="9"/>
  <c r="AK738" i="9"/>
  <c r="AD738" i="9"/>
  <c r="B738" i="9"/>
  <c r="AU737" i="9"/>
  <c r="AO737" i="9"/>
  <c r="AQ737" i="9"/>
  <c r="AS737" i="9"/>
  <c r="AW737" i="9"/>
  <c r="AY737" i="9"/>
  <c r="BA737" i="9"/>
  <c r="BC737" i="9"/>
  <c r="BE737" i="9"/>
  <c r="AT737" i="9"/>
  <c r="AN737" i="9"/>
  <c r="AK737" i="9"/>
  <c r="AD737" i="9"/>
  <c r="B737" i="9"/>
  <c r="AU736" i="9"/>
  <c r="AO736" i="9"/>
  <c r="AQ736" i="9"/>
  <c r="AS736" i="9"/>
  <c r="AW736" i="9"/>
  <c r="AY736" i="9"/>
  <c r="BA736" i="9"/>
  <c r="BC736" i="9"/>
  <c r="BE736" i="9"/>
  <c r="AT736" i="9"/>
  <c r="AK736" i="9"/>
  <c r="AD736" i="9"/>
  <c r="B736" i="9"/>
  <c r="AU735" i="9"/>
  <c r="AO735" i="9"/>
  <c r="AQ735" i="9"/>
  <c r="AS735" i="9"/>
  <c r="AW735" i="9"/>
  <c r="AY735" i="9"/>
  <c r="BA735" i="9"/>
  <c r="BC735" i="9"/>
  <c r="BE735" i="9"/>
  <c r="AT735" i="9"/>
  <c r="AN735" i="9"/>
  <c r="AP735" i="9"/>
  <c r="AR735" i="9"/>
  <c r="AK735" i="9"/>
  <c r="AD735" i="9"/>
  <c r="B735" i="9"/>
  <c r="AU734" i="9"/>
  <c r="AO734" i="9"/>
  <c r="AQ734" i="9"/>
  <c r="AS734" i="9"/>
  <c r="AW734" i="9"/>
  <c r="AY734" i="9"/>
  <c r="BA734" i="9"/>
  <c r="BC734" i="9"/>
  <c r="BE734" i="9"/>
  <c r="AT734" i="9"/>
  <c r="AN734" i="9"/>
  <c r="AK734" i="9"/>
  <c r="AD734" i="9"/>
  <c r="B734" i="9"/>
  <c r="AU733" i="9"/>
  <c r="AO733" i="9"/>
  <c r="AQ733" i="9"/>
  <c r="AS733" i="9"/>
  <c r="AW733" i="9"/>
  <c r="AY733" i="9"/>
  <c r="BA733" i="9"/>
  <c r="BC733" i="9"/>
  <c r="BE733" i="9"/>
  <c r="AT733" i="9"/>
  <c r="AN733" i="9"/>
  <c r="AK733" i="9"/>
  <c r="AD733" i="9"/>
  <c r="B733" i="9"/>
  <c r="AU732" i="9"/>
  <c r="AO732" i="9"/>
  <c r="AQ732" i="9"/>
  <c r="AS732" i="9"/>
  <c r="AW732" i="9"/>
  <c r="AY732" i="9"/>
  <c r="BA732" i="9"/>
  <c r="BC732" i="9"/>
  <c r="BE732" i="9"/>
  <c r="AT732" i="9"/>
  <c r="AN732" i="9"/>
  <c r="AK732" i="9"/>
  <c r="AD732" i="9"/>
  <c r="B732" i="9"/>
  <c r="AU731" i="9"/>
  <c r="AT731" i="9"/>
  <c r="AO731" i="9"/>
  <c r="AQ731" i="9"/>
  <c r="AS731" i="9"/>
  <c r="AW731" i="9"/>
  <c r="AY731" i="9"/>
  <c r="BA731" i="9"/>
  <c r="BC731" i="9"/>
  <c r="BE731" i="9"/>
  <c r="AK731" i="9"/>
  <c r="AD731" i="9"/>
  <c r="B731" i="9"/>
  <c r="AU730" i="9"/>
  <c r="AO730" i="9"/>
  <c r="AQ730" i="9"/>
  <c r="AS730" i="9"/>
  <c r="AW730" i="9"/>
  <c r="AY730" i="9"/>
  <c r="BA730" i="9"/>
  <c r="BC730" i="9"/>
  <c r="BE730" i="9"/>
  <c r="AT730" i="9"/>
  <c r="AN730" i="9"/>
  <c r="AK730" i="9"/>
  <c r="AD730" i="9"/>
  <c r="B730" i="9"/>
  <c r="C730" i="9"/>
  <c r="AU729" i="9"/>
  <c r="AO729" i="9"/>
  <c r="AQ729" i="9"/>
  <c r="AS729" i="9"/>
  <c r="AW729" i="9"/>
  <c r="AY729" i="9"/>
  <c r="BA729" i="9"/>
  <c r="BC729" i="9"/>
  <c r="BE729" i="9"/>
  <c r="AT729" i="9"/>
  <c r="AK729" i="9"/>
  <c r="AD729" i="9"/>
  <c r="B729" i="9"/>
  <c r="AU728" i="9"/>
  <c r="AO728" i="9"/>
  <c r="AQ728" i="9"/>
  <c r="AS728" i="9"/>
  <c r="AW728" i="9"/>
  <c r="AY728" i="9"/>
  <c r="BA728" i="9"/>
  <c r="BC728" i="9"/>
  <c r="BE728" i="9"/>
  <c r="AT728" i="9"/>
  <c r="AK728" i="9"/>
  <c r="AD728" i="9"/>
  <c r="B728" i="9"/>
  <c r="AU727" i="9"/>
  <c r="AO727" i="9"/>
  <c r="AQ727" i="9"/>
  <c r="AS727" i="9"/>
  <c r="AW727" i="9"/>
  <c r="AY727" i="9"/>
  <c r="BA727" i="9"/>
  <c r="BC727" i="9"/>
  <c r="BE727" i="9"/>
  <c r="AT727" i="9"/>
  <c r="AN727" i="9"/>
  <c r="AK727" i="9"/>
  <c r="AD727" i="9"/>
  <c r="B727" i="9"/>
  <c r="AU726" i="9"/>
  <c r="AT726" i="9"/>
  <c r="AN726" i="9"/>
  <c r="AK726" i="9"/>
  <c r="AD726" i="9"/>
  <c r="B726" i="9"/>
  <c r="C726" i="9"/>
  <c r="AU725" i="9"/>
  <c r="AO725" i="9"/>
  <c r="AQ725" i="9"/>
  <c r="AS725" i="9"/>
  <c r="AW725" i="9"/>
  <c r="AY725" i="9"/>
  <c r="BA725" i="9"/>
  <c r="BC725" i="9"/>
  <c r="BE725" i="9"/>
  <c r="AT725" i="9"/>
  <c r="AN725" i="9"/>
  <c r="AK725" i="9"/>
  <c r="AD725" i="9"/>
  <c r="B725" i="9"/>
  <c r="AU724" i="9"/>
  <c r="AT724" i="9"/>
  <c r="AN724" i="9"/>
  <c r="AP724" i="9"/>
  <c r="AR724" i="9"/>
  <c r="AK724" i="9"/>
  <c r="AD724" i="9"/>
  <c r="B724" i="9"/>
  <c r="AU723" i="9"/>
  <c r="AO723" i="9"/>
  <c r="AT723" i="9"/>
  <c r="AN723" i="9"/>
  <c r="AP723" i="9"/>
  <c r="AK723" i="9"/>
  <c r="AD723" i="9"/>
  <c r="B723" i="9"/>
  <c r="AU722" i="9"/>
  <c r="AT722" i="9"/>
  <c r="AN722" i="9"/>
  <c r="AK722" i="9"/>
  <c r="AD722" i="9"/>
  <c r="B722" i="9"/>
  <c r="AU721" i="9"/>
  <c r="AO721" i="9"/>
  <c r="AQ721" i="9"/>
  <c r="AS721" i="9"/>
  <c r="AW721" i="9"/>
  <c r="AY721" i="9"/>
  <c r="BA721" i="9"/>
  <c r="BC721" i="9"/>
  <c r="BE721" i="9"/>
  <c r="AT721" i="9"/>
  <c r="AK721" i="9"/>
  <c r="AD721" i="9"/>
  <c r="B721" i="9"/>
  <c r="AU720" i="9"/>
  <c r="AO720" i="9"/>
  <c r="AQ720" i="9"/>
  <c r="AS720" i="9"/>
  <c r="AW720" i="9"/>
  <c r="AY720" i="9"/>
  <c r="BA720" i="9"/>
  <c r="BC720" i="9"/>
  <c r="BE720" i="9"/>
  <c r="AT720" i="9"/>
  <c r="AK720" i="9"/>
  <c r="AD720" i="9"/>
  <c r="B720" i="9"/>
  <c r="AU719" i="9"/>
  <c r="AT719" i="9"/>
  <c r="AN719" i="9"/>
  <c r="AK719" i="9"/>
  <c r="AD719" i="9"/>
  <c r="B719" i="9"/>
  <c r="AU718" i="9"/>
  <c r="AO718" i="9"/>
  <c r="AQ718" i="9"/>
  <c r="AS718" i="9"/>
  <c r="AW718" i="9"/>
  <c r="AY718" i="9"/>
  <c r="BA718" i="9"/>
  <c r="BC718" i="9"/>
  <c r="BE718" i="9"/>
  <c r="AT718" i="9"/>
  <c r="AN718" i="9"/>
  <c r="AK718" i="9"/>
  <c r="AD718" i="9"/>
  <c r="B718" i="9"/>
  <c r="AU717" i="9"/>
  <c r="AT717" i="9"/>
  <c r="AN717" i="9"/>
  <c r="AP717" i="9"/>
  <c r="AK717" i="9"/>
  <c r="AD717" i="9"/>
  <c r="B717" i="9"/>
  <c r="AU716" i="9"/>
  <c r="AO716" i="9"/>
  <c r="AQ716" i="9"/>
  <c r="AS716" i="9"/>
  <c r="AW716" i="9"/>
  <c r="AY716" i="9"/>
  <c r="BA716" i="9"/>
  <c r="BC716" i="9"/>
  <c r="BE716" i="9"/>
  <c r="AT716" i="9"/>
  <c r="AN716" i="9"/>
  <c r="AK716" i="9"/>
  <c r="C716" i="9"/>
  <c r="AD716" i="9"/>
  <c r="B716" i="9"/>
  <c r="AU715" i="9"/>
  <c r="AO715" i="9"/>
  <c r="AQ715" i="9"/>
  <c r="AT715" i="9"/>
  <c r="AN715" i="9"/>
  <c r="AP715" i="9"/>
  <c r="AR715" i="9"/>
  <c r="AK715" i="9"/>
  <c r="AD715" i="9"/>
  <c r="B715" i="9"/>
  <c r="AU714" i="9"/>
  <c r="AT714" i="9"/>
  <c r="AN714" i="9"/>
  <c r="AK714" i="9"/>
  <c r="AD714" i="9"/>
  <c r="B714" i="9"/>
  <c r="AU713" i="9"/>
  <c r="AT713" i="9"/>
  <c r="AN713" i="9"/>
  <c r="AP713" i="9"/>
  <c r="AK713" i="9"/>
  <c r="AD713" i="9"/>
  <c r="B713" i="9"/>
  <c r="AU712" i="9"/>
  <c r="AO712" i="9"/>
  <c r="AQ712" i="9"/>
  <c r="AS712" i="9"/>
  <c r="AW712" i="9"/>
  <c r="AY712" i="9"/>
  <c r="BA712" i="9"/>
  <c r="BC712" i="9"/>
  <c r="BE712" i="9"/>
  <c r="AT712" i="9"/>
  <c r="AK712" i="9"/>
  <c r="AD712" i="9"/>
  <c r="B712" i="9"/>
  <c r="AU711" i="9"/>
  <c r="E711" i="9"/>
  <c r="AT711" i="9"/>
  <c r="AN711" i="9"/>
  <c r="AP711" i="9"/>
  <c r="AR711" i="9"/>
  <c r="AK711" i="9"/>
  <c r="AD711" i="9"/>
  <c r="B711" i="9"/>
  <c r="AU710" i="9"/>
  <c r="AT710" i="9"/>
  <c r="AN710" i="9"/>
  <c r="AP710" i="9"/>
  <c r="AK710" i="9"/>
  <c r="AD710" i="9"/>
  <c r="B710" i="9"/>
  <c r="AU709" i="9"/>
  <c r="AO709" i="9"/>
  <c r="AQ709" i="9"/>
  <c r="AS709" i="9"/>
  <c r="AW709" i="9"/>
  <c r="AY709" i="9"/>
  <c r="BA709" i="9"/>
  <c r="BC709" i="9"/>
  <c r="BE709" i="9"/>
  <c r="AT709" i="9"/>
  <c r="AN709" i="9"/>
  <c r="AK709" i="9"/>
  <c r="AD709" i="9"/>
  <c r="B709" i="9"/>
  <c r="AU708" i="9"/>
  <c r="AO708" i="9"/>
  <c r="AQ708" i="9"/>
  <c r="AS708" i="9"/>
  <c r="AW708" i="9"/>
  <c r="AY708" i="9"/>
  <c r="BA708" i="9"/>
  <c r="BC708" i="9"/>
  <c r="BE708" i="9"/>
  <c r="AT708" i="9"/>
  <c r="AK708" i="9"/>
  <c r="AD708" i="9"/>
  <c r="B708" i="9"/>
  <c r="AU707" i="9"/>
  <c r="AO707" i="9"/>
  <c r="AT707" i="9"/>
  <c r="AN707" i="9"/>
  <c r="AP707" i="9"/>
  <c r="AR707" i="9"/>
  <c r="AK707" i="9"/>
  <c r="AD707" i="9"/>
  <c r="B707" i="9"/>
  <c r="AU706" i="9"/>
  <c r="AT706" i="9"/>
  <c r="AN706" i="9"/>
  <c r="AP706" i="9"/>
  <c r="AK706" i="9"/>
  <c r="AD706" i="9"/>
  <c r="B706" i="9"/>
  <c r="AU705" i="9"/>
  <c r="AO705" i="9"/>
  <c r="AQ705" i="9"/>
  <c r="AS705" i="9"/>
  <c r="AW705" i="9"/>
  <c r="AY705" i="9"/>
  <c r="BA705" i="9"/>
  <c r="BC705" i="9"/>
  <c r="BE705" i="9"/>
  <c r="AT705" i="9"/>
  <c r="AN705" i="9"/>
  <c r="AK705" i="9"/>
  <c r="C705" i="9"/>
  <c r="AD705" i="9"/>
  <c r="B705" i="9"/>
  <c r="AU704" i="9"/>
  <c r="AO704" i="9"/>
  <c r="AQ704" i="9"/>
  <c r="AS704" i="9"/>
  <c r="AW704" i="9"/>
  <c r="AY704" i="9"/>
  <c r="BA704" i="9"/>
  <c r="BC704" i="9"/>
  <c r="BE704" i="9"/>
  <c r="AT704" i="9"/>
  <c r="AK704" i="9"/>
  <c r="AD704" i="9"/>
  <c r="B704" i="9"/>
  <c r="AU703" i="9"/>
  <c r="AO703" i="9"/>
  <c r="AQ703" i="9"/>
  <c r="AS703" i="9"/>
  <c r="AW703" i="9"/>
  <c r="AY703" i="9"/>
  <c r="BA703" i="9"/>
  <c r="BC703" i="9"/>
  <c r="BE703" i="9"/>
  <c r="AT703" i="9"/>
  <c r="AN703" i="9"/>
  <c r="AP703" i="9"/>
  <c r="AR703" i="9"/>
  <c r="AK703" i="9"/>
  <c r="AD703" i="9"/>
  <c r="B703" i="9"/>
  <c r="AU702" i="9"/>
  <c r="AO702" i="9"/>
  <c r="AQ702" i="9"/>
  <c r="AS702" i="9"/>
  <c r="AW702" i="9"/>
  <c r="AY702" i="9"/>
  <c r="BA702" i="9"/>
  <c r="BC702" i="9"/>
  <c r="BE702" i="9"/>
  <c r="AT702" i="9"/>
  <c r="AN702" i="9"/>
  <c r="AP702" i="9"/>
  <c r="AK702" i="9"/>
  <c r="AD702" i="9"/>
  <c r="B702" i="9"/>
  <c r="AU701" i="9"/>
  <c r="AT701" i="9"/>
  <c r="AN701" i="9"/>
  <c r="AK701" i="9"/>
  <c r="AD701" i="9"/>
  <c r="B701" i="9"/>
  <c r="AU700" i="9"/>
  <c r="AO700" i="9"/>
  <c r="AQ700" i="9"/>
  <c r="AS700" i="9"/>
  <c r="AW700" i="9"/>
  <c r="AY700" i="9"/>
  <c r="BA700" i="9"/>
  <c r="BC700" i="9"/>
  <c r="BE700" i="9"/>
  <c r="AT700" i="9"/>
  <c r="AN700" i="9"/>
  <c r="AP700" i="9"/>
  <c r="AK700" i="9"/>
  <c r="AD700" i="9"/>
  <c r="B700" i="9"/>
  <c r="AU699" i="9"/>
  <c r="AO699" i="9"/>
  <c r="AQ699" i="9"/>
  <c r="AS699" i="9"/>
  <c r="AW699" i="9"/>
  <c r="AY699" i="9"/>
  <c r="BA699" i="9"/>
  <c r="BC699" i="9"/>
  <c r="BE699" i="9"/>
  <c r="AT699" i="9"/>
  <c r="AN699" i="9"/>
  <c r="AK699" i="9"/>
  <c r="AD699" i="9"/>
  <c r="B699" i="9"/>
  <c r="AU698" i="9"/>
  <c r="AO698" i="9"/>
  <c r="AQ698" i="9"/>
  <c r="AS698" i="9"/>
  <c r="AW698" i="9"/>
  <c r="AY698" i="9"/>
  <c r="BA698" i="9"/>
  <c r="BC698" i="9"/>
  <c r="BE698" i="9"/>
  <c r="AT698" i="9"/>
  <c r="AN698" i="9"/>
  <c r="AK698" i="9"/>
  <c r="AD698" i="9"/>
  <c r="B698" i="9"/>
  <c r="AU697" i="9"/>
  <c r="AO697" i="9"/>
  <c r="AQ697" i="9"/>
  <c r="AS697" i="9"/>
  <c r="AW697" i="9"/>
  <c r="AY697" i="9"/>
  <c r="BA697" i="9"/>
  <c r="BC697" i="9"/>
  <c r="BE697" i="9"/>
  <c r="AT697" i="9"/>
  <c r="AK697" i="9"/>
  <c r="AD697" i="9"/>
  <c r="B697" i="9"/>
  <c r="AU696" i="9"/>
  <c r="AO696" i="9"/>
  <c r="AQ696" i="9"/>
  <c r="AS696" i="9"/>
  <c r="AW696" i="9"/>
  <c r="AY696" i="9"/>
  <c r="BA696" i="9"/>
  <c r="BC696" i="9"/>
  <c r="BE696" i="9"/>
  <c r="AT696" i="9"/>
  <c r="AK696" i="9"/>
  <c r="AD696" i="9"/>
  <c r="B696" i="9"/>
  <c r="AU695" i="9"/>
  <c r="AO695" i="9"/>
  <c r="AQ695" i="9"/>
  <c r="AS695" i="9"/>
  <c r="AW695" i="9"/>
  <c r="AY695" i="9"/>
  <c r="BA695" i="9"/>
  <c r="BC695" i="9"/>
  <c r="BE695" i="9"/>
  <c r="AT695" i="9"/>
  <c r="E695" i="9"/>
  <c r="AK695" i="9"/>
  <c r="AD695" i="9"/>
  <c r="B695" i="9"/>
  <c r="AU694" i="9"/>
  <c r="AO694" i="9"/>
  <c r="AQ694" i="9"/>
  <c r="AS694" i="9"/>
  <c r="AW694" i="9"/>
  <c r="AY694" i="9"/>
  <c r="BA694" i="9"/>
  <c r="BC694" i="9"/>
  <c r="BE694" i="9"/>
  <c r="AT694" i="9"/>
  <c r="AN694" i="9"/>
  <c r="AK694" i="9"/>
  <c r="AD694" i="9"/>
  <c r="B694" i="9"/>
  <c r="AU693" i="9"/>
  <c r="AO693" i="9"/>
  <c r="AQ693" i="9"/>
  <c r="AS693" i="9"/>
  <c r="AW693" i="9"/>
  <c r="AY693" i="9"/>
  <c r="BA693" i="9"/>
  <c r="BC693" i="9"/>
  <c r="BE693" i="9"/>
  <c r="AT693" i="9"/>
  <c r="AK693" i="9"/>
  <c r="AD693" i="9"/>
  <c r="B693" i="9"/>
  <c r="AU692" i="9"/>
  <c r="AO692" i="9"/>
  <c r="AQ692" i="9"/>
  <c r="AS692" i="9"/>
  <c r="AW692" i="9"/>
  <c r="AY692" i="9"/>
  <c r="BA692" i="9"/>
  <c r="BC692" i="9"/>
  <c r="BE692" i="9"/>
  <c r="AT692" i="9"/>
  <c r="AK692" i="9"/>
  <c r="AD692" i="9"/>
  <c r="B692" i="9"/>
  <c r="C692" i="9"/>
  <c r="AU691" i="9"/>
  <c r="AO691" i="9"/>
  <c r="AQ691" i="9"/>
  <c r="AS691" i="9"/>
  <c r="AW691" i="9"/>
  <c r="AY691" i="9"/>
  <c r="BA691" i="9"/>
  <c r="BC691" i="9"/>
  <c r="BE691" i="9"/>
  <c r="AT691" i="9"/>
  <c r="E691" i="9"/>
  <c r="AK691" i="9"/>
  <c r="AD691" i="9"/>
  <c r="B691" i="9"/>
  <c r="AU690" i="9"/>
  <c r="AO690" i="9"/>
  <c r="AQ690" i="9"/>
  <c r="AS690" i="9"/>
  <c r="AW690" i="9"/>
  <c r="AY690" i="9"/>
  <c r="BA690" i="9"/>
  <c r="BC690" i="9"/>
  <c r="BE690" i="9"/>
  <c r="AT690" i="9"/>
  <c r="AN690" i="9"/>
  <c r="AP690" i="9"/>
  <c r="AK690" i="9"/>
  <c r="AD690" i="9"/>
  <c r="B690" i="9"/>
  <c r="AU689" i="9"/>
  <c r="AT689" i="9"/>
  <c r="AN689" i="9"/>
  <c r="AK689" i="9"/>
  <c r="AD689" i="9"/>
  <c r="B689" i="9"/>
  <c r="AU688" i="9"/>
  <c r="AO688" i="9"/>
  <c r="AQ688" i="9"/>
  <c r="AS688" i="9"/>
  <c r="AW688" i="9"/>
  <c r="AY688" i="9"/>
  <c r="BA688" i="9"/>
  <c r="BC688" i="9"/>
  <c r="BE688" i="9"/>
  <c r="AT688" i="9"/>
  <c r="AK688" i="9"/>
  <c r="AD688" i="9"/>
  <c r="B688" i="9"/>
  <c r="AU687" i="9"/>
  <c r="AT687" i="9"/>
  <c r="AN687" i="9"/>
  <c r="AP687" i="9"/>
  <c r="AR687" i="9"/>
  <c r="AV687" i="9"/>
  <c r="AK687" i="9"/>
  <c r="AD687" i="9"/>
  <c r="B687" i="9"/>
  <c r="AU686" i="9"/>
  <c r="AT686" i="9"/>
  <c r="AN686" i="9"/>
  <c r="AP686" i="9"/>
  <c r="AR686" i="9"/>
  <c r="AV686" i="9"/>
  <c r="AK686" i="9"/>
  <c r="AD686" i="9"/>
  <c r="B686" i="9"/>
  <c r="AU685" i="9"/>
  <c r="AT685" i="9"/>
  <c r="AN685" i="9"/>
  <c r="AP685" i="9"/>
  <c r="AR685" i="9"/>
  <c r="AV685" i="9"/>
  <c r="AK685" i="9"/>
  <c r="AD685" i="9"/>
  <c r="B685" i="9"/>
  <c r="AU684" i="9"/>
  <c r="AO684" i="9"/>
  <c r="AQ684" i="9"/>
  <c r="AS684" i="9"/>
  <c r="AW684" i="9"/>
  <c r="AY684" i="9"/>
  <c r="BA684" i="9"/>
  <c r="BC684" i="9"/>
  <c r="BE684" i="9"/>
  <c r="AT684" i="9"/>
  <c r="AN684" i="9"/>
  <c r="AK684" i="9"/>
  <c r="AD684" i="9"/>
  <c r="B684" i="9"/>
  <c r="AU683" i="9"/>
  <c r="AO683" i="9"/>
  <c r="AQ683" i="9"/>
  <c r="AS683" i="9"/>
  <c r="AW683" i="9"/>
  <c r="AY683" i="9"/>
  <c r="BA683" i="9"/>
  <c r="BC683" i="9"/>
  <c r="BE683" i="9"/>
  <c r="AT683" i="9"/>
  <c r="AN683" i="9"/>
  <c r="AK683" i="9"/>
  <c r="AD683" i="9"/>
  <c r="B683" i="9"/>
  <c r="AU682" i="9"/>
  <c r="AO682" i="9"/>
  <c r="AQ682" i="9"/>
  <c r="AS682" i="9"/>
  <c r="AW682" i="9"/>
  <c r="AY682" i="9"/>
  <c r="BA682" i="9"/>
  <c r="BC682" i="9"/>
  <c r="BE682" i="9"/>
  <c r="AT682" i="9"/>
  <c r="AN682" i="9"/>
  <c r="AK682" i="9"/>
  <c r="AD682" i="9"/>
  <c r="B682" i="9"/>
  <c r="AY681" i="9"/>
  <c r="BA681" i="9"/>
  <c r="BC681" i="9"/>
  <c r="BE681" i="9"/>
  <c r="AU681" i="9"/>
  <c r="AO681" i="9"/>
  <c r="AQ681" i="9"/>
  <c r="AS681" i="9"/>
  <c r="AW681" i="9"/>
  <c r="AT681" i="9"/>
  <c r="AN681" i="9"/>
  <c r="AK681" i="9"/>
  <c r="AD681" i="9"/>
  <c r="B681" i="9"/>
  <c r="AU680" i="9"/>
  <c r="AO680" i="9"/>
  <c r="AQ680" i="9"/>
  <c r="AS680" i="9"/>
  <c r="AW680" i="9"/>
  <c r="AY680" i="9"/>
  <c r="BA680" i="9"/>
  <c r="BC680" i="9"/>
  <c r="BE680" i="9"/>
  <c r="AT680" i="9"/>
  <c r="AK680" i="9"/>
  <c r="AD680" i="9"/>
  <c r="B680" i="9"/>
  <c r="AU679" i="9"/>
  <c r="AO679" i="9"/>
  <c r="AQ679" i="9"/>
  <c r="AS679" i="9"/>
  <c r="AW679" i="9"/>
  <c r="AY679" i="9"/>
  <c r="BA679" i="9"/>
  <c r="BC679" i="9"/>
  <c r="BE679" i="9"/>
  <c r="AT679" i="9"/>
  <c r="AN679" i="9"/>
  <c r="AP679" i="9"/>
  <c r="AR679" i="9"/>
  <c r="AK679" i="9"/>
  <c r="AD679" i="9"/>
  <c r="B679" i="9"/>
  <c r="AU678" i="9"/>
  <c r="AO678" i="9"/>
  <c r="AQ678" i="9"/>
  <c r="AS678" i="9"/>
  <c r="AW678" i="9"/>
  <c r="AY678" i="9"/>
  <c r="BA678" i="9"/>
  <c r="BC678" i="9"/>
  <c r="BE678" i="9"/>
  <c r="AT678" i="9"/>
  <c r="AK678" i="9"/>
  <c r="AD678" i="9"/>
  <c r="B678" i="9"/>
  <c r="C678" i="9"/>
  <c r="AU677" i="9"/>
  <c r="AO677" i="9"/>
  <c r="AQ677" i="9"/>
  <c r="AS677" i="9"/>
  <c r="AW677" i="9"/>
  <c r="AY677" i="9"/>
  <c r="BA677" i="9"/>
  <c r="BC677" i="9"/>
  <c r="BE677" i="9"/>
  <c r="AT677" i="9"/>
  <c r="E677" i="9"/>
  <c r="AK677" i="9"/>
  <c r="AD677" i="9"/>
  <c r="B677" i="9"/>
  <c r="AU676" i="9"/>
  <c r="AO676" i="9"/>
  <c r="AT676" i="9"/>
  <c r="AQ676" i="9"/>
  <c r="AS676" i="9"/>
  <c r="AW676" i="9"/>
  <c r="AY676" i="9"/>
  <c r="BA676" i="9"/>
  <c r="BC676" i="9"/>
  <c r="BE676" i="9"/>
  <c r="AK676" i="9"/>
  <c r="AD676" i="9"/>
  <c r="B676" i="9"/>
  <c r="AU675" i="9"/>
  <c r="AT675" i="9"/>
  <c r="AN675" i="9"/>
  <c r="AK675" i="9"/>
  <c r="AD675" i="9"/>
  <c r="B675" i="9"/>
  <c r="AU674" i="9"/>
  <c r="AT674" i="9"/>
  <c r="AN674" i="9"/>
  <c r="AP674" i="9"/>
  <c r="AK674" i="9"/>
  <c r="AD674" i="9"/>
  <c r="B674" i="9"/>
  <c r="AU673" i="9"/>
  <c r="AT673" i="9"/>
  <c r="AN673" i="9"/>
  <c r="AP673" i="9"/>
  <c r="AK673" i="9"/>
  <c r="AD673" i="9"/>
  <c r="B673" i="9"/>
  <c r="AU672" i="9"/>
  <c r="AO672" i="9"/>
  <c r="AQ672" i="9"/>
  <c r="AS672" i="9"/>
  <c r="AW672" i="9"/>
  <c r="AY672" i="9"/>
  <c r="BA672" i="9"/>
  <c r="BC672" i="9"/>
  <c r="BE672" i="9"/>
  <c r="AT672" i="9"/>
  <c r="AK672" i="9"/>
  <c r="AD672" i="9"/>
  <c r="B672" i="9"/>
  <c r="C672" i="9"/>
  <c r="AU671" i="9"/>
  <c r="AT671" i="9"/>
  <c r="AN671" i="9"/>
  <c r="AP671" i="9"/>
  <c r="AK671" i="9"/>
  <c r="AD671" i="9"/>
  <c r="B671" i="9"/>
  <c r="AU670" i="9"/>
  <c r="AO670" i="9"/>
  <c r="AQ670" i="9"/>
  <c r="AS670" i="9"/>
  <c r="AW670" i="9"/>
  <c r="AY670" i="9"/>
  <c r="BA670" i="9"/>
  <c r="BC670" i="9"/>
  <c r="BE670" i="9"/>
  <c r="AT670" i="9"/>
  <c r="AN670" i="9"/>
  <c r="AP670" i="9"/>
  <c r="AK670" i="9"/>
  <c r="AD670" i="9"/>
  <c r="B670" i="9"/>
  <c r="AU669" i="9"/>
  <c r="AT669" i="9"/>
  <c r="AN669" i="9"/>
  <c r="AP669" i="9"/>
  <c r="AK669" i="9"/>
  <c r="AD669" i="9"/>
  <c r="B669" i="9"/>
  <c r="AU668" i="9"/>
  <c r="AO668" i="9"/>
  <c r="AQ668" i="9"/>
  <c r="AS668" i="9"/>
  <c r="AW668" i="9"/>
  <c r="AY668" i="9"/>
  <c r="BA668" i="9"/>
  <c r="BC668" i="9"/>
  <c r="BE668" i="9"/>
  <c r="AT668" i="9"/>
  <c r="AN668" i="9"/>
  <c r="AK668" i="9"/>
  <c r="AD668" i="9"/>
  <c r="B668" i="9"/>
  <c r="AU667" i="9"/>
  <c r="AT667" i="9"/>
  <c r="AN667" i="9"/>
  <c r="AP667" i="9"/>
  <c r="AO667" i="9"/>
  <c r="AQ667" i="9"/>
  <c r="AS667" i="9"/>
  <c r="AW667" i="9"/>
  <c r="AY667" i="9"/>
  <c r="BA667" i="9"/>
  <c r="BC667" i="9"/>
  <c r="BE667" i="9"/>
  <c r="AK667" i="9"/>
  <c r="AD667" i="9"/>
  <c r="B667" i="9"/>
  <c r="AU666" i="9"/>
  <c r="AO666" i="9"/>
  <c r="AQ666" i="9"/>
  <c r="AS666" i="9"/>
  <c r="AW666" i="9"/>
  <c r="AY666" i="9"/>
  <c r="BA666" i="9"/>
  <c r="BC666" i="9"/>
  <c r="BE666" i="9"/>
  <c r="AT666" i="9"/>
  <c r="AN666" i="9"/>
  <c r="AP666" i="9"/>
  <c r="AK666" i="9"/>
  <c r="AD666" i="9"/>
  <c r="B666" i="9"/>
  <c r="AU665" i="9"/>
  <c r="AT665" i="9"/>
  <c r="AN665" i="9"/>
  <c r="AP665" i="9"/>
  <c r="AK665" i="9"/>
  <c r="AD665" i="9"/>
  <c r="B665" i="9"/>
  <c r="AU664" i="9"/>
  <c r="AO664" i="9"/>
  <c r="AQ664" i="9"/>
  <c r="AS664" i="9"/>
  <c r="AW664" i="9"/>
  <c r="AY664" i="9"/>
  <c r="BA664" i="9"/>
  <c r="BC664" i="9"/>
  <c r="BE664" i="9"/>
  <c r="AT664" i="9"/>
  <c r="AK664" i="9"/>
  <c r="AD664" i="9"/>
  <c r="B664" i="9"/>
  <c r="AU663" i="9"/>
  <c r="AT663" i="9"/>
  <c r="AN663" i="9"/>
  <c r="AP663" i="9"/>
  <c r="AK663" i="9"/>
  <c r="AD663" i="9"/>
  <c r="B663" i="9"/>
  <c r="AU662" i="9"/>
  <c r="AO662" i="9"/>
  <c r="AQ662" i="9"/>
  <c r="AS662" i="9"/>
  <c r="AW662" i="9"/>
  <c r="AY662" i="9"/>
  <c r="BA662" i="9"/>
  <c r="BC662" i="9"/>
  <c r="BE662" i="9"/>
  <c r="AT662" i="9"/>
  <c r="AN662" i="9"/>
  <c r="AP662" i="9"/>
  <c r="AK662" i="9"/>
  <c r="AD662" i="9"/>
  <c r="B662" i="9"/>
  <c r="AU661" i="9"/>
  <c r="AT661" i="9"/>
  <c r="AN661" i="9"/>
  <c r="AK661" i="9"/>
  <c r="AD661" i="9"/>
  <c r="B661" i="9"/>
  <c r="AU660" i="9"/>
  <c r="AO660" i="9"/>
  <c r="AQ660" i="9"/>
  <c r="AS660" i="9"/>
  <c r="AT660" i="9"/>
  <c r="AN660" i="9"/>
  <c r="AP660" i="9"/>
  <c r="AR660" i="9"/>
  <c r="AV660" i="9"/>
  <c r="AK660" i="9"/>
  <c r="AD660" i="9"/>
  <c r="B660" i="9"/>
  <c r="AU659" i="9"/>
  <c r="AT659" i="9"/>
  <c r="AN659" i="9"/>
  <c r="AP659" i="9"/>
  <c r="AR659" i="9"/>
  <c r="AV659" i="9"/>
  <c r="AK659" i="9"/>
  <c r="AD659" i="9"/>
  <c r="B659" i="9"/>
  <c r="AU658" i="9"/>
  <c r="AT658" i="9"/>
  <c r="AN658" i="9"/>
  <c r="AP658" i="9"/>
  <c r="AO658" i="9"/>
  <c r="AQ658" i="9"/>
  <c r="AS658" i="9"/>
  <c r="AW658" i="9"/>
  <c r="AY658" i="9"/>
  <c r="BA658" i="9"/>
  <c r="BC658" i="9"/>
  <c r="BE658" i="9"/>
  <c r="AK658" i="9"/>
  <c r="AD658" i="9"/>
  <c r="B658" i="9"/>
  <c r="AU657" i="9"/>
  <c r="AT657" i="9"/>
  <c r="AN657" i="9"/>
  <c r="AK657" i="9"/>
  <c r="AD657" i="9"/>
  <c r="B657" i="9"/>
  <c r="AU656" i="9"/>
  <c r="AO656" i="9"/>
  <c r="AQ656" i="9"/>
  <c r="AT656" i="9"/>
  <c r="AN656" i="9"/>
  <c r="AP656" i="9"/>
  <c r="AR656" i="9"/>
  <c r="AV656" i="9"/>
  <c r="AX656" i="9"/>
  <c r="AK656" i="9"/>
  <c r="AD656" i="9"/>
  <c r="B656" i="9"/>
  <c r="AU655" i="9"/>
  <c r="AT655" i="9"/>
  <c r="AN655" i="9"/>
  <c r="AK655" i="9"/>
  <c r="AD655" i="9"/>
  <c r="B655" i="9"/>
  <c r="AU654" i="9"/>
  <c r="AO654" i="9"/>
  <c r="AT654" i="9"/>
  <c r="AN654" i="9"/>
  <c r="AP654" i="9"/>
  <c r="AK654" i="9"/>
  <c r="AD654" i="9"/>
  <c r="B654" i="9"/>
  <c r="AU653" i="9"/>
  <c r="AT653" i="9"/>
  <c r="AN653" i="9"/>
  <c r="AP653" i="9"/>
  <c r="AR653" i="9"/>
  <c r="AK653" i="9"/>
  <c r="AD653" i="9"/>
  <c r="B653" i="9"/>
  <c r="AU652" i="9"/>
  <c r="AO652" i="9"/>
  <c r="AQ652" i="9"/>
  <c r="AS652" i="9"/>
  <c r="AW652" i="9"/>
  <c r="AY652" i="9"/>
  <c r="BA652" i="9"/>
  <c r="BC652" i="9"/>
  <c r="BE652" i="9"/>
  <c r="AT652" i="9"/>
  <c r="AN652" i="9"/>
  <c r="AK652" i="9"/>
  <c r="AD652" i="9"/>
  <c r="B652" i="9"/>
  <c r="AU651" i="9"/>
  <c r="AO651" i="9"/>
  <c r="AQ651" i="9"/>
  <c r="AS651" i="9"/>
  <c r="AW651" i="9"/>
  <c r="AY651" i="9"/>
  <c r="BA651" i="9"/>
  <c r="BC651" i="9"/>
  <c r="BE651" i="9"/>
  <c r="AT651" i="9"/>
  <c r="AK651" i="9"/>
  <c r="AD651" i="9"/>
  <c r="B651" i="9"/>
  <c r="AU650" i="9"/>
  <c r="AO650" i="9"/>
  <c r="AQ650" i="9"/>
  <c r="AS650" i="9"/>
  <c r="AW650" i="9"/>
  <c r="AY650" i="9"/>
  <c r="BA650" i="9"/>
  <c r="BC650" i="9"/>
  <c r="BE650" i="9"/>
  <c r="AT650" i="9"/>
  <c r="AN650" i="9"/>
  <c r="AK650" i="9"/>
  <c r="AD650" i="9"/>
  <c r="B650" i="9"/>
  <c r="AU649" i="9"/>
  <c r="AT649" i="9"/>
  <c r="AN649" i="9"/>
  <c r="AK649" i="9"/>
  <c r="AD649" i="9"/>
  <c r="B649" i="9"/>
  <c r="AU648" i="9"/>
  <c r="AO648" i="9"/>
  <c r="AQ648" i="9"/>
  <c r="AS648" i="9"/>
  <c r="AW648" i="9"/>
  <c r="AY648" i="9"/>
  <c r="BA648" i="9"/>
  <c r="BC648" i="9"/>
  <c r="BE648" i="9"/>
  <c r="AT648" i="9"/>
  <c r="AK648" i="9"/>
  <c r="AD648" i="9"/>
  <c r="B648" i="9"/>
  <c r="AU647" i="9"/>
  <c r="AO647" i="9"/>
  <c r="AQ647" i="9"/>
  <c r="AS647" i="9"/>
  <c r="AW647" i="9"/>
  <c r="AY647" i="9"/>
  <c r="BA647" i="9"/>
  <c r="BC647" i="9"/>
  <c r="BE647" i="9"/>
  <c r="AT647" i="9"/>
  <c r="AK647" i="9"/>
  <c r="AD647" i="9"/>
  <c r="B647" i="9"/>
  <c r="AU646" i="9"/>
  <c r="AT646" i="9"/>
  <c r="AN646" i="9"/>
  <c r="AK646" i="9"/>
  <c r="AD646" i="9"/>
  <c r="B646" i="9"/>
  <c r="AU645" i="9"/>
  <c r="AT645" i="9"/>
  <c r="AN645" i="9"/>
  <c r="AK645" i="9"/>
  <c r="AD645" i="9"/>
  <c r="B645" i="9"/>
  <c r="AU644" i="9"/>
  <c r="AO644" i="9"/>
  <c r="AQ644" i="9"/>
  <c r="AS644" i="9"/>
  <c r="AW644" i="9"/>
  <c r="AY644" i="9"/>
  <c r="BA644" i="9"/>
  <c r="BC644" i="9"/>
  <c r="BE644" i="9"/>
  <c r="AT644" i="9"/>
  <c r="AK644" i="9"/>
  <c r="AD644" i="9"/>
  <c r="B644" i="9"/>
  <c r="AU643" i="9"/>
  <c r="AO643" i="9"/>
  <c r="AQ643" i="9"/>
  <c r="AS643" i="9"/>
  <c r="AW643" i="9"/>
  <c r="AY643" i="9"/>
  <c r="BA643" i="9"/>
  <c r="BC643" i="9"/>
  <c r="BE643" i="9"/>
  <c r="AT643" i="9"/>
  <c r="AN643" i="9"/>
  <c r="AP643" i="9"/>
  <c r="AR643" i="9"/>
  <c r="AK643" i="9"/>
  <c r="AD643" i="9"/>
  <c r="B643" i="9"/>
  <c r="AU642" i="9"/>
  <c r="AT642" i="9"/>
  <c r="AN642" i="9"/>
  <c r="AP642" i="9"/>
  <c r="AR642" i="9"/>
  <c r="AK642" i="9"/>
  <c r="AD642" i="9"/>
  <c r="B642" i="9"/>
  <c r="AU641" i="9"/>
  <c r="AT641" i="9"/>
  <c r="AN641" i="9"/>
  <c r="AP641" i="9"/>
  <c r="AR641" i="9"/>
  <c r="AV641" i="9"/>
  <c r="AK641" i="9"/>
  <c r="AD641" i="9"/>
  <c r="B641" i="9"/>
  <c r="AU640" i="9"/>
  <c r="AO640" i="9"/>
  <c r="AQ640" i="9"/>
  <c r="AS640" i="9"/>
  <c r="AW640" i="9"/>
  <c r="AY640" i="9"/>
  <c r="BA640" i="9"/>
  <c r="BC640" i="9"/>
  <c r="BE640" i="9"/>
  <c r="AT640" i="9"/>
  <c r="AK640" i="9"/>
  <c r="AD640" i="9"/>
  <c r="B640" i="9"/>
  <c r="C640" i="9"/>
  <c r="AU639" i="9"/>
  <c r="AO639" i="9"/>
  <c r="AQ639" i="9"/>
  <c r="AS639" i="9"/>
  <c r="AW639" i="9"/>
  <c r="AY639" i="9"/>
  <c r="BA639" i="9"/>
  <c r="BC639" i="9"/>
  <c r="BE639" i="9"/>
  <c r="AT639" i="9"/>
  <c r="AN639" i="9"/>
  <c r="AP639" i="9"/>
  <c r="AK639" i="9"/>
  <c r="AD639" i="9"/>
  <c r="B639" i="9"/>
  <c r="AU638" i="9"/>
  <c r="AO638" i="9"/>
  <c r="AQ638" i="9"/>
  <c r="AS638" i="9"/>
  <c r="AW638" i="9"/>
  <c r="AY638" i="9"/>
  <c r="BA638" i="9"/>
  <c r="BC638" i="9"/>
  <c r="BE638" i="9"/>
  <c r="AT638" i="9"/>
  <c r="AN638" i="9"/>
  <c r="AP638" i="9"/>
  <c r="AK638" i="9"/>
  <c r="AD638" i="9"/>
  <c r="B638" i="9"/>
  <c r="AU637" i="9"/>
  <c r="AO637" i="9"/>
  <c r="AQ637" i="9"/>
  <c r="AS637" i="9"/>
  <c r="AW637" i="9"/>
  <c r="AY637" i="9"/>
  <c r="BA637" i="9"/>
  <c r="BC637" i="9"/>
  <c r="BE637" i="9"/>
  <c r="AT637" i="9"/>
  <c r="AN637" i="9"/>
  <c r="AK637" i="9"/>
  <c r="AD637" i="9"/>
  <c r="B637" i="9"/>
  <c r="AU636" i="9"/>
  <c r="AO636" i="9"/>
  <c r="AQ636" i="9"/>
  <c r="AS636" i="9"/>
  <c r="AW636" i="9"/>
  <c r="AY636" i="9"/>
  <c r="BA636" i="9"/>
  <c r="BC636" i="9"/>
  <c r="BE636" i="9"/>
  <c r="AT636" i="9"/>
  <c r="AN636" i="9"/>
  <c r="AP636" i="9"/>
  <c r="AR636" i="9"/>
  <c r="AK636" i="9"/>
  <c r="AD636" i="9"/>
  <c r="B636" i="9"/>
  <c r="AU635" i="9"/>
  <c r="AT635" i="9"/>
  <c r="AN635" i="9"/>
  <c r="AK635" i="9"/>
  <c r="AD635" i="9"/>
  <c r="B635" i="9"/>
  <c r="AU634" i="9"/>
  <c r="AO634" i="9"/>
  <c r="AQ634" i="9"/>
  <c r="AS634" i="9"/>
  <c r="AW634" i="9"/>
  <c r="AY634" i="9"/>
  <c r="BA634" i="9"/>
  <c r="BC634" i="9"/>
  <c r="BE634" i="9"/>
  <c r="AT634" i="9"/>
  <c r="AK634" i="9"/>
  <c r="AD634" i="9"/>
  <c r="B634" i="9"/>
  <c r="AU633" i="9"/>
  <c r="AT633" i="9"/>
  <c r="AN633" i="9"/>
  <c r="AK633" i="9"/>
  <c r="AD633" i="9"/>
  <c r="B633" i="9"/>
  <c r="AU632" i="9"/>
  <c r="AO632" i="9"/>
  <c r="AQ632" i="9"/>
  <c r="AS632" i="9"/>
  <c r="AW632" i="9"/>
  <c r="AY632" i="9"/>
  <c r="BA632" i="9"/>
  <c r="BC632" i="9"/>
  <c r="BE632" i="9"/>
  <c r="AT632" i="9"/>
  <c r="AN632" i="9"/>
  <c r="AP632" i="9"/>
  <c r="AR632" i="9"/>
  <c r="AK632" i="9"/>
  <c r="AD632" i="9"/>
  <c r="B632" i="9"/>
  <c r="AU631" i="9"/>
  <c r="AT631" i="9"/>
  <c r="AN631" i="9"/>
  <c r="AP631" i="9"/>
  <c r="AK631" i="9"/>
  <c r="AD631" i="9"/>
  <c r="B631" i="9"/>
  <c r="AU630" i="9"/>
  <c r="AO630" i="9"/>
  <c r="AQ630" i="9"/>
  <c r="AS630" i="9"/>
  <c r="AW630" i="9"/>
  <c r="AY630" i="9"/>
  <c r="BA630" i="9"/>
  <c r="BC630" i="9"/>
  <c r="BE630" i="9"/>
  <c r="AT630" i="9"/>
  <c r="AN630" i="9"/>
  <c r="AP630" i="9"/>
  <c r="AK630" i="9"/>
  <c r="AD630" i="9"/>
  <c r="B630" i="9"/>
  <c r="AU629" i="9"/>
  <c r="AT629" i="9"/>
  <c r="AN629" i="9"/>
  <c r="AK629" i="9"/>
  <c r="AD629" i="9"/>
  <c r="B629" i="9"/>
  <c r="AU628" i="9"/>
  <c r="AO628" i="9"/>
  <c r="AQ628" i="9"/>
  <c r="AS628" i="9"/>
  <c r="AW628" i="9"/>
  <c r="AY628" i="9"/>
  <c r="BA628" i="9"/>
  <c r="BC628" i="9"/>
  <c r="BE628" i="9"/>
  <c r="AT628" i="9"/>
  <c r="AK628" i="9"/>
  <c r="AD628" i="9"/>
  <c r="B628" i="9"/>
  <c r="AU627" i="9"/>
  <c r="AT627" i="9"/>
  <c r="AO627" i="9"/>
  <c r="AQ627" i="9"/>
  <c r="AS627" i="9"/>
  <c r="AW627" i="9"/>
  <c r="AY627" i="9"/>
  <c r="BA627" i="9"/>
  <c r="BC627" i="9"/>
  <c r="BE627" i="9"/>
  <c r="AN627" i="9"/>
  <c r="AP627" i="9"/>
  <c r="AK627" i="9"/>
  <c r="AD627" i="9"/>
  <c r="B627" i="9"/>
  <c r="AU626" i="9"/>
  <c r="AO626" i="9"/>
  <c r="AQ626" i="9"/>
  <c r="AS626" i="9"/>
  <c r="AW626" i="9"/>
  <c r="AY626" i="9"/>
  <c r="BA626" i="9"/>
  <c r="BC626" i="9"/>
  <c r="BE626" i="9"/>
  <c r="AT626" i="9"/>
  <c r="AN626" i="9"/>
  <c r="AP626" i="9"/>
  <c r="AK626" i="9"/>
  <c r="AD626" i="9"/>
  <c r="B626" i="9"/>
  <c r="AU625" i="9"/>
  <c r="AT625" i="9"/>
  <c r="AN625" i="9"/>
  <c r="AK625" i="9"/>
  <c r="AD625" i="9"/>
  <c r="B625" i="9"/>
  <c r="AU624" i="9"/>
  <c r="AO624" i="9"/>
  <c r="AQ624" i="9"/>
  <c r="AS624" i="9"/>
  <c r="AW624" i="9"/>
  <c r="AY624" i="9"/>
  <c r="BA624" i="9"/>
  <c r="BC624" i="9"/>
  <c r="BE624" i="9"/>
  <c r="AT624" i="9"/>
  <c r="AN624" i="9"/>
  <c r="AK624" i="9"/>
  <c r="C624" i="9"/>
  <c r="AD624" i="9"/>
  <c r="B624" i="9"/>
  <c r="AU623" i="9"/>
  <c r="AT623" i="9"/>
  <c r="AN623" i="9"/>
  <c r="AK623" i="9"/>
  <c r="AD623" i="9"/>
  <c r="B623" i="9"/>
  <c r="AU622" i="9"/>
  <c r="AO622" i="9"/>
  <c r="AQ622" i="9"/>
  <c r="AS622" i="9"/>
  <c r="AW622" i="9"/>
  <c r="AY622" i="9"/>
  <c r="BA622" i="9"/>
  <c r="BC622" i="9"/>
  <c r="BE622" i="9"/>
  <c r="AT622" i="9"/>
  <c r="AK622" i="9"/>
  <c r="AD622" i="9"/>
  <c r="B622" i="9"/>
  <c r="AU621" i="9"/>
  <c r="AT621" i="9"/>
  <c r="AN621" i="9"/>
  <c r="AK621" i="9"/>
  <c r="AD621" i="9"/>
  <c r="B621" i="9"/>
  <c r="AU620" i="9"/>
  <c r="AO620" i="9"/>
  <c r="AQ620" i="9"/>
  <c r="AS620" i="9"/>
  <c r="AW620" i="9"/>
  <c r="AY620" i="9"/>
  <c r="BA620" i="9"/>
  <c r="BC620" i="9"/>
  <c r="BE620" i="9"/>
  <c r="AT620" i="9"/>
  <c r="AN620" i="9"/>
  <c r="AK620" i="9"/>
  <c r="AD620" i="9"/>
  <c r="B620" i="9"/>
  <c r="AU619" i="9"/>
  <c r="AT619" i="9"/>
  <c r="AN619" i="9"/>
  <c r="AP619" i="9"/>
  <c r="AR619" i="9"/>
  <c r="AK619" i="9"/>
  <c r="AD619" i="9"/>
  <c r="B619" i="9"/>
  <c r="AU618" i="9"/>
  <c r="AT618" i="9"/>
  <c r="AN618" i="9"/>
  <c r="AP618" i="9"/>
  <c r="AR618" i="9"/>
  <c r="AK618" i="9"/>
  <c r="AD618" i="9"/>
  <c r="B618" i="9"/>
  <c r="AU617" i="9"/>
  <c r="AT617" i="9"/>
  <c r="AN617" i="9"/>
  <c r="AK617" i="9"/>
  <c r="AD617" i="9"/>
  <c r="B617" i="9"/>
  <c r="C617" i="9"/>
  <c r="AU616" i="9"/>
  <c r="AO616" i="9"/>
  <c r="AQ616" i="9"/>
  <c r="AS616" i="9"/>
  <c r="AW616" i="9"/>
  <c r="AY616" i="9"/>
  <c r="BA616" i="9"/>
  <c r="BC616" i="9"/>
  <c r="BE616" i="9"/>
  <c r="AT616" i="9"/>
  <c r="AK616" i="9"/>
  <c r="AD616" i="9"/>
  <c r="B616" i="9"/>
  <c r="AU615" i="9"/>
  <c r="AT615" i="9"/>
  <c r="AN615" i="9"/>
  <c r="AP615" i="9"/>
  <c r="AK615" i="9"/>
  <c r="AD615" i="9"/>
  <c r="B615" i="9"/>
  <c r="AU614" i="9"/>
  <c r="AT614" i="9"/>
  <c r="AN614" i="9"/>
  <c r="AP614" i="9"/>
  <c r="AR614" i="9"/>
  <c r="AK614" i="9"/>
  <c r="AD614" i="9"/>
  <c r="B614" i="9"/>
  <c r="AU613" i="9"/>
  <c r="AT613" i="9"/>
  <c r="AN613" i="9"/>
  <c r="AK613" i="9"/>
  <c r="AD613" i="9"/>
  <c r="B613" i="9"/>
  <c r="AU612" i="9"/>
  <c r="AT612" i="9"/>
  <c r="AO612" i="9"/>
  <c r="AQ612" i="9"/>
  <c r="AS612" i="9"/>
  <c r="AW612" i="9"/>
  <c r="AY612" i="9"/>
  <c r="BA612" i="9"/>
  <c r="BC612" i="9"/>
  <c r="BE612" i="9"/>
  <c r="AK612" i="9"/>
  <c r="AD612" i="9"/>
  <c r="B612" i="9"/>
  <c r="AU611" i="9"/>
  <c r="AT611" i="9"/>
  <c r="AN611" i="9"/>
  <c r="AP611" i="9"/>
  <c r="AK611" i="9"/>
  <c r="AD611" i="9"/>
  <c r="B611" i="9"/>
  <c r="AU610" i="9"/>
  <c r="AO610" i="9"/>
  <c r="AQ610" i="9"/>
  <c r="AS610" i="9"/>
  <c r="AW610" i="9"/>
  <c r="AY610" i="9"/>
  <c r="BA610" i="9"/>
  <c r="BC610" i="9"/>
  <c r="BE610" i="9"/>
  <c r="AT610" i="9"/>
  <c r="AK610" i="9"/>
  <c r="AD610" i="9"/>
  <c r="B610" i="9"/>
  <c r="AU609" i="9"/>
  <c r="AT609" i="9"/>
  <c r="AN609" i="9"/>
  <c r="AK609" i="9"/>
  <c r="AD609" i="9"/>
  <c r="B609" i="9"/>
  <c r="AU608" i="9"/>
  <c r="AO608" i="9"/>
  <c r="AQ608" i="9"/>
  <c r="AS608" i="9"/>
  <c r="AW608" i="9"/>
  <c r="AY608" i="9"/>
  <c r="BA608" i="9"/>
  <c r="BC608" i="9"/>
  <c r="BE608" i="9"/>
  <c r="AT608" i="9"/>
  <c r="AN608" i="9"/>
  <c r="AK608" i="9"/>
  <c r="AD608" i="9"/>
  <c r="B608" i="9"/>
  <c r="AU607" i="9"/>
  <c r="AT607" i="9"/>
  <c r="AN607" i="9"/>
  <c r="AP607" i="9"/>
  <c r="AK607" i="9"/>
  <c r="AD607" i="9"/>
  <c r="B607" i="9"/>
  <c r="AU606" i="9"/>
  <c r="AT606" i="9"/>
  <c r="AN606" i="9"/>
  <c r="AK606" i="9"/>
  <c r="AD606" i="9"/>
  <c r="B606" i="9"/>
  <c r="AU605" i="9"/>
  <c r="AO605" i="9"/>
  <c r="AQ605" i="9"/>
  <c r="AS605" i="9"/>
  <c r="AW605" i="9"/>
  <c r="AY605" i="9"/>
  <c r="BA605" i="9"/>
  <c r="BC605" i="9"/>
  <c r="BE605" i="9"/>
  <c r="AT605" i="9"/>
  <c r="AN605" i="9"/>
  <c r="AK605" i="9"/>
  <c r="AD605" i="9"/>
  <c r="B605" i="9"/>
  <c r="AU604" i="9"/>
  <c r="AO604" i="9"/>
  <c r="AQ604" i="9"/>
  <c r="AS604" i="9"/>
  <c r="AW604" i="9"/>
  <c r="AY604" i="9"/>
  <c r="BA604" i="9"/>
  <c r="BC604" i="9"/>
  <c r="BE604" i="9"/>
  <c r="AT604" i="9"/>
  <c r="AN604" i="9"/>
  <c r="AK604" i="9"/>
  <c r="AD604" i="9"/>
  <c r="B604" i="9"/>
  <c r="AU603" i="9"/>
  <c r="AO603" i="9"/>
  <c r="AQ603" i="9"/>
  <c r="AS603" i="9"/>
  <c r="AW603" i="9"/>
  <c r="AY603" i="9"/>
  <c r="BA603" i="9"/>
  <c r="BC603" i="9"/>
  <c r="BE603" i="9"/>
  <c r="AT603" i="9"/>
  <c r="AN603" i="9"/>
  <c r="AK603" i="9"/>
  <c r="AD603" i="9"/>
  <c r="B603" i="9"/>
  <c r="AU602" i="9"/>
  <c r="AO602" i="9"/>
  <c r="AQ602" i="9"/>
  <c r="AS602" i="9"/>
  <c r="AW602" i="9"/>
  <c r="AY602" i="9"/>
  <c r="BA602" i="9"/>
  <c r="BC602" i="9"/>
  <c r="BE602" i="9"/>
  <c r="AT602" i="9"/>
  <c r="AN602" i="9"/>
  <c r="AK602" i="9"/>
  <c r="AD602" i="9"/>
  <c r="B602" i="9"/>
  <c r="AU601" i="9"/>
  <c r="AO601" i="9"/>
  <c r="AQ601" i="9"/>
  <c r="AS601" i="9"/>
  <c r="AW601" i="9"/>
  <c r="AY601" i="9"/>
  <c r="BA601" i="9"/>
  <c r="BC601" i="9"/>
  <c r="BE601" i="9"/>
  <c r="AT601" i="9"/>
  <c r="AK601" i="9"/>
  <c r="AD601" i="9"/>
  <c r="B601" i="9"/>
  <c r="AU600" i="9"/>
  <c r="AO600" i="9"/>
  <c r="AQ600" i="9"/>
  <c r="AS600" i="9"/>
  <c r="AW600" i="9"/>
  <c r="AY600" i="9"/>
  <c r="BA600" i="9"/>
  <c r="BC600" i="9"/>
  <c r="BE600" i="9"/>
  <c r="AT600" i="9"/>
  <c r="AN600" i="9"/>
  <c r="AK600" i="9"/>
  <c r="AD600" i="9"/>
  <c r="B600" i="9"/>
  <c r="AU599" i="9"/>
  <c r="AO599" i="9"/>
  <c r="AQ599" i="9"/>
  <c r="AS599" i="9"/>
  <c r="AW599" i="9"/>
  <c r="AY599" i="9"/>
  <c r="BA599" i="9"/>
  <c r="BC599" i="9"/>
  <c r="BE599" i="9"/>
  <c r="AT599" i="9"/>
  <c r="AK599" i="9"/>
  <c r="AD599" i="9"/>
  <c r="B599" i="9"/>
  <c r="AU598" i="9"/>
  <c r="AO598" i="9"/>
  <c r="AQ598" i="9"/>
  <c r="AS598" i="9"/>
  <c r="AW598" i="9"/>
  <c r="AY598" i="9"/>
  <c r="BA598" i="9"/>
  <c r="BC598" i="9"/>
  <c r="BE598" i="9"/>
  <c r="AT598" i="9"/>
  <c r="AN598" i="9"/>
  <c r="AP598" i="9"/>
  <c r="AK598" i="9"/>
  <c r="AD598" i="9"/>
  <c r="B598" i="9"/>
  <c r="AU597" i="9"/>
  <c r="AT597" i="9"/>
  <c r="AN597" i="9"/>
  <c r="AK597" i="9"/>
  <c r="AD597" i="9"/>
  <c r="B597" i="9"/>
  <c r="AU596" i="9"/>
  <c r="AO596" i="9"/>
  <c r="AQ596" i="9"/>
  <c r="AS596" i="9"/>
  <c r="AW596" i="9"/>
  <c r="AY596" i="9"/>
  <c r="BA596" i="9"/>
  <c r="BC596" i="9"/>
  <c r="BE596" i="9"/>
  <c r="AT596" i="9"/>
  <c r="AN596" i="9"/>
  <c r="AK596" i="9"/>
  <c r="AD596" i="9"/>
  <c r="B596" i="9"/>
  <c r="AU595" i="9"/>
  <c r="AO595" i="9"/>
  <c r="AQ595" i="9"/>
  <c r="AS595" i="9"/>
  <c r="AW595" i="9"/>
  <c r="AY595" i="9"/>
  <c r="BA595" i="9"/>
  <c r="BC595" i="9"/>
  <c r="BE595" i="9"/>
  <c r="AT595" i="9"/>
  <c r="AN595" i="9"/>
  <c r="AK595" i="9"/>
  <c r="AD595" i="9"/>
  <c r="B595" i="9"/>
  <c r="AU594" i="9"/>
  <c r="AO594" i="9"/>
  <c r="AQ594" i="9"/>
  <c r="AS594" i="9"/>
  <c r="AW594" i="9"/>
  <c r="AY594" i="9"/>
  <c r="BA594" i="9"/>
  <c r="BC594" i="9"/>
  <c r="BE594" i="9"/>
  <c r="AT594" i="9"/>
  <c r="AN594" i="9"/>
  <c r="AK594" i="9"/>
  <c r="AD594" i="9"/>
  <c r="B594" i="9"/>
  <c r="AU593" i="9"/>
  <c r="AO593" i="9"/>
  <c r="AQ593" i="9"/>
  <c r="AS593" i="9"/>
  <c r="AW593" i="9"/>
  <c r="AY593" i="9"/>
  <c r="BA593" i="9"/>
  <c r="BC593" i="9"/>
  <c r="BE593" i="9"/>
  <c r="AT593" i="9"/>
  <c r="AN593" i="9"/>
  <c r="AK593" i="9"/>
  <c r="AD593" i="9"/>
  <c r="B593" i="9"/>
  <c r="AU592" i="9"/>
  <c r="AO592" i="9"/>
  <c r="AQ592" i="9"/>
  <c r="AS592" i="9"/>
  <c r="AW592" i="9"/>
  <c r="AY592" i="9"/>
  <c r="BA592" i="9"/>
  <c r="BC592" i="9"/>
  <c r="BE592" i="9"/>
  <c r="AT592" i="9"/>
  <c r="AK592" i="9"/>
  <c r="AD592" i="9"/>
  <c r="B592" i="9"/>
  <c r="AU591" i="9"/>
  <c r="AO591" i="9"/>
  <c r="AQ591" i="9"/>
  <c r="AS591" i="9"/>
  <c r="AW591" i="9"/>
  <c r="AY591" i="9"/>
  <c r="BA591" i="9"/>
  <c r="BC591" i="9"/>
  <c r="BE591" i="9"/>
  <c r="AT591" i="9"/>
  <c r="AN591" i="9"/>
  <c r="AK591" i="9"/>
  <c r="AD591" i="9"/>
  <c r="B591" i="9"/>
  <c r="BC590" i="9"/>
  <c r="BE590" i="9"/>
  <c r="AU590" i="9"/>
  <c r="AO590" i="9"/>
  <c r="AQ590" i="9"/>
  <c r="AS590" i="9"/>
  <c r="AW590" i="9"/>
  <c r="AY590" i="9"/>
  <c r="BA590" i="9"/>
  <c r="AT590" i="9"/>
  <c r="AN590" i="9"/>
  <c r="AK590" i="9"/>
  <c r="AD590" i="9"/>
  <c r="B590" i="9"/>
  <c r="AU589" i="9"/>
  <c r="AT589" i="9"/>
  <c r="AN589" i="9"/>
  <c r="AK589" i="9"/>
  <c r="AD589" i="9"/>
  <c r="B589" i="9"/>
  <c r="AU588" i="9"/>
  <c r="AO588" i="9"/>
  <c r="AQ588" i="9"/>
  <c r="AS588" i="9"/>
  <c r="AW588" i="9"/>
  <c r="AY588" i="9"/>
  <c r="BA588" i="9"/>
  <c r="BC588" i="9"/>
  <c r="BE588" i="9"/>
  <c r="AT588" i="9"/>
  <c r="AN588" i="9"/>
  <c r="AP588" i="9"/>
  <c r="AK588" i="9"/>
  <c r="AD588" i="9"/>
  <c r="B588" i="9"/>
  <c r="AU587" i="9"/>
  <c r="AO587" i="9"/>
  <c r="AQ587" i="9"/>
  <c r="AS587" i="9"/>
  <c r="AW587" i="9"/>
  <c r="AY587" i="9"/>
  <c r="BA587" i="9"/>
  <c r="BC587" i="9"/>
  <c r="BE587" i="9"/>
  <c r="AT587" i="9"/>
  <c r="E587" i="9"/>
  <c r="AK587" i="9"/>
  <c r="AD587" i="9"/>
  <c r="B587" i="9"/>
  <c r="AU586" i="9"/>
  <c r="AO586" i="9"/>
  <c r="AQ586" i="9"/>
  <c r="AS586" i="9"/>
  <c r="AW586" i="9"/>
  <c r="AY586" i="9"/>
  <c r="BA586" i="9"/>
  <c r="BC586" i="9"/>
  <c r="BE586" i="9"/>
  <c r="AT586" i="9"/>
  <c r="AN586" i="9"/>
  <c r="AP586" i="9"/>
  <c r="AK586" i="9"/>
  <c r="AD586" i="9"/>
  <c r="B586" i="9"/>
  <c r="AU585" i="9"/>
  <c r="AO585" i="9"/>
  <c r="AQ585" i="9"/>
  <c r="AS585" i="9"/>
  <c r="AW585" i="9"/>
  <c r="AY585" i="9"/>
  <c r="BA585" i="9"/>
  <c r="BC585" i="9"/>
  <c r="BE585" i="9"/>
  <c r="AT585" i="9"/>
  <c r="AN585" i="9"/>
  <c r="AP585" i="9"/>
  <c r="AK585" i="9"/>
  <c r="AD585" i="9"/>
  <c r="B585" i="9"/>
  <c r="AU584" i="9"/>
  <c r="AO584" i="9"/>
  <c r="AQ584" i="9"/>
  <c r="AS584" i="9"/>
  <c r="AW584" i="9"/>
  <c r="AY584" i="9"/>
  <c r="BA584" i="9"/>
  <c r="BC584" i="9"/>
  <c r="BE584" i="9"/>
  <c r="AT584" i="9"/>
  <c r="AN584" i="9"/>
  <c r="H584" i="9"/>
  <c r="AK584" i="9"/>
  <c r="AD584" i="9"/>
  <c r="B584" i="9"/>
  <c r="AU583" i="9"/>
  <c r="AO583" i="9"/>
  <c r="AQ583" i="9"/>
  <c r="AS583" i="9"/>
  <c r="AW583" i="9"/>
  <c r="AY583" i="9"/>
  <c r="BA583" i="9"/>
  <c r="BC583" i="9"/>
  <c r="BE583" i="9"/>
  <c r="AT583" i="9"/>
  <c r="AK583" i="9"/>
  <c r="AD583" i="9"/>
  <c r="B583" i="9"/>
  <c r="AU582" i="9"/>
  <c r="AO582" i="9"/>
  <c r="AQ582" i="9"/>
  <c r="AS582" i="9"/>
  <c r="AW582" i="9"/>
  <c r="AY582" i="9"/>
  <c r="BA582" i="9"/>
  <c r="BC582" i="9"/>
  <c r="BE582" i="9"/>
  <c r="AT582" i="9"/>
  <c r="AN582" i="9"/>
  <c r="AK582" i="9"/>
  <c r="AD582" i="9"/>
  <c r="B582" i="9"/>
  <c r="AU581" i="9"/>
  <c r="AO581" i="9"/>
  <c r="AQ581" i="9"/>
  <c r="AS581" i="9"/>
  <c r="AW581" i="9"/>
  <c r="AY581" i="9"/>
  <c r="BA581" i="9"/>
  <c r="BC581" i="9"/>
  <c r="BE581" i="9"/>
  <c r="AT581" i="9"/>
  <c r="AN581" i="9"/>
  <c r="AK581" i="9"/>
  <c r="AD581" i="9"/>
  <c r="B581" i="9"/>
  <c r="AU580" i="9"/>
  <c r="AO580" i="9"/>
  <c r="AQ580" i="9"/>
  <c r="AS580" i="9"/>
  <c r="AW580" i="9"/>
  <c r="AY580" i="9"/>
  <c r="BA580" i="9"/>
  <c r="BC580" i="9"/>
  <c r="BE580" i="9"/>
  <c r="AT580" i="9"/>
  <c r="AN580" i="9"/>
  <c r="AP580" i="9"/>
  <c r="AK580" i="9"/>
  <c r="AD580" i="9"/>
  <c r="B580" i="9"/>
  <c r="AU579" i="9"/>
  <c r="AT579" i="9"/>
  <c r="AN579" i="9"/>
  <c r="AP579" i="9"/>
  <c r="AR579" i="9"/>
  <c r="AK579" i="9"/>
  <c r="AD579" i="9"/>
  <c r="B579" i="9"/>
  <c r="AU578" i="9"/>
  <c r="AO578" i="9"/>
  <c r="AT578" i="9"/>
  <c r="AQ578" i="9"/>
  <c r="AS578" i="9"/>
  <c r="AW578" i="9"/>
  <c r="AY578" i="9"/>
  <c r="BA578" i="9"/>
  <c r="BC578" i="9"/>
  <c r="BE578" i="9"/>
  <c r="AK578" i="9"/>
  <c r="AD578" i="9"/>
  <c r="B578" i="9"/>
  <c r="AU577" i="9"/>
  <c r="AT577" i="9"/>
  <c r="AN577" i="9"/>
  <c r="AP577" i="9"/>
  <c r="AK577" i="9"/>
  <c r="AD577" i="9"/>
  <c r="B577" i="9"/>
  <c r="C577" i="9"/>
  <c r="AU576" i="9"/>
  <c r="AO576" i="9"/>
  <c r="AQ576" i="9"/>
  <c r="AS576" i="9"/>
  <c r="AW576" i="9"/>
  <c r="AY576" i="9"/>
  <c r="BA576" i="9"/>
  <c r="BC576" i="9"/>
  <c r="BE576" i="9"/>
  <c r="AT576" i="9"/>
  <c r="AN576" i="9"/>
  <c r="AP576" i="9"/>
  <c r="AR576" i="9"/>
  <c r="AK576" i="9"/>
  <c r="AD576" i="9"/>
  <c r="B576" i="9"/>
  <c r="AU575" i="9"/>
  <c r="AT575" i="9"/>
  <c r="AN575" i="9"/>
  <c r="AP575" i="9"/>
  <c r="AK575" i="9"/>
  <c r="AD575" i="9"/>
  <c r="B575" i="9"/>
  <c r="AU574" i="9"/>
  <c r="AT574" i="9"/>
  <c r="AN574" i="9"/>
  <c r="AK574" i="9"/>
  <c r="AD574" i="9"/>
  <c r="B574" i="9"/>
  <c r="AU573" i="9"/>
  <c r="AT573" i="9"/>
  <c r="AN573" i="9"/>
  <c r="AK573" i="9"/>
  <c r="AD573" i="9"/>
  <c r="B573" i="9"/>
  <c r="AU572" i="9"/>
  <c r="AT572" i="9"/>
  <c r="AN572" i="9"/>
  <c r="AK572" i="9"/>
  <c r="AD572" i="9"/>
  <c r="B572" i="9"/>
  <c r="AU571" i="9"/>
  <c r="AO571" i="9"/>
  <c r="AQ571" i="9"/>
  <c r="AS571" i="9"/>
  <c r="AW571" i="9"/>
  <c r="AY571" i="9"/>
  <c r="BA571" i="9"/>
  <c r="BC571" i="9"/>
  <c r="BE571" i="9"/>
  <c r="AT571" i="9"/>
  <c r="AN571" i="9"/>
  <c r="AK571" i="9"/>
  <c r="AD571" i="9"/>
  <c r="B571" i="9"/>
  <c r="C571" i="9"/>
  <c r="AU570" i="9"/>
  <c r="AO570" i="9"/>
  <c r="AQ570" i="9"/>
  <c r="AS570" i="9"/>
  <c r="AW570" i="9"/>
  <c r="AY570" i="9"/>
  <c r="BA570" i="9"/>
  <c r="BC570" i="9"/>
  <c r="BE570" i="9"/>
  <c r="AT570" i="9"/>
  <c r="AN570" i="9"/>
  <c r="AK570" i="9"/>
  <c r="AD570" i="9"/>
  <c r="B570" i="9"/>
  <c r="AU569" i="9"/>
  <c r="AO569" i="9"/>
  <c r="AQ569" i="9"/>
  <c r="AS569" i="9"/>
  <c r="AW569" i="9"/>
  <c r="AY569" i="9"/>
  <c r="BA569" i="9"/>
  <c r="BC569" i="9"/>
  <c r="BE569" i="9"/>
  <c r="AT569" i="9"/>
  <c r="AK569" i="9"/>
  <c r="AD569" i="9"/>
  <c r="B569" i="9"/>
  <c r="AU568" i="9"/>
  <c r="AO568" i="9"/>
  <c r="AQ568" i="9"/>
  <c r="AS568" i="9"/>
  <c r="AW568" i="9"/>
  <c r="AY568" i="9"/>
  <c r="BA568" i="9"/>
  <c r="BC568" i="9"/>
  <c r="BE568" i="9"/>
  <c r="AT568" i="9"/>
  <c r="AN568" i="9"/>
  <c r="AK568" i="9"/>
  <c r="AD568" i="9"/>
  <c r="B568" i="9"/>
  <c r="AU567" i="9"/>
  <c r="AO567" i="9"/>
  <c r="AQ567" i="9"/>
  <c r="AS567" i="9"/>
  <c r="AW567" i="9"/>
  <c r="AY567" i="9"/>
  <c r="BA567" i="9"/>
  <c r="BC567" i="9"/>
  <c r="BE567" i="9"/>
  <c r="AT567" i="9"/>
  <c r="AN567" i="9"/>
  <c r="AK567" i="9"/>
  <c r="AD567" i="9"/>
  <c r="B567" i="9"/>
  <c r="AU566" i="9"/>
  <c r="AO566" i="9"/>
  <c r="AQ566" i="9"/>
  <c r="AS566" i="9"/>
  <c r="AW566" i="9"/>
  <c r="AY566" i="9"/>
  <c r="BA566" i="9"/>
  <c r="BC566" i="9"/>
  <c r="BE566" i="9"/>
  <c r="AT566" i="9"/>
  <c r="AK566" i="9"/>
  <c r="AD566" i="9"/>
  <c r="B566" i="9"/>
  <c r="AU565" i="9"/>
  <c r="AT565" i="9"/>
  <c r="AN565" i="9"/>
  <c r="AP565" i="9"/>
  <c r="AK565" i="9"/>
  <c r="AD565" i="9"/>
  <c r="B565" i="9"/>
  <c r="AU564" i="9"/>
  <c r="AO564" i="9"/>
  <c r="AQ564" i="9"/>
  <c r="AS564" i="9"/>
  <c r="AW564" i="9"/>
  <c r="AY564" i="9"/>
  <c r="BA564" i="9"/>
  <c r="BC564" i="9"/>
  <c r="BE564" i="9"/>
  <c r="AT564" i="9"/>
  <c r="AK564" i="9"/>
  <c r="AD564" i="9"/>
  <c r="B564" i="9"/>
  <c r="AU563" i="9"/>
  <c r="AO563" i="9"/>
  <c r="AQ563" i="9"/>
  <c r="AS563" i="9"/>
  <c r="AW563" i="9"/>
  <c r="AY563" i="9"/>
  <c r="BA563" i="9"/>
  <c r="BC563" i="9"/>
  <c r="BE563" i="9"/>
  <c r="AT563" i="9"/>
  <c r="AK563" i="9"/>
  <c r="AD563" i="9"/>
  <c r="B563" i="9"/>
  <c r="AU562" i="9"/>
  <c r="AO562" i="9"/>
  <c r="AQ562" i="9"/>
  <c r="AS562" i="9"/>
  <c r="AW562" i="9"/>
  <c r="AY562" i="9"/>
  <c r="BA562" i="9"/>
  <c r="BC562" i="9"/>
  <c r="BE562" i="9"/>
  <c r="AT562" i="9"/>
  <c r="AK562" i="9"/>
  <c r="AD562" i="9"/>
  <c r="B562" i="9"/>
  <c r="AU561" i="9"/>
  <c r="AO561" i="9"/>
  <c r="AQ561" i="9"/>
  <c r="AS561" i="9"/>
  <c r="AW561" i="9"/>
  <c r="AY561" i="9"/>
  <c r="BA561" i="9"/>
  <c r="BC561" i="9"/>
  <c r="BE561" i="9"/>
  <c r="AT561" i="9"/>
  <c r="AK561" i="9"/>
  <c r="AD561" i="9"/>
  <c r="B561" i="9"/>
  <c r="AU560" i="9"/>
  <c r="AO560" i="9"/>
  <c r="AQ560" i="9"/>
  <c r="AS560" i="9"/>
  <c r="AW560" i="9"/>
  <c r="AY560" i="9"/>
  <c r="BA560" i="9"/>
  <c r="BC560" i="9"/>
  <c r="BE560" i="9"/>
  <c r="AT560" i="9"/>
  <c r="AN560" i="9"/>
  <c r="AK560" i="9"/>
  <c r="AD560" i="9"/>
  <c r="B560" i="9"/>
  <c r="AU559" i="9"/>
  <c r="AO559" i="9"/>
  <c r="AQ559" i="9"/>
  <c r="AS559" i="9"/>
  <c r="AW559" i="9"/>
  <c r="AY559" i="9"/>
  <c r="BA559" i="9"/>
  <c r="BC559" i="9"/>
  <c r="BE559" i="9"/>
  <c r="AT559" i="9"/>
  <c r="AN559" i="9"/>
  <c r="AK559" i="9"/>
  <c r="AD559" i="9"/>
  <c r="B559" i="9"/>
  <c r="AU558" i="9"/>
  <c r="AO558" i="9"/>
  <c r="AQ558" i="9"/>
  <c r="AS558" i="9"/>
  <c r="AW558" i="9"/>
  <c r="AY558" i="9"/>
  <c r="BA558" i="9"/>
  <c r="BC558" i="9"/>
  <c r="BE558" i="9"/>
  <c r="AT558" i="9"/>
  <c r="AK558" i="9"/>
  <c r="AD558" i="9"/>
  <c r="B558" i="9"/>
  <c r="AU557" i="9"/>
  <c r="AT557" i="9"/>
  <c r="AO557" i="9"/>
  <c r="AQ557" i="9"/>
  <c r="AS557" i="9"/>
  <c r="AW557" i="9"/>
  <c r="AY557" i="9"/>
  <c r="BA557" i="9"/>
  <c r="BC557" i="9"/>
  <c r="BE557" i="9"/>
  <c r="AN557" i="9"/>
  <c r="AK557" i="9"/>
  <c r="AD557" i="9"/>
  <c r="B557" i="9"/>
  <c r="AU556" i="9"/>
  <c r="AO556" i="9"/>
  <c r="AQ556" i="9"/>
  <c r="AS556" i="9"/>
  <c r="AW556" i="9"/>
  <c r="AY556" i="9"/>
  <c r="BA556" i="9"/>
  <c r="BC556" i="9"/>
  <c r="BE556" i="9"/>
  <c r="AT556" i="9"/>
  <c r="AN556" i="9"/>
  <c r="AP556" i="9"/>
  <c r="AK556" i="9"/>
  <c r="AD556" i="9"/>
  <c r="B556" i="9"/>
  <c r="AU555" i="9"/>
  <c r="AO555" i="9"/>
  <c r="AQ555" i="9"/>
  <c r="AS555" i="9"/>
  <c r="AW555" i="9"/>
  <c r="AY555" i="9"/>
  <c r="BA555" i="9"/>
  <c r="BC555" i="9"/>
  <c r="BE555" i="9"/>
  <c r="AT555" i="9"/>
  <c r="AK555" i="9"/>
  <c r="C555" i="9"/>
  <c r="AD555" i="9"/>
  <c r="B555" i="9"/>
  <c r="AU554" i="9"/>
  <c r="AT554" i="9"/>
  <c r="AN554" i="9"/>
  <c r="AK554" i="9"/>
  <c r="AD554" i="9"/>
  <c r="B554" i="9"/>
  <c r="AU553" i="9"/>
  <c r="AT553" i="9"/>
  <c r="AN553" i="9"/>
  <c r="AP553" i="9"/>
  <c r="AK553" i="9"/>
  <c r="AD553" i="9"/>
  <c r="B553" i="9"/>
  <c r="AU552" i="9"/>
  <c r="AT552" i="9"/>
  <c r="AN552" i="9"/>
  <c r="AK552" i="9"/>
  <c r="AD552" i="9"/>
  <c r="B552" i="9"/>
  <c r="AU551" i="9"/>
  <c r="AO551" i="9"/>
  <c r="AQ551" i="9"/>
  <c r="AT551" i="9"/>
  <c r="AN551" i="9"/>
  <c r="AS551" i="9"/>
  <c r="AW551" i="9"/>
  <c r="AY551" i="9"/>
  <c r="BA551" i="9"/>
  <c r="BC551" i="9"/>
  <c r="BE551" i="9"/>
  <c r="AK551" i="9"/>
  <c r="AD551" i="9"/>
  <c r="E551" i="9"/>
  <c r="B551" i="9"/>
  <c r="AU550" i="9"/>
  <c r="AO550" i="9"/>
  <c r="AQ550" i="9"/>
  <c r="AS550" i="9"/>
  <c r="AW550" i="9"/>
  <c r="AY550" i="9"/>
  <c r="BA550" i="9"/>
  <c r="BC550" i="9"/>
  <c r="BE550" i="9"/>
  <c r="AT550" i="9"/>
  <c r="AN550" i="9"/>
  <c r="AP550" i="9"/>
  <c r="AR550" i="9"/>
  <c r="AK550" i="9"/>
  <c r="AD550" i="9"/>
  <c r="B550" i="9"/>
  <c r="AU549" i="9"/>
  <c r="AO549" i="9"/>
  <c r="AQ549" i="9"/>
  <c r="AS549" i="9"/>
  <c r="AW549" i="9"/>
  <c r="AY549" i="9"/>
  <c r="BA549" i="9"/>
  <c r="BC549" i="9"/>
  <c r="BE549" i="9"/>
  <c r="AT549" i="9"/>
  <c r="AN549" i="9"/>
  <c r="AP549" i="9"/>
  <c r="AK549" i="9"/>
  <c r="AD549" i="9"/>
  <c r="B549" i="9"/>
  <c r="AU548" i="9"/>
  <c r="AO548" i="9"/>
  <c r="AQ548" i="9"/>
  <c r="AS548" i="9"/>
  <c r="AW548" i="9"/>
  <c r="AY548" i="9"/>
  <c r="BA548" i="9"/>
  <c r="BC548" i="9"/>
  <c r="BE548" i="9"/>
  <c r="AT548" i="9"/>
  <c r="AN548" i="9"/>
  <c r="AK548" i="9"/>
  <c r="AD548" i="9"/>
  <c r="B548" i="9"/>
  <c r="AU547" i="9"/>
  <c r="AO547" i="9"/>
  <c r="AQ547" i="9"/>
  <c r="AS547" i="9"/>
  <c r="AW547" i="9"/>
  <c r="AY547" i="9"/>
  <c r="BA547" i="9"/>
  <c r="BC547" i="9"/>
  <c r="BE547" i="9"/>
  <c r="AT547" i="9"/>
  <c r="AN547" i="9"/>
  <c r="AK547" i="9"/>
  <c r="AD547" i="9"/>
  <c r="B547" i="9"/>
  <c r="AU546" i="9"/>
  <c r="E546" i="9"/>
  <c r="AT546" i="9"/>
  <c r="AN546" i="9"/>
  <c r="AK546" i="9"/>
  <c r="AD546" i="9"/>
  <c r="B546" i="9"/>
  <c r="AU545" i="9"/>
  <c r="AT545" i="9"/>
  <c r="AN545" i="9"/>
  <c r="AP545" i="9"/>
  <c r="AK545" i="9"/>
  <c r="AD545" i="9"/>
  <c r="B545" i="9"/>
  <c r="AU544" i="9"/>
  <c r="AO544" i="9"/>
  <c r="AQ544" i="9"/>
  <c r="AS544" i="9"/>
  <c r="AW544" i="9"/>
  <c r="AY544" i="9"/>
  <c r="BA544" i="9"/>
  <c r="BC544" i="9"/>
  <c r="BE544" i="9"/>
  <c r="AT544" i="9"/>
  <c r="AN544" i="9"/>
  <c r="AK544" i="9"/>
  <c r="AD544" i="9"/>
  <c r="B544" i="9"/>
  <c r="AU543" i="9"/>
  <c r="AO543" i="9"/>
  <c r="AQ543" i="9"/>
  <c r="AS543" i="9"/>
  <c r="AW543" i="9"/>
  <c r="AY543" i="9"/>
  <c r="BA543" i="9"/>
  <c r="BC543" i="9"/>
  <c r="BE543" i="9"/>
  <c r="AT543" i="9"/>
  <c r="AK543" i="9"/>
  <c r="AD543" i="9"/>
  <c r="B543" i="9"/>
  <c r="AU542" i="9"/>
  <c r="AO542" i="9"/>
  <c r="AQ542" i="9"/>
  <c r="AS542" i="9"/>
  <c r="AW542" i="9"/>
  <c r="AY542" i="9"/>
  <c r="BA542" i="9"/>
  <c r="BC542" i="9"/>
  <c r="BE542" i="9"/>
  <c r="AT542" i="9"/>
  <c r="AK542" i="9"/>
  <c r="AD542" i="9"/>
  <c r="B542" i="9"/>
  <c r="AU541" i="9"/>
  <c r="AO541" i="9"/>
  <c r="AQ541" i="9"/>
  <c r="AS541" i="9"/>
  <c r="AW541" i="9"/>
  <c r="AY541" i="9"/>
  <c r="BA541" i="9"/>
  <c r="BC541" i="9"/>
  <c r="BE541" i="9"/>
  <c r="AT541" i="9"/>
  <c r="AN541" i="9"/>
  <c r="AK541" i="9"/>
  <c r="AD541" i="9"/>
  <c r="B541" i="9"/>
  <c r="AU540" i="9"/>
  <c r="AO540" i="9"/>
  <c r="AQ540" i="9"/>
  <c r="AS540" i="9"/>
  <c r="AW540" i="9"/>
  <c r="AY540" i="9"/>
  <c r="BA540" i="9"/>
  <c r="BC540" i="9"/>
  <c r="BE540" i="9"/>
  <c r="AT540" i="9"/>
  <c r="AN540" i="9"/>
  <c r="AP540" i="9"/>
  <c r="AR540" i="9"/>
  <c r="AK540" i="9"/>
  <c r="AD540" i="9"/>
  <c r="B540" i="9"/>
  <c r="AU539" i="9"/>
  <c r="AO539" i="9"/>
  <c r="AQ539" i="9"/>
  <c r="AS539" i="9"/>
  <c r="AW539" i="9"/>
  <c r="AY539" i="9"/>
  <c r="BA539" i="9"/>
  <c r="BC539" i="9"/>
  <c r="BE539" i="9"/>
  <c r="AT539" i="9"/>
  <c r="AN539" i="9"/>
  <c r="AK539" i="9"/>
  <c r="AD539" i="9"/>
  <c r="B539" i="9"/>
  <c r="C539" i="9"/>
  <c r="AU538" i="9"/>
  <c r="AO538" i="9"/>
  <c r="AQ538" i="9"/>
  <c r="AS538" i="9"/>
  <c r="AW538" i="9"/>
  <c r="AY538" i="9"/>
  <c r="BA538" i="9"/>
  <c r="BC538" i="9"/>
  <c r="BE538" i="9"/>
  <c r="AT538" i="9"/>
  <c r="AN538" i="9"/>
  <c r="AK538" i="9"/>
  <c r="AD538" i="9"/>
  <c r="B538" i="9"/>
  <c r="AU537" i="9"/>
  <c r="E537" i="9"/>
  <c r="AT537" i="9"/>
  <c r="AO537" i="9"/>
  <c r="AQ537" i="9"/>
  <c r="AS537" i="9"/>
  <c r="AW537" i="9"/>
  <c r="AY537" i="9"/>
  <c r="BA537" i="9"/>
  <c r="BC537" i="9"/>
  <c r="BE537" i="9"/>
  <c r="AN537" i="9"/>
  <c r="AP537" i="9"/>
  <c r="AK537" i="9"/>
  <c r="AD537" i="9"/>
  <c r="B537" i="9"/>
  <c r="AU536" i="9"/>
  <c r="AO536" i="9"/>
  <c r="AQ536" i="9"/>
  <c r="AS536" i="9"/>
  <c r="AW536" i="9"/>
  <c r="AY536" i="9"/>
  <c r="BA536" i="9"/>
  <c r="BC536" i="9"/>
  <c r="BE536" i="9"/>
  <c r="AT536" i="9"/>
  <c r="E536" i="9"/>
  <c r="AK536" i="9"/>
  <c r="AD536" i="9"/>
  <c r="B536" i="9"/>
  <c r="AU535" i="9"/>
  <c r="AO535" i="9"/>
  <c r="AQ535" i="9"/>
  <c r="AS535" i="9"/>
  <c r="AW535" i="9"/>
  <c r="AY535" i="9"/>
  <c r="BA535" i="9"/>
  <c r="BC535" i="9"/>
  <c r="BE535" i="9"/>
  <c r="AT535" i="9"/>
  <c r="AN535" i="9"/>
  <c r="AK535" i="9"/>
  <c r="AD535" i="9"/>
  <c r="B535" i="9"/>
  <c r="AU534" i="9"/>
  <c r="AO534" i="9"/>
  <c r="AQ534" i="9"/>
  <c r="AS534" i="9"/>
  <c r="AW534" i="9"/>
  <c r="AY534" i="9"/>
  <c r="BA534" i="9"/>
  <c r="BC534" i="9"/>
  <c r="BE534" i="9"/>
  <c r="AT534" i="9"/>
  <c r="AN534" i="9"/>
  <c r="AK534" i="9"/>
  <c r="AD534" i="9"/>
  <c r="B534" i="9"/>
  <c r="AU533" i="9"/>
  <c r="AT533" i="9"/>
  <c r="AN533" i="9"/>
  <c r="AP533" i="9"/>
  <c r="AR533" i="9"/>
  <c r="AK533" i="9"/>
  <c r="AD533" i="9"/>
  <c r="B533" i="9"/>
  <c r="AU532" i="9"/>
  <c r="AO532" i="9"/>
  <c r="AQ532" i="9"/>
  <c r="AS532" i="9"/>
  <c r="AW532" i="9"/>
  <c r="AY532" i="9"/>
  <c r="BA532" i="9"/>
  <c r="BC532" i="9"/>
  <c r="BE532" i="9"/>
  <c r="AT532" i="9"/>
  <c r="AN532" i="9"/>
  <c r="AK532" i="9"/>
  <c r="AD532" i="9"/>
  <c r="B532" i="9"/>
  <c r="AU531" i="9"/>
  <c r="AO531" i="9"/>
  <c r="AQ531" i="9"/>
  <c r="AS531" i="9"/>
  <c r="AW531" i="9"/>
  <c r="AY531" i="9"/>
  <c r="BA531" i="9"/>
  <c r="BC531" i="9"/>
  <c r="BE531" i="9"/>
  <c r="AT531" i="9"/>
  <c r="AK531" i="9"/>
  <c r="AD531" i="9"/>
  <c r="B531" i="9"/>
  <c r="AU530" i="9"/>
  <c r="AO530" i="9"/>
  <c r="AQ530" i="9"/>
  <c r="AS530" i="9"/>
  <c r="AW530" i="9"/>
  <c r="AY530" i="9"/>
  <c r="BA530" i="9"/>
  <c r="BC530" i="9"/>
  <c r="BE530" i="9"/>
  <c r="AT530" i="9"/>
  <c r="AN530" i="9"/>
  <c r="AK530" i="9"/>
  <c r="AD530" i="9"/>
  <c r="B530" i="9"/>
  <c r="AU529" i="9"/>
  <c r="AT529" i="9"/>
  <c r="AN529" i="9"/>
  <c r="AP529" i="9"/>
  <c r="AR529" i="9"/>
  <c r="AK529" i="9"/>
  <c r="AD529" i="9"/>
  <c r="B529" i="9"/>
  <c r="AU528" i="9"/>
  <c r="AO528" i="9"/>
  <c r="AQ528" i="9"/>
  <c r="AS528" i="9"/>
  <c r="AW528" i="9"/>
  <c r="AY528" i="9"/>
  <c r="BA528" i="9"/>
  <c r="BC528" i="9"/>
  <c r="BE528" i="9"/>
  <c r="AT528" i="9"/>
  <c r="AK528" i="9"/>
  <c r="C528" i="9"/>
  <c r="AD528" i="9"/>
  <c r="B528" i="9"/>
  <c r="AU527" i="9"/>
  <c r="AO527" i="9"/>
  <c r="AQ527" i="9"/>
  <c r="AS527" i="9"/>
  <c r="AW527" i="9"/>
  <c r="AY527" i="9"/>
  <c r="BA527" i="9"/>
  <c r="BC527" i="9"/>
  <c r="BE527" i="9"/>
  <c r="AT527" i="9"/>
  <c r="AK527" i="9"/>
  <c r="AD527" i="9"/>
  <c r="B527" i="9"/>
  <c r="AU526" i="9"/>
  <c r="AO526" i="9"/>
  <c r="AQ526" i="9"/>
  <c r="AS526" i="9"/>
  <c r="AW526" i="9"/>
  <c r="AY526" i="9"/>
  <c r="BA526" i="9"/>
  <c r="BC526" i="9"/>
  <c r="BE526" i="9"/>
  <c r="AT526" i="9"/>
  <c r="AK526" i="9"/>
  <c r="AD526" i="9"/>
  <c r="B526" i="9"/>
  <c r="AU525" i="9"/>
  <c r="E525" i="9"/>
  <c r="AT525" i="9"/>
  <c r="AN525" i="9"/>
  <c r="AK525" i="9"/>
  <c r="AD525" i="9"/>
  <c r="B525" i="9"/>
  <c r="AU524" i="9"/>
  <c r="AO524" i="9"/>
  <c r="AQ524" i="9"/>
  <c r="AS524" i="9"/>
  <c r="AW524" i="9"/>
  <c r="AY524" i="9"/>
  <c r="BA524" i="9"/>
  <c r="BC524" i="9"/>
  <c r="BE524" i="9"/>
  <c r="AT524" i="9"/>
  <c r="AN524" i="9"/>
  <c r="AK524" i="9"/>
  <c r="AD524" i="9"/>
  <c r="B524" i="9"/>
  <c r="AU523" i="9"/>
  <c r="AO523" i="9"/>
  <c r="AQ523" i="9"/>
  <c r="AS523" i="9"/>
  <c r="AW523" i="9"/>
  <c r="AY523" i="9"/>
  <c r="BA523" i="9"/>
  <c r="BC523" i="9"/>
  <c r="BE523" i="9"/>
  <c r="AT523" i="9"/>
  <c r="AK523" i="9"/>
  <c r="AD523" i="9"/>
  <c r="B523" i="9"/>
  <c r="AU522" i="9"/>
  <c r="AO522" i="9"/>
  <c r="AQ522" i="9"/>
  <c r="AS522" i="9"/>
  <c r="AW522" i="9"/>
  <c r="AY522" i="9"/>
  <c r="BA522" i="9"/>
  <c r="BC522" i="9"/>
  <c r="BE522" i="9"/>
  <c r="AT522" i="9"/>
  <c r="AK522" i="9"/>
  <c r="AD522" i="9"/>
  <c r="B522" i="9"/>
  <c r="AU521" i="9"/>
  <c r="AO521" i="9"/>
  <c r="AQ521" i="9"/>
  <c r="AS521" i="9"/>
  <c r="AW521" i="9"/>
  <c r="AY521" i="9"/>
  <c r="BA521" i="9"/>
  <c r="BC521" i="9"/>
  <c r="BE521" i="9"/>
  <c r="AT521" i="9"/>
  <c r="AK521" i="9"/>
  <c r="AD521" i="9"/>
  <c r="B521" i="9"/>
  <c r="AU520" i="9"/>
  <c r="AO520" i="9"/>
  <c r="AQ520" i="9"/>
  <c r="AS520" i="9"/>
  <c r="AW520" i="9"/>
  <c r="AY520" i="9"/>
  <c r="BA520" i="9"/>
  <c r="BC520" i="9"/>
  <c r="BE520" i="9"/>
  <c r="AT520" i="9"/>
  <c r="AN520" i="9"/>
  <c r="H520" i="9"/>
  <c r="AK520" i="9"/>
  <c r="AD520" i="9"/>
  <c r="B520" i="9"/>
  <c r="AU519" i="9"/>
  <c r="AT519" i="9"/>
  <c r="AN519" i="9"/>
  <c r="AP519" i="9"/>
  <c r="AR519" i="9"/>
  <c r="AV519" i="9"/>
  <c r="AK519" i="9"/>
  <c r="AD519" i="9"/>
  <c r="B519" i="9"/>
  <c r="AU518" i="9"/>
  <c r="AO518" i="9"/>
  <c r="AQ518" i="9"/>
  <c r="AS518" i="9"/>
  <c r="AW518" i="9"/>
  <c r="AY518" i="9"/>
  <c r="BA518" i="9"/>
  <c r="BC518" i="9"/>
  <c r="BE518" i="9"/>
  <c r="AT518" i="9"/>
  <c r="AN518" i="9"/>
  <c r="AP518" i="9"/>
  <c r="AK518" i="9"/>
  <c r="AD518" i="9"/>
  <c r="B518" i="9"/>
  <c r="AU517" i="9"/>
  <c r="AO517" i="9"/>
  <c r="AQ517" i="9"/>
  <c r="AS517" i="9"/>
  <c r="AW517" i="9"/>
  <c r="AY517" i="9"/>
  <c r="BA517" i="9"/>
  <c r="BC517" i="9"/>
  <c r="BE517" i="9"/>
  <c r="AT517" i="9"/>
  <c r="AK517" i="9"/>
  <c r="AD517" i="9"/>
  <c r="B517" i="9"/>
  <c r="AU516" i="9"/>
  <c r="AT516" i="9"/>
  <c r="AN516" i="9"/>
  <c r="AK516" i="9"/>
  <c r="AD516" i="9"/>
  <c r="B516" i="9"/>
  <c r="AU515" i="9"/>
  <c r="AT515" i="9"/>
  <c r="AN515" i="9"/>
  <c r="AP515" i="9"/>
  <c r="AR515" i="9"/>
  <c r="AV515" i="9"/>
  <c r="AK515" i="9"/>
  <c r="AD515" i="9"/>
  <c r="B515" i="9"/>
  <c r="AU514" i="9"/>
  <c r="AT514" i="9"/>
  <c r="AN514" i="9"/>
  <c r="AP514" i="9"/>
  <c r="AK514" i="9"/>
  <c r="AD514" i="9"/>
  <c r="B514" i="9"/>
  <c r="AU513" i="9"/>
  <c r="AO513" i="9"/>
  <c r="AQ513" i="9"/>
  <c r="AS513" i="9"/>
  <c r="AW513" i="9"/>
  <c r="AY513" i="9"/>
  <c r="BA513" i="9"/>
  <c r="BC513" i="9"/>
  <c r="BE513" i="9"/>
  <c r="AT513" i="9"/>
  <c r="AK513" i="9"/>
  <c r="AD513" i="9"/>
  <c r="B513" i="9"/>
  <c r="AU512" i="9"/>
  <c r="AT512" i="9"/>
  <c r="AN512" i="9"/>
  <c r="AK512" i="9"/>
  <c r="AD512" i="9"/>
  <c r="B512" i="9"/>
  <c r="AU511" i="9"/>
  <c r="AT511" i="9"/>
  <c r="AN511" i="9"/>
  <c r="AP511" i="9"/>
  <c r="AR511" i="9"/>
  <c r="AV511" i="9"/>
  <c r="AX511" i="9"/>
  <c r="AK511" i="9"/>
  <c r="AD511" i="9"/>
  <c r="B511" i="9"/>
  <c r="AU510" i="9"/>
  <c r="AO510" i="9"/>
  <c r="AQ510" i="9"/>
  <c r="AS510" i="9"/>
  <c r="AW510" i="9"/>
  <c r="AY510" i="9"/>
  <c r="BA510" i="9"/>
  <c r="BC510" i="9"/>
  <c r="BE510" i="9"/>
  <c r="AT510" i="9"/>
  <c r="AN510" i="9"/>
  <c r="AK510" i="9"/>
  <c r="AD510" i="9"/>
  <c r="B510" i="9"/>
  <c r="AU509" i="9"/>
  <c r="AO509" i="9"/>
  <c r="AT509" i="9"/>
  <c r="AN509" i="9"/>
  <c r="AP509" i="9"/>
  <c r="AK509" i="9"/>
  <c r="AD509" i="9"/>
  <c r="B509" i="9"/>
  <c r="AU508" i="9"/>
  <c r="AT508" i="9"/>
  <c r="AN508" i="9"/>
  <c r="AP508" i="9"/>
  <c r="AR508" i="9"/>
  <c r="AK508" i="9"/>
  <c r="AD508" i="9"/>
  <c r="B508" i="9"/>
  <c r="AU507" i="9"/>
  <c r="E507" i="9"/>
  <c r="AT507" i="9"/>
  <c r="AN507" i="9"/>
  <c r="AP507" i="9"/>
  <c r="AR507" i="9"/>
  <c r="AV507" i="9"/>
  <c r="AX507" i="9"/>
  <c r="AK507" i="9"/>
  <c r="AD507" i="9"/>
  <c r="B507" i="9"/>
  <c r="AU506" i="9"/>
  <c r="AO506" i="9"/>
  <c r="AQ506" i="9"/>
  <c r="AS506" i="9"/>
  <c r="AW506" i="9"/>
  <c r="AY506" i="9"/>
  <c r="BA506" i="9"/>
  <c r="BC506" i="9"/>
  <c r="BE506" i="9"/>
  <c r="AT506" i="9"/>
  <c r="AN506" i="9"/>
  <c r="AK506" i="9"/>
  <c r="AD506" i="9"/>
  <c r="B506" i="9"/>
  <c r="C506" i="9"/>
  <c r="AU505" i="9"/>
  <c r="AT505" i="9"/>
  <c r="AN505" i="9"/>
  <c r="AP505" i="9"/>
  <c r="AK505" i="9"/>
  <c r="AD505" i="9"/>
  <c r="B505" i="9"/>
  <c r="AU504" i="9"/>
  <c r="AT504" i="9"/>
  <c r="AN504" i="9"/>
  <c r="AP504" i="9"/>
  <c r="AR504" i="9"/>
  <c r="AK504" i="9"/>
  <c r="AD504" i="9"/>
  <c r="B504" i="9"/>
  <c r="AU503" i="9"/>
  <c r="E503" i="9"/>
  <c r="AT503" i="9"/>
  <c r="AN503" i="9"/>
  <c r="AP503" i="9"/>
  <c r="AR503" i="9"/>
  <c r="AV503" i="9"/>
  <c r="AK503" i="9"/>
  <c r="AD503" i="9"/>
  <c r="B503" i="9"/>
  <c r="C503" i="9"/>
  <c r="AU502" i="9"/>
  <c r="AT502" i="9"/>
  <c r="AN502" i="9"/>
  <c r="AK502" i="9"/>
  <c r="C502" i="9"/>
  <c r="AD502" i="9"/>
  <c r="B502" i="9"/>
  <c r="AU501" i="9"/>
  <c r="AT501" i="9"/>
  <c r="AN501" i="9"/>
  <c r="AO501" i="9"/>
  <c r="AQ501" i="9"/>
  <c r="AS501" i="9"/>
  <c r="AW501" i="9"/>
  <c r="AY501" i="9"/>
  <c r="BA501" i="9"/>
  <c r="BC501" i="9"/>
  <c r="BE501" i="9"/>
  <c r="AK501" i="9"/>
  <c r="AD501" i="9"/>
  <c r="B501" i="9"/>
  <c r="AU500" i="9"/>
  <c r="AT500" i="9"/>
  <c r="AN500" i="9"/>
  <c r="AP500" i="9"/>
  <c r="AR500" i="9"/>
  <c r="AV500" i="9"/>
  <c r="AK500" i="9"/>
  <c r="AD500" i="9"/>
  <c r="B500" i="9"/>
  <c r="AU499" i="9"/>
  <c r="AT499" i="9"/>
  <c r="AN499" i="9"/>
  <c r="AP499" i="9"/>
  <c r="AR499" i="9"/>
  <c r="AV499" i="9"/>
  <c r="AK499" i="9"/>
  <c r="AD499" i="9"/>
  <c r="B499" i="9"/>
  <c r="AU498" i="9"/>
  <c r="AT498" i="9"/>
  <c r="AN498" i="9"/>
  <c r="AP498" i="9"/>
  <c r="AK498" i="9"/>
  <c r="AD498" i="9"/>
  <c r="B498" i="9"/>
  <c r="AU497" i="9"/>
  <c r="AO497" i="9"/>
  <c r="AQ497" i="9"/>
  <c r="AS497" i="9"/>
  <c r="AW497" i="9"/>
  <c r="AY497" i="9"/>
  <c r="BA497" i="9"/>
  <c r="BC497" i="9"/>
  <c r="BE497" i="9"/>
  <c r="AT497" i="9"/>
  <c r="AK497" i="9"/>
  <c r="AD497" i="9"/>
  <c r="B497" i="9"/>
  <c r="AU496" i="9"/>
  <c r="AT496" i="9"/>
  <c r="AN496" i="9"/>
  <c r="AP496" i="9"/>
  <c r="AR496" i="9"/>
  <c r="AV496" i="9"/>
  <c r="AK496" i="9"/>
  <c r="AD496" i="9"/>
  <c r="B496" i="9"/>
  <c r="AU495" i="9"/>
  <c r="AT495" i="9"/>
  <c r="AN495" i="9"/>
  <c r="AP495" i="9"/>
  <c r="AR495" i="9"/>
  <c r="AV495" i="9"/>
  <c r="AX495" i="9"/>
  <c r="AK495" i="9"/>
  <c r="AD495" i="9"/>
  <c r="B495" i="9"/>
  <c r="AU494" i="9"/>
  <c r="AT494" i="9"/>
  <c r="AN494" i="9"/>
  <c r="AP494" i="9"/>
  <c r="AK494" i="9"/>
  <c r="AD494" i="9"/>
  <c r="B494" i="9"/>
  <c r="AU493" i="9"/>
  <c r="AO493" i="9"/>
  <c r="AQ493" i="9"/>
  <c r="AS493" i="9"/>
  <c r="AW493" i="9"/>
  <c r="AY493" i="9"/>
  <c r="BA493" i="9"/>
  <c r="BC493" i="9"/>
  <c r="BE493" i="9"/>
  <c r="AT493" i="9"/>
  <c r="AN493" i="9"/>
  <c r="AP493" i="9"/>
  <c r="AK493" i="9"/>
  <c r="AD493" i="9"/>
  <c r="B493" i="9"/>
  <c r="AU492" i="9"/>
  <c r="AT492" i="9"/>
  <c r="AN492" i="9"/>
  <c r="AP492" i="9"/>
  <c r="AR492" i="9"/>
  <c r="AV492" i="9"/>
  <c r="AK492" i="9"/>
  <c r="AD492" i="9"/>
  <c r="B492" i="9"/>
  <c r="AU491" i="9"/>
  <c r="AT491" i="9"/>
  <c r="AN491" i="9"/>
  <c r="AP491" i="9"/>
  <c r="AR491" i="9"/>
  <c r="AV491" i="9"/>
  <c r="AK491" i="9"/>
  <c r="AD491" i="9"/>
  <c r="B491" i="9"/>
  <c r="AU490" i="9"/>
  <c r="AO490" i="9"/>
  <c r="AQ490" i="9"/>
  <c r="AS490" i="9"/>
  <c r="AW490" i="9"/>
  <c r="AY490" i="9"/>
  <c r="BA490" i="9"/>
  <c r="BC490" i="9"/>
  <c r="BE490" i="9"/>
  <c r="AT490" i="9"/>
  <c r="AK490" i="9"/>
  <c r="AD490" i="9"/>
  <c r="B490" i="9"/>
  <c r="AU489" i="9"/>
  <c r="AO489" i="9"/>
  <c r="AQ489" i="9"/>
  <c r="AS489" i="9"/>
  <c r="AW489" i="9"/>
  <c r="AY489" i="9"/>
  <c r="BA489" i="9"/>
  <c r="BC489" i="9"/>
  <c r="BE489" i="9"/>
  <c r="AT489" i="9"/>
  <c r="AN489" i="9"/>
  <c r="AP489" i="9"/>
  <c r="AK489" i="9"/>
  <c r="AD489" i="9"/>
  <c r="B489" i="9"/>
  <c r="AU488" i="9"/>
  <c r="AO488" i="9"/>
  <c r="AQ488" i="9"/>
  <c r="AT488" i="9"/>
  <c r="AN488" i="9"/>
  <c r="AP488" i="9"/>
  <c r="AR488" i="9"/>
  <c r="AK488" i="9"/>
  <c r="AD488" i="9"/>
  <c r="B488" i="9"/>
  <c r="AU487" i="9"/>
  <c r="AT487" i="9"/>
  <c r="AN487" i="9"/>
  <c r="AP487" i="9"/>
  <c r="AR487" i="9"/>
  <c r="AV487" i="9"/>
  <c r="AX487" i="9"/>
  <c r="AZ487" i="9"/>
  <c r="BB487" i="9"/>
  <c r="BD487" i="9"/>
  <c r="AK487" i="9"/>
  <c r="AD487" i="9"/>
  <c r="B487" i="9"/>
  <c r="AU486" i="9"/>
  <c r="AO486" i="9"/>
  <c r="AQ486" i="9"/>
  <c r="AS486" i="9"/>
  <c r="AW486" i="9"/>
  <c r="AY486" i="9"/>
  <c r="BA486" i="9"/>
  <c r="BC486" i="9"/>
  <c r="BE486" i="9"/>
  <c r="AT486" i="9"/>
  <c r="AK486" i="9"/>
  <c r="AD486" i="9"/>
  <c r="B486" i="9"/>
  <c r="AU485" i="9"/>
  <c r="AT485" i="9"/>
  <c r="AN485" i="9"/>
  <c r="AP485" i="9"/>
  <c r="AK485" i="9"/>
  <c r="AD485" i="9"/>
  <c r="B485" i="9"/>
  <c r="AU484" i="9"/>
  <c r="AT484" i="9"/>
  <c r="AN484" i="9"/>
  <c r="AP484" i="9"/>
  <c r="AR484" i="9"/>
  <c r="AV484" i="9"/>
  <c r="AK484" i="9"/>
  <c r="AD484" i="9"/>
  <c r="B484" i="9"/>
  <c r="AU483" i="9"/>
  <c r="AT483" i="9"/>
  <c r="AN483" i="9"/>
  <c r="AP483" i="9"/>
  <c r="AK483" i="9"/>
  <c r="AD483" i="9"/>
  <c r="B483" i="9"/>
  <c r="AU482" i="9"/>
  <c r="AO482" i="9"/>
  <c r="AQ482" i="9"/>
  <c r="AS482" i="9"/>
  <c r="AW482" i="9"/>
  <c r="AY482" i="9"/>
  <c r="BA482" i="9"/>
  <c r="BC482" i="9"/>
  <c r="BE482" i="9"/>
  <c r="AT482" i="9"/>
  <c r="AN482" i="9"/>
  <c r="AP482" i="9"/>
  <c r="AK482" i="9"/>
  <c r="AD482" i="9"/>
  <c r="B482" i="9"/>
  <c r="AU481" i="9"/>
  <c r="AO481" i="9"/>
  <c r="AQ481" i="9"/>
  <c r="AS481" i="9"/>
  <c r="AW481" i="9"/>
  <c r="AY481" i="9"/>
  <c r="BA481" i="9"/>
  <c r="BC481" i="9"/>
  <c r="BE481" i="9"/>
  <c r="AT481" i="9"/>
  <c r="AN481" i="9"/>
  <c r="AP481" i="9"/>
  <c r="AK481" i="9"/>
  <c r="AD481" i="9"/>
  <c r="B481" i="9"/>
  <c r="AU480" i="9"/>
  <c r="E480" i="9"/>
  <c r="K480" i="9"/>
  <c r="AT480" i="9"/>
  <c r="AN480" i="9"/>
  <c r="AP480" i="9"/>
  <c r="AR480" i="9"/>
  <c r="AV480" i="9"/>
  <c r="AK480" i="9"/>
  <c r="AD480" i="9"/>
  <c r="B480" i="9"/>
  <c r="AU479" i="9"/>
  <c r="AT479" i="9"/>
  <c r="AN479" i="9"/>
  <c r="AP479" i="9"/>
  <c r="AR479" i="9"/>
  <c r="AV479" i="9"/>
  <c r="AX479" i="9"/>
  <c r="AZ479" i="9"/>
  <c r="BB479" i="9"/>
  <c r="BD479" i="9"/>
  <c r="AK479" i="9"/>
  <c r="AD479" i="9"/>
  <c r="B479" i="9"/>
  <c r="AU478" i="9"/>
  <c r="AO478" i="9"/>
  <c r="AQ478" i="9"/>
  <c r="AS478" i="9"/>
  <c r="AW478" i="9"/>
  <c r="AY478" i="9"/>
  <c r="BA478" i="9"/>
  <c r="BC478" i="9"/>
  <c r="BE478" i="9"/>
  <c r="AT478" i="9"/>
  <c r="AN478" i="9"/>
  <c r="AP478" i="9"/>
  <c r="AK478" i="9"/>
  <c r="AD478" i="9"/>
  <c r="B478" i="9"/>
  <c r="AU477" i="9"/>
  <c r="AO477" i="9"/>
  <c r="AQ477" i="9"/>
  <c r="AS477" i="9"/>
  <c r="AW477" i="9"/>
  <c r="AY477" i="9"/>
  <c r="BA477" i="9"/>
  <c r="BC477" i="9"/>
  <c r="BE477" i="9"/>
  <c r="AT477" i="9"/>
  <c r="AN477" i="9"/>
  <c r="AP477" i="9"/>
  <c r="AK477" i="9"/>
  <c r="C477" i="9"/>
  <c r="AD477" i="9"/>
  <c r="B477" i="9"/>
  <c r="AU476" i="9"/>
  <c r="AT476" i="9"/>
  <c r="AN476" i="9"/>
  <c r="AP476" i="9"/>
  <c r="AR476" i="9"/>
  <c r="AV476" i="9"/>
  <c r="AK476" i="9"/>
  <c r="AD476" i="9"/>
  <c r="B476" i="9"/>
  <c r="AU475" i="9"/>
  <c r="AT475" i="9"/>
  <c r="AN475" i="9"/>
  <c r="AP475" i="9"/>
  <c r="AR475" i="9"/>
  <c r="AV475" i="9"/>
  <c r="AX475" i="9"/>
  <c r="AZ475" i="9"/>
  <c r="BB475" i="9"/>
  <c r="BD475" i="9"/>
  <c r="AK475" i="9"/>
  <c r="AD475" i="9"/>
  <c r="B475" i="9"/>
  <c r="AU474" i="9"/>
  <c r="AT474" i="9"/>
  <c r="AN474" i="9"/>
  <c r="AP474" i="9"/>
  <c r="AK474" i="9"/>
  <c r="AD474" i="9"/>
  <c r="B474" i="9"/>
  <c r="AU473" i="9"/>
  <c r="AO473" i="9"/>
  <c r="AT473" i="9"/>
  <c r="AN473" i="9"/>
  <c r="AP473" i="9"/>
  <c r="AK473" i="9"/>
  <c r="AD473" i="9"/>
  <c r="B473" i="9"/>
  <c r="AU472" i="9"/>
  <c r="AT472" i="9"/>
  <c r="AN472" i="9"/>
  <c r="AP472" i="9"/>
  <c r="AK472" i="9"/>
  <c r="AD472" i="9"/>
  <c r="B472" i="9"/>
  <c r="AU471" i="9"/>
  <c r="AO471" i="9"/>
  <c r="AQ471" i="9"/>
  <c r="AS471" i="9"/>
  <c r="AW471" i="9"/>
  <c r="AY471" i="9"/>
  <c r="BA471" i="9"/>
  <c r="BC471" i="9"/>
  <c r="BE471" i="9"/>
  <c r="AT471" i="9"/>
  <c r="AN471" i="9"/>
  <c r="AK471" i="9"/>
  <c r="AD471" i="9"/>
  <c r="B471" i="9"/>
  <c r="AU470" i="9"/>
  <c r="AO470" i="9"/>
  <c r="AQ470" i="9"/>
  <c r="AS470" i="9"/>
  <c r="AW470" i="9"/>
  <c r="AY470" i="9"/>
  <c r="BA470" i="9"/>
  <c r="BC470" i="9"/>
  <c r="BE470" i="9"/>
  <c r="AT470" i="9"/>
  <c r="AN470" i="9"/>
  <c r="AK470" i="9"/>
  <c r="AD470" i="9"/>
  <c r="B470" i="9"/>
  <c r="AU469" i="9"/>
  <c r="AO469" i="9"/>
  <c r="AQ469" i="9"/>
  <c r="AS469" i="9"/>
  <c r="AW469" i="9"/>
  <c r="AY469" i="9"/>
  <c r="BA469" i="9"/>
  <c r="BC469" i="9"/>
  <c r="BE469" i="9"/>
  <c r="AT469" i="9"/>
  <c r="AN469" i="9"/>
  <c r="AK469" i="9"/>
  <c r="AD469" i="9"/>
  <c r="B469" i="9"/>
  <c r="AU468" i="9"/>
  <c r="AT468" i="9"/>
  <c r="AN468" i="9"/>
  <c r="AP468" i="9"/>
  <c r="AK468" i="9"/>
  <c r="AD468" i="9"/>
  <c r="B468" i="9"/>
  <c r="AU467" i="9"/>
  <c r="AO467" i="9"/>
  <c r="AQ467" i="9"/>
  <c r="AS467" i="9"/>
  <c r="AW467" i="9"/>
  <c r="AY467" i="9"/>
  <c r="BA467" i="9"/>
  <c r="BC467" i="9"/>
  <c r="BE467" i="9"/>
  <c r="AT467" i="9"/>
  <c r="AN467" i="9"/>
  <c r="AP467" i="9"/>
  <c r="AR467" i="9"/>
  <c r="AK467" i="9"/>
  <c r="AD467" i="9"/>
  <c r="B467" i="9"/>
  <c r="AU466" i="9"/>
  <c r="AO466" i="9"/>
  <c r="AQ466" i="9"/>
  <c r="AS466" i="9"/>
  <c r="AW466" i="9"/>
  <c r="AY466" i="9"/>
  <c r="BA466" i="9"/>
  <c r="BC466" i="9"/>
  <c r="BE466" i="9"/>
  <c r="AT466" i="9"/>
  <c r="AN466" i="9"/>
  <c r="AK466" i="9"/>
  <c r="AD466" i="9"/>
  <c r="B466" i="9"/>
  <c r="C466" i="9"/>
  <c r="AU465" i="9"/>
  <c r="AT465" i="9"/>
  <c r="AN465" i="9"/>
  <c r="AK465" i="9"/>
  <c r="AD465" i="9"/>
  <c r="B465" i="9"/>
  <c r="AU464" i="9"/>
  <c r="AT464" i="9"/>
  <c r="AN464" i="9"/>
  <c r="AK464" i="9"/>
  <c r="AD464" i="9"/>
  <c r="B464" i="9"/>
  <c r="AU463" i="9"/>
  <c r="AO463" i="9"/>
  <c r="AQ463" i="9"/>
  <c r="AS463" i="9"/>
  <c r="AW463" i="9"/>
  <c r="AY463" i="9"/>
  <c r="BA463" i="9"/>
  <c r="BC463" i="9"/>
  <c r="BE463" i="9"/>
  <c r="AT463" i="9"/>
  <c r="AN463" i="9"/>
  <c r="AK463" i="9"/>
  <c r="AD463" i="9"/>
  <c r="B463" i="9"/>
  <c r="AU462" i="9"/>
  <c r="AO462" i="9"/>
  <c r="AQ462" i="9"/>
  <c r="AS462" i="9"/>
  <c r="AW462" i="9"/>
  <c r="AY462" i="9"/>
  <c r="BA462" i="9"/>
  <c r="BC462" i="9"/>
  <c r="BE462" i="9"/>
  <c r="AT462" i="9"/>
  <c r="AN462" i="9"/>
  <c r="AK462" i="9"/>
  <c r="AD462" i="9"/>
  <c r="B462" i="9"/>
  <c r="AU461" i="9"/>
  <c r="AO461" i="9"/>
  <c r="AQ461" i="9"/>
  <c r="AS461" i="9"/>
  <c r="AW461" i="9"/>
  <c r="AY461" i="9"/>
  <c r="BA461" i="9"/>
  <c r="BC461" i="9"/>
  <c r="BE461" i="9"/>
  <c r="AT461" i="9"/>
  <c r="E461" i="9"/>
  <c r="AK461" i="9"/>
  <c r="AD461" i="9"/>
  <c r="B461" i="9"/>
  <c r="C461" i="9"/>
  <c r="AU460" i="9"/>
  <c r="AO460" i="9"/>
  <c r="AQ460" i="9"/>
  <c r="AS460" i="9"/>
  <c r="AW460" i="9"/>
  <c r="AY460" i="9"/>
  <c r="BA460" i="9"/>
  <c r="BC460" i="9"/>
  <c r="BE460" i="9"/>
  <c r="AT460" i="9"/>
  <c r="AK460" i="9"/>
  <c r="AD460" i="9"/>
  <c r="B460" i="9"/>
  <c r="AU459" i="9"/>
  <c r="AO459" i="9"/>
  <c r="AQ459" i="9"/>
  <c r="AS459" i="9"/>
  <c r="AW459" i="9"/>
  <c r="AY459" i="9"/>
  <c r="BA459" i="9"/>
  <c r="BC459" i="9"/>
  <c r="BE459" i="9"/>
  <c r="AT459" i="9"/>
  <c r="AN459" i="9"/>
  <c r="AK459" i="9"/>
  <c r="AD459" i="9"/>
  <c r="B459" i="9"/>
  <c r="AU458" i="9"/>
  <c r="AO458" i="9"/>
  <c r="AQ458" i="9"/>
  <c r="AS458" i="9"/>
  <c r="AW458" i="9"/>
  <c r="AY458" i="9"/>
  <c r="BA458" i="9"/>
  <c r="BC458" i="9"/>
  <c r="BE458" i="9"/>
  <c r="AT458" i="9"/>
  <c r="AN458" i="9"/>
  <c r="AK458" i="9"/>
  <c r="AD458" i="9"/>
  <c r="B458" i="9"/>
  <c r="C458" i="9"/>
  <c r="AU457" i="9"/>
  <c r="AO457" i="9"/>
  <c r="AQ457" i="9"/>
  <c r="AS457" i="9"/>
  <c r="AW457" i="9"/>
  <c r="AY457" i="9"/>
  <c r="BA457" i="9"/>
  <c r="BC457" i="9"/>
  <c r="BE457" i="9"/>
  <c r="AT457" i="9"/>
  <c r="E457" i="9"/>
  <c r="K457" i="9"/>
  <c r="AK457" i="9"/>
  <c r="AD457" i="9"/>
  <c r="B457" i="9"/>
  <c r="AU456" i="9"/>
  <c r="AO456" i="9"/>
  <c r="AQ456" i="9"/>
  <c r="AS456" i="9"/>
  <c r="AW456" i="9"/>
  <c r="AY456" i="9"/>
  <c r="BA456" i="9"/>
  <c r="BC456" i="9"/>
  <c r="BE456" i="9"/>
  <c r="AT456" i="9"/>
  <c r="AN456" i="9"/>
  <c r="AK456" i="9"/>
  <c r="AD456" i="9"/>
  <c r="B456" i="9"/>
  <c r="AU455" i="9"/>
  <c r="AO455" i="9"/>
  <c r="AQ455" i="9"/>
  <c r="AS455" i="9"/>
  <c r="AW455" i="9"/>
  <c r="AY455" i="9"/>
  <c r="BA455" i="9"/>
  <c r="BC455" i="9"/>
  <c r="BE455" i="9"/>
  <c r="AT455" i="9"/>
  <c r="AN455" i="9"/>
  <c r="AK455" i="9"/>
  <c r="AD455" i="9"/>
  <c r="B455" i="9"/>
  <c r="AU454" i="9"/>
  <c r="AO454" i="9"/>
  <c r="AQ454" i="9"/>
  <c r="AS454" i="9"/>
  <c r="AW454" i="9"/>
  <c r="AY454" i="9"/>
  <c r="BA454" i="9"/>
  <c r="BC454" i="9"/>
  <c r="BE454" i="9"/>
  <c r="AT454" i="9"/>
  <c r="AN454" i="9"/>
  <c r="AP454" i="9"/>
  <c r="AK454" i="9"/>
  <c r="AD454" i="9"/>
  <c r="B454" i="9"/>
  <c r="AU453" i="9"/>
  <c r="AO453" i="9"/>
  <c r="AQ453" i="9"/>
  <c r="AS453" i="9"/>
  <c r="AW453" i="9"/>
  <c r="AY453" i="9"/>
  <c r="BA453" i="9"/>
  <c r="BC453" i="9"/>
  <c r="BE453" i="9"/>
  <c r="AT453" i="9"/>
  <c r="AN453" i="9"/>
  <c r="AK453" i="9"/>
  <c r="AD453" i="9"/>
  <c r="B453" i="9"/>
  <c r="AU452" i="9"/>
  <c r="AO452" i="9"/>
  <c r="AQ452" i="9"/>
  <c r="AS452" i="9"/>
  <c r="AW452" i="9"/>
  <c r="AY452" i="9"/>
  <c r="BA452" i="9"/>
  <c r="BC452" i="9"/>
  <c r="BE452" i="9"/>
  <c r="AT452" i="9"/>
  <c r="AN452" i="9"/>
  <c r="AK452" i="9"/>
  <c r="AD452" i="9"/>
  <c r="B452" i="9"/>
  <c r="AU451" i="9"/>
  <c r="AO451" i="9"/>
  <c r="AQ451" i="9"/>
  <c r="AS451" i="9"/>
  <c r="AW451" i="9"/>
  <c r="AY451" i="9"/>
  <c r="BA451" i="9"/>
  <c r="BC451" i="9"/>
  <c r="BE451" i="9"/>
  <c r="AT451" i="9"/>
  <c r="AN451" i="9"/>
  <c r="AK451" i="9"/>
  <c r="AD451" i="9"/>
  <c r="B451" i="9"/>
  <c r="AU450" i="9"/>
  <c r="AO450" i="9"/>
  <c r="AQ450" i="9"/>
  <c r="AS450" i="9"/>
  <c r="AW450" i="9"/>
  <c r="AY450" i="9"/>
  <c r="BA450" i="9"/>
  <c r="BC450" i="9"/>
  <c r="BE450" i="9"/>
  <c r="AT450" i="9"/>
  <c r="AN450" i="9"/>
  <c r="H450" i="9"/>
  <c r="AK450" i="9"/>
  <c r="AD450" i="9"/>
  <c r="B450" i="9"/>
  <c r="C450" i="9"/>
  <c r="AU449" i="9"/>
  <c r="AO449" i="9"/>
  <c r="AQ449" i="9"/>
  <c r="AS449" i="9"/>
  <c r="AW449" i="9"/>
  <c r="AY449" i="9"/>
  <c r="BA449" i="9"/>
  <c r="BC449" i="9"/>
  <c r="BE449" i="9"/>
  <c r="AT449" i="9"/>
  <c r="AK449" i="9"/>
  <c r="AD449" i="9"/>
  <c r="B449" i="9"/>
  <c r="AU448" i="9"/>
  <c r="AO448" i="9"/>
  <c r="AQ448" i="9"/>
  <c r="AS448" i="9"/>
  <c r="AW448" i="9"/>
  <c r="AY448" i="9"/>
  <c r="BA448" i="9"/>
  <c r="BC448" i="9"/>
  <c r="BE448" i="9"/>
  <c r="AT448" i="9"/>
  <c r="AN448" i="9"/>
  <c r="AK448" i="9"/>
  <c r="AD448" i="9"/>
  <c r="B448" i="9"/>
  <c r="AU447" i="9"/>
  <c r="AO447" i="9"/>
  <c r="AQ447" i="9"/>
  <c r="AS447" i="9"/>
  <c r="AW447" i="9"/>
  <c r="AY447" i="9"/>
  <c r="BA447" i="9"/>
  <c r="BC447" i="9"/>
  <c r="BE447" i="9"/>
  <c r="AT447" i="9"/>
  <c r="AN447" i="9"/>
  <c r="AK447" i="9"/>
  <c r="AD447" i="9"/>
  <c r="B447" i="9"/>
  <c r="C447" i="9"/>
  <c r="AU446" i="9"/>
  <c r="AO446" i="9"/>
  <c r="AQ446" i="9"/>
  <c r="AS446" i="9"/>
  <c r="AW446" i="9"/>
  <c r="AY446" i="9"/>
  <c r="BA446" i="9"/>
  <c r="BC446" i="9"/>
  <c r="BE446" i="9"/>
  <c r="AT446" i="9"/>
  <c r="AN446" i="9"/>
  <c r="AP446" i="9"/>
  <c r="AR446" i="9"/>
  <c r="AK446" i="9"/>
  <c r="AD446" i="9"/>
  <c r="B446" i="9"/>
  <c r="AU445" i="9"/>
  <c r="AO445" i="9"/>
  <c r="AQ445" i="9"/>
  <c r="AS445" i="9"/>
  <c r="AW445" i="9"/>
  <c r="AY445" i="9"/>
  <c r="BA445" i="9"/>
  <c r="BC445" i="9"/>
  <c r="BE445" i="9"/>
  <c r="AT445" i="9"/>
  <c r="AN445" i="9"/>
  <c r="AK445" i="9"/>
  <c r="AD445" i="9"/>
  <c r="B445" i="9"/>
  <c r="AU444" i="9"/>
  <c r="AO444" i="9"/>
  <c r="AQ444" i="9"/>
  <c r="AS444" i="9"/>
  <c r="AW444" i="9"/>
  <c r="AY444" i="9"/>
  <c r="BA444" i="9"/>
  <c r="BC444" i="9"/>
  <c r="BE444" i="9"/>
  <c r="AT444" i="9"/>
  <c r="AK444" i="9"/>
  <c r="AD444" i="9"/>
  <c r="B444" i="9"/>
  <c r="AU443" i="9"/>
  <c r="AO443" i="9"/>
  <c r="AQ443" i="9"/>
  <c r="AS443" i="9"/>
  <c r="AW443" i="9"/>
  <c r="AY443" i="9"/>
  <c r="BA443" i="9"/>
  <c r="BC443" i="9"/>
  <c r="BE443" i="9"/>
  <c r="AT443" i="9"/>
  <c r="AN443" i="9"/>
  <c r="AK443" i="9"/>
  <c r="AD443" i="9"/>
  <c r="B443" i="9"/>
  <c r="AU442" i="9"/>
  <c r="AT442" i="9"/>
  <c r="AN442" i="9"/>
  <c r="AP442" i="9"/>
  <c r="AR442" i="9"/>
  <c r="AK442" i="9"/>
  <c r="AD442" i="9"/>
  <c r="B442" i="9"/>
  <c r="AU441" i="9"/>
  <c r="AO441" i="9"/>
  <c r="AQ441" i="9"/>
  <c r="AS441" i="9"/>
  <c r="AW441" i="9"/>
  <c r="AY441" i="9"/>
  <c r="BA441" i="9"/>
  <c r="BC441" i="9"/>
  <c r="BE441" i="9"/>
  <c r="AT441" i="9"/>
  <c r="AN441" i="9"/>
  <c r="AK441" i="9"/>
  <c r="AD441" i="9"/>
  <c r="B441" i="9"/>
  <c r="AU440" i="9"/>
  <c r="AO440" i="9"/>
  <c r="AQ440" i="9"/>
  <c r="AS440" i="9"/>
  <c r="AW440" i="9"/>
  <c r="AY440" i="9"/>
  <c r="BA440" i="9"/>
  <c r="BC440" i="9"/>
  <c r="BE440" i="9"/>
  <c r="AT440" i="9"/>
  <c r="AK440" i="9"/>
  <c r="AD440" i="9"/>
  <c r="B440" i="9"/>
  <c r="AU439" i="9"/>
  <c r="AO439" i="9"/>
  <c r="AQ439" i="9"/>
  <c r="AS439" i="9"/>
  <c r="AW439" i="9"/>
  <c r="AY439" i="9"/>
  <c r="BA439" i="9"/>
  <c r="BC439" i="9"/>
  <c r="BE439" i="9"/>
  <c r="AT439" i="9"/>
  <c r="AN439" i="9"/>
  <c r="AK439" i="9"/>
  <c r="AD439" i="9"/>
  <c r="B439" i="9"/>
  <c r="AU438" i="9"/>
  <c r="AO438" i="9"/>
  <c r="AQ438" i="9"/>
  <c r="AS438" i="9"/>
  <c r="AW438" i="9"/>
  <c r="AY438" i="9"/>
  <c r="BA438" i="9"/>
  <c r="BC438" i="9"/>
  <c r="BE438" i="9"/>
  <c r="AT438" i="9"/>
  <c r="AN438" i="9"/>
  <c r="AK438" i="9"/>
  <c r="AD438" i="9"/>
  <c r="B438" i="9"/>
  <c r="AU437" i="9"/>
  <c r="AT437" i="9"/>
  <c r="AN437" i="9"/>
  <c r="AP437" i="9"/>
  <c r="AO437" i="9"/>
  <c r="AQ437" i="9"/>
  <c r="AS437" i="9"/>
  <c r="AW437" i="9"/>
  <c r="AY437" i="9"/>
  <c r="BA437" i="9"/>
  <c r="BC437" i="9"/>
  <c r="BE437" i="9"/>
  <c r="AK437" i="9"/>
  <c r="AD437" i="9"/>
  <c r="B437" i="9"/>
  <c r="AU436" i="9"/>
  <c r="AT436" i="9"/>
  <c r="AN436" i="9"/>
  <c r="AK436" i="9"/>
  <c r="AD436" i="9"/>
  <c r="B436" i="9"/>
  <c r="AU435" i="9"/>
  <c r="AO435" i="9"/>
  <c r="AQ435" i="9"/>
  <c r="AS435" i="9"/>
  <c r="AW435" i="9"/>
  <c r="AY435" i="9"/>
  <c r="BA435" i="9"/>
  <c r="BC435" i="9"/>
  <c r="BE435" i="9"/>
  <c r="AT435" i="9"/>
  <c r="AN435" i="9"/>
  <c r="AK435" i="9"/>
  <c r="AD435" i="9"/>
  <c r="B435" i="9"/>
  <c r="AU434" i="9"/>
  <c r="AO434" i="9"/>
  <c r="AQ434" i="9"/>
  <c r="AS434" i="9"/>
  <c r="AW434" i="9"/>
  <c r="AY434" i="9"/>
  <c r="BA434" i="9"/>
  <c r="BC434" i="9"/>
  <c r="BE434" i="9"/>
  <c r="AT434" i="9"/>
  <c r="AK434" i="9"/>
  <c r="AD434" i="9"/>
  <c r="B434" i="9"/>
  <c r="AU433" i="9"/>
  <c r="AO433" i="9"/>
  <c r="AQ433" i="9"/>
  <c r="AS433" i="9"/>
  <c r="AW433" i="9"/>
  <c r="AY433" i="9"/>
  <c r="BA433" i="9"/>
  <c r="BC433" i="9"/>
  <c r="BE433" i="9"/>
  <c r="AT433" i="9"/>
  <c r="AK433" i="9"/>
  <c r="AD433" i="9"/>
  <c r="B433" i="9"/>
  <c r="AU432" i="9"/>
  <c r="AT432" i="9"/>
  <c r="AN432" i="9"/>
  <c r="AK432" i="9"/>
  <c r="AD432" i="9"/>
  <c r="B432" i="9"/>
  <c r="AU431" i="9"/>
  <c r="AO431" i="9"/>
  <c r="AQ431" i="9"/>
  <c r="AS431" i="9"/>
  <c r="AW431" i="9"/>
  <c r="AY431" i="9"/>
  <c r="BA431" i="9"/>
  <c r="BC431" i="9"/>
  <c r="BE431" i="9"/>
  <c r="AT431" i="9"/>
  <c r="AN431" i="9"/>
  <c r="AK431" i="9"/>
  <c r="AD431" i="9"/>
  <c r="B431" i="9"/>
  <c r="AU430" i="9"/>
  <c r="AO430" i="9"/>
  <c r="AQ430" i="9"/>
  <c r="AS430" i="9"/>
  <c r="AW430" i="9"/>
  <c r="AY430" i="9"/>
  <c r="BA430" i="9"/>
  <c r="BC430" i="9"/>
  <c r="BE430" i="9"/>
  <c r="AT430" i="9"/>
  <c r="AN430" i="9"/>
  <c r="AK430" i="9"/>
  <c r="AD430" i="9"/>
  <c r="B430" i="9"/>
  <c r="AU429" i="9"/>
  <c r="AO429" i="9"/>
  <c r="AQ429" i="9"/>
  <c r="AS429" i="9"/>
  <c r="AW429" i="9"/>
  <c r="AY429" i="9"/>
  <c r="BA429" i="9"/>
  <c r="BC429" i="9"/>
  <c r="BE429" i="9"/>
  <c r="AT429" i="9"/>
  <c r="AK429" i="9"/>
  <c r="AD429" i="9"/>
  <c r="B429" i="9"/>
  <c r="AU428" i="9"/>
  <c r="AO428" i="9"/>
  <c r="AQ428" i="9"/>
  <c r="AS428" i="9"/>
  <c r="AW428" i="9"/>
  <c r="AY428" i="9"/>
  <c r="BA428" i="9"/>
  <c r="BC428" i="9"/>
  <c r="BE428" i="9"/>
  <c r="AT428" i="9"/>
  <c r="AN428" i="9"/>
  <c r="AK428" i="9"/>
  <c r="AD428" i="9"/>
  <c r="B428" i="9"/>
  <c r="AU427" i="9"/>
  <c r="AO427" i="9"/>
  <c r="AQ427" i="9"/>
  <c r="AS427" i="9"/>
  <c r="AW427" i="9"/>
  <c r="AY427" i="9"/>
  <c r="BA427" i="9"/>
  <c r="BC427" i="9"/>
  <c r="BE427" i="9"/>
  <c r="AT427" i="9"/>
  <c r="AN427" i="9"/>
  <c r="AK427" i="9"/>
  <c r="AD427" i="9"/>
  <c r="B427" i="9"/>
  <c r="C427" i="9"/>
  <c r="AU426" i="9"/>
  <c r="AO426" i="9"/>
  <c r="AQ426" i="9"/>
  <c r="AS426" i="9"/>
  <c r="AW426" i="9"/>
  <c r="AY426" i="9"/>
  <c r="BA426" i="9"/>
  <c r="BC426" i="9"/>
  <c r="BE426" i="9"/>
  <c r="AT426" i="9"/>
  <c r="AK426" i="9"/>
  <c r="AD426" i="9"/>
  <c r="B426" i="9"/>
  <c r="AU425" i="9"/>
  <c r="AO425" i="9"/>
  <c r="AQ425" i="9"/>
  <c r="AS425" i="9"/>
  <c r="AW425" i="9"/>
  <c r="AY425" i="9"/>
  <c r="BA425" i="9"/>
  <c r="BC425" i="9"/>
  <c r="BE425" i="9"/>
  <c r="AT425" i="9"/>
  <c r="AK425" i="9"/>
  <c r="AD425" i="9"/>
  <c r="B425" i="9"/>
  <c r="AU424" i="9"/>
  <c r="AO424" i="9"/>
  <c r="AQ424" i="9"/>
  <c r="AS424" i="9"/>
  <c r="AW424" i="9"/>
  <c r="AY424" i="9"/>
  <c r="BA424" i="9"/>
  <c r="BC424" i="9"/>
  <c r="BE424" i="9"/>
  <c r="AT424" i="9"/>
  <c r="AK424" i="9"/>
  <c r="AD424" i="9"/>
  <c r="B424" i="9"/>
  <c r="AU423" i="9"/>
  <c r="AO423" i="9"/>
  <c r="AQ423" i="9"/>
  <c r="AS423" i="9"/>
  <c r="AW423" i="9"/>
  <c r="AY423" i="9"/>
  <c r="BA423" i="9"/>
  <c r="BC423" i="9"/>
  <c r="BE423" i="9"/>
  <c r="AT423" i="9"/>
  <c r="AK423" i="9"/>
  <c r="AD423" i="9"/>
  <c r="B423" i="9"/>
  <c r="AU422" i="9"/>
  <c r="AT422" i="9"/>
  <c r="AN422" i="9"/>
  <c r="AP422" i="9"/>
  <c r="AK422" i="9"/>
  <c r="AD422" i="9"/>
  <c r="B422" i="9"/>
  <c r="AU421" i="9"/>
  <c r="AO421" i="9"/>
  <c r="AQ421" i="9"/>
  <c r="AS421" i="9"/>
  <c r="AW421" i="9"/>
  <c r="AY421" i="9"/>
  <c r="BA421" i="9"/>
  <c r="BC421" i="9"/>
  <c r="BE421" i="9"/>
  <c r="AT421" i="9"/>
  <c r="AN421" i="9"/>
  <c r="AK421" i="9"/>
  <c r="AD421" i="9"/>
  <c r="C421" i="9"/>
  <c r="B421" i="9"/>
  <c r="AU420" i="9"/>
  <c r="AO420" i="9"/>
  <c r="AQ420" i="9"/>
  <c r="AS420" i="9"/>
  <c r="AW420" i="9"/>
  <c r="AY420" i="9"/>
  <c r="BA420" i="9"/>
  <c r="BC420" i="9"/>
  <c r="BE420" i="9"/>
  <c r="AT420" i="9"/>
  <c r="AN420" i="9"/>
  <c r="AP420" i="9"/>
  <c r="AK420" i="9"/>
  <c r="AD420" i="9"/>
  <c r="B420" i="9"/>
  <c r="AU419" i="9"/>
  <c r="AO419" i="9"/>
  <c r="AQ419" i="9"/>
  <c r="AS419" i="9"/>
  <c r="AW419" i="9"/>
  <c r="AY419" i="9"/>
  <c r="BA419" i="9"/>
  <c r="BC419" i="9"/>
  <c r="BE419" i="9"/>
  <c r="AT419" i="9"/>
  <c r="AK419" i="9"/>
  <c r="AD419" i="9"/>
  <c r="B419" i="9"/>
  <c r="AU418" i="9"/>
  <c r="AT418" i="9"/>
  <c r="AN418" i="9"/>
  <c r="AP418" i="9"/>
  <c r="AK418" i="9"/>
  <c r="AD418" i="9"/>
  <c r="B418" i="9"/>
  <c r="AU417" i="9"/>
  <c r="AO417" i="9"/>
  <c r="AQ417" i="9"/>
  <c r="AS417" i="9"/>
  <c r="AW417" i="9"/>
  <c r="AY417" i="9"/>
  <c r="BA417" i="9"/>
  <c r="BC417" i="9"/>
  <c r="BE417" i="9"/>
  <c r="AT417" i="9"/>
  <c r="AK417" i="9"/>
  <c r="AD417" i="9"/>
  <c r="B417" i="9"/>
  <c r="AU416" i="9"/>
  <c r="AO416" i="9"/>
  <c r="AT416" i="9"/>
  <c r="AQ416" i="9"/>
  <c r="AS416" i="9"/>
  <c r="AW416" i="9"/>
  <c r="AY416" i="9"/>
  <c r="BA416" i="9"/>
  <c r="BC416" i="9"/>
  <c r="BE416" i="9"/>
  <c r="AK416" i="9"/>
  <c r="AD416" i="9"/>
  <c r="B416" i="9"/>
  <c r="AU415" i="9"/>
  <c r="AO415" i="9"/>
  <c r="AQ415" i="9"/>
  <c r="AS415" i="9"/>
  <c r="AW415" i="9"/>
  <c r="AY415" i="9"/>
  <c r="BA415" i="9"/>
  <c r="BC415" i="9"/>
  <c r="BE415" i="9"/>
  <c r="AT415" i="9"/>
  <c r="AK415" i="9"/>
  <c r="AD415" i="9"/>
  <c r="B415" i="9"/>
  <c r="AU414" i="9"/>
  <c r="AT414" i="9"/>
  <c r="AN414" i="9"/>
  <c r="AP414" i="9"/>
  <c r="AK414" i="9"/>
  <c r="AD414" i="9"/>
  <c r="B414" i="9"/>
  <c r="AU413" i="9"/>
  <c r="AO413" i="9"/>
  <c r="AQ413" i="9"/>
  <c r="AT413" i="9"/>
  <c r="AN413" i="9"/>
  <c r="AS413" i="9"/>
  <c r="AW413" i="9"/>
  <c r="AY413" i="9"/>
  <c r="BA413" i="9"/>
  <c r="BC413" i="9"/>
  <c r="BE413" i="9"/>
  <c r="AK413" i="9"/>
  <c r="AD413" i="9"/>
  <c r="B413" i="9"/>
  <c r="AU412" i="9"/>
  <c r="AO412" i="9"/>
  <c r="AQ412" i="9"/>
  <c r="AS412" i="9"/>
  <c r="AW412" i="9"/>
  <c r="AY412" i="9"/>
  <c r="BA412" i="9"/>
  <c r="BC412" i="9"/>
  <c r="BE412" i="9"/>
  <c r="AT412" i="9"/>
  <c r="AK412" i="9"/>
  <c r="AD412" i="9"/>
  <c r="B412" i="9"/>
  <c r="AU411" i="9"/>
  <c r="AO411" i="9"/>
  <c r="AQ411" i="9"/>
  <c r="AS411" i="9"/>
  <c r="AW411" i="9"/>
  <c r="AY411" i="9"/>
  <c r="BA411" i="9"/>
  <c r="BC411" i="9"/>
  <c r="BE411" i="9"/>
  <c r="AT411" i="9"/>
  <c r="AN411" i="9"/>
  <c r="AP411" i="9"/>
  <c r="AK411" i="9"/>
  <c r="C411" i="9"/>
  <c r="AD411" i="9"/>
  <c r="B411" i="9"/>
  <c r="AU410" i="9"/>
  <c r="AT410" i="9"/>
  <c r="AN410" i="9"/>
  <c r="AP410" i="9"/>
  <c r="AK410" i="9"/>
  <c r="AD410" i="9"/>
  <c r="B410" i="9"/>
  <c r="AU409" i="9"/>
  <c r="AO409" i="9"/>
  <c r="AQ409" i="9"/>
  <c r="AS409" i="9"/>
  <c r="AW409" i="9"/>
  <c r="AY409" i="9"/>
  <c r="BA409" i="9"/>
  <c r="BC409" i="9"/>
  <c r="BE409" i="9"/>
  <c r="AT409" i="9"/>
  <c r="AN409" i="9"/>
  <c r="AK409" i="9"/>
  <c r="AD409" i="9"/>
  <c r="C409" i="9"/>
  <c r="B409" i="9"/>
  <c r="AU408" i="9"/>
  <c r="AO408" i="9"/>
  <c r="AQ408" i="9"/>
  <c r="AS408" i="9"/>
  <c r="AW408" i="9"/>
  <c r="AY408" i="9"/>
  <c r="BA408" i="9"/>
  <c r="BC408" i="9"/>
  <c r="BE408" i="9"/>
  <c r="AT408" i="9"/>
  <c r="AK408" i="9"/>
  <c r="AD408" i="9"/>
  <c r="B408" i="9"/>
  <c r="AU407" i="9"/>
  <c r="AO407" i="9"/>
  <c r="AQ407" i="9"/>
  <c r="AS407" i="9"/>
  <c r="AW407" i="9"/>
  <c r="AY407" i="9"/>
  <c r="BA407" i="9"/>
  <c r="BC407" i="9"/>
  <c r="BE407" i="9"/>
  <c r="AT407" i="9"/>
  <c r="AN407" i="9"/>
  <c r="AP407" i="9"/>
  <c r="AK407" i="9"/>
  <c r="AD407" i="9"/>
  <c r="B407" i="9"/>
  <c r="AU406" i="9"/>
  <c r="AT406" i="9"/>
  <c r="AN406" i="9"/>
  <c r="AP406" i="9"/>
  <c r="AK406" i="9"/>
  <c r="AD406" i="9"/>
  <c r="B406" i="9"/>
  <c r="AU405" i="9"/>
  <c r="AT405" i="9"/>
  <c r="AN405" i="9"/>
  <c r="AK405" i="9"/>
  <c r="C405" i="9"/>
  <c r="AD405" i="9"/>
  <c r="B405" i="9"/>
  <c r="AU404" i="9"/>
  <c r="AO404" i="9"/>
  <c r="AQ404" i="9"/>
  <c r="AS404" i="9"/>
  <c r="AW404" i="9"/>
  <c r="AY404" i="9"/>
  <c r="BA404" i="9"/>
  <c r="BC404" i="9"/>
  <c r="BE404" i="9"/>
  <c r="AT404" i="9"/>
  <c r="AN404" i="9"/>
  <c r="AP404" i="9"/>
  <c r="AK404" i="9"/>
  <c r="AD404" i="9"/>
  <c r="B404" i="9"/>
  <c r="AU403" i="9"/>
  <c r="AO403" i="9"/>
  <c r="AQ403" i="9"/>
  <c r="AS403" i="9"/>
  <c r="AW403" i="9"/>
  <c r="AY403" i="9"/>
  <c r="BA403" i="9"/>
  <c r="BC403" i="9"/>
  <c r="BE403" i="9"/>
  <c r="AT403" i="9"/>
  <c r="AK403" i="9"/>
  <c r="AD403" i="9"/>
  <c r="B403" i="9"/>
  <c r="AU402" i="9"/>
  <c r="AT402" i="9"/>
  <c r="AN402" i="9"/>
  <c r="AK402" i="9"/>
  <c r="AD402" i="9"/>
  <c r="B402" i="9"/>
  <c r="AU401" i="9"/>
  <c r="AO401" i="9"/>
  <c r="AQ401" i="9"/>
  <c r="AS401" i="9"/>
  <c r="AW401" i="9"/>
  <c r="AY401" i="9"/>
  <c r="BA401" i="9"/>
  <c r="BC401" i="9"/>
  <c r="BE401" i="9"/>
  <c r="AT401" i="9"/>
  <c r="AK401" i="9"/>
  <c r="AD401" i="9"/>
  <c r="B401" i="9"/>
  <c r="AU400" i="9"/>
  <c r="AO400" i="9"/>
  <c r="AQ400" i="9"/>
  <c r="AS400" i="9"/>
  <c r="AW400" i="9"/>
  <c r="AY400" i="9"/>
  <c r="BA400" i="9"/>
  <c r="BC400" i="9"/>
  <c r="BE400" i="9"/>
  <c r="AT400" i="9"/>
  <c r="AN400" i="9"/>
  <c r="AK400" i="9"/>
  <c r="AD400" i="9"/>
  <c r="B400" i="9"/>
  <c r="C400" i="9"/>
  <c r="AU399" i="9"/>
  <c r="AO399" i="9"/>
  <c r="AQ399" i="9"/>
  <c r="AS399" i="9"/>
  <c r="AW399" i="9"/>
  <c r="AY399" i="9"/>
  <c r="BA399" i="9"/>
  <c r="BC399" i="9"/>
  <c r="BE399" i="9"/>
  <c r="AT399" i="9"/>
  <c r="AN399" i="9"/>
  <c r="AP399" i="9"/>
  <c r="AK399" i="9"/>
  <c r="AD399" i="9"/>
  <c r="B399" i="9"/>
  <c r="AU398" i="9"/>
  <c r="AT398" i="9"/>
  <c r="AN398" i="9"/>
  <c r="AK398" i="9"/>
  <c r="AD398" i="9"/>
  <c r="B398" i="9"/>
  <c r="AU397" i="9"/>
  <c r="AO397" i="9"/>
  <c r="AQ397" i="9"/>
  <c r="AS397" i="9"/>
  <c r="AW397" i="9"/>
  <c r="AY397" i="9"/>
  <c r="BA397" i="9"/>
  <c r="BC397" i="9"/>
  <c r="BE397" i="9"/>
  <c r="AT397" i="9"/>
  <c r="AK397" i="9"/>
  <c r="AD397" i="9"/>
  <c r="B397" i="9"/>
  <c r="AU396" i="9"/>
  <c r="AO396" i="9"/>
  <c r="AQ396" i="9"/>
  <c r="AS396" i="9"/>
  <c r="AW396" i="9"/>
  <c r="AY396" i="9"/>
  <c r="BA396" i="9"/>
  <c r="BC396" i="9"/>
  <c r="BE396" i="9"/>
  <c r="AT396" i="9"/>
  <c r="AK396" i="9"/>
  <c r="AD396" i="9"/>
  <c r="B396" i="9"/>
  <c r="AU395" i="9"/>
  <c r="AO395" i="9"/>
  <c r="AQ395" i="9"/>
  <c r="AS395" i="9"/>
  <c r="AW395" i="9"/>
  <c r="AY395" i="9"/>
  <c r="BA395" i="9"/>
  <c r="BC395" i="9"/>
  <c r="BE395" i="9"/>
  <c r="AT395" i="9"/>
  <c r="AK395" i="9"/>
  <c r="AD395" i="9"/>
  <c r="B395" i="9"/>
  <c r="AU394" i="9"/>
  <c r="AT394" i="9"/>
  <c r="AN394" i="9"/>
  <c r="AK394" i="9"/>
  <c r="AD394" i="9"/>
  <c r="B394" i="9"/>
  <c r="AU393" i="9"/>
  <c r="AO393" i="9"/>
  <c r="AQ393" i="9"/>
  <c r="AS393" i="9"/>
  <c r="AW393" i="9"/>
  <c r="AY393" i="9"/>
  <c r="BA393" i="9"/>
  <c r="BC393" i="9"/>
  <c r="BE393" i="9"/>
  <c r="AT393" i="9"/>
  <c r="AN393" i="9"/>
  <c r="AP393" i="9"/>
  <c r="AK393" i="9"/>
  <c r="AD393" i="9"/>
  <c r="B393" i="9"/>
  <c r="AU392" i="9"/>
  <c r="AT392" i="9"/>
  <c r="AN392" i="9"/>
  <c r="AK392" i="9"/>
  <c r="AD392" i="9"/>
  <c r="B392" i="9"/>
  <c r="AU391" i="9"/>
  <c r="AO391" i="9"/>
  <c r="AQ391" i="9"/>
  <c r="AS391" i="9"/>
  <c r="AW391" i="9"/>
  <c r="AY391" i="9"/>
  <c r="BA391" i="9"/>
  <c r="BC391" i="9"/>
  <c r="BE391" i="9"/>
  <c r="AT391" i="9"/>
  <c r="AN391" i="9"/>
  <c r="AP391" i="9"/>
  <c r="AK391" i="9"/>
  <c r="AD391" i="9"/>
  <c r="B391" i="9"/>
  <c r="AU390" i="9"/>
  <c r="AT390" i="9"/>
  <c r="AN390" i="9"/>
  <c r="AK390" i="9"/>
  <c r="AD390" i="9"/>
  <c r="B390" i="9"/>
  <c r="AU389" i="9"/>
  <c r="AO389" i="9"/>
  <c r="AQ389" i="9"/>
  <c r="AS389" i="9"/>
  <c r="AW389" i="9"/>
  <c r="AY389" i="9"/>
  <c r="BA389" i="9"/>
  <c r="BC389" i="9"/>
  <c r="BE389" i="9"/>
  <c r="AT389" i="9"/>
  <c r="AK389" i="9"/>
  <c r="AD389" i="9"/>
  <c r="B389" i="9"/>
  <c r="AU388" i="9"/>
  <c r="AO388" i="9"/>
  <c r="AQ388" i="9"/>
  <c r="AS388" i="9"/>
  <c r="AW388" i="9"/>
  <c r="AY388" i="9"/>
  <c r="BA388" i="9"/>
  <c r="BC388" i="9"/>
  <c r="BE388" i="9"/>
  <c r="AT388" i="9"/>
  <c r="AK388" i="9"/>
  <c r="AD388" i="9"/>
  <c r="B388" i="9"/>
  <c r="AU387" i="9"/>
  <c r="AO387" i="9"/>
  <c r="AQ387" i="9"/>
  <c r="AS387" i="9"/>
  <c r="AW387" i="9"/>
  <c r="AY387" i="9"/>
  <c r="BA387" i="9"/>
  <c r="BC387" i="9"/>
  <c r="BE387" i="9"/>
  <c r="AT387" i="9"/>
  <c r="AK387" i="9"/>
  <c r="AD387" i="9"/>
  <c r="B387" i="9"/>
  <c r="AU386" i="9"/>
  <c r="AT386" i="9"/>
  <c r="AN386" i="9"/>
  <c r="AK386" i="9"/>
  <c r="AD386" i="9"/>
  <c r="B386" i="9"/>
  <c r="AU385" i="9"/>
  <c r="AO385" i="9"/>
  <c r="AQ385" i="9"/>
  <c r="AS385" i="9"/>
  <c r="AW385" i="9"/>
  <c r="AY385" i="9"/>
  <c r="BA385" i="9"/>
  <c r="BC385" i="9"/>
  <c r="BE385" i="9"/>
  <c r="AT385" i="9"/>
  <c r="AN385" i="9"/>
  <c r="AP385" i="9"/>
  <c r="AK385" i="9"/>
  <c r="AD385" i="9"/>
  <c r="B385" i="9"/>
  <c r="AU384" i="9"/>
  <c r="AO384" i="9"/>
  <c r="AQ384" i="9"/>
  <c r="AS384" i="9"/>
  <c r="AW384" i="9"/>
  <c r="AY384" i="9"/>
  <c r="BA384" i="9"/>
  <c r="BC384" i="9"/>
  <c r="BE384" i="9"/>
  <c r="AT384" i="9"/>
  <c r="AN384" i="9"/>
  <c r="AK384" i="9"/>
  <c r="AD384" i="9"/>
  <c r="B384" i="9"/>
  <c r="AU383" i="9"/>
  <c r="AO383" i="9"/>
  <c r="AQ383" i="9"/>
  <c r="AS383" i="9"/>
  <c r="AW383" i="9"/>
  <c r="AY383" i="9"/>
  <c r="BA383" i="9"/>
  <c r="BC383" i="9"/>
  <c r="BE383" i="9"/>
  <c r="AT383" i="9"/>
  <c r="AN383" i="9"/>
  <c r="AP383" i="9"/>
  <c r="AR383" i="9"/>
  <c r="AK383" i="9"/>
  <c r="AD383" i="9"/>
  <c r="B383" i="9"/>
  <c r="AU382" i="9"/>
  <c r="AT382" i="9"/>
  <c r="AN382" i="9"/>
  <c r="AK382" i="9"/>
  <c r="AD382" i="9"/>
  <c r="B382" i="9"/>
  <c r="AU381" i="9"/>
  <c r="AO381" i="9"/>
  <c r="AQ381" i="9"/>
  <c r="AS381" i="9"/>
  <c r="AW381" i="9"/>
  <c r="AY381" i="9"/>
  <c r="BA381" i="9"/>
  <c r="BC381" i="9"/>
  <c r="BE381" i="9"/>
  <c r="AT381" i="9"/>
  <c r="AN381" i="9"/>
  <c r="AP381" i="9"/>
  <c r="AR381" i="9"/>
  <c r="AV381" i="9"/>
  <c r="AX381" i="9"/>
  <c r="AK381" i="9"/>
  <c r="AD381" i="9"/>
  <c r="B381" i="9"/>
  <c r="AU380" i="9"/>
  <c r="AO380" i="9"/>
  <c r="AQ380" i="9"/>
  <c r="AS380" i="9"/>
  <c r="AW380" i="9"/>
  <c r="AY380" i="9"/>
  <c r="BA380" i="9"/>
  <c r="BC380" i="9"/>
  <c r="BE380" i="9"/>
  <c r="AT380" i="9"/>
  <c r="AN380" i="9"/>
  <c r="AK380" i="9"/>
  <c r="AD380" i="9"/>
  <c r="B380" i="9"/>
  <c r="AU379" i="9"/>
  <c r="AO379" i="9"/>
  <c r="AQ379" i="9"/>
  <c r="AS379" i="9"/>
  <c r="AW379" i="9"/>
  <c r="AY379" i="9"/>
  <c r="BA379" i="9"/>
  <c r="BC379" i="9"/>
  <c r="BE379" i="9"/>
  <c r="AT379" i="9"/>
  <c r="AK379" i="9"/>
  <c r="AD379" i="9"/>
  <c r="B379" i="9"/>
  <c r="AU378" i="9"/>
  <c r="AT378" i="9"/>
  <c r="AN378" i="9"/>
  <c r="AK378" i="9"/>
  <c r="AD378" i="9"/>
  <c r="B378" i="9"/>
  <c r="AU377" i="9"/>
  <c r="AO377" i="9"/>
  <c r="AQ377" i="9"/>
  <c r="AS377" i="9"/>
  <c r="AW377" i="9"/>
  <c r="AY377" i="9"/>
  <c r="BA377" i="9"/>
  <c r="BC377" i="9"/>
  <c r="BE377" i="9"/>
  <c r="AT377" i="9"/>
  <c r="AN377" i="9"/>
  <c r="AP377" i="9"/>
  <c r="AK377" i="9"/>
  <c r="AD377" i="9"/>
  <c r="B377" i="9"/>
  <c r="AU376" i="9"/>
  <c r="AT376" i="9"/>
  <c r="AN376" i="9"/>
  <c r="AP376" i="9"/>
  <c r="AK376" i="9"/>
  <c r="AD376" i="9"/>
  <c r="B376" i="9"/>
  <c r="AU375" i="9"/>
  <c r="AO375" i="9"/>
  <c r="AQ375" i="9"/>
  <c r="AS375" i="9"/>
  <c r="AW375" i="9"/>
  <c r="AY375" i="9"/>
  <c r="BA375" i="9"/>
  <c r="BC375" i="9"/>
  <c r="BE375" i="9"/>
  <c r="AT375" i="9"/>
  <c r="AN375" i="9"/>
  <c r="AP375" i="9"/>
  <c r="AK375" i="9"/>
  <c r="AD375" i="9"/>
  <c r="B375" i="9"/>
  <c r="AU374" i="9"/>
  <c r="AT374" i="9"/>
  <c r="AN374" i="9"/>
  <c r="AK374" i="9"/>
  <c r="AD374" i="9"/>
  <c r="B374" i="9"/>
  <c r="AU373" i="9"/>
  <c r="AO373" i="9"/>
  <c r="AQ373" i="9"/>
  <c r="AS373" i="9"/>
  <c r="AW373" i="9"/>
  <c r="AY373" i="9"/>
  <c r="BA373" i="9"/>
  <c r="BC373" i="9"/>
  <c r="BE373" i="9"/>
  <c r="AT373" i="9"/>
  <c r="AN373" i="9"/>
  <c r="AP373" i="9"/>
  <c r="AR373" i="9"/>
  <c r="AV373" i="9"/>
  <c r="AX373" i="9"/>
  <c r="AZ373" i="9"/>
  <c r="AK373" i="9"/>
  <c r="C373" i="9"/>
  <c r="AD373" i="9"/>
  <c r="B373" i="9"/>
  <c r="AU372" i="9"/>
  <c r="AO372" i="9"/>
  <c r="AQ372" i="9"/>
  <c r="AS372" i="9"/>
  <c r="AW372" i="9"/>
  <c r="AY372" i="9"/>
  <c r="BA372" i="9"/>
  <c r="BC372" i="9"/>
  <c r="BE372" i="9"/>
  <c r="AT372" i="9"/>
  <c r="AK372" i="9"/>
  <c r="AD372" i="9"/>
  <c r="B372" i="9"/>
  <c r="AU371" i="9"/>
  <c r="AT371" i="9"/>
  <c r="AN371" i="9"/>
  <c r="AP371" i="9"/>
  <c r="AK371" i="9"/>
  <c r="AD371" i="9"/>
  <c r="B371" i="9"/>
  <c r="AU370" i="9"/>
  <c r="AO370" i="9"/>
  <c r="AQ370" i="9"/>
  <c r="AS370" i="9"/>
  <c r="AW370" i="9"/>
  <c r="AY370" i="9"/>
  <c r="BA370" i="9"/>
  <c r="BC370" i="9"/>
  <c r="BE370" i="9"/>
  <c r="AT370" i="9"/>
  <c r="AN370" i="9"/>
  <c r="AP370" i="9"/>
  <c r="AK370" i="9"/>
  <c r="AD370" i="9"/>
  <c r="B370" i="9"/>
  <c r="AU369" i="9"/>
  <c r="AO369" i="9"/>
  <c r="AQ369" i="9"/>
  <c r="AS369" i="9"/>
  <c r="AW369" i="9"/>
  <c r="AY369" i="9"/>
  <c r="BA369" i="9"/>
  <c r="BC369" i="9"/>
  <c r="BE369" i="9"/>
  <c r="AT369" i="9"/>
  <c r="AN369" i="9"/>
  <c r="AK369" i="9"/>
  <c r="AD369" i="9"/>
  <c r="B369" i="9"/>
  <c r="AU368" i="9"/>
  <c r="AO368" i="9"/>
  <c r="AQ368" i="9"/>
  <c r="AS368" i="9"/>
  <c r="AW368" i="9"/>
  <c r="AY368" i="9"/>
  <c r="BA368" i="9"/>
  <c r="BC368" i="9"/>
  <c r="BE368" i="9"/>
  <c r="AT368" i="9"/>
  <c r="AN368" i="9"/>
  <c r="AK368" i="9"/>
  <c r="AD368" i="9"/>
  <c r="B368" i="9"/>
  <c r="AU367" i="9"/>
  <c r="AT367" i="9"/>
  <c r="AN367" i="9"/>
  <c r="AP367" i="9"/>
  <c r="AK367" i="9"/>
  <c r="AD367" i="9"/>
  <c r="B367" i="9"/>
  <c r="AU366" i="9"/>
  <c r="AO366" i="9"/>
  <c r="AQ366" i="9"/>
  <c r="AS366" i="9"/>
  <c r="AW366" i="9"/>
  <c r="AY366" i="9"/>
  <c r="BA366" i="9"/>
  <c r="BC366" i="9"/>
  <c r="BE366" i="9"/>
  <c r="AT366" i="9"/>
  <c r="AN366" i="9"/>
  <c r="AK366" i="9"/>
  <c r="AD366" i="9"/>
  <c r="B366" i="9"/>
  <c r="AU365" i="9"/>
  <c r="AO365" i="9"/>
  <c r="AT365" i="9"/>
  <c r="AQ365" i="9"/>
  <c r="AS365" i="9"/>
  <c r="AW365" i="9"/>
  <c r="AY365" i="9"/>
  <c r="BA365" i="9"/>
  <c r="BC365" i="9"/>
  <c r="BE365" i="9"/>
  <c r="AK365" i="9"/>
  <c r="AD365" i="9"/>
  <c r="B365" i="9"/>
  <c r="AU364" i="9"/>
  <c r="AO364" i="9"/>
  <c r="AQ364" i="9"/>
  <c r="AS364" i="9"/>
  <c r="AW364" i="9"/>
  <c r="AY364" i="9"/>
  <c r="BA364" i="9"/>
  <c r="BC364" i="9"/>
  <c r="BE364" i="9"/>
  <c r="AT364" i="9"/>
  <c r="E364" i="9"/>
  <c r="AK364" i="9"/>
  <c r="AD364" i="9"/>
  <c r="B364" i="9"/>
  <c r="AU363" i="9"/>
  <c r="AO363" i="9"/>
  <c r="AQ363" i="9"/>
  <c r="AS363" i="9"/>
  <c r="AW363" i="9"/>
  <c r="AY363" i="9"/>
  <c r="BA363" i="9"/>
  <c r="BC363" i="9"/>
  <c r="BE363" i="9"/>
  <c r="AT363" i="9"/>
  <c r="AN363" i="9"/>
  <c r="AK363" i="9"/>
  <c r="AD363" i="9"/>
  <c r="E363" i="9"/>
  <c r="B363" i="9"/>
  <c r="AU362" i="9"/>
  <c r="AT362" i="9"/>
  <c r="AN362" i="9"/>
  <c r="AK362" i="9"/>
  <c r="AD362" i="9"/>
  <c r="B362" i="9"/>
  <c r="AU361" i="9"/>
  <c r="AO361" i="9"/>
  <c r="AQ361" i="9"/>
  <c r="AS361" i="9"/>
  <c r="AW361" i="9"/>
  <c r="AY361" i="9"/>
  <c r="BA361" i="9"/>
  <c r="BC361" i="9"/>
  <c r="BE361" i="9"/>
  <c r="AT361" i="9"/>
  <c r="AN361" i="9"/>
  <c r="AK361" i="9"/>
  <c r="AD361" i="9"/>
  <c r="B361" i="9"/>
  <c r="AU360" i="9"/>
  <c r="AO360" i="9"/>
  <c r="AQ360" i="9"/>
  <c r="AS360" i="9"/>
  <c r="AW360" i="9"/>
  <c r="AY360" i="9"/>
  <c r="BA360" i="9"/>
  <c r="BC360" i="9"/>
  <c r="BE360" i="9"/>
  <c r="AT360" i="9"/>
  <c r="AN360" i="9"/>
  <c r="AP360" i="9"/>
  <c r="AR360" i="9"/>
  <c r="AK360" i="9"/>
  <c r="AD360" i="9"/>
  <c r="B360" i="9"/>
  <c r="AU359" i="9"/>
  <c r="AO359" i="9"/>
  <c r="AQ359" i="9"/>
  <c r="AS359" i="9"/>
  <c r="AW359" i="9"/>
  <c r="AY359" i="9"/>
  <c r="BA359" i="9"/>
  <c r="BC359" i="9"/>
  <c r="BE359" i="9"/>
  <c r="AT359" i="9"/>
  <c r="AK359" i="9"/>
  <c r="AD359" i="9"/>
  <c r="B359" i="9"/>
  <c r="AU358" i="9"/>
  <c r="AO358" i="9"/>
  <c r="AQ358" i="9"/>
  <c r="AS358" i="9"/>
  <c r="AW358" i="9"/>
  <c r="AY358" i="9"/>
  <c r="BA358" i="9"/>
  <c r="BC358" i="9"/>
  <c r="BE358" i="9"/>
  <c r="AT358" i="9"/>
  <c r="AN358" i="9"/>
  <c r="AK358" i="9"/>
  <c r="C358" i="9"/>
  <c r="AD358" i="9"/>
  <c r="B358" i="9"/>
  <c r="AU357" i="9"/>
  <c r="AO357" i="9"/>
  <c r="AQ357" i="9"/>
  <c r="AS357" i="9"/>
  <c r="AW357" i="9"/>
  <c r="AY357" i="9"/>
  <c r="BA357" i="9"/>
  <c r="BC357" i="9"/>
  <c r="BE357" i="9"/>
  <c r="AT357" i="9"/>
  <c r="AK357" i="9"/>
  <c r="AD357" i="9"/>
  <c r="B357" i="9"/>
  <c r="AU356" i="9"/>
  <c r="AO356" i="9"/>
  <c r="AQ356" i="9"/>
  <c r="AS356" i="9"/>
  <c r="AW356" i="9"/>
  <c r="AY356" i="9"/>
  <c r="BA356" i="9"/>
  <c r="BC356" i="9"/>
  <c r="BE356" i="9"/>
  <c r="AT356" i="9"/>
  <c r="AK356" i="9"/>
  <c r="AD356" i="9"/>
  <c r="B356" i="9"/>
  <c r="AU355" i="9"/>
  <c r="AO355" i="9"/>
  <c r="AQ355" i="9"/>
  <c r="AS355" i="9"/>
  <c r="AW355" i="9"/>
  <c r="AY355" i="9"/>
  <c r="BA355" i="9"/>
  <c r="BC355" i="9"/>
  <c r="BE355" i="9"/>
  <c r="AT355" i="9"/>
  <c r="AN355" i="9"/>
  <c r="AP355" i="9"/>
  <c r="AR355" i="9"/>
  <c r="AK355" i="9"/>
  <c r="AD355" i="9"/>
  <c r="B355" i="9"/>
  <c r="AU354" i="9"/>
  <c r="AO354" i="9"/>
  <c r="AQ354" i="9"/>
  <c r="AS354" i="9"/>
  <c r="AW354" i="9"/>
  <c r="AY354" i="9"/>
  <c r="BA354" i="9"/>
  <c r="BC354" i="9"/>
  <c r="BE354" i="9"/>
  <c r="AT354" i="9"/>
  <c r="AK354" i="9"/>
  <c r="AD354" i="9"/>
  <c r="B354" i="9"/>
  <c r="AU353" i="9"/>
  <c r="AO353" i="9"/>
  <c r="AQ353" i="9"/>
  <c r="AS353" i="9"/>
  <c r="AW353" i="9"/>
  <c r="AY353" i="9"/>
  <c r="BA353" i="9"/>
  <c r="BC353" i="9"/>
  <c r="BE353" i="9"/>
  <c r="AT353" i="9"/>
  <c r="AK353" i="9"/>
  <c r="AD353" i="9"/>
  <c r="B353" i="9"/>
  <c r="AU352" i="9"/>
  <c r="AO352" i="9"/>
  <c r="AQ352" i="9"/>
  <c r="AS352" i="9"/>
  <c r="AW352" i="9"/>
  <c r="AY352" i="9"/>
  <c r="BA352" i="9"/>
  <c r="BC352" i="9"/>
  <c r="BE352" i="9"/>
  <c r="AT352" i="9"/>
  <c r="AK352" i="9"/>
  <c r="AD352" i="9"/>
  <c r="B352" i="9"/>
  <c r="AU351" i="9"/>
  <c r="AO351" i="9"/>
  <c r="AQ351" i="9"/>
  <c r="AS351" i="9"/>
  <c r="AW351" i="9"/>
  <c r="AY351" i="9"/>
  <c r="BA351" i="9"/>
  <c r="BC351" i="9"/>
  <c r="BE351" i="9"/>
  <c r="AT351" i="9"/>
  <c r="AK351" i="9"/>
  <c r="AD351" i="9"/>
  <c r="B351" i="9"/>
  <c r="AU350" i="9"/>
  <c r="AO350" i="9"/>
  <c r="AQ350" i="9"/>
  <c r="AS350" i="9"/>
  <c r="AW350" i="9"/>
  <c r="AY350" i="9"/>
  <c r="BA350" i="9"/>
  <c r="BC350" i="9"/>
  <c r="BE350" i="9"/>
  <c r="AT350" i="9"/>
  <c r="AK350" i="9"/>
  <c r="AD350" i="9"/>
  <c r="B350" i="9"/>
  <c r="AU349" i="9"/>
  <c r="AO349" i="9"/>
  <c r="AQ349" i="9"/>
  <c r="AS349" i="9"/>
  <c r="AW349" i="9"/>
  <c r="AY349" i="9"/>
  <c r="BA349" i="9"/>
  <c r="BC349" i="9"/>
  <c r="BE349" i="9"/>
  <c r="AT349" i="9"/>
  <c r="AK349" i="9"/>
  <c r="AD349" i="9"/>
  <c r="B349" i="9"/>
  <c r="AU348" i="9"/>
  <c r="AO348" i="9"/>
  <c r="AQ348" i="9"/>
  <c r="AS348" i="9"/>
  <c r="AW348" i="9"/>
  <c r="AY348" i="9"/>
  <c r="BA348" i="9"/>
  <c r="BC348" i="9"/>
  <c r="BE348" i="9"/>
  <c r="AT348" i="9"/>
  <c r="AK348" i="9"/>
  <c r="AD348" i="9"/>
  <c r="B348" i="9"/>
  <c r="AU347" i="9"/>
  <c r="AT347" i="9"/>
  <c r="AN347" i="9"/>
  <c r="AK347" i="9"/>
  <c r="AD347" i="9"/>
  <c r="B347" i="9"/>
  <c r="AU346" i="9"/>
  <c r="AO346" i="9"/>
  <c r="AQ346" i="9"/>
  <c r="AT346" i="9"/>
  <c r="AN346" i="9"/>
  <c r="AP346" i="9"/>
  <c r="AR346" i="9"/>
  <c r="AV346" i="9"/>
  <c r="AK346" i="9"/>
  <c r="AD346" i="9"/>
  <c r="B346" i="9"/>
  <c r="AU345" i="9"/>
  <c r="AT345" i="9"/>
  <c r="AN345" i="9"/>
  <c r="AP345" i="9"/>
  <c r="AK345" i="9"/>
  <c r="AD345" i="9"/>
  <c r="B345" i="9"/>
  <c r="AU344" i="9"/>
  <c r="AO344" i="9"/>
  <c r="AQ344" i="9"/>
  <c r="AS344" i="9"/>
  <c r="AW344" i="9"/>
  <c r="AY344" i="9"/>
  <c r="BA344" i="9"/>
  <c r="BC344" i="9"/>
  <c r="BE344" i="9"/>
  <c r="AT344" i="9"/>
  <c r="AN344" i="9"/>
  <c r="AK344" i="9"/>
  <c r="AD344" i="9"/>
  <c r="B344" i="9"/>
  <c r="AU343" i="9"/>
  <c r="AT343" i="9"/>
  <c r="AN343" i="9"/>
  <c r="AK343" i="9"/>
  <c r="AD343" i="9"/>
  <c r="B343" i="9"/>
  <c r="AU342" i="9"/>
  <c r="AO342" i="9"/>
  <c r="AQ342" i="9"/>
  <c r="AS342" i="9"/>
  <c r="AW342" i="9"/>
  <c r="AY342" i="9"/>
  <c r="BA342" i="9"/>
  <c r="BC342" i="9"/>
  <c r="BE342" i="9"/>
  <c r="AT342" i="9"/>
  <c r="AK342" i="9"/>
  <c r="AD342" i="9"/>
  <c r="B342" i="9"/>
  <c r="AU341" i="9"/>
  <c r="AT341" i="9"/>
  <c r="AN341" i="9"/>
  <c r="AP341" i="9"/>
  <c r="AK341" i="9"/>
  <c r="AD341" i="9"/>
  <c r="B341" i="9"/>
  <c r="AU340" i="9"/>
  <c r="AO340" i="9"/>
  <c r="AQ340" i="9"/>
  <c r="AS340" i="9"/>
  <c r="AW340" i="9"/>
  <c r="AY340" i="9"/>
  <c r="BA340" i="9"/>
  <c r="BC340" i="9"/>
  <c r="BE340" i="9"/>
  <c r="AT340" i="9"/>
  <c r="AK340" i="9"/>
  <c r="C340" i="9"/>
  <c r="AD340" i="9"/>
  <c r="B340" i="9"/>
  <c r="AU339" i="9"/>
  <c r="AT339" i="9"/>
  <c r="AN339" i="9"/>
  <c r="AK339" i="9"/>
  <c r="C339" i="9"/>
  <c r="AD339" i="9"/>
  <c r="B339" i="9"/>
  <c r="AU338" i="9"/>
  <c r="AO338" i="9"/>
  <c r="AQ338" i="9"/>
  <c r="AT338" i="9"/>
  <c r="E338" i="9"/>
  <c r="AK338" i="9"/>
  <c r="AD338" i="9"/>
  <c r="B338" i="9"/>
  <c r="AU337" i="9"/>
  <c r="AT337" i="9"/>
  <c r="AN337" i="9"/>
  <c r="AP337" i="9"/>
  <c r="AK337" i="9"/>
  <c r="AD337" i="9"/>
  <c r="B337" i="9"/>
  <c r="AU336" i="9"/>
  <c r="AO336" i="9"/>
  <c r="AQ336" i="9"/>
  <c r="AS336" i="9"/>
  <c r="AW336" i="9"/>
  <c r="AY336" i="9"/>
  <c r="BA336" i="9"/>
  <c r="BC336" i="9"/>
  <c r="BE336" i="9"/>
  <c r="AT336" i="9"/>
  <c r="AK336" i="9"/>
  <c r="AD336" i="9"/>
  <c r="B336" i="9"/>
  <c r="AU335" i="9"/>
  <c r="AT335" i="9"/>
  <c r="AN335" i="9"/>
  <c r="AK335" i="9"/>
  <c r="AD335" i="9"/>
  <c r="B335" i="9"/>
  <c r="AU334" i="9"/>
  <c r="AO334" i="9"/>
  <c r="AQ334" i="9"/>
  <c r="AT334" i="9"/>
  <c r="AK334" i="9"/>
  <c r="AD334" i="9"/>
  <c r="B334" i="9"/>
  <c r="AU333" i="9"/>
  <c r="AT333" i="9"/>
  <c r="AN333" i="9"/>
  <c r="AP333" i="9"/>
  <c r="AK333" i="9"/>
  <c r="AD333" i="9"/>
  <c r="B333" i="9"/>
  <c r="AU332" i="9"/>
  <c r="AO332" i="9"/>
  <c r="AQ332" i="9"/>
  <c r="AS332" i="9"/>
  <c r="AW332" i="9"/>
  <c r="AY332" i="9"/>
  <c r="BA332" i="9"/>
  <c r="BC332" i="9"/>
  <c r="BE332" i="9"/>
  <c r="AT332" i="9"/>
  <c r="AK332" i="9"/>
  <c r="AD332" i="9"/>
  <c r="B332" i="9"/>
  <c r="AU331" i="9"/>
  <c r="AT331" i="9"/>
  <c r="AN331" i="9"/>
  <c r="AK331" i="9"/>
  <c r="AD331" i="9"/>
  <c r="B331" i="9"/>
  <c r="AU330" i="9"/>
  <c r="AO330" i="9"/>
  <c r="AQ330" i="9"/>
  <c r="AT330" i="9"/>
  <c r="AK330" i="9"/>
  <c r="AD330" i="9"/>
  <c r="B330" i="9"/>
  <c r="AU329" i="9"/>
  <c r="AT329" i="9"/>
  <c r="AN329" i="9"/>
  <c r="AP329" i="9"/>
  <c r="AK329" i="9"/>
  <c r="AD329" i="9"/>
  <c r="B329" i="9"/>
  <c r="AU328" i="9"/>
  <c r="AO328" i="9"/>
  <c r="AQ328" i="9"/>
  <c r="AS328" i="9"/>
  <c r="AW328" i="9"/>
  <c r="AY328" i="9"/>
  <c r="BA328" i="9"/>
  <c r="BC328" i="9"/>
  <c r="BE328" i="9"/>
  <c r="AT328" i="9"/>
  <c r="AN328" i="9"/>
  <c r="AK328" i="9"/>
  <c r="C328" i="9"/>
  <c r="AD328" i="9"/>
  <c r="B328" i="9"/>
  <c r="AU327" i="9"/>
  <c r="AT327" i="9"/>
  <c r="AN327" i="9"/>
  <c r="AK327" i="9"/>
  <c r="AD327" i="9"/>
  <c r="B327" i="9"/>
  <c r="AU326" i="9"/>
  <c r="AO326" i="9"/>
  <c r="AQ326" i="9"/>
  <c r="AT326" i="9"/>
  <c r="AN326" i="9"/>
  <c r="AP326" i="9"/>
  <c r="AR326" i="9"/>
  <c r="AV326" i="9"/>
  <c r="AK326" i="9"/>
  <c r="AD326" i="9"/>
  <c r="B326" i="9"/>
  <c r="AU325" i="9"/>
  <c r="AT325" i="9"/>
  <c r="AN325" i="9"/>
  <c r="AP325" i="9"/>
  <c r="AK325" i="9"/>
  <c r="AD325" i="9"/>
  <c r="B325" i="9"/>
  <c r="AU324" i="9"/>
  <c r="AO324" i="9"/>
  <c r="AQ324" i="9"/>
  <c r="AS324" i="9"/>
  <c r="AW324" i="9"/>
  <c r="AY324" i="9"/>
  <c r="BA324" i="9"/>
  <c r="BC324" i="9"/>
  <c r="BE324" i="9"/>
  <c r="AT324" i="9"/>
  <c r="AN324" i="9"/>
  <c r="AP324" i="9"/>
  <c r="AK324" i="9"/>
  <c r="AD324" i="9"/>
  <c r="B324" i="9"/>
  <c r="AU323" i="9"/>
  <c r="AT323" i="9"/>
  <c r="AN323" i="9"/>
  <c r="AK323" i="9"/>
  <c r="AD323" i="9"/>
  <c r="B323" i="9"/>
  <c r="AU322" i="9"/>
  <c r="AO322" i="9"/>
  <c r="AQ322" i="9"/>
  <c r="AT322" i="9"/>
  <c r="AN322" i="9"/>
  <c r="AP322" i="9"/>
  <c r="AR322" i="9"/>
  <c r="AK322" i="9"/>
  <c r="AD322" i="9"/>
  <c r="B322" i="9"/>
  <c r="AU321" i="9"/>
  <c r="AT321" i="9"/>
  <c r="AN321" i="9"/>
  <c r="AP321" i="9"/>
  <c r="AK321" i="9"/>
  <c r="AD321" i="9"/>
  <c r="B321" i="9"/>
  <c r="AU320" i="9"/>
  <c r="AO320" i="9"/>
  <c r="AQ320" i="9"/>
  <c r="AS320" i="9"/>
  <c r="AW320" i="9"/>
  <c r="AY320" i="9"/>
  <c r="BA320" i="9"/>
  <c r="BC320" i="9"/>
  <c r="BE320" i="9"/>
  <c r="AT320" i="9"/>
  <c r="AN320" i="9"/>
  <c r="AP320" i="9"/>
  <c r="AK320" i="9"/>
  <c r="AD320" i="9"/>
  <c r="B320" i="9"/>
  <c r="AU319" i="9"/>
  <c r="AT319" i="9"/>
  <c r="AN319" i="9"/>
  <c r="AK319" i="9"/>
  <c r="AD319" i="9"/>
  <c r="B319" i="9"/>
  <c r="AU318" i="9"/>
  <c r="AT318" i="9"/>
  <c r="AN318" i="9"/>
  <c r="AO318" i="9"/>
  <c r="AQ318" i="9"/>
  <c r="AK318" i="9"/>
  <c r="AD318" i="9"/>
  <c r="B318" i="9"/>
  <c r="C318" i="9"/>
  <c r="AU317" i="9"/>
  <c r="AT317" i="9"/>
  <c r="AN317" i="9"/>
  <c r="AP317" i="9"/>
  <c r="AK317" i="9"/>
  <c r="C317" i="9"/>
  <c r="AD317" i="9"/>
  <c r="B317" i="9"/>
  <c r="AU316" i="9"/>
  <c r="AO316" i="9"/>
  <c r="AQ316" i="9"/>
  <c r="AS316" i="9"/>
  <c r="AW316" i="9"/>
  <c r="AY316" i="9"/>
  <c r="BA316" i="9"/>
  <c r="BC316" i="9"/>
  <c r="BE316" i="9"/>
  <c r="AT316" i="9"/>
  <c r="AK316" i="9"/>
  <c r="AD316" i="9"/>
  <c r="B316" i="9"/>
  <c r="AU315" i="9"/>
  <c r="AT315" i="9"/>
  <c r="AN315" i="9"/>
  <c r="AK315" i="9"/>
  <c r="AD315" i="9"/>
  <c r="B315" i="9"/>
  <c r="AU314" i="9"/>
  <c r="AO314" i="9"/>
  <c r="AQ314" i="9"/>
  <c r="AS314" i="9"/>
  <c r="AT314" i="9"/>
  <c r="AN314" i="9"/>
  <c r="AP314" i="9"/>
  <c r="AR314" i="9"/>
  <c r="AV314" i="9"/>
  <c r="AK314" i="9"/>
  <c r="C314" i="9"/>
  <c r="AD314" i="9"/>
  <c r="B314" i="9"/>
  <c r="AU313" i="9"/>
  <c r="AT313" i="9"/>
  <c r="AN313" i="9"/>
  <c r="AP313" i="9"/>
  <c r="AK313" i="9"/>
  <c r="AD313" i="9"/>
  <c r="B313" i="9"/>
  <c r="AU312" i="9"/>
  <c r="AO312" i="9"/>
  <c r="AQ312" i="9"/>
  <c r="AS312" i="9"/>
  <c r="AW312" i="9"/>
  <c r="AY312" i="9"/>
  <c r="BA312" i="9"/>
  <c r="BC312" i="9"/>
  <c r="BE312" i="9"/>
  <c r="AT312" i="9"/>
  <c r="AK312" i="9"/>
  <c r="AD312" i="9"/>
  <c r="B312" i="9"/>
  <c r="C312" i="9"/>
  <c r="AU311" i="9"/>
  <c r="AT311" i="9"/>
  <c r="AN311" i="9"/>
  <c r="AK311" i="9"/>
  <c r="AD311" i="9"/>
  <c r="B311" i="9"/>
  <c r="AU310" i="9"/>
  <c r="AO310" i="9"/>
  <c r="AQ310" i="9"/>
  <c r="AT310" i="9"/>
  <c r="E310" i="9"/>
  <c r="AK310" i="9"/>
  <c r="AD310" i="9"/>
  <c r="B310" i="9"/>
  <c r="AU309" i="9"/>
  <c r="AT309" i="9"/>
  <c r="AN309" i="9"/>
  <c r="AP309" i="9"/>
  <c r="AK309" i="9"/>
  <c r="AD309" i="9"/>
  <c r="B309" i="9"/>
  <c r="AU308" i="9"/>
  <c r="AT308" i="9"/>
  <c r="AN308" i="9"/>
  <c r="AP308" i="9"/>
  <c r="AK308" i="9"/>
  <c r="AD308" i="9"/>
  <c r="B308" i="9"/>
  <c r="AU307" i="9"/>
  <c r="AT307" i="9"/>
  <c r="AN307" i="9"/>
  <c r="AK307" i="9"/>
  <c r="AD307" i="9"/>
  <c r="B307" i="9"/>
  <c r="AU306" i="9"/>
  <c r="AO306" i="9"/>
  <c r="AQ306" i="9"/>
  <c r="AT306" i="9"/>
  <c r="AN306" i="9"/>
  <c r="AK306" i="9"/>
  <c r="AD306" i="9"/>
  <c r="B306" i="9"/>
  <c r="AU305" i="9"/>
  <c r="AT305" i="9"/>
  <c r="AN305" i="9"/>
  <c r="AP305" i="9"/>
  <c r="AK305" i="9"/>
  <c r="C305" i="9"/>
  <c r="AD305" i="9"/>
  <c r="B305" i="9"/>
  <c r="AU304" i="9"/>
  <c r="AO304" i="9"/>
  <c r="AQ304" i="9"/>
  <c r="AS304" i="9"/>
  <c r="AW304" i="9"/>
  <c r="AY304" i="9"/>
  <c r="BA304" i="9"/>
  <c r="BC304" i="9"/>
  <c r="BE304" i="9"/>
  <c r="AT304" i="9"/>
  <c r="AK304" i="9"/>
  <c r="AD304" i="9"/>
  <c r="B304" i="9"/>
  <c r="AU303" i="9"/>
  <c r="AT303" i="9"/>
  <c r="AN303" i="9"/>
  <c r="AK303" i="9"/>
  <c r="AD303" i="9"/>
  <c r="B303" i="9"/>
  <c r="AU302" i="9"/>
  <c r="AT302" i="9"/>
  <c r="AO302" i="9"/>
  <c r="AQ302" i="9"/>
  <c r="AS302" i="9"/>
  <c r="AW302" i="9"/>
  <c r="AY302" i="9"/>
  <c r="BA302" i="9"/>
  <c r="BC302" i="9"/>
  <c r="BE302" i="9"/>
  <c r="AK302" i="9"/>
  <c r="AD302" i="9"/>
  <c r="B302" i="9"/>
  <c r="AU301" i="9"/>
  <c r="AT301" i="9"/>
  <c r="AN301" i="9"/>
  <c r="AK301" i="9"/>
  <c r="AD301" i="9"/>
  <c r="B301" i="9"/>
  <c r="AU300" i="9"/>
  <c r="AO300" i="9"/>
  <c r="AQ300" i="9"/>
  <c r="AS300" i="9"/>
  <c r="AW300" i="9"/>
  <c r="AY300" i="9"/>
  <c r="BA300" i="9"/>
  <c r="BC300" i="9"/>
  <c r="BE300" i="9"/>
  <c r="AT300" i="9"/>
  <c r="AK300" i="9"/>
  <c r="AD300" i="9"/>
  <c r="B300" i="9"/>
  <c r="AU299" i="9"/>
  <c r="AT299" i="9"/>
  <c r="AN299" i="9"/>
  <c r="AK299" i="9"/>
  <c r="AD299" i="9"/>
  <c r="B299" i="9"/>
  <c r="AU298" i="9"/>
  <c r="AO298" i="9"/>
  <c r="AT298" i="9"/>
  <c r="AN298" i="9"/>
  <c r="AP298" i="9"/>
  <c r="AK298" i="9"/>
  <c r="AD298" i="9"/>
  <c r="B298" i="9"/>
  <c r="AU297" i="9"/>
  <c r="AT297" i="9"/>
  <c r="AN297" i="9"/>
  <c r="AK297" i="9"/>
  <c r="AD297" i="9"/>
  <c r="B297" i="9"/>
  <c r="AU296" i="9"/>
  <c r="AO296" i="9"/>
  <c r="AQ296" i="9"/>
  <c r="AS296" i="9"/>
  <c r="AW296" i="9"/>
  <c r="AY296" i="9"/>
  <c r="BA296" i="9"/>
  <c r="BC296" i="9"/>
  <c r="BE296" i="9"/>
  <c r="AT296" i="9"/>
  <c r="AK296" i="9"/>
  <c r="AD296" i="9"/>
  <c r="B296" i="9"/>
  <c r="AU295" i="9"/>
  <c r="AT295" i="9"/>
  <c r="AN295" i="9"/>
  <c r="AK295" i="9"/>
  <c r="AD295" i="9"/>
  <c r="B295" i="9"/>
  <c r="AU294" i="9"/>
  <c r="AT294" i="9"/>
  <c r="AN294" i="9"/>
  <c r="AP294" i="9"/>
  <c r="AO294" i="9"/>
  <c r="AQ294" i="9"/>
  <c r="AS294" i="9"/>
  <c r="AW294" i="9"/>
  <c r="AY294" i="9"/>
  <c r="BA294" i="9"/>
  <c r="BC294" i="9"/>
  <c r="BE294" i="9"/>
  <c r="AK294" i="9"/>
  <c r="AD294" i="9"/>
  <c r="B294" i="9"/>
  <c r="AU293" i="9"/>
  <c r="AT293" i="9"/>
  <c r="AN293" i="9"/>
  <c r="AK293" i="9"/>
  <c r="AD293" i="9"/>
  <c r="B293" i="9"/>
  <c r="AU292" i="9"/>
  <c r="AT292" i="9"/>
  <c r="AN292" i="9"/>
  <c r="AP292" i="9"/>
  <c r="AO292" i="9"/>
  <c r="AK292" i="9"/>
  <c r="AD292" i="9"/>
  <c r="B292" i="9"/>
  <c r="AU291" i="9"/>
  <c r="AT291" i="9"/>
  <c r="AN291" i="9"/>
  <c r="AP291" i="9"/>
  <c r="AK291" i="9"/>
  <c r="AD291" i="9"/>
  <c r="B291" i="9"/>
  <c r="AU290" i="9"/>
  <c r="AO290" i="9"/>
  <c r="AQ290" i="9"/>
  <c r="AS290" i="9"/>
  <c r="AW290" i="9"/>
  <c r="AY290" i="9"/>
  <c r="BA290" i="9"/>
  <c r="BC290" i="9"/>
  <c r="BE290" i="9"/>
  <c r="AT290" i="9"/>
  <c r="AN290" i="9"/>
  <c r="AP290" i="9"/>
  <c r="AR290" i="9"/>
  <c r="AK290" i="9"/>
  <c r="AD290" i="9"/>
  <c r="B290" i="9"/>
  <c r="AU289" i="9"/>
  <c r="AO289" i="9"/>
  <c r="AQ289" i="9"/>
  <c r="AS289" i="9"/>
  <c r="AW289" i="9"/>
  <c r="AY289" i="9"/>
  <c r="BA289" i="9"/>
  <c r="BC289" i="9"/>
  <c r="BE289" i="9"/>
  <c r="AT289" i="9"/>
  <c r="AK289" i="9"/>
  <c r="AD289" i="9"/>
  <c r="B289" i="9"/>
  <c r="AU288" i="9"/>
  <c r="AO288" i="9"/>
  <c r="AT288" i="9"/>
  <c r="AN288" i="9"/>
  <c r="AP288" i="9"/>
  <c r="AR288" i="9"/>
  <c r="AK288" i="9"/>
  <c r="AD288" i="9"/>
  <c r="B288" i="9"/>
  <c r="AU287" i="9"/>
  <c r="AO287" i="9"/>
  <c r="AQ287" i="9"/>
  <c r="AS287" i="9"/>
  <c r="AW287" i="9"/>
  <c r="AY287" i="9"/>
  <c r="BA287" i="9"/>
  <c r="BC287" i="9"/>
  <c r="BE287" i="9"/>
  <c r="AT287" i="9"/>
  <c r="AN287" i="9"/>
  <c r="AP287" i="9"/>
  <c r="AK287" i="9"/>
  <c r="AD287" i="9"/>
  <c r="B287" i="9"/>
  <c r="AU286" i="9"/>
  <c r="AO286" i="9"/>
  <c r="AQ286" i="9"/>
  <c r="AS286" i="9"/>
  <c r="AW286" i="9"/>
  <c r="AY286" i="9"/>
  <c r="BA286" i="9"/>
  <c r="BC286" i="9"/>
  <c r="BE286" i="9"/>
  <c r="AT286" i="9"/>
  <c r="AN286" i="9"/>
  <c r="AK286" i="9"/>
  <c r="AD286" i="9"/>
  <c r="B286" i="9"/>
  <c r="AU285" i="9"/>
  <c r="AO285" i="9"/>
  <c r="AQ285" i="9"/>
  <c r="AS285" i="9"/>
  <c r="AW285" i="9"/>
  <c r="AY285" i="9"/>
  <c r="BA285" i="9"/>
  <c r="BC285" i="9"/>
  <c r="BE285" i="9"/>
  <c r="AT285" i="9"/>
  <c r="AN285" i="9"/>
  <c r="AK285" i="9"/>
  <c r="AD285" i="9"/>
  <c r="B285" i="9"/>
  <c r="AU284" i="9"/>
  <c r="AO284" i="9"/>
  <c r="AQ284" i="9"/>
  <c r="AS284" i="9"/>
  <c r="AW284" i="9"/>
  <c r="AY284" i="9"/>
  <c r="BA284" i="9"/>
  <c r="BC284" i="9"/>
  <c r="BE284" i="9"/>
  <c r="AT284" i="9"/>
  <c r="AN284" i="9"/>
  <c r="AK284" i="9"/>
  <c r="AD284" i="9"/>
  <c r="B284" i="9"/>
  <c r="AU283" i="9"/>
  <c r="AO283" i="9"/>
  <c r="AQ283" i="9"/>
  <c r="AS283" i="9"/>
  <c r="AW283" i="9"/>
  <c r="AY283" i="9"/>
  <c r="BA283" i="9"/>
  <c r="BC283" i="9"/>
  <c r="BE283" i="9"/>
  <c r="AT283" i="9"/>
  <c r="AN283" i="9"/>
  <c r="AP283" i="9"/>
  <c r="AK283" i="9"/>
  <c r="AD283" i="9"/>
  <c r="B283" i="9"/>
  <c r="AU282" i="9"/>
  <c r="AO282" i="9"/>
  <c r="AQ282" i="9"/>
  <c r="AS282" i="9"/>
  <c r="AW282" i="9"/>
  <c r="AY282" i="9"/>
  <c r="BA282" i="9"/>
  <c r="BC282" i="9"/>
  <c r="BE282" i="9"/>
  <c r="AT282" i="9"/>
  <c r="AK282" i="9"/>
  <c r="AD282" i="9"/>
  <c r="B282" i="9"/>
  <c r="AU281" i="9"/>
  <c r="AO281" i="9"/>
  <c r="AQ281" i="9"/>
  <c r="AS281" i="9"/>
  <c r="AW281" i="9"/>
  <c r="AY281" i="9"/>
  <c r="BA281" i="9"/>
  <c r="BC281" i="9"/>
  <c r="BE281" i="9"/>
  <c r="AT281" i="9"/>
  <c r="AN281" i="9"/>
  <c r="AP281" i="9"/>
  <c r="AR281" i="9"/>
  <c r="AV281" i="9"/>
  <c r="AK281" i="9"/>
  <c r="AD281" i="9"/>
  <c r="B281" i="9"/>
  <c r="AU280" i="9"/>
  <c r="AO280" i="9"/>
  <c r="AQ280" i="9"/>
  <c r="AS280" i="9"/>
  <c r="AW280" i="9"/>
  <c r="AY280" i="9"/>
  <c r="BA280" i="9"/>
  <c r="BC280" i="9"/>
  <c r="BE280" i="9"/>
  <c r="AT280" i="9"/>
  <c r="AN280" i="9"/>
  <c r="AK280" i="9"/>
  <c r="AD280" i="9"/>
  <c r="B280" i="9"/>
  <c r="C280" i="9"/>
  <c r="AU279" i="9"/>
  <c r="AO279" i="9"/>
  <c r="AQ279" i="9"/>
  <c r="AS279" i="9"/>
  <c r="AW279" i="9"/>
  <c r="AY279" i="9"/>
  <c r="BA279" i="9"/>
  <c r="BC279" i="9"/>
  <c r="BE279" i="9"/>
  <c r="AT279" i="9"/>
  <c r="AN279" i="9"/>
  <c r="AK279" i="9"/>
  <c r="AD279" i="9"/>
  <c r="B279" i="9"/>
  <c r="AU278" i="9"/>
  <c r="AO278" i="9"/>
  <c r="AQ278" i="9"/>
  <c r="AS278" i="9"/>
  <c r="AW278" i="9"/>
  <c r="AY278" i="9"/>
  <c r="BA278" i="9"/>
  <c r="BC278" i="9"/>
  <c r="BE278" i="9"/>
  <c r="AT278" i="9"/>
  <c r="AN278" i="9"/>
  <c r="AK278" i="9"/>
  <c r="AD278" i="9"/>
  <c r="E278" i="9"/>
  <c r="B278" i="9"/>
  <c r="AU277" i="9"/>
  <c r="AT277" i="9"/>
  <c r="AN277" i="9"/>
  <c r="AK277" i="9"/>
  <c r="AD277" i="9"/>
  <c r="B277" i="9"/>
  <c r="AU276" i="9"/>
  <c r="AO276" i="9"/>
  <c r="AQ276" i="9"/>
  <c r="AS276" i="9"/>
  <c r="AW276" i="9"/>
  <c r="AY276" i="9"/>
  <c r="BA276" i="9"/>
  <c r="BC276" i="9"/>
  <c r="BE276" i="9"/>
  <c r="AT276" i="9"/>
  <c r="AN276" i="9"/>
  <c r="AP276" i="9"/>
  <c r="AK276" i="9"/>
  <c r="AD276" i="9"/>
  <c r="B276" i="9"/>
  <c r="AU275" i="9"/>
  <c r="AT275" i="9"/>
  <c r="AN275" i="9"/>
  <c r="AK275" i="9"/>
  <c r="AD275" i="9"/>
  <c r="B275" i="9"/>
  <c r="AU274" i="9"/>
  <c r="AO274" i="9"/>
  <c r="AQ274" i="9"/>
  <c r="AS274" i="9"/>
  <c r="AW274" i="9"/>
  <c r="AY274" i="9"/>
  <c r="BA274" i="9"/>
  <c r="BC274" i="9"/>
  <c r="BE274" i="9"/>
  <c r="AT274" i="9"/>
  <c r="E274" i="9"/>
  <c r="K274" i="9"/>
  <c r="AK274" i="9"/>
  <c r="AD274" i="9"/>
  <c r="B274" i="9"/>
  <c r="AU273" i="9"/>
  <c r="AO273" i="9"/>
  <c r="AQ273" i="9"/>
  <c r="AS273" i="9"/>
  <c r="AW273" i="9"/>
  <c r="AY273" i="9"/>
  <c r="BA273" i="9"/>
  <c r="BC273" i="9"/>
  <c r="BE273" i="9"/>
  <c r="AT273" i="9"/>
  <c r="AN273" i="9"/>
  <c r="AK273" i="9"/>
  <c r="AD273" i="9"/>
  <c r="B273" i="9"/>
  <c r="AU272" i="9"/>
  <c r="AO272" i="9"/>
  <c r="AQ272" i="9"/>
  <c r="AS272" i="9"/>
  <c r="AW272" i="9"/>
  <c r="AY272" i="9"/>
  <c r="BA272" i="9"/>
  <c r="BC272" i="9"/>
  <c r="BE272" i="9"/>
  <c r="AT272" i="9"/>
  <c r="AN272" i="9"/>
  <c r="AK272" i="9"/>
  <c r="AD272" i="9"/>
  <c r="B272" i="9"/>
  <c r="AU271" i="9"/>
  <c r="AO271" i="9"/>
  <c r="AQ271" i="9"/>
  <c r="AS271" i="9"/>
  <c r="AW271" i="9"/>
  <c r="AY271" i="9"/>
  <c r="BA271" i="9"/>
  <c r="BC271" i="9"/>
  <c r="BE271" i="9"/>
  <c r="AT271" i="9"/>
  <c r="AK271" i="9"/>
  <c r="AD271" i="9"/>
  <c r="B271" i="9"/>
  <c r="AU270" i="9"/>
  <c r="AO270" i="9"/>
  <c r="AQ270" i="9"/>
  <c r="AS270" i="9"/>
  <c r="AW270" i="9"/>
  <c r="AY270" i="9"/>
  <c r="BA270" i="9"/>
  <c r="BC270" i="9"/>
  <c r="BE270" i="9"/>
  <c r="AT270" i="9"/>
  <c r="AN270" i="9"/>
  <c r="AK270" i="9"/>
  <c r="AD270" i="9"/>
  <c r="B270" i="9"/>
  <c r="AU269" i="9"/>
  <c r="AO269" i="9"/>
  <c r="AT269" i="9"/>
  <c r="AQ269" i="9"/>
  <c r="AS269" i="9"/>
  <c r="AW269" i="9"/>
  <c r="AY269" i="9"/>
  <c r="BA269" i="9"/>
  <c r="BC269" i="9"/>
  <c r="BE269" i="9"/>
  <c r="AK269" i="9"/>
  <c r="AD269" i="9"/>
  <c r="B269" i="9"/>
  <c r="AU268" i="9"/>
  <c r="AO268" i="9"/>
  <c r="AQ268" i="9"/>
  <c r="AS268" i="9"/>
  <c r="AW268" i="9"/>
  <c r="AY268" i="9"/>
  <c r="BA268" i="9"/>
  <c r="BC268" i="9"/>
  <c r="BE268" i="9"/>
  <c r="AT268" i="9"/>
  <c r="AN268" i="9"/>
  <c r="AK268" i="9"/>
  <c r="AD268" i="9"/>
  <c r="B268" i="9"/>
  <c r="AU267" i="9"/>
  <c r="AO267" i="9"/>
  <c r="AQ267" i="9"/>
  <c r="AS267" i="9"/>
  <c r="AW267" i="9"/>
  <c r="AY267" i="9"/>
  <c r="BA267" i="9"/>
  <c r="BC267" i="9"/>
  <c r="BE267" i="9"/>
  <c r="AT267" i="9"/>
  <c r="AK267" i="9"/>
  <c r="AD267" i="9"/>
  <c r="B267" i="9"/>
  <c r="AU266" i="9"/>
  <c r="AO266" i="9"/>
  <c r="AQ266" i="9"/>
  <c r="AS266" i="9"/>
  <c r="AW266" i="9"/>
  <c r="AY266" i="9"/>
  <c r="BA266" i="9"/>
  <c r="BC266" i="9"/>
  <c r="BE266" i="9"/>
  <c r="AT266" i="9"/>
  <c r="AN266" i="9"/>
  <c r="AK266" i="9"/>
  <c r="AD266" i="9"/>
  <c r="B266" i="9"/>
  <c r="AU265" i="9"/>
  <c r="AO265" i="9"/>
  <c r="AQ265" i="9"/>
  <c r="AS265" i="9"/>
  <c r="AW265" i="9"/>
  <c r="AY265" i="9"/>
  <c r="BA265" i="9"/>
  <c r="BC265" i="9"/>
  <c r="BE265" i="9"/>
  <c r="AT265" i="9"/>
  <c r="AN265" i="9"/>
  <c r="AK265" i="9"/>
  <c r="AD265" i="9"/>
  <c r="B265" i="9"/>
  <c r="AU264" i="9"/>
  <c r="AO264" i="9"/>
  <c r="AQ264" i="9"/>
  <c r="AS264" i="9"/>
  <c r="AW264" i="9"/>
  <c r="AY264" i="9"/>
  <c r="BA264" i="9"/>
  <c r="BC264" i="9"/>
  <c r="BE264" i="9"/>
  <c r="AT264" i="9"/>
  <c r="E264" i="9"/>
  <c r="AK264" i="9"/>
  <c r="AD264" i="9"/>
  <c r="B264" i="9"/>
  <c r="AU263" i="9"/>
  <c r="AO263" i="9"/>
  <c r="AQ263" i="9"/>
  <c r="AS263" i="9"/>
  <c r="AW263" i="9"/>
  <c r="AY263" i="9"/>
  <c r="BA263" i="9"/>
  <c r="BC263" i="9"/>
  <c r="BE263" i="9"/>
  <c r="AT263" i="9"/>
  <c r="AK263" i="9"/>
  <c r="AD263" i="9"/>
  <c r="B263" i="9"/>
  <c r="AU262" i="9"/>
  <c r="AO262" i="9"/>
  <c r="AQ262" i="9"/>
  <c r="AS262" i="9"/>
  <c r="AW262" i="9"/>
  <c r="AY262" i="9"/>
  <c r="BA262" i="9"/>
  <c r="BC262" i="9"/>
  <c r="BE262" i="9"/>
  <c r="AT262" i="9"/>
  <c r="AK262" i="9"/>
  <c r="AD262" i="9"/>
  <c r="B262" i="9"/>
  <c r="AU261" i="9"/>
  <c r="AO261" i="9"/>
  <c r="AQ261" i="9"/>
  <c r="AS261" i="9"/>
  <c r="AW261" i="9"/>
  <c r="AY261" i="9"/>
  <c r="BA261" i="9"/>
  <c r="BC261" i="9"/>
  <c r="BE261" i="9"/>
  <c r="AT261" i="9"/>
  <c r="AN261" i="9"/>
  <c r="AK261" i="9"/>
  <c r="AD261" i="9"/>
  <c r="B261" i="9"/>
  <c r="AU260" i="9"/>
  <c r="AO260" i="9"/>
  <c r="AQ260" i="9"/>
  <c r="AS260" i="9"/>
  <c r="AW260" i="9"/>
  <c r="AY260" i="9"/>
  <c r="BA260" i="9"/>
  <c r="BC260" i="9"/>
  <c r="BE260" i="9"/>
  <c r="AT260" i="9"/>
  <c r="AN260" i="9"/>
  <c r="AK260" i="9"/>
  <c r="AD260" i="9"/>
  <c r="B260" i="9"/>
  <c r="AU259" i="9"/>
  <c r="AO259" i="9"/>
  <c r="AQ259" i="9"/>
  <c r="AS259" i="9"/>
  <c r="AW259" i="9"/>
  <c r="AY259" i="9"/>
  <c r="BA259" i="9"/>
  <c r="BC259" i="9"/>
  <c r="BE259" i="9"/>
  <c r="AT259" i="9"/>
  <c r="AN259" i="9"/>
  <c r="AK259" i="9"/>
  <c r="AD259" i="9"/>
  <c r="B259" i="9"/>
  <c r="AU258" i="9"/>
  <c r="AO258" i="9"/>
  <c r="AQ258" i="9"/>
  <c r="AS258" i="9"/>
  <c r="AW258" i="9"/>
  <c r="AY258" i="9"/>
  <c r="BA258" i="9"/>
  <c r="BC258" i="9"/>
  <c r="BE258" i="9"/>
  <c r="AT258" i="9"/>
  <c r="AN258" i="9"/>
  <c r="AK258" i="9"/>
  <c r="AD258" i="9"/>
  <c r="B258" i="9"/>
  <c r="AU257" i="9"/>
  <c r="AO257" i="9"/>
  <c r="AQ257" i="9"/>
  <c r="AS257" i="9"/>
  <c r="AW257" i="9"/>
  <c r="AY257" i="9"/>
  <c r="BA257" i="9"/>
  <c r="BC257" i="9"/>
  <c r="BE257" i="9"/>
  <c r="AT257" i="9"/>
  <c r="AN257" i="9"/>
  <c r="AK257" i="9"/>
  <c r="AD257" i="9"/>
  <c r="B257" i="9"/>
  <c r="AU256" i="9"/>
  <c r="AO256" i="9"/>
  <c r="AQ256" i="9"/>
  <c r="AS256" i="9"/>
  <c r="AW256" i="9"/>
  <c r="AY256" i="9"/>
  <c r="BA256" i="9"/>
  <c r="BC256" i="9"/>
  <c r="BE256" i="9"/>
  <c r="AT256" i="9"/>
  <c r="AN256" i="9"/>
  <c r="AK256" i="9"/>
  <c r="AD256" i="9"/>
  <c r="B256" i="9"/>
  <c r="AU255" i="9"/>
  <c r="AT255" i="9"/>
  <c r="AN255" i="9"/>
  <c r="AK255" i="9"/>
  <c r="AD255" i="9"/>
  <c r="B255" i="9"/>
  <c r="AU254" i="9"/>
  <c r="AO254" i="9"/>
  <c r="AQ254" i="9"/>
  <c r="AS254" i="9"/>
  <c r="AW254" i="9"/>
  <c r="AY254" i="9"/>
  <c r="BA254" i="9"/>
  <c r="BC254" i="9"/>
  <c r="BE254" i="9"/>
  <c r="AT254" i="9"/>
  <c r="AN254" i="9"/>
  <c r="AP254" i="9"/>
  <c r="AK254" i="9"/>
  <c r="AD254" i="9"/>
  <c r="B254" i="9"/>
  <c r="AU253" i="9"/>
  <c r="AT253" i="9"/>
  <c r="AN253" i="9"/>
  <c r="AK253" i="9"/>
  <c r="AD253" i="9"/>
  <c r="B253" i="9"/>
  <c r="AU252" i="9"/>
  <c r="AO252" i="9"/>
  <c r="AQ252" i="9"/>
  <c r="AS252" i="9"/>
  <c r="AW252" i="9"/>
  <c r="AY252" i="9"/>
  <c r="BA252" i="9"/>
  <c r="BC252" i="9"/>
  <c r="BE252" i="9"/>
  <c r="AT252" i="9"/>
  <c r="AK252" i="9"/>
  <c r="AD252" i="9"/>
  <c r="B252" i="9"/>
  <c r="AU251" i="9"/>
  <c r="AO251" i="9"/>
  <c r="AQ251" i="9"/>
  <c r="AS251" i="9"/>
  <c r="AW251" i="9"/>
  <c r="AY251" i="9"/>
  <c r="BA251" i="9"/>
  <c r="BC251" i="9"/>
  <c r="BE251" i="9"/>
  <c r="AT251" i="9"/>
  <c r="AN251" i="9"/>
  <c r="AK251" i="9"/>
  <c r="AD251" i="9"/>
  <c r="B251" i="9"/>
  <c r="AU250" i="9"/>
  <c r="AO250" i="9"/>
  <c r="AQ250" i="9"/>
  <c r="AS250" i="9"/>
  <c r="AW250" i="9"/>
  <c r="AY250" i="9"/>
  <c r="BA250" i="9"/>
  <c r="BC250" i="9"/>
  <c r="BE250" i="9"/>
  <c r="AT250" i="9"/>
  <c r="AN250" i="9"/>
  <c r="AK250" i="9"/>
  <c r="AD250" i="9"/>
  <c r="B250" i="9"/>
  <c r="AU249" i="9"/>
  <c r="AO249" i="9"/>
  <c r="AQ249" i="9"/>
  <c r="AS249" i="9"/>
  <c r="AW249" i="9"/>
  <c r="AY249" i="9"/>
  <c r="BA249" i="9"/>
  <c r="BC249" i="9"/>
  <c r="BE249" i="9"/>
  <c r="AT249" i="9"/>
  <c r="AK249" i="9"/>
  <c r="AD249" i="9"/>
  <c r="B249" i="9"/>
  <c r="AU248" i="9"/>
  <c r="AO248" i="9"/>
  <c r="AQ248" i="9"/>
  <c r="AS248" i="9"/>
  <c r="AW248" i="9"/>
  <c r="AY248" i="9"/>
  <c r="BA248" i="9"/>
  <c r="BC248" i="9"/>
  <c r="BE248" i="9"/>
  <c r="AT248" i="9"/>
  <c r="AN248" i="9"/>
  <c r="AK248" i="9"/>
  <c r="AD248" i="9"/>
  <c r="B248" i="9"/>
  <c r="AU247" i="9"/>
  <c r="AO247" i="9"/>
  <c r="AQ247" i="9"/>
  <c r="AS247" i="9"/>
  <c r="AW247" i="9"/>
  <c r="AY247" i="9"/>
  <c r="BA247" i="9"/>
  <c r="BC247" i="9"/>
  <c r="BE247" i="9"/>
  <c r="AT247" i="9"/>
  <c r="AN247" i="9"/>
  <c r="AP247" i="9"/>
  <c r="AK247" i="9"/>
  <c r="AD247" i="9"/>
  <c r="B247" i="9"/>
  <c r="AU246" i="9"/>
  <c r="AT246" i="9"/>
  <c r="AN246" i="9"/>
  <c r="AK246" i="9"/>
  <c r="AD246" i="9"/>
  <c r="B246" i="9"/>
  <c r="AU245" i="9"/>
  <c r="AO245" i="9"/>
  <c r="AQ245" i="9"/>
  <c r="AS245" i="9"/>
  <c r="AW245" i="9"/>
  <c r="AY245" i="9"/>
  <c r="BA245" i="9"/>
  <c r="BC245" i="9"/>
  <c r="BE245" i="9"/>
  <c r="AT245" i="9"/>
  <c r="AN245" i="9"/>
  <c r="AK245" i="9"/>
  <c r="AD245" i="9"/>
  <c r="B245" i="9"/>
  <c r="AU244" i="9"/>
  <c r="AO244" i="9"/>
  <c r="AQ244" i="9"/>
  <c r="AT244" i="9"/>
  <c r="AK244" i="9"/>
  <c r="AD244" i="9"/>
  <c r="B244" i="9"/>
  <c r="AU243" i="9"/>
  <c r="AO243" i="9"/>
  <c r="AQ243" i="9"/>
  <c r="AS243" i="9"/>
  <c r="AW243" i="9"/>
  <c r="AY243" i="9"/>
  <c r="BA243" i="9"/>
  <c r="BC243" i="9"/>
  <c r="BE243" i="9"/>
  <c r="AT243" i="9"/>
  <c r="AN243" i="9"/>
  <c r="AP243" i="9"/>
  <c r="AK243" i="9"/>
  <c r="AD243" i="9"/>
  <c r="B243" i="9"/>
  <c r="AU242" i="9"/>
  <c r="AT242" i="9"/>
  <c r="AN242" i="9"/>
  <c r="AK242" i="9"/>
  <c r="AD242" i="9"/>
  <c r="B242" i="9"/>
  <c r="AU241" i="9"/>
  <c r="AO241" i="9"/>
  <c r="AQ241" i="9"/>
  <c r="AS241" i="9"/>
  <c r="AW241" i="9"/>
  <c r="AY241" i="9"/>
  <c r="BA241" i="9"/>
  <c r="BC241" i="9"/>
  <c r="BE241" i="9"/>
  <c r="AT241" i="9"/>
  <c r="AN241" i="9"/>
  <c r="AK241" i="9"/>
  <c r="AD241" i="9"/>
  <c r="B241" i="9"/>
  <c r="AU240" i="9"/>
  <c r="AT240" i="9"/>
  <c r="AN240" i="9"/>
  <c r="AK240" i="9"/>
  <c r="AD240" i="9"/>
  <c r="B240" i="9"/>
  <c r="AU239" i="9"/>
  <c r="AO239" i="9"/>
  <c r="AQ239" i="9"/>
  <c r="AS239" i="9"/>
  <c r="AW239" i="9"/>
  <c r="AY239" i="9"/>
  <c r="BA239" i="9"/>
  <c r="BC239" i="9"/>
  <c r="BE239" i="9"/>
  <c r="AT239" i="9"/>
  <c r="E239" i="9"/>
  <c r="AK239" i="9"/>
  <c r="AD239" i="9"/>
  <c r="B239" i="9"/>
  <c r="AU238" i="9"/>
  <c r="AT238" i="9"/>
  <c r="AN238" i="9"/>
  <c r="AK238" i="9"/>
  <c r="AD238" i="9"/>
  <c r="B238" i="9"/>
  <c r="AU237" i="9"/>
  <c r="AO237" i="9"/>
  <c r="AQ237" i="9"/>
  <c r="AS237" i="9"/>
  <c r="AW237" i="9"/>
  <c r="AY237" i="9"/>
  <c r="BA237" i="9"/>
  <c r="BC237" i="9"/>
  <c r="BE237" i="9"/>
  <c r="AT237" i="9"/>
  <c r="AN237" i="9"/>
  <c r="AK237" i="9"/>
  <c r="AD237" i="9"/>
  <c r="B237" i="9"/>
  <c r="AU236" i="9"/>
  <c r="E236" i="9"/>
  <c r="AT236" i="9"/>
  <c r="AN236" i="9"/>
  <c r="AP236" i="9"/>
  <c r="AK236" i="9"/>
  <c r="AD236" i="9"/>
  <c r="B236" i="9"/>
  <c r="AU235" i="9"/>
  <c r="AO235" i="9"/>
  <c r="AQ235" i="9"/>
  <c r="AS235" i="9"/>
  <c r="AW235" i="9"/>
  <c r="AY235" i="9"/>
  <c r="BA235" i="9"/>
  <c r="BC235" i="9"/>
  <c r="BE235" i="9"/>
  <c r="AT235" i="9"/>
  <c r="AN235" i="9"/>
  <c r="AK235" i="9"/>
  <c r="C235" i="9"/>
  <c r="AD235" i="9"/>
  <c r="B235" i="9"/>
  <c r="AU234" i="9"/>
  <c r="AO234" i="9"/>
  <c r="AQ234" i="9"/>
  <c r="AS234" i="9"/>
  <c r="AW234" i="9"/>
  <c r="AY234" i="9"/>
  <c r="BA234" i="9"/>
  <c r="BC234" i="9"/>
  <c r="BE234" i="9"/>
  <c r="AT234" i="9"/>
  <c r="AN234" i="9"/>
  <c r="AK234" i="9"/>
  <c r="AD234" i="9"/>
  <c r="B234" i="9"/>
  <c r="AU233" i="9"/>
  <c r="AO233" i="9"/>
  <c r="AQ233" i="9"/>
  <c r="AS233" i="9"/>
  <c r="AW233" i="9"/>
  <c r="AY233" i="9"/>
  <c r="BA233" i="9"/>
  <c r="BC233" i="9"/>
  <c r="BE233" i="9"/>
  <c r="AT233" i="9"/>
  <c r="AN233" i="9"/>
  <c r="AK233" i="9"/>
  <c r="AD233" i="9"/>
  <c r="B233" i="9"/>
  <c r="AU232" i="9"/>
  <c r="AT232" i="9"/>
  <c r="AN232" i="9"/>
  <c r="AK232" i="9"/>
  <c r="AD232" i="9"/>
  <c r="B232" i="9"/>
  <c r="AU231" i="9"/>
  <c r="AO231" i="9"/>
  <c r="AT231" i="9"/>
  <c r="AN231" i="9"/>
  <c r="AP231" i="9"/>
  <c r="AK231" i="9"/>
  <c r="AD231" i="9"/>
  <c r="B231" i="9"/>
  <c r="AU230" i="9"/>
  <c r="AO230" i="9"/>
  <c r="AQ230" i="9"/>
  <c r="AS230" i="9"/>
  <c r="AW230" i="9"/>
  <c r="AY230" i="9"/>
  <c r="BA230" i="9"/>
  <c r="BC230" i="9"/>
  <c r="BE230" i="9"/>
  <c r="AT230" i="9"/>
  <c r="AN230" i="9"/>
  <c r="AK230" i="9"/>
  <c r="AD230" i="9"/>
  <c r="B230" i="9"/>
  <c r="AU229" i="9"/>
  <c r="AO229" i="9"/>
  <c r="AQ229" i="9"/>
  <c r="AS229" i="9"/>
  <c r="AW229" i="9"/>
  <c r="AY229" i="9"/>
  <c r="BA229" i="9"/>
  <c r="BC229" i="9"/>
  <c r="BE229" i="9"/>
  <c r="AT229" i="9"/>
  <c r="AN229" i="9"/>
  <c r="AK229" i="9"/>
  <c r="AD229" i="9"/>
  <c r="B229" i="9"/>
  <c r="AU228" i="9"/>
  <c r="AO228" i="9"/>
  <c r="AT228" i="9"/>
  <c r="AQ228" i="9"/>
  <c r="AS228" i="9"/>
  <c r="AW228" i="9"/>
  <c r="AY228" i="9"/>
  <c r="BA228" i="9"/>
  <c r="BC228" i="9"/>
  <c r="BE228" i="9"/>
  <c r="AN228" i="9"/>
  <c r="AK228" i="9"/>
  <c r="AD228" i="9"/>
  <c r="B228" i="9"/>
  <c r="AU227" i="9"/>
  <c r="AO227" i="9"/>
  <c r="AT227" i="9"/>
  <c r="AN227" i="9"/>
  <c r="AP227" i="9"/>
  <c r="AK227" i="9"/>
  <c r="AD227" i="9"/>
  <c r="B227" i="9"/>
  <c r="AU226" i="9"/>
  <c r="AO226" i="9"/>
  <c r="AQ226" i="9"/>
  <c r="AS226" i="9"/>
  <c r="AW226" i="9"/>
  <c r="AY226" i="9"/>
  <c r="BA226" i="9"/>
  <c r="BC226" i="9"/>
  <c r="BE226" i="9"/>
  <c r="AT226" i="9"/>
  <c r="AN226" i="9"/>
  <c r="AK226" i="9"/>
  <c r="AD226" i="9"/>
  <c r="B226" i="9"/>
  <c r="AU225" i="9"/>
  <c r="AO225" i="9"/>
  <c r="AQ225" i="9"/>
  <c r="AS225" i="9"/>
  <c r="AW225" i="9"/>
  <c r="AY225" i="9"/>
  <c r="BA225" i="9"/>
  <c r="BC225" i="9"/>
  <c r="BE225" i="9"/>
  <c r="AT225" i="9"/>
  <c r="AN225" i="9"/>
  <c r="AK225" i="9"/>
  <c r="AD225" i="9"/>
  <c r="B225" i="9"/>
  <c r="AU224" i="9"/>
  <c r="AO224" i="9"/>
  <c r="AQ224" i="9"/>
  <c r="AS224" i="9"/>
  <c r="AW224" i="9"/>
  <c r="AY224" i="9"/>
  <c r="BA224" i="9"/>
  <c r="BC224" i="9"/>
  <c r="BE224" i="9"/>
  <c r="AT224" i="9"/>
  <c r="AN224" i="9"/>
  <c r="AK224" i="9"/>
  <c r="AD224" i="9"/>
  <c r="B224" i="9"/>
  <c r="AU223" i="9"/>
  <c r="AO223" i="9"/>
  <c r="AQ223" i="9"/>
  <c r="AS223" i="9"/>
  <c r="AW223" i="9"/>
  <c r="AY223" i="9"/>
  <c r="BA223" i="9"/>
  <c r="BC223" i="9"/>
  <c r="BE223" i="9"/>
  <c r="AT223" i="9"/>
  <c r="E223" i="9"/>
  <c r="AK223" i="9"/>
  <c r="AD223" i="9"/>
  <c r="B223" i="9"/>
  <c r="AU222" i="9"/>
  <c r="AO222" i="9"/>
  <c r="AQ222" i="9"/>
  <c r="AS222" i="9"/>
  <c r="AW222" i="9"/>
  <c r="AY222" i="9"/>
  <c r="BA222" i="9"/>
  <c r="BC222" i="9"/>
  <c r="BE222" i="9"/>
  <c r="AT222" i="9"/>
  <c r="AN222" i="9"/>
  <c r="AK222" i="9"/>
  <c r="AD222" i="9"/>
  <c r="B222" i="9"/>
  <c r="AU221" i="9"/>
  <c r="AT221" i="9"/>
  <c r="AN221" i="9"/>
  <c r="AK221" i="9"/>
  <c r="AD221" i="9"/>
  <c r="B221" i="9"/>
  <c r="AU220" i="9"/>
  <c r="AO220" i="9"/>
  <c r="AQ220" i="9"/>
  <c r="AS220" i="9"/>
  <c r="AW220" i="9"/>
  <c r="AY220" i="9"/>
  <c r="BA220" i="9"/>
  <c r="BC220" i="9"/>
  <c r="BE220" i="9"/>
  <c r="AT220" i="9"/>
  <c r="AN220" i="9"/>
  <c r="H220" i="9"/>
  <c r="AK220" i="9"/>
  <c r="AD220" i="9"/>
  <c r="B220" i="9"/>
  <c r="AU219" i="9"/>
  <c r="AO219" i="9"/>
  <c r="AQ219" i="9"/>
  <c r="AS219" i="9"/>
  <c r="AW219" i="9"/>
  <c r="AY219" i="9"/>
  <c r="BA219" i="9"/>
  <c r="BC219" i="9"/>
  <c r="BE219" i="9"/>
  <c r="AT219" i="9"/>
  <c r="AN219" i="9"/>
  <c r="AK219" i="9"/>
  <c r="AD219" i="9"/>
  <c r="B219" i="9"/>
  <c r="AU218" i="9"/>
  <c r="AT218" i="9"/>
  <c r="AN218" i="9"/>
  <c r="AK218" i="9"/>
  <c r="AD218" i="9"/>
  <c r="B218" i="9"/>
  <c r="AU217" i="9"/>
  <c r="AO217" i="9"/>
  <c r="AQ217" i="9"/>
  <c r="AT217" i="9"/>
  <c r="AN217" i="9"/>
  <c r="AS217" i="9"/>
  <c r="AW217" i="9"/>
  <c r="AY217" i="9"/>
  <c r="BA217" i="9"/>
  <c r="BC217" i="9"/>
  <c r="BE217" i="9"/>
  <c r="AK217" i="9"/>
  <c r="AD217" i="9"/>
  <c r="B217" i="9"/>
  <c r="AU216" i="9"/>
  <c r="AO216" i="9"/>
  <c r="AQ216" i="9"/>
  <c r="AS216" i="9"/>
  <c r="AW216" i="9"/>
  <c r="AY216" i="9"/>
  <c r="BA216" i="9"/>
  <c r="BC216" i="9"/>
  <c r="BE216" i="9"/>
  <c r="AT216" i="9"/>
  <c r="AN216" i="9"/>
  <c r="AK216" i="9"/>
  <c r="AD216" i="9"/>
  <c r="B216" i="9"/>
  <c r="AU215" i="9"/>
  <c r="AO215" i="9"/>
  <c r="AQ215" i="9"/>
  <c r="AS215" i="9"/>
  <c r="AW215" i="9"/>
  <c r="AY215" i="9"/>
  <c r="BA215" i="9"/>
  <c r="BC215" i="9"/>
  <c r="BE215" i="9"/>
  <c r="AT215" i="9"/>
  <c r="E215" i="9"/>
  <c r="AK215" i="9"/>
  <c r="AD215" i="9"/>
  <c r="B215" i="9"/>
  <c r="AU214" i="9"/>
  <c r="AO214" i="9"/>
  <c r="AQ214" i="9"/>
  <c r="AS214" i="9"/>
  <c r="AW214" i="9"/>
  <c r="AY214" i="9"/>
  <c r="BA214" i="9"/>
  <c r="BC214" i="9"/>
  <c r="BE214" i="9"/>
  <c r="AT214" i="9"/>
  <c r="AK214" i="9"/>
  <c r="AD214" i="9"/>
  <c r="B214" i="9"/>
  <c r="AU213" i="9"/>
  <c r="AO213" i="9"/>
  <c r="AQ213" i="9"/>
  <c r="AS213" i="9"/>
  <c r="AW213" i="9"/>
  <c r="AY213" i="9"/>
  <c r="BA213" i="9"/>
  <c r="BC213" i="9"/>
  <c r="BE213" i="9"/>
  <c r="AT213" i="9"/>
  <c r="AN213" i="9"/>
  <c r="AP213" i="9"/>
  <c r="AK213" i="9"/>
  <c r="AD213" i="9"/>
  <c r="B213" i="9"/>
  <c r="AU212" i="9"/>
  <c r="AO212" i="9"/>
  <c r="AQ212" i="9"/>
  <c r="AS212" i="9"/>
  <c r="AW212" i="9"/>
  <c r="AY212" i="9"/>
  <c r="BA212" i="9"/>
  <c r="BC212" i="9"/>
  <c r="BE212" i="9"/>
  <c r="AT212" i="9"/>
  <c r="AN212" i="9"/>
  <c r="AP212" i="9"/>
  <c r="AK212" i="9"/>
  <c r="AD212" i="9"/>
  <c r="B212" i="9"/>
  <c r="AU211" i="9"/>
  <c r="AO211" i="9"/>
  <c r="AQ211" i="9"/>
  <c r="AS211" i="9"/>
  <c r="AW211" i="9"/>
  <c r="AY211" i="9"/>
  <c r="BA211" i="9"/>
  <c r="BC211" i="9"/>
  <c r="BE211" i="9"/>
  <c r="AT211" i="9"/>
  <c r="AK211" i="9"/>
  <c r="AD211" i="9"/>
  <c r="B211" i="9"/>
  <c r="AU210" i="9"/>
  <c r="AO210" i="9"/>
  <c r="AQ210" i="9"/>
  <c r="AS210" i="9"/>
  <c r="AW210" i="9"/>
  <c r="AY210" i="9"/>
  <c r="BA210" i="9"/>
  <c r="BC210" i="9"/>
  <c r="BE210" i="9"/>
  <c r="AT210" i="9"/>
  <c r="AK210" i="9"/>
  <c r="AD210" i="9"/>
  <c r="B210" i="9"/>
  <c r="AU209" i="9"/>
  <c r="AO209" i="9"/>
  <c r="AQ209" i="9"/>
  <c r="AS209" i="9"/>
  <c r="AW209" i="9"/>
  <c r="AY209" i="9"/>
  <c r="BA209" i="9"/>
  <c r="BC209" i="9"/>
  <c r="BE209" i="9"/>
  <c r="AT209" i="9"/>
  <c r="AN209" i="9"/>
  <c r="AK209" i="9"/>
  <c r="AD209" i="9"/>
  <c r="B209" i="9"/>
  <c r="AU208" i="9"/>
  <c r="AT208" i="9"/>
  <c r="AN208" i="9"/>
  <c r="AP208" i="9"/>
  <c r="AR208" i="9"/>
  <c r="AK208" i="9"/>
  <c r="AD208" i="9"/>
  <c r="B208" i="9"/>
  <c r="AU207" i="9"/>
  <c r="AO207" i="9"/>
  <c r="AQ207" i="9"/>
  <c r="AS207" i="9"/>
  <c r="AW207" i="9"/>
  <c r="AY207" i="9"/>
  <c r="BA207" i="9"/>
  <c r="BC207" i="9"/>
  <c r="BE207" i="9"/>
  <c r="AT207" i="9"/>
  <c r="AK207" i="9"/>
  <c r="AD207" i="9"/>
  <c r="B207" i="9"/>
  <c r="AU206" i="9"/>
  <c r="AO206" i="9"/>
  <c r="AQ206" i="9"/>
  <c r="AS206" i="9"/>
  <c r="AW206" i="9"/>
  <c r="AY206" i="9"/>
  <c r="BA206" i="9"/>
  <c r="BC206" i="9"/>
  <c r="BE206" i="9"/>
  <c r="AT206" i="9"/>
  <c r="AK206" i="9"/>
  <c r="AD206" i="9"/>
  <c r="B206" i="9"/>
  <c r="AU205" i="9"/>
  <c r="AO205" i="9"/>
  <c r="AQ205" i="9"/>
  <c r="AS205" i="9"/>
  <c r="AW205" i="9"/>
  <c r="AY205" i="9"/>
  <c r="BA205" i="9"/>
  <c r="BC205" i="9"/>
  <c r="BE205" i="9"/>
  <c r="AT205" i="9"/>
  <c r="AN205" i="9"/>
  <c r="AK205" i="9"/>
  <c r="AD205" i="9"/>
  <c r="B205" i="9"/>
  <c r="AU204" i="9"/>
  <c r="AO204" i="9"/>
  <c r="AQ204" i="9"/>
  <c r="AS204" i="9"/>
  <c r="AW204" i="9"/>
  <c r="AY204" i="9"/>
  <c r="BA204" i="9"/>
  <c r="BC204" i="9"/>
  <c r="BE204" i="9"/>
  <c r="AT204" i="9"/>
  <c r="AK204" i="9"/>
  <c r="AD204" i="9"/>
  <c r="B204" i="9"/>
  <c r="AU203" i="9"/>
  <c r="AO203" i="9"/>
  <c r="AQ203" i="9"/>
  <c r="AS203" i="9"/>
  <c r="AW203" i="9"/>
  <c r="AY203" i="9"/>
  <c r="BA203" i="9"/>
  <c r="BC203" i="9"/>
  <c r="BE203" i="9"/>
  <c r="AT203" i="9"/>
  <c r="AK203" i="9"/>
  <c r="AD203" i="9"/>
  <c r="B203" i="9"/>
  <c r="AU202" i="9"/>
  <c r="AO202" i="9"/>
  <c r="AQ202" i="9"/>
  <c r="AS202" i="9"/>
  <c r="AW202" i="9"/>
  <c r="AY202" i="9"/>
  <c r="BA202" i="9"/>
  <c r="BC202" i="9"/>
  <c r="BE202" i="9"/>
  <c r="AT202" i="9"/>
  <c r="AN202" i="9"/>
  <c r="AK202" i="9"/>
  <c r="AD202" i="9"/>
  <c r="B202" i="9"/>
  <c r="AU201" i="9"/>
  <c r="AO201" i="9"/>
  <c r="AQ201" i="9"/>
  <c r="AS201" i="9"/>
  <c r="AW201" i="9"/>
  <c r="AY201" i="9"/>
  <c r="BA201" i="9"/>
  <c r="BC201" i="9"/>
  <c r="BE201" i="9"/>
  <c r="AT201" i="9"/>
  <c r="AK201" i="9"/>
  <c r="AD201" i="9"/>
  <c r="B201" i="9"/>
  <c r="AU200" i="9"/>
  <c r="AT200" i="9"/>
  <c r="AN200" i="9"/>
  <c r="AP200" i="9"/>
  <c r="AO200" i="9"/>
  <c r="AQ200" i="9"/>
  <c r="AS200" i="9"/>
  <c r="AW200" i="9"/>
  <c r="AY200" i="9"/>
  <c r="BA200" i="9"/>
  <c r="BC200" i="9"/>
  <c r="BE200" i="9"/>
  <c r="AK200" i="9"/>
  <c r="AD200" i="9"/>
  <c r="B200" i="9"/>
  <c r="AU199" i="9"/>
  <c r="AO199" i="9"/>
  <c r="AQ199" i="9"/>
  <c r="AS199" i="9"/>
  <c r="AW199" i="9"/>
  <c r="AY199" i="9"/>
  <c r="BA199" i="9"/>
  <c r="BC199" i="9"/>
  <c r="BE199" i="9"/>
  <c r="AT199" i="9"/>
  <c r="AN199" i="9"/>
  <c r="AP199" i="9"/>
  <c r="AK199" i="9"/>
  <c r="AD199" i="9"/>
  <c r="B199" i="9"/>
  <c r="AU198" i="9"/>
  <c r="AO198" i="9"/>
  <c r="AT198" i="9"/>
  <c r="AN198" i="9"/>
  <c r="AP198" i="9"/>
  <c r="AR198" i="9"/>
  <c r="AK198" i="9"/>
  <c r="AD198" i="9"/>
  <c r="B198" i="9"/>
  <c r="AU197" i="9"/>
  <c r="AT197" i="9"/>
  <c r="AN197" i="9"/>
  <c r="AK197" i="9"/>
  <c r="AD197" i="9"/>
  <c r="B197" i="9"/>
  <c r="AU196" i="9"/>
  <c r="AO196" i="9"/>
  <c r="AQ196" i="9"/>
  <c r="AS196" i="9"/>
  <c r="AW196" i="9"/>
  <c r="AY196" i="9"/>
  <c r="BA196" i="9"/>
  <c r="BC196" i="9"/>
  <c r="BE196" i="9"/>
  <c r="AT196" i="9"/>
  <c r="AK196" i="9"/>
  <c r="AD196" i="9"/>
  <c r="B196" i="9"/>
  <c r="AU195" i="9"/>
  <c r="AO195" i="9"/>
  <c r="AQ195" i="9"/>
  <c r="AS195" i="9"/>
  <c r="AW195" i="9"/>
  <c r="AY195" i="9"/>
  <c r="BA195" i="9"/>
  <c r="BC195" i="9"/>
  <c r="BE195" i="9"/>
  <c r="AT195" i="9"/>
  <c r="AK195" i="9"/>
  <c r="AD195" i="9"/>
  <c r="B195" i="9"/>
  <c r="AU194" i="9"/>
  <c r="AO194" i="9"/>
  <c r="AQ194" i="9"/>
  <c r="AS194" i="9"/>
  <c r="AW194" i="9"/>
  <c r="AY194" i="9"/>
  <c r="BA194" i="9"/>
  <c r="BC194" i="9"/>
  <c r="BE194" i="9"/>
  <c r="AT194" i="9"/>
  <c r="AN194" i="9"/>
  <c r="AK194" i="9"/>
  <c r="AD194" i="9"/>
  <c r="B194" i="9"/>
  <c r="AU193" i="9"/>
  <c r="AO193" i="9"/>
  <c r="AQ193" i="9"/>
  <c r="AS193" i="9"/>
  <c r="AW193" i="9"/>
  <c r="AY193" i="9"/>
  <c r="BA193" i="9"/>
  <c r="BC193" i="9"/>
  <c r="BE193" i="9"/>
  <c r="AT193" i="9"/>
  <c r="AK193" i="9"/>
  <c r="AD193" i="9"/>
  <c r="B193" i="9"/>
  <c r="AU192" i="9"/>
  <c r="AO192" i="9"/>
  <c r="AQ192" i="9"/>
  <c r="AS192" i="9"/>
  <c r="AW192" i="9"/>
  <c r="AY192" i="9"/>
  <c r="BA192" i="9"/>
  <c r="BC192" i="9"/>
  <c r="BE192" i="9"/>
  <c r="AT192" i="9"/>
  <c r="AN192" i="9"/>
  <c r="AK192" i="9"/>
  <c r="AD192" i="9"/>
  <c r="B192" i="9"/>
  <c r="AU191" i="9"/>
  <c r="AO191" i="9"/>
  <c r="AQ191" i="9"/>
  <c r="AS191" i="9"/>
  <c r="AW191" i="9"/>
  <c r="AY191" i="9"/>
  <c r="BA191" i="9"/>
  <c r="BC191" i="9"/>
  <c r="BE191" i="9"/>
  <c r="AT191" i="9"/>
  <c r="AK191" i="9"/>
  <c r="AD191" i="9"/>
  <c r="B191" i="9"/>
  <c r="AU190" i="9"/>
  <c r="AO190" i="9"/>
  <c r="AQ190" i="9"/>
  <c r="AS190" i="9"/>
  <c r="AW190" i="9"/>
  <c r="AY190" i="9"/>
  <c r="BA190" i="9"/>
  <c r="BC190" i="9"/>
  <c r="BE190" i="9"/>
  <c r="AT190" i="9"/>
  <c r="AN190" i="9"/>
  <c r="AK190" i="9"/>
  <c r="AD190" i="9"/>
  <c r="B190" i="9"/>
  <c r="AU189" i="9"/>
  <c r="AO189" i="9"/>
  <c r="AQ189" i="9"/>
  <c r="AS189" i="9"/>
  <c r="AW189" i="9"/>
  <c r="AY189" i="9"/>
  <c r="BA189" i="9"/>
  <c r="BC189" i="9"/>
  <c r="BE189" i="9"/>
  <c r="AT189" i="9"/>
  <c r="AK189" i="9"/>
  <c r="AD189" i="9"/>
  <c r="B189" i="9"/>
  <c r="AU188" i="9"/>
  <c r="AO188" i="9"/>
  <c r="AT188" i="9"/>
  <c r="AN188" i="9"/>
  <c r="AP188" i="9"/>
  <c r="AK188" i="9"/>
  <c r="AD188" i="9"/>
  <c r="B188" i="9"/>
  <c r="AU187" i="9"/>
  <c r="AO187" i="9"/>
  <c r="AQ187" i="9"/>
  <c r="AS187" i="9"/>
  <c r="AW187" i="9"/>
  <c r="AY187" i="9"/>
  <c r="BA187" i="9"/>
  <c r="BC187" i="9"/>
  <c r="BE187" i="9"/>
  <c r="AT187" i="9"/>
  <c r="AK187" i="9"/>
  <c r="AD187" i="9"/>
  <c r="B187" i="9"/>
  <c r="AU186" i="9"/>
  <c r="AO186" i="9"/>
  <c r="AQ186" i="9"/>
  <c r="AS186" i="9"/>
  <c r="AW186" i="9"/>
  <c r="AY186" i="9"/>
  <c r="BA186" i="9"/>
  <c r="BC186" i="9"/>
  <c r="BE186" i="9"/>
  <c r="AT186" i="9"/>
  <c r="AK186" i="9"/>
  <c r="AD186" i="9"/>
  <c r="B186" i="9"/>
  <c r="AU185" i="9"/>
  <c r="AO185" i="9"/>
  <c r="AQ185" i="9"/>
  <c r="AS185" i="9"/>
  <c r="AW185" i="9"/>
  <c r="AY185" i="9"/>
  <c r="BA185" i="9"/>
  <c r="BC185" i="9"/>
  <c r="BE185" i="9"/>
  <c r="AT185" i="9"/>
  <c r="AK185" i="9"/>
  <c r="AD185" i="9"/>
  <c r="B185" i="9"/>
  <c r="AU184" i="9"/>
  <c r="AO184" i="9"/>
  <c r="AT184" i="9"/>
  <c r="AN184" i="9"/>
  <c r="AP184" i="9"/>
  <c r="AK184" i="9"/>
  <c r="AD184" i="9"/>
  <c r="B184" i="9"/>
  <c r="AU183" i="9"/>
  <c r="AO183" i="9"/>
  <c r="AQ183" i="9"/>
  <c r="AS183" i="9"/>
  <c r="AW183" i="9"/>
  <c r="AY183" i="9"/>
  <c r="BA183" i="9"/>
  <c r="BC183" i="9"/>
  <c r="BE183" i="9"/>
  <c r="AT183" i="9"/>
  <c r="AN183" i="9"/>
  <c r="AP183" i="9"/>
  <c r="AK183" i="9"/>
  <c r="AD183" i="9"/>
  <c r="B183" i="9"/>
  <c r="AU182" i="9"/>
  <c r="AO182" i="9"/>
  <c r="AQ182" i="9"/>
  <c r="AS182" i="9"/>
  <c r="AW182" i="9"/>
  <c r="AY182" i="9"/>
  <c r="BA182" i="9"/>
  <c r="BC182" i="9"/>
  <c r="BE182" i="9"/>
  <c r="AT182" i="9"/>
  <c r="AN182" i="9"/>
  <c r="AP182" i="9"/>
  <c r="AK182" i="9"/>
  <c r="AD182" i="9"/>
  <c r="B182" i="9"/>
  <c r="AU181" i="9"/>
  <c r="AO181" i="9"/>
  <c r="AQ181" i="9"/>
  <c r="AS181" i="9"/>
  <c r="AW181" i="9"/>
  <c r="AY181" i="9"/>
  <c r="BA181" i="9"/>
  <c r="BC181" i="9"/>
  <c r="BE181" i="9"/>
  <c r="AT181" i="9"/>
  <c r="AN181" i="9"/>
  <c r="AK181" i="9"/>
  <c r="AD181" i="9"/>
  <c r="B181" i="9"/>
  <c r="AU180" i="9"/>
  <c r="AT180" i="9"/>
  <c r="AO180" i="9"/>
  <c r="AQ180" i="9"/>
  <c r="AS180" i="9"/>
  <c r="AW180" i="9"/>
  <c r="AY180" i="9"/>
  <c r="BA180" i="9"/>
  <c r="BC180" i="9"/>
  <c r="BE180" i="9"/>
  <c r="AK180" i="9"/>
  <c r="AD180" i="9"/>
  <c r="B180" i="9"/>
  <c r="AU179" i="9"/>
  <c r="AO179" i="9"/>
  <c r="AQ179" i="9"/>
  <c r="AS179" i="9"/>
  <c r="AW179" i="9"/>
  <c r="AY179" i="9"/>
  <c r="BA179" i="9"/>
  <c r="BC179" i="9"/>
  <c r="BE179" i="9"/>
  <c r="AT179" i="9"/>
  <c r="AN179" i="9"/>
  <c r="AP179" i="9"/>
  <c r="AK179" i="9"/>
  <c r="AD179" i="9"/>
  <c r="B179" i="9"/>
  <c r="AU178" i="9"/>
  <c r="AO178" i="9"/>
  <c r="AQ178" i="9"/>
  <c r="AS178" i="9"/>
  <c r="AW178" i="9"/>
  <c r="AY178" i="9"/>
  <c r="BA178" i="9"/>
  <c r="BC178" i="9"/>
  <c r="BE178" i="9"/>
  <c r="AT178" i="9"/>
  <c r="AK178" i="9"/>
  <c r="AD178" i="9"/>
  <c r="B178" i="9"/>
  <c r="AU177" i="9"/>
  <c r="AO177" i="9"/>
  <c r="AQ177" i="9"/>
  <c r="AS177" i="9"/>
  <c r="AW177" i="9"/>
  <c r="AY177" i="9"/>
  <c r="BA177" i="9"/>
  <c r="BC177" i="9"/>
  <c r="BE177" i="9"/>
  <c r="AT177" i="9"/>
  <c r="AN177" i="9"/>
  <c r="AK177" i="9"/>
  <c r="AD177" i="9"/>
  <c r="B177" i="9"/>
  <c r="AU176" i="9"/>
  <c r="AO176" i="9"/>
  <c r="AQ176" i="9"/>
  <c r="AS176" i="9"/>
  <c r="AW176" i="9"/>
  <c r="AY176" i="9"/>
  <c r="BA176" i="9"/>
  <c r="BC176" i="9"/>
  <c r="BE176" i="9"/>
  <c r="AT176" i="9"/>
  <c r="AN176" i="9"/>
  <c r="AK176" i="9"/>
  <c r="AD176" i="9"/>
  <c r="B176" i="9"/>
  <c r="AU175" i="9"/>
  <c r="AO175" i="9"/>
  <c r="AQ175" i="9"/>
  <c r="AS175" i="9"/>
  <c r="AW175" i="9"/>
  <c r="AY175" i="9"/>
  <c r="BA175" i="9"/>
  <c r="BC175" i="9"/>
  <c r="BE175" i="9"/>
  <c r="AT175" i="9"/>
  <c r="AN175" i="9"/>
  <c r="AP175" i="9"/>
  <c r="AK175" i="9"/>
  <c r="AD175" i="9"/>
  <c r="B175" i="9"/>
  <c r="AU174" i="9"/>
  <c r="AO174" i="9"/>
  <c r="AQ174" i="9"/>
  <c r="AS174" i="9"/>
  <c r="AW174" i="9"/>
  <c r="AY174" i="9"/>
  <c r="BA174" i="9"/>
  <c r="BC174" i="9"/>
  <c r="BE174" i="9"/>
  <c r="AT174" i="9"/>
  <c r="AN174" i="9"/>
  <c r="AP174" i="9"/>
  <c r="AK174" i="9"/>
  <c r="AD174" i="9"/>
  <c r="B174" i="9"/>
  <c r="AU173" i="9"/>
  <c r="AO173" i="9"/>
  <c r="AQ173" i="9"/>
  <c r="AS173" i="9"/>
  <c r="AW173" i="9"/>
  <c r="AY173" i="9"/>
  <c r="BA173" i="9"/>
  <c r="BC173" i="9"/>
  <c r="BE173" i="9"/>
  <c r="AT173" i="9"/>
  <c r="AN173" i="9"/>
  <c r="AK173" i="9"/>
  <c r="AD173" i="9"/>
  <c r="B173" i="9"/>
  <c r="AU172" i="9"/>
  <c r="AO172" i="9"/>
  <c r="AQ172" i="9"/>
  <c r="AS172" i="9"/>
  <c r="AW172" i="9"/>
  <c r="AY172" i="9"/>
  <c r="BA172" i="9"/>
  <c r="BC172" i="9"/>
  <c r="BE172" i="9"/>
  <c r="AT172" i="9"/>
  <c r="AK172" i="9"/>
  <c r="AD172" i="9"/>
  <c r="B172" i="9"/>
  <c r="AU171" i="9"/>
  <c r="AO171" i="9"/>
  <c r="AQ171" i="9"/>
  <c r="AS171" i="9"/>
  <c r="AW171" i="9"/>
  <c r="AY171" i="9"/>
  <c r="BA171" i="9"/>
  <c r="BC171" i="9"/>
  <c r="BE171" i="9"/>
  <c r="AT171" i="9"/>
  <c r="AK171" i="9"/>
  <c r="AD171" i="9"/>
  <c r="B171" i="9"/>
  <c r="AU170" i="9"/>
  <c r="AO170" i="9"/>
  <c r="AQ170" i="9"/>
  <c r="AS170" i="9"/>
  <c r="AW170" i="9"/>
  <c r="AY170" i="9"/>
  <c r="BA170" i="9"/>
  <c r="BC170" i="9"/>
  <c r="BE170" i="9"/>
  <c r="AT170" i="9"/>
  <c r="AK170" i="9"/>
  <c r="AD170" i="9"/>
  <c r="B170" i="9"/>
  <c r="AU169" i="9"/>
  <c r="AO169" i="9"/>
  <c r="AQ169" i="9"/>
  <c r="AS169" i="9"/>
  <c r="AW169" i="9"/>
  <c r="AY169" i="9"/>
  <c r="BA169" i="9"/>
  <c r="BC169" i="9"/>
  <c r="BE169" i="9"/>
  <c r="AT169" i="9"/>
  <c r="AK169" i="9"/>
  <c r="AD169" i="9"/>
  <c r="B169" i="9"/>
  <c r="AU168" i="9"/>
  <c r="AO168" i="9"/>
  <c r="AQ168" i="9"/>
  <c r="AT168" i="9"/>
  <c r="AS168" i="9"/>
  <c r="AW168" i="9"/>
  <c r="AY168" i="9"/>
  <c r="BA168" i="9"/>
  <c r="BC168" i="9"/>
  <c r="BE168" i="9"/>
  <c r="AK168" i="9"/>
  <c r="AD168" i="9"/>
  <c r="B168" i="9"/>
  <c r="AU167" i="9"/>
  <c r="AT167" i="9"/>
  <c r="AN167" i="9"/>
  <c r="AK167" i="9"/>
  <c r="AD167" i="9"/>
  <c r="B167" i="9"/>
  <c r="AU166" i="9"/>
  <c r="AO166" i="9"/>
  <c r="AQ166" i="9"/>
  <c r="AS166" i="9"/>
  <c r="AW166" i="9"/>
  <c r="AY166" i="9"/>
  <c r="BA166" i="9"/>
  <c r="BC166" i="9"/>
  <c r="BE166" i="9"/>
  <c r="AT166" i="9"/>
  <c r="AN166" i="9"/>
  <c r="AK166" i="9"/>
  <c r="AD166" i="9"/>
  <c r="B166" i="9"/>
  <c r="AU165" i="9"/>
  <c r="AO165" i="9"/>
  <c r="AQ165" i="9"/>
  <c r="AS165" i="9"/>
  <c r="AW165" i="9"/>
  <c r="AY165" i="9"/>
  <c r="BA165" i="9"/>
  <c r="BC165" i="9"/>
  <c r="BE165" i="9"/>
  <c r="AT165" i="9"/>
  <c r="AN165" i="9"/>
  <c r="AP165" i="9"/>
  <c r="AK165" i="9"/>
  <c r="AD165" i="9"/>
  <c r="B165" i="9"/>
  <c r="AU164" i="9"/>
  <c r="AO164" i="9"/>
  <c r="AQ164" i="9"/>
  <c r="AT164" i="9"/>
  <c r="AN164" i="9"/>
  <c r="AK164" i="9"/>
  <c r="AD164" i="9"/>
  <c r="B164" i="9"/>
  <c r="AU163" i="9"/>
  <c r="AO163" i="9"/>
  <c r="AQ163" i="9"/>
  <c r="AS163" i="9"/>
  <c r="AW163" i="9"/>
  <c r="AY163" i="9"/>
  <c r="BA163" i="9"/>
  <c r="BC163" i="9"/>
  <c r="BE163" i="9"/>
  <c r="AT163" i="9"/>
  <c r="AK163" i="9"/>
  <c r="AD163" i="9"/>
  <c r="B163" i="9"/>
  <c r="AU162" i="9"/>
  <c r="AO162" i="9"/>
  <c r="AQ162" i="9"/>
  <c r="AS162" i="9"/>
  <c r="AW162" i="9"/>
  <c r="AY162" i="9"/>
  <c r="BA162" i="9"/>
  <c r="BC162" i="9"/>
  <c r="BE162" i="9"/>
  <c r="AT162" i="9"/>
  <c r="AN162" i="9"/>
  <c r="AK162" i="9"/>
  <c r="AD162" i="9"/>
  <c r="B162" i="9"/>
  <c r="AU161" i="9"/>
  <c r="AO161" i="9"/>
  <c r="AQ161" i="9"/>
  <c r="AS161" i="9"/>
  <c r="AW161" i="9"/>
  <c r="AY161" i="9"/>
  <c r="BA161" i="9"/>
  <c r="BC161" i="9"/>
  <c r="BE161" i="9"/>
  <c r="AT161" i="9"/>
  <c r="AN161" i="9"/>
  <c r="AP161" i="9"/>
  <c r="AK161" i="9"/>
  <c r="AD161" i="9"/>
  <c r="B161" i="9"/>
  <c r="AU160" i="9"/>
  <c r="AO160" i="9"/>
  <c r="AQ160" i="9"/>
  <c r="AS160" i="9"/>
  <c r="AW160" i="9"/>
  <c r="AY160" i="9"/>
  <c r="BA160" i="9"/>
  <c r="BC160" i="9"/>
  <c r="BE160" i="9"/>
  <c r="AT160" i="9"/>
  <c r="AK160" i="9"/>
  <c r="AD160" i="9"/>
  <c r="B160" i="9"/>
  <c r="AU159" i="9"/>
  <c r="AO159" i="9"/>
  <c r="AQ159" i="9"/>
  <c r="AS159" i="9"/>
  <c r="AW159" i="9"/>
  <c r="AY159" i="9"/>
  <c r="BA159" i="9"/>
  <c r="BC159" i="9"/>
  <c r="BE159" i="9"/>
  <c r="AT159" i="9"/>
  <c r="AK159" i="9"/>
  <c r="AD159" i="9"/>
  <c r="B159" i="9"/>
  <c r="AU158" i="9"/>
  <c r="AO158" i="9"/>
  <c r="AQ158" i="9"/>
  <c r="AS158" i="9"/>
  <c r="AW158" i="9"/>
  <c r="AY158" i="9"/>
  <c r="BA158" i="9"/>
  <c r="BC158" i="9"/>
  <c r="BE158" i="9"/>
  <c r="AT158" i="9"/>
  <c r="AK158" i="9"/>
  <c r="AD158" i="9"/>
  <c r="B158" i="9"/>
  <c r="AU157" i="9"/>
  <c r="AO157" i="9"/>
  <c r="AQ157" i="9"/>
  <c r="AS157" i="9"/>
  <c r="AW157" i="9"/>
  <c r="AY157" i="9"/>
  <c r="BA157" i="9"/>
  <c r="BC157" i="9"/>
  <c r="BE157" i="9"/>
  <c r="AT157" i="9"/>
  <c r="AN157" i="9"/>
  <c r="AK157" i="9"/>
  <c r="AD157" i="9"/>
  <c r="B157" i="9"/>
  <c r="AU156" i="9"/>
  <c r="AO156" i="9"/>
  <c r="AQ156" i="9"/>
  <c r="AS156" i="9"/>
  <c r="AW156" i="9"/>
  <c r="AY156" i="9"/>
  <c r="BA156" i="9"/>
  <c r="BC156" i="9"/>
  <c r="BE156" i="9"/>
  <c r="AT156" i="9"/>
  <c r="AN156" i="9"/>
  <c r="AK156" i="9"/>
  <c r="AD156" i="9"/>
  <c r="B156" i="9"/>
  <c r="AU155" i="9"/>
  <c r="AO155" i="9"/>
  <c r="AQ155" i="9"/>
  <c r="AS155" i="9"/>
  <c r="AW155" i="9"/>
  <c r="AY155" i="9"/>
  <c r="BA155" i="9"/>
  <c r="BC155" i="9"/>
  <c r="BE155" i="9"/>
  <c r="AT155" i="9"/>
  <c r="AK155" i="9"/>
  <c r="AD155" i="9"/>
  <c r="B155" i="9"/>
  <c r="AU154" i="9"/>
  <c r="AT154" i="9"/>
  <c r="AN154" i="9"/>
  <c r="AP154" i="9"/>
  <c r="AK154" i="9"/>
  <c r="AD154" i="9"/>
  <c r="B154" i="9"/>
  <c r="AU153" i="9"/>
  <c r="AO153" i="9"/>
  <c r="AQ153" i="9"/>
  <c r="AS153" i="9"/>
  <c r="AW153" i="9"/>
  <c r="AY153" i="9"/>
  <c r="BA153" i="9"/>
  <c r="BC153" i="9"/>
  <c r="BE153" i="9"/>
  <c r="AT153" i="9"/>
  <c r="AK153" i="9"/>
  <c r="AD153" i="9"/>
  <c r="B153" i="9"/>
  <c r="AU152" i="9"/>
  <c r="AO152" i="9"/>
  <c r="AQ152" i="9"/>
  <c r="AS152" i="9"/>
  <c r="AW152" i="9"/>
  <c r="AY152" i="9"/>
  <c r="BA152" i="9"/>
  <c r="BC152" i="9"/>
  <c r="BE152" i="9"/>
  <c r="AT152" i="9"/>
  <c r="AN152" i="9"/>
  <c r="AK152" i="9"/>
  <c r="C152" i="9"/>
  <c r="AD152" i="9"/>
  <c r="B152" i="9"/>
  <c r="AU151" i="9"/>
  <c r="AO151" i="9"/>
  <c r="AQ151" i="9"/>
  <c r="AS151" i="9"/>
  <c r="AW151" i="9"/>
  <c r="AY151" i="9"/>
  <c r="BA151" i="9"/>
  <c r="BC151" i="9"/>
  <c r="BE151" i="9"/>
  <c r="AT151" i="9"/>
  <c r="AN151" i="9"/>
  <c r="AK151" i="9"/>
  <c r="AD151" i="9"/>
  <c r="B151" i="9"/>
  <c r="AU150" i="9"/>
  <c r="AO150" i="9"/>
  <c r="AQ150" i="9"/>
  <c r="AS150" i="9"/>
  <c r="AW150" i="9"/>
  <c r="AY150" i="9"/>
  <c r="BA150" i="9"/>
  <c r="BC150" i="9"/>
  <c r="BE150" i="9"/>
  <c r="AT150" i="9"/>
  <c r="AN150" i="9"/>
  <c r="AP150" i="9"/>
  <c r="AR150" i="9"/>
  <c r="AK150" i="9"/>
  <c r="AD150" i="9"/>
  <c r="B150" i="9"/>
  <c r="AU149" i="9"/>
  <c r="AT149" i="9"/>
  <c r="AN149" i="9"/>
  <c r="AK149" i="9"/>
  <c r="AD149" i="9"/>
  <c r="B149" i="9"/>
  <c r="AU148" i="9"/>
  <c r="AO148" i="9"/>
  <c r="AQ148" i="9"/>
  <c r="AS148" i="9"/>
  <c r="AW148" i="9"/>
  <c r="AY148" i="9"/>
  <c r="BA148" i="9"/>
  <c r="BC148" i="9"/>
  <c r="BE148" i="9"/>
  <c r="AT148" i="9"/>
  <c r="AN148" i="9"/>
  <c r="AK148" i="9"/>
  <c r="AD148" i="9"/>
  <c r="B148" i="9"/>
  <c r="AU147" i="9"/>
  <c r="AO147" i="9"/>
  <c r="AQ147" i="9"/>
  <c r="AS147" i="9"/>
  <c r="AW147" i="9"/>
  <c r="AY147" i="9"/>
  <c r="BA147" i="9"/>
  <c r="BC147" i="9"/>
  <c r="BE147" i="9"/>
  <c r="AT147" i="9"/>
  <c r="AK147" i="9"/>
  <c r="AD147" i="9"/>
  <c r="B147" i="9"/>
  <c r="AU146" i="9"/>
  <c r="AO146" i="9"/>
  <c r="AQ146" i="9"/>
  <c r="AS146" i="9"/>
  <c r="AW146" i="9"/>
  <c r="AY146" i="9"/>
  <c r="BA146" i="9"/>
  <c r="BC146" i="9"/>
  <c r="BE146" i="9"/>
  <c r="AT146" i="9"/>
  <c r="AN146" i="9"/>
  <c r="AK146" i="9"/>
  <c r="AD146" i="9"/>
  <c r="B146" i="9"/>
  <c r="AU145" i="9"/>
  <c r="AO145" i="9"/>
  <c r="AQ145" i="9"/>
  <c r="AS145" i="9"/>
  <c r="AW145" i="9"/>
  <c r="AY145" i="9"/>
  <c r="BA145" i="9"/>
  <c r="BC145" i="9"/>
  <c r="BE145" i="9"/>
  <c r="AT145" i="9"/>
  <c r="AN145" i="9"/>
  <c r="AP145" i="9"/>
  <c r="AK145" i="9"/>
  <c r="AD145" i="9"/>
  <c r="B145" i="9"/>
  <c r="AU144" i="9"/>
  <c r="AO144" i="9"/>
  <c r="AQ144" i="9"/>
  <c r="AS144" i="9"/>
  <c r="AW144" i="9"/>
  <c r="AY144" i="9"/>
  <c r="BA144" i="9"/>
  <c r="BC144" i="9"/>
  <c r="BE144" i="9"/>
  <c r="AT144" i="9"/>
  <c r="AK144" i="9"/>
  <c r="AD144" i="9"/>
  <c r="B144" i="9"/>
  <c r="AU143" i="9"/>
  <c r="AO143" i="9"/>
  <c r="AQ143" i="9"/>
  <c r="AS143" i="9"/>
  <c r="AW143" i="9"/>
  <c r="AY143" i="9"/>
  <c r="BA143" i="9"/>
  <c r="BC143" i="9"/>
  <c r="BE143" i="9"/>
  <c r="AT143" i="9"/>
  <c r="AN143" i="9"/>
  <c r="AK143" i="9"/>
  <c r="AD143" i="9"/>
  <c r="B143" i="9"/>
  <c r="AU142" i="9"/>
  <c r="AO142" i="9"/>
  <c r="AQ142" i="9"/>
  <c r="AS142" i="9"/>
  <c r="AW142" i="9"/>
  <c r="AY142" i="9"/>
  <c r="BA142" i="9"/>
  <c r="BC142" i="9"/>
  <c r="BE142" i="9"/>
  <c r="AT142" i="9"/>
  <c r="AK142" i="9"/>
  <c r="AD142" i="9"/>
  <c r="B142" i="9"/>
  <c r="AU141" i="9"/>
  <c r="E141" i="9"/>
  <c r="AT141" i="9"/>
  <c r="AN141" i="9"/>
  <c r="AP141" i="9"/>
  <c r="AR141" i="9"/>
  <c r="AO141" i="9"/>
  <c r="AQ141" i="9"/>
  <c r="AS141" i="9"/>
  <c r="AW141" i="9"/>
  <c r="AY141" i="9"/>
  <c r="BA141" i="9"/>
  <c r="BC141" i="9"/>
  <c r="BE141" i="9"/>
  <c r="AK141" i="9"/>
  <c r="AD141" i="9"/>
  <c r="B141" i="9"/>
  <c r="AU140" i="9"/>
  <c r="AO140" i="9"/>
  <c r="AQ140" i="9"/>
  <c r="AS140" i="9"/>
  <c r="AW140" i="9"/>
  <c r="AY140" i="9"/>
  <c r="BA140" i="9"/>
  <c r="BC140" i="9"/>
  <c r="BE140" i="9"/>
  <c r="AT140" i="9"/>
  <c r="AK140" i="9"/>
  <c r="AD140" i="9"/>
  <c r="B140" i="9"/>
  <c r="AU139" i="9"/>
  <c r="AO139" i="9"/>
  <c r="AQ139" i="9"/>
  <c r="AS139" i="9"/>
  <c r="AW139" i="9"/>
  <c r="AY139" i="9"/>
  <c r="BA139" i="9"/>
  <c r="BC139" i="9"/>
  <c r="BE139" i="9"/>
  <c r="AT139" i="9"/>
  <c r="AN139" i="9"/>
  <c r="AK139" i="9"/>
  <c r="AD139" i="9"/>
  <c r="B139" i="9"/>
  <c r="AU138" i="9"/>
  <c r="AO138" i="9"/>
  <c r="AQ138" i="9"/>
  <c r="AS138" i="9"/>
  <c r="AW138" i="9"/>
  <c r="AY138" i="9"/>
  <c r="BA138" i="9"/>
  <c r="BC138" i="9"/>
  <c r="BE138" i="9"/>
  <c r="AT138" i="9"/>
  <c r="AK138" i="9"/>
  <c r="AD138" i="9"/>
  <c r="B138" i="9"/>
  <c r="AU137" i="9"/>
  <c r="AT137" i="9"/>
  <c r="AN137" i="9"/>
  <c r="AO137" i="9"/>
  <c r="AQ137" i="9"/>
  <c r="AS137" i="9"/>
  <c r="AW137" i="9"/>
  <c r="AY137" i="9"/>
  <c r="BA137" i="9"/>
  <c r="BC137" i="9"/>
  <c r="BE137" i="9"/>
  <c r="AK137" i="9"/>
  <c r="AD137" i="9"/>
  <c r="B137" i="9"/>
  <c r="AU136" i="9"/>
  <c r="AO136" i="9"/>
  <c r="AQ136" i="9"/>
  <c r="AS136" i="9"/>
  <c r="AW136" i="9"/>
  <c r="AY136" i="9"/>
  <c r="BA136" i="9"/>
  <c r="BC136" i="9"/>
  <c r="BE136" i="9"/>
  <c r="AT136" i="9"/>
  <c r="AK136" i="9"/>
  <c r="AD136" i="9"/>
  <c r="B136" i="9"/>
  <c r="AU135" i="9"/>
  <c r="AO135" i="9"/>
  <c r="AQ135" i="9"/>
  <c r="AS135" i="9"/>
  <c r="AW135" i="9"/>
  <c r="AY135" i="9"/>
  <c r="BA135" i="9"/>
  <c r="BC135" i="9"/>
  <c r="BE135" i="9"/>
  <c r="AT135" i="9"/>
  <c r="AK135" i="9"/>
  <c r="AD135" i="9"/>
  <c r="B135" i="9"/>
  <c r="AU134" i="9"/>
  <c r="AT134" i="9"/>
  <c r="AN134" i="9"/>
  <c r="AK134" i="9"/>
  <c r="AD134" i="9"/>
  <c r="B134" i="9"/>
  <c r="AU133" i="9"/>
  <c r="AO133" i="9"/>
  <c r="AQ133" i="9"/>
  <c r="AS133" i="9"/>
  <c r="AW133" i="9"/>
  <c r="AY133" i="9"/>
  <c r="BA133" i="9"/>
  <c r="BC133" i="9"/>
  <c r="BE133" i="9"/>
  <c r="AT133" i="9"/>
  <c r="AK133" i="9"/>
  <c r="AD133" i="9"/>
  <c r="B133" i="9"/>
  <c r="AU132" i="9"/>
  <c r="AO132" i="9"/>
  <c r="AQ132" i="9"/>
  <c r="AS132" i="9"/>
  <c r="AW132" i="9"/>
  <c r="AY132" i="9"/>
  <c r="BA132" i="9"/>
  <c r="BC132" i="9"/>
  <c r="BE132" i="9"/>
  <c r="AT132" i="9"/>
  <c r="AN132" i="9"/>
  <c r="AK132" i="9"/>
  <c r="AD132" i="9"/>
  <c r="B132" i="9"/>
  <c r="AU131" i="9"/>
  <c r="AO131" i="9"/>
  <c r="AQ131" i="9"/>
  <c r="AS131" i="9"/>
  <c r="AW131" i="9"/>
  <c r="AY131" i="9"/>
  <c r="BA131" i="9"/>
  <c r="BC131" i="9"/>
  <c r="BE131" i="9"/>
  <c r="AT131" i="9"/>
  <c r="AN131" i="9"/>
  <c r="AP131" i="9"/>
  <c r="AK131" i="9"/>
  <c r="AD131" i="9"/>
  <c r="B131" i="9"/>
  <c r="AU130" i="9"/>
  <c r="AO130" i="9"/>
  <c r="AQ130" i="9"/>
  <c r="AS130" i="9"/>
  <c r="AW130" i="9"/>
  <c r="AY130" i="9"/>
  <c r="BA130" i="9"/>
  <c r="BC130" i="9"/>
  <c r="BE130" i="9"/>
  <c r="AT130" i="9"/>
  <c r="E130" i="9"/>
  <c r="AK130" i="9"/>
  <c r="AD130" i="9"/>
  <c r="B130" i="9"/>
  <c r="AU129" i="9"/>
  <c r="AO129" i="9"/>
  <c r="AQ129" i="9"/>
  <c r="AS129" i="9"/>
  <c r="AW129" i="9"/>
  <c r="AY129" i="9"/>
  <c r="BA129" i="9"/>
  <c r="BC129" i="9"/>
  <c r="BE129" i="9"/>
  <c r="AT129" i="9"/>
  <c r="AN129" i="9"/>
  <c r="AP129" i="9"/>
  <c r="AK129" i="9"/>
  <c r="AD129" i="9"/>
  <c r="B129" i="9"/>
  <c r="AU128" i="9"/>
  <c r="AO128" i="9"/>
  <c r="AQ128" i="9"/>
  <c r="AS128" i="9"/>
  <c r="AW128" i="9"/>
  <c r="AY128" i="9"/>
  <c r="BA128" i="9"/>
  <c r="BC128" i="9"/>
  <c r="BE128" i="9"/>
  <c r="AT128" i="9"/>
  <c r="AK128" i="9"/>
  <c r="C128" i="9"/>
  <c r="AD128" i="9"/>
  <c r="B128" i="9"/>
  <c r="AU127" i="9"/>
  <c r="AO127" i="9"/>
  <c r="AQ127" i="9"/>
  <c r="AS127" i="9"/>
  <c r="AW127" i="9"/>
  <c r="AY127" i="9"/>
  <c r="BA127" i="9"/>
  <c r="BC127" i="9"/>
  <c r="BE127" i="9"/>
  <c r="AT127" i="9"/>
  <c r="AN127" i="9"/>
  <c r="AK127" i="9"/>
  <c r="AD127" i="9"/>
  <c r="B127" i="9"/>
  <c r="AU126" i="9"/>
  <c r="AO126" i="9"/>
  <c r="AQ126" i="9"/>
  <c r="AS126" i="9"/>
  <c r="AW126" i="9"/>
  <c r="AY126" i="9"/>
  <c r="BA126" i="9"/>
  <c r="BC126" i="9"/>
  <c r="BE126" i="9"/>
  <c r="AT126" i="9"/>
  <c r="AN126" i="9"/>
  <c r="AK126" i="9"/>
  <c r="AD126" i="9"/>
  <c r="B126" i="9"/>
  <c r="AU125" i="9"/>
  <c r="AO125" i="9"/>
  <c r="AQ125" i="9"/>
  <c r="AS125" i="9"/>
  <c r="AW125" i="9"/>
  <c r="AY125" i="9"/>
  <c r="BA125" i="9"/>
  <c r="BC125" i="9"/>
  <c r="BE125" i="9"/>
  <c r="AT125" i="9"/>
  <c r="AK125" i="9"/>
  <c r="AD125" i="9"/>
  <c r="B125" i="9"/>
  <c r="AU124" i="9"/>
  <c r="AO124" i="9"/>
  <c r="AQ124" i="9"/>
  <c r="AS124" i="9"/>
  <c r="AW124" i="9"/>
  <c r="AY124" i="9"/>
  <c r="BA124" i="9"/>
  <c r="BC124" i="9"/>
  <c r="BE124" i="9"/>
  <c r="AT124" i="9"/>
  <c r="AN124" i="9"/>
  <c r="AK124" i="9"/>
  <c r="AD124" i="9"/>
  <c r="B124" i="9"/>
  <c r="AU123" i="9"/>
  <c r="AO123" i="9"/>
  <c r="AQ123" i="9"/>
  <c r="AS123" i="9"/>
  <c r="AW123" i="9"/>
  <c r="AY123" i="9"/>
  <c r="BA123" i="9"/>
  <c r="BC123" i="9"/>
  <c r="BE123" i="9"/>
  <c r="AT123" i="9"/>
  <c r="AK123" i="9"/>
  <c r="AD123" i="9"/>
  <c r="B123" i="9"/>
  <c r="AU122" i="9"/>
  <c r="AO122" i="9"/>
  <c r="AQ122" i="9"/>
  <c r="AS122" i="9"/>
  <c r="AW122" i="9"/>
  <c r="AY122" i="9"/>
  <c r="BA122" i="9"/>
  <c r="BC122" i="9"/>
  <c r="BE122" i="9"/>
  <c r="AT122" i="9"/>
  <c r="AN122" i="9"/>
  <c r="AK122" i="9"/>
  <c r="AD122" i="9"/>
  <c r="B122" i="9"/>
  <c r="AU121" i="9"/>
  <c r="AO121" i="9"/>
  <c r="AQ121" i="9"/>
  <c r="AS121" i="9"/>
  <c r="AW121" i="9"/>
  <c r="AY121" i="9"/>
  <c r="BA121" i="9"/>
  <c r="BC121" i="9"/>
  <c r="BE121" i="9"/>
  <c r="AT121" i="9"/>
  <c r="AK121" i="9"/>
  <c r="AD121" i="9"/>
  <c r="B121" i="9"/>
  <c r="AU120" i="9"/>
  <c r="AO120" i="9"/>
  <c r="AQ120" i="9"/>
  <c r="AS120" i="9"/>
  <c r="AW120" i="9"/>
  <c r="AY120" i="9"/>
  <c r="BA120" i="9"/>
  <c r="BC120" i="9"/>
  <c r="BE120" i="9"/>
  <c r="AT120" i="9"/>
  <c r="AN120" i="9"/>
  <c r="AK120" i="9"/>
  <c r="AD120" i="9"/>
  <c r="B120" i="9"/>
  <c r="AU119" i="9"/>
  <c r="AO119" i="9"/>
  <c r="AQ119" i="9"/>
  <c r="AS119" i="9"/>
  <c r="AW119" i="9"/>
  <c r="AY119" i="9"/>
  <c r="BA119" i="9"/>
  <c r="BC119" i="9"/>
  <c r="BE119" i="9"/>
  <c r="AT119" i="9"/>
  <c r="AN119" i="9"/>
  <c r="AK119" i="9"/>
  <c r="AD119" i="9"/>
  <c r="B119" i="9"/>
  <c r="AU118" i="9"/>
  <c r="AO118" i="9"/>
  <c r="AQ118" i="9"/>
  <c r="AS118" i="9"/>
  <c r="AW118" i="9"/>
  <c r="AY118" i="9"/>
  <c r="BA118" i="9"/>
  <c r="BC118" i="9"/>
  <c r="BE118" i="9"/>
  <c r="AT118" i="9"/>
  <c r="AN118" i="9"/>
  <c r="AK118" i="9"/>
  <c r="AD118" i="9"/>
  <c r="B118" i="9"/>
  <c r="AU117" i="9"/>
  <c r="AO117" i="9"/>
  <c r="AQ117" i="9"/>
  <c r="AS117" i="9"/>
  <c r="AW117" i="9"/>
  <c r="AY117" i="9"/>
  <c r="BA117" i="9"/>
  <c r="BC117" i="9"/>
  <c r="BE117" i="9"/>
  <c r="AT117" i="9"/>
  <c r="AK117" i="9"/>
  <c r="AD117" i="9"/>
  <c r="B117" i="9"/>
  <c r="AU116" i="9"/>
  <c r="AO116" i="9"/>
  <c r="AQ116" i="9"/>
  <c r="AS116" i="9"/>
  <c r="AW116" i="9"/>
  <c r="AY116" i="9"/>
  <c r="BA116" i="9"/>
  <c r="BC116" i="9"/>
  <c r="BE116" i="9"/>
  <c r="AT116" i="9"/>
  <c r="AN116" i="9"/>
  <c r="AK116" i="9"/>
  <c r="AD116" i="9"/>
  <c r="B116" i="9"/>
  <c r="AU115" i="9"/>
  <c r="AO115" i="9"/>
  <c r="AQ115" i="9"/>
  <c r="AS115" i="9"/>
  <c r="AW115" i="9"/>
  <c r="AY115" i="9"/>
  <c r="BA115" i="9"/>
  <c r="BC115" i="9"/>
  <c r="BE115" i="9"/>
  <c r="AT115" i="9"/>
  <c r="AN115" i="9"/>
  <c r="AK115" i="9"/>
  <c r="AD115" i="9"/>
  <c r="E115" i="9"/>
  <c r="B115" i="9"/>
  <c r="AU114" i="9"/>
  <c r="AO114" i="9"/>
  <c r="AQ114" i="9"/>
  <c r="AS114" i="9"/>
  <c r="AW114" i="9"/>
  <c r="AY114" i="9"/>
  <c r="BA114" i="9"/>
  <c r="BC114" i="9"/>
  <c r="BE114" i="9"/>
  <c r="AT114" i="9"/>
  <c r="AK114" i="9"/>
  <c r="AD114" i="9"/>
  <c r="B114" i="9"/>
  <c r="AU113" i="9"/>
  <c r="AO113" i="9"/>
  <c r="AQ113" i="9"/>
  <c r="AS113" i="9"/>
  <c r="AW113" i="9"/>
  <c r="AY113" i="9"/>
  <c r="BA113" i="9"/>
  <c r="BC113" i="9"/>
  <c r="BE113" i="9"/>
  <c r="AT113" i="9"/>
  <c r="E113" i="9"/>
  <c r="AK113" i="9"/>
  <c r="C113" i="9"/>
  <c r="AD113" i="9"/>
  <c r="B113" i="9"/>
  <c r="AU112" i="9"/>
  <c r="AO112" i="9"/>
  <c r="AQ112" i="9"/>
  <c r="AS112" i="9"/>
  <c r="AW112" i="9"/>
  <c r="AY112" i="9"/>
  <c r="BA112" i="9"/>
  <c r="BC112" i="9"/>
  <c r="BE112" i="9"/>
  <c r="AT112" i="9"/>
  <c r="AN112" i="9"/>
  <c r="AK112" i="9"/>
  <c r="AD112" i="9"/>
  <c r="B112" i="9"/>
  <c r="AU111" i="9"/>
  <c r="AO111" i="9"/>
  <c r="AQ111" i="9"/>
  <c r="AS111" i="9"/>
  <c r="AW111" i="9"/>
  <c r="AY111" i="9"/>
  <c r="BA111" i="9"/>
  <c r="BC111" i="9"/>
  <c r="BE111" i="9"/>
  <c r="AT111" i="9"/>
  <c r="AK111" i="9"/>
  <c r="AD111" i="9"/>
  <c r="B111" i="9"/>
  <c r="AU110" i="9"/>
  <c r="AO110" i="9"/>
  <c r="AQ110" i="9"/>
  <c r="AS110" i="9"/>
  <c r="AW110" i="9"/>
  <c r="AY110" i="9"/>
  <c r="BA110" i="9"/>
  <c r="BC110" i="9"/>
  <c r="BE110" i="9"/>
  <c r="AT110" i="9"/>
  <c r="AN110" i="9"/>
  <c r="AP110" i="9"/>
  <c r="AK110" i="9"/>
  <c r="AD110" i="9"/>
  <c r="B110" i="9"/>
  <c r="AU109" i="9"/>
  <c r="AO109" i="9"/>
  <c r="AQ109" i="9"/>
  <c r="AS109" i="9"/>
  <c r="AW109" i="9"/>
  <c r="AY109" i="9"/>
  <c r="BA109" i="9"/>
  <c r="BC109" i="9"/>
  <c r="BE109" i="9"/>
  <c r="AT109" i="9"/>
  <c r="AK109" i="9"/>
  <c r="AD109" i="9"/>
  <c r="B109" i="9"/>
  <c r="AU108" i="9"/>
  <c r="AO108" i="9"/>
  <c r="AQ108" i="9"/>
  <c r="AS108" i="9"/>
  <c r="AW108" i="9"/>
  <c r="AY108" i="9"/>
  <c r="BA108" i="9"/>
  <c r="BC108" i="9"/>
  <c r="BE108" i="9"/>
  <c r="AT108" i="9"/>
  <c r="AK108" i="9"/>
  <c r="C108" i="9"/>
  <c r="AD108" i="9"/>
  <c r="B108" i="9"/>
  <c r="AU107" i="9"/>
  <c r="AO107" i="9"/>
  <c r="AQ107" i="9"/>
  <c r="AS107" i="9"/>
  <c r="AW107" i="9"/>
  <c r="AY107" i="9"/>
  <c r="BA107" i="9"/>
  <c r="BC107" i="9"/>
  <c r="BE107" i="9"/>
  <c r="AT107" i="9"/>
  <c r="AN107" i="9"/>
  <c r="AK107" i="9"/>
  <c r="AD107" i="9"/>
  <c r="B107" i="9"/>
  <c r="AU106" i="9"/>
  <c r="AO106" i="9"/>
  <c r="AQ106" i="9"/>
  <c r="AS106" i="9"/>
  <c r="AW106" i="9"/>
  <c r="AY106" i="9"/>
  <c r="BA106" i="9"/>
  <c r="BC106" i="9"/>
  <c r="BE106" i="9"/>
  <c r="AT106" i="9"/>
  <c r="AK106" i="9"/>
  <c r="AD106" i="9"/>
  <c r="B106" i="9"/>
  <c r="AU105" i="9"/>
  <c r="AO105" i="9"/>
  <c r="AQ105" i="9"/>
  <c r="AS105" i="9"/>
  <c r="AW105" i="9"/>
  <c r="AY105" i="9"/>
  <c r="BA105" i="9"/>
  <c r="BC105" i="9"/>
  <c r="BE105" i="9"/>
  <c r="AT105" i="9"/>
  <c r="AN105" i="9"/>
  <c r="AK105" i="9"/>
  <c r="AD105" i="9"/>
  <c r="B105" i="9"/>
  <c r="AU104" i="9"/>
  <c r="AO104" i="9"/>
  <c r="AQ104" i="9"/>
  <c r="AS104" i="9"/>
  <c r="AW104" i="9"/>
  <c r="AY104" i="9"/>
  <c r="BA104" i="9"/>
  <c r="BC104" i="9"/>
  <c r="BE104" i="9"/>
  <c r="AT104" i="9"/>
  <c r="AN104" i="9"/>
  <c r="AP104" i="9"/>
  <c r="AR104" i="9"/>
  <c r="AK104" i="9"/>
  <c r="AD104" i="9"/>
  <c r="B104" i="9"/>
  <c r="AU103" i="9"/>
  <c r="AO103" i="9"/>
  <c r="AQ103" i="9"/>
  <c r="AS103" i="9"/>
  <c r="AW103" i="9"/>
  <c r="AY103" i="9"/>
  <c r="BA103" i="9"/>
  <c r="BC103" i="9"/>
  <c r="BE103" i="9"/>
  <c r="AT103" i="9"/>
  <c r="AN103" i="9"/>
  <c r="AK103" i="9"/>
  <c r="AD103" i="9"/>
  <c r="B103" i="9"/>
  <c r="AU102" i="9"/>
  <c r="AO102" i="9"/>
  <c r="AQ102" i="9"/>
  <c r="AS102" i="9"/>
  <c r="AW102" i="9"/>
  <c r="AY102" i="9"/>
  <c r="BA102" i="9"/>
  <c r="BC102" i="9"/>
  <c r="BE102" i="9"/>
  <c r="AT102" i="9"/>
  <c r="AN102" i="9"/>
  <c r="AK102" i="9"/>
  <c r="AD102" i="9"/>
  <c r="B102" i="9"/>
  <c r="AU101" i="9"/>
  <c r="AO101" i="9"/>
  <c r="AQ101" i="9"/>
  <c r="AS101" i="9"/>
  <c r="AW101" i="9"/>
  <c r="AY101" i="9"/>
  <c r="BA101" i="9"/>
  <c r="BC101" i="9"/>
  <c r="BE101" i="9"/>
  <c r="AT101" i="9"/>
  <c r="AN101" i="9"/>
  <c r="AK101" i="9"/>
  <c r="AD101" i="9"/>
  <c r="B101" i="9"/>
  <c r="AU100" i="9"/>
  <c r="AO100" i="9"/>
  <c r="AQ100" i="9"/>
  <c r="AS100" i="9"/>
  <c r="AW100" i="9"/>
  <c r="AY100" i="9"/>
  <c r="BA100" i="9"/>
  <c r="BC100" i="9"/>
  <c r="BE100" i="9"/>
  <c r="AT100" i="9"/>
  <c r="AN100" i="9"/>
  <c r="AP100" i="9"/>
  <c r="AK100" i="9"/>
  <c r="AD100" i="9"/>
  <c r="B100" i="9"/>
  <c r="AU99" i="9"/>
  <c r="AO99" i="9"/>
  <c r="AQ99" i="9"/>
  <c r="AS99" i="9"/>
  <c r="AW99" i="9"/>
  <c r="AY99" i="9"/>
  <c r="BA99" i="9"/>
  <c r="BC99" i="9"/>
  <c r="BE99" i="9"/>
  <c r="AT99" i="9"/>
  <c r="AK99" i="9"/>
  <c r="AD99" i="9"/>
  <c r="B99" i="9"/>
  <c r="AU98" i="9"/>
  <c r="AO98" i="9"/>
  <c r="AQ98" i="9"/>
  <c r="AS98" i="9"/>
  <c r="AW98" i="9"/>
  <c r="AY98" i="9"/>
  <c r="BA98" i="9"/>
  <c r="BC98" i="9"/>
  <c r="BE98" i="9"/>
  <c r="AT98" i="9"/>
  <c r="AN98" i="9"/>
  <c r="AK98" i="9"/>
  <c r="AD98" i="9"/>
  <c r="C98" i="9"/>
  <c r="B98" i="9"/>
  <c r="AU97" i="9"/>
  <c r="AO97" i="9"/>
  <c r="AQ97" i="9"/>
  <c r="AS97" i="9"/>
  <c r="AW97" i="9"/>
  <c r="AY97" i="9"/>
  <c r="BA97" i="9"/>
  <c r="BC97" i="9"/>
  <c r="BE97" i="9"/>
  <c r="AT97" i="9"/>
  <c r="AN97" i="9"/>
  <c r="AK97" i="9"/>
  <c r="AD97" i="9"/>
  <c r="B97" i="9"/>
  <c r="AU96" i="9"/>
  <c r="AO96" i="9"/>
  <c r="AQ96" i="9"/>
  <c r="AS96" i="9"/>
  <c r="AW96" i="9"/>
  <c r="AY96" i="9"/>
  <c r="BA96" i="9"/>
  <c r="BC96" i="9"/>
  <c r="BE96" i="9"/>
  <c r="AT96" i="9"/>
  <c r="AK96" i="9"/>
  <c r="AD96" i="9"/>
  <c r="B96" i="9"/>
  <c r="AU95" i="9"/>
  <c r="AO95" i="9"/>
  <c r="AQ95" i="9"/>
  <c r="AS95" i="9"/>
  <c r="AW95" i="9"/>
  <c r="AY95" i="9"/>
  <c r="BA95" i="9"/>
  <c r="BC95" i="9"/>
  <c r="BE95" i="9"/>
  <c r="AT95" i="9"/>
  <c r="AK95" i="9"/>
  <c r="AD95" i="9"/>
  <c r="B95" i="9"/>
  <c r="AU94" i="9"/>
  <c r="AO94" i="9"/>
  <c r="AQ94" i="9"/>
  <c r="AS94" i="9"/>
  <c r="AW94" i="9"/>
  <c r="AY94" i="9"/>
  <c r="BA94" i="9"/>
  <c r="BC94" i="9"/>
  <c r="BE94" i="9"/>
  <c r="AT94" i="9"/>
  <c r="AK94" i="9"/>
  <c r="AD94" i="9"/>
  <c r="B94" i="9"/>
  <c r="AU93" i="9"/>
  <c r="AO93" i="9"/>
  <c r="AQ93" i="9"/>
  <c r="AS93" i="9"/>
  <c r="AW93" i="9"/>
  <c r="AY93" i="9"/>
  <c r="BA93" i="9"/>
  <c r="BC93" i="9"/>
  <c r="BE93" i="9"/>
  <c r="AT93" i="9"/>
  <c r="AN93" i="9"/>
  <c r="AK93" i="9"/>
  <c r="AD93" i="9"/>
  <c r="B93" i="9"/>
  <c r="AU92" i="9"/>
  <c r="AO92" i="9"/>
  <c r="AQ92" i="9"/>
  <c r="AS92" i="9"/>
  <c r="AW92" i="9"/>
  <c r="AY92" i="9"/>
  <c r="BA92" i="9"/>
  <c r="BC92" i="9"/>
  <c r="BE92" i="9"/>
  <c r="AT92" i="9"/>
  <c r="AN92" i="9"/>
  <c r="AP92" i="9"/>
  <c r="AK92" i="9"/>
  <c r="AD92" i="9"/>
  <c r="B92" i="9"/>
  <c r="AU91" i="9"/>
  <c r="AO91" i="9"/>
  <c r="AQ91" i="9"/>
  <c r="AS91" i="9"/>
  <c r="AW91" i="9"/>
  <c r="AY91" i="9"/>
  <c r="BA91" i="9"/>
  <c r="BC91" i="9"/>
  <c r="BE91" i="9"/>
  <c r="AT91" i="9"/>
  <c r="AK91" i="9"/>
  <c r="AD91" i="9"/>
  <c r="B91" i="9"/>
  <c r="AU90" i="9"/>
  <c r="AT90" i="9"/>
  <c r="AN90" i="9"/>
  <c r="AO90" i="9"/>
  <c r="AQ90" i="9"/>
  <c r="AS90" i="9"/>
  <c r="AW90" i="9"/>
  <c r="AY90" i="9"/>
  <c r="BA90" i="9"/>
  <c r="BC90" i="9"/>
  <c r="BE90" i="9"/>
  <c r="AK90" i="9"/>
  <c r="AD90" i="9"/>
  <c r="B90" i="9"/>
  <c r="AU89" i="9"/>
  <c r="AO89" i="9"/>
  <c r="AQ89" i="9"/>
  <c r="AS89" i="9"/>
  <c r="AW89" i="9"/>
  <c r="AY89" i="9"/>
  <c r="BA89" i="9"/>
  <c r="BC89" i="9"/>
  <c r="BE89" i="9"/>
  <c r="AT89" i="9"/>
  <c r="AK89" i="9"/>
  <c r="AD89" i="9"/>
  <c r="B89" i="9"/>
  <c r="AU88" i="9"/>
  <c r="AO88" i="9"/>
  <c r="AQ88" i="9"/>
  <c r="AS88" i="9"/>
  <c r="AW88" i="9"/>
  <c r="AY88" i="9"/>
  <c r="BA88" i="9"/>
  <c r="BC88" i="9"/>
  <c r="BE88" i="9"/>
  <c r="AT88" i="9"/>
  <c r="AN88" i="9"/>
  <c r="AK88" i="9"/>
  <c r="AD88" i="9"/>
  <c r="B88" i="9"/>
  <c r="AU87" i="9"/>
  <c r="AO87" i="9"/>
  <c r="AQ87" i="9"/>
  <c r="AS87" i="9"/>
  <c r="AW87" i="9"/>
  <c r="AY87" i="9"/>
  <c r="BA87" i="9"/>
  <c r="BC87" i="9"/>
  <c r="BE87" i="9"/>
  <c r="AT87" i="9"/>
  <c r="AK87" i="9"/>
  <c r="AD87" i="9"/>
  <c r="B87" i="9"/>
  <c r="AU86" i="9"/>
  <c r="AO86" i="9"/>
  <c r="AQ86" i="9"/>
  <c r="AS86" i="9"/>
  <c r="AW86" i="9"/>
  <c r="AY86" i="9"/>
  <c r="BA86" i="9"/>
  <c r="BC86" i="9"/>
  <c r="BE86" i="9"/>
  <c r="AT86" i="9"/>
  <c r="AN86" i="9"/>
  <c r="AK86" i="9"/>
  <c r="AD86" i="9"/>
  <c r="B86" i="9"/>
  <c r="AU85" i="9"/>
  <c r="AO85" i="9"/>
  <c r="AQ85" i="9"/>
  <c r="AS85" i="9"/>
  <c r="AW85" i="9"/>
  <c r="AY85" i="9"/>
  <c r="BA85" i="9"/>
  <c r="BC85" i="9"/>
  <c r="BE85" i="9"/>
  <c r="AT85" i="9"/>
  <c r="AN85" i="9"/>
  <c r="AK85" i="9"/>
  <c r="AD85" i="9"/>
  <c r="B85" i="9"/>
  <c r="AU84" i="9"/>
  <c r="AO84" i="9"/>
  <c r="AQ84" i="9"/>
  <c r="AS84" i="9"/>
  <c r="AW84" i="9"/>
  <c r="AY84" i="9"/>
  <c r="BA84" i="9"/>
  <c r="BC84" i="9"/>
  <c r="BE84" i="9"/>
  <c r="AT84" i="9"/>
  <c r="AK84" i="9"/>
  <c r="AD84" i="9"/>
  <c r="B84" i="9"/>
  <c r="AU83" i="9"/>
  <c r="AO83" i="9"/>
  <c r="AQ83" i="9"/>
  <c r="AS83" i="9"/>
  <c r="AW83" i="9"/>
  <c r="AY83" i="9"/>
  <c r="BA83" i="9"/>
  <c r="BC83" i="9"/>
  <c r="BE83" i="9"/>
  <c r="AT83" i="9"/>
  <c r="AK83" i="9"/>
  <c r="AD83" i="9"/>
  <c r="B83" i="9"/>
  <c r="AU82" i="9"/>
  <c r="AO82" i="9"/>
  <c r="AQ82" i="9"/>
  <c r="AS82" i="9"/>
  <c r="AW82" i="9"/>
  <c r="AY82" i="9"/>
  <c r="BA82" i="9"/>
  <c r="BC82" i="9"/>
  <c r="BE82" i="9"/>
  <c r="AT82" i="9"/>
  <c r="AN82" i="9"/>
  <c r="AK82" i="9"/>
  <c r="AD82" i="9"/>
  <c r="B82" i="9"/>
  <c r="AU81" i="9"/>
  <c r="AO81" i="9"/>
  <c r="AQ81" i="9"/>
  <c r="AS81" i="9"/>
  <c r="AW81" i="9"/>
  <c r="AY81" i="9"/>
  <c r="BA81" i="9"/>
  <c r="BC81" i="9"/>
  <c r="BE81" i="9"/>
  <c r="AT81" i="9"/>
  <c r="AN81" i="9"/>
  <c r="AP81" i="9"/>
  <c r="AK81" i="9"/>
  <c r="AD81" i="9"/>
  <c r="B81" i="9"/>
  <c r="AU80" i="9"/>
  <c r="AO80" i="9"/>
  <c r="AQ80" i="9"/>
  <c r="AS80" i="9"/>
  <c r="AW80" i="9"/>
  <c r="AY80" i="9"/>
  <c r="BA80" i="9"/>
  <c r="BC80" i="9"/>
  <c r="BE80" i="9"/>
  <c r="AT80" i="9"/>
  <c r="AN80" i="9"/>
  <c r="AK80" i="9"/>
  <c r="AD80" i="9"/>
  <c r="B80" i="9"/>
  <c r="AU79" i="9"/>
  <c r="AO79" i="9"/>
  <c r="AQ79" i="9"/>
  <c r="AS79" i="9"/>
  <c r="AW79" i="9"/>
  <c r="AY79" i="9"/>
  <c r="BA79" i="9"/>
  <c r="BC79" i="9"/>
  <c r="BE79" i="9"/>
  <c r="AT79" i="9"/>
  <c r="AN79" i="9"/>
  <c r="AK79" i="9"/>
  <c r="AD79" i="9"/>
  <c r="B79" i="9"/>
  <c r="AU78" i="9"/>
  <c r="AO78" i="9"/>
  <c r="AQ78" i="9"/>
  <c r="AS78" i="9"/>
  <c r="AW78" i="9"/>
  <c r="AY78" i="9"/>
  <c r="BA78" i="9"/>
  <c r="BC78" i="9"/>
  <c r="BE78" i="9"/>
  <c r="AT78" i="9"/>
  <c r="AN78" i="9"/>
  <c r="AK78" i="9"/>
  <c r="AD78" i="9"/>
  <c r="B78" i="9"/>
  <c r="AU77" i="9"/>
  <c r="AT77" i="9"/>
  <c r="AN77" i="9"/>
  <c r="AP77" i="9"/>
  <c r="AR77" i="9"/>
  <c r="AO77" i="9"/>
  <c r="AQ77" i="9"/>
  <c r="AS77" i="9"/>
  <c r="AW77" i="9"/>
  <c r="AY77" i="9"/>
  <c r="BA77" i="9"/>
  <c r="BC77" i="9"/>
  <c r="BE77" i="9"/>
  <c r="AK77" i="9"/>
  <c r="AD77" i="9"/>
  <c r="B77" i="9"/>
  <c r="AU76" i="9"/>
  <c r="AO76" i="9"/>
  <c r="AQ76" i="9"/>
  <c r="AS76" i="9"/>
  <c r="AW76" i="9"/>
  <c r="AY76" i="9"/>
  <c r="BA76" i="9"/>
  <c r="BC76" i="9"/>
  <c r="BE76" i="9"/>
  <c r="AT76" i="9"/>
  <c r="AN76" i="9"/>
  <c r="AK76" i="9"/>
  <c r="AD76" i="9"/>
  <c r="B76" i="9"/>
  <c r="AU75" i="9"/>
  <c r="AO75" i="9"/>
  <c r="AQ75" i="9"/>
  <c r="AT75" i="9"/>
  <c r="AN75" i="9"/>
  <c r="AS75" i="9"/>
  <c r="AW75" i="9"/>
  <c r="AY75" i="9"/>
  <c r="BA75" i="9"/>
  <c r="BC75" i="9"/>
  <c r="BE75" i="9"/>
  <c r="AK75" i="9"/>
  <c r="AD75" i="9"/>
  <c r="B75" i="9"/>
  <c r="AU74" i="9"/>
  <c r="AT74" i="9"/>
  <c r="AN74" i="9"/>
  <c r="AK74" i="9"/>
  <c r="AD74" i="9"/>
  <c r="B74" i="9"/>
  <c r="C74" i="9"/>
  <c r="AU73" i="9"/>
  <c r="AO73" i="9"/>
  <c r="AQ73" i="9"/>
  <c r="AS73" i="9"/>
  <c r="AW73" i="9"/>
  <c r="AY73" i="9"/>
  <c r="BA73" i="9"/>
  <c r="BC73" i="9"/>
  <c r="BE73" i="9"/>
  <c r="AT73" i="9"/>
  <c r="AN73" i="9"/>
  <c r="AK73" i="9"/>
  <c r="AD73" i="9"/>
  <c r="B73" i="9"/>
  <c r="AU72" i="9"/>
  <c r="AO72" i="9"/>
  <c r="AQ72" i="9"/>
  <c r="AS72" i="9"/>
  <c r="AW72" i="9"/>
  <c r="AY72" i="9"/>
  <c r="BA72" i="9"/>
  <c r="BC72" i="9"/>
  <c r="BE72" i="9"/>
  <c r="AT72" i="9"/>
  <c r="AN72" i="9"/>
  <c r="AK72" i="9"/>
  <c r="AD72" i="9"/>
  <c r="B72" i="9"/>
  <c r="AU71" i="9"/>
  <c r="AO71" i="9"/>
  <c r="AQ71" i="9"/>
  <c r="AT71" i="9"/>
  <c r="AN71" i="9"/>
  <c r="AS71" i="9"/>
  <c r="AW71" i="9"/>
  <c r="AY71" i="9"/>
  <c r="BA71" i="9"/>
  <c r="BC71" i="9"/>
  <c r="BE71" i="9"/>
  <c r="AK71" i="9"/>
  <c r="AD71" i="9"/>
  <c r="B71" i="9"/>
  <c r="AU70" i="9"/>
  <c r="AT70" i="9"/>
  <c r="AN70" i="9"/>
  <c r="AK70" i="9"/>
  <c r="AD70" i="9"/>
  <c r="B70" i="9"/>
  <c r="C70" i="9"/>
  <c r="AU69" i="9"/>
  <c r="AT69" i="9"/>
  <c r="AN69" i="9"/>
  <c r="AO69" i="9"/>
  <c r="AQ69" i="9"/>
  <c r="AS69" i="9"/>
  <c r="AW69" i="9"/>
  <c r="AY69" i="9"/>
  <c r="BA69" i="9"/>
  <c r="BC69" i="9"/>
  <c r="BE69" i="9"/>
  <c r="AK69" i="9"/>
  <c r="AD69" i="9"/>
  <c r="B69" i="9"/>
  <c r="AU68" i="9"/>
  <c r="AO68" i="9"/>
  <c r="AQ68" i="9"/>
  <c r="AS68" i="9"/>
  <c r="AW68" i="9"/>
  <c r="AY68" i="9"/>
  <c r="BA68" i="9"/>
  <c r="BC68" i="9"/>
  <c r="BE68" i="9"/>
  <c r="AT68" i="9"/>
  <c r="AN68" i="9"/>
  <c r="AK68" i="9"/>
  <c r="AD68" i="9"/>
  <c r="B68" i="9"/>
  <c r="AU67" i="9"/>
  <c r="AO67" i="9"/>
  <c r="AQ67" i="9"/>
  <c r="AS67" i="9"/>
  <c r="AW67" i="9"/>
  <c r="AY67" i="9"/>
  <c r="BA67" i="9"/>
  <c r="BC67" i="9"/>
  <c r="BE67" i="9"/>
  <c r="AT67" i="9"/>
  <c r="AN67" i="9"/>
  <c r="AK67" i="9"/>
  <c r="AD67" i="9"/>
  <c r="B67" i="9"/>
  <c r="AU66" i="9"/>
  <c r="AO66" i="9"/>
  <c r="AQ66" i="9"/>
  <c r="AS66" i="9"/>
  <c r="AW66" i="9"/>
  <c r="AY66" i="9"/>
  <c r="BA66" i="9"/>
  <c r="BC66" i="9"/>
  <c r="BE66" i="9"/>
  <c r="AT66" i="9"/>
  <c r="AN66" i="9"/>
  <c r="AK66" i="9"/>
  <c r="AD66" i="9"/>
  <c r="B66" i="9"/>
  <c r="AU65" i="9"/>
  <c r="E65" i="9"/>
  <c r="AT65" i="9"/>
  <c r="AN65" i="9"/>
  <c r="AP65" i="9"/>
  <c r="AR65" i="9"/>
  <c r="AK65" i="9"/>
  <c r="C65" i="9"/>
  <c r="AD65" i="9"/>
  <c r="B65" i="9"/>
  <c r="AU64" i="9"/>
  <c r="AO64" i="9"/>
  <c r="AQ64" i="9"/>
  <c r="AS64" i="9"/>
  <c r="AW64" i="9"/>
  <c r="AY64" i="9"/>
  <c r="BA64" i="9"/>
  <c r="BC64" i="9"/>
  <c r="BE64" i="9"/>
  <c r="AT64" i="9"/>
  <c r="AN64" i="9"/>
  <c r="AK64" i="9"/>
  <c r="AD64" i="9"/>
  <c r="B64" i="9"/>
  <c r="AU63" i="9"/>
  <c r="AO63" i="9"/>
  <c r="AQ63" i="9"/>
  <c r="AS63" i="9"/>
  <c r="AW63" i="9"/>
  <c r="AY63" i="9"/>
  <c r="BA63" i="9"/>
  <c r="BC63" i="9"/>
  <c r="BE63" i="9"/>
  <c r="AT63" i="9"/>
  <c r="AN63" i="9"/>
  <c r="AK63" i="9"/>
  <c r="AD63" i="9"/>
  <c r="B63" i="9"/>
  <c r="AU62" i="9"/>
  <c r="AO62" i="9"/>
  <c r="AQ62" i="9"/>
  <c r="AS62" i="9"/>
  <c r="AW62" i="9"/>
  <c r="AY62" i="9"/>
  <c r="BA62" i="9"/>
  <c r="BC62" i="9"/>
  <c r="BE62" i="9"/>
  <c r="AT62" i="9"/>
  <c r="AN62" i="9"/>
  <c r="AK62" i="9"/>
  <c r="C62" i="9"/>
  <c r="AD62" i="9"/>
  <c r="B62" i="9"/>
  <c r="AU61" i="9"/>
  <c r="AT61" i="9"/>
  <c r="AN61" i="9"/>
  <c r="AP61" i="9"/>
  <c r="AR61" i="9"/>
  <c r="AO61" i="9"/>
  <c r="AQ61" i="9"/>
  <c r="AS61" i="9"/>
  <c r="AW61" i="9"/>
  <c r="AY61" i="9"/>
  <c r="BA61" i="9"/>
  <c r="BC61" i="9"/>
  <c r="BE61" i="9"/>
  <c r="AK61" i="9"/>
  <c r="AD61" i="9"/>
  <c r="B61" i="9"/>
  <c r="AU60" i="9"/>
  <c r="AO60" i="9"/>
  <c r="AQ60" i="9"/>
  <c r="AS60" i="9"/>
  <c r="AW60" i="9"/>
  <c r="AY60" i="9"/>
  <c r="BA60" i="9"/>
  <c r="BC60" i="9"/>
  <c r="BE60" i="9"/>
  <c r="AT60" i="9"/>
  <c r="AK60" i="9"/>
  <c r="AD60" i="9"/>
  <c r="B60" i="9"/>
  <c r="AU59" i="9"/>
  <c r="AO59" i="9"/>
  <c r="AQ59" i="9"/>
  <c r="AS59" i="9"/>
  <c r="AW59" i="9"/>
  <c r="AY59" i="9"/>
  <c r="BA59" i="9"/>
  <c r="BC59" i="9"/>
  <c r="BE59" i="9"/>
  <c r="AT59" i="9"/>
  <c r="AN59" i="9"/>
  <c r="AK59" i="9"/>
  <c r="AD59" i="9"/>
  <c r="B59" i="9"/>
  <c r="AU58" i="9"/>
  <c r="AO58" i="9"/>
  <c r="AQ58" i="9"/>
  <c r="AS58" i="9"/>
  <c r="AT58" i="9"/>
  <c r="AN58" i="9"/>
  <c r="AP58" i="9"/>
  <c r="AR58" i="9"/>
  <c r="AV58" i="9"/>
  <c r="AX58" i="9"/>
  <c r="AK58" i="9"/>
  <c r="AD58" i="9"/>
  <c r="B58" i="9"/>
  <c r="AU57" i="9"/>
  <c r="AT57" i="9"/>
  <c r="AN57" i="9"/>
  <c r="AP57" i="9"/>
  <c r="AR57" i="9"/>
  <c r="AK57" i="9"/>
  <c r="AD57" i="9"/>
  <c r="B57" i="9"/>
  <c r="AU56" i="9"/>
  <c r="AO56" i="9"/>
  <c r="AQ56" i="9"/>
  <c r="AS56" i="9"/>
  <c r="AW56" i="9"/>
  <c r="AY56" i="9"/>
  <c r="BA56" i="9"/>
  <c r="BC56" i="9"/>
  <c r="BE56" i="9"/>
  <c r="AT56" i="9"/>
  <c r="AK56" i="9"/>
  <c r="AD56" i="9"/>
  <c r="B56" i="9"/>
  <c r="AU55" i="9"/>
  <c r="AO55" i="9"/>
  <c r="AQ55" i="9"/>
  <c r="AS55" i="9"/>
  <c r="AW55" i="9"/>
  <c r="AY55" i="9"/>
  <c r="BA55" i="9"/>
  <c r="BC55" i="9"/>
  <c r="BE55" i="9"/>
  <c r="AT55" i="9"/>
  <c r="AN55" i="9"/>
  <c r="AK55" i="9"/>
  <c r="AD55" i="9"/>
  <c r="C55" i="9"/>
  <c r="B55" i="9"/>
  <c r="AU54" i="9"/>
  <c r="AO54" i="9"/>
  <c r="AQ54" i="9"/>
  <c r="AS54" i="9"/>
  <c r="AT54" i="9"/>
  <c r="AN54" i="9"/>
  <c r="AP54" i="9"/>
  <c r="AR54" i="9"/>
  <c r="AV54" i="9"/>
  <c r="AX54" i="9"/>
  <c r="AK54" i="9"/>
  <c r="AD54" i="9"/>
  <c r="B54" i="9"/>
  <c r="AU53" i="9"/>
  <c r="AT53" i="9"/>
  <c r="AN53" i="9"/>
  <c r="AK53" i="9"/>
  <c r="AD53" i="9"/>
  <c r="B53" i="9"/>
  <c r="AU52" i="9"/>
  <c r="AO52" i="9"/>
  <c r="AQ52" i="9"/>
  <c r="AS52" i="9"/>
  <c r="AW52" i="9"/>
  <c r="AY52" i="9"/>
  <c r="BA52" i="9"/>
  <c r="BC52" i="9"/>
  <c r="BE52" i="9"/>
  <c r="AT52" i="9"/>
  <c r="AK52" i="9"/>
  <c r="AD52" i="9"/>
  <c r="B52" i="9"/>
  <c r="AU51" i="9"/>
  <c r="AO51" i="9"/>
  <c r="AQ51" i="9"/>
  <c r="AS51" i="9"/>
  <c r="AW51" i="9"/>
  <c r="AY51" i="9"/>
  <c r="BA51" i="9"/>
  <c r="BC51" i="9"/>
  <c r="BE51" i="9"/>
  <c r="AT51" i="9"/>
  <c r="AN51" i="9"/>
  <c r="AK51" i="9"/>
  <c r="AD51" i="9"/>
  <c r="B51" i="9"/>
  <c r="AU50" i="9"/>
  <c r="AT50" i="9"/>
  <c r="AN50" i="9"/>
  <c r="AP50" i="9"/>
  <c r="AR50" i="9"/>
  <c r="AV50" i="9"/>
  <c r="AX50" i="9"/>
  <c r="AK50" i="9"/>
  <c r="AD50" i="9"/>
  <c r="B50" i="9"/>
  <c r="AU49" i="9"/>
  <c r="AT49" i="9"/>
  <c r="AN49" i="9"/>
  <c r="AK49" i="9"/>
  <c r="AD49" i="9"/>
  <c r="B49" i="9"/>
  <c r="AU48" i="9"/>
  <c r="AO48" i="9"/>
  <c r="AT48" i="9"/>
  <c r="AN48" i="9"/>
  <c r="AP48" i="9"/>
  <c r="AK48" i="9"/>
  <c r="AD48" i="9"/>
  <c r="B48" i="9"/>
  <c r="AU47" i="9"/>
  <c r="AO47" i="9"/>
  <c r="AQ47" i="9"/>
  <c r="AS47" i="9"/>
  <c r="AW47" i="9"/>
  <c r="AY47" i="9"/>
  <c r="BA47" i="9"/>
  <c r="BC47" i="9"/>
  <c r="BE47" i="9"/>
  <c r="AT47" i="9"/>
  <c r="AN47" i="9"/>
  <c r="AK47" i="9"/>
  <c r="AD47" i="9"/>
  <c r="B47" i="9"/>
  <c r="AU46" i="9"/>
  <c r="AO46" i="9"/>
  <c r="AQ46" i="9"/>
  <c r="AS46" i="9"/>
  <c r="AW46" i="9"/>
  <c r="AY46" i="9"/>
  <c r="BA46" i="9"/>
  <c r="BC46" i="9"/>
  <c r="BE46" i="9"/>
  <c r="AT46" i="9"/>
  <c r="AN46" i="9"/>
  <c r="AP46" i="9"/>
  <c r="AK46" i="9"/>
  <c r="AD46" i="9"/>
  <c r="B46" i="9"/>
  <c r="AU45" i="9"/>
  <c r="AO45" i="9"/>
  <c r="AQ45" i="9"/>
  <c r="AS45" i="9"/>
  <c r="AW45" i="9"/>
  <c r="AY45" i="9"/>
  <c r="BA45" i="9"/>
  <c r="BC45" i="9"/>
  <c r="BE45" i="9"/>
  <c r="AT45" i="9"/>
  <c r="AN45" i="9"/>
  <c r="AK45" i="9"/>
  <c r="AD45" i="9"/>
  <c r="B45" i="9"/>
  <c r="AU44" i="9"/>
  <c r="AO44" i="9"/>
  <c r="AQ44" i="9"/>
  <c r="AS44" i="9"/>
  <c r="AW44" i="9"/>
  <c r="AY44" i="9"/>
  <c r="BA44" i="9"/>
  <c r="BC44" i="9"/>
  <c r="BE44" i="9"/>
  <c r="AT44" i="9"/>
  <c r="AN44" i="9"/>
  <c r="AP44" i="9"/>
  <c r="AK44" i="9"/>
  <c r="AD44" i="9"/>
  <c r="B44" i="9"/>
  <c r="AU43" i="9"/>
  <c r="AO43" i="9"/>
  <c r="AQ43" i="9"/>
  <c r="AS43" i="9"/>
  <c r="AW43" i="9"/>
  <c r="AY43" i="9"/>
  <c r="BA43" i="9"/>
  <c r="BC43" i="9"/>
  <c r="BE43" i="9"/>
  <c r="AT43" i="9"/>
  <c r="AN43" i="9"/>
  <c r="AK43" i="9"/>
  <c r="AD43" i="9"/>
  <c r="B43" i="9"/>
  <c r="AU42" i="9"/>
  <c r="AO42" i="9"/>
  <c r="AQ42" i="9"/>
  <c r="AS42" i="9"/>
  <c r="AW42" i="9"/>
  <c r="AY42" i="9"/>
  <c r="BA42" i="9"/>
  <c r="BC42" i="9"/>
  <c r="BE42" i="9"/>
  <c r="AT42" i="9"/>
  <c r="AN42" i="9"/>
  <c r="AK42" i="9"/>
  <c r="AD42" i="9"/>
  <c r="B42" i="9"/>
  <c r="AU41" i="9"/>
  <c r="AO41" i="9"/>
  <c r="AQ41" i="9"/>
  <c r="AT41" i="9"/>
  <c r="AN41" i="9"/>
  <c r="AK41" i="9"/>
  <c r="AD41" i="9"/>
  <c r="B41" i="9"/>
  <c r="AU40" i="9"/>
  <c r="AO40" i="9"/>
  <c r="AQ40" i="9"/>
  <c r="AS40" i="9"/>
  <c r="AW40" i="9"/>
  <c r="AY40" i="9"/>
  <c r="BA40" i="9"/>
  <c r="BC40" i="9"/>
  <c r="BE40" i="9"/>
  <c r="AT40" i="9"/>
  <c r="AN40" i="9"/>
  <c r="AP40" i="9"/>
  <c r="AK40" i="9"/>
  <c r="AD40" i="9"/>
  <c r="B40" i="9"/>
  <c r="AU39" i="9"/>
  <c r="AO39" i="9"/>
  <c r="AQ39" i="9"/>
  <c r="AS39" i="9"/>
  <c r="AW39" i="9"/>
  <c r="AY39" i="9"/>
  <c r="BA39" i="9"/>
  <c r="BC39" i="9"/>
  <c r="BE39" i="9"/>
  <c r="AT39" i="9"/>
  <c r="AN39" i="9"/>
  <c r="AK39" i="9"/>
  <c r="AD39" i="9"/>
  <c r="B39" i="9"/>
  <c r="AU38" i="9"/>
  <c r="AT38" i="9"/>
  <c r="AN38" i="9"/>
  <c r="AK38" i="9"/>
  <c r="AD38" i="9"/>
  <c r="B38" i="9"/>
  <c r="C38" i="9"/>
  <c r="AU37" i="9"/>
  <c r="E37" i="9"/>
  <c r="AT37" i="9"/>
  <c r="AN37" i="9"/>
  <c r="AK37" i="9"/>
  <c r="AD37" i="9"/>
  <c r="B37" i="9"/>
  <c r="AU36" i="9"/>
  <c r="AO36" i="9"/>
  <c r="AQ36" i="9"/>
  <c r="AS36" i="9"/>
  <c r="AW36" i="9"/>
  <c r="AY36" i="9"/>
  <c r="BA36" i="9"/>
  <c r="BC36" i="9"/>
  <c r="BE36" i="9"/>
  <c r="AT36" i="9"/>
  <c r="AN36" i="9"/>
  <c r="AK36" i="9"/>
  <c r="AD36" i="9"/>
  <c r="B36" i="9"/>
  <c r="AU35" i="9"/>
  <c r="AO35" i="9"/>
  <c r="AQ35" i="9"/>
  <c r="AS35" i="9"/>
  <c r="AW35" i="9"/>
  <c r="AY35" i="9"/>
  <c r="BA35" i="9"/>
  <c r="BC35" i="9"/>
  <c r="BE35" i="9"/>
  <c r="AT35" i="9"/>
  <c r="AN35" i="9"/>
  <c r="AK35" i="9"/>
  <c r="AD35" i="9"/>
  <c r="B35" i="9"/>
  <c r="AU34" i="9"/>
  <c r="AO34" i="9"/>
  <c r="AQ34" i="9"/>
  <c r="AS34" i="9"/>
  <c r="AW34" i="9"/>
  <c r="AY34" i="9"/>
  <c r="BA34" i="9"/>
  <c r="BC34" i="9"/>
  <c r="BE34" i="9"/>
  <c r="AT34" i="9"/>
  <c r="AN34" i="9"/>
  <c r="AP34" i="9"/>
  <c r="AR34" i="9"/>
  <c r="AK34" i="9"/>
  <c r="AD34" i="9"/>
  <c r="B34" i="9"/>
  <c r="AU33" i="9"/>
  <c r="AT33" i="9"/>
  <c r="AN33" i="9"/>
  <c r="AP33" i="9"/>
  <c r="AR33" i="9"/>
  <c r="AV33" i="9"/>
  <c r="AK33" i="9"/>
  <c r="AD33" i="9"/>
  <c r="B33" i="9"/>
  <c r="AU32" i="9"/>
  <c r="AO32" i="9"/>
  <c r="AQ32" i="9"/>
  <c r="AS32" i="9"/>
  <c r="AW32" i="9"/>
  <c r="AY32" i="9"/>
  <c r="BA32" i="9"/>
  <c r="BC32" i="9"/>
  <c r="BE32" i="9"/>
  <c r="AT32" i="9"/>
  <c r="AN32" i="9"/>
  <c r="AK32" i="9"/>
  <c r="AD32" i="9"/>
  <c r="B32" i="9"/>
  <c r="AU31" i="9"/>
  <c r="AO31" i="9"/>
  <c r="AQ31" i="9"/>
  <c r="AS31" i="9"/>
  <c r="AW31" i="9"/>
  <c r="AY31" i="9"/>
  <c r="BA31" i="9"/>
  <c r="BC31" i="9"/>
  <c r="BE31" i="9"/>
  <c r="AT31" i="9"/>
  <c r="AN31" i="9"/>
  <c r="AK31" i="9"/>
  <c r="AD31" i="9"/>
  <c r="B31" i="9"/>
  <c r="AU30" i="9"/>
  <c r="AT30" i="9"/>
  <c r="AN30" i="9"/>
  <c r="AP30" i="9"/>
  <c r="AR30" i="9"/>
  <c r="AK30" i="9"/>
  <c r="AD30" i="9"/>
  <c r="B30" i="9"/>
  <c r="AU29" i="9"/>
  <c r="AO29" i="9"/>
  <c r="AQ29" i="9"/>
  <c r="AS29" i="9"/>
  <c r="AW29" i="9"/>
  <c r="AY29" i="9"/>
  <c r="BA29" i="9"/>
  <c r="BC29" i="9"/>
  <c r="BE29" i="9"/>
  <c r="AT29" i="9"/>
  <c r="AN29" i="9"/>
  <c r="AP29" i="9"/>
  <c r="AK29" i="9"/>
  <c r="AD29" i="9"/>
  <c r="B29" i="9"/>
  <c r="AU28" i="9"/>
  <c r="AT28" i="9"/>
  <c r="AN28" i="9"/>
  <c r="AP28" i="9"/>
  <c r="AK28" i="9"/>
  <c r="AD28" i="9"/>
  <c r="B28" i="9"/>
  <c r="AU27" i="9"/>
  <c r="AO27" i="9"/>
  <c r="AQ27" i="9"/>
  <c r="AS27" i="9"/>
  <c r="AW27" i="9"/>
  <c r="AY27" i="9"/>
  <c r="BA27" i="9"/>
  <c r="BC27" i="9"/>
  <c r="BE27" i="9"/>
  <c r="AT27" i="9"/>
  <c r="AN27" i="9"/>
  <c r="AK27" i="9"/>
  <c r="AD27" i="9"/>
  <c r="B27" i="9"/>
  <c r="AU26" i="9"/>
  <c r="AO26" i="9"/>
  <c r="AQ26" i="9"/>
  <c r="AS26" i="9"/>
  <c r="AW26" i="9"/>
  <c r="AY26" i="9"/>
  <c r="BA26" i="9"/>
  <c r="BC26" i="9"/>
  <c r="BE26" i="9"/>
  <c r="AT26" i="9"/>
  <c r="AN26" i="9"/>
  <c r="AP26" i="9"/>
  <c r="AR26" i="9"/>
  <c r="AK26" i="9"/>
  <c r="AD26" i="9"/>
  <c r="B26" i="9"/>
  <c r="AU25" i="9"/>
  <c r="AT25" i="9"/>
  <c r="AN25" i="9"/>
  <c r="AK25" i="9"/>
  <c r="C25" i="9"/>
  <c r="AD25" i="9"/>
  <c r="B25" i="9"/>
  <c r="AU24" i="9"/>
  <c r="AO24" i="9"/>
  <c r="AQ24" i="9"/>
  <c r="AS24" i="9"/>
  <c r="AW24" i="9"/>
  <c r="AY24" i="9"/>
  <c r="BA24" i="9"/>
  <c r="BC24" i="9"/>
  <c r="BE24" i="9"/>
  <c r="AT24" i="9"/>
  <c r="AN24" i="9"/>
  <c r="AP24" i="9"/>
  <c r="AK24" i="9"/>
  <c r="AD24" i="9"/>
  <c r="B24" i="9"/>
  <c r="AU23" i="9"/>
  <c r="AO23" i="9"/>
  <c r="AQ23" i="9"/>
  <c r="AS23" i="9"/>
  <c r="AW23" i="9"/>
  <c r="AY23" i="9"/>
  <c r="BA23" i="9"/>
  <c r="BC23" i="9"/>
  <c r="BE23" i="9"/>
  <c r="AT23" i="9"/>
  <c r="AN23" i="9"/>
  <c r="AK23" i="9"/>
  <c r="AD23" i="9"/>
  <c r="B23" i="9"/>
  <c r="AU22" i="9"/>
  <c r="AT22" i="9"/>
  <c r="AN22" i="9"/>
  <c r="AP22" i="9"/>
  <c r="AO22" i="9"/>
  <c r="AQ22" i="9"/>
  <c r="AS22" i="9"/>
  <c r="AW22" i="9"/>
  <c r="AY22" i="9"/>
  <c r="BA22" i="9"/>
  <c r="BC22" i="9"/>
  <c r="BE22" i="9"/>
  <c r="AK22" i="9"/>
  <c r="AD22" i="9"/>
  <c r="B22" i="9"/>
  <c r="AU21" i="9"/>
  <c r="AT21" i="9"/>
  <c r="AN21" i="9"/>
  <c r="AK21" i="9"/>
  <c r="AD21" i="9"/>
  <c r="B21" i="9"/>
  <c r="AU20" i="9"/>
  <c r="AT20" i="9"/>
  <c r="AN20" i="9"/>
  <c r="AK20" i="9"/>
  <c r="AD20" i="9"/>
  <c r="B20" i="9"/>
  <c r="AU19" i="9"/>
  <c r="AO19" i="9"/>
  <c r="AQ19" i="9"/>
  <c r="AS19" i="9"/>
  <c r="AW19" i="9"/>
  <c r="AY19" i="9"/>
  <c r="BA19" i="9"/>
  <c r="BC19" i="9"/>
  <c r="BE19" i="9"/>
  <c r="AT19" i="9"/>
  <c r="AN19" i="9"/>
  <c r="AK19" i="9"/>
  <c r="AD19" i="9"/>
  <c r="B19" i="9"/>
  <c r="AU18" i="9"/>
  <c r="AT18" i="9"/>
  <c r="AN18" i="9"/>
  <c r="AK18" i="9"/>
  <c r="AD18" i="9"/>
  <c r="B18" i="9"/>
  <c r="AU17" i="9"/>
  <c r="AO17" i="9"/>
  <c r="AQ17" i="9"/>
  <c r="AS17" i="9"/>
  <c r="AW17" i="9"/>
  <c r="AY17" i="9"/>
  <c r="BA17" i="9"/>
  <c r="BC17" i="9"/>
  <c r="BE17" i="9"/>
  <c r="AT17" i="9"/>
  <c r="AN17" i="9"/>
  <c r="AP17" i="9"/>
  <c r="AR17" i="9"/>
  <c r="AK17" i="9"/>
  <c r="AD17" i="9"/>
  <c r="B17" i="9"/>
  <c r="AU16" i="9"/>
  <c r="AO16" i="9"/>
  <c r="AT16" i="9"/>
  <c r="AN16" i="9"/>
  <c r="AP16" i="9"/>
  <c r="AK16" i="9"/>
  <c r="AD16" i="9"/>
  <c r="B16" i="9"/>
  <c r="AU15" i="9"/>
  <c r="AO15" i="9"/>
  <c r="AQ15" i="9"/>
  <c r="AS15" i="9"/>
  <c r="AW15" i="9"/>
  <c r="AY15" i="9"/>
  <c r="BA15" i="9"/>
  <c r="BC15" i="9"/>
  <c r="BE15" i="9"/>
  <c r="AT15" i="9"/>
  <c r="AN15" i="9"/>
  <c r="AK15" i="9"/>
  <c r="AD15" i="9"/>
  <c r="B15" i="9"/>
  <c r="AU14" i="9"/>
  <c r="AO14" i="9"/>
  <c r="AQ14" i="9"/>
  <c r="AS14" i="9"/>
  <c r="AW14" i="9"/>
  <c r="AY14" i="9"/>
  <c r="BA14" i="9"/>
  <c r="BC14" i="9"/>
  <c r="BE14" i="9"/>
  <c r="AT14" i="9"/>
  <c r="AN14" i="9"/>
  <c r="AK14" i="9"/>
  <c r="AD14" i="9"/>
  <c r="B14" i="9"/>
  <c r="AU13" i="9"/>
  <c r="AO13" i="9"/>
  <c r="AQ13" i="9"/>
  <c r="AS13" i="9"/>
  <c r="AW13" i="9"/>
  <c r="AY13" i="9"/>
  <c r="BA13" i="9"/>
  <c r="BC13" i="9"/>
  <c r="BE13" i="9"/>
  <c r="AT13" i="9"/>
  <c r="AN13" i="9"/>
  <c r="AP13" i="9"/>
  <c r="AK13" i="9"/>
  <c r="AD13" i="9"/>
  <c r="B13" i="9"/>
  <c r="AU12" i="9"/>
  <c r="AO12" i="9"/>
  <c r="AQ12" i="9"/>
  <c r="AS12" i="9"/>
  <c r="AW12" i="9"/>
  <c r="AY12" i="9"/>
  <c r="BA12" i="9"/>
  <c r="BC12" i="9"/>
  <c r="BE12" i="9"/>
  <c r="AT12" i="9"/>
  <c r="AN12" i="9"/>
  <c r="AP12" i="9"/>
  <c r="AK12" i="9"/>
  <c r="C12" i="9"/>
  <c r="AD12" i="9"/>
  <c r="B12" i="9"/>
  <c r="AU11" i="9"/>
  <c r="AO11" i="9"/>
  <c r="AQ11" i="9"/>
  <c r="AS11" i="9"/>
  <c r="AW11" i="9"/>
  <c r="AY11" i="9"/>
  <c r="BA11" i="9"/>
  <c r="BC11" i="9"/>
  <c r="BE11" i="9"/>
  <c r="AT11" i="9"/>
  <c r="AN11" i="9"/>
  <c r="AK11" i="9"/>
  <c r="AD11" i="9"/>
  <c r="B11" i="9"/>
  <c r="C11" i="9"/>
  <c r="AU10" i="9"/>
  <c r="AO10" i="9"/>
  <c r="AQ10" i="9"/>
  <c r="AS10" i="9"/>
  <c r="AW10" i="9"/>
  <c r="AY10" i="9"/>
  <c r="BA10" i="9"/>
  <c r="BC10" i="9"/>
  <c r="BE10" i="9"/>
  <c r="AT10" i="9"/>
  <c r="AN10" i="9"/>
  <c r="AK10" i="9"/>
  <c r="AD10" i="9"/>
  <c r="B10" i="9"/>
  <c r="AU9" i="9"/>
  <c r="AT9" i="9"/>
  <c r="AN9" i="9"/>
  <c r="AO9" i="9"/>
  <c r="AQ9" i="9"/>
  <c r="AK9" i="9"/>
  <c r="AD9" i="9"/>
  <c r="B9" i="9"/>
  <c r="AU8" i="9"/>
  <c r="AO8" i="9"/>
  <c r="AQ8" i="9"/>
  <c r="AS8" i="9"/>
  <c r="AW8" i="9"/>
  <c r="AY8" i="9"/>
  <c r="BA8" i="9"/>
  <c r="BC8" i="9"/>
  <c r="BE8" i="9"/>
  <c r="AT8" i="9"/>
  <c r="AN8" i="9"/>
  <c r="AK8" i="9"/>
  <c r="AD8" i="9"/>
  <c r="B8" i="9"/>
  <c r="AU7" i="9"/>
  <c r="AO7" i="9"/>
  <c r="AQ7" i="9"/>
  <c r="AS7" i="9"/>
  <c r="AW7" i="9"/>
  <c r="AY7" i="9"/>
  <c r="BA7" i="9"/>
  <c r="BC7" i="9"/>
  <c r="BE7" i="9"/>
  <c r="AT7" i="9"/>
  <c r="AN7" i="9"/>
  <c r="AK7" i="9"/>
  <c r="AD7" i="9"/>
  <c r="B7" i="9"/>
  <c r="AU6" i="9"/>
  <c r="E6" i="9"/>
  <c r="AT6" i="9"/>
  <c r="AN6" i="9"/>
  <c r="AK6" i="9"/>
  <c r="AD6" i="9"/>
  <c r="B6" i="9"/>
  <c r="AU5" i="9"/>
  <c r="AO5" i="9"/>
  <c r="AQ5" i="9"/>
  <c r="AS5" i="9"/>
  <c r="AW5" i="9"/>
  <c r="AY5" i="9"/>
  <c r="BA5" i="9"/>
  <c r="BC5" i="9"/>
  <c r="BE5" i="9"/>
  <c r="AT5" i="9"/>
  <c r="AN5" i="9"/>
  <c r="AK5" i="9"/>
  <c r="AD5" i="9"/>
  <c r="B5" i="9"/>
  <c r="AU4" i="9"/>
  <c r="AT4" i="9"/>
  <c r="AN4" i="9"/>
  <c r="AP4" i="9"/>
  <c r="AO4" i="9"/>
  <c r="AQ4" i="9"/>
  <c r="AS4" i="9"/>
  <c r="AW4" i="9"/>
  <c r="AY4" i="9"/>
  <c r="BA4" i="9"/>
  <c r="BC4" i="9"/>
  <c r="BE4" i="9"/>
  <c r="AK4" i="9"/>
  <c r="AD4" i="9"/>
  <c r="B4" i="9"/>
  <c r="AU3" i="9"/>
  <c r="AO3" i="9"/>
  <c r="AQ3" i="9"/>
  <c r="AS3" i="9"/>
  <c r="AW3" i="9"/>
  <c r="AY3" i="9"/>
  <c r="BA3" i="9"/>
  <c r="BC3" i="9"/>
  <c r="BE3" i="9"/>
  <c r="AT3" i="9"/>
  <c r="AK3" i="9"/>
  <c r="AD3" i="9"/>
  <c r="B3" i="9"/>
  <c r="A1000" i="15"/>
  <c r="A999" i="15"/>
  <c r="A998" i="15"/>
  <c r="A997" i="15"/>
  <c r="A996" i="15"/>
  <c r="A995" i="15"/>
  <c r="A994" i="15"/>
  <c r="A993" i="15"/>
  <c r="A992" i="15"/>
  <c r="A991" i="15"/>
  <c r="A990" i="15"/>
  <c r="A989" i="15"/>
  <c r="A988" i="15"/>
  <c r="A987" i="15"/>
  <c r="A986" i="15"/>
  <c r="A985" i="15"/>
  <c r="A984" i="15"/>
  <c r="A983" i="15"/>
  <c r="A982" i="15"/>
  <c r="A981" i="15"/>
  <c r="A980" i="15"/>
  <c r="A979" i="15"/>
  <c r="A978" i="15"/>
  <c r="A977" i="15"/>
  <c r="A976" i="15"/>
  <c r="A975" i="15"/>
  <c r="A974" i="15"/>
  <c r="A973" i="15"/>
  <c r="A972" i="15"/>
  <c r="A971" i="15"/>
  <c r="A970" i="15"/>
  <c r="A969" i="15"/>
  <c r="A968" i="15"/>
  <c r="A967" i="15"/>
  <c r="A966" i="15"/>
  <c r="A965" i="15"/>
  <c r="A964" i="15"/>
  <c r="A963" i="15"/>
  <c r="A962" i="15"/>
  <c r="A961" i="15"/>
  <c r="A960" i="15"/>
  <c r="A959" i="15"/>
  <c r="A958" i="15"/>
  <c r="A957" i="15"/>
  <c r="A956" i="15"/>
  <c r="A955" i="15"/>
  <c r="A954" i="15"/>
  <c r="A953" i="15"/>
  <c r="A952" i="15"/>
  <c r="A951" i="15"/>
  <c r="A950" i="15"/>
  <c r="A949" i="15"/>
  <c r="A948" i="15"/>
  <c r="A947" i="15"/>
  <c r="A946" i="15"/>
  <c r="A945" i="15"/>
  <c r="A944" i="15"/>
  <c r="A943" i="15"/>
  <c r="A942" i="15"/>
  <c r="A941" i="15"/>
  <c r="A940" i="15"/>
  <c r="A939" i="15"/>
  <c r="A938" i="15"/>
  <c r="A937" i="15"/>
  <c r="A936" i="15"/>
  <c r="A935" i="15"/>
  <c r="A934" i="15"/>
  <c r="A933" i="15"/>
  <c r="A932" i="15"/>
  <c r="A931" i="15"/>
  <c r="A930" i="15"/>
  <c r="A929" i="15"/>
  <c r="A928" i="15"/>
  <c r="A927" i="15"/>
  <c r="A926" i="15"/>
  <c r="A925" i="15"/>
  <c r="A924" i="15"/>
  <c r="A923" i="15"/>
  <c r="A922" i="15"/>
  <c r="A921" i="15"/>
  <c r="A920" i="15"/>
  <c r="A919" i="15"/>
  <c r="A918" i="15"/>
  <c r="A917" i="15"/>
  <c r="A916" i="15"/>
  <c r="A915" i="15"/>
  <c r="A914" i="15"/>
  <c r="A913" i="15"/>
  <c r="A912" i="15"/>
  <c r="A911" i="15"/>
  <c r="A910" i="15"/>
  <c r="A909" i="15"/>
  <c r="A908" i="15"/>
  <c r="A907" i="15"/>
  <c r="A906" i="15"/>
  <c r="A905" i="15"/>
  <c r="A904" i="15"/>
  <c r="A903" i="15"/>
  <c r="A902" i="15"/>
  <c r="A901" i="15"/>
  <c r="A900" i="15"/>
  <c r="A899" i="15"/>
  <c r="A898" i="15"/>
  <c r="A897" i="15"/>
  <c r="A896" i="15"/>
  <c r="A895" i="15"/>
  <c r="A894" i="15"/>
  <c r="A893" i="15"/>
  <c r="A892" i="15"/>
  <c r="A891" i="15"/>
  <c r="A890" i="15"/>
  <c r="A889" i="15"/>
  <c r="A888" i="15"/>
  <c r="A887" i="15"/>
  <c r="A886" i="15"/>
  <c r="A885" i="15"/>
  <c r="A884" i="15"/>
  <c r="A883" i="15"/>
  <c r="A882" i="15"/>
  <c r="A881" i="15"/>
  <c r="A880" i="15"/>
  <c r="A879" i="15"/>
  <c r="A878" i="15"/>
  <c r="A877" i="15"/>
  <c r="A876" i="15"/>
  <c r="A875" i="15"/>
  <c r="A874" i="15"/>
  <c r="A873" i="15"/>
  <c r="A872" i="15"/>
  <c r="A871" i="15"/>
  <c r="A870" i="15"/>
  <c r="A869" i="15"/>
  <c r="A868" i="15"/>
  <c r="A867" i="15"/>
  <c r="A866" i="15"/>
  <c r="A865" i="15"/>
  <c r="A864" i="15"/>
  <c r="A863" i="15"/>
  <c r="A862" i="15"/>
  <c r="A861" i="15"/>
  <c r="A860" i="15"/>
  <c r="A859" i="15"/>
  <c r="A858" i="15"/>
  <c r="A857" i="15"/>
  <c r="A856" i="15"/>
  <c r="A855" i="15"/>
  <c r="A854" i="15"/>
  <c r="A853" i="15"/>
  <c r="A852" i="15"/>
  <c r="A851" i="15"/>
  <c r="A850" i="15"/>
  <c r="A849" i="15"/>
  <c r="A848" i="15"/>
  <c r="A847" i="15"/>
  <c r="A846" i="15"/>
  <c r="A845" i="15"/>
  <c r="A844" i="15"/>
  <c r="A843" i="15"/>
  <c r="A842" i="15"/>
  <c r="A841" i="15"/>
  <c r="A840" i="15"/>
  <c r="A839" i="15"/>
  <c r="A838" i="15"/>
  <c r="A837" i="15"/>
  <c r="A836" i="15"/>
  <c r="A835" i="15"/>
  <c r="A834" i="15"/>
  <c r="A833" i="15"/>
  <c r="A832" i="15"/>
  <c r="A831" i="15"/>
  <c r="A830" i="15"/>
  <c r="A829" i="15"/>
  <c r="A828" i="15"/>
  <c r="A827" i="15"/>
  <c r="A826" i="15"/>
  <c r="A825" i="15"/>
  <c r="A824" i="15"/>
  <c r="A823" i="15"/>
  <c r="A822" i="15"/>
  <c r="A821" i="15"/>
  <c r="A820" i="15"/>
  <c r="A819" i="15"/>
  <c r="A818" i="15"/>
  <c r="A817" i="15"/>
  <c r="A816" i="15"/>
  <c r="A815" i="15"/>
  <c r="A814" i="15"/>
  <c r="A813" i="15"/>
  <c r="A812" i="15"/>
  <c r="A811" i="15"/>
  <c r="A810" i="15"/>
  <c r="A809" i="15"/>
  <c r="A808" i="15"/>
  <c r="A807" i="15"/>
  <c r="A806" i="15"/>
  <c r="A805" i="15"/>
  <c r="A804" i="15"/>
  <c r="A803" i="15"/>
  <c r="A802" i="15"/>
  <c r="A801" i="15"/>
  <c r="A800" i="15"/>
  <c r="A799" i="15"/>
  <c r="A798" i="15"/>
  <c r="A797" i="15"/>
  <c r="A796" i="15"/>
  <c r="A795" i="15"/>
  <c r="A794" i="15"/>
  <c r="A793" i="15"/>
  <c r="A792" i="15"/>
  <c r="A791" i="15"/>
  <c r="A790" i="15"/>
  <c r="A789" i="15"/>
  <c r="A788" i="15"/>
  <c r="A787" i="15"/>
  <c r="A786" i="15"/>
  <c r="A785" i="15"/>
  <c r="A784" i="15"/>
  <c r="A783" i="15"/>
  <c r="A782" i="15"/>
  <c r="A781" i="15"/>
  <c r="A780" i="15"/>
  <c r="A779" i="15"/>
  <c r="A778" i="15"/>
  <c r="A777" i="15"/>
  <c r="A776" i="15"/>
  <c r="A775" i="15"/>
  <c r="A774" i="15"/>
  <c r="A773" i="15"/>
  <c r="A772" i="15"/>
  <c r="A771" i="15"/>
  <c r="A770" i="15"/>
  <c r="A769" i="15"/>
  <c r="A768" i="15"/>
  <c r="A767" i="15"/>
  <c r="A766" i="15"/>
  <c r="A765" i="15"/>
  <c r="A764" i="15"/>
  <c r="A763" i="15"/>
  <c r="A762" i="15"/>
  <c r="A761" i="15"/>
  <c r="A760" i="15"/>
  <c r="A759" i="15"/>
  <c r="A758" i="15"/>
  <c r="A757" i="15"/>
  <c r="A756" i="15"/>
  <c r="A755" i="15"/>
  <c r="A754" i="15"/>
  <c r="A753" i="15"/>
  <c r="A752" i="15"/>
  <c r="A751" i="15"/>
  <c r="A750" i="15"/>
  <c r="A749" i="15"/>
  <c r="A748" i="15"/>
  <c r="A747" i="15"/>
  <c r="A746" i="15"/>
  <c r="A745" i="15"/>
  <c r="A744" i="15"/>
  <c r="A743" i="15"/>
  <c r="A742" i="15"/>
  <c r="A741" i="15"/>
  <c r="A740" i="15"/>
  <c r="A739" i="15"/>
  <c r="A738" i="15"/>
  <c r="A737" i="15"/>
  <c r="A736" i="15"/>
  <c r="A735" i="15"/>
  <c r="A734" i="15"/>
  <c r="A733" i="15"/>
  <c r="A732" i="15"/>
  <c r="A731" i="15"/>
  <c r="A730" i="15"/>
  <c r="A729" i="15"/>
  <c r="A728" i="15"/>
  <c r="A727" i="15"/>
  <c r="A726" i="15"/>
  <c r="A725" i="15"/>
  <c r="A724" i="15"/>
  <c r="A723" i="15"/>
  <c r="A722" i="15"/>
  <c r="A721" i="15"/>
  <c r="A720" i="15"/>
  <c r="A719" i="15"/>
  <c r="A718" i="15"/>
  <c r="A717" i="15"/>
  <c r="A716" i="15"/>
  <c r="A715" i="15"/>
  <c r="A714" i="15"/>
  <c r="A713" i="15"/>
  <c r="A712" i="15"/>
  <c r="A711" i="15"/>
  <c r="A710" i="15"/>
  <c r="A709" i="15"/>
  <c r="A708" i="15"/>
  <c r="A707" i="15"/>
  <c r="A706" i="15"/>
  <c r="A705" i="15"/>
  <c r="A704" i="15"/>
  <c r="A703" i="15"/>
  <c r="A702" i="15"/>
  <c r="A701" i="15"/>
  <c r="A700" i="15"/>
  <c r="A699" i="15"/>
  <c r="A698" i="15"/>
  <c r="A697" i="15"/>
  <c r="A696" i="15"/>
  <c r="A695" i="15"/>
  <c r="A694" i="15"/>
  <c r="A693" i="15"/>
  <c r="A692" i="15"/>
  <c r="A691" i="15"/>
  <c r="A690" i="15"/>
  <c r="A689" i="15"/>
  <c r="A688" i="15"/>
  <c r="A687" i="15"/>
  <c r="A686" i="15"/>
  <c r="A685" i="15"/>
  <c r="A684" i="15"/>
  <c r="A683" i="15"/>
  <c r="A682" i="15"/>
  <c r="A681" i="15"/>
  <c r="A680" i="15"/>
  <c r="A679" i="15"/>
  <c r="A678" i="15"/>
  <c r="A677" i="15"/>
  <c r="A676" i="15"/>
  <c r="A675" i="15"/>
  <c r="A674" i="15"/>
  <c r="A673" i="15"/>
  <c r="A672" i="15"/>
  <c r="A671" i="15"/>
  <c r="A670" i="15"/>
  <c r="A669" i="15"/>
  <c r="A668" i="15"/>
  <c r="A667" i="15"/>
  <c r="A666" i="15"/>
  <c r="A665" i="15"/>
  <c r="A664" i="15"/>
  <c r="A663" i="15"/>
  <c r="A662" i="15"/>
  <c r="A661" i="15"/>
  <c r="A660" i="15"/>
  <c r="A659" i="15"/>
  <c r="A658" i="15"/>
  <c r="A657" i="15"/>
  <c r="A656" i="15"/>
  <c r="A655" i="15"/>
  <c r="A654" i="15"/>
  <c r="A653" i="15"/>
  <c r="A652" i="15"/>
  <c r="A651" i="15"/>
  <c r="A650" i="15"/>
  <c r="A649" i="15"/>
  <c r="A648" i="15"/>
  <c r="A647" i="15"/>
  <c r="A646" i="15"/>
  <c r="A645" i="15"/>
  <c r="A644" i="15"/>
  <c r="A643" i="15"/>
  <c r="A642" i="15"/>
  <c r="A641" i="15"/>
  <c r="A640" i="15"/>
  <c r="A639" i="15"/>
  <c r="A638" i="15"/>
  <c r="A637" i="15"/>
  <c r="A636" i="15"/>
  <c r="A635" i="15"/>
  <c r="A634" i="15"/>
  <c r="A633" i="15"/>
  <c r="A632" i="15"/>
  <c r="A631" i="15"/>
  <c r="A630" i="15"/>
  <c r="A629" i="15"/>
  <c r="A628" i="15"/>
  <c r="A627" i="15"/>
  <c r="A626" i="15"/>
  <c r="A625" i="15"/>
  <c r="A624" i="15"/>
  <c r="A623" i="15"/>
  <c r="A622" i="15"/>
  <c r="A621" i="15"/>
  <c r="A620" i="15"/>
  <c r="A619" i="15"/>
  <c r="A618" i="15"/>
  <c r="A617" i="15"/>
  <c r="A616" i="15"/>
  <c r="A615" i="15"/>
  <c r="A614" i="15"/>
  <c r="A613" i="15"/>
  <c r="A612" i="15"/>
  <c r="A611" i="15"/>
  <c r="A610" i="15"/>
  <c r="A609" i="15"/>
  <c r="A608" i="15"/>
  <c r="A607" i="15"/>
  <c r="A606" i="15"/>
  <c r="A605" i="15"/>
  <c r="A604" i="15"/>
  <c r="A603" i="15"/>
  <c r="A602" i="15"/>
  <c r="A601" i="15"/>
  <c r="A600" i="15"/>
  <c r="A599" i="15"/>
  <c r="A598" i="15"/>
  <c r="A597" i="15"/>
  <c r="A596" i="15"/>
  <c r="A595" i="15"/>
  <c r="A594" i="15"/>
  <c r="A593" i="15"/>
  <c r="A592" i="15"/>
  <c r="A591" i="15"/>
  <c r="A590" i="15"/>
  <c r="A589" i="15"/>
  <c r="A588" i="15"/>
  <c r="A587" i="15"/>
  <c r="A586" i="15"/>
  <c r="A585" i="15"/>
  <c r="A584" i="15"/>
  <c r="A583" i="15"/>
  <c r="A582" i="15"/>
  <c r="A581" i="15"/>
  <c r="A580" i="15"/>
  <c r="A579" i="15"/>
  <c r="A578" i="15"/>
  <c r="A577" i="15"/>
  <c r="A576" i="15"/>
  <c r="A575" i="15"/>
  <c r="A574" i="15"/>
  <c r="A573" i="15"/>
  <c r="A572" i="15"/>
  <c r="A571" i="15"/>
  <c r="A570" i="15"/>
  <c r="A569" i="15"/>
  <c r="A568" i="15"/>
  <c r="A567" i="15"/>
  <c r="A566" i="15"/>
  <c r="A565" i="15"/>
  <c r="A564" i="15"/>
  <c r="A563" i="15"/>
  <c r="A562" i="15"/>
  <c r="A561" i="15"/>
  <c r="A560" i="15"/>
  <c r="A559" i="15"/>
  <c r="A558" i="15"/>
  <c r="A557" i="15"/>
  <c r="A556" i="15"/>
  <c r="A555" i="15"/>
  <c r="A554" i="15"/>
  <c r="A553" i="15"/>
  <c r="A552" i="15"/>
  <c r="A551" i="15"/>
  <c r="A550" i="15"/>
  <c r="A549" i="15"/>
  <c r="A548" i="15"/>
  <c r="A547" i="15"/>
  <c r="A546" i="15"/>
  <c r="A545" i="15"/>
  <c r="A544" i="15"/>
  <c r="A543" i="15"/>
  <c r="A542" i="15"/>
  <c r="A541" i="15"/>
  <c r="A540" i="15"/>
  <c r="A539" i="15"/>
  <c r="A538" i="15"/>
  <c r="A537" i="15"/>
  <c r="A536" i="15"/>
  <c r="A535" i="15"/>
  <c r="A534" i="15"/>
  <c r="A533" i="15"/>
  <c r="A532" i="15"/>
  <c r="A531" i="15"/>
  <c r="A530" i="15"/>
  <c r="A529" i="15"/>
  <c r="A528" i="15"/>
  <c r="A527" i="15"/>
  <c r="A526" i="15"/>
  <c r="A525" i="15"/>
  <c r="A524" i="15"/>
  <c r="A523" i="15"/>
  <c r="A522" i="15"/>
  <c r="A521" i="15"/>
  <c r="A520" i="15"/>
  <c r="A519" i="15"/>
  <c r="A518" i="15"/>
  <c r="A517" i="15"/>
  <c r="A516" i="15"/>
  <c r="A515" i="15"/>
  <c r="A514" i="15"/>
  <c r="A513" i="15"/>
  <c r="A512" i="15"/>
  <c r="A511" i="15"/>
  <c r="A510" i="15"/>
  <c r="A509" i="15"/>
  <c r="A508" i="15"/>
  <c r="A507" i="15"/>
  <c r="A506" i="15"/>
  <c r="A505" i="15"/>
  <c r="A504" i="15"/>
  <c r="A503" i="15"/>
  <c r="A502" i="15"/>
  <c r="A501" i="15"/>
  <c r="A500" i="15"/>
  <c r="A499" i="15"/>
  <c r="A498" i="15"/>
  <c r="A497" i="15"/>
  <c r="A496" i="15"/>
  <c r="A495" i="15"/>
  <c r="A494" i="15"/>
  <c r="A493" i="15"/>
  <c r="A492" i="15"/>
  <c r="A491" i="15"/>
  <c r="A490" i="15"/>
  <c r="A489" i="15"/>
  <c r="A488" i="15"/>
  <c r="A487" i="15"/>
  <c r="A486"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2"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A407" i="15"/>
  <c r="A406" i="15"/>
  <c r="A405" i="15"/>
  <c r="A404" i="15"/>
  <c r="A403" i="15"/>
  <c r="A402"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61" i="15"/>
  <c r="A360" i="15"/>
  <c r="A359" i="15"/>
  <c r="A358" i="15"/>
  <c r="A357" i="15"/>
  <c r="A356" i="15"/>
  <c r="A355" i="15"/>
  <c r="A354" i="15"/>
  <c r="A353" i="15"/>
  <c r="A352" i="15"/>
  <c r="A351" i="15"/>
  <c r="A350" i="15"/>
  <c r="A349" i="15"/>
  <c r="A348" i="15"/>
  <c r="A347" i="15"/>
  <c r="A346" i="15"/>
  <c r="A345" i="15"/>
  <c r="A344" i="15"/>
  <c r="A343" i="15"/>
  <c r="A342" i="15"/>
  <c r="A341" i="15"/>
  <c r="A340" i="15"/>
  <c r="A339"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A295" i="15"/>
  <c r="A294" i="15"/>
  <c r="A293" i="15"/>
  <c r="A292" i="15"/>
  <c r="A291" i="15"/>
  <c r="A290" i="15"/>
  <c r="A289" i="15"/>
  <c r="A288" i="15"/>
  <c r="A287" i="15"/>
  <c r="A286" i="15"/>
  <c r="A285" i="15"/>
  <c r="A284" i="15"/>
  <c r="A283" i="15"/>
  <c r="A282" i="15"/>
  <c r="A281" i="15"/>
  <c r="A280" i="15"/>
  <c r="A279" i="15"/>
  <c r="A278" i="15"/>
  <c r="A277" i="15"/>
  <c r="A276" i="15"/>
  <c r="A275"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A240" i="15"/>
  <c r="A239" i="15"/>
  <c r="A238" i="15"/>
  <c r="A237" i="15"/>
  <c r="A236" i="15"/>
  <c r="A235" i="15"/>
  <c r="A234" i="15"/>
  <c r="A233" i="15"/>
  <c r="A232" i="15"/>
  <c r="A231" i="15"/>
  <c r="A230" i="15"/>
  <c r="A229" i="15"/>
  <c r="A228" i="15"/>
  <c r="A227" i="15"/>
  <c r="A226" i="15"/>
  <c r="A225" i="15"/>
  <c r="A224" i="15"/>
  <c r="A223" i="15"/>
  <c r="A222" i="15"/>
  <c r="A221" i="15"/>
  <c r="A220" i="15"/>
  <c r="A219"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A172" i="15"/>
  <c r="A171" i="15"/>
  <c r="A170" i="15"/>
  <c r="A169" i="15"/>
  <c r="A168"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2" i="15"/>
  <c r="A1" i="15"/>
  <c r="F13" i="8"/>
  <c r="F12" i="8"/>
  <c r="F11" i="8"/>
  <c r="F10" i="8"/>
  <c r="F9" i="8"/>
  <c r="F8" i="8"/>
  <c r="F7" i="8"/>
  <c r="F6" i="8"/>
  <c r="F5" i="8"/>
  <c r="F4" i="8"/>
  <c r="A19" i="5" a="1"/>
  <c r="C1" i="9"/>
  <c r="P1" i="9"/>
  <c r="I627" i="9"/>
  <c r="C229" i="9"/>
  <c r="C612" i="9"/>
  <c r="AN3" i="9"/>
  <c r="H3" i="9"/>
  <c r="E3" i="9"/>
  <c r="C54" i="9"/>
  <c r="E180" i="9"/>
  <c r="C237" i="9"/>
  <c r="C258" i="9"/>
  <c r="L290" i="9"/>
  <c r="C306" i="9"/>
  <c r="E330" i="9"/>
  <c r="C338" i="9"/>
  <c r="C407" i="9"/>
  <c r="I488" i="9"/>
  <c r="E514" i="9"/>
  <c r="E530" i="9"/>
  <c r="C563" i="9"/>
  <c r="E566" i="9"/>
  <c r="E608" i="9"/>
  <c r="C753" i="9"/>
  <c r="E796" i="9"/>
  <c r="E872" i="9"/>
  <c r="C3" i="9"/>
  <c r="L17" i="9"/>
  <c r="C49" i="9"/>
  <c r="C81" i="9"/>
  <c r="C188" i="9"/>
  <c r="C292" i="9"/>
  <c r="C298" i="9"/>
  <c r="C354" i="9"/>
  <c r="C365" i="9"/>
  <c r="C441" i="9"/>
  <c r="C724" i="9"/>
  <c r="C828" i="9"/>
  <c r="C857" i="9"/>
  <c r="C890" i="9"/>
  <c r="C899" i="9"/>
  <c r="C919" i="9"/>
  <c r="C984" i="9"/>
  <c r="C194" i="9"/>
  <c r="C595" i="9"/>
  <c r="C673" i="9"/>
  <c r="H821" i="9"/>
  <c r="C424" i="9"/>
  <c r="E498" i="9"/>
  <c r="C663" i="9"/>
  <c r="C689" i="9"/>
  <c r="C712" i="9"/>
  <c r="E721" i="9"/>
  <c r="C774" i="9"/>
  <c r="E776" i="9"/>
  <c r="E779" i="9"/>
  <c r="C781" i="9"/>
  <c r="C884" i="9"/>
  <c r="E891" i="9"/>
  <c r="H903" i="9"/>
  <c r="C905" i="9"/>
  <c r="E918" i="9"/>
  <c r="C42" i="9"/>
  <c r="C106" i="9"/>
  <c r="C227" i="9"/>
  <c r="C288" i="9"/>
  <c r="C326" i="9"/>
  <c r="C451" i="9"/>
  <c r="C452" i="9"/>
  <c r="C523" i="9"/>
  <c r="C535" i="9"/>
  <c r="C613" i="9"/>
  <c r="C642" i="9"/>
  <c r="C660" i="9"/>
  <c r="C737" i="9"/>
  <c r="C749" i="9"/>
  <c r="C751" i="9"/>
  <c r="H805" i="9"/>
  <c r="C836" i="9"/>
  <c r="C878" i="9"/>
  <c r="C1000" i="9"/>
  <c r="C352" i="9"/>
  <c r="C360" i="9"/>
  <c r="C914" i="9"/>
  <c r="C31" i="9"/>
  <c r="C10" i="9"/>
  <c r="C27" i="9"/>
  <c r="E28" i="9"/>
  <c r="C50" i="9"/>
  <c r="E69" i="9"/>
  <c r="G69" i="9"/>
  <c r="E123" i="9"/>
  <c r="E137" i="9"/>
  <c r="C180" i="9"/>
  <c r="C201" i="9"/>
  <c r="C209" i="9"/>
  <c r="E210" i="9"/>
  <c r="C215" i="9"/>
  <c r="C260" i="9"/>
  <c r="AN274" i="9"/>
  <c r="AP274" i="9"/>
  <c r="E292" i="9"/>
  <c r="C308" i="9"/>
  <c r="C310" i="9"/>
  <c r="C336" i="9"/>
  <c r="C344" i="9"/>
  <c r="C385" i="9"/>
  <c r="E412" i="9"/>
  <c r="K412" i="9"/>
  <c r="C440" i="9"/>
  <c r="E448" i="9"/>
  <c r="E451" i="9"/>
  <c r="H608" i="9"/>
  <c r="E611" i="9"/>
  <c r="E625" i="9"/>
  <c r="E833" i="9"/>
  <c r="H887" i="9"/>
  <c r="E927" i="9"/>
  <c r="C997" i="9"/>
  <c r="C999" i="9"/>
  <c r="E172" i="9"/>
  <c r="E204" i="9"/>
  <c r="AN223" i="9"/>
  <c r="E460" i="9"/>
  <c r="E529" i="9"/>
  <c r="K529" i="9"/>
  <c r="AN691" i="9"/>
  <c r="AP691" i="9"/>
  <c r="C823" i="9"/>
  <c r="C891" i="9"/>
  <c r="E997" i="9"/>
  <c r="AO28" i="9"/>
  <c r="AQ28" i="9"/>
  <c r="AS28" i="9"/>
  <c r="AW28" i="9"/>
  <c r="AY28" i="9"/>
  <c r="BA28" i="9"/>
  <c r="BC28" i="9"/>
  <c r="BE28" i="9"/>
  <c r="C122" i="9"/>
  <c r="AN144" i="9"/>
  <c r="E144" i="9"/>
  <c r="H5" i="9"/>
  <c r="E18" i="9"/>
  <c r="C23" i="9"/>
  <c r="C34" i="9"/>
  <c r="E38" i="9"/>
  <c r="C40" i="9"/>
  <c r="C43" i="9"/>
  <c r="E50" i="9"/>
  <c r="G50" i="9"/>
  <c r="E53" i="9"/>
  <c r="J53" i="9"/>
  <c r="C59" i="9"/>
  <c r="C79" i="9"/>
  <c r="E97" i="9"/>
  <c r="AN113" i="9"/>
  <c r="AN123" i="9"/>
  <c r="H123" i="9"/>
  <c r="H127" i="9"/>
  <c r="E196" i="9"/>
  <c r="AO208" i="9"/>
  <c r="AQ208" i="9"/>
  <c r="AS208" i="9"/>
  <c r="AW208" i="9"/>
  <c r="AY208" i="9"/>
  <c r="BA208" i="9"/>
  <c r="BC208" i="9"/>
  <c r="BE208" i="9"/>
  <c r="E208" i="9"/>
  <c r="C381" i="9"/>
  <c r="E4" i="9"/>
  <c r="G4" i="9"/>
  <c r="E73" i="9"/>
  <c r="E91" i="9"/>
  <c r="C102" i="9"/>
  <c r="E116" i="9"/>
  <c r="AN130" i="9"/>
  <c r="H131" i="9"/>
  <c r="C36" i="9"/>
  <c r="C78" i="9"/>
  <c r="C84" i="9"/>
  <c r="E106" i="9"/>
  <c r="E126" i="9"/>
  <c r="F126" i="9"/>
  <c r="E156" i="9"/>
  <c r="G156" i="9"/>
  <c r="E334" i="9"/>
  <c r="AN334" i="9"/>
  <c r="H334" i="9"/>
  <c r="E353" i="9"/>
  <c r="E120" i="9"/>
  <c r="AN263" i="9"/>
  <c r="E263" i="9"/>
  <c r="C15" i="9"/>
  <c r="E33" i="9"/>
  <c r="C35" i="9"/>
  <c r="C66" i="9"/>
  <c r="E164" i="9"/>
  <c r="AN302" i="9"/>
  <c r="AP302" i="9"/>
  <c r="E302" i="9"/>
  <c r="C5" i="9"/>
  <c r="C8" i="9"/>
  <c r="C24" i="9"/>
  <c r="C83" i="9"/>
  <c r="C89" i="9"/>
  <c r="C104" i="9"/>
  <c r="E135" i="9"/>
  <c r="E153" i="9"/>
  <c r="C357" i="9"/>
  <c r="C356" i="9"/>
  <c r="E384" i="9"/>
  <c r="F384" i="9"/>
  <c r="E393" i="9"/>
  <c r="C439" i="9"/>
  <c r="C478" i="9"/>
  <c r="C482" i="9"/>
  <c r="C488" i="9"/>
  <c r="E492" i="9"/>
  <c r="C494" i="9"/>
  <c r="C511" i="9"/>
  <c r="C515" i="9"/>
  <c r="C518" i="9"/>
  <c r="E557" i="9"/>
  <c r="E567" i="9"/>
  <c r="F567" i="9"/>
  <c r="E583" i="9"/>
  <c r="C585" i="9"/>
  <c r="C608" i="9"/>
  <c r="C652" i="9"/>
  <c r="C694" i="9"/>
  <c r="C710" i="9"/>
  <c r="AO711" i="9"/>
  <c r="AQ711" i="9"/>
  <c r="C713" i="9"/>
  <c r="C747" i="9"/>
  <c r="C835" i="9"/>
  <c r="C876" i="9"/>
  <c r="E885" i="9"/>
  <c r="F885" i="9"/>
  <c r="C895" i="9"/>
  <c r="C945" i="9"/>
  <c r="C991" i="9"/>
  <c r="C148" i="9"/>
  <c r="C181" i="9"/>
  <c r="C228" i="9"/>
  <c r="C230" i="9"/>
  <c r="C232" i="9"/>
  <c r="C261" i="9"/>
  <c r="C264" i="9"/>
  <c r="C266" i="9"/>
  <c r="E286" i="9"/>
  <c r="C287" i="9"/>
  <c r="E322" i="9"/>
  <c r="C335" i="9"/>
  <c r="C347" i="9"/>
  <c r="E372" i="9"/>
  <c r="E383" i="9"/>
  <c r="C402" i="9"/>
  <c r="C414" i="9"/>
  <c r="H454" i="9"/>
  <c r="AN460" i="9"/>
  <c r="E481" i="9"/>
  <c r="C485" i="9"/>
  <c r="C490" i="9"/>
  <c r="C510" i="9"/>
  <c r="C514" i="9"/>
  <c r="C551" i="9"/>
  <c r="C632" i="9"/>
  <c r="C648" i="9"/>
  <c r="C657" i="9"/>
  <c r="C658" i="9"/>
  <c r="E668" i="9"/>
  <c r="C669" i="9"/>
  <c r="H738" i="9"/>
  <c r="C740" i="9"/>
  <c r="C754" i="9"/>
  <c r="E767" i="9"/>
  <c r="C771" i="9"/>
  <c r="C794" i="9"/>
  <c r="C804" i="9"/>
  <c r="AP805" i="9"/>
  <c r="I805" i="9"/>
  <c r="E849" i="9"/>
  <c r="H855" i="9"/>
  <c r="E865" i="9"/>
  <c r="C969" i="9"/>
  <c r="E982" i="9"/>
  <c r="C164" i="9"/>
  <c r="C171" i="9"/>
  <c r="C200" i="9"/>
  <c r="E217" i="9"/>
  <c r="C225" i="9"/>
  <c r="C238" i="9"/>
  <c r="C240" i="9"/>
  <c r="C302" i="9"/>
  <c r="AN338" i="9"/>
  <c r="AP338" i="9"/>
  <c r="AR338" i="9"/>
  <c r="AN353" i="9"/>
  <c r="C392" i="9"/>
  <c r="C393" i="9"/>
  <c r="J412" i="9"/>
  <c r="C449" i="9"/>
  <c r="AO514" i="9"/>
  <c r="AQ514" i="9"/>
  <c r="AS514" i="9"/>
  <c r="AW514" i="9"/>
  <c r="AY514" i="9"/>
  <c r="BA514" i="9"/>
  <c r="BC514" i="9"/>
  <c r="BE514" i="9"/>
  <c r="C531" i="9"/>
  <c r="C534" i="9"/>
  <c r="E588" i="9"/>
  <c r="E138" i="9"/>
  <c r="E145" i="9"/>
  <c r="F145" i="9"/>
  <c r="E161" i="9"/>
  <c r="C167" i="9"/>
  <c r="C214" i="9"/>
  <c r="E227" i="9"/>
  <c r="C286" i="9"/>
  <c r="C322" i="9"/>
  <c r="C330" i="9"/>
  <c r="C370" i="9"/>
  <c r="C376" i="9"/>
  <c r="C383" i="9"/>
  <c r="C389" i="9"/>
  <c r="E411" i="9"/>
  <c r="H441" i="9"/>
  <c r="C470" i="9"/>
  <c r="C481" i="9"/>
  <c r="E506" i="9"/>
  <c r="F506" i="9"/>
  <c r="C537" i="9"/>
  <c r="C547" i="9"/>
  <c r="C581" i="9"/>
  <c r="C592" i="9"/>
  <c r="E600" i="9"/>
  <c r="E601" i="9"/>
  <c r="C622" i="9"/>
  <c r="E629" i="9"/>
  <c r="K629" i="9"/>
  <c r="C668" i="9"/>
  <c r="AN677" i="9"/>
  <c r="C758" i="9"/>
  <c r="E784" i="9"/>
  <c r="E826" i="9"/>
  <c r="G826" i="9"/>
  <c r="C847" i="9"/>
  <c r="C920" i="9"/>
  <c r="C932" i="9"/>
  <c r="C955" i="9"/>
  <c r="O969" i="9"/>
  <c r="E980" i="9"/>
  <c r="E270" i="9"/>
  <c r="F270" i="9"/>
  <c r="C621" i="9"/>
  <c r="C628" i="9"/>
  <c r="C656" i="9"/>
  <c r="C770" i="9"/>
  <c r="C810" i="9"/>
  <c r="C818" i="9"/>
  <c r="E857" i="9"/>
  <c r="C859" i="9"/>
  <c r="C866" i="9"/>
  <c r="C872" i="9"/>
  <c r="E887" i="9"/>
  <c r="C901" i="9"/>
  <c r="E939" i="9"/>
  <c r="F939" i="9"/>
  <c r="E941" i="9"/>
  <c r="G941" i="9"/>
  <c r="E935" i="9"/>
  <c r="E953" i="9"/>
  <c r="E958" i="9"/>
  <c r="J958" i="9"/>
  <c r="C156" i="9"/>
  <c r="E165" i="9"/>
  <c r="C168" i="9"/>
  <c r="C178" i="9"/>
  <c r="C192" i="9"/>
  <c r="C197" i="9"/>
  <c r="H205" i="9"/>
  <c r="E224" i="9"/>
  <c r="K224" i="9"/>
  <c r="E228" i="9"/>
  <c r="C236" i="9"/>
  <c r="E240" i="9"/>
  <c r="C242" i="9"/>
  <c r="C250" i="9"/>
  <c r="AN330" i="9"/>
  <c r="C332" i="9"/>
  <c r="C361" i="9"/>
  <c r="E409" i="9"/>
  <c r="C422" i="9"/>
  <c r="H431" i="9"/>
  <c r="E439" i="9"/>
  <c r="C463" i="9"/>
  <c r="C501" i="9"/>
  <c r="E619" i="9"/>
  <c r="E642" i="9"/>
  <c r="F642" i="9"/>
  <c r="E753" i="9"/>
  <c r="G753" i="9"/>
  <c r="E765" i="9"/>
  <c r="K765" i="9"/>
  <c r="E781" i="9"/>
  <c r="G781" i="9"/>
  <c r="E803" i="9"/>
  <c r="E839" i="9"/>
  <c r="E913" i="9"/>
  <c r="H995" i="9"/>
  <c r="H216" i="9"/>
  <c r="E287" i="9"/>
  <c r="C300" i="9"/>
  <c r="C342" i="9"/>
  <c r="C445" i="9"/>
  <c r="C448" i="9"/>
  <c r="C475" i="9"/>
  <c r="C519" i="9"/>
  <c r="C553" i="9"/>
  <c r="E575" i="9"/>
  <c r="C583" i="9"/>
  <c r="C589" i="9"/>
  <c r="H637" i="9"/>
  <c r="C650" i="9"/>
  <c r="C653" i="9"/>
  <c r="C688" i="9"/>
  <c r="E736" i="9"/>
  <c r="E741" i="9"/>
  <c r="AP773" i="9"/>
  <c r="C786" i="9"/>
  <c r="C805" i="9"/>
  <c r="C849" i="9"/>
  <c r="E858" i="9"/>
  <c r="C879" i="9"/>
  <c r="E880" i="9"/>
  <c r="C903" i="9"/>
  <c r="C928" i="9"/>
  <c r="C949" i="9"/>
  <c r="C953" i="9"/>
  <c r="C960" i="9"/>
  <c r="E970" i="9"/>
  <c r="C1001" i="9"/>
  <c r="G204" i="9"/>
  <c r="F204" i="9"/>
  <c r="N290" i="9"/>
  <c r="M290" i="9"/>
  <c r="K460" i="9"/>
  <c r="G460" i="9"/>
  <c r="F460" i="9"/>
  <c r="G161" i="9"/>
  <c r="F161" i="9"/>
  <c r="H164" i="9"/>
  <c r="AP164" i="9"/>
  <c r="AR164" i="9"/>
  <c r="G113" i="9"/>
  <c r="F113" i="9"/>
  <c r="G334" i="9"/>
  <c r="F334" i="9"/>
  <c r="G126" i="9"/>
  <c r="J37" i="9"/>
  <c r="G37" i="9"/>
  <c r="F37" i="9"/>
  <c r="G208" i="9"/>
  <c r="F208" i="9"/>
  <c r="G322" i="9"/>
  <c r="F322" i="9"/>
  <c r="G210" i="9"/>
  <c r="F210" i="9"/>
  <c r="E220" i="9"/>
  <c r="C241" i="9"/>
  <c r="E247" i="9"/>
  <c r="E259" i="9"/>
  <c r="G264" i="9"/>
  <c r="F264" i="9"/>
  <c r="K270" i="9"/>
  <c r="G270" i="9"/>
  <c r="H346" i="9"/>
  <c r="J363" i="9"/>
  <c r="G363" i="9"/>
  <c r="F363" i="9"/>
  <c r="G364" i="9"/>
  <c r="F364" i="9"/>
  <c r="H375" i="9"/>
  <c r="G409" i="9"/>
  <c r="F409" i="9"/>
  <c r="E437" i="9"/>
  <c r="G451" i="9"/>
  <c r="F451" i="9"/>
  <c r="H453" i="9"/>
  <c r="I467" i="9"/>
  <c r="G492" i="9"/>
  <c r="F492" i="9"/>
  <c r="E502" i="9"/>
  <c r="C505" i="9"/>
  <c r="G507" i="9"/>
  <c r="F507" i="9"/>
  <c r="C597" i="9"/>
  <c r="AN688" i="9"/>
  <c r="E688" i="9"/>
  <c r="AP718" i="9"/>
  <c r="H718" i="9"/>
  <c r="K753" i="9"/>
  <c r="F753" i="9"/>
  <c r="G939" i="9"/>
  <c r="G980" i="9"/>
  <c r="F980" i="9"/>
  <c r="J980" i="9"/>
  <c r="AO988" i="9"/>
  <c r="AQ988" i="9"/>
  <c r="AS988" i="9"/>
  <c r="AW988" i="9"/>
  <c r="AY988" i="9"/>
  <c r="BA988" i="9"/>
  <c r="BC988" i="9"/>
  <c r="BE988" i="9"/>
  <c r="E988" i="9"/>
  <c r="K6" i="9"/>
  <c r="G6" i="9"/>
  <c r="F6" i="9"/>
  <c r="G287" i="9"/>
  <c r="F287" i="9"/>
  <c r="G310" i="9"/>
  <c r="F310" i="9"/>
  <c r="G115" i="9"/>
  <c r="F115" i="9"/>
  <c r="F4" i="9"/>
  <c r="E5" i="9"/>
  <c r="E19" i="9"/>
  <c r="C22" i="9"/>
  <c r="E30" i="9"/>
  <c r="K30" i="9"/>
  <c r="C60" i="9"/>
  <c r="E62" i="9"/>
  <c r="E64" i="9"/>
  <c r="C76" i="9"/>
  <c r="E93" i="9"/>
  <c r="C94" i="9"/>
  <c r="G116" i="9"/>
  <c r="F116" i="9"/>
  <c r="C118" i="9"/>
  <c r="G130" i="9"/>
  <c r="F130" i="9"/>
  <c r="E134" i="9"/>
  <c r="G145" i="9"/>
  <c r="E149" i="9"/>
  <c r="E151" i="9"/>
  <c r="C169" i="9"/>
  <c r="C173" i="9"/>
  <c r="C182" i="9"/>
  <c r="C190" i="9"/>
  <c r="AN204" i="9"/>
  <c r="E212" i="9"/>
  <c r="E219" i="9"/>
  <c r="G228" i="9"/>
  <c r="F228" i="9"/>
  <c r="E258" i="9"/>
  <c r="C277" i="9"/>
  <c r="E280" i="9"/>
  <c r="C284" i="9"/>
  <c r="E290" i="9"/>
  <c r="C291" i="9"/>
  <c r="E294" i="9"/>
  <c r="C295" i="9"/>
  <c r="C301" i="9"/>
  <c r="E320" i="9"/>
  <c r="C348" i="9"/>
  <c r="G372" i="9"/>
  <c r="F372" i="9"/>
  <c r="C397" i="9"/>
  <c r="E400" i="9"/>
  <c r="G412" i="9"/>
  <c r="F412" i="9"/>
  <c r="C415" i="9"/>
  <c r="H430" i="9"/>
  <c r="E432" i="9"/>
  <c r="C438" i="9"/>
  <c r="E446" i="9"/>
  <c r="E447" i="9"/>
  <c r="E476" i="9"/>
  <c r="AN497" i="9"/>
  <c r="AP497" i="9"/>
  <c r="E497" i="9"/>
  <c r="AO552" i="9"/>
  <c r="AQ552" i="9"/>
  <c r="AS552" i="9"/>
  <c r="AW552" i="9"/>
  <c r="AY552" i="9"/>
  <c r="BA552" i="9"/>
  <c r="BC552" i="9"/>
  <c r="BE552" i="9"/>
  <c r="E552" i="9"/>
  <c r="K552" i="9"/>
  <c r="AO573" i="9"/>
  <c r="AQ573" i="9"/>
  <c r="AS573" i="9"/>
  <c r="AW573" i="9"/>
  <c r="AY573" i="9"/>
  <c r="BA573" i="9"/>
  <c r="BC573" i="9"/>
  <c r="BE573" i="9"/>
  <c r="E573" i="9"/>
  <c r="J588" i="9"/>
  <c r="G588" i="9"/>
  <c r="F588" i="9"/>
  <c r="E595" i="9"/>
  <c r="G608" i="9"/>
  <c r="F608" i="9"/>
  <c r="J608" i="9"/>
  <c r="G619" i="9"/>
  <c r="F619" i="9"/>
  <c r="G629" i="9"/>
  <c r="F629" i="9"/>
  <c r="AP655" i="9"/>
  <c r="AR655" i="9"/>
  <c r="G741" i="9"/>
  <c r="F741" i="9"/>
  <c r="AR742" i="9"/>
  <c r="I742" i="9"/>
  <c r="AN761" i="9"/>
  <c r="E761" i="9"/>
  <c r="F765" i="9"/>
  <c r="G765" i="9"/>
  <c r="K918" i="9"/>
  <c r="G918" i="9"/>
  <c r="F918" i="9"/>
  <c r="AN932" i="9"/>
  <c r="AP932" i="9"/>
  <c r="AR932" i="9"/>
  <c r="E932" i="9"/>
  <c r="K932" i="9"/>
  <c r="G935" i="9"/>
  <c r="F935" i="9"/>
  <c r="G18" i="9"/>
  <c r="F18" i="9"/>
  <c r="G91" i="9"/>
  <c r="F91" i="9"/>
  <c r="G165" i="9"/>
  <c r="F165" i="9"/>
  <c r="G263" i="9"/>
  <c r="F263" i="9"/>
  <c r="G393" i="9"/>
  <c r="F393" i="9"/>
  <c r="E531" i="9"/>
  <c r="AN531" i="9"/>
  <c r="AP531" i="9"/>
  <c r="E70" i="9"/>
  <c r="G144" i="9"/>
  <c r="F144" i="9"/>
  <c r="E154" i="9"/>
  <c r="G180" i="9"/>
  <c r="F180" i="9"/>
  <c r="C6" i="9"/>
  <c r="C7" i="9"/>
  <c r="E20" i="9"/>
  <c r="E22" i="9"/>
  <c r="E32" i="9"/>
  <c r="E44" i="9"/>
  <c r="C46" i="9"/>
  <c r="E57" i="9"/>
  <c r="E79" i="9"/>
  <c r="C80" i="9"/>
  <c r="E86" i="9"/>
  <c r="E94" i="9"/>
  <c r="C97" i="9"/>
  <c r="E100" i="9"/>
  <c r="E101" i="9"/>
  <c r="C110" i="9"/>
  <c r="E118" i="9"/>
  <c r="E124" i="9"/>
  <c r="C127" i="9"/>
  <c r="C150" i="9"/>
  <c r="C161" i="9"/>
  <c r="C172" i="9"/>
  <c r="E176" i="9"/>
  <c r="E216" i="9"/>
  <c r="C221" i="9"/>
  <c r="E231" i="9"/>
  <c r="AO240" i="9"/>
  <c r="AQ240" i="9"/>
  <c r="E244" i="9"/>
  <c r="E266" i="9"/>
  <c r="E284" i="9"/>
  <c r="E318" i="9"/>
  <c r="E324" i="9"/>
  <c r="C329" i="9"/>
  <c r="G330" i="9"/>
  <c r="F330" i="9"/>
  <c r="C341" i="9"/>
  <c r="E369" i="9"/>
  <c r="C375" i="9"/>
  <c r="E399" i="9"/>
  <c r="H427" i="9"/>
  <c r="C437" i="9"/>
  <c r="C442" i="9"/>
  <c r="C443" i="9"/>
  <c r="E450" i="9"/>
  <c r="C454" i="9"/>
  <c r="C456" i="9"/>
  <c r="AN457" i="9"/>
  <c r="C467" i="9"/>
  <c r="E472" i="9"/>
  <c r="J472" i="9"/>
  <c r="C479" i="9"/>
  <c r="AO480" i="9"/>
  <c r="AQ480" i="9"/>
  <c r="I480" i="9"/>
  <c r="C484" i="9"/>
  <c r="E505" i="9"/>
  <c r="AO505" i="9"/>
  <c r="E532" i="9"/>
  <c r="C557" i="9"/>
  <c r="J625" i="9"/>
  <c r="G625" i="9"/>
  <c r="F625" i="9"/>
  <c r="E643" i="9"/>
  <c r="E655" i="9"/>
  <c r="AO655" i="9"/>
  <c r="AQ655" i="9"/>
  <c r="AS655" i="9"/>
  <c r="AW655" i="9"/>
  <c r="AY655" i="9"/>
  <c r="BA655" i="9"/>
  <c r="BC655" i="9"/>
  <c r="BE655" i="9"/>
  <c r="AN678" i="9"/>
  <c r="AP678" i="9"/>
  <c r="E678" i="9"/>
  <c r="AO739" i="9"/>
  <c r="AQ739" i="9"/>
  <c r="AS739" i="9"/>
  <c r="AW739" i="9"/>
  <c r="AY739" i="9"/>
  <c r="BA739" i="9"/>
  <c r="BC739" i="9"/>
  <c r="BE739" i="9"/>
  <c r="E739" i="9"/>
  <c r="AN760" i="9"/>
  <c r="AP760" i="9"/>
  <c r="E760" i="9"/>
  <c r="G858" i="9"/>
  <c r="F858" i="9"/>
  <c r="J858" i="9"/>
  <c r="C871" i="9"/>
  <c r="E987" i="9"/>
  <c r="K987" i="9"/>
  <c r="AO987" i="9"/>
  <c r="AQ987" i="9"/>
  <c r="AS987" i="9"/>
  <c r="AW987" i="9"/>
  <c r="AY987" i="9"/>
  <c r="BA987" i="9"/>
  <c r="BC987" i="9"/>
  <c r="BE987" i="9"/>
  <c r="G138" i="9"/>
  <c r="F138" i="9"/>
  <c r="G215" i="9"/>
  <c r="F215" i="9"/>
  <c r="G384" i="9"/>
  <c r="C13" i="9"/>
  <c r="E21" i="9"/>
  <c r="E74" i="9"/>
  <c r="G153" i="9"/>
  <c r="F153" i="9"/>
  <c r="I161" i="9"/>
  <c r="J6" i="9"/>
  <c r="E12" i="9"/>
  <c r="E24" i="9"/>
  <c r="K24" i="9"/>
  <c r="E31" i="9"/>
  <c r="H34" i="9"/>
  <c r="C37" i="9"/>
  <c r="C41" i="9"/>
  <c r="G53" i="9"/>
  <c r="F53" i="9"/>
  <c r="C58" i="9"/>
  <c r="E63" i="9"/>
  <c r="G65" i="9"/>
  <c r="F65" i="9"/>
  <c r="K69" i="9"/>
  <c r="F69" i="9"/>
  <c r="C71" i="9"/>
  <c r="K73" i="9"/>
  <c r="G73" i="9"/>
  <c r="F73" i="9"/>
  <c r="C75" i="9"/>
  <c r="E82" i="9"/>
  <c r="E89" i="9"/>
  <c r="C92" i="9"/>
  <c r="E105" i="9"/>
  <c r="C107" i="9"/>
  <c r="H115" i="9"/>
  <c r="C121" i="9"/>
  <c r="E132" i="9"/>
  <c r="C139" i="9"/>
  <c r="C141" i="9"/>
  <c r="C146" i="9"/>
  <c r="E152" i="9"/>
  <c r="K152" i="9"/>
  <c r="C158" i="9"/>
  <c r="E159" i="9"/>
  <c r="C163" i="9"/>
  <c r="H182" i="9"/>
  <c r="C193" i="9"/>
  <c r="E200" i="9"/>
  <c r="E203" i="9"/>
  <c r="H209" i="9"/>
  <c r="C219" i="9"/>
  <c r="E230" i="9"/>
  <c r="C239" i="9"/>
  <c r="C257" i="9"/>
  <c r="E265" i="9"/>
  <c r="C274" i="9"/>
  <c r="C294" i="9"/>
  <c r="C297" i="9"/>
  <c r="C304" i="9"/>
  <c r="E306" i="9"/>
  <c r="C311" i="9"/>
  <c r="E314" i="9"/>
  <c r="C320" i="9"/>
  <c r="C346" i="9"/>
  <c r="C351" i="9"/>
  <c r="E355" i="9"/>
  <c r="E357" i="9"/>
  <c r="E360" i="9"/>
  <c r="C362" i="9"/>
  <c r="C366" i="9"/>
  <c r="C368" i="9"/>
  <c r="C372" i="9"/>
  <c r="C378" i="9"/>
  <c r="E391" i="9"/>
  <c r="J391" i="9"/>
  <c r="E407" i="9"/>
  <c r="C412" i="9"/>
  <c r="E420" i="9"/>
  <c r="C423" i="9"/>
  <c r="E430" i="9"/>
  <c r="E441" i="9"/>
  <c r="E453" i="9"/>
  <c r="E454" i="9"/>
  <c r="G457" i="9"/>
  <c r="F457" i="9"/>
  <c r="F461" i="9"/>
  <c r="G461" i="9"/>
  <c r="E477" i="9"/>
  <c r="E478" i="9"/>
  <c r="C493" i="9"/>
  <c r="E494" i="9"/>
  <c r="J494" i="9"/>
  <c r="E510" i="9"/>
  <c r="C517" i="9"/>
  <c r="E535" i="9"/>
  <c r="AN569" i="9"/>
  <c r="E569" i="9"/>
  <c r="E591" i="9"/>
  <c r="AN599" i="9"/>
  <c r="AP599" i="9"/>
  <c r="E599" i="9"/>
  <c r="C604" i="9"/>
  <c r="H723" i="9"/>
  <c r="AQ723" i="9"/>
  <c r="AS723" i="9"/>
  <c r="AW723" i="9"/>
  <c r="F773" i="9"/>
  <c r="G773" i="9"/>
  <c r="R17" i="9"/>
  <c r="N17" i="9"/>
  <c r="M17" i="9"/>
  <c r="G106" i="9"/>
  <c r="F106" i="9"/>
  <c r="G164" i="9"/>
  <c r="F164" i="9"/>
  <c r="G439" i="9"/>
  <c r="F439" i="9"/>
  <c r="J481" i="9"/>
  <c r="G481" i="9"/>
  <c r="F481" i="9"/>
  <c r="G97" i="9"/>
  <c r="F97" i="9"/>
  <c r="E23" i="9"/>
  <c r="J33" i="9"/>
  <c r="G33" i="9"/>
  <c r="F33" i="9"/>
  <c r="H41" i="9"/>
  <c r="E102" i="9"/>
  <c r="H107" i="9"/>
  <c r="E131" i="9"/>
  <c r="C137" i="9"/>
  <c r="F141" i="9"/>
  <c r="G141" i="9"/>
  <c r="E146" i="9"/>
  <c r="E147" i="9"/>
  <c r="J147" i="9"/>
  <c r="E155" i="9"/>
  <c r="E184" i="9"/>
  <c r="AN196" i="9"/>
  <c r="E207" i="9"/>
  <c r="C217" i="9"/>
  <c r="C224" i="9"/>
  <c r="C231" i="9"/>
  <c r="AN239" i="9"/>
  <c r="AP239" i="9"/>
  <c r="I239" i="9"/>
  <c r="G240" i="9"/>
  <c r="F240" i="9"/>
  <c r="G274" i="9"/>
  <c r="F274" i="9"/>
  <c r="C278" i="9"/>
  <c r="C324" i="9"/>
  <c r="G353" i="9"/>
  <c r="F353" i="9"/>
  <c r="C369" i="9"/>
  <c r="I370" i="9"/>
  <c r="E404" i="9"/>
  <c r="J404" i="9"/>
  <c r="E408" i="9"/>
  <c r="E456" i="9"/>
  <c r="C459" i="9"/>
  <c r="C460" i="9"/>
  <c r="E467" i="9"/>
  <c r="K467" i="9"/>
  <c r="C486" i="9"/>
  <c r="E489" i="9"/>
  <c r="F525" i="9"/>
  <c r="G525" i="9"/>
  <c r="G529" i="9"/>
  <c r="F529" i="9"/>
  <c r="G536" i="9"/>
  <c r="F536" i="9"/>
  <c r="K537" i="9"/>
  <c r="G537" i="9"/>
  <c r="F537" i="9"/>
  <c r="C540" i="9"/>
  <c r="I772" i="9"/>
  <c r="AR772" i="9"/>
  <c r="G865" i="9"/>
  <c r="F865" i="9"/>
  <c r="G885" i="9"/>
  <c r="K915" i="9"/>
  <c r="G915" i="9"/>
  <c r="F915" i="9"/>
  <c r="K980" i="9"/>
  <c r="G383" i="9"/>
  <c r="F383" i="9"/>
  <c r="G448" i="9"/>
  <c r="F448" i="9"/>
  <c r="G546" i="9"/>
  <c r="F546" i="9"/>
  <c r="AO37" i="9"/>
  <c r="AQ37" i="9"/>
  <c r="K38" i="9"/>
  <c r="G38" i="9"/>
  <c r="F38" i="9"/>
  <c r="H126" i="9"/>
  <c r="C145" i="9"/>
  <c r="K196" i="9"/>
  <c r="G196" i="9"/>
  <c r="F196" i="9"/>
  <c r="C204" i="9"/>
  <c r="H208" i="9"/>
  <c r="G217" i="9"/>
  <c r="F217" i="9"/>
  <c r="G223" i="9"/>
  <c r="F223" i="9"/>
  <c r="G236" i="9"/>
  <c r="F236" i="9"/>
  <c r="G239" i="9"/>
  <c r="F239" i="9"/>
  <c r="G278" i="9"/>
  <c r="F278" i="9"/>
  <c r="G292" i="9"/>
  <c r="F292" i="9"/>
  <c r="G302" i="9"/>
  <c r="F302" i="9"/>
  <c r="G338" i="9"/>
  <c r="F338" i="9"/>
  <c r="C364" i="9"/>
  <c r="G411" i="9"/>
  <c r="F411" i="9"/>
  <c r="C416" i="9"/>
  <c r="C435" i="9"/>
  <c r="C472" i="9"/>
  <c r="G480" i="9"/>
  <c r="F480" i="9"/>
  <c r="J567" i="9"/>
  <c r="G567" i="9"/>
  <c r="E635" i="9"/>
  <c r="AO635" i="9"/>
  <c r="AQ635" i="9"/>
  <c r="AS635" i="9"/>
  <c r="AW635" i="9"/>
  <c r="AY635" i="9"/>
  <c r="BA635" i="9"/>
  <c r="BC635" i="9"/>
  <c r="BE635" i="9"/>
  <c r="G642" i="9"/>
  <c r="AN664" i="9"/>
  <c r="AP664" i="9"/>
  <c r="E664" i="9"/>
  <c r="K664" i="9"/>
  <c r="G677" i="9"/>
  <c r="F677" i="9"/>
  <c r="C870" i="9"/>
  <c r="G286" i="9"/>
  <c r="F286" i="9"/>
  <c r="G498" i="9"/>
  <c r="F498" i="9"/>
  <c r="G503" i="9"/>
  <c r="F503" i="9"/>
  <c r="G514" i="9"/>
  <c r="F514" i="9"/>
  <c r="G551" i="9"/>
  <c r="F551" i="9"/>
  <c r="G583" i="9"/>
  <c r="F583" i="9"/>
  <c r="K691" i="9"/>
  <c r="G691" i="9"/>
  <c r="F691" i="9"/>
  <c r="G721" i="9"/>
  <c r="F721" i="9"/>
  <c r="C14" i="9"/>
  <c r="G28" i="9"/>
  <c r="F28" i="9"/>
  <c r="G120" i="9"/>
  <c r="F120" i="9"/>
  <c r="C134" i="9"/>
  <c r="G135" i="9"/>
  <c r="F135" i="9"/>
  <c r="G137" i="9"/>
  <c r="F137" i="9"/>
  <c r="AO154" i="9"/>
  <c r="AQ154" i="9"/>
  <c r="AS154" i="9"/>
  <c r="AW154" i="9"/>
  <c r="AY154" i="9"/>
  <c r="BA154" i="9"/>
  <c r="BC154" i="9"/>
  <c r="BE154" i="9"/>
  <c r="C166" i="9"/>
  <c r="G172" i="9"/>
  <c r="F172" i="9"/>
  <c r="C4" i="9"/>
  <c r="H13" i="9"/>
  <c r="C17" i="9"/>
  <c r="E25" i="9"/>
  <c r="C29" i="9"/>
  <c r="AO30" i="9"/>
  <c r="AQ30" i="9"/>
  <c r="AS30" i="9"/>
  <c r="AW30" i="9"/>
  <c r="AY30" i="9"/>
  <c r="BA30" i="9"/>
  <c r="BC30" i="9"/>
  <c r="BE30" i="9"/>
  <c r="C39" i="9"/>
  <c r="C44" i="9"/>
  <c r="C48" i="9"/>
  <c r="E49" i="9"/>
  <c r="C51" i="9"/>
  <c r="C61" i="9"/>
  <c r="AN91" i="9"/>
  <c r="E92" i="9"/>
  <c r="G123" i="9"/>
  <c r="F123" i="9"/>
  <c r="H150" i="9"/>
  <c r="E157" i="9"/>
  <c r="K157" i="9"/>
  <c r="H161" i="9"/>
  <c r="E166" i="9"/>
  <c r="C205" i="9"/>
  <c r="E206" i="9"/>
  <c r="J206" i="9"/>
  <c r="E211" i="9"/>
  <c r="G227" i="9"/>
  <c r="F227" i="9"/>
  <c r="C233" i="9"/>
  <c r="C234" i="9"/>
  <c r="E241" i="9"/>
  <c r="C245" i="9"/>
  <c r="C252" i="9"/>
  <c r="H261" i="9"/>
  <c r="E288" i="9"/>
  <c r="C296" i="9"/>
  <c r="C299" i="9"/>
  <c r="C303" i="9"/>
  <c r="C315" i="9"/>
  <c r="C327" i="9"/>
  <c r="K330" i="9"/>
  <c r="AN372" i="9"/>
  <c r="AP372" i="9"/>
  <c r="AR372" i="9"/>
  <c r="L372" i="9"/>
  <c r="E374" i="9"/>
  <c r="E375" i="9"/>
  <c r="C377" i="9"/>
  <c r="C384" i="9"/>
  <c r="C387" i="9"/>
  <c r="C395" i="9"/>
  <c r="C406" i="9"/>
  <c r="C413" i="9"/>
  <c r="C417" i="9"/>
  <c r="E421" i="9"/>
  <c r="E427" i="9"/>
  <c r="E431" i="9"/>
  <c r="H445" i="9"/>
  <c r="E458" i="9"/>
  <c r="C489" i="9"/>
  <c r="AO502" i="9"/>
  <c r="AQ502" i="9"/>
  <c r="AS502" i="9"/>
  <c r="AW502" i="9"/>
  <c r="AY502" i="9"/>
  <c r="BA502" i="9"/>
  <c r="BC502" i="9"/>
  <c r="BE502" i="9"/>
  <c r="G530" i="9"/>
  <c r="F530" i="9"/>
  <c r="AN583" i="9"/>
  <c r="G600" i="9"/>
  <c r="F600" i="9"/>
  <c r="G601" i="9"/>
  <c r="F601" i="9"/>
  <c r="C646" i="9"/>
  <c r="G784" i="9"/>
  <c r="F784" i="9"/>
  <c r="G785" i="9"/>
  <c r="F785" i="9"/>
  <c r="E811" i="9"/>
  <c r="AN811" i="9"/>
  <c r="H811" i="9"/>
  <c r="AN831" i="9"/>
  <c r="H831" i="9"/>
  <c r="E831" i="9"/>
  <c r="E523" i="9"/>
  <c r="C536" i="9"/>
  <c r="C548" i="9"/>
  <c r="E563" i="9"/>
  <c r="C586" i="9"/>
  <c r="C596" i="9"/>
  <c r="C603" i="9"/>
  <c r="E615" i="9"/>
  <c r="E623" i="9"/>
  <c r="E633" i="9"/>
  <c r="C649" i="9"/>
  <c r="C662" i="9"/>
  <c r="C690" i="9"/>
  <c r="AN695" i="9"/>
  <c r="E698" i="9"/>
  <c r="C704" i="9"/>
  <c r="C709" i="9"/>
  <c r="H715" i="9"/>
  <c r="H727" i="9"/>
  <c r="C731" i="9"/>
  <c r="C741" i="9"/>
  <c r="E746" i="9"/>
  <c r="C756" i="9"/>
  <c r="C761" i="9"/>
  <c r="H765" i="9"/>
  <c r="C796" i="9"/>
  <c r="E805" i="9"/>
  <c r="C809" i="9"/>
  <c r="C813" i="9"/>
  <c r="E840" i="9"/>
  <c r="E846" i="9"/>
  <c r="AN849" i="9"/>
  <c r="C862" i="9"/>
  <c r="E877" i="9"/>
  <c r="E895" i="9"/>
  <c r="E904" i="9"/>
  <c r="E905" i="9"/>
  <c r="C907" i="9"/>
  <c r="C911" i="9"/>
  <c r="E912" i="9"/>
  <c r="C913" i="9"/>
  <c r="AN915" i="9"/>
  <c r="AN920" i="9"/>
  <c r="C939" i="9"/>
  <c r="C941" i="9"/>
  <c r="C943" i="9"/>
  <c r="C976" i="9"/>
  <c r="E986" i="9"/>
  <c r="F941" i="9"/>
  <c r="C565" i="9"/>
  <c r="K566" i="9"/>
  <c r="G566" i="9"/>
  <c r="F566" i="9"/>
  <c r="K575" i="9"/>
  <c r="G575" i="9"/>
  <c r="F575" i="9"/>
  <c r="G587" i="9"/>
  <c r="F587" i="9"/>
  <c r="C600" i="9"/>
  <c r="K611" i="9"/>
  <c r="G611" i="9"/>
  <c r="F611" i="9"/>
  <c r="C620" i="9"/>
  <c r="C629" i="9"/>
  <c r="H656" i="9"/>
  <c r="G695" i="9"/>
  <c r="F695" i="9"/>
  <c r="G711" i="9"/>
  <c r="F711" i="9"/>
  <c r="C736" i="9"/>
  <c r="C791" i="9"/>
  <c r="C795" i="9"/>
  <c r="H819" i="9"/>
  <c r="C833" i="9"/>
  <c r="C863" i="9"/>
  <c r="H866" i="9"/>
  <c r="G872" i="9"/>
  <c r="F872" i="9"/>
  <c r="K891" i="9"/>
  <c r="G891" i="9"/>
  <c r="F891" i="9"/>
  <c r="C897" i="9"/>
  <c r="K914" i="9"/>
  <c r="G914" i="9"/>
  <c r="F914" i="9"/>
  <c r="C918" i="9"/>
  <c r="AN935" i="9"/>
  <c r="AP935" i="9"/>
  <c r="AR935" i="9"/>
  <c r="G958" i="9"/>
  <c r="F958" i="9"/>
  <c r="C980" i="9"/>
  <c r="J982" i="9"/>
  <c r="F982" i="9"/>
  <c r="G982" i="9"/>
  <c r="C487" i="9"/>
  <c r="C495" i="9"/>
  <c r="C498" i="9"/>
  <c r="E518" i="9"/>
  <c r="C538" i="9"/>
  <c r="C546" i="9"/>
  <c r="E553" i="9"/>
  <c r="G557" i="9"/>
  <c r="F557" i="9"/>
  <c r="C562" i="9"/>
  <c r="E579" i="9"/>
  <c r="H590" i="9"/>
  <c r="C593" i="9"/>
  <c r="C594" i="9"/>
  <c r="H596" i="9"/>
  <c r="E597" i="9"/>
  <c r="C606" i="9"/>
  <c r="C610" i="9"/>
  <c r="C644" i="9"/>
  <c r="C671" i="9"/>
  <c r="C698" i="9"/>
  <c r="C721" i="9"/>
  <c r="C722" i="9"/>
  <c r="C729" i="9"/>
  <c r="G736" i="9"/>
  <c r="F736" i="9"/>
  <c r="E742" i="9"/>
  <c r="E748" i="9"/>
  <c r="E763" i="9"/>
  <c r="C767" i="9"/>
  <c r="C787" i="9"/>
  <c r="H791" i="9"/>
  <c r="E822" i="9"/>
  <c r="AN833" i="9"/>
  <c r="AP833" i="9"/>
  <c r="E838" i="9"/>
  <c r="G849" i="9"/>
  <c r="F849" i="9"/>
  <c r="C851" i="9"/>
  <c r="E861" i="9"/>
  <c r="C896" i="9"/>
  <c r="E906" i="9"/>
  <c r="C912" i="9"/>
  <c r="AO913" i="9"/>
  <c r="AQ913" i="9"/>
  <c r="AS913" i="9"/>
  <c r="AW913" i="9"/>
  <c r="AY913" i="9"/>
  <c r="BA913" i="9"/>
  <c r="BC913" i="9"/>
  <c r="BE913" i="9"/>
  <c r="K920" i="9"/>
  <c r="G920" i="9"/>
  <c r="F920" i="9"/>
  <c r="G927" i="9"/>
  <c r="F927" i="9"/>
  <c r="E933" i="9"/>
  <c r="E949" i="9"/>
  <c r="E952" i="9"/>
  <c r="C968" i="9"/>
  <c r="E969" i="9"/>
  <c r="G970" i="9"/>
  <c r="F970" i="9"/>
  <c r="C972" i="9"/>
  <c r="C483" i="9"/>
  <c r="E499" i="9"/>
  <c r="K499" i="9"/>
  <c r="C512" i="9"/>
  <c r="C527" i="9"/>
  <c r="C542" i="9"/>
  <c r="C554" i="9"/>
  <c r="C561" i="9"/>
  <c r="C598" i="9"/>
  <c r="C602" i="9"/>
  <c r="C633" i="9"/>
  <c r="C665" i="9"/>
  <c r="E690" i="9"/>
  <c r="C693" i="9"/>
  <c r="C707" i="9"/>
  <c r="K711" i="9"/>
  <c r="E716" i="9"/>
  <c r="C718" i="9"/>
  <c r="C725" i="9"/>
  <c r="C728" i="9"/>
  <c r="E740" i="9"/>
  <c r="G776" i="9"/>
  <c r="F776" i="9"/>
  <c r="C778" i="9"/>
  <c r="J779" i="9"/>
  <c r="G779" i="9"/>
  <c r="F779" i="9"/>
  <c r="G803" i="9"/>
  <c r="F803" i="9"/>
  <c r="C815" i="9"/>
  <c r="C832" i="9"/>
  <c r="H842" i="9"/>
  <c r="AN857" i="9"/>
  <c r="AP857" i="9"/>
  <c r="AN880" i="9"/>
  <c r="E909" i="9"/>
  <c r="C910" i="9"/>
  <c r="C922" i="9"/>
  <c r="E951" i="9"/>
  <c r="H959" i="9"/>
  <c r="C988" i="9"/>
  <c r="E1000" i="9"/>
  <c r="K668" i="9"/>
  <c r="G668" i="9"/>
  <c r="F668" i="9"/>
  <c r="C676" i="9"/>
  <c r="C684" i="9"/>
  <c r="C696" i="9"/>
  <c r="C701" i="9"/>
  <c r="C743" i="9"/>
  <c r="AO767" i="9"/>
  <c r="AQ767" i="9"/>
  <c r="AS767" i="9"/>
  <c r="AW767" i="9"/>
  <c r="AY767" i="9"/>
  <c r="BA767" i="9"/>
  <c r="BC767" i="9"/>
  <c r="BE767" i="9"/>
  <c r="C777" i="9"/>
  <c r="H787" i="9"/>
  <c r="G833" i="9"/>
  <c r="F833" i="9"/>
  <c r="C842" i="9"/>
  <c r="G857" i="9"/>
  <c r="F857" i="9"/>
  <c r="H877" i="9"/>
  <c r="G880" i="9"/>
  <c r="F880" i="9"/>
  <c r="G887" i="9"/>
  <c r="F887" i="9"/>
  <c r="G913" i="9"/>
  <c r="F913" i="9"/>
  <c r="G953" i="9"/>
  <c r="F953" i="9"/>
  <c r="C959" i="9"/>
  <c r="C992" i="9"/>
  <c r="F826" i="9"/>
  <c r="E521" i="9"/>
  <c r="C526" i="9"/>
  <c r="E539" i="9"/>
  <c r="E564" i="9"/>
  <c r="E565" i="9"/>
  <c r="C636" i="9"/>
  <c r="C664" i="9"/>
  <c r="J668" i="9"/>
  <c r="C677" i="9"/>
  <c r="C680" i="9"/>
  <c r="C700" i="9"/>
  <c r="E705" i="9"/>
  <c r="C706" i="9"/>
  <c r="C720" i="9"/>
  <c r="C723" i="9"/>
  <c r="E744" i="9"/>
  <c r="E750" i="9"/>
  <c r="E764" i="9"/>
  <c r="C773" i="9"/>
  <c r="E790" i="9"/>
  <c r="C797" i="9"/>
  <c r="C820" i="9"/>
  <c r="C827" i="9"/>
  <c r="C830" i="9"/>
  <c r="C838" i="9"/>
  <c r="E842" i="9"/>
  <c r="E844" i="9"/>
  <c r="C854" i="9"/>
  <c r="C875" i="9"/>
  <c r="C942" i="9"/>
  <c r="E955" i="9"/>
  <c r="E959" i="9"/>
  <c r="C961" i="9"/>
  <c r="E992" i="9"/>
  <c r="G767" i="9"/>
  <c r="F767" i="9"/>
  <c r="G796" i="9"/>
  <c r="F796" i="9"/>
  <c r="E806" i="9"/>
  <c r="G839" i="9"/>
  <c r="F839" i="9"/>
  <c r="E847" i="9"/>
  <c r="E851" i="9"/>
  <c r="C868" i="9"/>
  <c r="AP877" i="9"/>
  <c r="AR877" i="9"/>
  <c r="AV877" i="9"/>
  <c r="C882" i="9"/>
  <c r="E903" i="9"/>
  <c r="C916" i="9"/>
  <c r="C931" i="9"/>
  <c r="C937" i="9"/>
  <c r="H983" i="9"/>
  <c r="E995" i="9"/>
  <c r="G997" i="9"/>
  <c r="F997" i="9"/>
  <c r="H14" i="9"/>
  <c r="AP14" i="9"/>
  <c r="AR14" i="9"/>
  <c r="H10" i="9"/>
  <c r="AP10" i="9"/>
  <c r="AR10" i="9"/>
  <c r="AP6" i="9"/>
  <c r="AR6" i="9"/>
  <c r="AV6" i="9"/>
  <c r="H42" i="9"/>
  <c r="AP42" i="9"/>
  <c r="AR42" i="9"/>
  <c r="H105" i="9"/>
  <c r="AP105" i="9"/>
  <c r="AR105" i="9"/>
  <c r="K106" i="9"/>
  <c r="AR110" i="9"/>
  <c r="AV110" i="9"/>
  <c r="I110" i="9"/>
  <c r="H132" i="9"/>
  <c r="AP132" i="9"/>
  <c r="H157" i="9"/>
  <c r="AP18" i="9"/>
  <c r="AR18" i="9"/>
  <c r="AP53" i="9"/>
  <c r="AR53" i="9"/>
  <c r="K86" i="9"/>
  <c r="AP49" i="9"/>
  <c r="AR49" i="9"/>
  <c r="H9" i="9"/>
  <c r="AP9" i="9"/>
  <c r="AR9" i="9"/>
  <c r="AV9" i="9"/>
  <c r="K94" i="9"/>
  <c r="AP134" i="9"/>
  <c r="AR134" i="9"/>
  <c r="H93" i="9"/>
  <c r="AP93" i="9"/>
  <c r="I93" i="9"/>
  <c r="H137" i="9"/>
  <c r="AP137" i="9"/>
  <c r="AR145" i="9"/>
  <c r="I145" i="9"/>
  <c r="AP45" i="9"/>
  <c r="H45" i="9"/>
  <c r="J145" i="9"/>
  <c r="K145" i="9"/>
  <c r="K149" i="9"/>
  <c r="J153" i="9"/>
  <c r="K153" i="9"/>
  <c r="E7" i="9"/>
  <c r="E11" i="9"/>
  <c r="AO18" i="9"/>
  <c r="AQ18" i="9"/>
  <c r="AS18" i="9"/>
  <c r="AW18" i="9"/>
  <c r="AY18" i="9"/>
  <c r="BA18" i="9"/>
  <c r="BC18" i="9"/>
  <c r="BE18" i="9"/>
  <c r="C19" i="9"/>
  <c r="C20" i="9"/>
  <c r="H26" i="9"/>
  <c r="H28" i="9"/>
  <c r="E29" i="9"/>
  <c r="AO33" i="9"/>
  <c r="AQ33" i="9"/>
  <c r="AO38" i="9"/>
  <c r="AQ38" i="9"/>
  <c r="AS38" i="9"/>
  <c r="AW38" i="9"/>
  <c r="AY38" i="9"/>
  <c r="BA38" i="9"/>
  <c r="BC38" i="9"/>
  <c r="BE38" i="9"/>
  <c r="E40" i="9"/>
  <c r="K40" i="9"/>
  <c r="AP41" i="9"/>
  <c r="AR41" i="9"/>
  <c r="AV41" i="9"/>
  <c r="C45" i="9"/>
  <c r="AO49" i="9"/>
  <c r="AQ49" i="9"/>
  <c r="AS49" i="9"/>
  <c r="AW49" i="9"/>
  <c r="AY49" i="9"/>
  <c r="BA49" i="9"/>
  <c r="BC49" i="9"/>
  <c r="BE49" i="9"/>
  <c r="C52" i="9"/>
  <c r="C53" i="9"/>
  <c r="E54" i="9"/>
  <c r="E58" i="9"/>
  <c r="E61" i="9"/>
  <c r="AO65" i="9"/>
  <c r="AQ65" i="9"/>
  <c r="AS65" i="9"/>
  <c r="AW65" i="9"/>
  <c r="AY65" i="9"/>
  <c r="BA65" i="9"/>
  <c r="BC65" i="9"/>
  <c r="BE65" i="9"/>
  <c r="E71" i="9"/>
  <c r="E72" i="9"/>
  <c r="E75" i="9"/>
  <c r="E76" i="9"/>
  <c r="H78" i="9"/>
  <c r="E81" i="9"/>
  <c r="AN94" i="9"/>
  <c r="H94" i="9"/>
  <c r="E104" i="9"/>
  <c r="H120" i="9"/>
  <c r="H122" i="9"/>
  <c r="E127" i="9"/>
  <c r="C129" i="9"/>
  <c r="C136" i="9"/>
  <c r="E143" i="9"/>
  <c r="C149" i="9"/>
  <c r="AO149" i="9"/>
  <c r="AQ149" i="9"/>
  <c r="AS149" i="9"/>
  <c r="AW149" i="9"/>
  <c r="AY149" i="9"/>
  <c r="BA149" i="9"/>
  <c r="BC149" i="9"/>
  <c r="BE149" i="9"/>
  <c r="C154" i="9"/>
  <c r="H156" i="9"/>
  <c r="E162" i="9"/>
  <c r="AR165" i="9"/>
  <c r="I165" i="9"/>
  <c r="AQ188" i="9"/>
  <c r="AS188" i="9"/>
  <c r="AW188" i="9"/>
  <c r="AY188" i="9"/>
  <c r="BA188" i="9"/>
  <c r="BC188" i="9"/>
  <c r="BE188" i="9"/>
  <c r="H188" i="9"/>
  <c r="H196" i="9"/>
  <c r="AP196" i="9"/>
  <c r="E201" i="9"/>
  <c r="AN201" i="9"/>
  <c r="E8" i="9"/>
  <c r="H17" i="9"/>
  <c r="AO20" i="9"/>
  <c r="AQ20" i="9"/>
  <c r="AS20" i="9"/>
  <c r="AW20" i="9"/>
  <c r="AY20" i="9"/>
  <c r="BA20" i="9"/>
  <c r="BC20" i="9"/>
  <c r="BE20" i="9"/>
  <c r="AO21" i="9"/>
  <c r="AQ21" i="9"/>
  <c r="AS21" i="9"/>
  <c r="AW21" i="9"/>
  <c r="AY21" i="9"/>
  <c r="BA21" i="9"/>
  <c r="BC21" i="9"/>
  <c r="BE21" i="9"/>
  <c r="AO25" i="9"/>
  <c r="AQ25" i="9"/>
  <c r="AS25" i="9"/>
  <c r="AW25" i="9"/>
  <c r="AY25" i="9"/>
  <c r="BA25" i="9"/>
  <c r="BC25" i="9"/>
  <c r="BE25" i="9"/>
  <c r="H29" i="9"/>
  <c r="C30" i="9"/>
  <c r="E35" i="9"/>
  <c r="H46" i="9"/>
  <c r="AO50" i="9"/>
  <c r="AQ50" i="9"/>
  <c r="AS50" i="9"/>
  <c r="AW50" i="9"/>
  <c r="AY50" i="9"/>
  <c r="E52" i="9"/>
  <c r="C57" i="9"/>
  <c r="H62" i="9"/>
  <c r="E78" i="9"/>
  <c r="C82" i="9"/>
  <c r="C90" i="9"/>
  <c r="C95" i="9"/>
  <c r="C105" i="9"/>
  <c r="E107" i="9"/>
  <c r="E129" i="9"/>
  <c r="C130" i="9"/>
  <c r="AO134" i="9"/>
  <c r="AQ134" i="9"/>
  <c r="AS134" i="9"/>
  <c r="AW134" i="9"/>
  <c r="AY134" i="9"/>
  <c r="BA134" i="9"/>
  <c r="BC134" i="9"/>
  <c r="BE134" i="9"/>
  <c r="C138" i="9"/>
  <c r="E139" i="9"/>
  <c r="C142" i="9"/>
  <c r="C153" i="9"/>
  <c r="AN153" i="9"/>
  <c r="C174" i="9"/>
  <c r="C177" i="9"/>
  <c r="AN189" i="9"/>
  <c r="E189" i="9"/>
  <c r="H224" i="9"/>
  <c r="AP224" i="9"/>
  <c r="I224" i="9"/>
  <c r="AS330" i="9"/>
  <c r="AW330" i="9"/>
  <c r="AY330" i="9"/>
  <c r="BA330" i="9"/>
  <c r="BC330" i="9"/>
  <c r="BE330" i="9"/>
  <c r="AO6" i="9"/>
  <c r="AQ6" i="9"/>
  <c r="AS6" i="9"/>
  <c r="AW6" i="9"/>
  <c r="AY6" i="9"/>
  <c r="BA6" i="9"/>
  <c r="BC6" i="9"/>
  <c r="BE6" i="9"/>
  <c r="C9" i="9"/>
  <c r="H12" i="9"/>
  <c r="E13" i="9"/>
  <c r="C16" i="9"/>
  <c r="E17" i="9"/>
  <c r="E26" i="9"/>
  <c r="C28" i="9"/>
  <c r="E36" i="9"/>
  <c r="E41" i="9"/>
  <c r="E43" i="9"/>
  <c r="E46" i="9"/>
  <c r="AO53" i="9"/>
  <c r="AQ53" i="9"/>
  <c r="AS53" i="9"/>
  <c r="AW53" i="9"/>
  <c r="AY53" i="9"/>
  <c r="BA53" i="9"/>
  <c r="BC53" i="9"/>
  <c r="BE53" i="9"/>
  <c r="C56" i="9"/>
  <c r="C67" i="9"/>
  <c r="C68" i="9"/>
  <c r="C69" i="9"/>
  <c r="C72" i="9"/>
  <c r="C73" i="9"/>
  <c r="C77" i="9"/>
  <c r="E80" i="9"/>
  <c r="E95" i="9"/>
  <c r="E103" i="9"/>
  <c r="H104" i="9"/>
  <c r="AN106" i="9"/>
  <c r="H106" i="9"/>
  <c r="E110" i="9"/>
  <c r="E121" i="9"/>
  <c r="C125" i="9"/>
  <c r="C126" i="9"/>
  <c r="C135" i="9"/>
  <c r="C140" i="9"/>
  <c r="C143" i="9"/>
  <c r="H146" i="9"/>
  <c r="C157" i="9"/>
  <c r="AN159" i="9"/>
  <c r="E160" i="9"/>
  <c r="AN160" i="9"/>
  <c r="H160" i="9"/>
  <c r="H165" i="9"/>
  <c r="E199" i="9"/>
  <c r="J200" i="9"/>
  <c r="C203" i="9"/>
  <c r="E214" i="9"/>
  <c r="AP219" i="9"/>
  <c r="H219" i="9"/>
  <c r="J224" i="9"/>
  <c r="H240" i="9"/>
  <c r="AP240" i="9"/>
  <c r="AR240" i="9"/>
  <c r="C18" i="9"/>
  <c r="H44" i="9"/>
  <c r="E56" i="9"/>
  <c r="AO57" i="9"/>
  <c r="H57" i="9"/>
  <c r="H69" i="9"/>
  <c r="AO70" i="9"/>
  <c r="AQ70" i="9"/>
  <c r="AS70" i="9"/>
  <c r="AW70" i="9"/>
  <c r="AY70" i="9"/>
  <c r="BA70" i="9"/>
  <c r="BC70" i="9"/>
  <c r="BE70" i="9"/>
  <c r="H73" i="9"/>
  <c r="AO74" i="9"/>
  <c r="AQ74" i="9"/>
  <c r="AS74" i="9"/>
  <c r="AW74" i="9"/>
  <c r="AY74" i="9"/>
  <c r="BA74" i="9"/>
  <c r="BC74" i="9"/>
  <c r="BE74" i="9"/>
  <c r="C117" i="9"/>
  <c r="AN135" i="9"/>
  <c r="H135" i="9"/>
  <c r="H141" i="9"/>
  <c r="E178" i="9"/>
  <c r="AN178" i="9"/>
  <c r="AP178" i="9"/>
  <c r="AR178" i="9"/>
  <c r="I179" i="9"/>
  <c r="AR179" i="9"/>
  <c r="E195" i="9"/>
  <c r="AN195" i="9"/>
  <c r="AP232" i="9"/>
  <c r="AR239" i="9"/>
  <c r="L239" i="9"/>
  <c r="K240" i="9"/>
  <c r="J240" i="9"/>
  <c r="J244" i="9"/>
  <c r="K244" i="9"/>
  <c r="J310" i="9"/>
  <c r="K310" i="9"/>
  <c r="H66" i="9"/>
  <c r="H85" i="9"/>
  <c r="C114" i="9"/>
  <c r="H144" i="9"/>
  <c r="K165" i="9"/>
  <c r="AN168" i="9"/>
  <c r="E168" i="9"/>
  <c r="AN180" i="9"/>
  <c r="E190" i="9"/>
  <c r="C199" i="9"/>
  <c r="H204" i="9"/>
  <c r="AP204" i="9"/>
  <c r="K208" i="9"/>
  <c r="J208" i="9"/>
  <c r="I213" i="9"/>
  <c r="K228" i="9"/>
  <c r="J228" i="9"/>
  <c r="E232" i="9"/>
  <c r="AO232" i="9"/>
  <c r="AQ232" i="9"/>
  <c r="AS232" i="9"/>
  <c r="AW232" i="9"/>
  <c r="AY232" i="9"/>
  <c r="BA232" i="9"/>
  <c r="BC232" i="9"/>
  <c r="BE232" i="9"/>
  <c r="H235" i="9"/>
  <c r="AP235" i="9"/>
  <c r="AR235" i="9"/>
  <c r="J236" i="9"/>
  <c r="K236" i="9"/>
  <c r="J239" i="9"/>
  <c r="I22" i="9"/>
  <c r="E10" i="9"/>
  <c r="H22" i="9"/>
  <c r="J25" i="9"/>
  <c r="E27" i="9"/>
  <c r="H37" i="9"/>
  <c r="J38" i="9"/>
  <c r="E45" i="9"/>
  <c r="E60" i="9"/>
  <c r="E66" i="9"/>
  <c r="H86" i="9"/>
  <c r="I129" i="9"/>
  <c r="AN138" i="9"/>
  <c r="H138" i="9"/>
  <c r="L141" i="9"/>
  <c r="Q141" i="9"/>
  <c r="H152" i="9"/>
  <c r="K161" i="9"/>
  <c r="AR243" i="9"/>
  <c r="I243" i="9"/>
  <c r="AR247" i="9"/>
  <c r="I247" i="9"/>
  <c r="AR22" i="9"/>
  <c r="AV22" i="9"/>
  <c r="O22" i="9"/>
  <c r="C26" i="9"/>
  <c r="C33" i="9"/>
  <c r="I46" i="9"/>
  <c r="C86" i="9"/>
  <c r="J93" i="9"/>
  <c r="H110" i="9"/>
  <c r="H145" i="9"/>
  <c r="H192" i="9"/>
  <c r="AP192" i="9"/>
  <c r="AR192" i="9"/>
  <c r="K212" i="9"/>
  <c r="J212" i="9"/>
  <c r="AO221" i="9"/>
  <c r="AQ221" i="9"/>
  <c r="AS221" i="9"/>
  <c r="AW221" i="9"/>
  <c r="AY221" i="9"/>
  <c r="BA221" i="9"/>
  <c r="BC221" i="9"/>
  <c r="BE221" i="9"/>
  <c r="E221" i="9"/>
  <c r="J364" i="9"/>
  <c r="K364" i="9"/>
  <c r="E9" i="9"/>
  <c r="E14" i="9"/>
  <c r="C21" i="9"/>
  <c r="C32" i="9"/>
  <c r="H33" i="9"/>
  <c r="E34" i="9"/>
  <c r="AP37" i="9"/>
  <c r="AR37" i="9"/>
  <c r="AV37" i="9"/>
  <c r="E42" i="9"/>
  <c r="C47" i="9"/>
  <c r="H54" i="9"/>
  <c r="H58" i="9"/>
  <c r="C63" i="9"/>
  <c r="C64" i="9"/>
  <c r="E67" i="9"/>
  <c r="E68" i="9"/>
  <c r="E77" i="9"/>
  <c r="AP86" i="9"/>
  <c r="AR86" i="9"/>
  <c r="L86" i="9"/>
  <c r="K93" i="9"/>
  <c r="C101" i="9"/>
  <c r="C115" i="9"/>
  <c r="H129" i="9"/>
  <c r="C132" i="9"/>
  <c r="C133" i="9"/>
  <c r="C147" i="9"/>
  <c r="C155" i="9"/>
  <c r="C162" i="9"/>
  <c r="AO167" i="9"/>
  <c r="AQ167" i="9"/>
  <c r="AS167" i="9"/>
  <c r="AW167" i="9"/>
  <c r="AY167" i="9"/>
  <c r="BA167" i="9"/>
  <c r="BC167" i="9"/>
  <c r="BE167" i="9"/>
  <c r="E167" i="9"/>
  <c r="H179" i="9"/>
  <c r="AN191" i="9"/>
  <c r="E191" i="9"/>
  <c r="E193" i="9"/>
  <c r="AN193" i="9"/>
  <c r="C196" i="9"/>
  <c r="K204" i="9"/>
  <c r="J204" i="9"/>
  <c r="E256" i="9"/>
  <c r="AN267" i="9"/>
  <c r="E267" i="9"/>
  <c r="K294" i="9"/>
  <c r="AN296" i="9"/>
  <c r="AP296" i="9"/>
  <c r="E296" i="9"/>
  <c r="H306" i="9"/>
  <c r="AP306" i="9"/>
  <c r="AR306" i="9"/>
  <c r="AV306" i="9"/>
  <c r="AP344" i="9"/>
  <c r="H344" i="9"/>
  <c r="E380" i="9"/>
  <c r="H383" i="9"/>
  <c r="C216" i="9"/>
  <c r="C220" i="9"/>
  <c r="E252" i="9"/>
  <c r="AN252" i="9"/>
  <c r="C254" i="9"/>
  <c r="C270" i="9"/>
  <c r="H281" i="9"/>
  <c r="E298" i="9"/>
  <c r="AN300" i="9"/>
  <c r="AP300" i="9"/>
  <c r="E300" i="9"/>
  <c r="AS306" i="9"/>
  <c r="AN312" i="9"/>
  <c r="AP312" i="9"/>
  <c r="E312" i="9"/>
  <c r="L314" i="9"/>
  <c r="E326" i="9"/>
  <c r="E328" i="9"/>
  <c r="K338" i="9"/>
  <c r="J338" i="9"/>
  <c r="C353" i="9"/>
  <c r="H366" i="9"/>
  <c r="AP366" i="9"/>
  <c r="H372" i="9"/>
  <c r="E392" i="9"/>
  <c r="AO392" i="9"/>
  <c r="AQ392" i="9"/>
  <c r="AS392" i="9"/>
  <c r="AW392" i="9"/>
  <c r="AY392" i="9"/>
  <c r="BA392" i="9"/>
  <c r="BC392" i="9"/>
  <c r="BE392" i="9"/>
  <c r="AN419" i="9"/>
  <c r="E419" i="9"/>
  <c r="AO442" i="9"/>
  <c r="AQ442" i="9"/>
  <c r="AS442" i="9"/>
  <c r="AW442" i="9"/>
  <c r="AY442" i="9"/>
  <c r="BA442" i="9"/>
  <c r="BC442" i="9"/>
  <c r="BE442" i="9"/>
  <c r="E442" i="9"/>
  <c r="E465" i="9"/>
  <c r="AO465" i="9"/>
  <c r="AQ465" i="9"/>
  <c r="AS465" i="9"/>
  <c r="AW465" i="9"/>
  <c r="AY465" i="9"/>
  <c r="BA465" i="9"/>
  <c r="BC465" i="9"/>
  <c r="BE465" i="9"/>
  <c r="AR588" i="9"/>
  <c r="AV588" i="9"/>
  <c r="I588" i="9"/>
  <c r="C187" i="9"/>
  <c r="H202" i="9"/>
  <c r="E235" i="9"/>
  <c r="C249" i="9"/>
  <c r="E254" i="9"/>
  <c r="C259" i="9"/>
  <c r="E276" i="9"/>
  <c r="K292" i="9"/>
  <c r="J302" i="9"/>
  <c r="K302" i="9"/>
  <c r="J306" i="9"/>
  <c r="H318" i="9"/>
  <c r="AP318" i="9"/>
  <c r="AR318" i="9"/>
  <c r="AV318" i="9"/>
  <c r="AP334" i="9"/>
  <c r="AR334" i="9"/>
  <c r="AV334" i="9"/>
  <c r="E342" i="9"/>
  <c r="AN342" i="9"/>
  <c r="AP342" i="9"/>
  <c r="AR342" i="9"/>
  <c r="AV342" i="9"/>
  <c r="J461" i="9"/>
  <c r="K461" i="9"/>
  <c r="E179" i="9"/>
  <c r="C184" i="9"/>
  <c r="E192" i="9"/>
  <c r="E198" i="9"/>
  <c r="C207" i="9"/>
  <c r="C211" i="9"/>
  <c r="AN214" i="9"/>
  <c r="AN215" i="9"/>
  <c r="AP215" i="9"/>
  <c r="AR215" i="9"/>
  <c r="AV215" i="9"/>
  <c r="AP216" i="9"/>
  <c r="C218" i="9"/>
  <c r="AP220" i="9"/>
  <c r="C222" i="9"/>
  <c r="C223" i="9"/>
  <c r="E233" i="9"/>
  <c r="E237" i="9"/>
  <c r="C243" i="9"/>
  <c r="C244" i="9"/>
  <c r="AN244" i="9"/>
  <c r="H263" i="9"/>
  <c r="AP263" i="9"/>
  <c r="C268" i="9"/>
  <c r="E272" i="9"/>
  <c r="E281" i="9"/>
  <c r="AN304" i="9"/>
  <c r="E304" i="9"/>
  <c r="AN310" i="9"/>
  <c r="AP310" i="9"/>
  <c r="AR310" i="9"/>
  <c r="K314" i="9"/>
  <c r="C316" i="9"/>
  <c r="I322" i="9"/>
  <c r="C325" i="9"/>
  <c r="H330" i="9"/>
  <c r="AP330" i="9"/>
  <c r="AR330" i="9"/>
  <c r="AV330" i="9"/>
  <c r="AN332" i="9"/>
  <c r="AP332" i="9"/>
  <c r="E332" i="9"/>
  <c r="E344" i="9"/>
  <c r="AN348" i="9"/>
  <c r="AP348" i="9"/>
  <c r="I348" i="9"/>
  <c r="E348" i="9"/>
  <c r="E354" i="9"/>
  <c r="AN354" i="9"/>
  <c r="AN364" i="9"/>
  <c r="AN365" i="9"/>
  <c r="E365" i="9"/>
  <c r="C374" i="9"/>
  <c r="I381" i="9"/>
  <c r="AO236" i="9"/>
  <c r="AQ236" i="9"/>
  <c r="AS236" i="9"/>
  <c r="AW236" i="9"/>
  <c r="AY236" i="9"/>
  <c r="BA236" i="9"/>
  <c r="BC236" i="9"/>
  <c r="BE236" i="9"/>
  <c r="E245" i="9"/>
  <c r="C246" i="9"/>
  <c r="E250" i="9"/>
  <c r="H256" i="9"/>
  <c r="AP256" i="9"/>
  <c r="H278" i="9"/>
  <c r="AP278" i="9"/>
  <c r="E282" i="9"/>
  <c r="K286" i="9"/>
  <c r="J334" i="9"/>
  <c r="K334" i="9"/>
  <c r="AN340" i="9"/>
  <c r="E340" i="9"/>
  <c r="J340" i="9"/>
  <c r="I346" i="9"/>
  <c r="AS346" i="9"/>
  <c r="I360" i="9"/>
  <c r="AO405" i="9"/>
  <c r="AQ405" i="9"/>
  <c r="AS405" i="9"/>
  <c r="AW405" i="9"/>
  <c r="AY405" i="9"/>
  <c r="BA405" i="9"/>
  <c r="BC405" i="9"/>
  <c r="BE405" i="9"/>
  <c r="E405" i="9"/>
  <c r="H228" i="9"/>
  <c r="E243" i="9"/>
  <c r="K243" i="9"/>
  <c r="K259" i="9"/>
  <c r="K263" i="9"/>
  <c r="AN271" i="9"/>
  <c r="E271" i="9"/>
  <c r="AN316" i="9"/>
  <c r="AP316" i="9"/>
  <c r="E316" i="9"/>
  <c r="J330" i="9"/>
  <c r="E359" i="9"/>
  <c r="AN359" i="9"/>
  <c r="AP359" i="9"/>
  <c r="E376" i="9"/>
  <c r="AO376" i="9"/>
  <c r="AQ376" i="9"/>
  <c r="AS376" i="9"/>
  <c r="AW376" i="9"/>
  <c r="AY376" i="9"/>
  <c r="BA376" i="9"/>
  <c r="BC376" i="9"/>
  <c r="BE376" i="9"/>
  <c r="AN389" i="9"/>
  <c r="AP389" i="9"/>
  <c r="E389" i="9"/>
  <c r="K404" i="9"/>
  <c r="AR454" i="9"/>
  <c r="AV454" i="9"/>
  <c r="I454" i="9"/>
  <c r="C160" i="9"/>
  <c r="AN172" i="9"/>
  <c r="C189" i="9"/>
  <c r="C213" i="9"/>
  <c r="K220" i="9"/>
  <c r="K265" i="9"/>
  <c r="AN269" i="9"/>
  <c r="H269" i="9"/>
  <c r="E269" i="9"/>
  <c r="K322" i="9"/>
  <c r="I326" i="9"/>
  <c r="AS326" i="9"/>
  <c r="AW326" i="9"/>
  <c r="AY326" i="9"/>
  <c r="BA326" i="9"/>
  <c r="BC326" i="9"/>
  <c r="BE326" i="9"/>
  <c r="AP328" i="9"/>
  <c r="H328" i="9"/>
  <c r="L360" i="9"/>
  <c r="E362" i="9"/>
  <c r="AO362" i="9"/>
  <c r="AQ362" i="9"/>
  <c r="AS362" i="9"/>
  <c r="AW362" i="9"/>
  <c r="AY362" i="9"/>
  <c r="BA362" i="9"/>
  <c r="BC362" i="9"/>
  <c r="BE362" i="9"/>
  <c r="C159" i="9"/>
  <c r="C165" i="9"/>
  <c r="C170" i="9"/>
  <c r="C176" i="9"/>
  <c r="E177" i="9"/>
  <c r="C191" i="9"/>
  <c r="H200" i="9"/>
  <c r="C208" i="9"/>
  <c r="C212" i="9"/>
  <c r="H212" i="9"/>
  <c r="E213" i="9"/>
  <c r="C226" i="9"/>
  <c r="AP228" i="9"/>
  <c r="I228" i="9"/>
  <c r="C247" i="9"/>
  <c r="C248" i="9"/>
  <c r="C256" i="9"/>
  <c r="J263" i="9"/>
  <c r="K288" i="9"/>
  <c r="C290" i="9"/>
  <c r="E308" i="9"/>
  <c r="AO308" i="9"/>
  <c r="AQ308" i="9"/>
  <c r="AS308" i="9"/>
  <c r="AW308" i="9"/>
  <c r="AY308" i="9"/>
  <c r="BA308" i="9"/>
  <c r="BC308" i="9"/>
  <c r="BE308" i="9"/>
  <c r="K318" i="9"/>
  <c r="C321" i="9"/>
  <c r="C334" i="9"/>
  <c r="AN336" i="9"/>
  <c r="AP336" i="9"/>
  <c r="E336" i="9"/>
  <c r="E346" i="9"/>
  <c r="E350" i="9"/>
  <c r="H355" i="9"/>
  <c r="AP358" i="9"/>
  <c r="H358" i="9"/>
  <c r="E368" i="9"/>
  <c r="K372" i="9"/>
  <c r="E388" i="9"/>
  <c r="AN388" i="9"/>
  <c r="AN403" i="9"/>
  <c r="AP403" i="9"/>
  <c r="E403" i="9"/>
  <c r="J427" i="9"/>
  <c r="K427" i="9"/>
  <c r="E444" i="9"/>
  <c r="AN444" i="9"/>
  <c r="K450" i="9"/>
  <c r="J450" i="9"/>
  <c r="AO474" i="9"/>
  <c r="AQ474" i="9"/>
  <c r="AS474" i="9"/>
  <c r="AW474" i="9"/>
  <c r="AY474" i="9"/>
  <c r="BA474" i="9"/>
  <c r="BC474" i="9"/>
  <c r="BE474" i="9"/>
  <c r="E474" i="9"/>
  <c r="AN517" i="9"/>
  <c r="E517" i="9"/>
  <c r="K517" i="9"/>
  <c r="K518" i="9"/>
  <c r="J518" i="9"/>
  <c r="AP525" i="9"/>
  <c r="H541" i="9"/>
  <c r="AP541" i="9"/>
  <c r="AR541" i="9"/>
  <c r="C255" i="9"/>
  <c r="C282" i="9"/>
  <c r="AN282" i="9"/>
  <c r="C307" i="9"/>
  <c r="C309" i="9"/>
  <c r="C323" i="9"/>
  <c r="C331" i="9"/>
  <c r="C333" i="9"/>
  <c r="C345" i="9"/>
  <c r="E349" i="9"/>
  <c r="C367" i="9"/>
  <c r="K384" i="9"/>
  <c r="J384" i="9"/>
  <c r="C391" i="9"/>
  <c r="C410" i="9"/>
  <c r="E413" i="9"/>
  <c r="K420" i="9"/>
  <c r="J420" i="9"/>
  <c r="E435" i="9"/>
  <c r="C462" i="9"/>
  <c r="H482" i="9"/>
  <c r="AO554" i="9"/>
  <c r="AQ554" i="9"/>
  <c r="AS554" i="9"/>
  <c r="AW554" i="9"/>
  <c r="AY554" i="9"/>
  <c r="BA554" i="9"/>
  <c r="BC554" i="9"/>
  <c r="BE554" i="9"/>
  <c r="E554" i="9"/>
  <c r="E558" i="9"/>
  <c r="AN558" i="9"/>
  <c r="AO577" i="9"/>
  <c r="E577" i="9"/>
  <c r="C262" i="9"/>
  <c r="C272" i="9"/>
  <c r="C279" i="9"/>
  <c r="C285" i="9"/>
  <c r="C289" i="9"/>
  <c r="C313" i="9"/>
  <c r="C337" i="9"/>
  <c r="C343" i="9"/>
  <c r="C379" i="9"/>
  <c r="C404" i="9"/>
  <c r="E436" i="9"/>
  <c r="AO436" i="9"/>
  <c r="AQ436" i="9"/>
  <c r="AS436" i="9"/>
  <c r="AW436" i="9"/>
  <c r="AY436" i="9"/>
  <c r="BA436" i="9"/>
  <c r="BC436" i="9"/>
  <c r="BE436" i="9"/>
  <c r="K453" i="9"/>
  <c r="H457" i="9"/>
  <c r="AP457" i="9"/>
  <c r="AR457" i="9"/>
  <c r="AO464" i="9"/>
  <c r="AQ464" i="9"/>
  <c r="AS464" i="9"/>
  <c r="AW464" i="9"/>
  <c r="AY464" i="9"/>
  <c r="BA464" i="9"/>
  <c r="BC464" i="9"/>
  <c r="BE464" i="9"/>
  <c r="E464" i="9"/>
  <c r="E490" i="9"/>
  <c r="AN490" i="9"/>
  <c r="AQ509" i="9"/>
  <c r="AS509" i="9"/>
  <c r="AW509" i="9"/>
  <c r="AY509" i="9"/>
  <c r="BA509" i="9"/>
  <c r="BC509" i="9"/>
  <c r="BE509" i="9"/>
  <c r="H509" i="9"/>
  <c r="C275" i="9"/>
  <c r="C281" i="9"/>
  <c r="E289" i="9"/>
  <c r="C293" i="9"/>
  <c r="AN357" i="9"/>
  <c r="C401" i="9"/>
  <c r="AN408" i="9"/>
  <c r="AP408" i="9"/>
  <c r="AN412" i="9"/>
  <c r="AP412" i="9"/>
  <c r="AN415" i="9"/>
  <c r="E415" i="9"/>
  <c r="AN417" i="9"/>
  <c r="AP417" i="9"/>
  <c r="E417" i="9"/>
  <c r="C420" i="9"/>
  <c r="E429" i="9"/>
  <c r="K430" i="9"/>
  <c r="J430" i="9"/>
  <c r="E445" i="9"/>
  <c r="J457" i="9"/>
  <c r="AN395" i="9"/>
  <c r="E395" i="9"/>
  <c r="J408" i="9"/>
  <c r="AN513" i="9"/>
  <c r="AP513" i="9"/>
  <c r="E513" i="9"/>
  <c r="E366" i="9"/>
  <c r="E381" i="9"/>
  <c r="AN397" i="9"/>
  <c r="AP397" i="9"/>
  <c r="E397" i="9"/>
  <c r="E416" i="9"/>
  <c r="AN416" i="9"/>
  <c r="AP416" i="9"/>
  <c r="E426" i="9"/>
  <c r="AN426" i="9"/>
  <c r="H426" i="9"/>
  <c r="E428" i="9"/>
  <c r="C430" i="9"/>
  <c r="E449" i="9"/>
  <c r="AN449" i="9"/>
  <c r="H449" i="9"/>
  <c r="K506" i="9"/>
  <c r="J506" i="9"/>
  <c r="E527" i="9"/>
  <c r="AN527" i="9"/>
  <c r="K530" i="9"/>
  <c r="J530" i="9"/>
  <c r="E268" i="9"/>
  <c r="C276" i="9"/>
  <c r="I314" i="9"/>
  <c r="C319" i="9"/>
  <c r="C349" i="9"/>
  <c r="E351" i="9"/>
  <c r="E358" i="9"/>
  <c r="E370" i="9"/>
  <c r="C380" i="9"/>
  <c r="AN387" i="9"/>
  <c r="E387" i="9"/>
  <c r="E396" i="9"/>
  <c r="AN396" i="9"/>
  <c r="J400" i="9"/>
  <c r="C403" i="9"/>
  <c r="E434" i="9"/>
  <c r="AN434" i="9"/>
  <c r="H434" i="9"/>
  <c r="AP465" i="9"/>
  <c r="AR465" i="9"/>
  <c r="AN486" i="9"/>
  <c r="E486" i="9"/>
  <c r="AO589" i="9"/>
  <c r="AQ589" i="9"/>
  <c r="AS589" i="9"/>
  <c r="AW589" i="9"/>
  <c r="AY589" i="9"/>
  <c r="BA589" i="9"/>
  <c r="BC589" i="9"/>
  <c r="BE589" i="9"/>
  <c r="E589" i="9"/>
  <c r="C388" i="9"/>
  <c r="C396" i="9"/>
  <c r="C399" i="9"/>
  <c r="C408" i="9"/>
  <c r="C425" i="9"/>
  <c r="AO432" i="9"/>
  <c r="AQ432" i="9"/>
  <c r="AS432" i="9"/>
  <c r="AW432" i="9"/>
  <c r="AY432" i="9"/>
  <c r="BA432" i="9"/>
  <c r="BC432" i="9"/>
  <c r="BE432" i="9"/>
  <c r="E433" i="9"/>
  <c r="H438" i="9"/>
  <c r="C457" i="9"/>
  <c r="E462" i="9"/>
  <c r="C469" i="9"/>
  <c r="C474" i="9"/>
  <c r="E484" i="9"/>
  <c r="C491" i="9"/>
  <c r="AO494" i="9"/>
  <c r="AQ494" i="9"/>
  <c r="AS494" i="9"/>
  <c r="AW494" i="9"/>
  <c r="AY494" i="9"/>
  <c r="BA494" i="9"/>
  <c r="BC494" i="9"/>
  <c r="BE494" i="9"/>
  <c r="AP520" i="9"/>
  <c r="AR520" i="9"/>
  <c r="AN521" i="9"/>
  <c r="AN522" i="9"/>
  <c r="E522" i="9"/>
  <c r="J525" i="9"/>
  <c r="C532" i="9"/>
  <c r="AN543" i="9"/>
  <c r="E543" i="9"/>
  <c r="E571" i="9"/>
  <c r="C582" i="9"/>
  <c r="AN648" i="9"/>
  <c r="E648" i="9"/>
  <c r="AN712" i="9"/>
  <c r="E712" i="9"/>
  <c r="C418" i="9"/>
  <c r="C446" i="9"/>
  <c r="E452" i="9"/>
  <c r="C464" i="9"/>
  <c r="E468" i="9"/>
  <c r="C471" i="9"/>
  <c r="E482" i="9"/>
  <c r="AO498" i="9"/>
  <c r="AQ498" i="9"/>
  <c r="AS498" i="9"/>
  <c r="AW498" i="9"/>
  <c r="AY498" i="9"/>
  <c r="BA498" i="9"/>
  <c r="BC498" i="9"/>
  <c r="BE498" i="9"/>
  <c r="C507" i="9"/>
  <c r="C509" i="9"/>
  <c r="E511" i="9"/>
  <c r="E515" i="9"/>
  <c r="K525" i="9"/>
  <c r="AN578" i="9"/>
  <c r="E578" i="9"/>
  <c r="C616" i="9"/>
  <c r="C419" i="9"/>
  <c r="C434" i="9"/>
  <c r="C444" i="9"/>
  <c r="H446" i="9"/>
  <c r="C455" i="9"/>
  <c r="AN461" i="9"/>
  <c r="C468" i="9"/>
  <c r="H469" i="9"/>
  <c r="AP469" i="9"/>
  <c r="H488" i="9"/>
  <c r="J510" i="9"/>
  <c r="C513" i="9"/>
  <c r="C524" i="9"/>
  <c r="AP530" i="9"/>
  <c r="H530" i="9"/>
  <c r="AN542" i="9"/>
  <c r="H542" i="9"/>
  <c r="E542" i="9"/>
  <c r="AO546" i="9"/>
  <c r="AQ546" i="9"/>
  <c r="AS546" i="9"/>
  <c r="AW546" i="9"/>
  <c r="AY546" i="9"/>
  <c r="BA546" i="9"/>
  <c r="BC546" i="9"/>
  <c r="BE546" i="9"/>
  <c r="AN555" i="9"/>
  <c r="E555" i="9"/>
  <c r="J633" i="9"/>
  <c r="K633" i="9"/>
  <c r="AO689" i="9"/>
  <c r="AQ689" i="9"/>
  <c r="AS689" i="9"/>
  <c r="AW689" i="9"/>
  <c r="AY689" i="9"/>
  <c r="BA689" i="9"/>
  <c r="BC689" i="9"/>
  <c r="BE689" i="9"/>
  <c r="E689" i="9"/>
  <c r="C426" i="9"/>
  <c r="C431" i="9"/>
  <c r="J446" i="9"/>
  <c r="C453" i="9"/>
  <c r="E469" i="9"/>
  <c r="C480" i="9"/>
  <c r="E496" i="9"/>
  <c r="J498" i="9"/>
  <c r="C500" i="9"/>
  <c r="J514" i="9"/>
  <c r="C530" i="9"/>
  <c r="L540" i="9"/>
  <c r="J551" i="9"/>
  <c r="K551" i="9"/>
  <c r="J579" i="9"/>
  <c r="AP595" i="9"/>
  <c r="H595" i="9"/>
  <c r="E607" i="9"/>
  <c r="AO607" i="9"/>
  <c r="AQ607" i="9"/>
  <c r="AS607" i="9"/>
  <c r="AW607" i="9"/>
  <c r="AY607" i="9"/>
  <c r="BA607" i="9"/>
  <c r="BC607" i="9"/>
  <c r="BE607" i="9"/>
  <c r="E631" i="9"/>
  <c r="AO631" i="9"/>
  <c r="C465" i="9"/>
  <c r="K478" i="9"/>
  <c r="C522" i="9"/>
  <c r="AO525" i="9"/>
  <c r="AQ525" i="9"/>
  <c r="AS525" i="9"/>
  <c r="AW525" i="9"/>
  <c r="AY525" i="9"/>
  <c r="BA525" i="9"/>
  <c r="BC525" i="9"/>
  <c r="BE525" i="9"/>
  <c r="E545" i="9"/>
  <c r="AO545" i="9"/>
  <c r="K546" i="9"/>
  <c r="J546" i="9"/>
  <c r="J587" i="9"/>
  <c r="K587" i="9"/>
  <c r="E440" i="9"/>
  <c r="H442" i="9"/>
  <c r="J458" i="9"/>
  <c r="E470" i="9"/>
  <c r="C476" i="9"/>
  <c r="J478" i="9"/>
  <c r="C499" i="9"/>
  <c r="C520" i="9"/>
  <c r="H534" i="9"/>
  <c r="AN536" i="9"/>
  <c r="H536" i="9"/>
  <c r="H560" i="9"/>
  <c r="C497" i="9"/>
  <c r="AP501" i="9"/>
  <c r="H501" i="9"/>
  <c r="C529" i="9"/>
  <c r="C543" i="9"/>
  <c r="J575" i="9"/>
  <c r="I580" i="9"/>
  <c r="AR580" i="9"/>
  <c r="AV580" i="9"/>
  <c r="E488" i="9"/>
  <c r="C496" i="9"/>
  <c r="C516" i="9"/>
  <c r="C521" i="9"/>
  <c r="C525" i="9"/>
  <c r="H532" i="9"/>
  <c r="H538" i="9"/>
  <c r="C545" i="9"/>
  <c r="C550" i="9"/>
  <c r="C552" i="9"/>
  <c r="AO553" i="9"/>
  <c r="C566" i="9"/>
  <c r="AN587" i="9"/>
  <c r="AP587" i="9"/>
  <c r="I587" i="9"/>
  <c r="C591" i="9"/>
  <c r="E593" i="9"/>
  <c r="AP596" i="9"/>
  <c r="AR596" i="9"/>
  <c r="AV596" i="9"/>
  <c r="C601" i="9"/>
  <c r="AP608" i="9"/>
  <c r="AR608" i="9"/>
  <c r="AV608" i="9"/>
  <c r="C609" i="9"/>
  <c r="E614" i="9"/>
  <c r="AO614" i="9"/>
  <c r="AQ614" i="9"/>
  <c r="AS614" i="9"/>
  <c r="AW614" i="9"/>
  <c r="AY614" i="9"/>
  <c r="BA614" i="9"/>
  <c r="BC614" i="9"/>
  <c r="BE614" i="9"/>
  <c r="C615" i="9"/>
  <c r="C619" i="9"/>
  <c r="AO623" i="9"/>
  <c r="AQ623" i="9"/>
  <c r="AS623" i="9"/>
  <c r="AW623" i="9"/>
  <c r="AY623" i="9"/>
  <c r="BA623" i="9"/>
  <c r="BC623" i="9"/>
  <c r="BE623" i="9"/>
  <c r="H632" i="9"/>
  <c r="AO646" i="9"/>
  <c r="AQ646" i="9"/>
  <c r="AS646" i="9"/>
  <c r="AW646" i="9"/>
  <c r="AY646" i="9"/>
  <c r="BA646" i="9"/>
  <c r="BC646" i="9"/>
  <c r="BE646" i="9"/>
  <c r="E646" i="9"/>
  <c r="E674" i="9"/>
  <c r="AN680" i="9"/>
  <c r="E680" i="9"/>
  <c r="AP734" i="9"/>
  <c r="AR734" i="9"/>
  <c r="AV734" i="9"/>
  <c r="H734" i="9"/>
  <c r="C544" i="9"/>
  <c r="E550" i="9"/>
  <c r="H550" i="9"/>
  <c r="AO565" i="9"/>
  <c r="AN566" i="9"/>
  <c r="AO575" i="9"/>
  <c r="AQ575" i="9"/>
  <c r="AS575" i="9"/>
  <c r="AW575" i="9"/>
  <c r="AY575" i="9"/>
  <c r="BA575" i="9"/>
  <c r="BC575" i="9"/>
  <c r="BE575" i="9"/>
  <c r="C579" i="9"/>
  <c r="AO579" i="9"/>
  <c r="AQ579" i="9"/>
  <c r="AS579" i="9"/>
  <c r="AW579" i="9"/>
  <c r="AY579" i="9"/>
  <c r="BA579" i="9"/>
  <c r="BC579" i="9"/>
  <c r="BE579" i="9"/>
  <c r="C584" i="9"/>
  <c r="H585" i="9"/>
  <c r="E590" i="9"/>
  <c r="AN601" i="9"/>
  <c r="AP601" i="9"/>
  <c r="AO611" i="9"/>
  <c r="AQ611" i="9"/>
  <c r="AS611" i="9"/>
  <c r="AW611" i="9"/>
  <c r="AY611" i="9"/>
  <c r="BA611" i="9"/>
  <c r="BC611" i="9"/>
  <c r="BE611" i="9"/>
  <c r="AR615" i="9"/>
  <c r="E663" i="9"/>
  <c r="AO663" i="9"/>
  <c r="AQ663" i="9"/>
  <c r="AS663" i="9"/>
  <c r="AW663" i="9"/>
  <c r="AY663" i="9"/>
  <c r="BA663" i="9"/>
  <c r="BC663" i="9"/>
  <c r="BE663" i="9"/>
  <c r="H677" i="9"/>
  <c r="AP677" i="9"/>
  <c r="AP714" i="9"/>
  <c r="AP733" i="9"/>
  <c r="H733" i="9"/>
  <c r="J744" i="9"/>
  <c r="K744" i="9"/>
  <c r="C549" i="9"/>
  <c r="C559" i="9"/>
  <c r="C560" i="9"/>
  <c r="C575" i="9"/>
  <c r="C578" i="9"/>
  <c r="C587" i="9"/>
  <c r="C588" i="9"/>
  <c r="AO597" i="9"/>
  <c r="AQ597" i="9"/>
  <c r="AS597" i="9"/>
  <c r="AW597" i="9"/>
  <c r="AY597" i="9"/>
  <c r="BA597" i="9"/>
  <c r="BC597" i="9"/>
  <c r="BE597" i="9"/>
  <c r="AO615" i="9"/>
  <c r="AO619" i="9"/>
  <c r="AQ619" i="9"/>
  <c r="AS619" i="9"/>
  <c r="AW619" i="9"/>
  <c r="AY619" i="9"/>
  <c r="BA619" i="9"/>
  <c r="BC619" i="9"/>
  <c r="BE619" i="9"/>
  <c r="AN622" i="9"/>
  <c r="E622" i="9"/>
  <c r="K623" i="9"/>
  <c r="H624" i="9"/>
  <c r="AP624" i="9"/>
  <c r="AR624" i="9"/>
  <c r="L624" i="9"/>
  <c r="E714" i="9"/>
  <c r="AO714" i="9"/>
  <c r="AQ714" i="9"/>
  <c r="AS714" i="9"/>
  <c r="AW714" i="9"/>
  <c r="AY714" i="9"/>
  <c r="BA714" i="9"/>
  <c r="BC714" i="9"/>
  <c r="BE714" i="9"/>
  <c r="E519" i="9"/>
  <c r="E520" i="9"/>
  <c r="E541" i="9"/>
  <c r="E547" i="9"/>
  <c r="C569" i="9"/>
  <c r="C573" i="9"/>
  <c r="C590" i="9"/>
  <c r="K591" i="9"/>
  <c r="C605" i="9"/>
  <c r="E618" i="9"/>
  <c r="AO618" i="9"/>
  <c r="AQ618" i="9"/>
  <c r="AS618" i="9"/>
  <c r="AW618" i="9"/>
  <c r="AY618" i="9"/>
  <c r="BA618" i="9"/>
  <c r="BC618" i="9"/>
  <c r="BE618" i="9"/>
  <c r="E626" i="9"/>
  <c r="AN672" i="9"/>
  <c r="E672" i="9"/>
  <c r="AP699" i="9"/>
  <c r="H699" i="9"/>
  <c r="I723" i="9"/>
  <c r="AR723" i="9"/>
  <c r="AV723" i="9"/>
  <c r="AX723" i="9"/>
  <c r="AZ723" i="9"/>
  <c r="H554" i="9"/>
  <c r="E559" i="9"/>
  <c r="E562" i="9"/>
  <c r="C567" i="9"/>
  <c r="AP590" i="9"/>
  <c r="AR590" i="9"/>
  <c r="AN612" i="9"/>
  <c r="H612" i="9"/>
  <c r="E612" i="9"/>
  <c r="K615" i="9"/>
  <c r="J615" i="9"/>
  <c r="K619" i="9"/>
  <c r="H620" i="9"/>
  <c r="AN644" i="9"/>
  <c r="E644" i="9"/>
  <c r="E671" i="9"/>
  <c r="AO671" i="9"/>
  <c r="I690" i="9"/>
  <c r="E693" i="9"/>
  <c r="AN693" i="9"/>
  <c r="AP719" i="9"/>
  <c r="AR719" i="9"/>
  <c r="AO724" i="9"/>
  <c r="AQ724" i="9"/>
  <c r="AS724" i="9"/>
  <c r="AW724" i="9"/>
  <c r="AY724" i="9"/>
  <c r="BA724" i="9"/>
  <c r="BC724" i="9"/>
  <c r="BE724" i="9"/>
  <c r="E724" i="9"/>
  <c r="I585" i="9"/>
  <c r="J611" i="9"/>
  <c r="AN616" i="9"/>
  <c r="H616" i="9"/>
  <c r="E616" i="9"/>
  <c r="E624" i="9"/>
  <c r="C625" i="9"/>
  <c r="C626" i="9"/>
  <c r="AP675" i="9"/>
  <c r="AP722" i="9"/>
  <c r="AR803" i="9"/>
  <c r="AV803" i="9"/>
  <c r="AX803" i="9"/>
  <c r="E549" i="9"/>
  <c r="C564" i="9"/>
  <c r="E568" i="9"/>
  <c r="E570" i="9"/>
  <c r="K583" i="9"/>
  <c r="E584" i="9"/>
  <c r="E585" i="9"/>
  <c r="E598" i="9"/>
  <c r="C614" i="9"/>
  <c r="J619" i="9"/>
  <c r="C637" i="9"/>
  <c r="E675" i="9"/>
  <c r="AO675" i="9"/>
  <c r="AQ675" i="9"/>
  <c r="AS675" i="9"/>
  <c r="AW675" i="9"/>
  <c r="AY675" i="9"/>
  <c r="BA675" i="9"/>
  <c r="BC675" i="9"/>
  <c r="BE675" i="9"/>
  <c r="H689" i="9"/>
  <c r="AP689" i="9"/>
  <c r="AR689" i="9"/>
  <c r="AV689" i="9"/>
  <c r="J690" i="9"/>
  <c r="E692" i="9"/>
  <c r="AN692" i="9"/>
  <c r="AP730" i="9"/>
  <c r="H730" i="9"/>
  <c r="J748" i="9"/>
  <c r="K748" i="9"/>
  <c r="E719" i="9"/>
  <c r="E722" i="9"/>
  <c r="E726" i="9"/>
  <c r="E743" i="9"/>
  <c r="H747" i="9"/>
  <c r="E758" i="9"/>
  <c r="J761" i="9"/>
  <c r="H762" i="9"/>
  <c r="AP762" i="9"/>
  <c r="I762" i="9"/>
  <c r="K811" i="9"/>
  <c r="AN814" i="9"/>
  <c r="AP814" i="9"/>
  <c r="E814" i="9"/>
  <c r="C643" i="9"/>
  <c r="H650" i="9"/>
  <c r="C661" i="9"/>
  <c r="E667" i="9"/>
  <c r="C670" i="9"/>
  <c r="E679" i="9"/>
  <c r="E683" i="9"/>
  <c r="C697" i="9"/>
  <c r="E699" i="9"/>
  <c r="C717" i="9"/>
  <c r="C732" i="9"/>
  <c r="AP738" i="9"/>
  <c r="C744" i="9"/>
  <c r="E747" i="9"/>
  <c r="AN807" i="9"/>
  <c r="E807" i="9"/>
  <c r="AP809" i="9"/>
  <c r="K826" i="9"/>
  <c r="K847" i="9"/>
  <c r="J847" i="9"/>
  <c r="C630" i="9"/>
  <c r="C631" i="9"/>
  <c r="C641" i="9"/>
  <c r="C647" i="9"/>
  <c r="C654" i="9"/>
  <c r="E662" i="9"/>
  <c r="E682" i="9"/>
  <c r="C685" i="9"/>
  <c r="I703" i="9"/>
  <c r="E710" i="9"/>
  <c r="E715" i="9"/>
  <c r="C719" i="9"/>
  <c r="AO722" i="9"/>
  <c r="AQ722" i="9"/>
  <c r="AS722" i="9"/>
  <c r="AW722" i="9"/>
  <c r="AY722" i="9"/>
  <c r="BA722" i="9"/>
  <c r="BC722" i="9"/>
  <c r="BE722" i="9"/>
  <c r="C733" i="9"/>
  <c r="H735" i="9"/>
  <c r="C748" i="9"/>
  <c r="K761" i="9"/>
  <c r="C762" i="9"/>
  <c r="E787" i="9"/>
  <c r="H836" i="9"/>
  <c r="AP836" i="9"/>
  <c r="K851" i="9"/>
  <c r="C855" i="9"/>
  <c r="E867" i="9"/>
  <c r="AN867" i="9"/>
  <c r="C634" i="9"/>
  <c r="I638" i="9"/>
  <c r="C639" i="9"/>
  <c r="C675" i="9"/>
  <c r="E681" i="9"/>
  <c r="C683" i="9"/>
  <c r="C686" i="9"/>
  <c r="C687" i="9"/>
  <c r="C702" i="9"/>
  <c r="E703" i="9"/>
  <c r="E706" i="9"/>
  <c r="C714" i="9"/>
  <c r="E723" i="9"/>
  <c r="C727" i="9"/>
  <c r="E734" i="9"/>
  <c r="E745" i="9"/>
  <c r="AN756" i="9"/>
  <c r="E756" i="9"/>
  <c r="E762" i="9"/>
  <c r="J765" i="9"/>
  <c r="E766" i="9"/>
  <c r="AP784" i="9"/>
  <c r="AR784" i="9"/>
  <c r="AV784" i="9"/>
  <c r="H784" i="9"/>
  <c r="H793" i="9"/>
  <c r="AP793" i="9"/>
  <c r="K806" i="9"/>
  <c r="AO809" i="9"/>
  <c r="AQ809" i="9"/>
  <c r="AS809" i="9"/>
  <c r="AW809" i="9"/>
  <c r="AY809" i="9"/>
  <c r="BA809" i="9"/>
  <c r="BC809" i="9"/>
  <c r="BE809" i="9"/>
  <c r="E809" i="9"/>
  <c r="H834" i="9"/>
  <c r="AP834" i="9"/>
  <c r="E835" i="9"/>
  <c r="AN835" i="9"/>
  <c r="K842" i="9"/>
  <c r="J842" i="9"/>
  <c r="C618" i="9"/>
  <c r="E627" i="9"/>
  <c r="H630" i="9"/>
  <c r="AR638" i="9"/>
  <c r="C645" i="9"/>
  <c r="E650" i="9"/>
  <c r="E659" i="9"/>
  <c r="AR663" i="9"/>
  <c r="H664" i="9"/>
  <c r="C667" i="9"/>
  <c r="E670" i="9"/>
  <c r="C682" i="9"/>
  <c r="C699" i="9"/>
  <c r="E707" i="9"/>
  <c r="C715" i="9"/>
  <c r="E718" i="9"/>
  <c r="AO719" i="9"/>
  <c r="AQ719" i="9"/>
  <c r="E729" i="9"/>
  <c r="E730" i="9"/>
  <c r="E732" i="9"/>
  <c r="C735" i="9"/>
  <c r="E737" i="9"/>
  <c r="E738" i="9"/>
  <c r="AN752" i="9"/>
  <c r="H752" i="9"/>
  <c r="E752" i="9"/>
  <c r="C769" i="9"/>
  <c r="E780" i="9"/>
  <c r="J780" i="9"/>
  <c r="AP783" i="9"/>
  <c r="AR783" i="9"/>
  <c r="H783" i="9"/>
  <c r="C790" i="9"/>
  <c r="E793" i="9"/>
  <c r="H795" i="9"/>
  <c r="J796" i="9"/>
  <c r="AO803" i="9"/>
  <c r="AQ803" i="9"/>
  <c r="AS803" i="9"/>
  <c r="AW803" i="9"/>
  <c r="AY803" i="9"/>
  <c r="BA803" i="9"/>
  <c r="BC803" i="9"/>
  <c r="BE803" i="9"/>
  <c r="J811" i="9"/>
  <c r="C812" i="9"/>
  <c r="C814" i="9"/>
  <c r="J826" i="9"/>
  <c r="I847" i="9"/>
  <c r="AO850" i="9"/>
  <c r="AQ850" i="9"/>
  <c r="AS850" i="9"/>
  <c r="AW850" i="9"/>
  <c r="AY850" i="9"/>
  <c r="BA850" i="9"/>
  <c r="BC850" i="9"/>
  <c r="BE850" i="9"/>
  <c r="E850" i="9"/>
  <c r="AO907" i="9"/>
  <c r="AQ907" i="9"/>
  <c r="AS907" i="9"/>
  <c r="AW907" i="9"/>
  <c r="AY907" i="9"/>
  <c r="BA907" i="9"/>
  <c r="BC907" i="9"/>
  <c r="BE907" i="9"/>
  <c r="E907" i="9"/>
  <c r="K907" i="9"/>
  <c r="H636" i="9"/>
  <c r="E640" i="9"/>
  <c r="H660" i="9"/>
  <c r="C666" i="9"/>
  <c r="C674" i="9"/>
  <c r="C681" i="9"/>
  <c r="E684" i="9"/>
  <c r="J688" i="9"/>
  <c r="C703" i="9"/>
  <c r="C708" i="9"/>
  <c r="E709" i="9"/>
  <c r="C739" i="9"/>
  <c r="C745" i="9"/>
  <c r="AO746" i="9"/>
  <c r="AQ746" i="9"/>
  <c r="AS746" i="9"/>
  <c r="AW746" i="9"/>
  <c r="AY746" i="9"/>
  <c r="BA746" i="9"/>
  <c r="BC746" i="9"/>
  <c r="BE746" i="9"/>
  <c r="AO750" i="9"/>
  <c r="AQ750" i="9"/>
  <c r="AS750" i="9"/>
  <c r="AW750" i="9"/>
  <c r="AY750" i="9"/>
  <c r="BA750" i="9"/>
  <c r="BC750" i="9"/>
  <c r="BE750" i="9"/>
  <c r="AN751" i="9"/>
  <c r="H751" i="9"/>
  <c r="E751" i="9"/>
  <c r="E757" i="9"/>
  <c r="AN757" i="9"/>
  <c r="AN770" i="9"/>
  <c r="H770" i="9"/>
  <c r="E770" i="9"/>
  <c r="AN771" i="9"/>
  <c r="E771" i="9"/>
  <c r="E777" i="9"/>
  <c r="AN812" i="9"/>
  <c r="AP812" i="9"/>
  <c r="E812" i="9"/>
  <c r="K822" i="9"/>
  <c r="J822" i="9"/>
  <c r="E889" i="9"/>
  <c r="AN889" i="9"/>
  <c r="AP889" i="9"/>
  <c r="C892" i="9"/>
  <c r="H681" i="9"/>
  <c r="E694" i="9"/>
  <c r="H700" i="9"/>
  <c r="H703" i="9"/>
  <c r="AO726" i="9"/>
  <c r="AQ726" i="9"/>
  <c r="AS726" i="9"/>
  <c r="AW726" i="9"/>
  <c r="AY726" i="9"/>
  <c r="BA726" i="9"/>
  <c r="BC726" i="9"/>
  <c r="BE726" i="9"/>
  <c r="E733" i="9"/>
  <c r="AP747" i="9"/>
  <c r="H758" i="9"/>
  <c r="K773" i="9"/>
  <c r="E792" i="9"/>
  <c r="AO792" i="9"/>
  <c r="AQ792" i="9"/>
  <c r="AS792" i="9"/>
  <c r="AW792" i="9"/>
  <c r="AY792" i="9"/>
  <c r="BA792" i="9"/>
  <c r="BC792" i="9"/>
  <c r="BE792" i="9"/>
  <c r="E799" i="9"/>
  <c r="AN799" i="9"/>
  <c r="AN827" i="9"/>
  <c r="E827" i="9"/>
  <c r="AO828" i="9"/>
  <c r="AQ828" i="9"/>
  <c r="AS828" i="9"/>
  <c r="AW828" i="9"/>
  <c r="AY828" i="9"/>
  <c r="BA828" i="9"/>
  <c r="BC828" i="9"/>
  <c r="BE828" i="9"/>
  <c r="E828" i="9"/>
  <c r="J851" i="9"/>
  <c r="H873" i="9"/>
  <c r="AP873" i="9"/>
  <c r="AR873" i="9"/>
  <c r="I911" i="9"/>
  <c r="AS911" i="9"/>
  <c r="H743" i="9"/>
  <c r="J750" i="9"/>
  <c r="K750" i="9"/>
  <c r="K784" i="9"/>
  <c r="J784" i="9"/>
  <c r="K803" i="9"/>
  <c r="J803" i="9"/>
  <c r="AO848" i="9"/>
  <c r="AQ848" i="9"/>
  <c r="AS848" i="9"/>
  <c r="AW848" i="9"/>
  <c r="AY848" i="9"/>
  <c r="BA848" i="9"/>
  <c r="BC848" i="9"/>
  <c r="BE848" i="9"/>
  <c r="E848" i="9"/>
  <c r="J848" i="9"/>
  <c r="AN864" i="9"/>
  <c r="H864" i="9"/>
  <c r="E864" i="9"/>
  <c r="AQ935" i="9"/>
  <c r="AS935" i="9"/>
  <c r="AW935" i="9"/>
  <c r="AY935" i="9"/>
  <c r="BA935" i="9"/>
  <c r="BC935" i="9"/>
  <c r="BE935" i="9"/>
  <c r="AN963" i="9"/>
  <c r="AP963" i="9"/>
  <c r="AR963" i="9"/>
  <c r="AV963" i="9"/>
  <c r="AX963" i="9"/>
  <c r="E963" i="9"/>
  <c r="J986" i="9"/>
  <c r="C755" i="9"/>
  <c r="C757" i="9"/>
  <c r="C775" i="9"/>
  <c r="C783" i="9"/>
  <c r="E783" i="9"/>
  <c r="C799" i="9"/>
  <c r="C811" i="9"/>
  <c r="E819" i="9"/>
  <c r="C826" i="9"/>
  <c r="AO826" i="9"/>
  <c r="AQ826" i="9"/>
  <c r="AS826" i="9"/>
  <c r="AW826" i="9"/>
  <c r="AY826" i="9"/>
  <c r="BA826" i="9"/>
  <c r="BC826" i="9"/>
  <c r="BE826" i="9"/>
  <c r="J831" i="9"/>
  <c r="C839" i="9"/>
  <c r="C843" i="9"/>
  <c r="AN852" i="9"/>
  <c r="E852" i="9"/>
  <c r="E853" i="9"/>
  <c r="K858" i="9"/>
  <c r="E859" i="9"/>
  <c r="E862" i="9"/>
  <c r="AO872" i="9"/>
  <c r="AQ872" i="9"/>
  <c r="AN879" i="9"/>
  <c r="H879" i="9"/>
  <c r="E879" i="9"/>
  <c r="E884" i="9"/>
  <c r="J885" i="9"/>
  <c r="K885" i="9"/>
  <c r="J914" i="9"/>
  <c r="E919" i="9"/>
  <c r="AN919" i="9"/>
  <c r="E926" i="9"/>
  <c r="AO972" i="9"/>
  <c r="AQ972" i="9"/>
  <c r="AS972" i="9"/>
  <c r="AW972" i="9"/>
  <c r="AY972" i="9"/>
  <c r="BA972" i="9"/>
  <c r="BC972" i="9"/>
  <c r="BE972" i="9"/>
  <c r="E972" i="9"/>
  <c r="E978" i="9"/>
  <c r="AN978" i="9"/>
  <c r="C759" i="9"/>
  <c r="C760" i="9"/>
  <c r="C765" i="9"/>
  <c r="E768" i="9"/>
  <c r="E797" i="9"/>
  <c r="E801" i="9"/>
  <c r="E802" i="9"/>
  <c r="C807" i="9"/>
  <c r="E808" i="9"/>
  <c r="C819" i="9"/>
  <c r="H840" i="9"/>
  <c r="E843" i="9"/>
  <c r="H857" i="9"/>
  <c r="AP865" i="9"/>
  <c r="K895" i="9"/>
  <c r="J895" i="9"/>
  <c r="AN904" i="9"/>
  <c r="AO945" i="9"/>
  <c r="E945" i="9"/>
  <c r="I969" i="9"/>
  <c r="C822" i="9"/>
  <c r="C860" i="9"/>
  <c r="AO865" i="9"/>
  <c r="AQ865" i="9"/>
  <c r="AS865" i="9"/>
  <c r="AW865" i="9"/>
  <c r="AY865" i="9"/>
  <c r="BA865" i="9"/>
  <c r="BC865" i="9"/>
  <c r="BE865" i="9"/>
  <c r="AP894" i="9"/>
  <c r="H894" i="9"/>
  <c r="AN901" i="9"/>
  <c r="E901" i="9"/>
  <c r="C915" i="9"/>
  <c r="K935" i="9"/>
  <c r="J935" i="9"/>
  <c r="AR939" i="9"/>
  <c r="I939" i="9"/>
  <c r="E1001" i="9"/>
  <c r="AR891" i="9"/>
  <c r="I891" i="9"/>
  <c r="AP898" i="9"/>
  <c r="AQ903" i="9"/>
  <c r="AS903" i="9"/>
  <c r="AW903" i="9"/>
  <c r="AY903" i="9"/>
  <c r="BA903" i="9"/>
  <c r="BC903" i="9"/>
  <c r="BE903" i="9"/>
  <c r="H915" i="9"/>
  <c r="AP915" i="9"/>
  <c r="AR915" i="9"/>
  <c r="AN930" i="9"/>
  <c r="AP930" i="9"/>
  <c r="AR930" i="9"/>
  <c r="E930" i="9"/>
  <c r="AQ933" i="9"/>
  <c r="AS933" i="9"/>
  <c r="AW933" i="9"/>
  <c r="AY933" i="9"/>
  <c r="BA933" i="9"/>
  <c r="BC933" i="9"/>
  <c r="BE933" i="9"/>
  <c r="H933" i="9"/>
  <c r="AP968" i="9"/>
  <c r="H968" i="9"/>
  <c r="E977" i="9"/>
  <c r="AN977" i="9"/>
  <c r="AO984" i="9"/>
  <c r="AQ984" i="9"/>
  <c r="AS984" i="9"/>
  <c r="AW984" i="9"/>
  <c r="AY984" i="9"/>
  <c r="BA984" i="9"/>
  <c r="BC984" i="9"/>
  <c r="BE984" i="9"/>
  <c r="E984" i="9"/>
  <c r="C782" i="9"/>
  <c r="C788" i="9"/>
  <c r="C789" i="9"/>
  <c r="C792" i="9"/>
  <c r="K865" i="9"/>
  <c r="C880" i="9"/>
  <c r="H884" i="9"/>
  <c r="E894" i="9"/>
  <c r="L959" i="9"/>
  <c r="AV959" i="9"/>
  <c r="C780" i="9"/>
  <c r="C817" i="9"/>
  <c r="C845" i="9"/>
  <c r="C853" i="9"/>
  <c r="AN854" i="9"/>
  <c r="E854" i="9"/>
  <c r="E868" i="9"/>
  <c r="H878" i="9"/>
  <c r="K887" i="9"/>
  <c r="J887" i="9"/>
  <c r="AN890" i="9"/>
  <c r="AP890" i="9"/>
  <c r="AR890" i="9"/>
  <c r="E890" i="9"/>
  <c r="J891" i="9"/>
  <c r="E898" i="9"/>
  <c r="AO898" i="9"/>
  <c r="AQ898" i="9"/>
  <c r="AS898" i="9"/>
  <c r="AW898" i="9"/>
  <c r="AY898" i="9"/>
  <c r="BA898" i="9"/>
  <c r="BC898" i="9"/>
  <c r="BE898" i="9"/>
  <c r="K903" i="9"/>
  <c r="AP918" i="9"/>
  <c r="H918" i="9"/>
  <c r="E943" i="9"/>
  <c r="AN943" i="9"/>
  <c r="AP943" i="9"/>
  <c r="AR943" i="9"/>
  <c r="AV943" i="9"/>
  <c r="AX943" i="9"/>
  <c r="E947" i="9"/>
  <c r="AO947" i="9"/>
  <c r="H971" i="9"/>
  <c r="C763" i="9"/>
  <c r="C764" i="9"/>
  <c r="C766" i="9"/>
  <c r="E786" i="9"/>
  <c r="E795" i="9"/>
  <c r="E804" i="9"/>
  <c r="C806" i="9"/>
  <c r="E823" i="9"/>
  <c r="C824" i="9"/>
  <c r="C834" i="9"/>
  <c r="E834" i="9"/>
  <c r="C841" i="9"/>
  <c r="AP855" i="9"/>
  <c r="AR855" i="9"/>
  <c r="AV855" i="9"/>
  <c r="O855" i="9"/>
  <c r="J865" i="9"/>
  <c r="E881" i="9"/>
  <c r="E929" i="9"/>
  <c r="AO929" i="9"/>
  <c r="AQ929" i="9"/>
  <c r="AS929" i="9"/>
  <c r="AW929" i="9"/>
  <c r="AY929" i="9"/>
  <c r="BA929" i="9"/>
  <c r="BC929" i="9"/>
  <c r="BE929" i="9"/>
  <c r="K939" i="9"/>
  <c r="J939" i="9"/>
  <c r="H941" i="9"/>
  <c r="AY969" i="9"/>
  <c r="BA969" i="9"/>
  <c r="BC969" i="9"/>
  <c r="BE969" i="9"/>
  <c r="E976" i="9"/>
  <c r="E979" i="9"/>
  <c r="AN979" i="9"/>
  <c r="E996" i="9"/>
  <c r="C887" i="9"/>
  <c r="C893" i="9"/>
  <c r="H900" i="9"/>
  <c r="C902" i="9"/>
  <c r="E908" i="9"/>
  <c r="H934" i="9"/>
  <c r="E965" i="9"/>
  <c r="C975" i="9"/>
  <c r="AP983" i="9"/>
  <c r="AR983" i="9"/>
  <c r="C994" i="9"/>
  <c r="E1002" i="9"/>
  <c r="C940" i="9"/>
  <c r="C946" i="9"/>
  <c r="C950" i="9"/>
  <c r="C956" i="9"/>
  <c r="C846" i="9"/>
  <c r="E855" i="9"/>
  <c r="E860" i="9"/>
  <c r="E869" i="9"/>
  <c r="E882" i="9"/>
  <c r="C886" i="9"/>
  <c r="E893" i="9"/>
  <c r="C898" i="9"/>
  <c r="E900" i="9"/>
  <c r="AN914" i="9"/>
  <c r="H914" i="9"/>
  <c r="C925" i="9"/>
  <c r="H932" i="9"/>
  <c r="C933" i="9"/>
  <c r="C934" i="9"/>
  <c r="E938" i="9"/>
  <c r="AN958" i="9"/>
  <c r="C966" i="9"/>
  <c r="C967" i="9"/>
  <c r="E968" i="9"/>
  <c r="C970" i="9"/>
  <c r="C973" i="9"/>
  <c r="C983" i="9"/>
  <c r="E991" i="9"/>
  <c r="I995" i="9"/>
  <c r="C1002" i="9"/>
  <c r="C848" i="9"/>
  <c r="C850" i="9"/>
  <c r="C858" i="9"/>
  <c r="C861" i="9"/>
  <c r="C867" i="9"/>
  <c r="C877" i="9"/>
  <c r="C908" i="9"/>
  <c r="J915" i="9"/>
  <c r="C924" i="9"/>
  <c r="E954" i="9"/>
  <c r="C962" i="9"/>
  <c r="AN970" i="9"/>
  <c r="E983" i="9"/>
  <c r="H991" i="9"/>
  <c r="C888" i="9"/>
  <c r="H911" i="9"/>
  <c r="J918" i="9"/>
  <c r="E948" i="9"/>
  <c r="C995" i="9"/>
  <c r="E873" i="9"/>
  <c r="E876" i="9"/>
  <c r="E878" i="9"/>
  <c r="E883" i="9"/>
  <c r="C885" i="9"/>
  <c r="C894" i="9"/>
  <c r="C900" i="9"/>
  <c r="E902" i="9"/>
  <c r="E911" i="9"/>
  <c r="C917" i="9"/>
  <c r="C921" i="9"/>
  <c r="H926" i="9"/>
  <c r="I932" i="9"/>
  <c r="C935" i="9"/>
  <c r="C938" i="9"/>
  <c r="AO965" i="9"/>
  <c r="AQ965" i="9"/>
  <c r="AS965" i="9"/>
  <c r="AW965" i="9"/>
  <c r="AY965" i="9"/>
  <c r="BA965" i="9"/>
  <c r="BC965" i="9"/>
  <c r="BE965" i="9"/>
  <c r="E971" i="9"/>
  <c r="E973" i="9"/>
  <c r="AR13" i="9"/>
  <c r="I13" i="9"/>
  <c r="AV26" i="9"/>
  <c r="L26" i="9"/>
  <c r="AP36" i="9"/>
  <c r="H36" i="9"/>
  <c r="AS41" i="9"/>
  <c r="AW41" i="9"/>
  <c r="AY41" i="9"/>
  <c r="BA41" i="9"/>
  <c r="BC41" i="9"/>
  <c r="BE41" i="9"/>
  <c r="I41" i="9"/>
  <c r="AQ48" i="9"/>
  <c r="AS48" i="9"/>
  <c r="AW48" i="9"/>
  <c r="AY48" i="9"/>
  <c r="BA48" i="9"/>
  <c r="BC48" i="9"/>
  <c r="BE48" i="9"/>
  <c r="H48" i="9"/>
  <c r="AV86" i="9"/>
  <c r="K89" i="9"/>
  <c r="J89" i="9"/>
  <c r="H90" i="9"/>
  <c r="AP90" i="9"/>
  <c r="AR92" i="9"/>
  <c r="I92" i="9"/>
  <c r="J102" i="9"/>
  <c r="K102" i="9"/>
  <c r="K4" i="9"/>
  <c r="J4" i="9"/>
  <c r="AS33" i="9"/>
  <c r="AW33" i="9"/>
  <c r="AY33" i="9"/>
  <c r="BA33" i="9"/>
  <c r="BC33" i="9"/>
  <c r="BE33" i="9"/>
  <c r="I33" i="9"/>
  <c r="AV42" i="9"/>
  <c r="L42" i="9"/>
  <c r="AP68" i="9"/>
  <c r="H68" i="9"/>
  <c r="AP72" i="9"/>
  <c r="H72" i="9"/>
  <c r="AV18" i="9"/>
  <c r="L18" i="9"/>
  <c r="AP32" i="9"/>
  <c r="H32" i="9"/>
  <c r="AR45" i="9"/>
  <c r="I45" i="9"/>
  <c r="K52" i="9"/>
  <c r="J52" i="9"/>
  <c r="AP64" i="9"/>
  <c r="H64" i="9"/>
  <c r="AV10" i="9"/>
  <c r="L10" i="9"/>
  <c r="AP20" i="9"/>
  <c r="H20" i="9"/>
  <c r="L134" i="9"/>
  <c r="AV134" i="9"/>
  <c r="AS9" i="9"/>
  <c r="AW9" i="9"/>
  <c r="AY9" i="9"/>
  <c r="BA9" i="9"/>
  <c r="BC9" i="9"/>
  <c r="BE9" i="9"/>
  <c r="I9" i="9"/>
  <c r="AV14" i="9"/>
  <c r="L14" i="9"/>
  <c r="AP8" i="9"/>
  <c r="H8" i="9"/>
  <c r="AQ16" i="9"/>
  <c r="AS16" i="9"/>
  <c r="AW16" i="9"/>
  <c r="AY16" i="9"/>
  <c r="BA16" i="9"/>
  <c r="BC16" i="9"/>
  <c r="BE16" i="9"/>
  <c r="H16" i="9"/>
  <c r="AR29" i="9"/>
  <c r="I29" i="9"/>
  <c r="AW54" i="9"/>
  <c r="AY54" i="9"/>
  <c r="BA54" i="9"/>
  <c r="BC54" i="9"/>
  <c r="BE54" i="9"/>
  <c r="L54" i="9"/>
  <c r="AW58" i="9"/>
  <c r="AY58" i="9"/>
  <c r="BA58" i="9"/>
  <c r="BC58" i="9"/>
  <c r="BE58" i="9"/>
  <c r="L58" i="9"/>
  <c r="K60" i="9"/>
  <c r="J60" i="9"/>
  <c r="AP76" i="9"/>
  <c r="H76" i="9"/>
  <c r="AR81" i="9"/>
  <c r="I81" i="9"/>
  <c r="AV34" i="9"/>
  <c r="L34" i="9"/>
  <c r="AV30" i="9"/>
  <c r="AS37" i="9"/>
  <c r="AW37" i="9"/>
  <c r="AY37" i="9"/>
  <c r="BA37" i="9"/>
  <c r="BC37" i="9"/>
  <c r="BE37" i="9"/>
  <c r="I37" i="9"/>
  <c r="AP80" i="9"/>
  <c r="H80" i="9"/>
  <c r="AP55" i="9"/>
  <c r="H55" i="9"/>
  <c r="J146" i="9"/>
  <c r="K146" i="9"/>
  <c r="K13" i="9"/>
  <c r="AP19" i="9"/>
  <c r="H19" i="9"/>
  <c r="AR24" i="9"/>
  <c r="I24" i="9"/>
  <c r="K29" i="9"/>
  <c r="L61" i="9"/>
  <c r="AP63" i="9"/>
  <c r="H63" i="9"/>
  <c r="L65" i="9"/>
  <c r="AP67" i="9"/>
  <c r="H67" i="9"/>
  <c r="AP71" i="9"/>
  <c r="H71" i="9"/>
  <c r="AP75" i="9"/>
  <c r="H75" i="9"/>
  <c r="L77" i="9"/>
  <c r="AP79" i="9"/>
  <c r="H79" i="9"/>
  <c r="E85" i="9"/>
  <c r="AP88" i="9"/>
  <c r="H88" i="9"/>
  <c r="AN89" i="9"/>
  <c r="H92" i="9"/>
  <c r="J95" i="9"/>
  <c r="AN99" i="9"/>
  <c r="E99" i="9"/>
  <c r="K101" i="9"/>
  <c r="J101" i="9"/>
  <c r="H102" i="9"/>
  <c r="AP102" i="9"/>
  <c r="J104" i="9"/>
  <c r="K104" i="9"/>
  <c r="AN109" i="9"/>
  <c r="E109" i="9"/>
  <c r="E114" i="9"/>
  <c r="AN114" i="9"/>
  <c r="J116" i="9"/>
  <c r="J120" i="9"/>
  <c r="K120" i="9"/>
  <c r="E128" i="9"/>
  <c r="AN128" i="9"/>
  <c r="H130" i="9"/>
  <c r="AP130" i="9"/>
  <c r="J131" i="9"/>
  <c r="K131" i="9"/>
  <c r="H139" i="9"/>
  <c r="AP139" i="9"/>
  <c r="AV150" i="9"/>
  <c r="L150" i="9"/>
  <c r="J162" i="9"/>
  <c r="K162" i="9"/>
  <c r="AS164" i="9"/>
  <c r="AW164" i="9"/>
  <c r="AY164" i="9"/>
  <c r="BA164" i="9"/>
  <c r="BC164" i="9"/>
  <c r="BE164" i="9"/>
  <c r="I164" i="9"/>
  <c r="J177" i="9"/>
  <c r="K177" i="9"/>
  <c r="E186" i="9"/>
  <c r="AN186" i="9"/>
  <c r="K41" i="9"/>
  <c r="K64" i="9"/>
  <c r="J64" i="9"/>
  <c r="J67" i="9"/>
  <c r="J71" i="9"/>
  <c r="J75" i="9"/>
  <c r="K80" i="9"/>
  <c r="J80" i="9"/>
  <c r="AR100" i="9"/>
  <c r="I100" i="9"/>
  <c r="AP3" i="9"/>
  <c r="I10" i="9"/>
  <c r="I42" i="9"/>
  <c r="H82" i="9"/>
  <c r="AP82" i="9"/>
  <c r="H98" i="9"/>
  <c r="AP98" i="9"/>
  <c r="I154" i="9"/>
  <c r="AR154" i="9"/>
  <c r="AP197" i="9"/>
  <c r="AV288" i="9"/>
  <c r="AR4" i="9"/>
  <c r="I4" i="9"/>
  <c r="K20" i="9"/>
  <c r="J20" i="9"/>
  <c r="K68" i="9"/>
  <c r="J68" i="9"/>
  <c r="K76" i="9"/>
  <c r="J76" i="9"/>
  <c r="L104" i="9"/>
  <c r="AV104" i="9"/>
  <c r="J155" i="9"/>
  <c r="K155" i="9"/>
  <c r="J23" i="9"/>
  <c r="I26" i="9"/>
  <c r="AP69" i="9"/>
  <c r="J113" i="9"/>
  <c r="K113" i="9"/>
  <c r="H118" i="9"/>
  <c r="AP118" i="9"/>
  <c r="AP5" i="9"/>
  <c r="AX9" i="9"/>
  <c r="I14" i="9"/>
  <c r="I17" i="9"/>
  <c r="K17" i="9"/>
  <c r="AP23" i="9"/>
  <c r="H23" i="9"/>
  <c r="AX33" i="9"/>
  <c r="AX37" i="9"/>
  <c r="E39" i="9"/>
  <c r="AX41" i="9"/>
  <c r="I49" i="9"/>
  <c r="K49" i="9"/>
  <c r="AZ50" i="9"/>
  <c r="I53" i="9"/>
  <c r="K53" i="9"/>
  <c r="AZ54" i="9"/>
  <c r="AZ58" i="9"/>
  <c r="H61" i="9"/>
  <c r="H65" i="9"/>
  <c r="H77" i="9"/>
  <c r="E98" i="9"/>
  <c r="C103" i="9"/>
  <c r="I105" i="9"/>
  <c r="AP106" i="9"/>
  <c r="L110" i="9"/>
  <c r="H113" i="9"/>
  <c r="AP113" i="9"/>
  <c r="E119" i="9"/>
  <c r="C124" i="9"/>
  <c r="J126" i="9"/>
  <c r="K126" i="9"/>
  <c r="AP126" i="9"/>
  <c r="J127" i="9"/>
  <c r="AP144" i="9"/>
  <c r="AP156" i="9"/>
  <c r="AP160" i="9"/>
  <c r="K33" i="9"/>
  <c r="K37" i="9"/>
  <c r="AP51" i="9"/>
  <c r="H51" i="9"/>
  <c r="K67" i="9"/>
  <c r="K71" i="9"/>
  <c r="AP73" i="9"/>
  <c r="K75" i="9"/>
  <c r="AN87" i="9"/>
  <c r="E87" i="9"/>
  <c r="E90" i="9"/>
  <c r="AN96" i="9"/>
  <c r="E96" i="9"/>
  <c r="AN111" i="9"/>
  <c r="E111" i="9"/>
  <c r="AP25" i="9"/>
  <c r="AR28" i="9"/>
  <c r="I28" i="9"/>
  <c r="K32" i="9"/>
  <c r="J32" i="9"/>
  <c r="J35" i="9"/>
  <c r="AR46" i="9"/>
  <c r="AV53" i="9"/>
  <c r="AP66" i="9"/>
  <c r="AP70" i="9"/>
  <c r="AR93" i="9"/>
  <c r="H101" i="9"/>
  <c r="AP101" i="9"/>
  <c r="H103" i="9"/>
  <c r="AP103" i="9"/>
  <c r="J107" i="9"/>
  <c r="K107" i="9"/>
  <c r="AN108" i="9"/>
  <c r="E108" i="9"/>
  <c r="AP112" i="9"/>
  <c r="H112" i="9"/>
  <c r="E117" i="9"/>
  <c r="AN117" i="9"/>
  <c r="AP120" i="9"/>
  <c r="J123" i="9"/>
  <c r="K123" i="9"/>
  <c r="H124" i="9"/>
  <c r="AP124" i="9"/>
  <c r="J137" i="9"/>
  <c r="K137" i="9"/>
  <c r="E140" i="9"/>
  <c r="AN140" i="9"/>
  <c r="AV141" i="9"/>
  <c r="L145" i="9"/>
  <c r="AV145" i="9"/>
  <c r="AP151" i="9"/>
  <c r="H151" i="9"/>
  <c r="K156" i="9"/>
  <c r="J156" i="9"/>
  <c r="AN158" i="9"/>
  <c r="E158" i="9"/>
  <c r="K160" i="9"/>
  <c r="J160" i="9"/>
  <c r="AR161" i="9"/>
  <c r="K167" i="9"/>
  <c r="J167" i="9"/>
  <c r="AV178" i="9"/>
  <c r="L178" i="9"/>
  <c r="H181" i="9"/>
  <c r="AP181" i="9"/>
  <c r="J79" i="9"/>
  <c r="AR40" i="9"/>
  <c r="I40" i="9"/>
  <c r="E84" i="9"/>
  <c r="AN84" i="9"/>
  <c r="H148" i="9"/>
  <c r="AP148" i="9"/>
  <c r="AV17" i="9"/>
  <c r="K23" i="9"/>
  <c r="K36" i="9"/>
  <c r="J36" i="9"/>
  <c r="AR44" i="9"/>
  <c r="I44" i="9"/>
  <c r="AV49" i="9"/>
  <c r="I61" i="9"/>
  <c r="K61" i="9"/>
  <c r="AP62" i="9"/>
  <c r="K65" i="9"/>
  <c r="I77" i="9"/>
  <c r="K77" i="9"/>
  <c r="AP78" i="9"/>
  <c r="H81" i="9"/>
  <c r="AP7" i="9"/>
  <c r="H7" i="9"/>
  <c r="J11" i="9"/>
  <c r="K12" i="9"/>
  <c r="J12" i="9"/>
  <c r="AR16" i="9"/>
  <c r="Q17" i="9"/>
  <c r="I18" i="9"/>
  <c r="K21" i="9"/>
  <c r="H24" i="9"/>
  <c r="J27" i="9"/>
  <c r="K28" i="9"/>
  <c r="J28" i="9"/>
  <c r="AP31" i="9"/>
  <c r="H31" i="9"/>
  <c r="AP35" i="9"/>
  <c r="H35" i="9"/>
  <c r="K44" i="9"/>
  <c r="J44" i="9"/>
  <c r="AR48" i="9"/>
  <c r="I50" i="9"/>
  <c r="I54" i="9"/>
  <c r="AV57" i="9"/>
  <c r="I58" i="9"/>
  <c r="AV61" i="9"/>
  <c r="J65" i="9"/>
  <c r="AV65" i="9"/>
  <c r="J77" i="9"/>
  <c r="AV77" i="9"/>
  <c r="K81" i="9"/>
  <c r="AP85" i="9"/>
  <c r="J91" i="9"/>
  <c r="K91" i="9"/>
  <c r="H97" i="9"/>
  <c r="AP97" i="9"/>
  <c r="H119" i="9"/>
  <c r="AP119" i="9"/>
  <c r="AN121" i="9"/>
  <c r="E122" i="9"/>
  <c r="AP123" i="9"/>
  <c r="J129" i="9"/>
  <c r="K129" i="9"/>
  <c r="J130" i="9"/>
  <c r="K130" i="9"/>
  <c r="J132" i="9"/>
  <c r="K132" i="9"/>
  <c r="I132" i="9"/>
  <c r="J135" i="9"/>
  <c r="J138" i="9"/>
  <c r="E148" i="9"/>
  <c r="J19" i="9"/>
  <c r="AP59" i="9"/>
  <c r="H59" i="9"/>
  <c r="K72" i="9"/>
  <c r="J72" i="9"/>
  <c r="I131" i="9"/>
  <c r="AR131" i="9"/>
  <c r="H143" i="9"/>
  <c r="AP143" i="9"/>
  <c r="AP223" i="9"/>
  <c r="H223" i="9"/>
  <c r="Q314" i="9"/>
  <c r="R314" i="9"/>
  <c r="AP21" i="9"/>
  <c r="J24" i="9"/>
  <c r="J103" i="9"/>
  <c r="K103" i="9"/>
  <c r="AN133" i="9"/>
  <c r="E133" i="9"/>
  <c r="J143" i="9"/>
  <c r="K143" i="9"/>
  <c r="AR12" i="9"/>
  <c r="I12" i="9"/>
  <c r="J31" i="9"/>
  <c r="AP39" i="9"/>
  <c r="H39" i="9"/>
  <c r="K57" i="9"/>
  <c r="I65" i="9"/>
  <c r="AP74" i="9"/>
  <c r="K5" i="9"/>
  <c r="AP11" i="9"/>
  <c r="H11" i="9"/>
  <c r="E15" i="9"/>
  <c r="E16" i="9"/>
  <c r="J18" i="9"/>
  <c r="J21" i="9"/>
  <c r="AP27" i="9"/>
  <c r="H27" i="9"/>
  <c r="K31" i="9"/>
  <c r="K35" i="9"/>
  <c r="H40" i="9"/>
  <c r="AP43" i="9"/>
  <c r="H43" i="9"/>
  <c r="E47" i="9"/>
  <c r="E48" i="9"/>
  <c r="J50" i="9"/>
  <c r="AN52" i="9"/>
  <c r="J54" i="9"/>
  <c r="AN56" i="9"/>
  <c r="AN60" i="9"/>
  <c r="J69" i="9"/>
  <c r="J73" i="9"/>
  <c r="J81" i="9"/>
  <c r="J82" i="9"/>
  <c r="C91" i="9"/>
  <c r="AN95" i="9"/>
  <c r="J100" i="9"/>
  <c r="K100" i="9"/>
  <c r="J115" i="9"/>
  <c r="K115" i="9"/>
  <c r="AP115" i="9"/>
  <c r="C116" i="9"/>
  <c r="AP122" i="9"/>
  <c r="AR129" i="9"/>
  <c r="J134" i="9"/>
  <c r="K134" i="9"/>
  <c r="E142" i="9"/>
  <c r="AN142" i="9"/>
  <c r="H162" i="9"/>
  <c r="AP162" i="9"/>
  <c r="AN163" i="9"/>
  <c r="E163" i="9"/>
  <c r="AV165" i="9"/>
  <c r="L165" i="9"/>
  <c r="I182" i="9"/>
  <c r="AR182" i="9"/>
  <c r="J63" i="9"/>
  <c r="K97" i="9"/>
  <c r="J97" i="9"/>
  <c r="H100" i="9"/>
  <c r="E136" i="9"/>
  <c r="AN136" i="9"/>
  <c r="J141" i="9"/>
  <c r="K141" i="9"/>
  <c r="H252" i="9"/>
  <c r="AP252" i="9"/>
  <c r="I34" i="9"/>
  <c r="H4" i="9"/>
  <c r="J7" i="9"/>
  <c r="J5" i="9"/>
  <c r="K11" i="9"/>
  <c r="AP15" i="9"/>
  <c r="H15" i="9"/>
  <c r="K18" i="9"/>
  <c r="K27" i="9"/>
  <c r="AP38" i="9"/>
  <c r="AP47" i="9"/>
  <c r="H47" i="9"/>
  <c r="K50" i="9"/>
  <c r="E51" i="9"/>
  <c r="K54" i="9"/>
  <c r="E55" i="9"/>
  <c r="K58" i="9"/>
  <c r="E59" i="9"/>
  <c r="J62" i="9"/>
  <c r="J66" i="9"/>
  <c r="J70" i="9"/>
  <c r="J74" i="9"/>
  <c r="J78" i="9"/>
  <c r="K82" i="9"/>
  <c r="E83" i="9"/>
  <c r="AN83" i="9"/>
  <c r="E88" i="9"/>
  <c r="C88" i="9"/>
  <c r="H91" i="9"/>
  <c r="AP91" i="9"/>
  <c r="K95" i="9"/>
  <c r="C100" i="9"/>
  <c r="I104" i="9"/>
  <c r="J106" i="9"/>
  <c r="AP107" i="9"/>
  <c r="E112" i="9"/>
  <c r="K116" i="9"/>
  <c r="H116" i="9"/>
  <c r="AP116" i="9"/>
  <c r="E125" i="9"/>
  <c r="AN125" i="9"/>
  <c r="I134" i="9"/>
  <c r="K135" i="9"/>
  <c r="K138" i="9"/>
  <c r="J152" i="9"/>
  <c r="J159" i="9"/>
  <c r="K159" i="9"/>
  <c r="L179" i="9"/>
  <c r="AV179" i="9"/>
  <c r="H191" i="9"/>
  <c r="AP191" i="9"/>
  <c r="I183" i="9"/>
  <c r="AR183" i="9"/>
  <c r="C186" i="9"/>
  <c r="K191" i="9"/>
  <c r="J191" i="9"/>
  <c r="J201" i="9"/>
  <c r="K201" i="9"/>
  <c r="H201" i="9"/>
  <c r="AP201" i="9"/>
  <c r="J210" i="9"/>
  <c r="K210" i="9"/>
  <c r="AP222" i="9"/>
  <c r="H222" i="9"/>
  <c r="J144" i="9"/>
  <c r="AN147" i="9"/>
  <c r="I150" i="9"/>
  <c r="AN155" i="9"/>
  <c r="E171" i="9"/>
  <c r="AN171" i="9"/>
  <c r="E187" i="9"/>
  <c r="AN187" i="9"/>
  <c r="K189" i="9"/>
  <c r="J189" i="9"/>
  <c r="J198" i="9"/>
  <c r="I200" i="9"/>
  <c r="K207" i="9"/>
  <c r="J207" i="9"/>
  <c r="K211" i="9"/>
  <c r="J211" i="9"/>
  <c r="K245" i="9"/>
  <c r="J245" i="9"/>
  <c r="AR283" i="9"/>
  <c r="I283" i="9"/>
  <c r="C96" i="9"/>
  <c r="C99" i="9"/>
  <c r="C112" i="9"/>
  <c r="AP127" i="9"/>
  <c r="AR132" i="9"/>
  <c r="AP135" i="9"/>
  <c r="AP138" i="9"/>
  <c r="AP146" i="9"/>
  <c r="AV164" i="9"/>
  <c r="H168" i="9"/>
  <c r="AP168" i="9"/>
  <c r="E169" i="9"/>
  <c r="AN169" i="9"/>
  <c r="H175" i="9"/>
  <c r="H176" i="9"/>
  <c r="AP176" i="9"/>
  <c r="E185" i="9"/>
  <c r="AN185" i="9"/>
  <c r="AR188" i="9"/>
  <c r="O215" i="9"/>
  <c r="AX215" i="9"/>
  <c r="AR231" i="9"/>
  <c r="AO253" i="9"/>
  <c r="AQ253" i="9"/>
  <c r="AS253" i="9"/>
  <c r="AW253" i="9"/>
  <c r="AY253" i="9"/>
  <c r="BA253" i="9"/>
  <c r="BC253" i="9"/>
  <c r="BE253" i="9"/>
  <c r="E253" i="9"/>
  <c r="J124" i="9"/>
  <c r="J166" i="9"/>
  <c r="K172" i="9"/>
  <c r="J172" i="9"/>
  <c r="I196" i="9"/>
  <c r="AR196" i="9"/>
  <c r="I232" i="9"/>
  <c r="AR232" i="9"/>
  <c r="A19" i="5"/>
  <c r="C85" i="9"/>
  <c r="J86" i="9"/>
  <c r="C109" i="9"/>
  <c r="J110" i="9"/>
  <c r="C119" i="9"/>
  <c r="I141" i="9"/>
  <c r="K144" i="9"/>
  <c r="C144" i="9"/>
  <c r="AP149" i="9"/>
  <c r="AP152" i="9"/>
  <c r="J154" i="9"/>
  <c r="AP157" i="9"/>
  <c r="AP166" i="9"/>
  <c r="H166" i="9"/>
  <c r="I175" i="9"/>
  <c r="AR175" i="9"/>
  <c r="AR184" i="9"/>
  <c r="H194" i="9"/>
  <c r="AP194" i="9"/>
  <c r="K195" i="9"/>
  <c r="J196" i="9"/>
  <c r="AQ198" i="9"/>
  <c r="AS198" i="9"/>
  <c r="AW198" i="9"/>
  <c r="AY198" i="9"/>
  <c r="BA198" i="9"/>
  <c r="BC198" i="9"/>
  <c r="BE198" i="9"/>
  <c r="H198" i="9"/>
  <c r="AR199" i="9"/>
  <c r="I199" i="9"/>
  <c r="AR227" i="9"/>
  <c r="K230" i="9"/>
  <c r="J230" i="9"/>
  <c r="AQ231" i="9"/>
  <c r="AS231" i="9"/>
  <c r="AW231" i="9"/>
  <c r="AY231" i="9"/>
  <c r="BA231" i="9"/>
  <c r="BC231" i="9"/>
  <c r="BE231" i="9"/>
  <c r="H231" i="9"/>
  <c r="K237" i="9"/>
  <c r="J237" i="9"/>
  <c r="J250" i="9"/>
  <c r="H268" i="9"/>
  <c r="AP268" i="9"/>
  <c r="J281" i="9"/>
  <c r="AP286" i="9"/>
  <c r="H286" i="9"/>
  <c r="AP159" i="9"/>
  <c r="H159" i="9"/>
  <c r="AP167" i="9"/>
  <c r="E170" i="9"/>
  <c r="AN170" i="9"/>
  <c r="J176" i="9"/>
  <c r="C185" i="9"/>
  <c r="AP226" i="9"/>
  <c r="H226" i="9"/>
  <c r="AS244" i="9"/>
  <c r="AW244" i="9"/>
  <c r="AY244" i="9"/>
  <c r="BA244" i="9"/>
  <c r="BC244" i="9"/>
  <c r="BE244" i="9"/>
  <c r="J272" i="9"/>
  <c r="C87" i="9"/>
  <c r="C93" i="9"/>
  <c r="J94" i="9"/>
  <c r="C111" i="9"/>
  <c r="C131" i="9"/>
  <c r="C151" i="9"/>
  <c r="H174" i="9"/>
  <c r="K184" i="9"/>
  <c r="J184" i="9"/>
  <c r="AQ184" i="9"/>
  <c r="AS184" i="9"/>
  <c r="AW184" i="9"/>
  <c r="AY184" i="9"/>
  <c r="BA184" i="9"/>
  <c r="BC184" i="9"/>
  <c r="BE184" i="9"/>
  <c r="H184" i="9"/>
  <c r="E194" i="9"/>
  <c r="K198" i="9"/>
  <c r="H199" i="9"/>
  <c r="L208" i="9"/>
  <c r="AV208" i="9"/>
  <c r="AP214" i="9"/>
  <c r="H214" i="9"/>
  <c r="AR219" i="9"/>
  <c r="I219" i="9"/>
  <c r="AQ227" i="9"/>
  <c r="AS227" i="9"/>
  <c r="AW227" i="9"/>
  <c r="AY227" i="9"/>
  <c r="BA227" i="9"/>
  <c r="BC227" i="9"/>
  <c r="BE227" i="9"/>
  <c r="H227" i="9"/>
  <c r="AP234" i="9"/>
  <c r="H234" i="9"/>
  <c r="AV240" i="9"/>
  <c r="K272" i="9"/>
  <c r="K179" i="9"/>
  <c r="H190" i="9"/>
  <c r="AP190" i="9"/>
  <c r="H195" i="9"/>
  <c r="AP195" i="9"/>
  <c r="AO197" i="9"/>
  <c r="AQ197" i="9"/>
  <c r="AS197" i="9"/>
  <c r="AW197" i="9"/>
  <c r="AY197" i="9"/>
  <c r="BA197" i="9"/>
  <c r="BC197" i="9"/>
  <c r="BE197" i="9"/>
  <c r="E197" i="9"/>
  <c r="AO277" i="9"/>
  <c r="AQ277" i="9"/>
  <c r="AS277" i="9"/>
  <c r="AW277" i="9"/>
  <c r="AY277" i="9"/>
  <c r="BA277" i="9"/>
  <c r="BC277" i="9"/>
  <c r="BE277" i="9"/>
  <c r="E277" i="9"/>
  <c r="C120" i="9"/>
  <c r="C123" i="9"/>
  <c r="K124" i="9"/>
  <c r="E150" i="9"/>
  <c r="H173" i="9"/>
  <c r="AP173" i="9"/>
  <c r="I174" i="9"/>
  <c r="AR174" i="9"/>
  <c r="H178" i="9"/>
  <c r="H183" i="9"/>
  <c r="H193" i="9"/>
  <c r="AP193" i="9"/>
  <c r="AV198" i="9"/>
  <c r="K203" i="9"/>
  <c r="J203" i="9"/>
  <c r="AR212" i="9"/>
  <c r="I212" i="9"/>
  <c r="AO218" i="9"/>
  <c r="AQ218" i="9"/>
  <c r="AS218" i="9"/>
  <c r="AW218" i="9"/>
  <c r="AY218" i="9"/>
  <c r="BA218" i="9"/>
  <c r="BC218" i="9"/>
  <c r="BE218" i="9"/>
  <c r="E218" i="9"/>
  <c r="I236" i="9"/>
  <c r="J217" i="9"/>
  <c r="AP218" i="9"/>
  <c r="AP248" i="9"/>
  <c r="H248" i="9"/>
  <c r="H250" i="9"/>
  <c r="AP250" i="9"/>
  <c r="AP260" i="9"/>
  <c r="H260" i="9"/>
  <c r="H272" i="9"/>
  <c r="AP272" i="9"/>
  <c r="AX281" i="9"/>
  <c r="O281" i="9"/>
  <c r="R290" i="9"/>
  <c r="Q290" i="9"/>
  <c r="L355" i="9"/>
  <c r="AV355" i="9"/>
  <c r="J149" i="9"/>
  <c r="J157" i="9"/>
  <c r="J161" i="9"/>
  <c r="J165" i="9"/>
  <c r="K168" i="9"/>
  <c r="E173" i="9"/>
  <c r="E174" i="9"/>
  <c r="E175" i="9"/>
  <c r="I178" i="9"/>
  <c r="E181" i="9"/>
  <c r="E182" i="9"/>
  <c r="E183" i="9"/>
  <c r="C195" i="9"/>
  <c r="AP202" i="9"/>
  <c r="K217" i="9"/>
  <c r="E226" i="9"/>
  <c r="E234" i="9"/>
  <c r="AP238" i="9"/>
  <c r="I240" i="9"/>
  <c r="AS240" i="9"/>
  <c r="AW240" i="9"/>
  <c r="AY240" i="9"/>
  <c r="BA240" i="9"/>
  <c r="BC240" i="9"/>
  <c r="BE240" i="9"/>
  <c r="K241" i="9"/>
  <c r="J241" i="9"/>
  <c r="AP242" i="9"/>
  <c r="AP246" i="9"/>
  <c r="AP253" i="9"/>
  <c r="H276" i="9"/>
  <c r="H277" i="9"/>
  <c r="AP277" i="9"/>
  <c r="AR291" i="9"/>
  <c r="J350" i="9"/>
  <c r="K350" i="9"/>
  <c r="H369" i="9"/>
  <c r="AP369" i="9"/>
  <c r="J164" i="9"/>
  <c r="C179" i="9"/>
  <c r="J180" i="9"/>
  <c r="AR200" i="9"/>
  <c r="AN203" i="9"/>
  <c r="AP205" i="9"/>
  <c r="C206" i="9"/>
  <c r="I208" i="9"/>
  <c r="AP209" i="9"/>
  <c r="C210" i="9"/>
  <c r="E222" i="9"/>
  <c r="AP225" i="9"/>
  <c r="H225" i="9"/>
  <c r="AP233" i="9"/>
  <c r="H233" i="9"/>
  <c r="AR236" i="9"/>
  <c r="E238" i="9"/>
  <c r="AO238" i="9"/>
  <c r="AQ238" i="9"/>
  <c r="AS238" i="9"/>
  <c r="AW238" i="9"/>
  <c r="AY238" i="9"/>
  <c r="BA238" i="9"/>
  <c r="BC238" i="9"/>
  <c r="BE238" i="9"/>
  <c r="E242" i="9"/>
  <c r="AO242" i="9"/>
  <c r="AQ242" i="9"/>
  <c r="AS242" i="9"/>
  <c r="AW242" i="9"/>
  <c r="AY242" i="9"/>
  <c r="BA242" i="9"/>
  <c r="BC242" i="9"/>
  <c r="BE242" i="9"/>
  <c r="H243" i="9"/>
  <c r="E246" i="9"/>
  <c r="AO246" i="9"/>
  <c r="AQ246" i="9"/>
  <c r="AS246" i="9"/>
  <c r="AW246" i="9"/>
  <c r="AY246" i="9"/>
  <c r="BA246" i="9"/>
  <c r="BC246" i="9"/>
  <c r="BE246" i="9"/>
  <c r="H247" i="9"/>
  <c r="H265" i="9"/>
  <c r="AP265" i="9"/>
  <c r="H274" i="9"/>
  <c r="AP275" i="9"/>
  <c r="I276" i="9"/>
  <c r="AR276" i="9"/>
  <c r="I281" i="9"/>
  <c r="AQ288" i="9"/>
  <c r="AS288" i="9"/>
  <c r="AW288" i="9"/>
  <c r="AY288" i="9"/>
  <c r="BA288" i="9"/>
  <c r="BC288" i="9"/>
  <c r="BE288" i="9"/>
  <c r="H288" i="9"/>
  <c r="AQ292" i="9"/>
  <c r="AS292" i="9"/>
  <c r="AW292" i="9"/>
  <c r="AY292" i="9"/>
  <c r="BA292" i="9"/>
  <c r="BC292" i="9"/>
  <c r="BE292" i="9"/>
  <c r="H292" i="9"/>
  <c r="AO303" i="9"/>
  <c r="AQ303" i="9"/>
  <c r="AS303" i="9"/>
  <c r="AW303" i="9"/>
  <c r="AY303" i="9"/>
  <c r="BA303" i="9"/>
  <c r="BC303" i="9"/>
  <c r="BE303" i="9"/>
  <c r="E303" i="9"/>
  <c r="H312" i="9"/>
  <c r="H324" i="9"/>
  <c r="E333" i="9"/>
  <c r="AO333" i="9"/>
  <c r="AQ333" i="9"/>
  <c r="AS333" i="9"/>
  <c r="AW333" i="9"/>
  <c r="AY333" i="9"/>
  <c r="BA333" i="9"/>
  <c r="BC333" i="9"/>
  <c r="BE333" i="9"/>
  <c r="K164" i="9"/>
  <c r="H177" i="9"/>
  <c r="K180" i="9"/>
  <c r="E205" i="9"/>
  <c r="AN206" i="9"/>
  <c r="AN210" i="9"/>
  <c r="H215" i="9"/>
  <c r="AP229" i="9"/>
  <c r="H229" i="9"/>
  <c r="J233" i="9"/>
  <c r="AP237" i="9"/>
  <c r="H237" i="9"/>
  <c r="AP241" i="9"/>
  <c r="H241" i="9"/>
  <c r="AP245" i="9"/>
  <c r="H245" i="9"/>
  <c r="J252" i="9"/>
  <c r="K271" i="9"/>
  <c r="J271" i="9"/>
  <c r="AO275" i="9"/>
  <c r="AQ275" i="9"/>
  <c r="AS275" i="9"/>
  <c r="AW275" i="9"/>
  <c r="AY275" i="9"/>
  <c r="BA275" i="9"/>
  <c r="BC275" i="9"/>
  <c r="BE275" i="9"/>
  <c r="E275" i="9"/>
  <c r="AQ298" i="9"/>
  <c r="AS298" i="9"/>
  <c r="AW298" i="9"/>
  <c r="AY298" i="9"/>
  <c r="BA298" i="9"/>
  <c r="BC298" i="9"/>
  <c r="BE298" i="9"/>
  <c r="H298" i="9"/>
  <c r="AP304" i="9"/>
  <c r="H304" i="9"/>
  <c r="E317" i="9"/>
  <c r="AO317" i="9"/>
  <c r="AQ317" i="9"/>
  <c r="AS317" i="9"/>
  <c r="AW317" i="9"/>
  <c r="AY317" i="9"/>
  <c r="BA317" i="9"/>
  <c r="BC317" i="9"/>
  <c r="BE317" i="9"/>
  <c r="AO327" i="9"/>
  <c r="AQ327" i="9"/>
  <c r="AS327" i="9"/>
  <c r="AW327" i="9"/>
  <c r="AY327" i="9"/>
  <c r="BA327" i="9"/>
  <c r="BC327" i="9"/>
  <c r="BE327" i="9"/>
  <c r="E327" i="9"/>
  <c r="AR341" i="9"/>
  <c r="AP343" i="9"/>
  <c r="AR345" i="9"/>
  <c r="AP177" i="9"/>
  <c r="E188" i="9"/>
  <c r="AN207" i="9"/>
  <c r="E209" i="9"/>
  <c r="AN211" i="9"/>
  <c r="AR213" i="9"/>
  <c r="I215" i="9"/>
  <c r="AP221" i="9"/>
  <c r="H221" i="9"/>
  <c r="AR224" i="9"/>
  <c r="E225" i="9"/>
  <c r="AR228" i="9"/>
  <c r="E229" i="9"/>
  <c r="AV243" i="9"/>
  <c r="L243" i="9"/>
  <c r="AV247" i="9"/>
  <c r="L247" i="9"/>
  <c r="E249" i="9"/>
  <c r="AN249" i="9"/>
  <c r="H254" i="9"/>
  <c r="AP255" i="9"/>
  <c r="AP261" i="9"/>
  <c r="I263" i="9"/>
  <c r="AR263" i="9"/>
  <c r="J264" i="9"/>
  <c r="K264" i="9"/>
  <c r="H270" i="9"/>
  <c r="AP270" i="9"/>
  <c r="H271" i="9"/>
  <c r="AP271" i="9"/>
  <c r="I274" i="9"/>
  <c r="AR274" i="9"/>
  <c r="AR313" i="9"/>
  <c r="AR325" i="9"/>
  <c r="AV338" i="9"/>
  <c r="C198" i="9"/>
  <c r="J213" i="9"/>
  <c r="AP217" i="9"/>
  <c r="H217" i="9"/>
  <c r="J221" i="9"/>
  <c r="AP230" i="9"/>
  <c r="H230" i="9"/>
  <c r="AO255" i="9"/>
  <c r="AQ255" i="9"/>
  <c r="AS255" i="9"/>
  <c r="AW255" i="9"/>
  <c r="AY255" i="9"/>
  <c r="BA255" i="9"/>
  <c r="BC255" i="9"/>
  <c r="BE255" i="9"/>
  <c r="E255" i="9"/>
  <c r="J258" i="9"/>
  <c r="K258" i="9"/>
  <c r="H259" i="9"/>
  <c r="AP259" i="9"/>
  <c r="E260" i="9"/>
  <c r="E262" i="9"/>
  <c r="AN262" i="9"/>
  <c r="K267" i="9"/>
  <c r="J267" i="9"/>
  <c r="H267" i="9"/>
  <c r="AP267" i="9"/>
  <c r="AP280" i="9"/>
  <c r="H280" i="9"/>
  <c r="J284" i="9"/>
  <c r="K284" i="9"/>
  <c r="AP284" i="9"/>
  <c r="H284" i="9"/>
  <c r="AR287" i="9"/>
  <c r="I287" i="9"/>
  <c r="AV310" i="9"/>
  <c r="AV322" i="9"/>
  <c r="C175" i="9"/>
  <c r="C183" i="9"/>
  <c r="E202" i="9"/>
  <c r="C202" i="9"/>
  <c r="H213" i="9"/>
  <c r="L215" i="9"/>
  <c r="E251" i="9"/>
  <c r="H251" i="9"/>
  <c r="AP251" i="9"/>
  <c r="I254" i="9"/>
  <c r="AR254" i="9"/>
  <c r="AP258" i="9"/>
  <c r="H258" i="9"/>
  <c r="H266" i="9"/>
  <c r="AP266" i="9"/>
  <c r="J270" i="9"/>
  <c r="E273" i="9"/>
  <c r="H273" i="9"/>
  <c r="AP273" i="9"/>
  <c r="J280" i="9"/>
  <c r="K280" i="9"/>
  <c r="J358" i="9"/>
  <c r="J215" i="9"/>
  <c r="J219" i="9"/>
  <c r="J223" i="9"/>
  <c r="J227" i="9"/>
  <c r="J231" i="9"/>
  <c r="J235" i="9"/>
  <c r="H257" i="9"/>
  <c r="AN264" i="9"/>
  <c r="J278" i="9"/>
  <c r="H279" i="9"/>
  <c r="E285" i="9"/>
  <c r="AP293" i="9"/>
  <c r="AP299" i="9"/>
  <c r="H300" i="9"/>
  <c r="E305" i="9"/>
  <c r="AO305" i="9"/>
  <c r="AQ305" i="9"/>
  <c r="AS305" i="9"/>
  <c r="AW305" i="9"/>
  <c r="AY305" i="9"/>
  <c r="BA305" i="9"/>
  <c r="BC305" i="9"/>
  <c r="BE305" i="9"/>
  <c r="AS310" i="9"/>
  <c r="AW310" i="9"/>
  <c r="AY310" i="9"/>
  <c r="BA310" i="9"/>
  <c r="BC310" i="9"/>
  <c r="BE310" i="9"/>
  <c r="AP311" i="9"/>
  <c r="AW314" i="9"/>
  <c r="AY314" i="9"/>
  <c r="BA314" i="9"/>
  <c r="BC314" i="9"/>
  <c r="BE314" i="9"/>
  <c r="AS322" i="9"/>
  <c r="AW322" i="9"/>
  <c r="AY322" i="9"/>
  <c r="BA322" i="9"/>
  <c r="BC322" i="9"/>
  <c r="BE322" i="9"/>
  <c r="AP323" i="9"/>
  <c r="AR328" i="9"/>
  <c r="I328" i="9"/>
  <c r="AS338" i="9"/>
  <c r="AW338" i="9"/>
  <c r="AY338" i="9"/>
  <c r="BA338" i="9"/>
  <c r="BC338" i="9"/>
  <c r="BE338" i="9"/>
  <c r="AP339" i="9"/>
  <c r="AO343" i="9"/>
  <c r="AQ343" i="9"/>
  <c r="AS343" i="9"/>
  <c r="AW343" i="9"/>
  <c r="AY343" i="9"/>
  <c r="BA343" i="9"/>
  <c r="BC343" i="9"/>
  <c r="BE343" i="9"/>
  <c r="E343" i="9"/>
  <c r="AN356" i="9"/>
  <c r="E356" i="9"/>
  <c r="K357" i="9"/>
  <c r="J357" i="9"/>
  <c r="AV360" i="9"/>
  <c r="AP364" i="9"/>
  <c r="H364" i="9"/>
  <c r="E367" i="9"/>
  <c r="AO367" i="9"/>
  <c r="K215" i="9"/>
  <c r="K219" i="9"/>
  <c r="K223" i="9"/>
  <c r="K227" i="9"/>
  <c r="K235" i="9"/>
  <c r="K239" i="9"/>
  <c r="K247" i="9"/>
  <c r="E248" i="9"/>
  <c r="C251" i="9"/>
  <c r="C253" i="9"/>
  <c r="AP257" i="9"/>
  <c r="C273" i="9"/>
  <c r="J274" i="9"/>
  <c r="AP279" i="9"/>
  <c r="H285" i="9"/>
  <c r="J287" i="9"/>
  <c r="H290" i="9"/>
  <c r="AR292" i="9"/>
  <c r="E293" i="9"/>
  <c r="AO293" i="9"/>
  <c r="AQ293" i="9"/>
  <c r="AS293" i="9"/>
  <c r="AW293" i="9"/>
  <c r="AY293" i="9"/>
  <c r="BA293" i="9"/>
  <c r="BC293" i="9"/>
  <c r="BE293" i="9"/>
  <c r="H294" i="9"/>
  <c r="AO299" i="9"/>
  <c r="AQ299" i="9"/>
  <c r="AS299" i="9"/>
  <c r="AW299" i="9"/>
  <c r="AY299" i="9"/>
  <c r="BA299" i="9"/>
  <c r="BC299" i="9"/>
  <c r="BE299" i="9"/>
  <c r="E299" i="9"/>
  <c r="AO311" i="9"/>
  <c r="AQ311" i="9"/>
  <c r="AS311" i="9"/>
  <c r="AW311" i="9"/>
  <c r="AY311" i="9"/>
  <c r="BA311" i="9"/>
  <c r="BC311" i="9"/>
  <c r="BE311" i="9"/>
  <c r="E311" i="9"/>
  <c r="AR312" i="9"/>
  <c r="I312" i="9"/>
  <c r="H314" i="9"/>
  <c r="AX318" i="9"/>
  <c r="AO323" i="9"/>
  <c r="AQ323" i="9"/>
  <c r="AS323" i="9"/>
  <c r="AW323" i="9"/>
  <c r="AY323" i="9"/>
  <c r="BA323" i="9"/>
  <c r="BC323" i="9"/>
  <c r="BE323" i="9"/>
  <c r="E323" i="9"/>
  <c r="AR324" i="9"/>
  <c r="I324" i="9"/>
  <c r="E329" i="9"/>
  <c r="AO329" i="9"/>
  <c r="AQ329" i="9"/>
  <c r="AS329" i="9"/>
  <c r="AW329" i="9"/>
  <c r="AY329" i="9"/>
  <c r="BA329" i="9"/>
  <c r="BC329" i="9"/>
  <c r="BE329" i="9"/>
  <c r="AX334" i="9"/>
  <c r="H336" i="9"/>
  <c r="AR337" i="9"/>
  <c r="AO339" i="9"/>
  <c r="AQ339" i="9"/>
  <c r="AS339" i="9"/>
  <c r="AW339" i="9"/>
  <c r="AY339" i="9"/>
  <c r="BA339" i="9"/>
  <c r="BC339" i="9"/>
  <c r="BE339" i="9"/>
  <c r="E339" i="9"/>
  <c r="AR344" i="9"/>
  <c r="I344" i="9"/>
  <c r="H365" i="9"/>
  <c r="AP365" i="9"/>
  <c r="I366" i="9"/>
  <c r="AR385" i="9"/>
  <c r="I385" i="9"/>
  <c r="E261" i="9"/>
  <c r="C267" i="9"/>
  <c r="C269" i="9"/>
  <c r="C271" i="9"/>
  <c r="E283" i="9"/>
  <c r="C283" i="9"/>
  <c r="AP285" i="9"/>
  <c r="K287" i="9"/>
  <c r="H287" i="9"/>
  <c r="I290" i="9"/>
  <c r="AR294" i="9"/>
  <c r="I294" i="9"/>
  <c r="AP301" i="9"/>
  <c r="AX306" i="9"/>
  <c r="H308" i="9"/>
  <c r="AR309" i="9"/>
  <c r="E313" i="9"/>
  <c r="AO313" i="9"/>
  <c r="AQ313" i="9"/>
  <c r="AS313" i="9"/>
  <c r="AW313" i="9"/>
  <c r="AY313" i="9"/>
  <c r="BA313" i="9"/>
  <c r="BC313" i="9"/>
  <c r="BE313" i="9"/>
  <c r="AS318" i="9"/>
  <c r="AP319" i="9"/>
  <c r="H320" i="9"/>
  <c r="AR321" i="9"/>
  <c r="E325" i="9"/>
  <c r="AO325" i="9"/>
  <c r="AQ325" i="9"/>
  <c r="AS325" i="9"/>
  <c r="AW325" i="9"/>
  <c r="AY325" i="9"/>
  <c r="BA325" i="9"/>
  <c r="BC325" i="9"/>
  <c r="BE325" i="9"/>
  <c r="H326" i="9"/>
  <c r="L330" i="9"/>
  <c r="AS334" i="9"/>
  <c r="AP335" i="9"/>
  <c r="E341" i="9"/>
  <c r="AO341" i="9"/>
  <c r="AQ341" i="9"/>
  <c r="AS341" i="9"/>
  <c r="AW341" i="9"/>
  <c r="AY341" i="9"/>
  <c r="BA341" i="9"/>
  <c r="BC341" i="9"/>
  <c r="BE341" i="9"/>
  <c r="H342" i="9"/>
  <c r="E345" i="9"/>
  <c r="AO345" i="9"/>
  <c r="AQ345" i="9"/>
  <c r="AS345" i="9"/>
  <c r="AW345" i="9"/>
  <c r="AY345" i="9"/>
  <c r="BA345" i="9"/>
  <c r="BC345" i="9"/>
  <c r="BE345" i="9"/>
  <c r="AX346" i="9"/>
  <c r="AP362" i="9"/>
  <c r="K363" i="9"/>
  <c r="AP363" i="9"/>
  <c r="H363" i="9"/>
  <c r="O373" i="9"/>
  <c r="AR393" i="9"/>
  <c r="I393" i="9"/>
  <c r="C265" i="9"/>
  <c r="J266" i="9"/>
  <c r="J288" i="9"/>
  <c r="AN289" i="9"/>
  <c r="AV290" i="9"/>
  <c r="H296" i="9"/>
  <c r="AR300" i="9"/>
  <c r="I300" i="9"/>
  <c r="E301" i="9"/>
  <c r="AO301" i="9"/>
  <c r="AQ301" i="9"/>
  <c r="AS301" i="9"/>
  <c r="AW301" i="9"/>
  <c r="AY301" i="9"/>
  <c r="BA301" i="9"/>
  <c r="BC301" i="9"/>
  <c r="BE301" i="9"/>
  <c r="H302" i="9"/>
  <c r="AP307" i="9"/>
  <c r="AO319" i="9"/>
  <c r="AQ319" i="9"/>
  <c r="AS319" i="9"/>
  <c r="AW319" i="9"/>
  <c r="AY319" i="9"/>
  <c r="BA319" i="9"/>
  <c r="BC319" i="9"/>
  <c r="BE319" i="9"/>
  <c r="E319" i="9"/>
  <c r="O330" i="9"/>
  <c r="AX330" i="9"/>
  <c r="AO335" i="9"/>
  <c r="AQ335" i="9"/>
  <c r="AS335" i="9"/>
  <c r="AW335" i="9"/>
  <c r="AY335" i="9"/>
  <c r="BA335" i="9"/>
  <c r="BC335" i="9"/>
  <c r="BE335" i="9"/>
  <c r="E335" i="9"/>
  <c r="AR336" i="9"/>
  <c r="I336" i="9"/>
  <c r="H338" i="9"/>
  <c r="AP347" i="9"/>
  <c r="K349" i="9"/>
  <c r="J349" i="9"/>
  <c r="I359" i="9"/>
  <c r="J360" i="9"/>
  <c r="AR375" i="9"/>
  <c r="I375" i="9"/>
  <c r="AR377" i="9"/>
  <c r="I377" i="9"/>
  <c r="AP390" i="9"/>
  <c r="K256" i="9"/>
  <c r="E257" i="9"/>
  <c r="C263" i="9"/>
  <c r="K278" i="9"/>
  <c r="E279" i="9"/>
  <c r="AP295" i="9"/>
  <c r="AR302" i="9"/>
  <c r="I302" i="9"/>
  <c r="AO307" i="9"/>
  <c r="AQ307" i="9"/>
  <c r="AS307" i="9"/>
  <c r="AW307" i="9"/>
  <c r="AY307" i="9"/>
  <c r="BA307" i="9"/>
  <c r="BC307" i="9"/>
  <c r="BE307" i="9"/>
  <c r="E307" i="9"/>
  <c r="AR308" i="9"/>
  <c r="I308" i="9"/>
  <c r="H310" i="9"/>
  <c r="AX314" i="9"/>
  <c r="H316" i="9"/>
  <c r="AR317" i="9"/>
  <c r="AR320" i="9"/>
  <c r="I320" i="9"/>
  <c r="H322" i="9"/>
  <c r="L326" i="9"/>
  <c r="AP331" i="9"/>
  <c r="H332" i="9"/>
  <c r="AR333" i="9"/>
  <c r="I333" i="9"/>
  <c r="E337" i="9"/>
  <c r="AO337" i="9"/>
  <c r="AQ337" i="9"/>
  <c r="AS337" i="9"/>
  <c r="AW337" i="9"/>
  <c r="AY337" i="9"/>
  <c r="BA337" i="9"/>
  <c r="BC337" i="9"/>
  <c r="BE337" i="9"/>
  <c r="AO347" i="9"/>
  <c r="AQ347" i="9"/>
  <c r="AS347" i="9"/>
  <c r="AW347" i="9"/>
  <c r="AY347" i="9"/>
  <c r="BA347" i="9"/>
  <c r="BC347" i="9"/>
  <c r="BE347" i="9"/>
  <c r="E347" i="9"/>
  <c r="AR348" i="9"/>
  <c r="H359" i="9"/>
  <c r="AR359" i="9"/>
  <c r="K360" i="9"/>
  <c r="AR371" i="9"/>
  <c r="I373" i="9"/>
  <c r="AR391" i="9"/>
  <c r="I391" i="9"/>
  <c r="AO295" i="9"/>
  <c r="AQ295" i="9"/>
  <c r="AS295" i="9"/>
  <c r="AW295" i="9"/>
  <c r="AY295" i="9"/>
  <c r="BA295" i="9"/>
  <c r="BC295" i="9"/>
  <c r="BE295" i="9"/>
  <c r="E295" i="9"/>
  <c r="AP297" i="9"/>
  <c r="AR305" i="9"/>
  <c r="E309" i="9"/>
  <c r="AO309" i="9"/>
  <c r="AQ309" i="9"/>
  <c r="AS309" i="9"/>
  <c r="AW309" i="9"/>
  <c r="AY309" i="9"/>
  <c r="BA309" i="9"/>
  <c r="BC309" i="9"/>
  <c r="BE309" i="9"/>
  <c r="AP315" i="9"/>
  <c r="E321" i="9"/>
  <c r="AO321" i="9"/>
  <c r="AQ321" i="9"/>
  <c r="AS321" i="9"/>
  <c r="AW321" i="9"/>
  <c r="AY321" i="9"/>
  <c r="BA321" i="9"/>
  <c r="BC321" i="9"/>
  <c r="BE321" i="9"/>
  <c r="O326" i="9"/>
  <c r="AX326" i="9"/>
  <c r="AO331" i="9"/>
  <c r="AQ331" i="9"/>
  <c r="AS331" i="9"/>
  <c r="AW331" i="9"/>
  <c r="AY331" i="9"/>
  <c r="BA331" i="9"/>
  <c r="BC331" i="9"/>
  <c r="BE331" i="9"/>
  <c r="E331" i="9"/>
  <c r="L342" i="9"/>
  <c r="K346" i="9"/>
  <c r="J346" i="9"/>
  <c r="C350" i="9"/>
  <c r="J351" i="9"/>
  <c r="H353" i="9"/>
  <c r="AP353" i="9"/>
  <c r="AR358" i="9"/>
  <c r="I358" i="9"/>
  <c r="K359" i="9"/>
  <c r="H361" i="9"/>
  <c r="AP361" i="9"/>
  <c r="AP368" i="9"/>
  <c r="H368" i="9"/>
  <c r="H370" i="9"/>
  <c r="P373" i="9"/>
  <c r="K375" i="9"/>
  <c r="J375" i="9"/>
  <c r="AN379" i="9"/>
  <c r="E379" i="9"/>
  <c r="AR389" i="9"/>
  <c r="I389" i="9"/>
  <c r="AP398" i="9"/>
  <c r="L281" i="9"/>
  <c r="H283" i="9"/>
  <c r="AO291" i="9"/>
  <c r="AQ291" i="9"/>
  <c r="AS291" i="9"/>
  <c r="AW291" i="9"/>
  <c r="AY291" i="9"/>
  <c r="BA291" i="9"/>
  <c r="BC291" i="9"/>
  <c r="BE291" i="9"/>
  <c r="E291" i="9"/>
  <c r="AR296" i="9"/>
  <c r="I296" i="9"/>
  <c r="E297" i="9"/>
  <c r="AO297" i="9"/>
  <c r="AQ297" i="9"/>
  <c r="AS297" i="9"/>
  <c r="AW297" i="9"/>
  <c r="AY297" i="9"/>
  <c r="BA297" i="9"/>
  <c r="BC297" i="9"/>
  <c r="BE297" i="9"/>
  <c r="AR298" i="9"/>
  <c r="AP303" i="9"/>
  <c r="AO315" i="9"/>
  <c r="AQ315" i="9"/>
  <c r="AS315" i="9"/>
  <c r="AW315" i="9"/>
  <c r="AY315" i="9"/>
  <c r="BA315" i="9"/>
  <c r="BC315" i="9"/>
  <c r="BE315" i="9"/>
  <c r="E315" i="9"/>
  <c r="AR316" i="9"/>
  <c r="I316" i="9"/>
  <c r="AP327" i="9"/>
  <c r="H327" i="9"/>
  <c r="AR329" i="9"/>
  <c r="AR332" i="9"/>
  <c r="I332" i="9"/>
  <c r="O342" i="9"/>
  <c r="AX342" i="9"/>
  <c r="E352" i="9"/>
  <c r="AN352" i="9"/>
  <c r="I355" i="9"/>
  <c r="H357" i="9"/>
  <c r="AP357" i="9"/>
  <c r="AR367" i="9"/>
  <c r="E371" i="9"/>
  <c r="AO371" i="9"/>
  <c r="R372" i="9"/>
  <c r="Q372" i="9"/>
  <c r="BB373" i="9"/>
  <c r="S373" i="9"/>
  <c r="AP374" i="9"/>
  <c r="AR397" i="9"/>
  <c r="I397" i="9"/>
  <c r="AR399" i="9"/>
  <c r="I399" i="9"/>
  <c r="AN401" i="9"/>
  <c r="E401" i="9"/>
  <c r="AR403" i="9"/>
  <c r="I403" i="9"/>
  <c r="J354" i="9"/>
  <c r="J374" i="9"/>
  <c r="AP378" i="9"/>
  <c r="E382" i="9"/>
  <c r="AO382" i="9"/>
  <c r="AQ382" i="9"/>
  <c r="AS382" i="9"/>
  <c r="AW382" i="9"/>
  <c r="AY382" i="9"/>
  <c r="BA382" i="9"/>
  <c r="BC382" i="9"/>
  <c r="BE382" i="9"/>
  <c r="AP384" i="9"/>
  <c r="H384" i="9"/>
  <c r="AP392" i="9"/>
  <c r="K397" i="9"/>
  <c r="J397" i="9"/>
  <c r="K399" i="9"/>
  <c r="J399" i="9"/>
  <c r="AR407" i="9"/>
  <c r="I407" i="9"/>
  <c r="E410" i="9"/>
  <c r="AO410" i="9"/>
  <c r="AQ410" i="9"/>
  <c r="AS410" i="9"/>
  <c r="AW410" i="9"/>
  <c r="AY410" i="9"/>
  <c r="BA410" i="9"/>
  <c r="BC410" i="9"/>
  <c r="BE410" i="9"/>
  <c r="I412" i="9"/>
  <c r="AR412" i="9"/>
  <c r="AP413" i="9"/>
  <c r="H413" i="9"/>
  <c r="E422" i="9"/>
  <c r="AO422" i="9"/>
  <c r="AQ422" i="9"/>
  <c r="AS422" i="9"/>
  <c r="AW422" i="9"/>
  <c r="AY422" i="9"/>
  <c r="BA422" i="9"/>
  <c r="BC422" i="9"/>
  <c r="BE422" i="9"/>
  <c r="K426" i="9"/>
  <c r="K432" i="9"/>
  <c r="J286" i="9"/>
  <c r="J294" i="9"/>
  <c r="H313" i="9"/>
  <c r="J314" i="9"/>
  <c r="J318" i="9"/>
  <c r="J322" i="9"/>
  <c r="J326" i="9"/>
  <c r="H333" i="9"/>
  <c r="E361" i="9"/>
  <c r="AR366" i="9"/>
  <c r="AR370" i="9"/>
  <c r="C371" i="9"/>
  <c r="L373" i="9"/>
  <c r="H373" i="9"/>
  <c r="E377" i="9"/>
  <c r="L381" i="9"/>
  <c r="I383" i="9"/>
  <c r="H385" i="9"/>
  <c r="C386" i="9"/>
  <c r="H391" i="9"/>
  <c r="H393" i="9"/>
  <c r="C394" i="9"/>
  <c r="H399" i="9"/>
  <c r="AP400" i="9"/>
  <c r="H400" i="9"/>
  <c r="AR414" i="9"/>
  <c r="E423" i="9"/>
  <c r="AN423" i="9"/>
  <c r="J428" i="9"/>
  <c r="K428" i="9"/>
  <c r="C359" i="9"/>
  <c r="C363" i="9"/>
  <c r="H377" i="9"/>
  <c r="AP380" i="9"/>
  <c r="H380" i="9"/>
  <c r="O381" i="9"/>
  <c r="AP386" i="9"/>
  <c r="E390" i="9"/>
  <c r="AO390" i="9"/>
  <c r="AQ390" i="9"/>
  <c r="AS390" i="9"/>
  <c r="AW390" i="9"/>
  <c r="AY390" i="9"/>
  <c r="BA390" i="9"/>
  <c r="BC390" i="9"/>
  <c r="BE390" i="9"/>
  <c r="AP394" i="9"/>
  <c r="E398" i="9"/>
  <c r="AO398" i="9"/>
  <c r="AQ398" i="9"/>
  <c r="AS398" i="9"/>
  <c r="AW398" i="9"/>
  <c r="AY398" i="9"/>
  <c r="BA398" i="9"/>
  <c r="BC398" i="9"/>
  <c r="BE398" i="9"/>
  <c r="H407" i="9"/>
  <c r="AR411" i="9"/>
  <c r="I411" i="9"/>
  <c r="E424" i="9"/>
  <c r="AN424" i="9"/>
  <c r="H435" i="9"/>
  <c r="AP435" i="9"/>
  <c r="J436" i="9"/>
  <c r="K436" i="9"/>
  <c r="K444" i="9"/>
  <c r="J444" i="9"/>
  <c r="AV383" i="9"/>
  <c r="L383" i="9"/>
  <c r="K387" i="9"/>
  <c r="J387" i="9"/>
  <c r="K395" i="9"/>
  <c r="J395" i="9"/>
  <c r="AP405" i="9"/>
  <c r="H405" i="9"/>
  <c r="E414" i="9"/>
  <c r="AO414" i="9"/>
  <c r="AQ414" i="9"/>
  <c r="AS414" i="9"/>
  <c r="AW414" i="9"/>
  <c r="AY414" i="9"/>
  <c r="BA414" i="9"/>
  <c r="BC414" i="9"/>
  <c r="BE414" i="9"/>
  <c r="E425" i="9"/>
  <c r="AN425" i="9"/>
  <c r="K429" i="9"/>
  <c r="J429" i="9"/>
  <c r="AR437" i="9"/>
  <c r="I437" i="9"/>
  <c r="AN349" i="9"/>
  <c r="AN350" i="9"/>
  <c r="AN351" i="9"/>
  <c r="J353" i="9"/>
  <c r="J365" i="9"/>
  <c r="J366" i="9"/>
  <c r="J369" i="9"/>
  <c r="J372" i="9"/>
  <c r="AV372" i="9"/>
  <c r="AO374" i="9"/>
  <c r="AQ374" i="9"/>
  <c r="AS374" i="9"/>
  <c r="AW374" i="9"/>
  <c r="AY374" i="9"/>
  <c r="BA374" i="9"/>
  <c r="BC374" i="9"/>
  <c r="BE374" i="9"/>
  <c r="E378" i="9"/>
  <c r="AO378" i="9"/>
  <c r="AQ378" i="9"/>
  <c r="AS378" i="9"/>
  <c r="AW378" i="9"/>
  <c r="AY378" i="9"/>
  <c r="BA378" i="9"/>
  <c r="BC378" i="9"/>
  <c r="BE378" i="9"/>
  <c r="H381" i="9"/>
  <c r="C382" i="9"/>
  <c r="E385" i="9"/>
  <c r="AP388" i="9"/>
  <c r="H388" i="9"/>
  <c r="K393" i="9"/>
  <c r="J393" i="9"/>
  <c r="AP396" i="9"/>
  <c r="H396" i="9"/>
  <c r="AP402" i="9"/>
  <c r="H403" i="9"/>
  <c r="I404" i="9"/>
  <c r="AR404" i="9"/>
  <c r="AR406" i="9"/>
  <c r="H411" i="9"/>
  <c r="I416" i="9"/>
  <c r="AR416" i="9"/>
  <c r="AR418" i="9"/>
  <c r="K440" i="9"/>
  <c r="J440" i="9"/>
  <c r="J292" i="9"/>
  <c r="J296" i="9"/>
  <c r="J300" i="9"/>
  <c r="J304" i="9"/>
  <c r="J308" i="9"/>
  <c r="J316" i="9"/>
  <c r="J320" i="9"/>
  <c r="J324" i="9"/>
  <c r="J328" i="9"/>
  <c r="J332" i="9"/>
  <c r="J336" i="9"/>
  <c r="J348" i="9"/>
  <c r="K353" i="9"/>
  <c r="K354" i="9"/>
  <c r="J355" i="9"/>
  <c r="H360" i="9"/>
  <c r="J368" i="9"/>
  <c r="I372" i="9"/>
  <c r="E373" i="9"/>
  <c r="K374" i="9"/>
  <c r="AP382" i="9"/>
  <c r="E386" i="9"/>
  <c r="AO386" i="9"/>
  <c r="AQ386" i="9"/>
  <c r="AS386" i="9"/>
  <c r="AW386" i="9"/>
  <c r="AY386" i="9"/>
  <c r="BA386" i="9"/>
  <c r="BC386" i="9"/>
  <c r="BE386" i="9"/>
  <c r="E394" i="9"/>
  <c r="AO394" i="9"/>
  <c r="AQ394" i="9"/>
  <c r="AS394" i="9"/>
  <c r="AW394" i="9"/>
  <c r="AY394" i="9"/>
  <c r="BA394" i="9"/>
  <c r="BC394" i="9"/>
  <c r="BE394" i="9"/>
  <c r="I408" i="9"/>
  <c r="AR408" i="9"/>
  <c r="AP409" i="9"/>
  <c r="H409" i="9"/>
  <c r="AP421" i="9"/>
  <c r="H421" i="9"/>
  <c r="K308" i="9"/>
  <c r="K320" i="9"/>
  <c r="K332" i="9"/>
  <c r="K348" i="9"/>
  <c r="C355" i="9"/>
  <c r="H376" i="9"/>
  <c r="AR376" i="9"/>
  <c r="AZ381" i="9"/>
  <c r="P381" i="9"/>
  <c r="K383" i="9"/>
  <c r="J383" i="9"/>
  <c r="H389" i="9"/>
  <c r="C390" i="9"/>
  <c r="H397" i="9"/>
  <c r="C398" i="9"/>
  <c r="E402" i="9"/>
  <c r="AO402" i="9"/>
  <c r="AQ402" i="9"/>
  <c r="AS402" i="9"/>
  <c r="AW402" i="9"/>
  <c r="AY402" i="9"/>
  <c r="BA402" i="9"/>
  <c r="BC402" i="9"/>
  <c r="BE402" i="9"/>
  <c r="E406" i="9"/>
  <c r="AO406" i="9"/>
  <c r="AQ406" i="9"/>
  <c r="AS406" i="9"/>
  <c r="AW406" i="9"/>
  <c r="AY406" i="9"/>
  <c r="BA406" i="9"/>
  <c r="BC406" i="9"/>
  <c r="BE406" i="9"/>
  <c r="AR410" i="9"/>
  <c r="E418" i="9"/>
  <c r="AO418" i="9"/>
  <c r="AQ418" i="9"/>
  <c r="AS418" i="9"/>
  <c r="AW418" i="9"/>
  <c r="AY418" i="9"/>
  <c r="BA418" i="9"/>
  <c r="BC418" i="9"/>
  <c r="BE418" i="9"/>
  <c r="I420" i="9"/>
  <c r="AR420" i="9"/>
  <c r="AR422" i="9"/>
  <c r="H428" i="9"/>
  <c r="AP428" i="9"/>
  <c r="K433" i="9"/>
  <c r="J433" i="9"/>
  <c r="AP439" i="9"/>
  <c r="H439" i="9"/>
  <c r="AV446" i="9"/>
  <c r="L446" i="9"/>
  <c r="AP448" i="9"/>
  <c r="H448" i="9"/>
  <c r="AP447" i="9"/>
  <c r="H447" i="9"/>
  <c r="AP460" i="9"/>
  <c r="H460" i="9"/>
  <c r="I465" i="9"/>
  <c r="K465" i="9"/>
  <c r="J465" i="9"/>
  <c r="AZ495" i="9"/>
  <c r="AP510" i="9"/>
  <c r="H510" i="9"/>
  <c r="E438" i="9"/>
  <c r="J439" i="9"/>
  <c r="AP443" i="9"/>
  <c r="H443" i="9"/>
  <c r="AP444" i="9"/>
  <c r="H444" i="9"/>
  <c r="E463" i="9"/>
  <c r="AP466" i="9"/>
  <c r="H466" i="9"/>
  <c r="L467" i="9"/>
  <c r="AV467" i="9"/>
  <c r="AR469" i="9"/>
  <c r="I469" i="9"/>
  <c r="AP470" i="9"/>
  <c r="H470" i="9"/>
  <c r="E487" i="9"/>
  <c r="AO487" i="9"/>
  <c r="AQ487" i="9"/>
  <c r="C492" i="9"/>
  <c r="J403" i="9"/>
  <c r="J407" i="9"/>
  <c r="J411" i="9"/>
  <c r="J415" i="9"/>
  <c r="J419" i="9"/>
  <c r="AP432" i="9"/>
  <c r="AP436" i="9"/>
  <c r="H437" i="9"/>
  <c r="AV442" i="9"/>
  <c r="L442" i="9"/>
  <c r="E443" i="9"/>
  <c r="J451" i="9"/>
  <c r="AP455" i="9"/>
  <c r="H455" i="9"/>
  <c r="AP464" i="9"/>
  <c r="AO485" i="9"/>
  <c r="E485" i="9"/>
  <c r="K523" i="9"/>
  <c r="J523" i="9"/>
  <c r="L541" i="9"/>
  <c r="AV541" i="9"/>
  <c r="K403" i="9"/>
  <c r="K407" i="9"/>
  <c r="K411" i="9"/>
  <c r="K415" i="9"/>
  <c r="K419" i="9"/>
  <c r="AP426" i="9"/>
  <c r="C429" i="9"/>
  <c r="AP430" i="9"/>
  <c r="C433" i="9"/>
  <c r="AP434" i="9"/>
  <c r="AP441" i="9"/>
  <c r="AP449" i="9"/>
  <c r="AP450" i="9"/>
  <c r="K451" i="9"/>
  <c r="AP452" i="9"/>
  <c r="H452" i="9"/>
  <c r="H458" i="9"/>
  <c r="AP458" i="9"/>
  <c r="K507" i="9"/>
  <c r="J507" i="9"/>
  <c r="J520" i="9"/>
  <c r="K520" i="9"/>
  <c r="AN429" i="9"/>
  <c r="AN433" i="9"/>
  <c r="AP438" i="9"/>
  <c r="K439" i="9"/>
  <c r="AN440" i="9"/>
  <c r="AP445" i="9"/>
  <c r="I446" i="9"/>
  <c r="AP451" i="9"/>
  <c r="H451" i="9"/>
  <c r="AR468" i="9"/>
  <c r="AR472" i="9"/>
  <c r="K477" i="9"/>
  <c r="J477" i="9"/>
  <c r="AP486" i="9"/>
  <c r="H486" i="9"/>
  <c r="AV529" i="9"/>
  <c r="I442" i="9"/>
  <c r="J447" i="9"/>
  <c r="K448" i="9"/>
  <c r="J448" i="9"/>
  <c r="AP459" i="9"/>
  <c r="H459" i="9"/>
  <c r="H462" i="9"/>
  <c r="AP462" i="9"/>
  <c r="AQ473" i="9"/>
  <c r="AS473" i="9"/>
  <c r="AW473" i="9"/>
  <c r="AY473" i="9"/>
  <c r="BA473" i="9"/>
  <c r="BC473" i="9"/>
  <c r="BE473" i="9"/>
  <c r="H473" i="9"/>
  <c r="J505" i="9"/>
  <c r="K505" i="9"/>
  <c r="AN528" i="9"/>
  <c r="E528" i="9"/>
  <c r="H404" i="9"/>
  <c r="J405" i="9"/>
  <c r="H408" i="9"/>
  <c r="J409" i="9"/>
  <c r="H412" i="9"/>
  <c r="J413" i="9"/>
  <c r="H416" i="9"/>
  <c r="J417" i="9"/>
  <c r="H420" i="9"/>
  <c r="J421" i="9"/>
  <c r="AP456" i="9"/>
  <c r="H456" i="9"/>
  <c r="I457" i="9"/>
  <c r="L457" i="9"/>
  <c r="AV457" i="9"/>
  <c r="L465" i="9"/>
  <c r="AV465" i="9"/>
  <c r="AR483" i="9"/>
  <c r="AV488" i="9"/>
  <c r="AO500" i="9"/>
  <c r="E500" i="9"/>
  <c r="AO508" i="9"/>
  <c r="E508" i="9"/>
  <c r="K409" i="9"/>
  <c r="K413" i="9"/>
  <c r="K417" i="9"/>
  <c r="AP427" i="9"/>
  <c r="C428" i="9"/>
  <c r="AP431" i="9"/>
  <c r="C432" i="9"/>
  <c r="C436" i="9"/>
  <c r="K447" i="9"/>
  <c r="AP453" i="9"/>
  <c r="E455" i="9"/>
  <c r="K456" i="9"/>
  <c r="J456" i="9"/>
  <c r="E459" i="9"/>
  <c r="AP463" i="9"/>
  <c r="H463" i="9"/>
  <c r="AR474" i="9"/>
  <c r="I474" i="9"/>
  <c r="E475" i="9"/>
  <c r="AO475" i="9"/>
  <c r="AQ475" i="9"/>
  <c r="AS475" i="9"/>
  <c r="AX476" i="9"/>
  <c r="J492" i="9"/>
  <c r="I493" i="9"/>
  <c r="AR493" i="9"/>
  <c r="AV508" i="9"/>
  <c r="AZ511" i="9"/>
  <c r="AP512" i="9"/>
  <c r="AX515" i="9"/>
  <c r="AR525" i="9"/>
  <c r="K536" i="9"/>
  <c r="J536" i="9"/>
  <c r="H467" i="9"/>
  <c r="J484" i="9"/>
  <c r="AR485" i="9"/>
  <c r="H493" i="9"/>
  <c r="AR494" i="9"/>
  <c r="I494" i="9"/>
  <c r="E495" i="9"/>
  <c r="AO495" i="9"/>
  <c r="AQ495" i="9"/>
  <c r="AX496" i="9"/>
  <c r="AR498" i="9"/>
  <c r="I498" i="9"/>
  <c r="I501" i="9"/>
  <c r="AR501" i="9"/>
  <c r="AP502" i="9"/>
  <c r="H502" i="9"/>
  <c r="C504" i="9"/>
  <c r="I509" i="9"/>
  <c r="AR509" i="9"/>
  <c r="AO512" i="9"/>
  <c r="AQ512" i="9"/>
  <c r="AS512" i="9"/>
  <c r="AW512" i="9"/>
  <c r="AY512" i="9"/>
  <c r="BA512" i="9"/>
  <c r="BC512" i="9"/>
  <c r="BE512" i="9"/>
  <c r="E512" i="9"/>
  <c r="AR514" i="9"/>
  <c r="I514" i="9"/>
  <c r="H522" i="9"/>
  <c r="AP522" i="9"/>
  <c r="J468" i="9"/>
  <c r="H471" i="9"/>
  <c r="E473" i="9"/>
  <c r="H474" i="9"/>
  <c r="J476" i="9"/>
  <c r="I477" i="9"/>
  <c r="AR477" i="9"/>
  <c r="AR478" i="9"/>
  <c r="I478" i="9"/>
  <c r="E479" i="9"/>
  <c r="AO479" i="9"/>
  <c r="AQ479" i="9"/>
  <c r="H480" i="9"/>
  <c r="AX480" i="9"/>
  <c r="AS488" i="9"/>
  <c r="AW488" i="9"/>
  <c r="AY488" i="9"/>
  <c r="BA488" i="9"/>
  <c r="BC488" i="9"/>
  <c r="BE488" i="9"/>
  <c r="AO492" i="9"/>
  <c r="K497" i="9"/>
  <c r="AZ507" i="9"/>
  <c r="I513" i="9"/>
  <c r="AR513" i="9"/>
  <c r="K515" i="9"/>
  <c r="J515" i="9"/>
  <c r="AP516" i="9"/>
  <c r="AX519" i="9"/>
  <c r="K522" i="9"/>
  <c r="J522" i="9"/>
  <c r="AP524" i="9"/>
  <c r="H524" i="9"/>
  <c r="E466" i="9"/>
  <c r="J470" i="9"/>
  <c r="AP471" i="9"/>
  <c r="C473" i="9"/>
  <c r="H477" i="9"/>
  <c r="AS480" i="9"/>
  <c r="AW480" i="9"/>
  <c r="AY480" i="9"/>
  <c r="BA480" i="9"/>
  <c r="BC480" i="9"/>
  <c r="BE480" i="9"/>
  <c r="AO484" i="9"/>
  <c r="K489" i="9"/>
  <c r="H494" i="9"/>
  <c r="J496" i="9"/>
  <c r="I497" i="9"/>
  <c r="AR497" i="9"/>
  <c r="AV504" i="9"/>
  <c r="AR505" i="9"/>
  <c r="AP506" i="9"/>
  <c r="H506" i="9"/>
  <c r="AO516" i="9"/>
  <c r="AQ516" i="9"/>
  <c r="AS516" i="9"/>
  <c r="AW516" i="9"/>
  <c r="AY516" i="9"/>
  <c r="BA516" i="9"/>
  <c r="BC516" i="9"/>
  <c r="BE516" i="9"/>
  <c r="E516" i="9"/>
  <c r="AR518" i="9"/>
  <c r="I518" i="9"/>
  <c r="AN526" i="9"/>
  <c r="E526" i="9"/>
  <c r="AP532" i="9"/>
  <c r="J460" i="9"/>
  <c r="J464" i="9"/>
  <c r="K481" i="9"/>
  <c r="J488" i="9"/>
  <c r="I489" i="9"/>
  <c r="AR489" i="9"/>
  <c r="E491" i="9"/>
  <c r="AO491" i="9"/>
  <c r="AQ491" i="9"/>
  <c r="AS491" i="9"/>
  <c r="AW491" i="9"/>
  <c r="AY491" i="9"/>
  <c r="BA491" i="9"/>
  <c r="BC491" i="9"/>
  <c r="BE491" i="9"/>
  <c r="AX492" i="9"/>
  <c r="H497" i="9"/>
  <c r="AX499" i="9"/>
  <c r="C508" i="9"/>
  <c r="H513" i="9"/>
  <c r="AV533" i="9"/>
  <c r="K464" i="9"/>
  <c r="K468" i="9"/>
  <c r="AO468" i="9"/>
  <c r="AO472" i="9"/>
  <c r="AO476" i="9"/>
  <c r="H478" i="9"/>
  <c r="J480" i="9"/>
  <c r="I481" i="9"/>
  <c r="AR481" i="9"/>
  <c r="AR482" i="9"/>
  <c r="I482" i="9"/>
  <c r="E483" i="9"/>
  <c r="AO483" i="9"/>
  <c r="AQ483" i="9"/>
  <c r="AS483" i="9"/>
  <c r="AW483" i="9"/>
  <c r="AY483" i="9"/>
  <c r="BA483" i="9"/>
  <c r="BC483" i="9"/>
  <c r="BE483" i="9"/>
  <c r="AX484" i="9"/>
  <c r="H489" i="9"/>
  <c r="AX491" i="9"/>
  <c r="K492" i="9"/>
  <c r="J497" i="9"/>
  <c r="K503" i="9"/>
  <c r="J503" i="9"/>
  <c r="AO504" i="9"/>
  <c r="E504" i="9"/>
  <c r="E509" i="9"/>
  <c r="K519" i="9"/>
  <c r="J519" i="9"/>
  <c r="E524" i="9"/>
  <c r="E471" i="9"/>
  <c r="AR473" i="9"/>
  <c r="H481" i="9"/>
  <c r="K484" i="9"/>
  <c r="J489" i="9"/>
  <c r="E493" i="9"/>
  <c r="AO496" i="9"/>
  <c r="H498" i="9"/>
  <c r="AX500" i="9"/>
  <c r="E501" i="9"/>
  <c r="AX503" i="9"/>
  <c r="K521" i="9"/>
  <c r="J521" i="9"/>
  <c r="K527" i="9"/>
  <c r="J527" i="9"/>
  <c r="I530" i="9"/>
  <c r="AR530" i="9"/>
  <c r="E533" i="9"/>
  <c r="AO533" i="9"/>
  <c r="AR537" i="9"/>
  <c r="I537" i="9"/>
  <c r="K513" i="9"/>
  <c r="AP534" i="9"/>
  <c r="K535" i="9"/>
  <c r="H537" i="9"/>
  <c r="AV540" i="9"/>
  <c r="I541" i="9"/>
  <c r="AP546" i="9"/>
  <c r="E548" i="9"/>
  <c r="H549" i="9"/>
  <c r="AR553" i="9"/>
  <c r="C558" i="9"/>
  <c r="H566" i="9"/>
  <c r="AP566" i="9"/>
  <c r="H569" i="9"/>
  <c r="AP569" i="9"/>
  <c r="H573" i="9"/>
  <c r="AV576" i="9"/>
  <c r="L576" i="9"/>
  <c r="AV579" i="9"/>
  <c r="AP591" i="9"/>
  <c r="H591" i="9"/>
  <c r="AO499" i="9"/>
  <c r="AQ499" i="9"/>
  <c r="AS499" i="9"/>
  <c r="AW499" i="9"/>
  <c r="AY499" i="9"/>
  <c r="BA499" i="9"/>
  <c r="BC499" i="9"/>
  <c r="BE499" i="9"/>
  <c r="AO503" i="9"/>
  <c r="AQ503" i="9"/>
  <c r="AO507" i="9"/>
  <c r="AQ507" i="9"/>
  <c r="AO511" i="9"/>
  <c r="AQ511" i="9"/>
  <c r="AO515" i="9"/>
  <c r="AQ515" i="9"/>
  <c r="AO519" i="9"/>
  <c r="AQ519" i="9"/>
  <c r="J537" i="9"/>
  <c r="E538" i="9"/>
  <c r="AP538" i="9"/>
  <c r="I540" i="9"/>
  <c r="K541" i="9"/>
  <c r="AP543" i="9"/>
  <c r="H543" i="9"/>
  <c r="AP548" i="9"/>
  <c r="H548" i="9"/>
  <c r="I550" i="9"/>
  <c r="AQ565" i="9"/>
  <c r="AS565" i="9"/>
  <c r="AW565" i="9"/>
  <c r="AY565" i="9"/>
  <c r="BA565" i="9"/>
  <c r="BC565" i="9"/>
  <c r="BE565" i="9"/>
  <c r="H565" i="9"/>
  <c r="AN592" i="9"/>
  <c r="E592" i="9"/>
  <c r="C541" i="9"/>
  <c r="K549" i="9"/>
  <c r="J549" i="9"/>
  <c r="AV550" i="9"/>
  <c r="L550" i="9"/>
  <c r="I556" i="9"/>
  <c r="AR556" i="9"/>
  <c r="K557" i="9"/>
  <c r="J557" i="9"/>
  <c r="H557" i="9"/>
  <c r="AP557" i="9"/>
  <c r="J558" i="9"/>
  <c r="K564" i="9"/>
  <c r="J564" i="9"/>
  <c r="AR565" i="9"/>
  <c r="AP600" i="9"/>
  <c r="H600" i="9"/>
  <c r="H514" i="9"/>
  <c r="H518" i="9"/>
  <c r="AP527" i="9"/>
  <c r="H527" i="9"/>
  <c r="J529" i="9"/>
  <c r="K532" i="9"/>
  <c r="J532" i="9"/>
  <c r="AP539" i="9"/>
  <c r="H539" i="9"/>
  <c r="AP547" i="9"/>
  <c r="H547" i="9"/>
  <c r="AP552" i="9"/>
  <c r="H552" i="9"/>
  <c r="K553" i="9"/>
  <c r="J553" i="9"/>
  <c r="AP554" i="9"/>
  <c r="H571" i="9"/>
  <c r="AP571" i="9"/>
  <c r="AP574" i="9"/>
  <c r="I599" i="9"/>
  <c r="AR599" i="9"/>
  <c r="J601" i="9"/>
  <c r="J539" i="9"/>
  <c r="Q540" i="9"/>
  <c r="H540" i="9"/>
  <c r="AR545" i="9"/>
  <c r="H556" i="9"/>
  <c r="J563" i="9"/>
  <c r="K563" i="9"/>
  <c r="H568" i="9"/>
  <c r="AP568" i="9"/>
  <c r="AO574" i="9"/>
  <c r="AQ574" i="9"/>
  <c r="AS574" i="9"/>
  <c r="AW574" i="9"/>
  <c r="AY574" i="9"/>
  <c r="BA574" i="9"/>
  <c r="BC574" i="9"/>
  <c r="BE574" i="9"/>
  <c r="E574" i="9"/>
  <c r="H582" i="9"/>
  <c r="AP582" i="9"/>
  <c r="AP551" i="9"/>
  <c r="H551" i="9"/>
  <c r="K568" i="9"/>
  <c r="J568" i="9"/>
  <c r="AR575" i="9"/>
  <c r="I575" i="9"/>
  <c r="AP581" i="9"/>
  <c r="H581" i="9"/>
  <c r="K490" i="9"/>
  <c r="K498" i="9"/>
  <c r="K502" i="9"/>
  <c r="K510" i="9"/>
  <c r="K514" i="9"/>
  <c r="AN523" i="9"/>
  <c r="E534" i="9"/>
  <c r="AP536" i="9"/>
  <c r="K539" i="9"/>
  <c r="E540" i="9"/>
  <c r="E544" i="9"/>
  <c r="AP555" i="9"/>
  <c r="H555" i="9"/>
  <c r="H559" i="9"/>
  <c r="E560" i="9"/>
  <c r="E561" i="9"/>
  <c r="AN561" i="9"/>
  <c r="K562" i="9"/>
  <c r="J562" i="9"/>
  <c r="H567" i="9"/>
  <c r="AP567" i="9"/>
  <c r="AP572" i="9"/>
  <c r="H578" i="9"/>
  <c r="AP578" i="9"/>
  <c r="AP583" i="9"/>
  <c r="H583" i="9"/>
  <c r="AO529" i="9"/>
  <c r="C533" i="9"/>
  <c r="J535" i="9"/>
  <c r="AP535" i="9"/>
  <c r="H535" i="9"/>
  <c r="AP544" i="9"/>
  <c r="H544" i="9"/>
  <c r="AR549" i="9"/>
  <c r="I549" i="9"/>
  <c r="K570" i="9"/>
  <c r="J570" i="9"/>
  <c r="H570" i="9"/>
  <c r="AP570" i="9"/>
  <c r="AO572" i="9"/>
  <c r="AQ572" i="9"/>
  <c r="AS572" i="9"/>
  <c r="AW572" i="9"/>
  <c r="AY572" i="9"/>
  <c r="BA572" i="9"/>
  <c r="BC572" i="9"/>
  <c r="BE572" i="9"/>
  <c r="E572" i="9"/>
  <c r="AR586" i="9"/>
  <c r="I586" i="9"/>
  <c r="K601" i="9"/>
  <c r="H558" i="9"/>
  <c r="AP573" i="9"/>
  <c r="AP594" i="9"/>
  <c r="H594" i="9"/>
  <c r="I595" i="9"/>
  <c r="AR595" i="9"/>
  <c r="K600" i="9"/>
  <c r="J600" i="9"/>
  <c r="AR607" i="9"/>
  <c r="I607" i="9"/>
  <c r="K616" i="9"/>
  <c r="J616" i="9"/>
  <c r="K618" i="9"/>
  <c r="J618" i="9"/>
  <c r="L619" i="9"/>
  <c r="AV619" i="9"/>
  <c r="AP623" i="9"/>
  <c r="H623" i="9"/>
  <c r="L632" i="9"/>
  <c r="AV632" i="9"/>
  <c r="AN634" i="9"/>
  <c r="E634" i="9"/>
  <c r="H648" i="9"/>
  <c r="AP648" i="9"/>
  <c r="AP558" i="9"/>
  <c r="C570" i="9"/>
  <c r="C572" i="9"/>
  <c r="J573" i="9"/>
  <c r="C574" i="9"/>
  <c r="E576" i="9"/>
  <c r="C576" i="9"/>
  <c r="H580" i="9"/>
  <c r="E586" i="9"/>
  <c r="H586" i="9"/>
  <c r="K590" i="9"/>
  <c r="J590" i="9"/>
  <c r="J598" i="9"/>
  <c r="K598" i="9"/>
  <c r="K614" i="9"/>
  <c r="J614" i="9"/>
  <c r="AN628" i="9"/>
  <c r="E628" i="9"/>
  <c r="L636" i="9"/>
  <c r="AV636" i="9"/>
  <c r="AP559" i="9"/>
  <c r="AP560" i="9"/>
  <c r="J565" i="9"/>
  <c r="C568" i="9"/>
  <c r="AR577" i="9"/>
  <c r="J578" i="9"/>
  <c r="E581" i="9"/>
  <c r="E582" i="9"/>
  <c r="AP584" i="9"/>
  <c r="AR587" i="9"/>
  <c r="AP593" i="9"/>
  <c r="H593" i="9"/>
  <c r="AR598" i="9"/>
  <c r="I598" i="9"/>
  <c r="H599" i="9"/>
  <c r="H602" i="9"/>
  <c r="H604" i="9"/>
  <c r="AP604" i="9"/>
  <c r="K612" i="9"/>
  <c r="J612" i="9"/>
  <c r="C556" i="9"/>
  <c r="AN562" i="9"/>
  <c r="AN563" i="9"/>
  <c r="AN564" i="9"/>
  <c r="H575" i="9"/>
  <c r="I576" i="9"/>
  <c r="H587" i="9"/>
  <c r="H588" i="9"/>
  <c r="I590" i="9"/>
  <c r="H598" i="9"/>
  <c r="E602" i="9"/>
  <c r="K626" i="9"/>
  <c r="AR630" i="9"/>
  <c r="I630" i="9"/>
  <c r="J566" i="9"/>
  <c r="K584" i="9"/>
  <c r="AV590" i="9"/>
  <c r="L590" i="9"/>
  <c r="AP597" i="9"/>
  <c r="AP617" i="9"/>
  <c r="I632" i="9"/>
  <c r="J543" i="9"/>
  <c r="E556" i="9"/>
  <c r="K567" i="9"/>
  <c r="H576" i="9"/>
  <c r="E580" i="9"/>
  <c r="C580" i="9"/>
  <c r="K588" i="9"/>
  <c r="E594" i="9"/>
  <c r="H603" i="9"/>
  <c r="AP606" i="9"/>
  <c r="I636" i="9"/>
  <c r="AR585" i="9"/>
  <c r="AP589" i="9"/>
  <c r="H589" i="9"/>
  <c r="I601" i="9"/>
  <c r="AR601" i="9"/>
  <c r="E603" i="9"/>
  <c r="E606" i="9"/>
  <c r="AO606" i="9"/>
  <c r="AQ606" i="9"/>
  <c r="AS606" i="9"/>
  <c r="AW606" i="9"/>
  <c r="AY606" i="9"/>
  <c r="BA606" i="9"/>
  <c r="BC606" i="9"/>
  <c r="BE606" i="9"/>
  <c r="AN610" i="9"/>
  <c r="E610" i="9"/>
  <c r="AP613" i="9"/>
  <c r="AR626" i="9"/>
  <c r="I626" i="9"/>
  <c r="J583" i="9"/>
  <c r="J591" i="9"/>
  <c r="J595" i="9"/>
  <c r="E609" i="9"/>
  <c r="AO609" i="9"/>
  <c r="AQ609" i="9"/>
  <c r="AS609" i="9"/>
  <c r="AW609" i="9"/>
  <c r="AY609" i="9"/>
  <c r="BA609" i="9"/>
  <c r="BC609" i="9"/>
  <c r="BE609" i="9"/>
  <c r="H611" i="9"/>
  <c r="E621" i="9"/>
  <c r="AO621" i="9"/>
  <c r="AQ621" i="9"/>
  <c r="AS621" i="9"/>
  <c r="AW621" i="9"/>
  <c r="AY621" i="9"/>
  <c r="BA621" i="9"/>
  <c r="BC621" i="9"/>
  <c r="BE621" i="9"/>
  <c r="H627" i="9"/>
  <c r="AP629" i="9"/>
  <c r="C638" i="9"/>
  <c r="H644" i="9"/>
  <c r="AP644" i="9"/>
  <c r="E651" i="9"/>
  <c r="L655" i="9"/>
  <c r="AV655" i="9"/>
  <c r="AR658" i="9"/>
  <c r="I658" i="9"/>
  <c r="K662" i="9"/>
  <c r="J662" i="9"/>
  <c r="AR664" i="9"/>
  <c r="I664" i="9"/>
  <c r="E596" i="9"/>
  <c r="AP602" i="9"/>
  <c r="AP603" i="9"/>
  <c r="E604" i="9"/>
  <c r="H607" i="9"/>
  <c r="C607" i="9"/>
  <c r="E613" i="9"/>
  <c r="AO613" i="9"/>
  <c r="AQ613" i="9"/>
  <c r="AS613" i="9"/>
  <c r="AW613" i="9"/>
  <c r="AY613" i="9"/>
  <c r="BA613" i="9"/>
  <c r="BC613" i="9"/>
  <c r="BE613" i="9"/>
  <c r="E617" i="9"/>
  <c r="AO617" i="9"/>
  <c r="AQ617" i="9"/>
  <c r="AS617" i="9"/>
  <c r="AW617" i="9"/>
  <c r="AY617" i="9"/>
  <c r="BA617" i="9"/>
  <c r="BC617" i="9"/>
  <c r="BE617" i="9"/>
  <c r="H619" i="9"/>
  <c r="J623" i="9"/>
  <c r="K625" i="9"/>
  <c r="H626" i="9"/>
  <c r="K627" i="9"/>
  <c r="C627" i="9"/>
  <c r="AR631" i="9"/>
  <c r="C635" i="9"/>
  <c r="K640" i="9"/>
  <c r="J640" i="9"/>
  <c r="E641" i="9"/>
  <c r="AO641" i="9"/>
  <c r="AQ641" i="9"/>
  <c r="L643" i="9"/>
  <c r="AV643" i="9"/>
  <c r="AS656" i="9"/>
  <c r="AW656" i="9"/>
  <c r="AY656" i="9"/>
  <c r="BA656" i="9"/>
  <c r="BC656" i="9"/>
  <c r="BE656" i="9"/>
  <c r="I656" i="9"/>
  <c r="AR611" i="9"/>
  <c r="H614" i="9"/>
  <c r="H618" i="9"/>
  <c r="E630" i="9"/>
  <c r="AP635" i="9"/>
  <c r="H635" i="9"/>
  <c r="K643" i="9"/>
  <c r="H652" i="9"/>
  <c r="AP652" i="9"/>
  <c r="AZ656" i="9"/>
  <c r="L660" i="9"/>
  <c r="AW660" i="9"/>
  <c r="AY660" i="9"/>
  <c r="BA660" i="9"/>
  <c r="BC660" i="9"/>
  <c r="BE660" i="9"/>
  <c r="C599" i="9"/>
  <c r="H605" i="9"/>
  <c r="K608" i="9"/>
  <c r="AP609" i="9"/>
  <c r="I614" i="9"/>
  <c r="I618" i="9"/>
  <c r="AP620" i="9"/>
  <c r="K624" i="9"/>
  <c r="AP625" i="9"/>
  <c r="E632" i="9"/>
  <c r="K635" i="9"/>
  <c r="J643" i="9"/>
  <c r="E647" i="9"/>
  <c r="AN647" i="9"/>
  <c r="AV653" i="9"/>
  <c r="AQ654" i="9"/>
  <c r="AS654" i="9"/>
  <c r="AW654" i="9"/>
  <c r="AY654" i="9"/>
  <c r="BA654" i="9"/>
  <c r="BC654" i="9"/>
  <c r="BE654" i="9"/>
  <c r="H654" i="9"/>
  <c r="K655" i="9"/>
  <c r="J655" i="9"/>
  <c r="L679" i="9"/>
  <c r="AV679" i="9"/>
  <c r="J593" i="9"/>
  <c r="J597" i="9"/>
  <c r="E605" i="9"/>
  <c r="AP605" i="9"/>
  <c r="AP612" i="9"/>
  <c r="E620" i="9"/>
  <c r="AP621" i="9"/>
  <c r="C623" i="9"/>
  <c r="AR627" i="9"/>
  <c r="J629" i="9"/>
  <c r="AP633" i="9"/>
  <c r="E636" i="9"/>
  <c r="AV642" i="9"/>
  <c r="C611" i="9"/>
  <c r="I619" i="9"/>
  <c r="AX641" i="9"/>
  <c r="J642" i="9"/>
  <c r="K642" i="9"/>
  <c r="H601" i="9"/>
  <c r="AV614" i="9"/>
  <c r="L614" i="9"/>
  <c r="AV618" i="9"/>
  <c r="L618" i="9"/>
  <c r="K622" i="9"/>
  <c r="J622" i="9"/>
  <c r="I639" i="9"/>
  <c r="AR639" i="9"/>
  <c r="AR662" i="9"/>
  <c r="I662" i="9"/>
  <c r="AX659" i="9"/>
  <c r="I667" i="9"/>
  <c r="AR667" i="9"/>
  <c r="AR671" i="9"/>
  <c r="K683" i="9"/>
  <c r="J683" i="9"/>
  <c r="AO685" i="9"/>
  <c r="AQ685" i="9"/>
  <c r="E685" i="9"/>
  <c r="H694" i="9"/>
  <c r="AP694" i="9"/>
  <c r="E697" i="9"/>
  <c r="AN697" i="9"/>
  <c r="AO625" i="9"/>
  <c r="AQ625" i="9"/>
  <c r="AS625" i="9"/>
  <c r="AW625" i="9"/>
  <c r="AY625" i="9"/>
  <c r="BA625" i="9"/>
  <c r="BC625" i="9"/>
  <c r="BE625" i="9"/>
  <c r="AO629" i="9"/>
  <c r="AQ629" i="9"/>
  <c r="AS629" i="9"/>
  <c r="AW629" i="9"/>
  <c r="AY629" i="9"/>
  <c r="BA629" i="9"/>
  <c r="BC629" i="9"/>
  <c r="BE629" i="9"/>
  <c r="AO633" i="9"/>
  <c r="AQ633" i="9"/>
  <c r="AS633" i="9"/>
  <c r="AW633" i="9"/>
  <c r="AY633" i="9"/>
  <c r="BA633" i="9"/>
  <c r="BC633" i="9"/>
  <c r="BE633" i="9"/>
  <c r="H638" i="9"/>
  <c r="H639" i="9"/>
  <c r="J644" i="9"/>
  <c r="AP650" i="9"/>
  <c r="E653" i="9"/>
  <c r="AO653" i="9"/>
  <c r="AQ653" i="9"/>
  <c r="AS653" i="9"/>
  <c r="AW653" i="9"/>
  <c r="AY653" i="9"/>
  <c r="BA653" i="9"/>
  <c r="BC653" i="9"/>
  <c r="BE653" i="9"/>
  <c r="AR654" i="9"/>
  <c r="C659" i="9"/>
  <c r="E660" i="9"/>
  <c r="AX660" i="9"/>
  <c r="AP661" i="9"/>
  <c r="H662" i="9"/>
  <c r="AR665" i="9"/>
  <c r="E666" i="9"/>
  <c r="AR669" i="9"/>
  <c r="H670" i="9"/>
  <c r="AR670" i="9"/>
  <c r="I670" i="9"/>
  <c r="AP681" i="9"/>
  <c r="AO687" i="9"/>
  <c r="E687" i="9"/>
  <c r="H695" i="9"/>
  <c r="AP695" i="9"/>
  <c r="AN704" i="9"/>
  <c r="E704" i="9"/>
  <c r="AP705" i="9"/>
  <c r="H705" i="9"/>
  <c r="AR706" i="9"/>
  <c r="J763" i="9"/>
  <c r="K763" i="9"/>
  <c r="AN640" i="9"/>
  <c r="AO642" i="9"/>
  <c r="AP646" i="9"/>
  <c r="E649" i="9"/>
  <c r="AO649" i="9"/>
  <c r="AQ649" i="9"/>
  <c r="AS649" i="9"/>
  <c r="AW649" i="9"/>
  <c r="AY649" i="9"/>
  <c r="BA649" i="9"/>
  <c r="BC649" i="9"/>
  <c r="BE649" i="9"/>
  <c r="C651" i="9"/>
  <c r="AR675" i="9"/>
  <c r="I679" i="9"/>
  <c r="AR690" i="9"/>
  <c r="K695" i="9"/>
  <c r="J695" i="9"/>
  <c r="AS711" i="9"/>
  <c r="AW711" i="9"/>
  <c r="AY711" i="9"/>
  <c r="BA711" i="9"/>
  <c r="BC711" i="9"/>
  <c r="BE711" i="9"/>
  <c r="I711" i="9"/>
  <c r="AV735" i="9"/>
  <c r="L735" i="9"/>
  <c r="H643" i="9"/>
  <c r="E645" i="9"/>
  <c r="AO645" i="9"/>
  <c r="AQ645" i="9"/>
  <c r="AS645" i="9"/>
  <c r="AW645" i="9"/>
  <c r="AY645" i="9"/>
  <c r="BA645" i="9"/>
  <c r="BC645" i="9"/>
  <c r="BE645" i="9"/>
  <c r="AN651" i="9"/>
  <c r="E652" i="9"/>
  <c r="E654" i="9"/>
  <c r="E657" i="9"/>
  <c r="AO657" i="9"/>
  <c r="AQ657" i="9"/>
  <c r="AS657" i="9"/>
  <c r="AW657" i="9"/>
  <c r="AY657" i="9"/>
  <c r="BA657" i="9"/>
  <c r="BC657" i="9"/>
  <c r="BE657" i="9"/>
  <c r="AO659" i="9"/>
  <c r="I660" i="9"/>
  <c r="AV663" i="9"/>
  <c r="H666" i="9"/>
  <c r="AP668" i="9"/>
  <c r="H668" i="9"/>
  <c r="AO674" i="9"/>
  <c r="H679" i="9"/>
  <c r="AX686" i="9"/>
  <c r="H698" i="9"/>
  <c r="AP698" i="9"/>
  <c r="I700" i="9"/>
  <c r="AR700" i="9"/>
  <c r="AV703" i="9"/>
  <c r="L703" i="9"/>
  <c r="AQ707" i="9"/>
  <c r="AS707" i="9"/>
  <c r="AW707" i="9"/>
  <c r="AY707" i="9"/>
  <c r="BA707" i="9"/>
  <c r="BC707" i="9"/>
  <c r="BE707" i="9"/>
  <c r="H707" i="9"/>
  <c r="AN728" i="9"/>
  <c r="E728" i="9"/>
  <c r="J650" i="9"/>
  <c r="E658" i="9"/>
  <c r="E665" i="9"/>
  <c r="AO665" i="9"/>
  <c r="AQ665" i="9"/>
  <c r="AS665" i="9"/>
  <c r="AW665" i="9"/>
  <c r="AY665" i="9"/>
  <c r="BA665" i="9"/>
  <c r="BC665" i="9"/>
  <c r="BE665" i="9"/>
  <c r="E669" i="9"/>
  <c r="AO669" i="9"/>
  <c r="AQ669" i="9"/>
  <c r="AS669" i="9"/>
  <c r="AW669" i="9"/>
  <c r="AY669" i="9"/>
  <c r="BA669" i="9"/>
  <c r="BC669" i="9"/>
  <c r="BE669" i="9"/>
  <c r="K671" i="9"/>
  <c r="AR673" i="9"/>
  <c r="AR674" i="9"/>
  <c r="K681" i="9"/>
  <c r="J681" i="9"/>
  <c r="H682" i="9"/>
  <c r="AP682" i="9"/>
  <c r="L689" i="9"/>
  <c r="I691" i="9"/>
  <c r="AR691" i="9"/>
  <c r="K692" i="9"/>
  <c r="J692" i="9"/>
  <c r="K705" i="9"/>
  <c r="J705" i="9"/>
  <c r="AV707" i="9"/>
  <c r="K719" i="9"/>
  <c r="I643" i="9"/>
  <c r="J646" i="9"/>
  <c r="AP649" i="9"/>
  <c r="K674" i="9"/>
  <c r="J674" i="9"/>
  <c r="AO686" i="9"/>
  <c r="E686" i="9"/>
  <c r="H702" i="9"/>
  <c r="E637" i="9"/>
  <c r="AP637" i="9"/>
  <c r="E638" i="9"/>
  <c r="E639" i="9"/>
  <c r="AP645" i="9"/>
  <c r="C655" i="9"/>
  <c r="E656" i="9"/>
  <c r="AP657" i="9"/>
  <c r="H658" i="9"/>
  <c r="E661" i="9"/>
  <c r="AO661" i="9"/>
  <c r="AQ661" i="9"/>
  <c r="AS661" i="9"/>
  <c r="AW661" i="9"/>
  <c r="AY661" i="9"/>
  <c r="BA661" i="9"/>
  <c r="BC661" i="9"/>
  <c r="BE661" i="9"/>
  <c r="AR666" i="9"/>
  <c r="I666" i="9"/>
  <c r="H667" i="9"/>
  <c r="AP672" i="9"/>
  <c r="H672" i="9"/>
  <c r="K675" i="9"/>
  <c r="AR678" i="9"/>
  <c r="I678" i="9"/>
  <c r="J682" i="9"/>
  <c r="K682" i="9"/>
  <c r="H683" i="9"/>
  <c r="AP683" i="9"/>
  <c r="AX685" i="9"/>
  <c r="H693" i="9"/>
  <c r="AP693" i="9"/>
  <c r="AN696" i="9"/>
  <c r="E696" i="9"/>
  <c r="AR699" i="9"/>
  <c r="I699" i="9"/>
  <c r="AR702" i="9"/>
  <c r="I702" i="9"/>
  <c r="I655" i="9"/>
  <c r="E673" i="9"/>
  <c r="AO673" i="9"/>
  <c r="AQ673" i="9"/>
  <c r="AS673" i="9"/>
  <c r="AW673" i="9"/>
  <c r="AY673" i="9"/>
  <c r="BA673" i="9"/>
  <c r="BC673" i="9"/>
  <c r="BE673" i="9"/>
  <c r="AN676" i="9"/>
  <c r="E676" i="9"/>
  <c r="H678" i="9"/>
  <c r="H684" i="9"/>
  <c r="AP684" i="9"/>
  <c r="AX687" i="9"/>
  <c r="H688" i="9"/>
  <c r="AP688" i="9"/>
  <c r="AO701" i="9"/>
  <c r="AQ701" i="9"/>
  <c r="AS701" i="9"/>
  <c r="AW701" i="9"/>
  <c r="AY701" i="9"/>
  <c r="BA701" i="9"/>
  <c r="BC701" i="9"/>
  <c r="BE701" i="9"/>
  <c r="E701" i="9"/>
  <c r="AN708" i="9"/>
  <c r="E708" i="9"/>
  <c r="AP709" i="9"/>
  <c r="H709" i="9"/>
  <c r="AR710" i="9"/>
  <c r="AR714" i="9"/>
  <c r="I714" i="9"/>
  <c r="AR733" i="9"/>
  <c r="I733" i="9"/>
  <c r="J677" i="9"/>
  <c r="K688" i="9"/>
  <c r="H690" i="9"/>
  <c r="H691" i="9"/>
  <c r="AR713" i="9"/>
  <c r="J718" i="9"/>
  <c r="K733" i="9"/>
  <c r="J733" i="9"/>
  <c r="K677" i="9"/>
  <c r="J679" i="9"/>
  <c r="J680" i="9"/>
  <c r="E700" i="9"/>
  <c r="E702" i="9"/>
  <c r="K706" i="9"/>
  <c r="J706" i="9"/>
  <c r="AV715" i="9"/>
  <c r="AN720" i="9"/>
  <c r="E720" i="9"/>
  <c r="BB723" i="9"/>
  <c r="H726" i="9"/>
  <c r="AP726" i="9"/>
  <c r="J738" i="9"/>
  <c r="K738" i="9"/>
  <c r="K747" i="9"/>
  <c r="J747" i="9"/>
  <c r="AP750" i="9"/>
  <c r="H750" i="9"/>
  <c r="K679" i="9"/>
  <c r="C679" i="9"/>
  <c r="K680" i="9"/>
  <c r="K690" i="9"/>
  <c r="J691" i="9"/>
  <c r="K698" i="9"/>
  <c r="AP701" i="9"/>
  <c r="H711" i="9"/>
  <c r="AP712" i="9"/>
  <c r="H712" i="9"/>
  <c r="K714" i="9"/>
  <c r="J714" i="9"/>
  <c r="I715" i="9"/>
  <c r="AS715" i="9"/>
  <c r="AW715" i="9"/>
  <c r="AY715" i="9"/>
  <c r="BA715" i="9"/>
  <c r="BC715" i="9"/>
  <c r="BE715" i="9"/>
  <c r="AP716" i="9"/>
  <c r="H716" i="9"/>
  <c r="J740" i="9"/>
  <c r="K740" i="9"/>
  <c r="AR749" i="9"/>
  <c r="I749" i="9"/>
  <c r="AQ759" i="9"/>
  <c r="AS759" i="9"/>
  <c r="AW759" i="9"/>
  <c r="AY759" i="9"/>
  <c r="BA759" i="9"/>
  <c r="BC759" i="9"/>
  <c r="BE759" i="9"/>
  <c r="H759" i="9"/>
  <c r="C691" i="9"/>
  <c r="J707" i="9"/>
  <c r="AV711" i="9"/>
  <c r="E713" i="9"/>
  <c r="AO713" i="9"/>
  <c r="AQ713" i="9"/>
  <c r="AS713" i="9"/>
  <c r="AW713" i="9"/>
  <c r="AY713" i="9"/>
  <c r="BA713" i="9"/>
  <c r="BC713" i="9"/>
  <c r="BE713" i="9"/>
  <c r="AR717" i="9"/>
  <c r="AV724" i="9"/>
  <c r="L724" i="9"/>
  <c r="AN731" i="9"/>
  <c r="E731" i="9"/>
  <c r="AP732" i="9"/>
  <c r="H732" i="9"/>
  <c r="J736" i="9"/>
  <c r="K736" i="9"/>
  <c r="K739" i="9"/>
  <c r="J739" i="9"/>
  <c r="AR743" i="9"/>
  <c r="I743" i="9"/>
  <c r="H753" i="9"/>
  <c r="AP753" i="9"/>
  <c r="J678" i="9"/>
  <c r="J711" i="9"/>
  <c r="K715" i="9"/>
  <c r="AV719" i="9"/>
  <c r="AY723" i="9"/>
  <c r="BA723" i="9"/>
  <c r="BC723" i="9"/>
  <c r="BE723" i="9"/>
  <c r="O723" i="9"/>
  <c r="K729" i="9"/>
  <c r="J729" i="9"/>
  <c r="H737" i="9"/>
  <c r="AP737" i="9"/>
  <c r="H741" i="9"/>
  <c r="AP741" i="9"/>
  <c r="E717" i="9"/>
  <c r="AO717" i="9"/>
  <c r="AQ717" i="9"/>
  <c r="AS717" i="9"/>
  <c r="AW717" i="9"/>
  <c r="AY717" i="9"/>
  <c r="BA717" i="9"/>
  <c r="BC717" i="9"/>
  <c r="BE717" i="9"/>
  <c r="AR718" i="9"/>
  <c r="I718" i="9"/>
  <c r="I719" i="9"/>
  <c r="AS719" i="9"/>
  <c r="AW719" i="9"/>
  <c r="AY719" i="9"/>
  <c r="BA719" i="9"/>
  <c r="BC719" i="9"/>
  <c r="BE719" i="9"/>
  <c r="K732" i="9"/>
  <c r="J732" i="9"/>
  <c r="K672" i="9"/>
  <c r="C695" i="9"/>
  <c r="AO706" i="9"/>
  <c r="AQ706" i="9"/>
  <c r="AS706" i="9"/>
  <c r="AW706" i="9"/>
  <c r="AY706" i="9"/>
  <c r="BA706" i="9"/>
  <c r="BC706" i="9"/>
  <c r="BE706" i="9"/>
  <c r="AO710" i="9"/>
  <c r="AQ710" i="9"/>
  <c r="AS710" i="9"/>
  <c r="AW710" i="9"/>
  <c r="AY710" i="9"/>
  <c r="BA710" i="9"/>
  <c r="BC710" i="9"/>
  <c r="BE710" i="9"/>
  <c r="C711" i="9"/>
  <c r="K721" i="9"/>
  <c r="J721" i="9"/>
  <c r="H725" i="9"/>
  <c r="AP725" i="9"/>
  <c r="O734" i="9"/>
  <c r="AX734" i="9"/>
  <c r="L742" i="9"/>
  <c r="AV742" i="9"/>
  <c r="AR764" i="9"/>
  <c r="I764" i="9"/>
  <c r="E725" i="9"/>
  <c r="AV739" i="9"/>
  <c r="AP740" i="9"/>
  <c r="H740" i="9"/>
  <c r="AP744" i="9"/>
  <c r="H744" i="9"/>
  <c r="K745" i="9"/>
  <c r="J745" i="9"/>
  <c r="L745" i="9"/>
  <c r="AV745" i="9"/>
  <c r="K751" i="9"/>
  <c r="J751" i="9"/>
  <c r="K752" i="9"/>
  <c r="J752" i="9"/>
  <c r="AR760" i="9"/>
  <c r="I760" i="9"/>
  <c r="AQ763" i="9"/>
  <c r="AS763" i="9"/>
  <c r="AW763" i="9"/>
  <c r="AY763" i="9"/>
  <c r="BA763" i="9"/>
  <c r="BC763" i="9"/>
  <c r="BE763" i="9"/>
  <c r="H763" i="9"/>
  <c r="H774" i="9"/>
  <c r="AP774" i="9"/>
  <c r="H724" i="9"/>
  <c r="C734" i="9"/>
  <c r="E735" i="9"/>
  <c r="C738" i="9"/>
  <c r="I745" i="9"/>
  <c r="H745" i="9"/>
  <c r="AP748" i="9"/>
  <c r="H748" i="9"/>
  <c r="E749" i="9"/>
  <c r="AP751" i="9"/>
  <c r="I758" i="9"/>
  <c r="AR758" i="9"/>
  <c r="H760" i="9"/>
  <c r="L765" i="9"/>
  <c r="AV765" i="9"/>
  <c r="J723" i="9"/>
  <c r="J724" i="9"/>
  <c r="E727" i="9"/>
  <c r="AP727" i="9"/>
  <c r="I735" i="9"/>
  <c r="AN736" i="9"/>
  <c r="J746" i="9"/>
  <c r="H749" i="9"/>
  <c r="AO754" i="9"/>
  <c r="AQ754" i="9"/>
  <c r="AS754" i="9"/>
  <c r="AW754" i="9"/>
  <c r="AY754" i="9"/>
  <c r="BA754" i="9"/>
  <c r="BC754" i="9"/>
  <c r="BE754" i="9"/>
  <c r="E754" i="9"/>
  <c r="H764" i="9"/>
  <c r="E775" i="9"/>
  <c r="AO775" i="9"/>
  <c r="AN721" i="9"/>
  <c r="K723" i="9"/>
  <c r="K724" i="9"/>
  <c r="AN729" i="9"/>
  <c r="K741" i="9"/>
  <c r="J741" i="9"/>
  <c r="AR762" i="9"/>
  <c r="K781" i="9"/>
  <c r="J781" i="9"/>
  <c r="L723" i="9"/>
  <c r="I734" i="9"/>
  <c r="H742" i="9"/>
  <c r="K737" i="9"/>
  <c r="J737" i="9"/>
  <c r="C746" i="9"/>
  <c r="AO755" i="9"/>
  <c r="AQ755" i="9"/>
  <c r="AS755" i="9"/>
  <c r="AW755" i="9"/>
  <c r="AY755" i="9"/>
  <c r="BA755" i="9"/>
  <c r="BC755" i="9"/>
  <c r="BE755" i="9"/>
  <c r="E755" i="9"/>
  <c r="L777" i="9"/>
  <c r="AV777" i="9"/>
  <c r="I724" i="9"/>
  <c r="L734" i="9"/>
  <c r="K742" i="9"/>
  <c r="AP746" i="9"/>
  <c r="H746" i="9"/>
  <c r="C750" i="9"/>
  <c r="E759" i="9"/>
  <c r="L772" i="9"/>
  <c r="AV772" i="9"/>
  <c r="AR778" i="9"/>
  <c r="I765" i="9"/>
  <c r="C768" i="9"/>
  <c r="AP770" i="9"/>
  <c r="AV780" i="9"/>
  <c r="AP781" i="9"/>
  <c r="H781" i="9"/>
  <c r="AP766" i="9"/>
  <c r="H766" i="9"/>
  <c r="K767" i="9"/>
  <c r="J767" i="9"/>
  <c r="AR767" i="9"/>
  <c r="I767" i="9"/>
  <c r="AN768" i="9"/>
  <c r="AO778" i="9"/>
  <c r="AQ778" i="9"/>
  <c r="AS778" i="9"/>
  <c r="AW778" i="9"/>
  <c r="AY778" i="9"/>
  <c r="BA778" i="9"/>
  <c r="BC778" i="9"/>
  <c r="BE778" i="9"/>
  <c r="E778" i="9"/>
  <c r="H804" i="9"/>
  <c r="AP804" i="9"/>
  <c r="AP754" i="9"/>
  <c r="K777" i="9"/>
  <c r="C779" i="9"/>
  <c r="H780" i="9"/>
  <c r="AQ780" i="9"/>
  <c r="J768" i="9"/>
  <c r="E769" i="9"/>
  <c r="AN769" i="9"/>
  <c r="K770" i="9"/>
  <c r="J771" i="9"/>
  <c r="K771" i="9"/>
  <c r="E772" i="9"/>
  <c r="AR776" i="9"/>
  <c r="J753" i="9"/>
  <c r="AR755" i="9"/>
  <c r="AR759" i="9"/>
  <c r="AR763" i="9"/>
  <c r="H767" i="9"/>
  <c r="H772" i="9"/>
  <c r="AR773" i="9"/>
  <c r="I773" i="9"/>
  <c r="K776" i="9"/>
  <c r="J776" i="9"/>
  <c r="AR779" i="9"/>
  <c r="AS783" i="9"/>
  <c r="AW783" i="9"/>
  <c r="AY783" i="9"/>
  <c r="BA783" i="9"/>
  <c r="BC783" i="9"/>
  <c r="BE783" i="9"/>
  <c r="I783" i="9"/>
  <c r="K785" i="9"/>
  <c r="J785" i="9"/>
  <c r="AR789" i="9"/>
  <c r="C752" i="9"/>
  <c r="E774" i="9"/>
  <c r="AR775" i="9"/>
  <c r="AV783" i="9"/>
  <c r="L783" i="9"/>
  <c r="H801" i="9"/>
  <c r="AP801" i="9"/>
  <c r="J756" i="9"/>
  <c r="J758" i="9"/>
  <c r="J760" i="9"/>
  <c r="J762" i="9"/>
  <c r="J764" i="9"/>
  <c r="J766" i="9"/>
  <c r="J770" i="9"/>
  <c r="C776" i="9"/>
  <c r="AN785" i="9"/>
  <c r="E788" i="9"/>
  <c r="AO788" i="9"/>
  <c r="AO789" i="9"/>
  <c r="AQ789" i="9"/>
  <c r="AS789" i="9"/>
  <c r="AW789" i="9"/>
  <c r="AY789" i="9"/>
  <c r="BA789" i="9"/>
  <c r="BC789" i="9"/>
  <c r="BE789" i="9"/>
  <c r="E789" i="9"/>
  <c r="L790" i="9"/>
  <c r="AV790" i="9"/>
  <c r="E791" i="9"/>
  <c r="J797" i="9"/>
  <c r="K797" i="9"/>
  <c r="AP798" i="9"/>
  <c r="H798" i="9"/>
  <c r="E800" i="9"/>
  <c r="AN800" i="9"/>
  <c r="C772" i="9"/>
  <c r="J773" i="9"/>
  <c r="AO776" i="9"/>
  <c r="AP782" i="9"/>
  <c r="AP787" i="9"/>
  <c r="J807" i="9"/>
  <c r="K807" i="9"/>
  <c r="H777" i="9"/>
  <c r="AP786" i="9"/>
  <c r="H786" i="9"/>
  <c r="AP791" i="9"/>
  <c r="L794" i="9"/>
  <c r="AR834" i="9"/>
  <c r="I834" i="9"/>
  <c r="H796" i="9"/>
  <c r="AP796" i="9"/>
  <c r="AV851" i="9"/>
  <c r="L851" i="9"/>
  <c r="J783" i="9"/>
  <c r="K787" i="9"/>
  <c r="J787" i="9"/>
  <c r="K790" i="9"/>
  <c r="I777" i="9"/>
  <c r="K779" i="9"/>
  <c r="AO779" i="9"/>
  <c r="E782" i="9"/>
  <c r="AO782" i="9"/>
  <c r="AQ782" i="9"/>
  <c r="AS782" i="9"/>
  <c r="AW782" i="9"/>
  <c r="AY782" i="9"/>
  <c r="BA782" i="9"/>
  <c r="BC782" i="9"/>
  <c r="BE782" i="9"/>
  <c r="C784" i="9"/>
  <c r="J790" i="9"/>
  <c r="AR792" i="9"/>
  <c r="I792" i="9"/>
  <c r="AV794" i="9"/>
  <c r="E815" i="9"/>
  <c r="AN815" i="9"/>
  <c r="AV788" i="9"/>
  <c r="K793" i="9"/>
  <c r="J793" i="9"/>
  <c r="AR795" i="9"/>
  <c r="I795" i="9"/>
  <c r="AR797" i="9"/>
  <c r="P803" i="9"/>
  <c r="AZ803" i="9"/>
  <c r="K796" i="9"/>
  <c r="AO797" i="9"/>
  <c r="AQ797" i="9"/>
  <c r="AS797" i="9"/>
  <c r="AW797" i="9"/>
  <c r="AY797" i="9"/>
  <c r="BA797" i="9"/>
  <c r="BC797" i="9"/>
  <c r="BE797" i="9"/>
  <c r="L803" i="9"/>
  <c r="H808" i="9"/>
  <c r="AP808" i="9"/>
  <c r="P843" i="9"/>
  <c r="AZ843" i="9"/>
  <c r="I790" i="9"/>
  <c r="AN802" i="9"/>
  <c r="I809" i="9"/>
  <c r="AR809" i="9"/>
  <c r="H826" i="9"/>
  <c r="AP826" i="9"/>
  <c r="E829" i="9"/>
  <c r="I859" i="9"/>
  <c r="AR859" i="9"/>
  <c r="E810" i="9"/>
  <c r="AR838" i="9"/>
  <c r="I838" i="9"/>
  <c r="J844" i="9"/>
  <c r="K844" i="9"/>
  <c r="C793" i="9"/>
  <c r="E794" i="9"/>
  <c r="H803" i="9"/>
  <c r="J804" i="9"/>
  <c r="AR805" i="9"/>
  <c r="AN806" i="9"/>
  <c r="K808" i="9"/>
  <c r="AP811" i="9"/>
  <c r="H823" i="9"/>
  <c r="AP823" i="9"/>
  <c r="K849" i="9"/>
  <c r="J849" i="9"/>
  <c r="I851" i="9"/>
  <c r="I794" i="9"/>
  <c r="E798" i="9"/>
  <c r="K802" i="9"/>
  <c r="J805" i="9"/>
  <c r="K805" i="9"/>
  <c r="H810" i="9"/>
  <c r="AQ814" i="9"/>
  <c r="AS814" i="9"/>
  <c r="AW814" i="9"/>
  <c r="AY814" i="9"/>
  <c r="BA814" i="9"/>
  <c r="BC814" i="9"/>
  <c r="BE814" i="9"/>
  <c r="H814" i="9"/>
  <c r="H883" i="9"/>
  <c r="AP883" i="9"/>
  <c r="H794" i="9"/>
  <c r="J795" i="9"/>
  <c r="J802" i="9"/>
  <c r="C816" i="9"/>
  <c r="AP844" i="9"/>
  <c r="H844" i="9"/>
  <c r="H858" i="9"/>
  <c r="AP858" i="9"/>
  <c r="H790" i="9"/>
  <c r="J792" i="9"/>
  <c r="O803" i="9"/>
  <c r="J806" i="9"/>
  <c r="AR810" i="9"/>
  <c r="I810" i="9"/>
  <c r="H816" i="9"/>
  <c r="AP816" i="9"/>
  <c r="AP822" i="9"/>
  <c r="H822" i="9"/>
  <c r="AP829" i="9"/>
  <c r="H829" i="9"/>
  <c r="AN830" i="9"/>
  <c r="E830" i="9"/>
  <c r="K838" i="9"/>
  <c r="J838" i="9"/>
  <c r="H846" i="9"/>
  <c r="AP846" i="9"/>
  <c r="J860" i="9"/>
  <c r="K860" i="9"/>
  <c r="C798" i="9"/>
  <c r="E821" i="9"/>
  <c r="AP825" i="9"/>
  <c r="H825" i="9"/>
  <c r="AV832" i="9"/>
  <c r="H833" i="9"/>
  <c r="J833" i="9"/>
  <c r="K833" i="9"/>
  <c r="AN856" i="9"/>
  <c r="E856" i="9"/>
  <c r="AR814" i="9"/>
  <c r="H817" i="9"/>
  <c r="AP817" i="9"/>
  <c r="E818" i="9"/>
  <c r="AN818" i="9"/>
  <c r="H820" i="9"/>
  <c r="AP820" i="9"/>
  <c r="AO832" i="9"/>
  <c r="AQ832" i="9"/>
  <c r="AS832" i="9"/>
  <c r="AW832" i="9"/>
  <c r="AY832" i="9"/>
  <c r="BA832" i="9"/>
  <c r="BC832" i="9"/>
  <c r="BE832" i="9"/>
  <c r="E832" i="9"/>
  <c r="K834" i="9"/>
  <c r="J834" i="9"/>
  <c r="J840" i="9"/>
  <c r="K840" i="9"/>
  <c r="AV840" i="9"/>
  <c r="L840" i="9"/>
  <c r="AR842" i="9"/>
  <c r="I842" i="9"/>
  <c r="AV873" i="9"/>
  <c r="C802" i="9"/>
  <c r="H812" i="9"/>
  <c r="E813" i="9"/>
  <c r="K814" i="9"/>
  <c r="J814" i="9"/>
  <c r="E817" i="9"/>
  <c r="AP819" i="9"/>
  <c r="K823" i="9"/>
  <c r="J823" i="9"/>
  <c r="E825" i="9"/>
  <c r="AO841" i="9"/>
  <c r="E841" i="9"/>
  <c r="L855" i="9"/>
  <c r="AP861" i="9"/>
  <c r="H861" i="9"/>
  <c r="AP813" i="9"/>
  <c r="H813" i="9"/>
  <c r="AP821" i="9"/>
  <c r="AP824" i="9"/>
  <c r="AN837" i="9"/>
  <c r="E837" i="9"/>
  <c r="O843" i="9"/>
  <c r="E845" i="9"/>
  <c r="K857" i="9"/>
  <c r="J857" i="9"/>
  <c r="H862" i="9"/>
  <c r="AP862" i="9"/>
  <c r="AQ876" i="9"/>
  <c r="AS876" i="9"/>
  <c r="AW876" i="9"/>
  <c r="AY876" i="9"/>
  <c r="BA876" i="9"/>
  <c r="BC876" i="9"/>
  <c r="BE876" i="9"/>
  <c r="H876" i="9"/>
  <c r="E820" i="9"/>
  <c r="H827" i="9"/>
  <c r="AP827" i="9"/>
  <c r="L843" i="9"/>
  <c r="AP845" i="9"/>
  <c r="H845" i="9"/>
  <c r="AV847" i="9"/>
  <c r="L847" i="9"/>
  <c r="AP849" i="9"/>
  <c r="H849" i="9"/>
  <c r="AP850" i="9"/>
  <c r="AX855" i="9"/>
  <c r="E816" i="9"/>
  <c r="AO824" i="9"/>
  <c r="AQ824" i="9"/>
  <c r="AS824" i="9"/>
  <c r="AW824" i="9"/>
  <c r="AY824" i="9"/>
  <c r="BA824" i="9"/>
  <c r="BC824" i="9"/>
  <c r="BE824" i="9"/>
  <c r="E824" i="9"/>
  <c r="AP828" i="9"/>
  <c r="I833" i="9"/>
  <c r="AR833" i="9"/>
  <c r="C852" i="9"/>
  <c r="K861" i="9"/>
  <c r="J861" i="9"/>
  <c r="AR865" i="9"/>
  <c r="AS872" i="9"/>
  <c r="AW872" i="9"/>
  <c r="AY872" i="9"/>
  <c r="BA872" i="9"/>
  <c r="BC872" i="9"/>
  <c r="BE872" i="9"/>
  <c r="I872" i="9"/>
  <c r="H839" i="9"/>
  <c r="H843" i="9"/>
  <c r="AP848" i="9"/>
  <c r="H848" i="9"/>
  <c r="AR853" i="9"/>
  <c r="I853" i="9"/>
  <c r="AP863" i="9"/>
  <c r="AN874" i="9"/>
  <c r="E874" i="9"/>
  <c r="AV888" i="9"/>
  <c r="AQ890" i="9"/>
  <c r="AS890" i="9"/>
  <c r="AW890" i="9"/>
  <c r="AY890" i="9"/>
  <c r="BA890" i="9"/>
  <c r="BC890" i="9"/>
  <c r="BE890" i="9"/>
  <c r="C825" i="9"/>
  <c r="C837" i="9"/>
  <c r="H838" i="9"/>
  <c r="AP839" i="9"/>
  <c r="I840" i="9"/>
  <c r="J852" i="9"/>
  <c r="K853" i="9"/>
  <c r="J853" i="9"/>
  <c r="AR857" i="9"/>
  <c r="I857" i="9"/>
  <c r="AP860" i="9"/>
  <c r="H860" i="9"/>
  <c r="AR868" i="9"/>
  <c r="H872" i="9"/>
  <c r="AR894" i="9"/>
  <c r="I894" i="9"/>
  <c r="AR841" i="9"/>
  <c r="H847" i="9"/>
  <c r="AP852" i="9"/>
  <c r="H852" i="9"/>
  <c r="I855" i="9"/>
  <c r="AO863" i="9"/>
  <c r="AQ863" i="9"/>
  <c r="AS863" i="9"/>
  <c r="AW863" i="9"/>
  <c r="AY863" i="9"/>
  <c r="BA863" i="9"/>
  <c r="BC863" i="9"/>
  <c r="BE863" i="9"/>
  <c r="E863" i="9"/>
  <c r="C821" i="9"/>
  <c r="I843" i="9"/>
  <c r="K852" i="9"/>
  <c r="K881" i="9"/>
  <c r="J881" i="9"/>
  <c r="E836" i="9"/>
  <c r="H851" i="9"/>
  <c r="H853" i="9"/>
  <c r="H859" i="9"/>
  <c r="AW866" i="9"/>
  <c r="AY866" i="9"/>
  <c r="BA866" i="9"/>
  <c r="BC866" i="9"/>
  <c r="BE866" i="9"/>
  <c r="L866" i="9"/>
  <c r="AS869" i="9"/>
  <c r="AW869" i="9"/>
  <c r="AY869" i="9"/>
  <c r="BA869" i="9"/>
  <c r="BC869" i="9"/>
  <c r="BE869" i="9"/>
  <c r="I869" i="9"/>
  <c r="AP867" i="9"/>
  <c r="H867" i="9"/>
  <c r="AO871" i="9"/>
  <c r="AQ871" i="9"/>
  <c r="AS871" i="9"/>
  <c r="AW871" i="9"/>
  <c r="AY871" i="9"/>
  <c r="BA871" i="9"/>
  <c r="BC871" i="9"/>
  <c r="BE871" i="9"/>
  <c r="E871" i="9"/>
  <c r="AS873" i="9"/>
  <c r="AW873" i="9"/>
  <c r="AY873" i="9"/>
  <c r="BA873" i="9"/>
  <c r="BC873" i="9"/>
  <c r="BE873" i="9"/>
  <c r="I873" i="9"/>
  <c r="AV876" i="9"/>
  <c r="H881" i="9"/>
  <c r="AP881" i="9"/>
  <c r="E897" i="9"/>
  <c r="AN897" i="9"/>
  <c r="AP913" i="9"/>
  <c r="H913" i="9"/>
  <c r="K864" i="9"/>
  <c r="J864" i="9"/>
  <c r="BB866" i="9"/>
  <c r="K868" i="9"/>
  <c r="J868" i="9"/>
  <c r="H869" i="9"/>
  <c r="AV872" i="9"/>
  <c r="H880" i="9"/>
  <c r="AP880" i="9"/>
  <c r="K882" i="9"/>
  <c r="J882" i="9"/>
  <c r="L891" i="9"/>
  <c r="AV891" i="9"/>
  <c r="H908" i="9"/>
  <c r="AP908" i="9"/>
  <c r="AN910" i="9"/>
  <c r="E910" i="9"/>
  <c r="AV915" i="9"/>
  <c r="L915" i="9"/>
  <c r="AQ930" i="9"/>
  <c r="H930" i="9"/>
  <c r="AP944" i="9"/>
  <c r="K983" i="9"/>
  <c r="J983" i="9"/>
  <c r="H984" i="9"/>
  <c r="AP984" i="9"/>
  <c r="AP1000" i="9"/>
  <c r="H1000" i="9"/>
  <c r="J869" i="9"/>
  <c r="AV869" i="9"/>
  <c r="AP870" i="9"/>
  <c r="H870" i="9"/>
  <c r="AP875" i="9"/>
  <c r="AS877" i="9"/>
  <c r="AW877" i="9"/>
  <c r="AY877" i="9"/>
  <c r="BA877" i="9"/>
  <c r="BC877" i="9"/>
  <c r="BE877" i="9"/>
  <c r="J880" i="9"/>
  <c r="K880" i="9"/>
  <c r="AO888" i="9"/>
  <c r="AQ888" i="9"/>
  <c r="AS888" i="9"/>
  <c r="AW888" i="9"/>
  <c r="AY888" i="9"/>
  <c r="BA888" i="9"/>
  <c r="BC888" i="9"/>
  <c r="BE888" i="9"/>
  <c r="E888" i="9"/>
  <c r="I915" i="9"/>
  <c r="E944" i="9"/>
  <c r="AO944" i="9"/>
  <c r="AQ944" i="9"/>
  <c r="AS944" i="9"/>
  <c r="AW944" i="9"/>
  <c r="AY944" i="9"/>
  <c r="BA944" i="9"/>
  <c r="BC944" i="9"/>
  <c r="BE944" i="9"/>
  <c r="I866" i="9"/>
  <c r="K869" i="9"/>
  <c r="E870" i="9"/>
  <c r="K872" i="9"/>
  <c r="J872" i="9"/>
  <c r="K873" i="9"/>
  <c r="C873" i="9"/>
  <c r="AR878" i="9"/>
  <c r="I878" i="9"/>
  <c r="J879" i="9"/>
  <c r="K879" i="9"/>
  <c r="AP879" i="9"/>
  <c r="K893" i="9"/>
  <c r="J893" i="9"/>
  <c r="J901" i="9"/>
  <c r="K901" i="9"/>
  <c r="AP871" i="9"/>
  <c r="J889" i="9"/>
  <c r="K889" i="9"/>
  <c r="I895" i="9"/>
  <c r="AS895" i="9"/>
  <c r="C865" i="9"/>
  <c r="E866" i="9"/>
  <c r="AO868" i="9"/>
  <c r="C869" i="9"/>
  <c r="AO875" i="9"/>
  <c r="AQ875" i="9"/>
  <c r="AS875" i="9"/>
  <c r="AW875" i="9"/>
  <c r="AY875" i="9"/>
  <c r="BA875" i="9"/>
  <c r="BC875" i="9"/>
  <c r="BE875" i="9"/>
  <c r="E875" i="9"/>
  <c r="K878" i="9"/>
  <c r="J878" i="9"/>
  <c r="H882" i="9"/>
  <c r="AP882" i="9"/>
  <c r="AP885" i="9"/>
  <c r="H885" i="9"/>
  <c r="AN886" i="9"/>
  <c r="E886" i="9"/>
  <c r="AZ895" i="9"/>
  <c r="AN896" i="9"/>
  <c r="E896" i="9"/>
  <c r="J912" i="9"/>
  <c r="K912" i="9"/>
  <c r="AP892" i="9"/>
  <c r="H892" i="9"/>
  <c r="AP900" i="9"/>
  <c r="I902" i="9"/>
  <c r="AR903" i="9"/>
  <c r="I903" i="9"/>
  <c r="J904" i="9"/>
  <c r="K904" i="9"/>
  <c r="AN917" i="9"/>
  <c r="E917" i="9"/>
  <c r="AQ951" i="9"/>
  <c r="AS951" i="9"/>
  <c r="AW951" i="9"/>
  <c r="AY951" i="9"/>
  <c r="BA951" i="9"/>
  <c r="BC951" i="9"/>
  <c r="BE951" i="9"/>
  <c r="H951" i="9"/>
  <c r="C881" i="9"/>
  <c r="AP884" i="9"/>
  <c r="H891" i="9"/>
  <c r="E928" i="9"/>
  <c r="AN928" i="9"/>
  <c r="AP950" i="9"/>
  <c r="J890" i="9"/>
  <c r="H895" i="9"/>
  <c r="H906" i="9"/>
  <c r="AP906" i="9"/>
  <c r="J907" i="9"/>
  <c r="H924" i="9"/>
  <c r="AP924" i="9"/>
  <c r="K906" i="9"/>
  <c r="J906" i="9"/>
  <c r="J913" i="9"/>
  <c r="K913" i="9"/>
  <c r="AW919" i="9"/>
  <c r="AY919" i="9"/>
  <c r="BA919" i="9"/>
  <c r="BC919" i="9"/>
  <c r="BE919" i="9"/>
  <c r="AN893" i="9"/>
  <c r="H905" i="9"/>
  <c r="AP905" i="9"/>
  <c r="H907" i="9"/>
  <c r="AP907" i="9"/>
  <c r="AP887" i="9"/>
  <c r="E892" i="9"/>
  <c r="AN899" i="9"/>
  <c r="E899" i="9"/>
  <c r="H902" i="9"/>
  <c r="AR902" i="9"/>
  <c r="J905" i="9"/>
  <c r="K905" i="9"/>
  <c r="H909" i="9"/>
  <c r="AP909" i="9"/>
  <c r="E925" i="9"/>
  <c r="AO925" i="9"/>
  <c r="AQ925" i="9"/>
  <c r="AS925" i="9"/>
  <c r="AW925" i="9"/>
  <c r="AY925" i="9"/>
  <c r="BA925" i="9"/>
  <c r="BC925" i="9"/>
  <c r="BE925" i="9"/>
  <c r="H920" i="9"/>
  <c r="AP920" i="9"/>
  <c r="E921" i="9"/>
  <c r="AO921" i="9"/>
  <c r="AQ921" i="9"/>
  <c r="AS921" i="9"/>
  <c r="AW921" i="9"/>
  <c r="AY921" i="9"/>
  <c r="BA921" i="9"/>
  <c r="BC921" i="9"/>
  <c r="BE921" i="9"/>
  <c r="C906" i="9"/>
  <c r="AR925" i="9"/>
  <c r="K908" i="9"/>
  <c r="H912" i="9"/>
  <c r="AP912" i="9"/>
  <c r="AV930" i="9"/>
  <c r="J902" i="9"/>
  <c r="J903" i="9"/>
  <c r="C909" i="9"/>
  <c r="AX911" i="9"/>
  <c r="AR918" i="9"/>
  <c r="I918" i="9"/>
  <c r="C929" i="9"/>
  <c r="K930" i="9"/>
  <c r="J930" i="9"/>
  <c r="K902" i="9"/>
  <c r="E916" i="9"/>
  <c r="AP921" i="9"/>
  <c r="AN922" i="9"/>
  <c r="E922" i="9"/>
  <c r="K927" i="9"/>
  <c r="J927" i="9"/>
  <c r="AR929" i="9"/>
  <c r="I929" i="9"/>
  <c r="AV932" i="9"/>
  <c r="L932" i="9"/>
  <c r="K954" i="9"/>
  <c r="H916" i="9"/>
  <c r="AP916" i="9"/>
  <c r="AN923" i="9"/>
  <c r="E923" i="9"/>
  <c r="AN937" i="9"/>
  <c r="E937" i="9"/>
  <c r="K953" i="9"/>
  <c r="J953" i="9"/>
  <c r="AN927" i="9"/>
  <c r="E931" i="9"/>
  <c r="AN931" i="9"/>
  <c r="K941" i="9"/>
  <c r="J941" i="9"/>
  <c r="C948" i="9"/>
  <c r="I961" i="9"/>
  <c r="J920" i="9"/>
  <c r="J926" i="9"/>
  <c r="AP926" i="9"/>
  <c r="C930" i="9"/>
  <c r="AR934" i="9"/>
  <c r="I934" i="9"/>
  <c r="E936" i="9"/>
  <c r="AO936" i="9"/>
  <c r="AQ936" i="9"/>
  <c r="AS936" i="9"/>
  <c r="AW936" i="9"/>
  <c r="AY936" i="9"/>
  <c r="BA936" i="9"/>
  <c r="BC936" i="9"/>
  <c r="BE936" i="9"/>
  <c r="AP940" i="9"/>
  <c r="AR951" i="9"/>
  <c r="AN957" i="9"/>
  <c r="E957" i="9"/>
  <c r="H929" i="9"/>
  <c r="AR933" i="9"/>
  <c r="AQ943" i="9"/>
  <c r="AS943" i="9"/>
  <c r="H943" i="9"/>
  <c r="E924" i="9"/>
  <c r="C926" i="9"/>
  <c r="J932" i="9"/>
  <c r="J933" i="9"/>
  <c r="K933" i="9"/>
  <c r="E934" i="9"/>
  <c r="AP942" i="9"/>
  <c r="AX953" i="9"/>
  <c r="AX956" i="9"/>
  <c r="H961" i="9"/>
  <c r="AR938" i="9"/>
  <c r="I938" i="9"/>
  <c r="I941" i="9"/>
  <c r="AR941" i="9"/>
  <c r="AP954" i="9"/>
  <c r="H954" i="9"/>
  <c r="AP936" i="9"/>
  <c r="AZ943" i="9"/>
  <c r="K945" i="9"/>
  <c r="J945" i="9"/>
  <c r="AP946" i="9"/>
  <c r="C952" i="9"/>
  <c r="J955" i="9"/>
  <c r="K955" i="9"/>
  <c r="AO956" i="9"/>
  <c r="AQ956" i="9"/>
  <c r="AS956" i="9"/>
  <c r="AW956" i="9"/>
  <c r="AY956" i="9"/>
  <c r="BA956" i="9"/>
  <c r="BC956" i="9"/>
  <c r="BE956" i="9"/>
  <c r="E956" i="9"/>
  <c r="AV961" i="9"/>
  <c r="L961" i="9"/>
  <c r="H938" i="9"/>
  <c r="E940" i="9"/>
  <c r="AO940" i="9"/>
  <c r="AQ940" i="9"/>
  <c r="AS940" i="9"/>
  <c r="AW940" i="9"/>
  <c r="AY940" i="9"/>
  <c r="BA940" i="9"/>
  <c r="BC940" i="9"/>
  <c r="BE940" i="9"/>
  <c r="AO946" i="9"/>
  <c r="AQ946" i="9"/>
  <c r="AS946" i="9"/>
  <c r="AW946" i="9"/>
  <c r="AY946" i="9"/>
  <c r="BA946" i="9"/>
  <c r="BC946" i="9"/>
  <c r="BE946" i="9"/>
  <c r="E946" i="9"/>
  <c r="AV947" i="9"/>
  <c r="K948" i="9"/>
  <c r="AP952" i="9"/>
  <c r="AX959" i="9"/>
  <c r="O959" i="9"/>
  <c r="AP960" i="9"/>
  <c r="AO942" i="9"/>
  <c r="AQ942" i="9"/>
  <c r="AS942" i="9"/>
  <c r="AW942" i="9"/>
  <c r="AY942" i="9"/>
  <c r="BA942" i="9"/>
  <c r="BC942" i="9"/>
  <c r="BE942" i="9"/>
  <c r="E942" i="9"/>
  <c r="AP948" i="9"/>
  <c r="AO950" i="9"/>
  <c r="AQ950" i="9"/>
  <c r="AS950" i="9"/>
  <c r="AW950" i="9"/>
  <c r="AY950" i="9"/>
  <c r="BA950" i="9"/>
  <c r="BC950" i="9"/>
  <c r="BE950" i="9"/>
  <c r="E950" i="9"/>
  <c r="K951" i="9"/>
  <c r="J951" i="9"/>
  <c r="AQ953" i="9"/>
  <c r="AS953" i="9"/>
  <c r="H953" i="9"/>
  <c r="K947" i="9"/>
  <c r="J947" i="9"/>
  <c r="AP949" i="9"/>
  <c r="H949" i="9"/>
  <c r="AN962" i="9"/>
  <c r="E962" i="9"/>
  <c r="H939" i="9"/>
  <c r="C944" i="9"/>
  <c r="AR945" i="9"/>
  <c r="AP958" i="9"/>
  <c r="H958" i="9"/>
  <c r="K959" i="9"/>
  <c r="J959" i="9"/>
  <c r="R959" i="9"/>
  <c r="Q959" i="9"/>
  <c r="AO948" i="9"/>
  <c r="AQ948" i="9"/>
  <c r="AS948" i="9"/>
  <c r="AW948" i="9"/>
  <c r="AY948" i="9"/>
  <c r="BA948" i="9"/>
  <c r="BC948" i="9"/>
  <c r="BE948" i="9"/>
  <c r="AO952" i="9"/>
  <c r="AQ952" i="9"/>
  <c r="AS952" i="9"/>
  <c r="AW952" i="9"/>
  <c r="AY952" i="9"/>
  <c r="BA952" i="9"/>
  <c r="BC952" i="9"/>
  <c r="BE952" i="9"/>
  <c r="AN955" i="9"/>
  <c r="AO960" i="9"/>
  <c r="AQ960" i="9"/>
  <c r="AS960" i="9"/>
  <c r="AW960" i="9"/>
  <c r="AY960" i="9"/>
  <c r="BA960" i="9"/>
  <c r="BC960" i="9"/>
  <c r="BE960" i="9"/>
  <c r="E960" i="9"/>
  <c r="E961" i="9"/>
  <c r="E966" i="9"/>
  <c r="AO966" i="9"/>
  <c r="I971" i="9"/>
  <c r="AR971" i="9"/>
  <c r="C958" i="9"/>
  <c r="J963" i="9"/>
  <c r="E964" i="9"/>
  <c r="AO964" i="9"/>
  <c r="H965" i="9"/>
  <c r="H973" i="9"/>
  <c r="AP973" i="9"/>
  <c r="AQ967" i="9"/>
  <c r="AS967" i="9"/>
  <c r="AW967" i="9"/>
  <c r="AY967" i="9"/>
  <c r="BA967" i="9"/>
  <c r="BC967" i="9"/>
  <c r="BE967" i="9"/>
  <c r="H967" i="9"/>
  <c r="I959" i="9"/>
  <c r="AQ963" i="9"/>
  <c r="AS963" i="9"/>
  <c r="H963" i="9"/>
  <c r="AR965" i="9"/>
  <c r="I965" i="9"/>
  <c r="I968" i="9"/>
  <c r="AR968" i="9"/>
  <c r="AR974" i="9"/>
  <c r="C957" i="9"/>
  <c r="AZ963" i="9"/>
  <c r="J970" i="9"/>
  <c r="K970" i="9"/>
  <c r="AV964" i="9"/>
  <c r="K965" i="9"/>
  <c r="K969" i="9"/>
  <c r="J969" i="9"/>
  <c r="AZ969" i="9"/>
  <c r="P969" i="9"/>
  <c r="AR966" i="9"/>
  <c r="C971" i="9"/>
  <c r="H972" i="9"/>
  <c r="AP978" i="9"/>
  <c r="H978" i="9"/>
  <c r="K979" i="9"/>
  <c r="J979" i="9"/>
  <c r="AP990" i="9"/>
  <c r="AN976" i="9"/>
  <c r="H988" i="9"/>
  <c r="AP988" i="9"/>
  <c r="E967" i="9"/>
  <c r="AO974" i="9"/>
  <c r="AQ974" i="9"/>
  <c r="AS974" i="9"/>
  <c r="AW974" i="9"/>
  <c r="AY974" i="9"/>
  <c r="BA974" i="9"/>
  <c r="BC974" i="9"/>
  <c r="BE974" i="9"/>
  <c r="E974" i="9"/>
  <c r="H977" i="9"/>
  <c r="AP977" i="9"/>
  <c r="K977" i="9"/>
  <c r="H979" i="9"/>
  <c r="AP979" i="9"/>
  <c r="AV967" i="9"/>
  <c r="K971" i="9"/>
  <c r="AR972" i="9"/>
  <c r="I972" i="9"/>
  <c r="C982" i="9"/>
  <c r="AN985" i="9"/>
  <c r="E985" i="9"/>
  <c r="L969" i="9"/>
  <c r="H969" i="9"/>
  <c r="E975" i="9"/>
  <c r="AN975" i="9"/>
  <c r="AP982" i="9"/>
  <c r="E981" i="9"/>
  <c r="AN981" i="9"/>
  <c r="AV998" i="9"/>
  <c r="C974" i="9"/>
  <c r="AV986" i="9"/>
  <c r="AO990" i="9"/>
  <c r="AQ990" i="9"/>
  <c r="AS990" i="9"/>
  <c r="AW990" i="9"/>
  <c r="AY990" i="9"/>
  <c r="BA990" i="9"/>
  <c r="BC990" i="9"/>
  <c r="BE990" i="9"/>
  <c r="E990" i="9"/>
  <c r="AO994" i="9"/>
  <c r="E994" i="9"/>
  <c r="J978" i="9"/>
  <c r="K988" i="9"/>
  <c r="J988" i="9"/>
  <c r="K982" i="9"/>
  <c r="AV991" i="9"/>
  <c r="L991" i="9"/>
  <c r="H980" i="9"/>
  <c r="AP980" i="9"/>
  <c r="AO986" i="9"/>
  <c r="C990" i="9"/>
  <c r="AZ993" i="9"/>
  <c r="AV994" i="9"/>
  <c r="AN999" i="9"/>
  <c r="E999" i="9"/>
  <c r="C978" i="9"/>
  <c r="AO982" i="9"/>
  <c r="AQ982" i="9"/>
  <c r="AS982" i="9"/>
  <c r="AW982" i="9"/>
  <c r="AY982" i="9"/>
  <c r="BA982" i="9"/>
  <c r="BC982" i="9"/>
  <c r="BE982" i="9"/>
  <c r="K986" i="9"/>
  <c r="AP989" i="9"/>
  <c r="J995" i="9"/>
  <c r="K995" i="9"/>
  <c r="C987" i="9"/>
  <c r="K1000" i="9"/>
  <c r="J1000" i="9"/>
  <c r="C986" i="9"/>
  <c r="AP987" i="9"/>
  <c r="H987" i="9"/>
  <c r="AR997" i="9"/>
  <c r="AR995" i="9"/>
  <c r="AO998" i="9"/>
  <c r="AQ998" i="9"/>
  <c r="E998" i="9"/>
  <c r="E993" i="9"/>
  <c r="AO993" i="9"/>
  <c r="AQ993" i="9"/>
  <c r="I991" i="9"/>
  <c r="AP992" i="9"/>
  <c r="H992" i="9"/>
  <c r="C998" i="9"/>
  <c r="AP996" i="9"/>
  <c r="H996" i="9"/>
  <c r="K997" i="9"/>
  <c r="J997" i="9"/>
  <c r="AP1001" i="9"/>
  <c r="H1001" i="9"/>
  <c r="AP1002" i="9"/>
  <c r="H1002" i="9"/>
  <c r="E989" i="9"/>
  <c r="AO989" i="9"/>
  <c r="AQ989" i="9"/>
  <c r="AS989" i="9"/>
  <c r="AW989" i="9"/>
  <c r="AY989" i="9"/>
  <c r="BA989" i="9"/>
  <c r="BC989" i="9"/>
  <c r="BE989" i="9"/>
  <c r="J992" i="9"/>
  <c r="AO997" i="9"/>
  <c r="AQ997" i="9"/>
  <c r="AS997" i="9"/>
  <c r="AW997" i="9"/>
  <c r="AY997" i="9"/>
  <c r="BA997" i="9"/>
  <c r="BC997" i="9"/>
  <c r="BE997" i="9"/>
  <c r="J1002" i="9"/>
  <c r="K1002" i="9"/>
  <c r="H410" i="9"/>
  <c r="H325" i="9"/>
  <c r="L41" i="9"/>
  <c r="K958" i="9"/>
  <c r="F50" i="9"/>
  <c r="F156" i="9"/>
  <c r="L198" i="9"/>
  <c r="H507" i="9"/>
  <c r="O54" i="9"/>
  <c r="P54" i="9"/>
  <c r="H154" i="9"/>
  <c r="G506" i="9"/>
  <c r="L876" i="9"/>
  <c r="O41" i="9"/>
  <c r="H465" i="9"/>
  <c r="I288" i="9"/>
  <c r="H789" i="9"/>
  <c r="H669" i="9"/>
  <c r="O314" i="9"/>
  <c r="O58" i="9"/>
  <c r="I330" i="9"/>
  <c r="H717" i="9"/>
  <c r="L9" i="9"/>
  <c r="F781" i="9"/>
  <c r="U373" i="9"/>
  <c r="T373" i="9"/>
  <c r="H74" i="9"/>
  <c r="H574" i="9"/>
  <c r="H871" i="9"/>
  <c r="L707" i="9"/>
  <c r="L164" i="9"/>
  <c r="H956" i="9"/>
  <c r="H797" i="9"/>
  <c r="I310" i="9"/>
  <c r="F224" i="9"/>
  <c r="L656" i="9"/>
  <c r="L890" i="9"/>
  <c r="N890" i="9"/>
  <c r="H655" i="9"/>
  <c r="G224" i="9"/>
  <c r="I329" i="9"/>
  <c r="I48" i="9"/>
  <c r="I933" i="9"/>
  <c r="K839" i="9"/>
  <c r="J839" i="9"/>
  <c r="O660" i="9"/>
  <c r="I565" i="9"/>
  <c r="H503" i="9"/>
  <c r="I298" i="9"/>
  <c r="H315" i="9"/>
  <c r="H307" i="9"/>
  <c r="I198" i="9"/>
  <c r="I334" i="9"/>
  <c r="I318" i="9"/>
  <c r="I338" i="9"/>
  <c r="L869" i="9"/>
  <c r="H645" i="9"/>
  <c r="M890" i="9"/>
  <c r="N86" i="9"/>
  <c r="M86" i="9"/>
  <c r="BA50" i="9"/>
  <c r="BC50" i="9"/>
  <c r="BE50" i="9"/>
  <c r="P50" i="9"/>
  <c r="G899" i="9"/>
  <c r="F899" i="9"/>
  <c r="G556" i="9"/>
  <c r="F556" i="9"/>
  <c r="G414" i="9"/>
  <c r="F414" i="9"/>
  <c r="G424" i="9"/>
  <c r="F424" i="9"/>
  <c r="G390" i="9"/>
  <c r="F390" i="9"/>
  <c r="G345" i="9"/>
  <c r="F345" i="9"/>
  <c r="G313" i="9"/>
  <c r="F313" i="9"/>
  <c r="F261" i="9"/>
  <c r="G261" i="9"/>
  <c r="G339" i="9"/>
  <c r="F339" i="9"/>
  <c r="G248" i="9"/>
  <c r="F248" i="9"/>
  <c r="G356" i="9"/>
  <c r="F356" i="9"/>
  <c r="G305" i="9"/>
  <c r="F305" i="9"/>
  <c r="N215" i="9"/>
  <c r="M215" i="9"/>
  <c r="G249" i="9"/>
  <c r="F249" i="9"/>
  <c r="G225" i="9"/>
  <c r="F225" i="9"/>
  <c r="F205" i="9"/>
  <c r="G205" i="9"/>
  <c r="G303" i="9"/>
  <c r="F303" i="9"/>
  <c r="G234" i="9"/>
  <c r="F234" i="9"/>
  <c r="AX22" i="9"/>
  <c r="N9" i="9"/>
  <c r="M9" i="9"/>
  <c r="G90" i="9"/>
  <c r="F90" i="9"/>
  <c r="G128" i="9"/>
  <c r="F128" i="9"/>
  <c r="G109" i="9"/>
  <c r="F109" i="9"/>
  <c r="G99" i="9"/>
  <c r="F99" i="9"/>
  <c r="F85" i="9"/>
  <c r="G85" i="9"/>
  <c r="L30" i="9"/>
  <c r="N14" i="9"/>
  <c r="M14" i="9"/>
  <c r="N10" i="9"/>
  <c r="M10" i="9"/>
  <c r="N42" i="9"/>
  <c r="M42" i="9"/>
  <c r="N26" i="9"/>
  <c r="M26" i="9"/>
  <c r="G954" i="9"/>
  <c r="F954" i="9"/>
  <c r="G968" i="9"/>
  <c r="F968" i="9"/>
  <c r="G860" i="9"/>
  <c r="F860" i="9"/>
  <c r="G795" i="9"/>
  <c r="F795" i="9"/>
  <c r="G890" i="9"/>
  <c r="F890" i="9"/>
  <c r="G808" i="9"/>
  <c r="F808" i="9"/>
  <c r="G859" i="9"/>
  <c r="F859" i="9"/>
  <c r="G771" i="9"/>
  <c r="F771" i="9"/>
  <c r="G732" i="9"/>
  <c r="F732" i="9"/>
  <c r="G734" i="9"/>
  <c r="F734" i="9"/>
  <c r="G867" i="9"/>
  <c r="F867" i="9"/>
  <c r="G722" i="9"/>
  <c r="F722" i="9"/>
  <c r="G598" i="9"/>
  <c r="F598" i="9"/>
  <c r="G612" i="9"/>
  <c r="F612" i="9"/>
  <c r="G519" i="9"/>
  <c r="F519" i="9"/>
  <c r="G488" i="9"/>
  <c r="F488" i="9"/>
  <c r="G470" i="9"/>
  <c r="F470" i="9"/>
  <c r="G515" i="9"/>
  <c r="F515" i="9"/>
  <c r="G434" i="9"/>
  <c r="F434" i="9"/>
  <c r="G370" i="9"/>
  <c r="F370" i="9"/>
  <c r="G268" i="9"/>
  <c r="F268" i="9"/>
  <c r="G449" i="9"/>
  <c r="F449" i="9"/>
  <c r="G395" i="9"/>
  <c r="F395" i="9"/>
  <c r="G417" i="9"/>
  <c r="F417" i="9"/>
  <c r="G464" i="9"/>
  <c r="F464" i="9"/>
  <c r="G444" i="9"/>
  <c r="F444" i="9"/>
  <c r="G368" i="9"/>
  <c r="F368" i="9"/>
  <c r="J269" i="9"/>
  <c r="F269" i="9"/>
  <c r="G269" i="9"/>
  <c r="G282" i="9"/>
  <c r="F282" i="9"/>
  <c r="G348" i="9"/>
  <c r="F348" i="9"/>
  <c r="G272" i="9"/>
  <c r="F272" i="9"/>
  <c r="K233" i="9"/>
  <c r="G233" i="9"/>
  <c r="F233" i="9"/>
  <c r="G14" i="9"/>
  <c r="F14" i="9"/>
  <c r="H50" i="9"/>
  <c r="G232" i="9"/>
  <c r="F232" i="9"/>
  <c r="K178" i="9"/>
  <c r="G178" i="9"/>
  <c r="F178" i="9"/>
  <c r="G46" i="9"/>
  <c r="F46" i="9"/>
  <c r="G17" i="9"/>
  <c r="F17" i="9"/>
  <c r="G107" i="9"/>
  <c r="F107" i="9"/>
  <c r="G52" i="9"/>
  <c r="F52" i="9"/>
  <c r="G104" i="9"/>
  <c r="F104" i="9"/>
  <c r="G955" i="9"/>
  <c r="F955" i="9"/>
  <c r="G952" i="9"/>
  <c r="F952" i="9"/>
  <c r="K952" i="9"/>
  <c r="J952" i="9"/>
  <c r="G838" i="9"/>
  <c r="F838" i="9"/>
  <c r="J742" i="9"/>
  <c r="G742" i="9"/>
  <c r="F742" i="9"/>
  <c r="G579" i="9"/>
  <c r="F579" i="9"/>
  <c r="K579" i="9"/>
  <c r="G986" i="9"/>
  <c r="F986" i="9"/>
  <c r="G912" i="9"/>
  <c r="F912" i="9"/>
  <c r="G615" i="9"/>
  <c r="F615" i="9"/>
  <c r="K831" i="9"/>
  <c r="G831" i="9"/>
  <c r="F831" i="9"/>
  <c r="N372" i="9"/>
  <c r="M372" i="9"/>
  <c r="G211" i="9"/>
  <c r="F211" i="9"/>
  <c r="G155" i="9"/>
  <c r="F155" i="9"/>
  <c r="G102" i="9"/>
  <c r="F102" i="9"/>
  <c r="G510" i="9"/>
  <c r="F510" i="9"/>
  <c r="G407" i="9"/>
  <c r="F407" i="9"/>
  <c r="G357" i="9"/>
  <c r="F357" i="9"/>
  <c r="G31" i="9"/>
  <c r="F31" i="9"/>
  <c r="F21" i="9"/>
  <c r="G21" i="9"/>
  <c r="G739" i="9"/>
  <c r="F739" i="9"/>
  <c r="K231" i="9"/>
  <c r="G231" i="9"/>
  <c r="F231" i="9"/>
  <c r="G124" i="9"/>
  <c r="F124" i="9"/>
  <c r="K70" i="9"/>
  <c r="G70" i="9"/>
  <c r="F70" i="9"/>
  <c r="G988" i="9"/>
  <c r="F988" i="9"/>
  <c r="J259" i="9"/>
  <c r="G259" i="9"/>
  <c r="F259" i="9"/>
  <c r="G985" i="9"/>
  <c r="F985" i="9"/>
  <c r="G922" i="9"/>
  <c r="F922" i="9"/>
  <c r="G896" i="9"/>
  <c r="F896" i="9"/>
  <c r="G794" i="9"/>
  <c r="F794" i="9"/>
  <c r="G700" i="9"/>
  <c r="F700" i="9"/>
  <c r="G636" i="9"/>
  <c r="F636" i="9"/>
  <c r="G466" i="9"/>
  <c r="F466" i="9"/>
  <c r="N465" i="9"/>
  <c r="M465" i="9"/>
  <c r="G820" i="9"/>
  <c r="F820" i="9"/>
  <c r="G818" i="9"/>
  <c r="F818" i="9"/>
  <c r="N707" i="9"/>
  <c r="M707" i="9"/>
  <c r="G528" i="9"/>
  <c r="F528" i="9"/>
  <c r="G443" i="9"/>
  <c r="F443" i="9"/>
  <c r="G943" i="9"/>
  <c r="F943" i="9"/>
  <c r="G950" i="9"/>
  <c r="F950" i="9"/>
  <c r="G917" i="9"/>
  <c r="F917" i="9"/>
  <c r="G652" i="9"/>
  <c r="F652" i="9"/>
  <c r="G504" i="9"/>
  <c r="F504" i="9"/>
  <c r="G981" i="9"/>
  <c r="F981" i="9"/>
  <c r="H925" i="9"/>
  <c r="N689" i="9"/>
  <c r="M689" i="9"/>
  <c r="G560" i="9"/>
  <c r="F560" i="9"/>
  <c r="N576" i="9"/>
  <c r="M576" i="9"/>
  <c r="G352" i="9"/>
  <c r="F352" i="9"/>
  <c r="G279" i="9"/>
  <c r="F279" i="9"/>
  <c r="G299" i="9"/>
  <c r="F299" i="9"/>
  <c r="N247" i="9"/>
  <c r="M247" i="9"/>
  <c r="G188" i="9"/>
  <c r="F188" i="9"/>
  <c r="G226" i="9"/>
  <c r="F226" i="9"/>
  <c r="G786" i="9"/>
  <c r="F786" i="9"/>
  <c r="G977" i="9"/>
  <c r="F977" i="9"/>
  <c r="G827" i="9"/>
  <c r="F827" i="9"/>
  <c r="J452" i="9"/>
  <c r="G452" i="9"/>
  <c r="F452" i="9"/>
  <c r="K193" i="9"/>
  <c r="G193" i="9"/>
  <c r="F193" i="9"/>
  <c r="J9" i="9"/>
  <c r="G9" i="9"/>
  <c r="F9" i="9"/>
  <c r="N239" i="9"/>
  <c r="M239" i="9"/>
  <c r="G214" i="9"/>
  <c r="F214" i="9"/>
  <c r="F61" i="9"/>
  <c r="G61" i="9"/>
  <c r="G92" i="9"/>
  <c r="F92" i="9"/>
  <c r="G147" i="9"/>
  <c r="F147" i="9"/>
  <c r="G599" i="9"/>
  <c r="F599" i="9"/>
  <c r="K355" i="9"/>
  <c r="G355" i="9"/>
  <c r="F355" i="9"/>
  <c r="G105" i="9"/>
  <c r="F105" i="9"/>
  <c r="G432" i="9"/>
  <c r="F432" i="9"/>
  <c r="K151" i="9"/>
  <c r="G151" i="9"/>
  <c r="F151" i="9"/>
  <c r="G993" i="9"/>
  <c r="F993" i="9"/>
  <c r="H982" i="9"/>
  <c r="J977" i="9"/>
  <c r="G956" i="9"/>
  <c r="F956" i="9"/>
  <c r="N932" i="9"/>
  <c r="M932" i="9"/>
  <c r="G892" i="9"/>
  <c r="F892" i="9"/>
  <c r="AP914" i="9"/>
  <c r="I877" i="9"/>
  <c r="N891" i="9"/>
  <c r="M891" i="9"/>
  <c r="G871" i="9"/>
  <c r="F871" i="9"/>
  <c r="AP831" i="9"/>
  <c r="N847" i="9"/>
  <c r="M847" i="9"/>
  <c r="F837" i="9"/>
  <c r="G837" i="9"/>
  <c r="N855" i="9"/>
  <c r="M855" i="9"/>
  <c r="G832" i="9"/>
  <c r="F832" i="9"/>
  <c r="F829" i="9"/>
  <c r="G829" i="9"/>
  <c r="I797" i="9"/>
  <c r="G815" i="9"/>
  <c r="F815" i="9"/>
  <c r="G791" i="9"/>
  <c r="F791" i="9"/>
  <c r="G778" i="9"/>
  <c r="F778" i="9"/>
  <c r="G775" i="9"/>
  <c r="F775" i="9"/>
  <c r="G735" i="9"/>
  <c r="F735" i="9"/>
  <c r="L711" i="9"/>
  <c r="I739" i="9"/>
  <c r="G673" i="9"/>
  <c r="F673" i="9"/>
  <c r="H663" i="9"/>
  <c r="G639" i="9"/>
  <c r="F639" i="9"/>
  <c r="G666" i="9"/>
  <c r="F666" i="9"/>
  <c r="I654" i="9"/>
  <c r="G617" i="9"/>
  <c r="F617" i="9"/>
  <c r="G596" i="9"/>
  <c r="F596" i="9"/>
  <c r="N655" i="9"/>
  <c r="M655" i="9"/>
  <c r="G621" i="9"/>
  <c r="F621" i="9"/>
  <c r="G594" i="9"/>
  <c r="F594" i="9"/>
  <c r="J552" i="9"/>
  <c r="G471" i="9"/>
  <c r="F471" i="9"/>
  <c r="H479" i="9"/>
  <c r="G479" i="9"/>
  <c r="F479" i="9"/>
  <c r="G459" i="9"/>
  <c r="F459" i="9"/>
  <c r="G500" i="9"/>
  <c r="F500" i="9"/>
  <c r="N457" i="9"/>
  <c r="M457" i="9"/>
  <c r="N442" i="9"/>
  <c r="M442" i="9"/>
  <c r="G406" i="9"/>
  <c r="F406" i="9"/>
  <c r="H382" i="9"/>
  <c r="G385" i="9"/>
  <c r="F385" i="9"/>
  <c r="J432" i="9"/>
  <c r="H392" i="9"/>
  <c r="G297" i="9"/>
  <c r="F297" i="9"/>
  <c r="G331" i="9"/>
  <c r="F331" i="9"/>
  <c r="G367" i="9"/>
  <c r="F367" i="9"/>
  <c r="G343" i="9"/>
  <c r="F343" i="9"/>
  <c r="J214" i="9"/>
  <c r="F317" i="9"/>
  <c r="G317" i="9"/>
  <c r="G242" i="9"/>
  <c r="F242" i="9"/>
  <c r="G174" i="9"/>
  <c r="F174" i="9"/>
  <c r="N355" i="9"/>
  <c r="M355" i="9"/>
  <c r="G218" i="9"/>
  <c r="F218" i="9"/>
  <c r="G150" i="9"/>
  <c r="F150" i="9"/>
  <c r="F277" i="9"/>
  <c r="G277" i="9"/>
  <c r="G48" i="9"/>
  <c r="F48" i="9"/>
  <c r="N145" i="9"/>
  <c r="M145" i="9"/>
  <c r="K9" i="9"/>
  <c r="N65" i="9"/>
  <c r="M65" i="9"/>
  <c r="N34" i="9"/>
  <c r="M34" i="9"/>
  <c r="N58" i="9"/>
  <c r="M58" i="9"/>
  <c r="N18" i="9"/>
  <c r="M18" i="9"/>
  <c r="J40" i="9"/>
  <c r="G883" i="9"/>
  <c r="F883" i="9"/>
  <c r="G900" i="9"/>
  <c r="F900" i="9"/>
  <c r="G996" i="9"/>
  <c r="F996" i="9"/>
  <c r="G834" i="9"/>
  <c r="F834" i="9"/>
  <c r="G802" i="9"/>
  <c r="F802" i="9"/>
  <c r="G978" i="9"/>
  <c r="F978" i="9"/>
  <c r="G853" i="9"/>
  <c r="F853" i="9"/>
  <c r="G819" i="9"/>
  <c r="F819" i="9"/>
  <c r="F733" i="9"/>
  <c r="G733" i="9"/>
  <c r="G889" i="9"/>
  <c r="F889" i="9"/>
  <c r="G770" i="9"/>
  <c r="F770" i="9"/>
  <c r="G729" i="9"/>
  <c r="F729" i="9"/>
  <c r="G627" i="9"/>
  <c r="F627" i="9"/>
  <c r="F809" i="9"/>
  <c r="G809" i="9"/>
  <c r="K766" i="9"/>
  <c r="G766" i="9"/>
  <c r="F766" i="9"/>
  <c r="G723" i="9"/>
  <c r="F723" i="9"/>
  <c r="G681" i="9"/>
  <c r="F681" i="9"/>
  <c r="G662" i="9"/>
  <c r="F662" i="9"/>
  <c r="I663" i="9"/>
  <c r="G584" i="9"/>
  <c r="F584" i="9"/>
  <c r="G724" i="9"/>
  <c r="F724" i="9"/>
  <c r="K644" i="9"/>
  <c r="G644" i="9"/>
  <c r="F644" i="9"/>
  <c r="G714" i="9"/>
  <c r="F714" i="9"/>
  <c r="G663" i="9"/>
  <c r="F663" i="9"/>
  <c r="G593" i="9"/>
  <c r="F593" i="9"/>
  <c r="G542" i="9"/>
  <c r="F542" i="9"/>
  <c r="G543" i="9"/>
  <c r="F543" i="9"/>
  <c r="G433" i="9"/>
  <c r="F433" i="9"/>
  <c r="K351" i="9"/>
  <c r="G351" i="9"/>
  <c r="F351" i="9"/>
  <c r="G428" i="9"/>
  <c r="F428" i="9"/>
  <c r="G366" i="9"/>
  <c r="F366" i="9"/>
  <c r="G415" i="9"/>
  <c r="F415" i="9"/>
  <c r="F349" i="9"/>
  <c r="G349" i="9"/>
  <c r="N360" i="9"/>
  <c r="M360" i="9"/>
  <c r="G344" i="9"/>
  <c r="F344" i="9"/>
  <c r="G198" i="9"/>
  <c r="F198" i="9"/>
  <c r="G392" i="9"/>
  <c r="F392" i="9"/>
  <c r="G326" i="9"/>
  <c r="F326" i="9"/>
  <c r="G380" i="9"/>
  <c r="F380" i="9"/>
  <c r="G267" i="9"/>
  <c r="F267" i="9"/>
  <c r="G191" i="9"/>
  <c r="F191" i="9"/>
  <c r="F77" i="9"/>
  <c r="G77" i="9"/>
  <c r="G42" i="9"/>
  <c r="F42" i="9"/>
  <c r="K110" i="9"/>
  <c r="G110" i="9"/>
  <c r="F110" i="9"/>
  <c r="J41" i="9"/>
  <c r="G41" i="9"/>
  <c r="F41" i="9"/>
  <c r="J13" i="9"/>
  <c r="F13" i="9"/>
  <c r="G13" i="9"/>
  <c r="K8" i="9"/>
  <c r="G8" i="9"/>
  <c r="F8" i="9"/>
  <c r="G143" i="9"/>
  <c r="F143" i="9"/>
  <c r="G81" i="9"/>
  <c r="F81" i="9"/>
  <c r="J58" i="9"/>
  <c r="G58" i="9"/>
  <c r="F58" i="9"/>
  <c r="G995" i="9"/>
  <c r="F995" i="9"/>
  <c r="K565" i="9"/>
  <c r="G565" i="9"/>
  <c r="F565" i="9"/>
  <c r="G933" i="9"/>
  <c r="F933" i="9"/>
  <c r="G906" i="9"/>
  <c r="F906" i="9"/>
  <c r="G822" i="9"/>
  <c r="F822" i="9"/>
  <c r="G840" i="9"/>
  <c r="F840" i="9"/>
  <c r="K746" i="9"/>
  <c r="G746" i="9"/>
  <c r="F746" i="9"/>
  <c r="G458" i="9"/>
  <c r="F458" i="9"/>
  <c r="K458" i="9"/>
  <c r="G146" i="9"/>
  <c r="F146" i="9"/>
  <c r="F453" i="9"/>
  <c r="G453" i="9"/>
  <c r="J453" i="9"/>
  <c r="G203" i="9"/>
  <c r="F203" i="9"/>
  <c r="G12" i="9"/>
  <c r="F12" i="9"/>
  <c r="K678" i="9"/>
  <c r="G678" i="9"/>
  <c r="F678" i="9"/>
  <c r="K324" i="9"/>
  <c r="G324" i="9"/>
  <c r="F324" i="9"/>
  <c r="K216" i="9"/>
  <c r="G216" i="9"/>
  <c r="F216" i="9"/>
  <c r="J216" i="9"/>
  <c r="J57" i="9"/>
  <c r="G57" i="9"/>
  <c r="F57" i="9"/>
  <c r="K531" i="9"/>
  <c r="G531" i="9"/>
  <c r="F531" i="9"/>
  <c r="J531" i="9"/>
  <c r="G219" i="9"/>
  <c r="F219" i="9"/>
  <c r="F149" i="9"/>
  <c r="G149" i="9"/>
  <c r="G502" i="9"/>
  <c r="F502" i="9"/>
  <c r="J502" i="9"/>
  <c r="G845" i="9"/>
  <c r="F845" i="9"/>
  <c r="G495" i="9"/>
  <c r="F495" i="9"/>
  <c r="G782" i="9"/>
  <c r="F782" i="9"/>
  <c r="G491" i="9"/>
  <c r="F491" i="9"/>
  <c r="N281" i="9"/>
  <c r="M281" i="9"/>
  <c r="N198" i="9"/>
  <c r="M198" i="9"/>
  <c r="G51" i="9"/>
  <c r="F51" i="9"/>
  <c r="G87" i="9"/>
  <c r="F87" i="9"/>
  <c r="G684" i="9"/>
  <c r="F684" i="9"/>
  <c r="G667" i="9"/>
  <c r="F667" i="9"/>
  <c r="G571" i="9"/>
  <c r="F571" i="9"/>
  <c r="F589" i="9"/>
  <c r="G589" i="9"/>
  <c r="G358" i="9"/>
  <c r="F358" i="9"/>
  <c r="F381" i="9"/>
  <c r="G381" i="9"/>
  <c r="J289" i="9"/>
  <c r="G289" i="9"/>
  <c r="F289" i="9"/>
  <c r="G45" i="9"/>
  <c r="F45" i="9"/>
  <c r="G190" i="9"/>
  <c r="F190" i="9"/>
  <c r="G909" i="9"/>
  <c r="F909" i="9"/>
  <c r="G949" i="9"/>
  <c r="F949" i="9"/>
  <c r="G698" i="9"/>
  <c r="F698" i="9"/>
  <c r="G454" i="9"/>
  <c r="F454" i="9"/>
  <c r="K454" i="9"/>
  <c r="J454" i="9"/>
  <c r="G152" i="9"/>
  <c r="F152" i="9"/>
  <c r="G24" i="9"/>
  <c r="F24" i="9"/>
  <c r="G472" i="9"/>
  <c r="F472" i="9"/>
  <c r="G118" i="9"/>
  <c r="F118" i="9"/>
  <c r="G247" i="9"/>
  <c r="F247" i="9"/>
  <c r="J247" i="9"/>
  <c r="G989" i="9"/>
  <c r="F989" i="9"/>
  <c r="N991" i="9"/>
  <c r="M991" i="9"/>
  <c r="I953" i="9"/>
  <c r="G942" i="9"/>
  <c r="F942" i="9"/>
  <c r="G946" i="9"/>
  <c r="F946" i="9"/>
  <c r="I935" i="9"/>
  <c r="G936" i="9"/>
  <c r="F936" i="9"/>
  <c r="G937" i="9"/>
  <c r="F937" i="9"/>
  <c r="G916" i="9"/>
  <c r="F916" i="9"/>
  <c r="I888" i="9"/>
  <c r="H888" i="9"/>
  <c r="G886" i="9"/>
  <c r="F886" i="9"/>
  <c r="G875" i="9"/>
  <c r="F875" i="9"/>
  <c r="I890" i="9"/>
  <c r="N915" i="9"/>
  <c r="M915" i="9"/>
  <c r="AV890" i="9"/>
  <c r="G897" i="9"/>
  <c r="F897" i="9"/>
  <c r="G863" i="9"/>
  <c r="F863" i="9"/>
  <c r="I865" i="9"/>
  <c r="G824" i="9"/>
  <c r="F824" i="9"/>
  <c r="K848" i="9"/>
  <c r="G817" i="9"/>
  <c r="F817" i="9"/>
  <c r="G798" i="9"/>
  <c r="F798" i="9"/>
  <c r="G772" i="9"/>
  <c r="F772" i="9"/>
  <c r="H754" i="9"/>
  <c r="N734" i="9"/>
  <c r="M734" i="9"/>
  <c r="G727" i="9"/>
  <c r="F727" i="9"/>
  <c r="G731" i="9"/>
  <c r="F731" i="9"/>
  <c r="L715" i="9"/>
  <c r="J667" i="9"/>
  <c r="G638" i="9"/>
  <c r="F638" i="9"/>
  <c r="F669" i="9"/>
  <c r="G669" i="9"/>
  <c r="I689" i="9"/>
  <c r="F645" i="9"/>
  <c r="G645" i="9"/>
  <c r="J684" i="9"/>
  <c r="F653" i="9"/>
  <c r="G653" i="9"/>
  <c r="F605" i="9"/>
  <c r="G605" i="9"/>
  <c r="G630" i="9"/>
  <c r="F630" i="9"/>
  <c r="G651" i="9"/>
  <c r="F651" i="9"/>
  <c r="G582" i="9"/>
  <c r="F582" i="9"/>
  <c r="I596" i="9"/>
  <c r="N619" i="9"/>
  <c r="M619" i="9"/>
  <c r="I579" i="9"/>
  <c r="G574" i="9"/>
  <c r="F574" i="9"/>
  <c r="H579" i="9"/>
  <c r="G548" i="9"/>
  <c r="F548" i="9"/>
  <c r="G524" i="9"/>
  <c r="F524" i="9"/>
  <c r="G512" i="9"/>
  <c r="F512" i="9"/>
  <c r="J467" i="9"/>
  <c r="N446" i="9"/>
  <c r="M446" i="9"/>
  <c r="G423" i="9"/>
  <c r="F423" i="9"/>
  <c r="H317" i="9"/>
  <c r="G410" i="9"/>
  <c r="F410" i="9"/>
  <c r="G371" i="9"/>
  <c r="F371" i="9"/>
  <c r="G309" i="9"/>
  <c r="F309" i="9"/>
  <c r="G335" i="9"/>
  <c r="F335" i="9"/>
  <c r="F341" i="9"/>
  <c r="G341" i="9"/>
  <c r="G202" i="9"/>
  <c r="F202" i="9"/>
  <c r="G255" i="9"/>
  <c r="F255" i="9"/>
  <c r="K214" i="9"/>
  <c r="N243" i="9"/>
  <c r="M243" i="9"/>
  <c r="H239" i="9"/>
  <c r="G222" i="9"/>
  <c r="F222" i="9"/>
  <c r="G173" i="9"/>
  <c r="F173" i="9"/>
  <c r="J151" i="9"/>
  <c r="G194" i="9"/>
  <c r="F194" i="9"/>
  <c r="K105" i="9"/>
  <c r="G187" i="9"/>
  <c r="F187" i="9"/>
  <c r="G112" i="9"/>
  <c r="F112" i="9"/>
  <c r="G47" i="9"/>
  <c r="F47" i="9"/>
  <c r="J61" i="9"/>
  <c r="I16" i="9"/>
  <c r="G158" i="9"/>
  <c r="F158" i="9"/>
  <c r="G98" i="9"/>
  <c r="F98" i="9"/>
  <c r="K190" i="9"/>
  <c r="K118" i="9"/>
  <c r="N77" i="9"/>
  <c r="M77" i="9"/>
  <c r="G878" i="9"/>
  <c r="F878" i="9"/>
  <c r="F965" i="9"/>
  <c r="G965" i="9"/>
  <c r="J987" i="9"/>
  <c r="H865" i="9"/>
  <c r="G801" i="9"/>
  <c r="F801" i="9"/>
  <c r="G972" i="9"/>
  <c r="F972" i="9"/>
  <c r="G884" i="9"/>
  <c r="F884" i="9"/>
  <c r="G852" i="9"/>
  <c r="F852" i="9"/>
  <c r="G963" i="9"/>
  <c r="F963" i="9"/>
  <c r="H739" i="9"/>
  <c r="G850" i="9"/>
  <c r="F850" i="9"/>
  <c r="G752" i="9"/>
  <c r="F752" i="9"/>
  <c r="G672" i="9"/>
  <c r="F672" i="9"/>
  <c r="N624" i="9"/>
  <c r="M624" i="9"/>
  <c r="G680" i="9"/>
  <c r="F680" i="9"/>
  <c r="G440" i="9"/>
  <c r="F440" i="9"/>
  <c r="G689" i="9"/>
  <c r="F689" i="9"/>
  <c r="G486" i="9"/>
  <c r="F486" i="9"/>
  <c r="G513" i="9"/>
  <c r="F513" i="9"/>
  <c r="F445" i="9"/>
  <c r="G445" i="9"/>
  <c r="G474" i="9"/>
  <c r="F474" i="9"/>
  <c r="G403" i="9"/>
  <c r="F403" i="9"/>
  <c r="G177" i="9"/>
  <c r="F177" i="9"/>
  <c r="G316" i="9"/>
  <c r="F316" i="9"/>
  <c r="F405" i="9"/>
  <c r="G405" i="9"/>
  <c r="G365" i="9"/>
  <c r="F365" i="9"/>
  <c r="G332" i="9"/>
  <c r="F332" i="9"/>
  <c r="G192" i="9"/>
  <c r="F192" i="9"/>
  <c r="G254" i="9"/>
  <c r="F254" i="9"/>
  <c r="G465" i="9"/>
  <c r="F465" i="9"/>
  <c r="N314" i="9"/>
  <c r="M314" i="9"/>
  <c r="G68" i="9"/>
  <c r="F68" i="9"/>
  <c r="G168" i="9"/>
  <c r="F168" i="9"/>
  <c r="H38" i="9"/>
  <c r="K139" i="9"/>
  <c r="G139" i="9"/>
  <c r="F139" i="9"/>
  <c r="G35" i="9"/>
  <c r="F35" i="9"/>
  <c r="G54" i="9"/>
  <c r="F54" i="9"/>
  <c r="G11" i="9"/>
  <c r="F11" i="9"/>
  <c r="H25" i="9"/>
  <c r="G851" i="9"/>
  <c r="F851" i="9"/>
  <c r="G790" i="9"/>
  <c r="F790" i="9"/>
  <c r="G705" i="9"/>
  <c r="F705" i="9"/>
  <c r="G564" i="9"/>
  <c r="F564" i="9"/>
  <c r="G1000" i="9"/>
  <c r="F1000" i="9"/>
  <c r="K716" i="9"/>
  <c r="G716" i="9"/>
  <c r="F716" i="9"/>
  <c r="J716" i="9"/>
  <c r="F597" i="9"/>
  <c r="G597" i="9"/>
  <c r="K597" i="9"/>
  <c r="G905" i="9"/>
  <c r="F905" i="9"/>
  <c r="G811" i="9"/>
  <c r="F811" i="9"/>
  <c r="G241" i="9"/>
  <c r="F241" i="9"/>
  <c r="K166" i="9"/>
  <c r="G166" i="9"/>
  <c r="F166" i="9"/>
  <c r="K25" i="9"/>
  <c r="G25" i="9"/>
  <c r="F25" i="9"/>
  <c r="G591" i="9"/>
  <c r="F591" i="9"/>
  <c r="G478" i="9"/>
  <c r="F478" i="9"/>
  <c r="G441" i="9"/>
  <c r="F441" i="9"/>
  <c r="K441" i="9"/>
  <c r="J441" i="9"/>
  <c r="G200" i="9"/>
  <c r="F200" i="9"/>
  <c r="K200" i="9"/>
  <c r="G89" i="9"/>
  <c r="F89" i="9"/>
  <c r="G532" i="9"/>
  <c r="F532" i="9"/>
  <c r="G399" i="9"/>
  <c r="F399" i="9"/>
  <c r="G318" i="9"/>
  <c r="F318" i="9"/>
  <c r="K176" i="9"/>
  <c r="G176" i="9"/>
  <c r="F176" i="9"/>
  <c r="G101" i="9"/>
  <c r="F101" i="9"/>
  <c r="G761" i="9"/>
  <c r="F761" i="9"/>
  <c r="G595" i="9"/>
  <c r="F595" i="9"/>
  <c r="K595" i="9"/>
  <c r="G497" i="9"/>
  <c r="F497" i="9"/>
  <c r="G280" i="9"/>
  <c r="F280" i="9"/>
  <c r="G212" i="9"/>
  <c r="F212" i="9"/>
  <c r="K19" i="9"/>
  <c r="G19" i="9"/>
  <c r="F19" i="9"/>
  <c r="G220" i="9"/>
  <c r="F220" i="9"/>
  <c r="J220" i="9"/>
  <c r="N866" i="9"/>
  <c r="M866" i="9"/>
  <c r="N794" i="9"/>
  <c r="M794" i="9"/>
  <c r="G774" i="9"/>
  <c r="F774" i="9"/>
  <c r="G603" i="9"/>
  <c r="F603" i="9"/>
  <c r="G713" i="9"/>
  <c r="F713" i="9"/>
  <c r="G720" i="9"/>
  <c r="F720" i="9"/>
  <c r="G696" i="9"/>
  <c r="F696" i="9"/>
  <c r="G586" i="9"/>
  <c r="F586" i="9"/>
  <c r="G592" i="9"/>
  <c r="F592" i="9"/>
  <c r="G501" i="9"/>
  <c r="F501" i="9"/>
  <c r="G526" i="9"/>
  <c r="F526" i="9"/>
  <c r="G473" i="9"/>
  <c r="F473" i="9"/>
  <c r="G382" i="9"/>
  <c r="F382" i="9"/>
  <c r="N342" i="9"/>
  <c r="M342" i="9"/>
  <c r="N326" i="9"/>
  <c r="M326" i="9"/>
  <c r="F325" i="9"/>
  <c r="G325" i="9"/>
  <c r="G323" i="9"/>
  <c r="F323" i="9"/>
  <c r="G730" i="9"/>
  <c r="F730" i="9"/>
  <c r="G719" i="9"/>
  <c r="F719" i="9"/>
  <c r="G671" i="9"/>
  <c r="F671" i="9"/>
  <c r="G545" i="9"/>
  <c r="F545" i="9"/>
  <c r="G435" i="9"/>
  <c r="F435" i="9"/>
  <c r="G243" i="9"/>
  <c r="F243" i="9"/>
  <c r="G342" i="9"/>
  <c r="F342" i="9"/>
  <c r="G328" i="9"/>
  <c r="F328" i="9"/>
  <c r="G56" i="9"/>
  <c r="F56" i="9"/>
  <c r="K121" i="9"/>
  <c r="G121" i="9"/>
  <c r="F121" i="9"/>
  <c r="G43" i="9"/>
  <c r="F43" i="9"/>
  <c r="K79" i="9"/>
  <c r="G79" i="9"/>
  <c r="F79" i="9"/>
  <c r="G932" i="9"/>
  <c r="F932" i="9"/>
  <c r="G552" i="9"/>
  <c r="F552" i="9"/>
  <c r="F998" i="9"/>
  <c r="G998" i="9"/>
  <c r="G999" i="9"/>
  <c r="F999" i="9"/>
  <c r="G990" i="9"/>
  <c r="F990" i="9"/>
  <c r="I983" i="9"/>
  <c r="I943" i="9"/>
  <c r="G924" i="9"/>
  <c r="F924" i="9"/>
  <c r="K909" i="9"/>
  <c r="H889" i="9"/>
  <c r="G944" i="9"/>
  <c r="F944" i="9"/>
  <c r="H890" i="9"/>
  <c r="N840" i="9"/>
  <c r="M840" i="9"/>
  <c r="J827" i="9"/>
  <c r="N790" i="9"/>
  <c r="M790" i="9"/>
  <c r="G754" i="9"/>
  <c r="F754" i="9"/>
  <c r="G749" i="9"/>
  <c r="F749" i="9"/>
  <c r="J730" i="9"/>
  <c r="N745" i="9"/>
  <c r="M745" i="9"/>
  <c r="F725" i="9"/>
  <c r="G725" i="9"/>
  <c r="F717" i="9"/>
  <c r="G717" i="9"/>
  <c r="H673" i="9"/>
  <c r="F661" i="9"/>
  <c r="G661" i="9"/>
  <c r="K667" i="9"/>
  <c r="G649" i="9"/>
  <c r="F649" i="9"/>
  <c r="K684" i="9"/>
  <c r="G697" i="9"/>
  <c r="F697" i="9"/>
  <c r="N660" i="9"/>
  <c r="M660" i="9"/>
  <c r="N643" i="9"/>
  <c r="M643" i="9"/>
  <c r="G613" i="9"/>
  <c r="F613" i="9"/>
  <c r="G610" i="9"/>
  <c r="F610" i="9"/>
  <c r="G602" i="9"/>
  <c r="F602" i="9"/>
  <c r="F581" i="9"/>
  <c r="G581" i="9"/>
  <c r="N636" i="9"/>
  <c r="M636" i="9"/>
  <c r="G576" i="9"/>
  <c r="F576" i="9"/>
  <c r="G634" i="9"/>
  <c r="F634" i="9"/>
  <c r="J599" i="9"/>
  <c r="L580" i="9"/>
  <c r="N550" i="9"/>
  <c r="M550" i="9"/>
  <c r="J499" i="9"/>
  <c r="G483" i="9"/>
  <c r="F483" i="9"/>
  <c r="H512" i="9"/>
  <c r="G475" i="9"/>
  <c r="F475" i="9"/>
  <c r="G402" i="9"/>
  <c r="F402" i="9"/>
  <c r="G315" i="9"/>
  <c r="F315" i="9"/>
  <c r="G337" i="9"/>
  <c r="F337" i="9"/>
  <c r="G307" i="9"/>
  <c r="F307" i="9"/>
  <c r="G257" i="9"/>
  <c r="F257" i="9"/>
  <c r="H319" i="9"/>
  <c r="G283" i="9"/>
  <c r="F283" i="9"/>
  <c r="H339" i="9"/>
  <c r="H311" i="9"/>
  <c r="F285" i="9"/>
  <c r="G285" i="9"/>
  <c r="H343" i="9"/>
  <c r="F197" i="9"/>
  <c r="G197" i="9"/>
  <c r="G185" i="9"/>
  <c r="F185" i="9"/>
  <c r="G88" i="9"/>
  <c r="F88" i="9"/>
  <c r="G142" i="9"/>
  <c r="F142" i="9"/>
  <c r="G122" i="9"/>
  <c r="F122" i="9"/>
  <c r="N178" i="9"/>
  <c r="M178" i="9"/>
  <c r="G111" i="9"/>
  <c r="F111" i="9"/>
  <c r="G119" i="9"/>
  <c r="F119" i="9"/>
  <c r="N104" i="9"/>
  <c r="M104" i="9"/>
  <c r="J190" i="9"/>
  <c r="J118" i="9"/>
  <c r="N54" i="9"/>
  <c r="M54" i="9"/>
  <c r="J56" i="9"/>
  <c r="G973" i="9"/>
  <c r="F973" i="9"/>
  <c r="G876" i="9"/>
  <c r="F876" i="9"/>
  <c r="G991" i="9"/>
  <c r="F991" i="9"/>
  <c r="G938" i="9"/>
  <c r="F938" i="9"/>
  <c r="F893" i="9"/>
  <c r="G893" i="9"/>
  <c r="H898" i="9"/>
  <c r="F797" i="9"/>
  <c r="G797" i="9"/>
  <c r="G879" i="9"/>
  <c r="F879" i="9"/>
  <c r="G799" i="9"/>
  <c r="F799" i="9"/>
  <c r="G718" i="9"/>
  <c r="F718" i="9"/>
  <c r="L663" i="9"/>
  <c r="K762" i="9"/>
  <c r="G762" i="9"/>
  <c r="F762" i="9"/>
  <c r="G706" i="9"/>
  <c r="F706" i="9"/>
  <c r="H809" i="9"/>
  <c r="G699" i="9"/>
  <c r="F699" i="9"/>
  <c r="G758" i="9"/>
  <c r="F758" i="9"/>
  <c r="J675" i="9"/>
  <c r="G675" i="9"/>
  <c r="F675" i="9"/>
  <c r="G570" i="9"/>
  <c r="F570" i="9"/>
  <c r="G562" i="9"/>
  <c r="F562" i="9"/>
  <c r="K496" i="9"/>
  <c r="G496" i="9"/>
  <c r="F496" i="9"/>
  <c r="G712" i="9"/>
  <c r="F712" i="9"/>
  <c r="G484" i="9"/>
  <c r="F484" i="9"/>
  <c r="G396" i="9"/>
  <c r="F396" i="9"/>
  <c r="G527" i="9"/>
  <c r="F527" i="9"/>
  <c r="J426" i="9"/>
  <c r="G426" i="9"/>
  <c r="F426" i="9"/>
  <c r="G558" i="9"/>
  <c r="F558" i="9"/>
  <c r="F413" i="9"/>
  <c r="G413" i="9"/>
  <c r="G350" i="9"/>
  <c r="F350" i="9"/>
  <c r="G308" i="9"/>
  <c r="F308" i="9"/>
  <c r="F389" i="9"/>
  <c r="G389" i="9"/>
  <c r="G442" i="9"/>
  <c r="F442" i="9"/>
  <c r="G312" i="9"/>
  <c r="F312" i="9"/>
  <c r="G256" i="9"/>
  <c r="F256" i="9"/>
  <c r="G67" i="9"/>
  <c r="F67" i="9"/>
  <c r="G34" i="9"/>
  <c r="F34" i="9"/>
  <c r="K221" i="9"/>
  <c r="F221" i="9"/>
  <c r="G221" i="9"/>
  <c r="G27" i="9"/>
  <c r="F27" i="9"/>
  <c r="J195" i="9"/>
  <c r="G195" i="9"/>
  <c r="F195" i="9"/>
  <c r="G199" i="9"/>
  <c r="F199" i="9"/>
  <c r="G36" i="9"/>
  <c r="F36" i="9"/>
  <c r="F189" i="9"/>
  <c r="G189" i="9"/>
  <c r="G76" i="9"/>
  <c r="F76" i="9"/>
  <c r="H30" i="9"/>
  <c r="K7" i="9"/>
  <c r="G7" i="9"/>
  <c r="F7" i="9"/>
  <c r="K92" i="9"/>
  <c r="G847" i="9"/>
  <c r="F847" i="9"/>
  <c r="K992" i="9"/>
  <c r="G992" i="9"/>
  <c r="F992" i="9"/>
  <c r="G844" i="9"/>
  <c r="F844" i="9"/>
  <c r="G539" i="9"/>
  <c r="F539" i="9"/>
  <c r="F861" i="9"/>
  <c r="G861" i="9"/>
  <c r="G553" i="9"/>
  <c r="F553" i="9"/>
  <c r="G904" i="9"/>
  <c r="F904" i="9"/>
  <c r="G563" i="9"/>
  <c r="F563" i="9"/>
  <c r="J431" i="9"/>
  <c r="G431" i="9"/>
  <c r="F431" i="9"/>
  <c r="K431" i="9"/>
  <c r="G456" i="9"/>
  <c r="F456" i="9"/>
  <c r="J569" i="9"/>
  <c r="G569" i="9"/>
  <c r="F569" i="9"/>
  <c r="K569" i="9"/>
  <c r="F477" i="9"/>
  <c r="G477" i="9"/>
  <c r="G430" i="9"/>
  <c r="F430" i="9"/>
  <c r="J265" i="9"/>
  <c r="G265" i="9"/>
  <c r="F265" i="9"/>
  <c r="G82" i="9"/>
  <c r="F82" i="9"/>
  <c r="AQ505" i="9"/>
  <c r="H505" i="9"/>
  <c r="G284" i="9"/>
  <c r="F284" i="9"/>
  <c r="G100" i="9"/>
  <c r="F100" i="9"/>
  <c r="G44" i="9"/>
  <c r="F44" i="9"/>
  <c r="H761" i="9"/>
  <c r="AP761" i="9"/>
  <c r="G320" i="9"/>
  <c r="F320" i="9"/>
  <c r="F93" i="9"/>
  <c r="G93" i="9"/>
  <c r="F5" i="9"/>
  <c r="G5" i="9"/>
  <c r="G688" i="9"/>
  <c r="F688" i="9"/>
  <c r="H997" i="9"/>
  <c r="G769" i="9"/>
  <c r="F769" i="9"/>
  <c r="G508" i="9"/>
  <c r="F508" i="9"/>
  <c r="G994" i="9"/>
  <c r="F994" i="9"/>
  <c r="G687" i="9"/>
  <c r="F687" i="9"/>
  <c r="H633" i="9"/>
  <c r="G632" i="9"/>
  <c r="F632" i="9"/>
  <c r="G386" i="9"/>
  <c r="F386" i="9"/>
  <c r="N373" i="9"/>
  <c r="M373" i="9"/>
  <c r="G148" i="9"/>
  <c r="F148" i="9"/>
  <c r="G907" i="9"/>
  <c r="F907" i="9"/>
  <c r="G670" i="9"/>
  <c r="F670" i="9"/>
  <c r="G682" i="9"/>
  <c r="F682" i="9"/>
  <c r="G585" i="9"/>
  <c r="F585" i="9"/>
  <c r="G359" i="9"/>
  <c r="F359" i="9"/>
  <c r="G276" i="9"/>
  <c r="F276" i="9"/>
  <c r="G298" i="9"/>
  <c r="F298" i="9"/>
  <c r="R141" i="9"/>
  <c r="N141" i="9"/>
  <c r="M141" i="9"/>
  <c r="G40" i="9"/>
  <c r="F40" i="9"/>
  <c r="G499" i="9"/>
  <c r="F499" i="9"/>
  <c r="G664" i="9"/>
  <c r="F664" i="9"/>
  <c r="G391" i="9"/>
  <c r="F391" i="9"/>
  <c r="G290" i="9"/>
  <c r="F290" i="9"/>
  <c r="G437" i="9"/>
  <c r="F437" i="9"/>
  <c r="G975" i="9"/>
  <c r="F975" i="9"/>
  <c r="G957" i="9"/>
  <c r="F957" i="9"/>
  <c r="J909" i="9"/>
  <c r="G910" i="9"/>
  <c r="F910" i="9"/>
  <c r="G836" i="9"/>
  <c r="F836" i="9"/>
  <c r="G816" i="9"/>
  <c r="F816" i="9"/>
  <c r="F841" i="9"/>
  <c r="G841" i="9"/>
  <c r="K827" i="9"/>
  <c r="G856" i="9"/>
  <c r="F856" i="9"/>
  <c r="G821" i="9"/>
  <c r="F821" i="9"/>
  <c r="G830" i="9"/>
  <c r="F830" i="9"/>
  <c r="N803" i="9"/>
  <c r="M803" i="9"/>
  <c r="G800" i="9"/>
  <c r="F800" i="9"/>
  <c r="G789" i="9"/>
  <c r="F789" i="9"/>
  <c r="N783" i="9"/>
  <c r="M783" i="9"/>
  <c r="N772" i="9"/>
  <c r="M772" i="9"/>
  <c r="N724" i="9"/>
  <c r="M724" i="9"/>
  <c r="H701" i="9"/>
  <c r="G708" i="9"/>
  <c r="F708" i="9"/>
  <c r="F637" i="9"/>
  <c r="G637" i="9"/>
  <c r="N703" i="9"/>
  <c r="M703" i="9"/>
  <c r="N735" i="9"/>
  <c r="M735" i="9"/>
  <c r="G704" i="9"/>
  <c r="F704" i="9"/>
  <c r="N618" i="9"/>
  <c r="M618" i="9"/>
  <c r="G609" i="9"/>
  <c r="F609" i="9"/>
  <c r="G580" i="9"/>
  <c r="F580" i="9"/>
  <c r="N590" i="9"/>
  <c r="M590" i="9"/>
  <c r="G628" i="9"/>
  <c r="F628" i="9"/>
  <c r="K599" i="9"/>
  <c r="G572" i="9"/>
  <c r="F572" i="9"/>
  <c r="J545" i="9"/>
  <c r="G544" i="9"/>
  <c r="F544" i="9"/>
  <c r="G493" i="9"/>
  <c r="F493" i="9"/>
  <c r="G516" i="9"/>
  <c r="F516" i="9"/>
  <c r="H531" i="9"/>
  <c r="G455" i="9"/>
  <c r="F455" i="9"/>
  <c r="I483" i="9"/>
  <c r="N467" i="9"/>
  <c r="M467" i="9"/>
  <c r="J381" i="9"/>
  <c r="G373" i="9"/>
  <c r="F373" i="9"/>
  <c r="G398" i="9"/>
  <c r="F398" i="9"/>
  <c r="G361" i="9"/>
  <c r="F361" i="9"/>
  <c r="G422" i="9"/>
  <c r="F422" i="9"/>
  <c r="K391" i="9"/>
  <c r="G291" i="9"/>
  <c r="F291" i="9"/>
  <c r="G379" i="9"/>
  <c r="F379" i="9"/>
  <c r="G301" i="9"/>
  <c r="F301" i="9"/>
  <c r="H348" i="9"/>
  <c r="G293" i="9"/>
  <c r="F293" i="9"/>
  <c r="G273" i="9"/>
  <c r="F273" i="9"/>
  <c r="G262" i="9"/>
  <c r="F262" i="9"/>
  <c r="AV239" i="9"/>
  <c r="F333" i="9"/>
  <c r="G333" i="9"/>
  <c r="G238" i="9"/>
  <c r="F238" i="9"/>
  <c r="G183" i="9"/>
  <c r="F183" i="9"/>
  <c r="F253" i="9"/>
  <c r="G253" i="9"/>
  <c r="G171" i="9"/>
  <c r="F171" i="9"/>
  <c r="J193" i="9"/>
  <c r="G59" i="9"/>
  <c r="F59" i="9"/>
  <c r="K43" i="9"/>
  <c r="G136" i="9"/>
  <c r="F136" i="9"/>
  <c r="N165" i="9"/>
  <c r="M165" i="9"/>
  <c r="G16" i="9"/>
  <c r="F16" i="9"/>
  <c r="F133" i="9"/>
  <c r="G133" i="9"/>
  <c r="G140" i="9"/>
  <c r="F140" i="9"/>
  <c r="N150" i="9"/>
  <c r="M150" i="9"/>
  <c r="N61" i="9"/>
  <c r="M61" i="9"/>
  <c r="K56" i="9"/>
  <c r="N134" i="9"/>
  <c r="M134" i="9"/>
  <c r="G971" i="9"/>
  <c r="F971" i="9"/>
  <c r="G911" i="9"/>
  <c r="F911" i="9"/>
  <c r="G873" i="9"/>
  <c r="F873" i="9"/>
  <c r="G983" i="9"/>
  <c r="F983" i="9"/>
  <c r="G908" i="9"/>
  <c r="F908" i="9"/>
  <c r="G929" i="9"/>
  <c r="F929" i="9"/>
  <c r="G823" i="9"/>
  <c r="F823" i="9"/>
  <c r="G868" i="9"/>
  <c r="F868" i="9"/>
  <c r="N959" i="9"/>
  <c r="M959" i="9"/>
  <c r="F901" i="9"/>
  <c r="G901" i="9"/>
  <c r="G945" i="9"/>
  <c r="F945" i="9"/>
  <c r="G843" i="9"/>
  <c r="F843" i="9"/>
  <c r="K768" i="9"/>
  <c r="G768" i="9"/>
  <c r="F768" i="9"/>
  <c r="G926" i="9"/>
  <c r="F926" i="9"/>
  <c r="G783" i="9"/>
  <c r="F783" i="9"/>
  <c r="H935" i="9"/>
  <c r="G812" i="9"/>
  <c r="F812" i="9"/>
  <c r="G757" i="9"/>
  <c r="F757" i="9"/>
  <c r="F709" i="9"/>
  <c r="G709" i="9"/>
  <c r="J664" i="9"/>
  <c r="G793" i="9"/>
  <c r="F793" i="9"/>
  <c r="G738" i="9"/>
  <c r="F738" i="9"/>
  <c r="G659" i="9"/>
  <c r="F659" i="9"/>
  <c r="G756" i="9"/>
  <c r="F756" i="9"/>
  <c r="G703" i="9"/>
  <c r="F703" i="9"/>
  <c r="G787" i="9"/>
  <c r="F787" i="9"/>
  <c r="J715" i="9"/>
  <c r="G715" i="9"/>
  <c r="F715" i="9"/>
  <c r="G807" i="9"/>
  <c r="F807" i="9"/>
  <c r="G568" i="9"/>
  <c r="F568" i="9"/>
  <c r="G624" i="9"/>
  <c r="F624" i="9"/>
  <c r="K559" i="9"/>
  <c r="G559" i="9"/>
  <c r="F559" i="9"/>
  <c r="G626" i="9"/>
  <c r="F626" i="9"/>
  <c r="G547" i="9"/>
  <c r="F547" i="9"/>
  <c r="G674" i="9"/>
  <c r="F674" i="9"/>
  <c r="G614" i="9"/>
  <c r="F614" i="9"/>
  <c r="G578" i="9"/>
  <c r="F578" i="9"/>
  <c r="G482" i="9"/>
  <c r="F482" i="9"/>
  <c r="G387" i="9"/>
  <c r="F387" i="9"/>
  <c r="J437" i="9"/>
  <c r="G554" i="9"/>
  <c r="F554" i="9"/>
  <c r="G346" i="9"/>
  <c r="F346" i="9"/>
  <c r="F213" i="9"/>
  <c r="G213" i="9"/>
  <c r="G271" i="9"/>
  <c r="F271" i="9"/>
  <c r="I376" i="9"/>
  <c r="K290" i="9"/>
  <c r="K250" i="9"/>
  <c r="G250" i="9"/>
  <c r="F250" i="9"/>
  <c r="G304" i="9"/>
  <c r="F304" i="9"/>
  <c r="J179" i="9"/>
  <c r="G179" i="9"/>
  <c r="F179" i="9"/>
  <c r="G235" i="9"/>
  <c r="F235" i="9"/>
  <c r="G167" i="9"/>
  <c r="F167" i="9"/>
  <c r="G103" i="9"/>
  <c r="F103" i="9"/>
  <c r="K78" i="9"/>
  <c r="G78" i="9"/>
  <c r="F78" i="9"/>
  <c r="G162" i="9"/>
  <c r="F162" i="9"/>
  <c r="K127" i="9"/>
  <c r="G127" i="9"/>
  <c r="F127" i="9"/>
  <c r="G75" i="9"/>
  <c r="F75" i="9"/>
  <c r="J29" i="9"/>
  <c r="F29" i="9"/>
  <c r="G29" i="9"/>
  <c r="G842" i="9"/>
  <c r="F842" i="9"/>
  <c r="K764" i="9"/>
  <c r="G764" i="9"/>
  <c r="F764" i="9"/>
  <c r="G895" i="9"/>
  <c r="F895" i="9"/>
  <c r="F805" i="9"/>
  <c r="G805" i="9"/>
  <c r="G427" i="9"/>
  <c r="F427" i="9"/>
  <c r="F157" i="9"/>
  <c r="G157" i="9"/>
  <c r="G49" i="9"/>
  <c r="F49" i="9"/>
  <c r="J49" i="9"/>
  <c r="G408" i="9"/>
  <c r="F408" i="9"/>
  <c r="K408" i="9"/>
  <c r="G207" i="9"/>
  <c r="F207" i="9"/>
  <c r="G23" i="9"/>
  <c r="F23" i="9"/>
  <c r="G314" i="9"/>
  <c r="F314" i="9"/>
  <c r="G132" i="9"/>
  <c r="F132" i="9"/>
  <c r="G655" i="9"/>
  <c r="F655" i="9"/>
  <c r="G505" i="9"/>
  <c r="F505" i="9"/>
  <c r="K369" i="9"/>
  <c r="G369" i="9"/>
  <c r="F369" i="9"/>
  <c r="K266" i="9"/>
  <c r="G266" i="9"/>
  <c r="F266" i="9"/>
  <c r="G32" i="9"/>
  <c r="F32" i="9"/>
  <c r="K154" i="9"/>
  <c r="G154" i="9"/>
  <c r="F154" i="9"/>
  <c r="K476" i="9"/>
  <c r="G476" i="9"/>
  <c r="F476" i="9"/>
  <c r="G258" i="9"/>
  <c r="F258" i="9"/>
  <c r="G134" i="9"/>
  <c r="F134" i="9"/>
  <c r="G870" i="9"/>
  <c r="F870" i="9"/>
  <c r="G788" i="9"/>
  <c r="F788" i="9"/>
  <c r="G620" i="9"/>
  <c r="F620" i="9"/>
  <c r="G928" i="9"/>
  <c r="F928" i="9"/>
  <c r="N851" i="9"/>
  <c r="M851" i="9"/>
  <c r="G728" i="9"/>
  <c r="F728" i="9"/>
  <c r="G175" i="9"/>
  <c r="F175" i="9"/>
  <c r="G169" i="9"/>
  <c r="F169" i="9"/>
  <c r="G108" i="9"/>
  <c r="F108" i="9"/>
  <c r="G607" i="9"/>
  <c r="F607" i="9"/>
  <c r="G511" i="9"/>
  <c r="F511" i="9"/>
  <c r="G577" i="9"/>
  <c r="F577" i="9"/>
  <c r="F517" i="9"/>
  <c r="G517" i="9"/>
  <c r="G362" i="9"/>
  <c r="F362" i="9"/>
  <c r="G340" i="9"/>
  <c r="F340" i="9"/>
  <c r="K846" i="9"/>
  <c r="G846" i="9"/>
  <c r="F846" i="9"/>
  <c r="J846" i="9"/>
  <c r="G206" i="9"/>
  <c r="F206" i="9"/>
  <c r="G467" i="9"/>
  <c r="F467" i="9"/>
  <c r="G987" i="9"/>
  <c r="F987" i="9"/>
  <c r="J30" i="9"/>
  <c r="G30" i="9"/>
  <c r="F30" i="9"/>
  <c r="G974" i="9"/>
  <c r="F974" i="9"/>
  <c r="F966" i="9"/>
  <c r="G966" i="9"/>
  <c r="J949" i="9"/>
  <c r="G923" i="9"/>
  <c r="F923" i="9"/>
  <c r="G921" i="9"/>
  <c r="F921" i="9"/>
  <c r="G961" i="9"/>
  <c r="F961" i="9"/>
  <c r="G962" i="9"/>
  <c r="F962" i="9"/>
  <c r="G940" i="9"/>
  <c r="F940" i="9"/>
  <c r="G934" i="9"/>
  <c r="F934" i="9"/>
  <c r="K949" i="9"/>
  <c r="G888" i="9"/>
  <c r="F888" i="9"/>
  <c r="L888" i="9"/>
  <c r="N843" i="9"/>
  <c r="M843" i="9"/>
  <c r="G813" i="9"/>
  <c r="F813" i="9"/>
  <c r="I759" i="9"/>
  <c r="G759" i="9"/>
  <c r="F759" i="9"/>
  <c r="N777" i="9"/>
  <c r="M777" i="9"/>
  <c r="N723" i="9"/>
  <c r="M723" i="9"/>
  <c r="G665" i="9"/>
  <c r="F665" i="9"/>
  <c r="G657" i="9"/>
  <c r="F657" i="9"/>
  <c r="J670" i="9"/>
  <c r="H621" i="9"/>
  <c r="G647" i="9"/>
  <c r="F647" i="9"/>
  <c r="G641" i="9"/>
  <c r="F641" i="9"/>
  <c r="J577" i="9"/>
  <c r="L588" i="9"/>
  <c r="L596" i="9"/>
  <c r="K545" i="9"/>
  <c r="G540" i="9"/>
  <c r="F540" i="9"/>
  <c r="G538" i="9"/>
  <c r="F538" i="9"/>
  <c r="J511" i="9"/>
  <c r="F509" i="9"/>
  <c r="G509" i="9"/>
  <c r="K472" i="9"/>
  <c r="K435" i="9"/>
  <c r="N541" i="9"/>
  <c r="M541" i="9"/>
  <c r="G438" i="9"/>
  <c r="F438" i="9"/>
  <c r="K381" i="9"/>
  <c r="L454" i="9"/>
  <c r="G378" i="9"/>
  <c r="F378" i="9"/>
  <c r="G425" i="9"/>
  <c r="F425" i="9"/>
  <c r="N381" i="9"/>
  <c r="M381" i="9"/>
  <c r="J298" i="9"/>
  <c r="G295" i="9"/>
  <c r="F295" i="9"/>
  <c r="N330" i="9"/>
  <c r="M330" i="9"/>
  <c r="G329" i="9"/>
  <c r="F329" i="9"/>
  <c r="G260" i="9"/>
  <c r="F260" i="9"/>
  <c r="G229" i="9"/>
  <c r="F229" i="9"/>
  <c r="AP269" i="9"/>
  <c r="G182" i="9"/>
  <c r="F182" i="9"/>
  <c r="J92" i="9"/>
  <c r="G170" i="9"/>
  <c r="F170" i="9"/>
  <c r="N164" i="9"/>
  <c r="M164" i="9"/>
  <c r="N179" i="9"/>
  <c r="M179" i="9"/>
  <c r="G83" i="9"/>
  <c r="F83" i="9"/>
  <c r="J121" i="9"/>
  <c r="G15" i="9"/>
  <c r="F15" i="9"/>
  <c r="J43" i="9"/>
  <c r="G84" i="9"/>
  <c r="F84" i="9"/>
  <c r="G117" i="9"/>
  <c r="F117" i="9"/>
  <c r="G96" i="9"/>
  <c r="F96" i="9"/>
  <c r="I30" i="9"/>
  <c r="G186" i="9"/>
  <c r="F186" i="9"/>
  <c r="L50" i="9"/>
  <c r="G902" i="9"/>
  <c r="F902" i="9"/>
  <c r="G882" i="9"/>
  <c r="F882" i="9"/>
  <c r="G979" i="9"/>
  <c r="F979" i="9"/>
  <c r="G881" i="9"/>
  <c r="F881" i="9"/>
  <c r="G898" i="9"/>
  <c r="F898" i="9"/>
  <c r="G854" i="9"/>
  <c r="F854" i="9"/>
  <c r="G894" i="9"/>
  <c r="F894" i="9"/>
  <c r="F984" i="9"/>
  <c r="G984" i="9"/>
  <c r="G930" i="9"/>
  <c r="F930" i="9"/>
  <c r="G792" i="9"/>
  <c r="F792" i="9"/>
  <c r="G694" i="9"/>
  <c r="F694" i="9"/>
  <c r="G751" i="9"/>
  <c r="F751" i="9"/>
  <c r="G737" i="9"/>
  <c r="F737" i="9"/>
  <c r="G707" i="9"/>
  <c r="F707" i="9"/>
  <c r="G650" i="9"/>
  <c r="F650" i="9"/>
  <c r="G710" i="9"/>
  <c r="F710" i="9"/>
  <c r="G683" i="9"/>
  <c r="F683" i="9"/>
  <c r="G814" i="9"/>
  <c r="F814" i="9"/>
  <c r="G743" i="9"/>
  <c r="F743" i="9"/>
  <c r="G616" i="9"/>
  <c r="F616" i="9"/>
  <c r="G693" i="9"/>
  <c r="F693" i="9"/>
  <c r="F541" i="9"/>
  <c r="G541" i="9"/>
  <c r="G622" i="9"/>
  <c r="F622" i="9"/>
  <c r="G590" i="9"/>
  <c r="F590" i="9"/>
  <c r="G646" i="9"/>
  <c r="F646" i="9"/>
  <c r="F469" i="9"/>
  <c r="G469" i="9"/>
  <c r="G648" i="9"/>
  <c r="F648" i="9"/>
  <c r="G522" i="9"/>
  <c r="F522" i="9"/>
  <c r="G416" i="9"/>
  <c r="F416" i="9"/>
  <c r="K437" i="9"/>
  <c r="G429" i="9"/>
  <c r="F429" i="9"/>
  <c r="G436" i="9"/>
  <c r="F436" i="9"/>
  <c r="G388" i="9"/>
  <c r="F388" i="9"/>
  <c r="G336" i="9"/>
  <c r="F336" i="9"/>
  <c r="J290" i="9"/>
  <c r="H432" i="9"/>
  <c r="K252" i="9"/>
  <c r="G252" i="9"/>
  <c r="F252" i="9"/>
  <c r="J105" i="9"/>
  <c r="K66" i="9"/>
  <c r="G66" i="9"/>
  <c r="F66" i="9"/>
  <c r="G95" i="9"/>
  <c r="F95" i="9"/>
  <c r="G201" i="9"/>
  <c r="F201" i="9"/>
  <c r="G72" i="9"/>
  <c r="F72" i="9"/>
  <c r="H134" i="9"/>
  <c r="G959" i="9"/>
  <c r="F959" i="9"/>
  <c r="G750" i="9"/>
  <c r="F750" i="9"/>
  <c r="G521" i="9"/>
  <c r="F521" i="9"/>
  <c r="G951" i="9"/>
  <c r="F951" i="9"/>
  <c r="G969" i="9"/>
  <c r="F969" i="9"/>
  <c r="G763" i="9"/>
  <c r="F763" i="9"/>
  <c r="J877" i="9"/>
  <c r="G877" i="9"/>
  <c r="F877" i="9"/>
  <c r="K877" i="9"/>
  <c r="G633" i="9"/>
  <c r="F633" i="9"/>
  <c r="K421" i="9"/>
  <c r="G421" i="9"/>
  <c r="F421" i="9"/>
  <c r="G375" i="9"/>
  <c r="F375" i="9"/>
  <c r="J635" i="9"/>
  <c r="G635" i="9"/>
  <c r="F635" i="9"/>
  <c r="G404" i="9"/>
  <c r="F404" i="9"/>
  <c r="G131" i="9"/>
  <c r="F131" i="9"/>
  <c r="G535" i="9"/>
  <c r="F535" i="9"/>
  <c r="G420" i="9"/>
  <c r="F420" i="9"/>
  <c r="K760" i="9"/>
  <c r="G760" i="9"/>
  <c r="F760" i="9"/>
  <c r="G643" i="9"/>
  <c r="F643" i="9"/>
  <c r="G450" i="9"/>
  <c r="F450" i="9"/>
  <c r="G244" i="9"/>
  <c r="F244" i="9"/>
  <c r="G94" i="9"/>
  <c r="F94" i="9"/>
  <c r="G22" i="9"/>
  <c r="F22" i="9"/>
  <c r="K22" i="9"/>
  <c r="J22" i="9"/>
  <c r="G447" i="9"/>
  <c r="F447" i="9"/>
  <c r="G400" i="9"/>
  <c r="F400" i="9"/>
  <c r="K400" i="9"/>
  <c r="G64" i="9"/>
  <c r="F64" i="9"/>
  <c r="N961" i="9"/>
  <c r="M961" i="9"/>
  <c r="G874" i="9"/>
  <c r="F874" i="9"/>
  <c r="N742" i="9"/>
  <c r="M742" i="9"/>
  <c r="G561" i="9"/>
  <c r="F561" i="9"/>
  <c r="L491" i="9"/>
  <c r="G463" i="9"/>
  <c r="F463" i="9"/>
  <c r="G925" i="9"/>
  <c r="F925" i="9"/>
  <c r="N656" i="9"/>
  <c r="M656" i="9"/>
  <c r="G534" i="9"/>
  <c r="F534" i="9"/>
  <c r="G485" i="9"/>
  <c r="F485" i="9"/>
  <c r="G347" i="9"/>
  <c r="F347" i="9"/>
  <c r="G855" i="9"/>
  <c r="F855" i="9"/>
  <c r="G848" i="9"/>
  <c r="F848" i="9"/>
  <c r="K780" i="9"/>
  <c r="G780" i="9"/>
  <c r="F780" i="9"/>
  <c r="G494" i="9"/>
  <c r="F494" i="9"/>
  <c r="N969" i="9"/>
  <c r="M969" i="9"/>
  <c r="G967" i="9"/>
  <c r="F967" i="9"/>
  <c r="G964" i="9"/>
  <c r="F964" i="9"/>
  <c r="G960" i="9"/>
  <c r="F960" i="9"/>
  <c r="G931" i="9"/>
  <c r="F931" i="9"/>
  <c r="G866" i="9"/>
  <c r="F866" i="9"/>
  <c r="N869" i="9"/>
  <c r="M869" i="9"/>
  <c r="N876" i="9"/>
  <c r="M876" i="9"/>
  <c r="G825" i="9"/>
  <c r="F825" i="9"/>
  <c r="G810" i="9"/>
  <c r="F810" i="9"/>
  <c r="G755" i="9"/>
  <c r="F755" i="9"/>
  <c r="N765" i="9"/>
  <c r="M765" i="9"/>
  <c r="J698" i="9"/>
  <c r="G702" i="9"/>
  <c r="F702" i="9"/>
  <c r="F701" i="9"/>
  <c r="G701" i="9"/>
  <c r="G676" i="9"/>
  <c r="F676" i="9"/>
  <c r="G656" i="9"/>
  <c r="F656" i="9"/>
  <c r="G686" i="9"/>
  <c r="F686" i="9"/>
  <c r="J719" i="9"/>
  <c r="G658" i="9"/>
  <c r="F658" i="9"/>
  <c r="G654" i="9"/>
  <c r="F654" i="9"/>
  <c r="K670" i="9"/>
  <c r="G660" i="9"/>
  <c r="F660" i="9"/>
  <c r="G685" i="9"/>
  <c r="F685" i="9"/>
  <c r="N614" i="9"/>
  <c r="M614" i="9"/>
  <c r="N679" i="9"/>
  <c r="M679" i="9"/>
  <c r="G604" i="9"/>
  <c r="F604" i="9"/>
  <c r="G606" i="9"/>
  <c r="F606" i="9"/>
  <c r="N632" i="9"/>
  <c r="M632" i="9"/>
  <c r="K494" i="9"/>
  <c r="F533" i="9"/>
  <c r="G533" i="9"/>
  <c r="K511" i="9"/>
  <c r="G487" i="9"/>
  <c r="F487" i="9"/>
  <c r="G418" i="9"/>
  <c r="F418" i="9"/>
  <c r="G394" i="9"/>
  <c r="F394" i="9"/>
  <c r="N383" i="9"/>
  <c r="M383" i="9"/>
  <c r="G377" i="9"/>
  <c r="F377" i="9"/>
  <c r="G401" i="9"/>
  <c r="F401" i="9"/>
  <c r="J359" i="9"/>
  <c r="G321" i="9"/>
  <c r="F321" i="9"/>
  <c r="G319" i="9"/>
  <c r="F319" i="9"/>
  <c r="G311" i="9"/>
  <c r="F311" i="9"/>
  <c r="K358" i="9"/>
  <c r="G251" i="9"/>
  <c r="F251" i="9"/>
  <c r="I325" i="9"/>
  <c r="G209" i="9"/>
  <c r="F209" i="9"/>
  <c r="G327" i="9"/>
  <c r="F327" i="9"/>
  <c r="G275" i="9"/>
  <c r="F275" i="9"/>
  <c r="G246" i="9"/>
  <c r="F246" i="9"/>
  <c r="G181" i="9"/>
  <c r="F181" i="9"/>
  <c r="N208" i="9"/>
  <c r="M208" i="9"/>
  <c r="K206" i="9"/>
  <c r="F125" i="9"/>
  <c r="G125" i="9"/>
  <c r="G55" i="9"/>
  <c r="F55" i="9"/>
  <c r="G163" i="9"/>
  <c r="F163" i="9"/>
  <c r="N41" i="9"/>
  <c r="M41" i="9"/>
  <c r="L22" i="9"/>
  <c r="N110" i="9"/>
  <c r="M110" i="9"/>
  <c r="G39" i="9"/>
  <c r="F39" i="9"/>
  <c r="K147" i="9"/>
  <c r="G114" i="9"/>
  <c r="F114" i="9"/>
  <c r="I86" i="9"/>
  <c r="G3" i="9"/>
  <c r="F3" i="9"/>
  <c r="G948" i="9"/>
  <c r="F948" i="9"/>
  <c r="F869" i="9"/>
  <c r="G869" i="9"/>
  <c r="G1002" i="9"/>
  <c r="F1002" i="9"/>
  <c r="G976" i="9"/>
  <c r="F976" i="9"/>
  <c r="G804" i="9"/>
  <c r="F804" i="9"/>
  <c r="G947" i="9"/>
  <c r="F947" i="9"/>
  <c r="G1001" i="9"/>
  <c r="F1001" i="9"/>
  <c r="G919" i="9"/>
  <c r="F919" i="9"/>
  <c r="G862" i="9"/>
  <c r="F862" i="9"/>
  <c r="G864" i="9"/>
  <c r="F864" i="9"/>
  <c r="G828" i="9"/>
  <c r="F828" i="9"/>
  <c r="G777" i="9"/>
  <c r="F777" i="9"/>
  <c r="G640" i="9"/>
  <c r="F640" i="9"/>
  <c r="G835" i="9"/>
  <c r="F835" i="9"/>
  <c r="H792" i="9"/>
  <c r="G745" i="9"/>
  <c r="F745" i="9"/>
  <c r="G747" i="9"/>
  <c r="F747" i="9"/>
  <c r="G679" i="9"/>
  <c r="F679" i="9"/>
  <c r="G726" i="9"/>
  <c r="F726" i="9"/>
  <c r="G692" i="9"/>
  <c r="F692" i="9"/>
  <c r="G549" i="9"/>
  <c r="F549" i="9"/>
  <c r="G618" i="9"/>
  <c r="F618" i="9"/>
  <c r="G520" i="9"/>
  <c r="F520" i="9"/>
  <c r="G550" i="9"/>
  <c r="F550" i="9"/>
  <c r="G631" i="9"/>
  <c r="F631" i="9"/>
  <c r="R540" i="9"/>
  <c r="N540" i="9"/>
  <c r="M540" i="9"/>
  <c r="G555" i="9"/>
  <c r="F555" i="9"/>
  <c r="G468" i="9"/>
  <c r="F468" i="9"/>
  <c r="G462" i="9"/>
  <c r="F462" i="9"/>
  <c r="F397" i="9"/>
  <c r="G397" i="9"/>
  <c r="G490" i="9"/>
  <c r="F490" i="9"/>
  <c r="G376" i="9"/>
  <c r="F376" i="9"/>
  <c r="G245" i="9"/>
  <c r="F245" i="9"/>
  <c r="G354" i="9"/>
  <c r="F354" i="9"/>
  <c r="G281" i="9"/>
  <c r="F281" i="9"/>
  <c r="G237" i="9"/>
  <c r="F237" i="9"/>
  <c r="G419" i="9"/>
  <c r="F419" i="9"/>
  <c r="G300" i="9"/>
  <c r="F300" i="9"/>
  <c r="G296" i="9"/>
  <c r="F296" i="9"/>
  <c r="G60" i="9"/>
  <c r="F60" i="9"/>
  <c r="G10" i="9"/>
  <c r="F10" i="9"/>
  <c r="G160" i="9"/>
  <c r="F160" i="9"/>
  <c r="G80" i="9"/>
  <c r="F80" i="9"/>
  <c r="G26" i="9"/>
  <c r="F26" i="9"/>
  <c r="G129" i="9"/>
  <c r="F129" i="9"/>
  <c r="G71" i="9"/>
  <c r="F71" i="9"/>
  <c r="G903" i="9"/>
  <c r="F903" i="9"/>
  <c r="G806" i="9"/>
  <c r="F806" i="9"/>
  <c r="G744" i="9"/>
  <c r="F744" i="9"/>
  <c r="G740" i="9"/>
  <c r="F740" i="9"/>
  <c r="G690" i="9"/>
  <c r="F690" i="9"/>
  <c r="G748" i="9"/>
  <c r="F748" i="9"/>
  <c r="G518" i="9"/>
  <c r="F518" i="9"/>
  <c r="G623" i="9"/>
  <c r="F623" i="9"/>
  <c r="G523" i="9"/>
  <c r="F523" i="9"/>
  <c r="G374" i="9"/>
  <c r="F374" i="9"/>
  <c r="G288" i="9"/>
  <c r="F288" i="9"/>
  <c r="G489" i="9"/>
  <c r="F489" i="9"/>
  <c r="G184" i="9"/>
  <c r="F184" i="9"/>
  <c r="G360" i="9"/>
  <c r="F360" i="9"/>
  <c r="G306" i="9"/>
  <c r="F306" i="9"/>
  <c r="K306" i="9"/>
  <c r="G230" i="9"/>
  <c r="F230" i="9"/>
  <c r="G159" i="9"/>
  <c r="F159" i="9"/>
  <c r="K63" i="9"/>
  <c r="G63" i="9"/>
  <c r="F63" i="9"/>
  <c r="K74" i="9"/>
  <c r="G74" i="9"/>
  <c r="F74" i="9"/>
  <c r="G86" i="9"/>
  <c r="F86" i="9"/>
  <c r="G20" i="9"/>
  <c r="F20" i="9"/>
  <c r="K573" i="9"/>
  <c r="F573" i="9"/>
  <c r="G573" i="9"/>
  <c r="G446" i="9"/>
  <c r="F446" i="9"/>
  <c r="K446" i="9"/>
  <c r="G294" i="9"/>
  <c r="F294" i="9"/>
  <c r="G62" i="9"/>
  <c r="F62" i="9"/>
  <c r="K62" i="9"/>
  <c r="K996" i="9"/>
  <c r="J996" i="9"/>
  <c r="K943" i="9"/>
  <c r="J943" i="9"/>
  <c r="J801" i="9"/>
  <c r="K550" i="9"/>
  <c r="J550" i="9"/>
  <c r="H172" i="9"/>
  <c r="AP172" i="9"/>
  <c r="K342" i="9"/>
  <c r="J342" i="9"/>
  <c r="K743" i="9"/>
  <c r="P723" i="9"/>
  <c r="K693" i="9"/>
  <c r="J709" i="9"/>
  <c r="J312" i="9"/>
  <c r="J389" i="9"/>
  <c r="H362" i="9"/>
  <c r="K269" i="9"/>
  <c r="K452" i="9"/>
  <c r="J45" i="9"/>
  <c r="K883" i="9"/>
  <c r="J883" i="9"/>
  <c r="J976" i="9"/>
  <c r="K976" i="9"/>
  <c r="K804" i="9"/>
  <c r="K898" i="9"/>
  <c r="J898" i="9"/>
  <c r="J859" i="9"/>
  <c r="K859" i="9"/>
  <c r="K792" i="9"/>
  <c r="K758" i="9"/>
  <c r="J585" i="9"/>
  <c r="K585" i="9"/>
  <c r="J624" i="9"/>
  <c r="J672" i="9"/>
  <c r="AQ545" i="9"/>
  <c r="H545" i="9"/>
  <c r="J631" i="9"/>
  <c r="K631" i="9"/>
  <c r="K462" i="9"/>
  <c r="J462" i="9"/>
  <c r="H387" i="9"/>
  <c r="AP387" i="9"/>
  <c r="H395" i="9"/>
  <c r="AP395" i="9"/>
  <c r="J490" i="9"/>
  <c r="J517" i="9"/>
  <c r="K405" i="9"/>
  <c r="J282" i="9"/>
  <c r="K282" i="9"/>
  <c r="K304" i="9"/>
  <c r="H244" i="9"/>
  <c r="AP244" i="9"/>
  <c r="I220" i="9"/>
  <c r="AR220" i="9"/>
  <c r="J442" i="9"/>
  <c r="K442" i="9"/>
  <c r="K326" i="9"/>
  <c r="K298" i="9"/>
  <c r="J42" i="9"/>
  <c r="K42" i="9"/>
  <c r="K10" i="9"/>
  <c r="J10" i="9"/>
  <c r="H706" i="9"/>
  <c r="H782" i="9"/>
  <c r="J900" i="9"/>
  <c r="L872" i="9"/>
  <c r="S866" i="9"/>
  <c r="K709" i="9"/>
  <c r="I624" i="9"/>
  <c r="H629" i="9"/>
  <c r="J626" i="9"/>
  <c r="H321" i="9"/>
  <c r="K389" i="9"/>
  <c r="H303" i="9"/>
  <c r="K268" i="9"/>
  <c r="I188" i="9"/>
  <c r="K855" i="9"/>
  <c r="J855" i="9"/>
  <c r="K795" i="9"/>
  <c r="AR898" i="9"/>
  <c r="I898" i="9"/>
  <c r="K978" i="9"/>
  <c r="J828" i="9"/>
  <c r="K828" i="9"/>
  <c r="H757" i="9"/>
  <c r="AP757" i="9"/>
  <c r="K850" i="9"/>
  <c r="J850" i="9"/>
  <c r="J627" i="9"/>
  <c r="K734" i="9"/>
  <c r="J734" i="9"/>
  <c r="J584" i="9"/>
  <c r="I803" i="9"/>
  <c r="AQ615" i="9"/>
  <c r="H615" i="9"/>
  <c r="AR677" i="9"/>
  <c r="I677" i="9"/>
  <c r="K646" i="9"/>
  <c r="AQ553" i="9"/>
  <c r="H553" i="9"/>
  <c r="K542" i="9"/>
  <c r="J542" i="9"/>
  <c r="H521" i="9"/>
  <c r="AP521" i="9"/>
  <c r="K434" i="9"/>
  <c r="J434" i="9"/>
  <c r="AP517" i="9"/>
  <c r="H517" i="9"/>
  <c r="K368" i="9"/>
  <c r="I278" i="9"/>
  <c r="AR278" i="9"/>
  <c r="K380" i="9"/>
  <c r="J380" i="9"/>
  <c r="K938" i="9"/>
  <c r="J938" i="9"/>
  <c r="J812" i="9"/>
  <c r="J370" i="9"/>
  <c r="K370" i="9"/>
  <c r="J34" i="9"/>
  <c r="K34" i="9"/>
  <c r="J786" i="9"/>
  <c r="K894" i="9"/>
  <c r="J894" i="9"/>
  <c r="J972" i="9"/>
  <c r="J743" i="9"/>
  <c r="I722" i="9"/>
  <c r="AR722" i="9"/>
  <c r="H993" i="9"/>
  <c r="H952" i="9"/>
  <c r="K900" i="9"/>
  <c r="O866" i="9"/>
  <c r="I814" i="9"/>
  <c r="K718" i="9"/>
  <c r="I675" i="9"/>
  <c r="L608" i="9"/>
  <c r="H572" i="9"/>
  <c r="AP542" i="9"/>
  <c r="I475" i="9"/>
  <c r="K344" i="9"/>
  <c r="H402" i="9"/>
  <c r="H341" i="9"/>
  <c r="H253" i="9"/>
  <c r="H167" i="9"/>
  <c r="J192" i="9"/>
  <c r="J971" i="9"/>
  <c r="K911" i="9"/>
  <c r="J911" i="9"/>
  <c r="J873" i="9"/>
  <c r="J965" i="9"/>
  <c r="K890" i="9"/>
  <c r="AP854" i="9"/>
  <c r="H854" i="9"/>
  <c r="K984" i="9"/>
  <c r="J984" i="9"/>
  <c r="J884" i="9"/>
  <c r="K884" i="9"/>
  <c r="J819" i="9"/>
  <c r="K819" i="9"/>
  <c r="I812" i="9"/>
  <c r="AR812" i="9"/>
  <c r="I738" i="9"/>
  <c r="AR738" i="9"/>
  <c r="K726" i="9"/>
  <c r="J726" i="9"/>
  <c r="I730" i="9"/>
  <c r="AR730" i="9"/>
  <c r="H722" i="9"/>
  <c r="K488" i="9"/>
  <c r="K543" i="9"/>
  <c r="K445" i="9"/>
  <c r="J445" i="9"/>
  <c r="K577" i="9"/>
  <c r="H436" i="9"/>
  <c r="H525" i="9"/>
  <c r="J362" i="9"/>
  <c r="K362" i="9"/>
  <c r="I256" i="9"/>
  <c r="AR256" i="9"/>
  <c r="K365" i="9"/>
  <c r="I342" i="9"/>
  <c r="I216" i="9"/>
  <c r="AR216" i="9"/>
  <c r="J168" i="9"/>
  <c r="H21" i="9"/>
  <c r="L53" i="9"/>
  <c r="O110" i="9"/>
  <c r="AX110" i="9"/>
  <c r="H6" i="9"/>
  <c r="I418" i="9"/>
  <c r="J867" i="9"/>
  <c r="K416" i="9"/>
  <c r="J416" i="9"/>
  <c r="J199" i="9"/>
  <c r="K972" i="9"/>
  <c r="K973" i="9"/>
  <c r="H832" i="9"/>
  <c r="I832" i="9"/>
  <c r="H850" i="9"/>
  <c r="J689" i="9"/>
  <c r="K694" i="9"/>
  <c r="I525" i="9"/>
  <c r="H418" i="9"/>
  <c r="H417" i="9"/>
  <c r="H337" i="9"/>
  <c r="H374" i="9"/>
  <c r="K281" i="9"/>
  <c r="I227" i="9"/>
  <c r="K192" i="9"/>
  <c r="L6" i="9"/>
  <c r="AP970" i="9"/>
  <c r="H970" i="9"/>
  <c r="AP901" i="9"/>
  <c r="H901" i="9"/>
  <c r="AQ945" i="9"/>
  <c r="H945" i="9"/>
  <c r="K843" i="9"/>
  <c r="J843" i="9"/>
  <c r="K926" i="9"/>
  <c r="AW911" i="9"/>
  <c r="L911" i="9"/>
  <c r="J777" i="9"/>
  <c r="H646" i="9"/>
  <c r="K707" i="9"/>
  <c r="J659" i="9"/>
  <c r="K659" i="9"/>
  <c r="H807" i="9"/>
  <c r="AP807" i="9"/>
  <c r="J722" i="9"/>
  <c r="K722" i="9"/>
  <c r="H692" i="9"/>
  <c r="AP692" i="9"/>
  <c r="H675" i="9"/>
  <c r="AQ671" i="9"/>
  <c r="H671" i="9"/>
  <c r="J547" i="9"/>
  <c r="K547" i="9"/>
  <c r="J663" i="9"/>
  <c r="K663" i="9"/>
  <c r="K469" i="9"/>
  <c r="J469" i="9"/>
  <c r="K486" i="9"/>
  <c r="J486" i="9"/>
  <c r="J449" i="9"/>
  <c r="K449" i="9"/>
  <c r="AP415" i="9"/>
  <c r="H415" i="9"/>
  <c r="AQ577" i="9"/>
  <c r="H577" i="9"/>
  <c r="J435" i="9"/>
  <c r="Q360" i="9"/>
  <c r="R360" i="9"/>
  <c r="L346" i="9"/>
  <c r="AW346" i="9"/>
  <c r="H236" i="9"/>
  <c r="AP419" i="9"/>
  <c r="H419" i="9"/>
  <c r="L306" i="9"/>
  <c r="AW306" i="9"/>
  <c r="H232" i="9"/>
  <c r="H189" i="9"/>
  <c r="AP189" i="9"/>
  <c r="I137" i="9"/>
  <c r="AR137" i="9"/>
  <c r="H53" i="9"/>
  <c r="K607" i="9"/>
  <c r="J607" i="9"/>
  <c r="J589" i="9"/>
  <c r="K589" i="9"/>
  <c r="H936" i="9"/>
  <c r="H998" i="9"/>
  <c r="J991" i="9"/>
  <c r="I956" i="9"/>
  <c r="K867" i="9"/>
  <c r="H828" i="9"/>
  <c r="K786" i="9"/>
  <c r="L784" i="9"/>
  <c r="H713" i="9"/>
  <c r="I717" i="9"/>
  <c r="K689" i="9"/>
  <c r="H685" i="9"/>
  <c r="I713" i="9"/>
  <c r="H649" i="9"/>
  <c r="H653" i="9"/>
  <c r="J694" i="9"/>
  <c r="I608" i="9"/>
  <c r="H515" i="9"/>
  <c r="O499" i="9"/>
  <c r="H347" i="9"/>
  <c r="H299" i="9"/>
  <c r="H242" i="9"/>
  <c r="J139" i="9"/>
  <c r="I231" i="9"/>
  <c r="I235" i="9"/>
  <c r="I192" i="9"/>
  <c r="O50" i="9"/>
  <c r="AP94" i="9"/>
  <c r="O9" i="9"/>
  <c r="J948" i="9"/>
  <c r="J908" i="9"/>
  <c r="J1001" i="9"/>
  <c r="K1001" i="9"/>
  <c r="H904" i="9"/>
  <c r="AP904" i="9"/>
  <c r="H919" i="9"/>
  <c r="AP919" i="9"/>
  <c r="K963" i="9"/>
  <c r="AP799" i="9"/>
  <c r="H799" i="9"/>
  <c r="AR747" i="9"/>
  <c r="I747" i="9"/>
  <c r="K650" i="9"/>
  <c r="J671" i="9"/>
  <c r="I611" i="9"/>
  <c r="J541" i="9"/>
  <c r="AV615" i="9"/>
  <c r="K593" i="9"/>
  <c r="K470" i="9"/>
  <c r="K578" i="9"/>
  <c r="K712" i="9"/>
  <c r="J712" i="9"/>
  <c r="K376" i="9"/>
  <c r="J376" i="9"/>
  <c r="J276" i="9"/>
  <c r="K276" i="9"/>
  <c r="I306" i="9"/>
  <c r="J256" i="9"/>
  <c r="H149" i="9"/>
  <c r="J232" i="9"/>
  <c r="K232" i="9"/>
  <c r="K757" i="9"/>
  <c r="J757" i="9"/>
  <c r="J809" i="9"/>
  <c r="K809" i="9"/>
  <c r="J571" i="9"/>
  <c r="K571" i="9"/>
  <c r="K474" i="9"/>
  <c r="J474" i="9"/>
  <c r="K991" i="9"/>
  <c r="H990" i="9"/>
  <c r="J973" i="9"/>
  <c r="J876" i="9"/>
  <c r="P866" i="9"/>
  <c r="AP864" i="9"/>
  <c r="I763" i="9"/>
  <c r="AP752" i="9"/>
  <c r="I707" i="9"/>
  <c r="J710" i="9"/>
  <c r="AV624" i="9"/>
  <c r="AP616" i="9"/>
  <c r="H606" i="9"/>
  <c r="H597" i="9"/>
  <c r="I491" i="9"/>
  <c r="I520" i="9"/>
  <c r="K312" i="9"/>
  <c r="H305" i="9"/>
  <c r="I305" i="9"/>
  <c r="H295" i="9"/>
  <c r="H390" i="9"/>
  <c r="K289" i="9"/>
  <c r="K199" i="9"/>
  <c r="H218" i="9"/>
  <c r="J178" i="9"/>
  <c r="J8" i="9"/>
  <c r="AQ57" i="9"/>
  <c r="P58" i="9"/>
  <c r="I6" i="9"/>
  <c r="J954" i="9"/>
  <c r="K968" i="9"/>
  <c r="J968" i="9"/>
  <c r="J929" i="9"/>
  <c r="K929" i="9"/>
  <c r="K919" i="9"/>
  <c r="J919" i="9"/>
  <c r="K783" i="9"/>
  <c r="K799" i="9"/>
  <c r="J799" i="9"/>
  <c r="H771" i="9"/>
  <c r="AP771" i="9"/>
  <c r="H835" i="9"/>
  <c r="AP835" i="9"/>
  <c r="I793" i="9"/>
  <c r="AR793" i="9"/>
  <c r="K756" i="9"/>
  <c r="K703" i="9"/>
  <c r="J703" i="9"/>
  <c r="AR836" i="9"/>
  <c r="I836" i="9"/>
  <c r="K699" i="9"/>
  <c r="J699" i="9"/>
  <c r="J555" i="9"/>
  <c r="K555" i="9"/>
  <c r="H461" i="9"/>
  <c r="AP461" i="9"/>
  <c r="K482" i="9"/>
  <c r="J482" i="9"/>
  <c r="K396" i="9"/>
  <c r="J396" i="9"/>
  <c r="K366" i="9"/>
  <c r="K558" i="9"/>
  <c r="H282" i="9"/>
  <c r="AP282" i="9"/>
  <c r="K388" i="9"/>
  <c r="J388" i="9"/>
  <c r="K316" i="9"/>
  <c r="J243" i="9"/>
  <c r="K340" i="9"/>
  <c r="AP354" i="9"/>
  <c r="H354" i="9"/>
  <c r="K392" i="9"/>
  <c r="J392" i="9"/>
  <c r="K300" i="9"/>
  <c r="K296" i="9"/>
  <c r="K14" i="9"/>
  <c r="J14" i="9"/>
  <c r="H70" i="9"/>
  <c r="AR204" i="9"/>
  <c r="I204" i="9"/>
  <c r="K26" i="9"/>
  <c r="J26" i="9"/>
  <c r="L49" i="9"/>
  <c r="H18" i="9"/>
  <c r="L105" i="9"/>
  <c r="AV105" i="9"/>
  <c r="K854" i="9"/>
  <c r="J854" i="9"/>
  <c r="H180" i="9"/>
  <c r="AP180" i="9"/>
  <c r="L956" i="9"/>
  <c r="K876" i="9"/>
  <c r="K812" i="9"/>
  <c r="K801" i="9"/>
  <c r="I784" i="9"/>
  <c r="L739" i="9"/>
  <c r="K710" i="9"/>
  <c r="J693" i="9"/>
  <c r="J559" i="9"/>
  <c r="H464" i="9"/>
  <c r="J344" i="9"/>
  <c r="I321" i="9"/>
  <c r="I337" i="9"/>
  <c r="J268" i="9"/>
  <c r="K45" i="9"/>
  <c r="AQ947" i="9"/>
  <c r="H947" i="9"/>
  <c r="AV939" i="9"/>
  <c r="L939" i="9"/>
  <c r="J808" i="9"/>
  <c r="K862" i="9"/>
  <c r="J862" i="9"/>
  <c r="K730" i="9"/>
  <c r="L638" i="9"/>
  <c r="AV638" i="9"/>
  <c r="K835" i="9"/>
  <c r="J835" i="9"/>
  <c r="H756" i="9"/>
  <c r="AP756" i="9"/>
  <c r="H546" i="9"/>
  <c r="H719" i="9"/>
  <c r="H622" i="9"/>
  <c r="AP622" i="9"/>
  <c r="H714" i="9"/>
  <c r="AP680" i="9"/>
  <c r="H680" i="9"/>
  <c r="AQ631" i="9"/>
  <c r="H631" i="9"/>
  <c r="K648" i="9"/>
  <c r="J648" i="9"/>
  <c r="J513" i="9"/>
  <c r="AP490" i="9"/>
  <c r="H490" i="9"/>
  <c r="J554" i="9"/>
  <c r="K554" i="9"/>
  <c r="K336" i="9"/>
  <c r="K213" i="9"/>
  <c r="AP340" i="9"/>
  <c r="H340" i="9"/>
  <c r="J254" i="9"/>
  <c r="K254" i="9"/>
  <c r="K328" i="9"/>
  <c r="K46" i="9"/>
  <c r="J46" i="9"/>
  <c r="J17" i="9"/>
  <c r="H153" i="9"/>
  <c r="AP153" i="9"/>
  <c r="H49" i="9"/>
  <c r="I382" i="9"/>
  <c r="AR382" i="9"/>
  <c r="K425" i="9"/>
  <c r="J425" i="9"/>
  <c r="Q330" i="9"/>
  <c r="R330" i="9"/>
  <c r="AV287" i="9"/>
  <c r="L287" i="9"/>
  <c r="AV228" i="9"/>
  <c r="L228" i="9"/>
  <c r="AR237" i="9"/>
  <c r="I237" i="9"/>
  <c r="AR238" i="9"/>
  <c r="I238" i="9"/>
  <c r="L219" i="9"/>
  <c r="AV219" i="9"/>
  <c r="I138" i="9"/>
  <c r="AR138" i="9"/>
  <c r="AR222" i="9"/>
  <c r="I222" i="9"/>
  <c r="I47" i="9"/>
  <c r="AR47" i="9"/>
  <c r="AP84" i="9"/>
  <c r="H84" i="9"/>
  <c r="R145" i="9"/>
  <c r="Q145" i="9"/>
  <c r="H111" i="9"/>
  <c r="AP111" i="9"/>
  <c r="P33" i="9"/>
  <c r="AZ33" i="9"/>
  <c r="J114" i="9"/>
  <c r="K114" i="9"/>
  <c r="AR80" i="9"/>
  <c r="I80" i="9"/>
  <c r="AR8" i="9"/>
  <c r="I8" i="9"/>
  <c r="AR20" i="9"/>
  <c r="I20" i="9"/>
  <c r="R42" i="9"/>
  <c r="Q42" i="9"/>
  <c r="J998" i="9"/>
  <c r="K998" i="9"/>
  <c r="J994" i="9"/>
  <c r="K994" i="9"/>
  <c r="AR979" i="9"/>
  <c r="I979" i="9"/>
  <c r="AW963" i="9"/>
  <c r="L963" i="9"/>
  <c r="J956" i="9"/>
  <c r="K956" i="9"/>
  <c r="AP837" i="9"/>
  <c r="H837" i="9"/>
  <c r="K789" i="9"/>
  <c r="J789" i="9"/>
  <c r="J759" i="9"/>
  <c r="K759" i="9"/>
  <c r="I755" i="9"/>
  <c r="L691" i="9"/>
  <c r="AV691" i="9"/>
  <c r="AP704" i="9"/>
  <c r="H704" i="9"/>
  <c r="R679" i="9"/>
  <c r="Q679" i="9"/>
  <c r="K556" i="9"/>
  <c r="J556" i="9"/>
  <c r="AP564" i="9"/>
  <c r="H564" i="9"/>
  <c r="AR534" i="9"/>
  <c r="I534" i="9"/>
  <c r="K466" i="9"/>
  <c r="J466" i="9"/>
  <c r="AV520" i="9"/>
  <c r="L520" i="9"/>
  <c r="O465" i="9"/>
  <c r="AX465" i="9"/>
  <c r="AX372" i="9"/>
  <c r="O372" i="9"/>
  <c r="P326" i="9"/>
  <c r="AZ326" i="9"/>
  <c r="AV348" i="9"/>
  <c r="L348" i="9"/>
  <c r="L317" i="9"/>
  <c r="AV317" i="9"/>
  <c r="K311" i="9"/>
  <c r="J311" i="9"/>
  <c r="AV236" i="9"/>
  <c r="L236" i="9"/>
  <c r="J174" i="9"/>
  <c r="K174" i="9"/>
  <c r="I166" i="9"/>
  <c r="AR166" i="9"/>
  <c r="I97" i="9"/>
  <c r="AR97" i="9"/>
  <c r="AR144" i="9"/>
  <c r="I144" i="9"/>
  <c r="AS998" i="9"/>
  <c r="I998" i="9"/>
  <c r="AX991" i="9"/>
  <c r="O991" i="9"/>
  <c r="AQ994" i="9"/>
  <c r="H994" i="9"/>
  <c r="K975" i="9"/>
  <c r="J975" i="9"/>
  <c r="J974" i="9"/>
  <c r="K974" i="9"/>
  <c r="H974" i="9"/>
  <c r="AX964" i="9"/>
  <c r="L968" i="9"/>
  <c r="AV968" i="9"/>
  <c r="J966" i="9"/>
  <c r="K966" i="9"/>
  <c r="R956" i="9"/>
  <c r="Q956" i="9"/>
  <c r="AW953" i="9"/>
  <c r="L953" i="9"/>
  <c r="K942" i="9"/>
  <c r="J942" i="9"/>
  <c r="I952" i="9"/>
  <c r="AR952" i="9"/>
  <c r="J940" i="9"/>
  <c r="K940" i="9"/>
  <c r="K934" i="9"/>
  <c r="J934" i="9"/>
  <c r="I940" i="9"/>
  <c r="AR940" i="9"/>
  <c r="AP937" i="9"/>
  <c r="H937" i="9"/>
  <c r="L925" i="9"/>
  <c r="AV925" i="9"/>
  <c r="J921" i="9"/>
  <c r="K921" i="9"/>
  <c r="AP899" i="9"/>
  <c r="H899" i="9"/>
  <c r="I905" i="9"/>
  <c r="AR905" i="9"/>
  <c r="J917" i="9"/>
  <c r="K917" i="9"/>
  <c r="I900" i="9"/>
  <c r="AR900" i="9"/>
  <c r="K886" i="9"/>
  <c r="J886" i="9"/>
  <c r="J866" i="9"/>
  <c r="K866" i="9"/>
  <c r="H875" i="9"/>
  <c r="H944" i="9"/>
  <c r="AR908" i="9"/>
  <c r="I908" i="9"/>
  <c r="K897" i="9"/>
  <c r="J897" i="9"/>
  <c r="K871" i="9"/>
  <c r="J871" i="9"/>
  <c r="AV868" i="9"/>
  <c r="AV865" i="9"/>
  <c r="L865" i="9"/>
  <c r="J816" i="9"/>
  <c r="K816" i="9"/>
  <c r="AR849" i="9"/>
  <c r="I849" i="9"/>
  <c r="AQ841" i="9"/>
  <c r="H841" i="9"/>
  <c r="L873" i="9"/>
  <c r="K818" i="9"/>
  <c r="J818" i="9"/>
  <c r="J821" i="9"/>
  <c r="K821" i="9"/>
  <c r="L810" i="9"/>
  <c r="AV810" i="9"/>
  <c r="AR883" i="9"/>
  <c r="I883" i="9"/>
  <c r="J794" i="9"/>
  <c r="K794" i="9"/>
  <c r="AX788" i="9"/>
  <c r="I796" i="9"/>
  <c r="AR796" i="9"/>
  <c r="AR782" i="9"/>
  <c r="I782" i="9"/>
  <c r="AR798" i="9"/>
  <c r="I798" i="9"/>
  <c r="J754" i="9"/>
  <c r="K754" i="9"/>
  <c r="I744" i="9"/>
  <c r="AR744" i="9"/>
  <c r="L764" i="9"/>
  <c r="AV764" i="9"/>
  <c r="L719" i="9"/>
  <c r="AV743" i="9"/>
  <c r="L743" i="9"/>
  <c r="L717" i="9"/>
  <c r="AV717" i="9"/>
  <c r="AX715" i="9"/>
  <c r="O715" i="9"/>
  <c r="AV713" i="9"/>
  <c r="L713" i="9"/>
  <c r="L733" i="9"/>
  <c r="AV733" i="9"/>
  <c r="AP708" i="9"/>
  <c r="H708" i="9"/>
  <c r="AP676" i="9"/>
  <c r="H676" i="9"/>
  <c r="I693" i="9"/>
  <c r="AR693" i="9"/>
  <c r="K661" i="9"/>
  <c r="J661" i="9"/>
  <c r="H641" i="9"/>
  <c r="AQ686" i="9"/>
  <c r="H686" i="9"/>
  <c r="O707" i="9"/>
  <c r="AX707" i="9"/>
  <c r="J657" i="9"/>
  <c r="K657" i="9"/>
  <c r="AV690" i="9"/>
  <c r="L690" i="9"/>
  <c r="I653" i="9"/>
  <c r="H687" i="9"/>
  <c r="AQ687" i="9"/>
  <c r="I669" i="9"/>
  <c r="K660" i="9"/>
  <c r="J660" i="9"/>
  <c r="AP697" i="9"/>
  <c r="H697" i="9"/>
  <c r="I665" i="9"/>
  <c r="AR612" i="9"/>
  <c r="I612" i="9"/>
  <c r="K604" i="9"/>
  <c r="J604" i="9"/>
  <c r="AR644" i="9"/>
  <c r="I644" i="9"/>
  <c r="K603" i="9"/>
  <c r="J603" i="9"/>
  <c r="AP563" i="9"/>
  <c r="H563" i="9"/>
  <c r="I604" i="9"/>
  <c r="AR604" i="9"/>
  <c r="I593" i="9"/>
  <c r="AR593" i="9"/>
  <c r="K634" i="9"/>
  <c r="J634" i="9"/>
  <c r="L595" i="9"/>
  <c r="AV595" i="9"/>
  <c r="AX580" i="9"/>
  <c r="O580" i="9"/>
  <c r="AV586" i="9"/>
  <c r="L586" i="9"/>
  <c r="L549" i="9"/>
  <c r="AV549" i="9"/>
  <c r="K544" i="9"/>
  <c r="J544" i="9"/>
  <c r="L575" i="9"/>
  <c r="AV575" i="9"/>
  <c r="K574" i="9"/>
  <c r="J574" i="9"/>
  <c r="I543" i="9"/>
  <c r="AR543" i="9"/>
  <c r="I519" i="9"/>
  <c r="AS519" i="9"/>
  <c r="AQ496" i="9"/>
  <c r="H496" i="9"/>
  <c r="J504" i="9"/>
  <c r="K504" i="9"/>
  <c r="H495" i="9"/>
  <c r="AR516" i="9"/>
  <c r="I516" i="9"/>
  <c r="H511" i="9"/>
  <c r="AS479" i="9"/>
  <c r="I479" i="9"/>
  <c r="H475" i="9"/>
  <c r="J459" i="9"/>
  <c r="K459" i="9"/>
  <c r="H500" i="9"/>
  <c r="AQ500" i="9"/>
  <c r="R465" i="9"/>
  <c r="Q465" i="9"/>
  <c r="AR486" i="9"/>
  <c r="I486" i="9"/>
  <c r="AV468" i="9"/>
  <c r="I451" i="9"/>
  <c r="AR451" i="9"/>
  <c r="AP433" i="9"/>
  <c r="H433" i="9"/>
  <c r="AR452" i="9"/>
  <c r="I452" i="9"/>
  <c r="AR432" i="9"/>
  <c r="I432" i="9"/>
  <c r="J463" i="9"/>
  <c r="K463" i="9"/>
  <c r="I443" i="9"/>
  <c r="AR443" i="9"/>
  <c r="I447" i="9"/>
  <c r="AR447" i="9"/>
  <c r="K406" i="9"/>
  <c r="J406" i="9"/>
  <c r="L376" i="9"/>
  <c r="AV376" i="9"/>
  <c r="AV408" i="9"/>
  <c r="L408" i="9"/>
  <c r="AR402" i="9"/>
  <c r="I402" i="9"/>
  <c r="I388" i="9"/>
  <c r="AR388" i="9"/>
  <c r="H349" i="9"/>
  <c r="AP349" i="9"/>
  <c r="I414" i="9"/>
  <c r="H329" i="9"/>
  <c r="K422" i="9"/>
  <c r="J422" i="9"/>
  <c r="K410" i="9"/>
  <c r="J410" i="9"/>
  <c r="AV399" i="9"/>
  <c r="L399" i="9"/>
  <c r="I327" i="9"/>
  <c r="AR327" i="9"/>
  <c r="AV389" i="9"/>
  <c r="L389" i="9"/>
  <c r="K347" i="9"/>
  <c r="J347" i="9"/>
  <c r="H331" i="9"/>
  <c r="I347" i="9"/>
  <c r="AR347" i="9"/>
  <c r="K319" i="9"/>
  <c r="J319" i="9"/>
  <c r="AV300" i="9"/>
  <c r="L300" i="9"/>
  <c r="K345" i="9"/>
  <c r="J345" i="9"/>
  <c r="AW318" i="9"/>
  <c r="L318" i="9"/>
  <c r="AR285" i="9"/>
  <c r="I285" i="9"/>
  <c r="L337" i="9"/>
  <c r="AV337" i="9"/>
  <c r="K323" i="9"/>
  <c r="J323" i="9"/>
  <c r="AR257" i="9"/>
  <c r="I257" i="9"/>
  <c r="I364" i="9"/>
  <c r="AR364" i="9"/>
  <c r="AV328" i="9"/>
  <c r="L328" i="9"/>
  <c r="K285" i="9"/>
  <c r="J285" i="9"/>
  <c r="AR273" i="9"/>
  <c r="I273" i="9"/>
  <c r="L322" i="9"/>
  <c r="I280" i="9"/>
  <c r="AR280" i="9"/>
  <c r="I217" i="9"/>
  <c r="AR217" i="9"/>
  <c r="L325" i="9"/>
  <c r="AV325" i="9"/>
  <c r="L263" i="9"/>
  <c r="AV263" i="9"/>
  <c r="Q247" i="9"/>
  <c r="R247" i="9"/>
  <c r="J225" i="9"/>
  <c r="K225" i="9"/>
  <c r="I343" i="9"/>
  <c r="AR343" i="9"/>
  <c r="AR304" i="9"/>
  <c r="I304" i="9"/>
  <c r="AP210" i="9"/>
  <c r="H210" i="9"/>
  <c r="I265" i="9"/>
  <c r="AR265" i="9"/>
  <c r="I209" i="9"/>
  <c r="AR209" i="9"/>
  <c r="AR242" i="9"/>
  <c r="I242" i="9"/>
  <c r="K234" i="9"/>
  <c r="J234" i="9"/>
  <c r="I202" i="9"/>
  <c r="AR202" i="9"/>
  <c r="K173" i="9"/>
  <c r="J173" i="9"/>
  <c r="I250" i="9"/>
  <c r="AR250" i="9"/>
  <c r="AV174" i="9"/>
  <c r="L174" i="9"/>
  <c r="L240" i="9"/>
  <c r="AR286" i="9"/>
  <c r="I286" i="9"/>
  <c r="AR157" i="9"/>
  <c r="I157" i="9"/>
  <c r="AV188" i="9"/>
  <c r="L188" i="9"/>
  <c r="AR168" i="9"/>
  <c r="I168" i="9"/>
  <c r="I135" i="9"/>
  <c r="AR135" i="9"/>
  <c r="AV283" i="9"/>
  <c r="L283" i="9"/>
  <c r="K171" i="9"/>
  <c r="J171" i="9"/>
  <c r="L183" i="9"/>
  <c r="AV183" i="9"/>
  <c r="J112" i="9"/>
  <c r="K112" i="9"/>
  <c r="J55" i="9"/>
  <c r="K55" i="9"/>
  <c r="I252" i="9"/>
  <c r="AR252" i="9"/>
  <c r="L129" i="9"/>
  <c r="AV129" i="9"/>
  <c r="K16" i="9"/>
  <c r="J16" i="9"/>
  <c r="I39" i="9"/>
  <c r="AR39" i="9"/>
  <c r="I119" i="9"/>
  <c r="AR119" i="9"/>
  <c r="AR78" i="9"/>
  <c r="I78" i="9"/>
  <c r="J84" i="9"/>
  <c r="K84" i="9"/>
  <c r="R178" i="9"/>
  <c r="Q178" i="9"/>
  <c r="L161" i="9"/>
  <c r="AV161" i="9"/>
  <c r="I112" i="9"/>
  <c r="AR112" i="9"/>
  <c r="AR103" i="9"/>
  <c r="I103" i="9"/>
  <c r="O53" i="9"/>
  <c r="AX53" i="9"/>
  <c r="J96" i="9"/>
  <c r="K96" i="9"/>
  <c r="AR73" i="9"/>
  <c r="I73" i="9"/>
  <c r="AR106" i="9"/>
  <c r="I106" i="9"/>
  <c r="L4" i="9"/>
  <c r="AV4" i="9"/>
  <c r="AR130" i="9"/>
  <c r="I130" i="9"/>
  <c r="K109" i="9"/>
  <c r="J109" i="9"/>
  <c r="I79" i="9"/>
  <c r="AR79" i="9"/>
  <c r="R65" i="9"/>
  <c r="Q65" i="9"/>
  <c r="R18" i="9"/>
  <c r="Q18" i="9"/>
  <c r="O42" i="9"/>
  <c r="AX42" i="9"/>
  <c r="R26" i="9"/>
  <c r="Q26" i="9"/>
  <c r="L938" i="9"/>
  <c r="AV938" i="9"/>
  <c r="H910" i="9"/>
  <c r="AP910" i="9"/>
  <c r="I848" i="9"/>
  <c r="AR848" i="9"/>
  <c r="AP856" i="9"/>
  <c r="H856" i="9"/>
  <c r="AR829" i="9"/>
  <c r="I829" i="9"/>
  <c r="AR791" i="9"/>
  <c r="I791" i="9"/>
  <c r="R734" i="9"/>
  <c r="Q734" i="9"/>
  <c r="I617" i="9"/>
  <c r="AR617" i="9"/>
  <c r="I623" i="9"/>
  <c r="AR623" i="9"/>
  <c r="AR552" i="9"/>
  <c r="I552" i="9"/>
  <c r="AV494" i="9"/>
  <c r="L494" i="9"/>
  <c r="I434" i="9"/>
  <c r="AR434" i="9"/>
  <c r="AR436" i="9"/>
  <c r="I436" i="9"/>
  <c r="AP350" i="9"/>
  <c r="H350" i="9"/>
  <c r="I394" i="9"/>
  <c r="AR394" i="9"/>
  <c r="R373" i="9"/>
  <c r="Q373" i="9"/>
  <c r="K307" i="9"/>
  <c r="J307" i="9"/>
  <c r="AR365" i="9"/>
  <c r="I365" i="9"/>
  <c r="AV324" i="9"/>
  <c r="L324" i="9"/>
  <c r="AV292" i="9"/>
  <c r="L292" i="9"/>
  <c r="H356" i="9"/>
  <c r="AP356" i="9"/>
  <c r="AR293" i="9"/>
  <c r="I293" i="9"/>
  <c r="I271" i="9"/>
  <c r="AR271" i="9"/>
  <c r="K249" i="9"/>
  <c r="J249" i="9"/>
  <c r="J209" i="9"/>
  <c r="K209" i="9"/>
  <c r="J197" i="9"/>
  <c r="K197" i="9"/>
  <c r="AR167" i="9"/>
  <c r="I167" i="9"/>
  <c r="I194" i="9"/>
  <c r="AR194" i="9"/>
  <c r="AV232" i="9"/>
  <c r="L232" i="9"/>
  <c r="K169" i="9"/>
  <c r="J169" i="9"/>
  <c r="AP147" i="9"/>
  <c r="H147" i="9"/>
  <c r="J136" i="9"/>
  <c r="K136" i="9"/>
  <c r="AP52" i="9"/>
  <c r="H52" i="9"/>
  <c r="AV154" i="9"/>
  <c r="L154" i="9"/>
  <c r="J186" i="9"/>
  <c r="K186" i="9"/>
  <c r="AR90" i="9"/>
  <c r="I90" i="9"/>
  <c r="J989" i="9"/>
  <c r="K989" i="9"/>
  <c r="AR992" i="9"/>
  <c r="I992" i="9"/>
  <c r="AV995" i="9"/>
  <c r="L995" i="9"/>
  <c r="BB993" i="9"/>
  <c r="BB969" i="9"/>
  <c r="S969" i="9"/>
  <c r="BB963" i="9"/>
  <c r="AQ964" i="9"/>
  <c r="H964" i="9"/>
  <c r="I963" i="9"/>
  <c r="AV945" i="9"/>
  <c r="I949" i="9"/>
  <c r="AR949" i="9"/>
  <c r="AZ956" i="9"/>
  <c r="P956" i="9"/>
  <c r="AP931" i="9"/>
  <c r="H931" i="9"/>
  <c r="K922" i="9"/>
  <c r="J922" i="9"/>
  <c r="I925" i="9"/>
  <c r="AR920" i="9"/>
  <c r="I920" i="9"/>
  <c r="AP917" i="9"/>
  <c r="H917" i="9"/>
  <c r="AP886" i="9"/>
  <c r="H886" i="9"/>
  <c r="AR875" i="9"/>
  <c r="I875" i="9"/>
  <c r="I944" i="9"/>
  <c r="AR944" i="9"/>
  <c r="O872" i="9"/>
  <c r="AX872" i="9"/>
  <c r="I881" i="9"/>
  <c r="AR881" i="9"/>
  <c r="AV841" i="9"/>
  <c r="I863" i="9"/>
  <c r="AR863" i="9"/>
  <c r="R847" i="9"/>
  <c r="Q847" i="9"/>
  <c r="J820" i="9"/>
  <c r="K820" i="9"/>
  <c r="AR861" i="9"/>
  <c r="I861" i="9"/>
  <c r="I819" i="9"/>
  <c r="AR819" i="9"/>
  <c r="O873" i="9"/>
  <c r="AX873" i="9"/>
  <c r="AR817" i="9"/>
  <c r="I817" i="9"/>
  <c r="AR822" i="9"/>
  <c r="I822" i="9"/>
  <c r="AR858" i="9"/>
  <c r="I858" i="9"/>
  <c r="H806" i="9"/>
  <c r="AP806" i="9"/>
  <c r="J810" i="9"/>
  <c r="K810" i="9"/>
  <c r="R803" i="9"/>
  <c r="Q803" i="9"/>
  <c r="AV797" i="9"/>
  <c r="L797" i="9"/>
  <c r="I786" i="9"/>
  <c r="AR786" i="9"/>
  <c r="H776" i="9"/>
  <c r="AQ776" i="9"/>
  <c r="AQ788" i="9"/>
  <c r="H788" i="9"/>
  <c r="I789" i="9"/>
  <c r="AV779" i="9"/>
  <c r="I754" i="9"/>
  <c r="AR754" i="9"/>
  <c r="AV767" i="9"/>
  <c r="L767" i="9"/>
  <c r="AR781" i="9"/>
  <c r="I781" i="9"/>
  <c r="O765" i="9"/>
  <c r="AX765" i="9"/>
  <c r="AR751" i="9"/>
  <c r="I751" i="9"/>
  <c r="AX719" i="9"/>
  <c r="O719" i="9"/>
  <c r="I732" i="9"/>
  <c r="AR732" i="9"/>
  <c r="S723" i="9"/>
  <c r="K701" i="9"/>
  <c r="J701" i="9"/>
  <c r="AR672" i="9"/>
  <c r="I672" i="9"/>
  <c r="J639" i="9"/>
  <c r="K639" i="9"/>
  <c r="R689" i="9"/>
  <c r="Q689" i="9"/>
  <c r="AV674" i="9"/>
  <c r="J728" i="9"/>
  <c r="K728" i="9"/>
  <c r="AR698" i="9"/>
  <c r="I698" i="9"/>
  <c r="O656" i="9"/>
  <c r="R735" i="9"/>
  <c r="Q735" i="9"/>
  <c r="AV669" i="9"/>
  <c r="L669" i="9"/>
  <c r="K697" i="9"/>
  <c r="J697" i="9"/>
  <c r="Q618" i="9"/>
  <c r="R618" i="9"/>
  <c r="AX642" i="9"/>
  <c r="L627" i="9"/>
  <c r="AV627" i="9"/>
  <c r="O653" i="9"/>
  <c r="AX653" i="9"/>
  <c r="K632" i="9"/>
  <c r="J632" i="9"/>
  <c r="H609" i="9"/>
  <c r="Q660" i="9"/>
  <c r="R660" i="9"/>
  <c r="AX643" i="9"/>
  <c r="O643" i="9"/>
  <c r="I603" i="9"/>
  <c r="AR603" i="9"/>
  <c r="J621" i="9"/>
  <c r="K621" i="9"/>
  <c r="AV626" i="9"/>
  <c r="L626" i="9"/>
  <c r="AV601" i="9"/>
  <c r="L601" i="9"/>
  <c r="H562" i="9"/>
  <c r="AP562" i="9"/>
  <c r="AV587" i="9"/>
  <c r="L587" i="9"/>
  <c r="O636" i="9"/>
  <c r="AX636" i="9"/>
  <c r="R588" i="9"/>
  <c r="Q588" i="9"/>
  <c r="H634" i="9"/>
  <c r="AP634" i="9"/>
  <c r="AX619" i="9"/>
  <c r="O619" i="9"/>
  <c r="I535" i="9"/>
  <c r="AR535" i="9"/>
  <c r="I583" i="9"/>
  <c r="AR583" i="9"/>
  <c r="I551" i="9"/>
  <c r="AR551" i="9"/>
  <c r="L599" i="9"/>
  <c r="AV599" i="9"/>
  <c r="AR554" i="9"/>
  <c r="I554" i="9"/>
  <c r="R550" i="9"/>
  <c r="Q550" i="9"/>
  <c r="I515" i="9"/>
  <c r="AS515" i="9"/>
  <c r="L579" i="9"/>
  <c r="I566" i="9"/>
  <c r="AR566" i="9"/>
  <c r="AR546" i="9"/>
  <c r="I546" i="9"/>
  <c r="AZ503" i="9"/>
  <c r="K493" i="9"/>
  <c r="J493" i="9"/>
  <c r="AV473" i="9"/>
  <c r="L473" i="9"/>
  <c r="H504" i="9"/>
  <c r="AQ504" i="9"/>
  <c r="AZ491" i="9"/>
  <c r="P491" i="9"/>
  <c r="K483" i="9"/>
  <c r="J483" i="9"/>
  <c r="H487" i="9"/>
  <c r="AR524" i="9"/>
  <c r="I524" i="9"/>
  <c r="H516" i="9"/>
  <c r="BB507" i="9"/>
  <c r="K479" i="9"/>
  <c r="J479" i="9"/>
  <c r="AV509" i="9"/>
  <c r="L509" i="9"/>
  <c r="L498" i="9"/>
  <c r="AV498" i="9"/>
  <c r="O491" i="9"/>
  <c r="AZ515" i="9"/>
  <c r="AX508" i="9"/>
  <c r="H491" i="9"/>
  <c r="AV474" i="9"/>
  <c r="L474" i="9"/>
  <c r="L488" i="9"/>
  <c r="AR456" i="9"/>
  <c r="I456" i="9"/>
  <c r="I430" i="9"/>
  <c r="AR430" i="9"/>
  <c r="H422" i="9"/>
  <c r="H406" i="9"/>
  <c r="I470" i="9"/>
  <c r="AR470" i="9"/>
  <c r="AR428" i="9"/>
  <c r="I428" i="9"/>
  <c r="K418" i="9"/>
  <c r="J418" i="9"/>
  <c r="R454" i="9"/>
  <c r="Q454" i="9"/>
  <c r="K373" i="9"/>
  <c r="J373" i="9"/>
  <c r="I406" i="9"/>
  <c r="K385" i="9"/>
  <c r="J385" i="9"/>
  <c r="Q383" i="9"/>
  <c r="R383" i="9"/>
  <c r="J390" i="9"/>
  <c r="K390" i="9"/>
  <c r="L414" i="9"/>
  <c r="AV414" i="9"/>
  <c r="AV370" i="9"/>
  <c r="L370" i="9"/>
  <c r="H309" i="9"/>
  <c r="J382" i="9"/>
  <c r="K382" i="9"/>
  <c r="AQ371" i="9"/>
  <c r="H371" i="9"/>
  <c r="AV298" i="9"/>
  <c r="L298" i="9"/>
  <c r="K379" i="9"/>
  <c r="J379" i="9"/>
  <c r="I368" i="9"/>
  <c r="AR368" i="9"/>
  <c r="L305" i="9"/>
  <c r="AV305" i="9"/>
  <c r="I331" i="9"/>
  <c r="AR331" i="9"/>
  <c r="K257" i="9"/>
  <c r="J257" i="9"/>
  <c r="H301" i="9"/>
  <c r="K261" i="9"/>
  <c r="J261" i="9"/>
  <c r="K299" i="9"/>
  <c r="J299" i="9"/>
  <c r="AX360" i="9"/>
  <c r="O360" i="9"/>
  <c r="K343" i="9"/>
  <c r="J343" i="9"/>
  <c r="H323" i="9"/>
  <c r="K305" i="9"/>
  <c r="J305" i="9"/>
  <c r="I258" i="9"/>
  <c r="AR258" i="9"/>
  <c r="J202" i="9"/>
  <c r="K202" i="9"/>
  <c r="O322" i="9"/>
  <c r="AX322" i="9"/>
  <c r="AP262" i="9"/>
  <c r="H262" i="9"/>
  <c r="AR230" i="9"/>
  <c r="I230" i="9"/>
  <c r="I313" i="9"/>
  <c r="AR270" i="9"/>
  <c r="I270" i="9"/>
  <c r="O247" i="9"/>
  <c r="AX247" i="9"/>
  <c r="AV224" i="9"/>
  <c r="L224" i="9"/>
  <c r="AP207" i="9"/>
  <c r="H207" i="9"/>
  <c r="I341" i="9"/>
  <c r="AP206" i="9"/>
  <c r="H206" i="9"/>
  <c r="K333" i="9"/>
  <c r="J333" i="9"/>
  <c r="I233" i="9"/>
  <c r="AR233" i="9"/>
  <c r="AZ281" i="9"/>
  <c r="P281" i="9"/>
  <c r="I195" i="9"/>
  <c r="AR195" i="9"/>
  <c r="AX240" i="9"/>
  <c r="O240" i="9"/>
  <c r="AR214" i="9"/>
  <c r="I214" i="9"/>
  <c r="I159" i="9"/>
  <c r="AR159" i="9"/>
  <c r="K253" i="9"/>
  <c r="J253" i="9"/>
  <c r="H185" i="9"/>
  <c r="AP185" i="9"/>
  <c r="L132" i="9"/>
  <c r="AV132" i="9"/>
  <c r="AR201" i="9"/>
  <c r="I201" i="9"/>
  <c r="AR91" i="9"/>
  <c r="I91" i="9"/>
  <c r="H142" i="9"/>
  <c r="AP142" i="9"/>
  <c r="K48" i="9"/>
  <c r="J48" i="9"/>
  <c r="J15" i="9"/>
  <c r="K15" i="9"/>
  <c r="AR223" i="9"/>
  <c r="I223" i="9"/>
  <c r="K148" i="9"/>
  <c r="J148" i="9"/>
  <c r="L33" i="9"/>
  <c r="AX178" i="9"/>
  <c r="O178" i="9"/>
  <c r="O141" i="9"/>
  <c r="AX141" i="9"/>
  <c r="AV46" i="9"/>
  <c r="L46" i="9"/>
  <c r="AP96" i="9"/>
  <c r="H96" i="9"/>
  <c r="BB58" i="9"/>
  <c r="S58" i="9"/>
  <c r="H109" i="9"/>
  <c r="AP109" i="9"/>
  <c r="I71" i="9"/>
  <c r="AR71" i="9"/>
  <c r="I55" i="9"/>
  <c r="AR55" i="9"/>
  <c r="R34" i="9"/>
  <c r="Q34" i="9"/>
  <c r="AX134" i="9"/>
  <c r="O134" i="9"/>
  <c r="R10" i="9"/>
  <c r="Q10" i="9"/>
  <c r="O18" i="9"/>
  <c r="AX18" i="9"/>
  <c r="O26" i="9"/>
  <c r="AX26" i="9"/>
  <c r="J899" i="9"/>
  <c r="K899" i="9"/>
  <c r="I825" i="9"/>
  <c r="AR825" i="9"/>
  <c r="AV809" i="9"/>
  <c r="L809" i="9"/>
  <c r="K774" i="9"/>
  <c r="J774" i="9"/>
  <c r="K676" i="9"/>
  <c r="J676" i="9"/>
  <c r="K645" i="9"/>
  <c r="J645" i="9"/>
  <c r="AZ660" i="9"/>
  <c r="P660" i="9"/>
  <c r="K594" i="9"/>
  <c r="J594" i="9"/>
  <c r="K512" i="9"/>
  <c r="J512" i="9"/>
  <c r="K475" i="9"/>
  <c r="J475" i="9"/>
  <c r="J500" i="9"/>
  <c r="K500" i="9"/>
  <c r="I459" i="9"/>
  <c r="AR459" i="9"/>
  <c r="R541" i="9"/>
  <c r="Q541" i="9"/>
  <c r="I466" i="9"/>
  <c r="AR466" i="9"/>
  <c r="AR409" i="9"/>
  <c r="I409" i="9"/>
  <c r="AR405" i="9"/>
  <c r="I405" i="9"/>
  <c r="I303" i="9"/>
  <c r="AR303" i="9"/>
  <c r="I319" i="9"/>
  <c r="AR319" i="9"/>
  <c r="AZ306" i="9"/>
  <c r="K218" i="9"/>
  <c r="J218" i="9"/>
  <c r="J194" i="9"/>
  <c r="K194" i="9"/>
  <c r="L235" i="9"/>
  <c r="AV235" i="9"/>
  <c r="AP171" i="9"/>
  <c r="H171" i="9"/>
  <c r="AV182" i="9"/>
  <c r="L182" i="9"/>
  <c r="H121" i="9"/>
  <c r="AP121" i="9"/>
  <c r="O61" i="9"/>
  <c r="AX61" i="9"/>
  <c r="R110" i="9"/>
  <c r="Q110" i="9"/>
  <c r="AR996" i="9"/>
  <c r="I996" i="9"/>
  <c r="I997" i="9"/>
  <c r="H989" i="9"/>
  <c r="AX998" i="9"/>
  <c r="AV972" i="9"/>
  <c r="L972" i="9"/>
  <c r="AR990" i="9"/>
  <c r="I990" i="9"/>
  <c r="I978" i="9"/>
  <c r="AR978" i="9"/>
  <c r="J964" i="9"/>
  <c r="K964" i="9"/>
  <c r="J961" i="9"/>
  <c r="K961" i="9"/>
  <c r="AX947" i="9"/>
  <c r="AR954" i="9"/>
  <c r="I954" i="9"/>
  <c r="O956" i="9"/>
  <c r="AV935" i="9"/>
  <c r="L935" i="9"/>
  <c r="K936" i="9"/>
  <c r="J936" i="9"/>
  <c r="K931" i="9"/>
  <c r="J931" i="9"/>
  <c r="K923" i="9"/>
  <c r="J923" i="9"/>
  <c r="R932" i="9"/>
  <c r="Q932" i="9"/>
  <c r="AP922" i="9"/>
  <c r="H922" i="9"/>
  <c r="H950" i="9"/>
  <c r="AR914" i="9"/>
  <c r="I914" i="9"/>
  <c r="I876" i="9"/>
  <c r="K944" i="9"/>
  <c r="J944" i="9"/>
  <c r="AR1000" i="9"/>
  <c r="I1000" i="9"/>
  <c r="O891" i="9"/>
  <c r="AX891" i="9"/>
  <c r="Q872" i="9"/>
  <c r="R872" i="9"/>
  <c r="J863" i="9"/>
  <c r="K863" i="9"/>
  <c r="I860" i="9"/>
  <c r="AR860" i="9"/>
  <c r="H863" i="9"/>
  <c r="L833" i="9"/>
  <c r="AV833" i="9"/>
  <c r="O847" i="9"/>
  <c r="AX847" i="9"/>
  <c r="K845" i="9"/>
  <c r="J845" i="9"/>
  <c r="AR824" i="9"/>
  <c r="I824" i="9"/>
  <c r="R855" i="9"/>
  <c r="Q855" i="9"/>
  <c r="K817" i="9"/>
  <c r="J817" i="9"/>
  <c r="AR816" i="9"/>
  <c r="I816" i="9"/>
  <c r="AV805" i="9"/>
  <c r="L805" i="9"/>
  <c r="J829" i="9"/>
  <c r="K829" i="9"/>
  <c r="H802" i="9"/>
  <c r="AP802" i="9"/>
  <c r="H815" i="9"/>
  <c r="AP815" i="9"/>
  <c r="R851" i="9"/>
  <c r="Q851" i="9"/>
  <c r="J788" i="9"/>
  <c r="K788" i="9"/>
  <c r="AV789" i="9"/>
  <c r="L789" i="9"/>
  <c r="L763" i="9"/>
  <c r="AV763" i="9"/>
  <c r="AV776" i="9"/>
  <c r="AP769" i="9"/>
  <c r="H769" i="9"/>
  <c r="I804" i="9"/>
  <c r="AR804" i="9"/>
  <c r="I778" i="9"/>
  <c r="AX777" i="9"/>
  <c r="O777" i="9"/>
  <c r="AP721" i="9"/>
  <c r="H721" i="9"/>
  <c r="I727" i="9"/>
  <c r="AR727" i="9"/>
  <c r="R765" i="9"/>
  <c r="Q765" i="9"/>
  <c r="K749" i="9"/>
  <c r="J749" i="9"/>
  <c r="AR774" i="9"/>
  <c r="I774" i="9"/>
  <c r="AX745" i="9"/>
  <c r="O745" i="9"/>
  <c r="I740" i="9"/>
  <c r="AR740" i="9"/>
  <c r="AR741" i="9"/>
  <c r="I741" i="9"/>
  <c r="K731" i="9"/>
  <c r="J731" i="9"/>
  <c r="K713" i="9"/>
  <c r="J713" i="9"/>
  <c r="AR712" i="9"/>
  <c r="I712" i="9"/>
  <c r="BD723" i="9"/>
  <c r="W723" i="9"/>
  <c r="V723" i="9"/>
  <c r="Z723" i="9"/>
  <c r="AV714" i="9"/>
  <c r="L714" i="9"/>
  <c r="K673" i="9"/>
  <c r="J673" i="9"/>
  <c r="H657" i="9"/>
  <c r="J638" i="9"/>
  <c r="K638" i="9"/>
  <c r="AX689" i="9"/>
  <c r="O689" i="9"/>
  <c r="I673" i="9"/>
  <c r="AP728" i="9"/>
  <c r="H728" i="9"/>
  <c r="AR668" i="9"/>
  <c r="I668" i="9"/>
  <c r="J654" i="9"/>
  <c r="K654" i="9"/>
  <c r="AX735" i="9"/>
  <c r="O735" i="9"/>
  <c r="I706" i="9"/>
  <c r="I695" i="9"/>
  <c r="AR695" i="9"/>
  <c r="K666" i="9"/>
  <c r="J666" i="9"/>
  <c r="AV654" i="9"/>
  <c r="L654" i="9"/>
  <c r="I694" i="9"/>
  <c r="AR694" i="9"/>
  <c r="O618" i="9"/>
  <c r="AX618" i="9"/>
  <c r="K636" i="9"/>
  <c r="J636" i="9"/>
  <c r="I605" i="9"/>
  <c r="AR605" i="9"/>
  <c r="L653" i="9"/>
  <c r="H625" i="9"/>
  <c r="I609" i="9"/>
  <c r="AR609" i="9"/>
  <c r="P656" i="9"/>
  <c r="L611" i="9"/>
  <c r="AV611" i="9"/>
  <c r="R643" i="9"/>
  <c r="Q643" i="9"/>
  <c r="AV631" i="9"/>
  <c r="I602" i="9"/>
  <c r="AR602" i="9"/>
  <c r="H613" i="9"/>
  <c r="AR584" i="9"/>
  <c r="I584" i="9"/>
  <c r="R636" i="9"/>
  <c r="Q636" i="9"/>
  <c r="AX588" i="9"/>
  <c r="O588" i="9"/>
  <c r="O632" i="9"/>
  <c r="AX632" i="9"/>
  <c r="Q619" i="9"/>
  <c r="R619" i="9"/>
  <c r="Q608" i="9"/>
  <c r="R608" i="9"/>
  <c r="AR578" i="9"/>
  <c r="I578" i="9"/>
  <c r="H561" i="9"/>
  <c r="AP561" i="9"/>
  <c r="K540" i="9"/>
  <c r="J540" i="9"/>
  <c r="I568" i="9"/>
  <c r="AR568" i="9"/>
  <c r="AR600" i="9"/>
  <c r="I600" i="9"/>
  <c r="L556" i="9"/>
  <c r="AV556" i="9"/>
  <c r="O550" i="9"/>
  <c r="AX550" i="9"/>
  <c r="K592" i="9"/>
  <c r="J592" i="9"/>
  <c r="AS511" i="9"/>
  <c r="I511" i="9"/>
  <c r="O579" i="9"/>
  <c r="AX579" i="9"/>
  <c r="J501" i="9"/>
  <c r="K501" i="9"/>
  <c r="I473" i="9"/>
  <c r="R491" i="9"/>
  <c r="Q491" i="9"/>
  <c r="AX533" i="9"/>
  <c r="K491" i="9"/>
  <c r="J491" i="9"/>
  <c r="L518" i="9"/>
  <c r="AV518" i="9"/>
  <c r="AR506" i="9"/>
  <c r="I506" i="9"/>
  <c r="AQ492" i="9"/>
  <c r="H492" i="9"/>
  <c r="I531" i="9"/>
  <c r="AR531" i="9"/>
  <c r="AZ496" i="9"/>
  <c r="AV485" i="9"/>
  <c r="H519" i="9"/>
  <c r="O488" i="9"/>
  <c r="AX488" i="9"/>
  <c r="AP429" i="9"/>
  <c r="H429" i="9"/>
  <c r="AR450" i="9"/>
  <c r="I450" i="9"/>
  <c r="AR464" i="9"/>
  <c r="I464" i="9"/>
  <c r="AR510" i="9"/>
  <c r="I510" i="9"/>
  <c r="O454" i="9"/>
  <c r="AX454" i="9"/>
  <c r="L406" i="9"/>
  <c r="AV406" i="9"/>
  <c r="I396" i="9"/>
  <c r="AR396" i="9"/>
  <c r="L437" i="9"/>
  <c r="AV437" i="9"/>
  <c r="AR417" i="9"/>
  <c r="I417" i="9"/>
  <c r="O383" i="9"/>
  <c r="AX383" i="9"/>
  <c r="I435" i="9"/>
  <c r="AR435" i="9"/>
  <c r="AV411" i="9"/>
  <c r="L411" i="9"/>
  <c r="H386" i="9"/>
  <c r="AV366" i="9"/>
  <c r="L366" i="9"/>
  <c r="H378" i="9"/>
  <c r="AV397" i="9"/>
  <c r="L397" i="9"/>
  <c r="J371" i="9"/>
  <c r="K371" i="9"/>
  <c r="AV332" i="9"/>
  <c r="L332" i="9"/>
  <c r="R281" i="9"/>
  <c r="Q281" i="9"/>
  <c r="AP379" i="9"/>
  <c r="H379" i="9"/>
  <c r="AV358" i="9"/>
  <c r="L358" i="9"/>
  <c r="K321" i="9"/>
  <c r="J321" i="9"/>
  <c r="H297" i="9"/>
  <c r="AV371" i="9"/>
  <c r="Q326" i="9"/>
  <c r="R326" i="9"/>
  <c r="P314" i="9"/>
  <c r="AZ314" i="9"/>
  <c r="AV302" i="9"/>
  <c r="L302" i="9"/>
  <c r="AV377" i="9"/>
  <c r="L377" i="9"/>
  <c r="O290" i="9"/>
  <c r="AX290" i="9"/>
  <c r="AV393" i="9"/>
  <c r="L393" i="9"/>
  <c r="AR362" i="9"/>
  <c r="I362" i="9"/>
  <c r="K325" i="9"/>
  <c r="J325" i="9"/>
  <c r="K313" i="9"/>
  <c r="J313" i="9"/>
  <c r="AR301" i="9"/>
  <c r="I301" i="9"/>
  <c r="K283" i="9"/>
  <c r="J283" i="9"/>
  <c r="AV344" i="9"/>
  <c r="L344" i="9"/>
  <c r="AZ334" i="9"/>
  <c r="AZ318" i="9"/>
  <c r="I323" i="9"/>
  <c r="AR323" i="9"/>
  <c r="K273" i="9"/>
  <c r="J273" i="9"/>
  <c r="AV254" i="9"/>
  <c r="L254" i="9"/>
  <c r="I284" i="9"/>
  <c r="AR284" i="9"/>
  <c r="J262" i="9"/>
  <c r="K262" i="9"/>
  <c r="K255" i="9"/>
  <c r="J255" i="9"/>
  <c r="L313" i="9"/>
  <c r="AV313" i="9"/>
  <c r="I261" i="9"/>
  <c r="AR261" i="9"/>
  <c r="Q243" i="9"/>
  <c r="R243" i="9"/>
  <c r="K188" i="9"/>
  <c r="J188" i="9"/>
  <c r="L341" i="9"/>
  <c r="AV341" i="9"/>
  <c r="J205" i="9"/>
  <c r="K205" i="9"/>
  <c r="AR369" i="9"/>
  <c r="I369" i="9"/>
  <c r="AR277" i="9"/>
  <c r="I277" i="9"/>
  <c r="K183" i="9"/>
  <c r="J183" i="9"/>
  <c r="I272" i="9"/>
  <c r="AR272" i="9"/>
  <c r="L212" i="9"/>
  <c r="AV212" i="9"/>
  <c r="AX198" i="9"/>
  <c r="O198" i="9"/>
  <c r="I173" i="9"/>
  <c r="AR173" i="9"/>
  <c r="O208" i="9"/>
  <c r="AX208" i="9"/>
  <c r="I184" i="9"/>
  <c r="K185" i="9"/>
  <c r="J185" i="9"/>
  <c r="O164" i="9"/>
  <c r="AX164" i="9"/>
  <c r="I127" i="9"/>
  <c r="AR127" i="9"/>
  <c r="R164" i="9"/>
  <c r="Q164" i="9"/>
  <c r="I191" i="9"/>
  <c r="AR191" i="9"/>
  <c r="I107" i="9"/>
  <c r="AR107" i="9"/>
  <c r="I15" i="9"/>
  <c r="AR15" i="9"/>
  <c r="R165" i="9"/>
  <c r="Q165" i="9"/>
  <c r="J142" i="9"/>
  <c r="K142" i="9"/>
  <c r="AR122" i="9"/>
  <c r="I122" i="9"/>
  <c r="J47" i="9"/>
  <c r="K47" i="9"/>
  <c r="I27" i="9"/>
  <c r="AR27" i="9"/>
  <c r="AR74" i="9"/>
  <c r="I74" i="9"/>
  <c r="AR21" i="9"/>
  <c r="I21" i="9"/>
  <c r="AR143" i="9"/>
  <c r="I143" i="9"/>
  <c r="L16" i="9"/>
  <c r="AV16" i="9"/>
  <c r="R9" i="9"/>
  <c r="Q9" i="9"/>
  <c r="O49" i="9"/>
  <c r="AX49" i="9"/>
  <c r="H140" i="9"/>
  <c r="AP140" i="9"/>
  <c r="J108" i="9"/>
  <c r="K108" i="9"/>
  <c r="AR101" i="9"/>
  <c r="I101" i="9"/>
  <c r="J90" i="9"/>
  <c r="K90" i="9"/>
  <c r="BB54" i="9"/>
  <c r="S54" i="9"/>
  <c r="I23" i="9"/>
  <c r="AR23" i="9"/>
  <c r="P9" i="9"/>
  <c r="AZ9" i="9"/>
  <c r="L288" i="9"/>
  <c r="I98" i="9"/>
  <c r="AR98" i="9"/>
  <c r="I3" i="9"/>
  <c r="AR3" i="9"/>
  <c r="AR139" i="9"/>
  <c r="I139" i="9"/>
  <c r="H128" i="9"/>
  <c r="AP128" i="9"/>
  <c r="H89" i="9"/>
  <c r="AP89" i="9"/>
  <c r="I63" i="9"/>
  <c r="AR63" i="9"/>
  <c r="O34" i="9"/>
  <c r="AX34" i="9"/>
  <c r="L29" i="9"/>
  <c r="AV29" i="9"/>
  <c r="R14" i="9"/>
  <c r="Q14" i="9"/>
  <c r="R134" i="9"/>
  <c r="Q134" i="9"/>
  <c r="O10" i="9"/>
  <c r="AX10" i="9"/>
  <c r="Q991" i="9"/>
  <c r="R991" i="9"/>
  <c r="AQ966" i="9"/>
  <c r="H966" i="9"/>
  <c r="AP962" i="9"/>
  <c r="H962" i="9"/>
  <c r="AZ911" i="9"/>
  <c r="I909" i="9"/>
  <c r="AR909" i="9"/>
  <c r="J888" i="9"/>
  <c r="K888" i="9"/>
  <c r="K841" i="9"/>
  <c r="J841" i="9"/>
  <c r="H818" i="9"/>
  <c r="AP818" i="9"/>
  <c r="AP768" i="9"/>
  <c r="H768" i="9"/>
  <c r="Q723" i="9"/>
  <c r="R723" i="9"/>
  <c r="AP736" i="9"/>
  <c r="H736" i="9"/>
  <c r="I726" i="9"/>
  <c r="AR726" i="9"/>
  <c r="AR688" i="9"/>
  <c r="I688" i="9"/>
  <c r="Q656" i="9"/>
  <c r="R656" i="9"/>
  <c r="AR616" i="9"/>
  <c r="I616" i="9"/>
  <c r="R580" i="9"/>
  <c r="Q580" i="9"/>
  <c r="I555" i="9"/>
  <c r="AR555" i="9"/>
  <c r="I569" i="9"/>
  <c r="AR569" i="9"/>
  <c r="AR1002" i="9"/>
  <c r="I1002" i="9"/>
  <c r="J960" i="9"/>
  <c r="K960" i="9"/>
  <c r="AP927" i="9"/>
  <c r="H927" i="9"/>
  <c r="AP923" i="9"/>
  <c r="H923" i="9"/>
  <c r="J892" i="9"/>
  <c r="K892" i="9"/>
  <c r="K875" i="9"/>
  <c r="J875" i="9"/>
  <c r="R891" i="9"/>
  <c r="Q891" i="9"/>
  <c r="AR867" i="9"/>
  <c r="I867" i="9"/>
  <c r="K798" i="9"/>
  <c r="J798" i="9"/>
  <c r="AR826" i="9"/>
  <c r="I826" i="9"/>
  <c r="AP785" i="9"/>
  <c r="H785" i="9"/>
  <c r="Q784" i="9"/>
  <c r="R784" i="9"/>
  <c r="AV778" i="9"/>
  <c r="L778" i="9"/>
  <c r="R745" i="9"/>
  <c r="Q745" i="9"/>
  <c r="O742" i="9"/>
  <c r="AX742" i="9"/>
  <c r="L749" i="9"/>
  <c r="AV749" i="9"/>
  <c r="AZ687" i="9"/>
  <c r="I637" i="9"/>
  <c r="AR637" i="9"/>
  <c r="AV673" i="9"/>
  <c r="L673" i="9"/>
  <c r="AV671" i="9"/>
  <c r="I560" i="9"/>
  <c r="AR560" i="9"/>
  <c r="AX608" i="9"/>
  <c r="O608" i="9"/>
  <c r="I573" i="9"/>
  <c r="AR573" i="9"/>
  <c r="K561" i="9"/>
  <c r="J561" i="9"/>
  <c r="H592" i="9"/>
  <c r="AP592" i="9"/>
  <c r="I507" i="9"/>
  <c r="AS507" i="9"/>
  <c r="AQ476" i="9"/>
  <c r="H476" i="9"/>
  <c r="AV505" i="9"/>
  <c r="K528" i="9"/>
  <c r="J528" i="9"/>
  <c r="AR445" i="9"/>
  <c r="I445" i="9"/>
  <c r="AR449" i="9"/>
  <c r="I449" i="9"/>
  <c r="I426" i="9"/>
  <c r="AR426" i="9"/>
  <c r="J443" i="9"/>
  <c r="K443" i="9"/>
  <c r="AV469" i="9"/>
  <c r="L469" i="9"/>
  <c r="K438" i="9"/>
  <c r="J438" i="9"/>
  <c r="I439" i="9"/>
  <c r="AR439" i="9"/>
  <c r="I422" i="9"/>
  <c r="K402" i="9"/>
  <c r="J402" i="9"/>
  <c r="J394" i="9"/>
  <c r="K394" i="9"/>
  <c r="I386" i="9"/>
  <c r="AR386" i="9"/>
  <c r="H423" i="9"/>
  <c r="AP423" i="9"/>
  <c r="I400" i="9"/>
  <c r="AR400" i="9"/>
  <c r="R381" i="9"/>
  <c r="Q381" i="9"/>
  <c r="K361" i="9"/>
  <c r="J361" i="9"/>
  <c r="AV407" i="9"/>
  <c r="L407" i="9"/>
  <c r="I378" i="9"/>
  <c r="AR378" i="9"/>
  <c r="H352" i="9"/>
  <c r="AP352" i="9"/>
  <c r="AV316" i="9"/>
  <c r="L316" i="9"/>
  <c r="K297" i="9"/>
  <c r="J297" i="9"/>
  <c r="AR361" i="9"/>
  <c r="I361" i="9"/>
  <c r="AR353" i="9"/>
  <c r="I353" i="9"/>
  <c r="AR297" i="9"/>
  <c r="I297" i="9"/>
  <c r="K337" i="9"/>
  <c r="J337" i="9"/>
  <c r="AV336" i="9"/>
  <c r="L336" i="9"/>
  <c r="I307" i="9"/>
  <c r="AR307" i="9"/>
  <c r="AP289" i="9"/>
  <c r="H289" i="9"/>
  <c r="K341" i="9"/>
  <c r="J341" i="9"/>
  <c r="AR279" i="9"/>
  <c r="I279" i="9"/>
  <c r="L310" i="9"/>
  <c r="I267" i="9"/>
  <c r="AR267" i="9"/>
  <c r="J260" i="9"/>
  <c r="K260" i="9"/>
  <c r="AR255" i="9"/>
  <c r="I255" i="9"/>
  <c r="O243" i="9"/>
  <c r="AX243" i="9"/>
  <c r="I221" i="9"/>
  <c r="AR221" i="9"/>
  <c r="AR177" i="9"/>
  <c r="I177" i="9"/>
  <c r="K327" i="9"/>
  <c r="J327" i="9"/>
  <c r="AR245" i="9"/>
  <c r="I245" i="9"/>
  <c r="AV276" i="9"/>
  <c r="L276" i="9"/>
  <c r="K242" i="9"/>
  <c r="J242" i="9"/>
  <c r="I225" i="9"/>
  <c r="AR225" i="9"/>
  <c r="I205" i="9"/>
  <c r="AR205" i="9"/>
  <c r="AR253" i="9"/>
  <c r="I253" i="9"/>
  <c r="K226" i="9"/>
  <c r="J226" i="9"/>
  <c r="J182" i="9"/>
  <c r="K182" i="9"/>
  <c r="I248" i="9"/>
  <c r="AR248" i="9"/>
  <c r="AR218" i="9"/>
  <c r="I218" i="9"/>
  <c r="R198" i="9"/>
  <c r="Q198" i="9"/>
  <c r="I190" i="9"/>
  <c r="AR190" i="9"/>
  <c r="AR234" i="9"/>
  <c r="I234" i="9"/>
  <c r="R208" i="9"/>
  <c r="Q208" i="9"/>
  <c r="AV184" i="9"/>
  <c r="L184" i="9"/>
  <c r="L196" i="9"/>
  <c r="AV196" i="9"/>
  <c r="AR176" i="9"/>
  <c r="I176" i="9"/>
  <c r="AP155" i="9"/>
  <c r="H155" i="9"/>
  <c r="L192" i="9"/>
  <c r="AV192" i="9"/>
  <c r="H125" i="9"/>
  <c r="AP125" i="9"/>
  <c r="J51" i="9"/>
  <c r="K51" i="9"/>
  <c r="O165" i="9"/>
  <c r="AX165" i="9"/>
  <c r="I11" i="9"/>
  <c r="AR11" i="9"/>
  <c r="O77" i="9"/>
  <c r="AX77" i="9"/>
  <c r="AX57" i="9"/>
  <c r="L48" i="9"/>
  <c r="AV48" i="9"/>
  <c r="Q41" i="9"/>
  <c r="R41" i="9"/>
  <c r="I31" i="9"/>
  <c r="AR31" i="9"/>
  <c r="L40" i="9"/>
  <c r="AV40" i="9"/>
  <c r="J140" i="9"/>
  <c r="K140" i="9"/>
  <c r="H108" i="9"/>
  <c r="AP108" i="9"/>
  <c r="L28" i="9"/>
  <c r="AV28" i="9"/>
  <c r="J87" i="9"/>
  <c r="K87" i="9"/>
  <c r="R22" i="9"/>
  <c r="Q22" i="9"/>
  <c r="P41" i="9"/>
  <c r="AZ41" i="9"/>
  <c r="AR5" i="9"/>
  <c r="I5" i="9"/>
  <c r="AR69" i="9"/>
  <c r="I69" i="9"/>
  <c r="O104" i="9"/>
  <c r="AX104" i="9"/>
  <c r="AX288" i="9"/>
  <c r="O288" i="9"/>
  <c r="J128" i="9"/>
  <c r="K128" i="9"/>
  <c r="J99" i="9"/>
  <c r="K99" i="9"/>
  <c r="R77" i="9"/>
  <c r="Q77" i="9"/>
  <c r="L24" i="9"/>
  <c r="AV24" i="9"/>
  <c r="R58" i="9"/>
  <c r="Q58" i="9"/>
  <c r="O14" i="9"/>
  <c r="AX14" i="9"/>
  <c r="L45" i="9"/>
  <c r="AV45" i="9"/>
  <c r="AR72" i="9"/>
  <c r="I72" i="9"/>
  <c r="L13" i="9"/>
  <c r="AV13" i="9"/>
  <c r="AR864" i="9"/>
  <c r="I864" i="9"/>
  <c r="I827" i="9"/>
  <c r="AR827" i="9"/>
  <c r="O840" i="9"/>
  <c r="AX840" i="9"/>
  <c r="AR787" i="9"/>
  <c r="I787" i="9"/>
  <c r="I801" i="9"/>
  <c r="AR801" i="9"/>
  <c r="K717" i="9"/>
  <c r="J717" i="9"/>
  <c r="H710" i="9"/>
  <c r="J686" i="9"/>
  <c r="K686" i="9"/>
  <c r="AV700" i="9"/>
  <c r="L700" i="9"/>
  <c r="K606" i="9"/>
  <c r="J606" i="9"/>
  <c r="AV630" i="9"/>
  <c r="L630" i="9"/>
  <c r="K576" i="9"/>
  <c r="J576" i="9"/>
  <c r="AV530" i="9"/>
  <c r="L530" i="9"/>
  <c r="AZ492" i="9"/>
  <c r="J424" i="9"/>
  <c r="K424" i="9"/>
  <c r="R969" i="9"/>
  <c r="Q969" i="9"/>
  <c r="AX932" i="9"/>
  <c r="O932" i="9"/>
  <c r="R888" i="9"/>
  <c r="Q888" i="9"/>
  <c r="P855" i="9"/>
  <c r="AZ855" i="9"/>
  <c r="K815" i="9"/>
  <c r="J815" i="9"/>
  <c r="J769" i="9"/>
  <c r="K769" i="9"/>
  <c r="AV665" i="9"/>
  <c r="L665" i="9"/>
  <c r="K605" i="9"/>
  <c r="J605" i="9"/>
  <c r="I625" i="9"/>
  <c r="AR625" i="9"/>
  <c r="I635" i="9"/>
  <c r="AR635" i="9"/>
  <c r="J617" i="9"/>
  <c r="K617" i="9"/>
  <c r="K582" i="9"/>
  <c r="J582" i="9"/>
  <c r="AR574" i="9"/>
  <c r="I574" i="9"/>
  <c r="I547" i="9"/>
  <c r="AR547" i="9"/>
  <c r="R576" i="9"/>
  <c r="Q576" i="9"/>
  <c r="L537" i="9"/>
  <c r="AV537" i="9"/>
  <c r="AZ500" i="9"/>
  <c r="AV482" i="9"/>
  <c r="L482" i="9"/>
  <c r="AV497" i="9"/>
  <c r="L497" i="9"/>
  <c r="AV478" i="9"/>
  <c r="L478" i="9"/>
  <c r="K473" i="9"/>
  <c r="J473" i="9"/>
  <c r="AR522" i="9"/>
  <c r="I522" i="9"/>
  <c r="AR512" i="9"/>
  <c r="I512" i="9"/>
  <c r="J999" i="9"/>
  <c r="K999" i="9"/>
  <c r="I980" i="9"/>
  <c r="AR980" i="9"/>
  <c r="J990" i="9"/>
  <c r="K990" i="9"/>
  <c r="J981" i="9"/>
  <c r="K981" i="9"/>
  <c r="I967" i="9"/>
  <c r="AR988" i="9"/>
  <c r="I988" i="9"/>
  <c r="I974" i="9"/>
  <c r="AV965" i="9"/>
  <c r="L965" i="9"/>
  <c r="K950" i="9"/>
  <c r="J950" i="9"/>
  <c r="H960" i="9"/>
  <c r="K946" i="9"/>
  <c r="J946" i="9"/>
  <c r="AV941" i="9"/>
  <c r="L941" i="9"/>
  <c r="AZ953" i="9"/>
  <c r="AW943" i="9"/>
  <c r="L943" i="9"/>
  <c r="H957" i="9"/>
  <c r="AP957" i="9"/>
  <c r="L934" i="9"/>
  <c r="AV934" i="9"/>
  <c r="H921" i="9"/>
  <c r="I912" i="9"/>
  <c r="AR912" i="9"/>
  <c r="L902" i="9"/>
  <c r="AV902" i="9"/>
  <c r="AR924" i="9"/>
  <c r="I924" i="9"/>
  <c r="H928" i="9"/>
  <c r="AP928" i="9"/>
  <c r="I884" i="9"/>
  <c r="AR884" i="9"/>
  <c r="AP896" i="9"/>
  <c r="H896" i="9"/>
  <c r="L878" i="9"/>
  <c r="AV878" i="9"/>
  <c r="I870" i="9"/>
  <c r="AR870" i="9"/>
  <c r="R915" i="9"/>
  <c r="Q915" i="9"/>
  <c r="O890" i="9"/>
  <c r="AX890" i="9"/>
  <c r="I913" i="9"/>
  <c r="AR913" i="9"/>
  <c r="O876" i="9"/>
  <c r="AX876" i="9"/>
  <c r="Y866" i="9"/>
  <c r="X866" i="9"/>
  <c r="L857" i="9"/>
  <c r="AV857" i="9"/>
  <c r="AX888" i="9"/>
  <c r="O888" i="9"/>
  <c r="L853" i="9"/>
  <c r="AV853" i="9"/>
  <c r="AR828" i="9"/>
  <c r="I828" i="9"/>
  <c r="AR850" i="9"/>
  <c r="I850" i="9"/>
  <c r="I821" i="9"/>
  <c r="AR821" i="9"/>
  <c r="L814" i="9"/>
  <c r="AV814" i="9"/>
  <c r="L832" i="9"/>
  <c r="K830" i="9"/>
  <c r="J830" i="9"/>
  <c r="I844" i="9"/>
  <c r="AR844" i="9"/>
  <c r="I823" i="9"/>
  <c r="AR823" i="9"/>
  <c r="AV859" i="9"/>
  <c r="L859" i="9"/>
  <c r="AX794" i="9"/>
  <c r="O794" i="9"/>
  <c r="L834" i="9"/>
  <c r="AV834" i="9"/>
  <c r="K791" i="9"/>
  <c r="J791" i="9"/>
  <c r="O783" i="9"/>
  <c r="AX783" i="9"/>
  <c r="AV755" i="9"/>
  <c r="L755" i="9"/>
  <c r="AX784" i="9"/>
  <c r="O784" i="9"/>
  <c r="K778" i="9"/>
  <c r="J778" i="9"/>
  <c r="H778" i="9"/>
  <c r="O772" i="9"/>
  <c r="AX772" i="9"/>
  <c r="I746" i="9"/>
  <c r="AR746" i="9"/>
  <c r="AV762" i="9"/>
  <c r="L762" i="9"/>
  <c r="AQ775" i="9"/>
  <c r="H775" i="9"/>
  <c r="I748" i="9"/>
  <c r="AR748" i="9"/>
  <c r="K735" i="9"/>
  <c r="J735" i="9"/>
  <c r="AX739" i="9"/>
  <c r="O739" i="9"/>
  <c r="R742" i="9"/>
  <c r="Q742" i="9"/>
  <c r="AR737" i="9"/>
  <c r="I737" i="9"/>
  <c r="AR753" i="9"/>
  <c r="I753" i="9"/>
  <c r="O711" i="9"/>
  <c r="AX711" i="9"/>
  <c r="K720" i="9"/>
  <c r="J720" i="9"/>
  <c r="L710" i="9"/>
  <c r="AV710" i="9"/>
  <c r="AR684" i="9"/>
  <c r="I684" i="9"/>
  <c r="AZ685" i="9"/>
  <c r="AV678" i="9"/>
  <c r="L678" i="9"/>
  <c r="AV666" i="9"/>
  <c r="L666" i="9"/>
  <c r="K656" i="9"/>
  <c r="J656" i="9"/>
  <c r="K637" i="9"/>
  <c r="J637" i="9"/>
  <c r="J665" i="9"/>
  <c r="K665" i="9"/>
  <c r="AX663" i="9"/>
  <c r="O663" i="9"/>
  <c r="K652" i="9"/>
  <c r="J652" i="9"/>
  <c r="AR646" i="9"/>
  <c r="I646" i="9"/>
  <c r="I681" i="9"/>
  <c r="AR681" i="9"/>
  <c r="K653" i="9"/>
  <c r="J653" i="9"/>
  <c r="O624" i="9"/>
  <c r="AX624" i="9"/>
  <c r="Q614" i="9"/>
  <c r="R614" i="9"/>
  <c r="AZ641" i="9"/>
  <c r="I633" i="9"/>
  <c r="AR633" i="9"/>
  <c r="K647" i="9"/>
  <c r="J647" i="9"/>
  <c r="AR652" i="9"/>
  <c r="I652" i="9"/>
  <c r="K630" i="9"/>
  <c r="J630" i="9"/>
  <c r="K641" i="9"/>
  <c r="J641" i="9"/>
  <c r="K596" i="9"/>
  <c r="J596" i="9"/>
  <c r="AX655" i="9"/>
  <c r="O655" i="9"/>
  <c r="J609" i="9"/>
  <c r="K609" i="9"/>
  <c r="K610" i="9"/>
  <c r="J610" i="9"/>
  <c r="I589" i="9"/>
  <c r="AR589" i="9"/>
  <c r="K580" i="9"/>
  <c r="J580" i="9"/>
  <c r="I597" i="9"/>
  <c r="AR597" i="9"/>
  <c r="J581" i="9"/>
  <c r="K581" i="9"/>
  <c r="I559" i="9"/>
  <c r="AR559" i="9"/>
  <c r="H628" i="9"/>
  <c r="AP628" i="9"/>
  <c r="K586" i="9"/>
  <c r="J586" i="9"/>
  <c r="AR594" i="9"/>
  <c r="I594" i="9"/>
  <c r="AR572" i="9"/>
  <c r="I572" i="9"/>
  <c r="K560" i="9"/>
  <c r="J560" i="9"/>
  <c r="AR536" i="9"/>
  <c r="I536" i="9"/>
  <c r="AR542" i="9"/>
  <c r="I542" i="9"/>
  <c r="AR548" i="9"/>
  <c r="I548" i="9"/>
  <c r="K538" i="9"/>
  <c r="J538" i="9"/>
  <c r="AS503" i="9"/>
  <c r="I503" i="9"/>
  <c r="O576" i="9"/>
  <c r="AX576" i="9"/>
  <c r="O540" i="9"/>
  <c r="AX540" i="9"/>
  <c r="AV481" i="9"/>
  <c r="L481" i="9"/>
  <c r="AQ472" i="9"/>
  <c r="H472" i="9"/>
  <c r="I499" i="9"/>
  <c r="AR532" i="9"/>
  <c r="I532" i="9"/>
  <c r="K516" i="9"/>
  <c r="J516" i="9"/>
  <c r="AV477" i="9"/>
  <c r="L477" i="9"/>
  <c r="AS495" i="9"/>
  <c r="I495" i="9"/>
  <c r="L525" i="9"/>
  <c r="AV525" i="9"/>
  <c r="AV493" i="9"/>
  <c r="L493" i="9"/>
  <c r="AZ476" i="9"/>
  <c r="J455" i="9"/>
  <c r="K455" i="9"/>
  <c r="I431" i="9"/>
  <c r="AR431" i="9"/>
  <c r="H528" i="9"/>
  <c r="AP528" i="9"/>
  <c r="I462" i="9"/>
  <c r="AR462" i="9"/>
  <c r="AP440" i="9"/>
  <c r="H440" i="9"/>
  <c r="K485" i="9"/>
  <c r="J485" i="9"/>
  <c r="I455" i="9"/>
  <c r="AR455" i="9"/>
  <c r="R442" i="9"/>
  <c r="Q442" i="9"/>
  <c r="O467" i="9"/>
  <c r="AX467" i="9"/>
  <c r="BB495" i="9"/>
  <c r="AR448" i="9"/>
  <c r="I448" i="9"/>
  <c r="L422" i="9"/>
  <c r="AV422" i="9"/>
  <c r="S381" i="9"/>
  <c r="BB381" i="9"/>
  <c r="AV404" i="9"/>
  <c r="L404" i="9"/>
  <c r="K414" i="9"/>
  <c r="J414" i="9"/>
  <c r="K423" i="9"/>
  <c r="J423" i="9"/>
  <c r="H345" i="9"/>
  <c r="AR413" i="9"/>
  <c r="I413" i="9"/>
  <c r="I392" i="9"/>
  <c r="AR392" i="9"/>
  <c r="AV403" i="9"/>
  <c r="L403" i="9"/>
  <c r="I374" i="9"/>
  <c r="AR374" i="9"/>
  <c r="AV367" i="9"/>
  <c r="J352" i="9"/>
  <c r="K352" i="9"/>
  <c r="K315" i="9"/>
  <c r="J315" i="9"/>
  <c r="H398" i="9"/>
  <c r="Q342" i="9"/>
  <c r="R342" i="9"/>
  <c r="I315" i="9"/>
  <c r="AR315" i="9"/>
  <c r="K295" i="9"/>
  <c r="J295" i="9"/>
  <c r="AV391" i="9"/>
  <c r="L391" i="9"/>
  <c r="AV359" i="9"/>
  <c r="L359" i="9"/>
  <c r="I295" i="9"/>
  <c r="AR295" i="9"/>
  <c r="K335" i="9"/>
  <c r="J335" i="9"/>
  <c r="H335" i="9"/>
  <c r="L321" i="9"/>
  <c r="AV321" i="9"/>
  <c r="I309" i="9"/>
  <c r="AV294" i="9"/>
  <c r="L294" i="9"/>
  <c r="AV385" i="9"/>
  <c r="L385" i="9"/>
  <c r="K248" i="9"/>
  <c r="J248" i="9"/>
  <c r="I339" i="9"/>
  <c r="AR339" i="9"/>
  <c r="AP264" i="9"/>
  <c r="H264" i="9"/>
  <c r="AR251" i="9"/>
  <c r="I251" i="9"/>
  <c r="O310" i="9"/>
  <c r="AX310" i="9"/>
  <c r="AR259" i="9"/>
  <c r="I259" i="9"/>
  <c r="H255" i="9"/>
  <c r="Q239" i="9"/>
  <c r="R239" i="9"/>
  <c r="I229" i="9"/>
  <c r="AR229" i="9"/>
  <c r="K303" i="9"/>
  <c r="J303" i="9"/>
  <c r="K222" i="9"/>
  <c r="J222" i="9"/>
  <c r="H203" i="9"/>
  <c r="AP203" i="9"/>
  <c r="K181" i="9"/>
  <c r="J181" i="9"/>
  <c r="I193" i="9"/>
  <c r="AR193" i="9"/>
  <c r="AP170" i="9"/>
  <c r="H170" i="9"/>
  <c r="AR268" i="9"/>
  <c r="I268" i="9"/>
  <c r="L227" i="9"/>
  <c r="AV227" i="9"/>
  <c r="L175" i="9"/>
  <c r="AV175" i="9"/>
  <c r="AR152" i="9"/>
  <c r="I152" i="9"/>
  <c r="L231" i="9"/>
  <c r="AV231" i="9"/>
  <c r="AR146" i="9"/>
  <c r="I146" i="9"/>
  <c r="H187" i="9"/>
  <c r="AP187" i="9"/>
  <c r="AX179" i="9"/>
  <c r="O179" i="9"/>
  <c r="J125" i="9"/>
  <c r="K125" i="9"/>
  <c r="J88" i="9"/>
  <c r="K88" i="9"/>
  <c r="AR38" i="9"/>
  <c r="I38" i="9"/>
  <c r="K163" i="9"/>
  <c r="J163" i="9"/>
  <c r="I115" i="9"/>
  <c r="AR115" i="9"/>
  <c r="AP60" i="9"/>
  <c r="H60" i="9"/>
  <c r="P22" i="9"/>
  <c r="AZ22" i="9"/>
  <c r="J133" i="9"/>
  <c r="K133" i="9"/>
  <c r="L131" i="9"/>
  <c r="AV131" i="9"/>
  <c r="I59" i="9"/>
  <c r="AR59" i="9"/>
  <c r="I123" i="9"/>
  <c r="AR123" i="9"/>
  <c r="L37" i="9"/>
  <c r="I7" i="9"/>
  <c r="AR7" i="9"/>
  <c r="L44" i="9"/>
  <c r="AV44" i="9"/>
  <c r="AR148" i="9"/>
  <c r="I148" i="9"/>
  <c r="I120" i="9"/>
  <c r="AR120" i="9"/>
  <c r="L93" i="9"/>
  <c r="AV93" i="9"/>
  <c r="H87" i="9"/>
  <c r="AP87" i="9"/>
  <c r="J119" i="9"/>
  <c r="K119" i="9"/>
  <c r="J39" i="9"/>
  <c r="K39" i="9"/>
  <c r="R104" i="9"/>
  <c r="Q104" i="9"/>
  <c r="AR197" i="9"/>
  <c r="I197" i="9"/>
  <c r="AR94" i="9"/>
  <c r="I94" i="9"/>
  <c r="L100" i="9"/>
  <c r="AV100" i="9"/>
  <c r="R150" i="9"/>
  <c r="Q150" i="9"/>
  <c r="H99" i="9"/>
  <c r="AP99" i="9"/>
  <c r="AR88" i="9"/>
  <c r="I88" i="9"/>
  <c r="R30" i="9"/>
  <c r="Q30" i="9"/>
  <c r="L81" i="9"/>
  <c r="AV81" i="9"/>
  <c r="R50" i="9"/>
  <c r="Q50" i="9"/>
  <c r="AR942" i="9"/>
  <c r="I942" i="9"/>
  <c r="H940" i="9"/>
  <c r="I879" i="9"/>
  <c r="AR879" i="9"/>
  <c r="AP897" i="9"/>
  <c r="H897" i="9"/>
  <c r="L838" i="9"/>
  <c r="AV838" i="9"/>
  <c r="AR808" i="9"/>
  <c r="I808" i="9"/>
  <c r="AP729" i="9"/>
  <c r="H729" i="9"/>
  <c r="AR752" i="9"/>
  <c r="I752" i="9"/>
  <c r="AR725" i="9"/>
  <c r="I725" i="9"/>
  <c r="Q707" i="9"/>
  <c r="R707" i="9"/>
  <c r="AQ674" i="9"/>
  <c r="H674" i="9"/>
  <c r="K548" i="9"/>
  <c r="J548" i="9"/>
  <c r="AP526" i="9"/>
  <c r="H526" i="9"/>
  <c r="AQ986" i="9"/>
  <c r="H986" i="9"/>
  <c r="AR960" i="9"/>
  <c r="I960" i="9"/>
  <c r="BB943" i="9"/>
  <c r="J957" i="9"/>
  <c r="K957" i="9"/>
  <c r="AR921" i="9"/>
  <c r="I921" i="9"/>
  <c r="AR950" i="9"/>
  <c r="I950" i="9"/>
  <c r="J896" i="9"/>
  <c r="K896" i="9"/>
  <c r="AW895" i="9"/>
  <c r="L895" i="9"/>
  <c r="AR871" i="9"/>
  <c r="I871" i="9"/>
  <c r="AS930" i="9"/>
  <c r="I930" i="9"/>
  <c r="J836" i="9"/>
  <c r="K836" i="9"/>
  <c r="AR831" i="9"/>
  <c r="I831" i="9"/>
  <c r="AR839" i="9"/>
  <c r="I839" i="9"/>
  <c r="H824" i="9"/>
  <c r="AR820" i="9"/>
  <c r="I820" i="9"/>
  <c r="AV795" i="9"/>
  <c r="L795" i="9"/>
  <c r="K772" i="9"/>
  <c r="J772" i="9"/>
  <c r="AX780" i="9"/>
  <c r="R777" i="9"/>
  <c r="Q777" i="9"/>
  <c r="J727" i="9"/>
  <c r="K727" i="9"/>
  <c r="R739" i="9"/>
  <c r="Q739" i="9"/>
  <c r="AP731" i="9"/>
  <c r="H731" i="9"/>
  <c r="I710" i="9"/>
  <c r="AR649" i="9"/>
  <c r="I649" i="9"/>
  <c r="AP647" i="9"/>
  <c r="H647" i="9"/>
  <c r="S656" i="9"/>
  <c r="BB656" i="9"/>
  <c r="I641" i="9"/>
  <c r="AS641" i="9"/>
  <c r="AV658" i="9"/>
  <c r="L658" i="9"/>
  <c r="K628" i="9"/>
  <c r="J628" i="9"/>
  <c r="R632" i="9"/>
  <c r="Q632" i="9"/>
  <c r="AP999" i="9"/>
  <c r="H999" i="9"/>
  <c r="L971" i="9"/>
  <c r="AV971" i="9"/>
  <c r="H955" i="9"/>
  <c r="AP955" i="9"/>
  <c r="H946" i="9"/>
  <c r="AV933" i="9"/>
  <c r="L933" i="9"/>
  <c r="I951" i="9"/>
  <c r="L929" i="9"/>
  <c r="AV929" i="9"/>
  <c r="L918" i="9"/>
  <c r="AV918" i="9"/>
  <c r="I887" i="9"/>
  <c r="AR887" i="9"/>
  <c r="K928" i="9"/>
  <c r="J928" i="9"/>
  <c r="L903" i="9"/>
  <c r="AV903" i="9"/>
  <c r="BB895" i="9"/>
  <c r="I889" i="9"/>
  <c r="AR889" i="9"/>
  <c r="K870" i="9"/>
  <c r="J870" i="9"/>
  <c r="Q869" i="9"/>
  <c r="R869" i="9"/>
  <c r="O915" i="9"/>
  <c r="AX915" i="9"/>
  <c r="R890" i="9"/>
  <c r="Q890" i="9"/>
  <c r="Q876" i="9"/>
  <c r="R876" i="9"/>
  <c r="L894" i="9"/>
  <c r="AV894" i="9"/>
  <c r="K874" i="9"/>
  <c r="J874" i="9"/>
  <c r="AR845" i="9"/>
  <c r="I845" i="9"/>
  <c r="J825" i="9"/>
  <c r="K825" i="9"/>
  <c r="J813" i="9"/>
  <c r="K813" i="9"/>
  <c r="L842" i="9"/>
  <c r="AV842" i="9"/>
  <c r="J832" i="9"/>
  <c r="K832" i="9"/>
  <c r="AX832" i="9"/>
  <c r="O832" i="9"/>
  <c r="AP830" i="9"/>
  <c r="H830" i="9"/>
  <c r="BB843" i="9"/>
  <c r="S843" i="9"/>
  <c r="K782" i="9"/>
  <c r="J782" i="9"/>
  <c r="H800" i="9"/>
  <c r="AP800" i="9"/>
  <c r="AX790" i="9"/>
  <c r="O790" i="9"/>
  <c r="AV775" i="9"/>
  <c r="I766" i="9"/>
  <c r="AR766" i="9"/>
  <c r="AR770" i="9"/>
  <c r="I770" i="9"/>
  <c r="R772" i="9"/>
  <c r="Q772" i="9"/>
  <c r="J775" i="9"/>
  <c r="K775" i="9"/>
  <c r="AV758" i="9"/>
  <c r="L758" i="9"/>
  <c r="P734" i="9"/>
  <c r="AZ734" i="9"/>
  <c r="AV718" i="9"/>
  <c r="L718" i="9"/>
  <c r="R724" i="9"/>
  <c r="Q724" i="9"/>
  <c r="AP720" i="9"/>
  <c r="H720" i="9"/>
  <c r="K702" i="9"/>
  <c r="J702" i="9"/>
  <c r="L699" i="9"/>
  <c r="AV699" i="9"/>
  <c r="I683" i="9"/>
  <c r="AR683" i="9"/>
  <c r="K658" i="9"/>
  <c r="J658" i="9"/>
  <c r="R703" i="9"/>
  <c r="Q703" i="9"/>
  <c r="AZ686" i="9"/>
  <c r="AP651" i="9"/>
  <c r="H651" i="9"/>
  <c r="AV675" i="9"/>
  <c r="L675" i="9"/>
  <c r="AQ642" i="9"/>
  <c r="H642" i="9"/>
  <c r="AR705" i="9"/>
  <c r="I705" i="9"/>
  <c r="H661" i="9"/>
  <c r="I650" i="9"/>
  <c r="AR650" i="9"/>
  <c r="J685" i="9"/>
  <c r="K685" i="9"/>
  <c r="AV662" i="9"/>
  <c r="L662" i="9"/>
  <c r="R624" i="9"/>
  <c r="Q624" i="9"/>
  <c r="O614" i="9"/>
  <c r="AX614" i="9"/>
  <c r="I621" i="9"/>
  <c r="AR621" i="9"/>
  <c r="J613" i="9"/>
  <c r="K613" i="9"/>
  <c r="R655" i="9"/>
  <c r="Q655" i="9"/>
  <c r="I629" i="9"/>
  <c r="AR629" i="9"/>
  <c r="AP610" i="9"/>
  <c r="H610" i="9"/>
  <c r="AV585" i="9"/>
  <c r="L585" i="9"/>
  <c r="Q590" i="9"/>
  <c r="R590" i="9"/>
  <c r="J602" i="9"/>
  <c r="K602" i="9"/>
  <c r="AV598" i="9"/>
  <c r="L598" i="9"/>
  <c r="I558" i="9"/>
  <c r="AR558" i="9"/>
  <c r="L607" i="9"/>
  <c r="AV607" i="9"/>
  <c r="AR570" i="9"/>
  <c r="I570" i="9"/>
  <c r="AR544" i="9"/>
  <c r="I544" i="9"/>
  <c r="AQ529" i="9"/>
  <c r="H529" i="9"/>
  <c r="I581" i="9"/>
  <c r="AR581" i="9"/>
  <c r="AR557" i="9"/>
  <c r="I557" i="9"/>
  <c r="AV553" i="9"/>
  <c r="AQ533" i="9"/>
  <c r="H533" i="9"/>
  <c r="H499" i="9"/>
  <c r="K524" i="9"/>
  <c r="J524" i="9"/>
  <c r="AV489" i="9"/>
  <c r="L489" i="9"/>
  <c r="AR471" i="9"/>
  <c r="I471" i="9"/>
  <c r="P480" i="9"/>
  <c r="AZ480" i="9"/>
  <c r="AR502" i="9"/>
  <c r="I502" i="9"/>
  <c r="K495" i="9"/>
  <c r="J495" i="9"/>
  <c r="BB511" i="9"/>
  <c r="AR453" i="9"/>
  <c r="I453" i="9"/>
  <c r="J508" i="9"/>
  <c r="K508" i="9"/>
  <c r="AV483" i="9"/>
  <c r="L483" i="9"/>
  <c r="O457" i="9"/>
  <c r="AX457" i="9"/>
  <c r="AX529" i="9"/>
  <c r="AV472" i="9"/>
  <c r="I458" i="9"/>
  <c r="AR458" i="9"/>
  <c r="AR441" i="9"/>
  <c r="I441" i="9"/>
  <c r="AQ485" i="9"/>
  <c r="H485" i="9"/>
  <c r="O442" i="9"/>
  <c r="AX442" i="9"/>
  <c r="H414" i="9"/>
  <c r="I487" i="9"/>
  <c r="AS487" i="9"/>
  <c r="R467" i="9"/>
  <c r="Q467" i="9"/>
  <c r="R446" i="9"/>
  <c r="Q446" i="9"/>
  <c r="I410" i="9"/>
  <c r="AR421" i="9"/>
  <c r="I421" i="9"/>
  <c r="J386" i="9"/>
  <c r="K386" i="9"/>
  <c r="L418" i="9"/>
  <c r="AV418" i="9"/>
  <c r="J378" i="9"/>
  <c r="K378" i="9"/>
  <c r="J398" i="9"/>
  <c r="K398" i="9"/>
  <c r="K377" i="9"/>
  <c r="J377" i="9"/>
  <c r="AV412" i="9"/>
  <c r="L412" i="9"/>
  <c r="K401" i="9"/>
  <c r="J401" i="9"/>
  <c r="X373" i="9"/>
  <c r="Y373" i="9"/>
  <c r="AR357" i="9"/>
  <c r="I357" i="9"/>
  <c r="L329" i="9"/>
  <c r="AV329" i="9"/>
  <c r="AV296" i="9"/>
  <c r="L296" i="9"/>
  <c r="I398" i="9"/>
  <c r="AR398" i="9"/>
  <c r="K331" i="9"/>
  <c r="J331" i="9"/>
  <c r="AV320" i="9"/>
  <c r="L320" i="9"/>
  <c r="K279" i="9"/>
  <c r="J279" i="9"/>
  <c r="I390" i="9"/>
  <c r="AR390" i="9"/>
  <c r="AV375" i="9"/>
  <c r="L375" i="9"/>
  <c r="AZ346" i="9"/>
  <c r="I335" i="9"/>
  <c r="AR335" i="9"/>
  <c r="L309" i="9"/>
  <c r="AV309" i="9"/>
  <c r="K339" i="9"/>
  <c r="J339" i="9"/>
  <c r="K329" i="9"/>
  <c r="J329" i="9"/>
  <c r="K293" i="9"/>
  <c r="J293" i="9"/>
  <c r="AQ367" i="9"/>
  <c r="H367" i="9"/>
  <c r="I299" i="9"/>
  <c r="AR299" i="9"/>
  <c r="R215" i="9"/>
  <c r="Q215" i="9"/>
  <c r="L338" i="9"/>
  <c r="AV274" i="9"/>
  <c r="L274" i="9"/>
  <c r="O239" i="9"/>
  <c r="AX239" i="9"/>
  <c r="AV213" i="9"/>
  <c r="L213" i="9"/>
  <c r="I345" i="9"/>
  <c r="AR241" i="9"/>
  <c r="I241" i="9"/>
  <c r="AR275" i="9"/>
  <c r="I275" i="9"/>
  <c r="AV200" i="9"/>
  <c r="L200" i="9"/>
  <c r="I291" i="9"/>
  <c r="I269" i="9"/>
  <c r="AR269" i="9"/>
  <c r="H246" i="9"/>
  <c r="AX355" i="9"/>
  <c r="O355" i="9"/>
  <c r="K277" i="9"/>
  <c r="J277" i="9"/>
  <c r="J170" i="9"/>
  <c r="K170" i="9"/>
  <c r="P215" i="9"/>
  <c r="AZ215" i="9"/>
  <c r="J187" i="9"/>
  <c r="K187" i="9"/>
  <c r="R179" i="9"/>
  <c r="Q179" i="9"/>
  <c r="I116" i="9"/>
  <c r="AR116" i="9"/>
  <c r="H83" i="9"/>
  <c r="AP83" i="9"/>
  <c r="J59" i="9"/>
  <c r="K59" i="9"/>
  <c r="AP163" i="9"/>
  <c r="H163" i="9"/>
  <c r="AP56" i="9"/>
  <c r="H56" i="9"/>
  <c r="H133" i="9"/>
  <c r="AP133" i="9"/>
  <c r="O65" i="9"/>
  <c r="AX65" i="9"/>
  <c r="J158" i="9"/>
  <c r="K158" i="9"/>
  <c r="I151" i="9"/>
  <c r="AR151" i="9"/>
  <c r="H117" i="9"/>
  <c r="AP117" i="9"/>
  <c r="AR70" i="9"/>
  <c r="I70" i="9"/>
  <c r="AR25" i="9"/>
  <c r="I25" i="9"/>
  <c r="I51" i="9"/>
  <c r="AR51" i="9"/>
  <c r="AR160" i="9"/>
  <c r="I160" i="9"/>
  <c r="AR126" i="9"/>
  <c r="I126" i="9"/>
  <c r="AR113" i="9"/>
  <c r="I113" i="9"/>
  <c r="J98" i="9"/>
  <c r="K98" i="9"/>
  <c r="AR118" i="9"/>
  <c r="I118" i="9"/>
  <c r="H197" i="9"/>
  <c r="AR82" i="9"/>
  <c r="I82" i="9"/>
  <c r="AX150" i="9"/>
  <c r="O150" i="9"/>
  <c r="I75" i="9"/>
  <c r="AR75" i="9"/>
  <c r="I67" i="9"/>
  <c r="AR67" i="9"/>
  <c r="R61" i="9"/>
  <c r="Q61" i="9"/>
  <c r="O37" i="9"/>
  <c r="O30" i="9"/>
  <c r="AX30" i="9"/>
  <c r="R54" i="9"/>
  <c r="Q54" i="9"/>
  <c r="R6" i="9"/>
  <c r="Q6" i="9"/>
  <c r="AR64" i="9"/>
  <c r="I64" i="9"/>
  <c r="AR68" i="9"/>
  <c r="I68" i="9"/>
  <c r="R86" i="9"/>
  <c r="Q86" i="9"/>
  <c r="AR36" i="9"/>
  <c r="I36" i="9"/>
  <c r="AX994" i="9"/>
  <c r="H975" i="9"/>
  <c r="AP975" i="9"/>
  <c r="H976" i="9"/>
  <c r="AP976" i="9"/>
  <c r="AR958" i="9"/>
  <c r="I958" i="9"/>
  <c r="I948" i="9"/>
  <c r="AR948" i="9"/>
  <c r="K937" i="9"/>
  <c r="J937" i="9"/>
  <c r="O877" i="9"/>
  <c r="AX877" i="9"/>
  <c r="H755" i="9"/>
  <c r="Q715" i="9"/>
  <c r="R715" i="9"/>
  <c r="K708" i="9"/>
  <c r="J708" i="9"/>
  <c r="H696" i="9"/>
  <c r="AP696" i="9"/>
  <c r="K669" i="9"/>
  <c r="J669" i="9"/>
  <c r="K687" i="9"/>
  <c r="J687" i="9"/>
  <c r="L639" i="9"/>
  <c r="AV639" i="9"/>
  <c r="O596" i="9"/>
  <c r="AX596" i="9"/>
  <c r="AP523" i="9"/>
  <c r="H523" i="9"/>
  <c r="I591" i="9"/>
  <c r="AR591" i="9"/>
  <c r="L997" i="9"/>
  <c r="AV997" i="9"/>
  <c r="AR989" i="9"/>
  <c r="I989" i="9"/>
  <c r="H981" i="9"/>
  <c r="AP981" i="9"/>
  <c r="K967" i="9"/>
  <c r="J967" i="9"/>
  <c r="AP893" i="9"/>
  <c r="H893" i="9"/>
  <c r="I906" i="9"/>
  <c r="AR906" i="9"/>
  <c r="I892" i="9"/>
  <c r="AR892" i="9"/>
  <c r="AR885" i="9"/>
  <c r="I885" i="9"/>
  <c r="I984" i="9"/>
  <c r="AR984" i="9"/>
  <c r="I880" i="9"/>
  <c r="AR880" i="9"/>
  <c r="Q866" i="9"/>
  <c r="R866" i="9"/>
  <c r="O851" i="9"/>
  <c r="AX851" i="9"/>
  <c r="Q783" i="9"/>
  <c r="R783" i="9"/>
  <c r="L759" i="9"/>
  <c r="AV759" i="9"/>
  <c r="Q711" i="9"/>
  <c r="R711" i="9"/>
  <c r="AR716" i="9"/>
  <c r="I716" i="9"/>
  <c r="I750" i="9"/>
  <c r="AR750" i="9"/>
  <c r="L702" i="9"/>
  <c r="AV702" i="9"/>
  <c r="I657" i="9"/>
  <c r="AR657" i="9"/>
  <c r="I682" i="9"/>
  <c r="AR682" i="9"/>
  <c r="K649" i="9"/>
  <c r="J649" i="9"/>
  <c r="L706" i="9"/>
  <c r="AV706" i="9"/>
  <c r="AZ659" i="9"/>
  <c r="I613" i="9"/>
  <c r="AR613" i="9"/>
  <c r="AR606" i="9"/>
  <c r="I606" i="9"/>
  <c r="K572" i="9"/>
  <c r="J572" i="9"/>
  <c r="AV545" i="9"/>
  <c r="AR538" i="9"/>
  <c r="I538" i="9"/>
  <c r="K471" i="9"/>
  <c r="J471" i="9"/>
  <c r="P499" i="9"/>
  <c r="AZ499" i="9"/>
  <c r="AR1001" i="9"/>
  <c r="I1001" i="9"/>
  <c r="AS993" i="9"/>
  <c r="I993" i="9"/>
  <c r="J985" i="9"/>
  <c r="K985" i="9"/>
  <c r="L967" i="9"/>
  <c r="L983" i="9"/>
  <c r="AV983" i="9"/>
  <c r="L974" i="9"/>
  <c r="AV974" i="9"/>
  <c r="Q961" i="9"/>
  <c r="R961" i="9"/>
  <c r="I916" i="9"/>
  <c r="AR916" i="9"/>
  <c r="J916" i="9"/>
  <c r="K916" i="9"/>
  <c r="K993" i="9"/>
  <c r="J993" i="9"/>
  <c r="I987" i="9"/>
  <c r="AR987" i="9"/>
  <c r="AX986" i="9"/>
  <c r="AR982" i="9"/>
  <c r="I982" i="9"/>
  <c r="H985" i="9"/>
  <c r="AP985" i="9"/>
  <c r="O967" i="9"/>
  <c r="AX967" i="9"/>
  <c r="AR977" i="9"/>
  <c r="I977" i="9"/>
  <c r="AV966" i="9"/>
  <c r="AR973" i="9"/>
  <c r="I973" i="9"/>
  <c r="K962" i="9"/>
  <c r="J962" i="9"/>
  <c r="H948" i="9"/>
  <c r="P959" i="9"/>
  <c r="AZ959" i="9"/>
  <c r="AX961" i="9"/>
  <c r="O961" i="9"/>
  <c r="AR946" i="9"/>
  <c r="I946" i="9"/>
  <c r="AR936" i="9"/>
  <c r="I936" i="9"/>
  <c r="H942" i="9"/>
  <c r="K924" i="9"/>
  <c r="J924" i="9"/>
  <c r="L951" i="9"/>
  <c r="AV951" i="9"/>
  <c r="I926" i="9"/>
  <c r="AR926" i="9"/>
  <c r="AX930" i="9"/>
  <c r="J925" i="9"/>
  <c r="K925" i="9"/>
  <c r="I907" i="9"/>
  <c r="AR907" i="9"/>
  <c r="AR882" i="9"/>
  <c r="I882" i="9"/>
  <c r="AQ868" i="9"/>
  <c r="H868" i="9"/>
  <c r="L877" i="9"/>
  <c r="O869" i="9"/>
  <c r="AX869" i="9"/>
  <c r="K910" i="9"/>
  <c r="J910" i="9"/>
  <c r="BD866" i="9"/>
  <c r="W866" i="9"/>
  <c r="V866" i="9"/>
  <c r="Z866" i="9"/>
  <c r="I852" i="9"/>
  <c r="AR852" i="9"/>
  <c r="AP874" i="9"/>
  <c r="H874" i="9"/>
  <c r="J824" i="9"/>
  <c r="K824" i="9"/>
  <c r="R843" i="9"/>
  <c r="Q843" i="9"/>
  <c r="AR862" i="9"/>
  <c r="I862" i="9"/>
  <c r="J837" i="9"/>
  <c r="K837" i="9"/>
  <c r="I813" i="9"/>
  <c r="AR813" i="9"/>
  <c r="R840" i="9"/>
  <c r="Q840" i="9"/>
  <c r="J856" i="9"/>
  <c r="K856" i="9"/>
  <c r="AR846" i="9"/>
  <c r="I846" i="9"/>
  <c r="AR811" i="9"/>
  <c r="I811" i="9"/>
  <c r="BB803" i="9"/>
  <c r="S803" i="9"/>
  <c r="L792" i="9"/>
  <c r="AV792" i="9"/>
  <c r="AQ779" i="9"/>
  <c r="H779" i="9"/>
  <c r="Q794" i="9"/>
  <c r="R794" i="9"/>
  <c r="K800" i="9"/>
  <c r="J800" i="9"/>
  <c r="Q790" i="9"/>
  <c r="R790" i="9"/>
  <c r="AV773" i="9"/>
  <c r="L773" i="9"/>
  <c r="AS780" i="9"/>
  <c r="I780" i="9"/>
  <c r="J755" i="9"/>
  <c r="K755" i="9"/>
  <c r="L760" i="9"/>
  <c r="AV760" i="9"/>
  <c r="K725" i="9"/>
  <c r="J725" i="9"/>
  <c r="AX724" i="9"/>
  <c r="O724" i="9"/>
  <c r="I701" i="9"/>
  <c r="AR701" i="9"/>
  <c r="K700" i="9"/>
  <c r="J700" i="9"/>
  <c r="H665" i="9"/>
  <c r="AR709" i="9"/>
  <c r="I709" i="9"/>
  <c r="J696" i="9"/>
  <c r="K696" i="9"/>
  <c r="I645" i="9"/>
  <c r="AR645" i="9"/>
  <c r="O703" i="9"/>
  <c r="AX703" i="9"/>
  <c r="AQ659" i="9"/>
  <c r="H659" i="9"/>
  <c r="AP640" i="9"/>
  <c r="H640" i="9"/>
  <c r="K704" i="9"/>
  <c r="J704" i="9"/>
  <c r="AV670" i="9"/>
  <c r="L670" i="9"/>
  <c r="I661" i="9"/>
  <c r="AR661" i="9"/>
  <c r="AS685" i="9"/>
  <c r="I685" i="9"/>
  <c r="L667" i="9"/>
  <c r="AV667" i="9"/>
  <c r="K620" i="9"/>
  <c r="J620" i="9"/>
  <c r="AX679" i="9"/>
  <c r="O679" i="9"/>
  <c r="AR620" i="9"/>
  <c r="I620" i="9"/>
  <c r="AV664" i="9"/>
  <c r="L664" i="9"/>
  <c r="K651" i="9"/>
  <c r="J651" i="9"/>
  <c r="H617" i="9"/>
  <c r="O590" i="9"/>
  <c r="AX590" i="9"/>
  <c r="AV577" i="9"/>
  <c r="AR648" i="9"/>
  <c r="I648" i="9"/>
  <c r="R596" i="9"/>
  <c r="Q596" i="9"/>
  <c r="I567" i="9"/>
  <c r="AR567" i="9"/>
  <c r="K534" i="9"/>
  <c r="J534" i="9"/>
  <c r="AR582" i="9"/>
  <c r="I582" i="9"/>
  <c r="I571" i="9"/>
  <c r="AR571" i="9"/>
  <c r="I539" i="9"/>
  <c r="AR539" i="9"/>
  <c r="I527" i="9"/>
  <c r="AR527" i="9"/>
  <c r="AV565" i="9"/>
  <c r="L565" i="9"/>
  <c r="J533" i="9"/>
  <c r="K533" i="9"/>
  <c r="L499" i="9"/>
  <c r="J509" i="9"/>
  <c r="K509" i="9"/>
  <c r="AZ484" i="9"/>
  <c r="AQ468" i="9"/>
  <c r="H468" i="9"/>
  <c r="L480" i="9"/>
  <c r="J526" i="9"/>
  <c r="K526" i="9"/>
  <c r="AX504" i="9"/>
  <c r="AQ484" i="9"/>
  <c r="H484" i="9"/>
  <c r="AZ519" i="9"/>
  <c r="AV513" i="9"/>
  <c r="L513" i="9"/>
  <c r="O480" i="9"/>
  <c r="L514" i="9"/>
  <c r="AV514" i="9"/>
  <c r="AV501" i="9"/>
  <c r="L501" i="9"/>
  <c r="H483" i="9"/>
  <c r="AW475" i="9"/>
  <c r="L475" i="9"/>
  <c r="I463" i="9"/>
  <c r="AR463" i="9"/>
  <c r="I427" i="9"/>
  <c r="AR427" i="9"/>
  <c r="H508" i="9"/>
  <c r="AQ508" i="9"/>
  <c r="R457" i="9"/>
  <c r="Q457" i="9"/>
  <c r="AR438" i="9"/>
  <c r="I438" i="9"/>
  <c r="O541" i="9"/>
  <c r="AX541" i="9"/>
  <c r="K487" i="9"/>
  <c r="J487" i="9"/>
  <c r="AR444" i="9"/>
  <c r="I444" i="9"/>
  <c r="AR460" i="9"/>
  <c r="I460" i="9"/>
  <c r="O446" i="9"/>
  <c r="AX446" i="9"/>
  <c r="AV420" i="9"/>
  <c r="L420" i="9"/>
  <c r="L410" i="9"/>
  <c r="AV410" i="9"/>
  <c r="AV416" i="9"/>
  <c r="L416" i="9"/>
  <c r="AP351" i="9"/>
  <c r="H351" i="9"/>
  <c r="H425" i="9"/>
  <c r="AP425" i="9"/>
  <c r="H424" i="9"/>
  <c r="AP424" i="9"/>
  <c r="H394" i="9"/>
  <c r="I380" i="9"/>
  <c r="AR380" i="9"/>
  <c r="I384" i="9"/>
  <c r="AR384" i="9"/>
  <c r="AP401" i="9"/>
  <c r="H401" i="9"/>
  <c r="BD373" i="9"/>
  <c r="W373" i="9"/>
  <c r="V373" i="9"/>
  <c r="Z373" i="9"/>
  <c r="P342" i="9"/>
  <c r="AZ342" i="9"/>
  <c r="K291" i="9"/>
  <c r="J291" i="9"/>
  <c r="K309" i="9"/>
  <c r="J309" i="9"/>
  <c r="H291" i="9"/>
  <c r="L333" i="9"/>
  <c r="AV333" i="9"/>
  <c r="I317" i="9"/>
  <c r="AV308" i="9"/>
  <c r="L308" i="9"/>
  <c r="P330" i="9"/>
  <c r="AZ330" i="9"/>
  <c r="K301" i="9"/>
  <c r="J301" i="9"/>
  <c r="AR363" i="9"/>
  <c r="I363" i="9"/>
  <c r="AW334" i="9"/>
  <c r="L334" i="9"/>
  <c r="AV312" i="9"/>
  <c r="L312" i="9"/>
  <c r="I292" i="9"/>
  <c r="J367" i="9"/>
  <c r="K367" i="9"/>
  <c r="J356" i="9"/>
  <c r="K356" i="9"/>
  <c r="I311" i="9"/>
  <c r="AR311" i="9"/>
  <c r="H293" i="9"/>
  <c r="AR266" i="9"/>
  <c r="I266" i="9"/>
  <c r="K251" i="9"/>
  <c r="J251" i="9"/>
  <c r="O338" i="9"/>
  <c r="AX338" i="9"/>
  <c r="H249" i="9"/>
  <c r="AP249" i="9"/>
  <c r="J229" i="9"/>
  <c r="K229" i="9"/>
  <c r="AP211" i="9"/>
  <c r="H211" i="9"/>
  <c r="L345" i="9"/>
  <c r="AV345" i="9"/>
  <c r="K317" i="9"/>
  <c r="J317" i="9"/>
  <c r="K275" i="9"/>
  <c r="J275" i="9"/>
  <c r="H275" i="9"/>
  <c r="K246" i="9"/>
  <c r="J246" i="9"/>
  <c r="K238" i="9"/>
  <c r="J238" i="9"/>
  <c r="AV291" i="9"/>
  <c r="L291" i="9"/>
  <c r="AR246" i="9"/>
  <c r="I246" i="9"/>
  <c r="H238" i="9"/>
  <c r="K175" i="9"/>
  <c r="J175" i="9"/>
  <c r="R355" i="9"/>
  <c r="Q355" i="9"/>
  <c r="AR260" i="9"/>
  <c r="I260" i="9"/>
  <c r="J150" i="9"/>
  <c r="K150" i="9"/>
  <c r="AR226" i="9"/>
  <c r="I226" i="9"/>
  <c r="L199" i="9"/>
  <c r="AV199" i="9"/>
  <c r="AR149" i="9"/>
  <c r="I149" i="9"/>
  <c r="H169" i="9"/>
  <c r="AP169" i="9"/>
  <c r="K83" i="9"/>
  <c r="J83" i="9"/>
  <c r="H136" i="9"/>
  <c r="AP136" i="9"/>
  <c r="AR162" i="9"/>
  <c r="I162" i="9"/>
  <c r="H95" i="9"/>
  <c r="AP95" i="9"/>
  <c r="I43" i="9"/>
  <c r="AR43" i="9"/>
  <c r="L12" i="9"/>
  <c r="AV12" i="9"/>
  <c r="J122" i="9"/>
  <c r="K122" i="9"/>
  <c r="I85" i="9"/>
  <c r="AR85" i="9"/>
  <c r="I35" i="9"/>
  <c r="AR35" i="9"/>
  <c r="AR62" i="9"/>
  <c r="I62" i="9"/>
  <c r="O17" i="9"/>
  <c r="AX17" i="9"/>
  <c r="I181" i="9"/>
  <c r="AR181" i="9"/>
  <c r="H158" i="9"/>
  <c r="AP158" i="9"/>
  <c r="O145" i="9"/>
  <c r="AX145" i="9"/>
  <c r="I124" i="9"/>
  <c r="AR124" i="9"/>
  <c r="J117" i="9"/>
  <c r="K117" i="9"/>
  <c r="AR66" i="9"/>
  <c r="I66" i="9"/>
  <c r="J111" i="9"/>
  <c r="K111" i="9"/>
  <c r="AR156" i="9"/>
  <c r="I156" i="9"/>
  <c r="BB50" i="9"/>
  <c r="S50" i="9"/>
  <c r="P37" i="9"/>
  <c r="AZ37" i="9"/>
  <c r="H186" i="9"/>
  <c r="AP186" i="9"/>
  <c r="H114" i="9"/>
  <c r="AP114" i="9"/>
  <c r="AR102" i="9"/>
  <c r="I102" i="9"/>
  <c r="K85" i="9"/>
  <c r="J85" i="9"/>
  <c r="O33" i="9"/>
  <c r="I19" i="9"/>
  <c r="AR19" i="9"/>
  <c r="J3" i="9"/>
  <c r="K3" i="9"/>
  <c r="AR76" i="9"/>
  <c r="I76" i="9"/>
  <c r="O6" i="9"/>
  <c r="AX6" i="9"/>
  <c r="AR32" i="9"/>
  <c r="I32" i="9"/>
  <c r="L92" i="9"/>
  <c r="AV92" i="9"/>
  <c r="O86" i="9"/>
  <c r="AX86" i="9"/>
  <c r="U50" i="9"/>
  <c r="T50" i="9"/>
  <c r="U58" i="9"/>
  <c r="T58" i="9"/>
  <c r="U723" i="9"/>
  <c r="T723" i="9"/>
  <c r="U656" i="9"/>
  <c r="T656" i="9"/>
  <c r="U803" i="9"/>
  <c r="T803" i="9"/>
  <c r="U843" i="9"/>
  <c r="T843" i="9"/>
  <c r="U54" i="9"/>
  <c r="T54" i="9"/>
  <c r="U866" i="9"/>
  <c r="T866" i="9"/>
  <c r="U381" i="9"/>
  <c r="T381" i="9"/>
  <c r="U969" i="9"/>
  <c r="T969" i="9"/>
  <c r="N702" i="9"/>
  <c r="M702" i="9"/>
  <c r="N213" i="9"/>
  <c r="M213" i="9"/>
  <c r="N359" i="9"/>
  <c r="M359" i="9"/>
  <c r="N334" i="9"/>
  <c r="M334" i="9"/>
  <c r="N308" i="9"/>
  <c r="M308" i="9"/>
  <c r="N420" i="9"/>
  <c r="M420" i="9"/>
  <c r="N667" i="9"/>
  <c r="M667" i="9"/>
  <c r="N338" i="9"/>
  <c r="M338" i="9"/>
  <c r="N320" i="9"/>
  <c r="M320" i="9"/>
  <c r="N412" i="9"/>
  <c r="M412" i="9"/>
  <c r="N675" i="9"/>
  <c r="M675" i="9"/>
  <c r="N918" i="9"/>
  <c r="M918" i="9"/>
  <c r="N131" i="9"/>
  <c r="M131" i="9"/>
  <c r="N231" i="9"/>
  <c r="M231" i="9"/>
  <c r="N294" i="9"/>
  <c r="M294" i="9"/>
  <c r="N762" i="9"/>
  <c r="M762" i="9"/>
  <c r="N934" i="9"/>
  <c r="M934" i="9"/>
  <c r="N192" i="9"/>
  <c r="M192" i="9"/>
  <c r="N316" i="9"/>
  <c r="M316" i="9"/>
  <c r="N673" i="9"/>
  <c r="M673" i="9"/>
  <c r="N393" i="9"/>
  <c r="M393" i="9"/>
  <c r="N358" i="9"/>
  <c r="M358" i="9"/>
  <c r="N411" i="9"/>
  <c r="M411" i="9"/>
  <c r="N370" i="9"/>
  <c r="M370" i="9"/>
  <c r="N797" i="9"/>
  <c r="M797" i="9"/>
  <c r="N292" i="9"/>
  <c r="M292" i="9"/>
  <c r="N325" i="9"/>
  <c r="M325" i="9"/>
  <c r="N376" i="9"/>
  <c r="M376" i="9"/>
  <c r="N549" i="9"/>
  <c r="M549" i="9"/>
  <c r="N690" i="9"/>
  <c r="M690" i="9"/>
  <c r="N717" i="9"/>
  <c r="M717" i="9"/>
  <c r="N968" i="9"/>
  <c r="M968" i="9"/>
  <c r="N739" i="9"/>
  <c r="M739" i="9"/>
  <c r="N306" i="9"/>
  <c r="M306" i="9"/>
  <c r="N6" i="9"/>
  <c r="M6" i="9"/>
  <c r="N53" i="9"/>
  <c r="M53" i="9"/>
  <c r="N30" i="9"/>
  <c r="M30" i="9"/>
  <c r="N329" i="9"/>
  <c r="M329" i="9"/>
  <c r="N418" i="9"/>
  <c r="M418" i="9"/>
  <c r="N489" i="9"/>
  <c r="M489" i="9"/>
  <c r="N842" i="9"/>
  <c r="M842" i="9"/>
  <c r="N658" i="9"/>
  <c r="M658" i="9"/>
  <c r="N81" i="9"/>
  <c r="M81" i="9"/>
  <c r="N93" i="9"/>
  <c r="M93" i="9"/>
  <c r="N477" i="9"/>
  <c r="M477" i="9"/>
  <c r="N878" i="9"/>
  <c r="M878" i="9"/>
  <c r="N478" i="9"/>
  <c r="M478" i="9"/>
  <c r="N537" i="9"/>
  <c r="M537" i="9"/>
  <c r="N630" i="9"/>
  <c r="M630" i="9"/>
  <c r="N24" i="9"/>
  <c r="M24" i="9"/>
  <c r="N276" i="9"/>
  <c r="M276" i="9"/>
  <c r="N212" i="9"/>
  <c r="M212" i="9"/>
  <c r="N437" i="9"/>
  <c r="M437" i="9"/>
  <c r="N653" i="9"/>
  <c r="M653" i="9"/>
  <c r="N714" i="9"/>
  <c r="M714" i="9"/>
  <c r="N182" i="9"/>
  <c r="M182" i="9"/>
  <c r="N298" i="9"/>
  <c r="M298" i="9"/>
  <c r="N626" i="9"/>
  <c r="M626" i="9"/>
  <c r="N627" i="9"/>
  <c r="M627" i="9"/>
  <c r="N586" i="9"/>
  <c r="M586" i="9"/>
  <c r="N743" i="9"/>
  <c r="M743" i="9"/>
  <c r="N953" i="9"/>
  <c r="M953" i="9"/>
  <c r="N22" i="9"/>
  <c r="M22" i="9"/>
  <c r="N397" i="9"/>
  <c r="M397" i="9"/>
  <c r="N654" i="9"/>
  <c r="M654" i="9"/>
  <c r="N833" i="9"/>
  <c r="M833" i="9"/>
  <c r="N809" i="9"/>
  <c r="M809" i="9"/>
  <c r="N33" i="9"/>
  <c r="M33" i="9"/>
  <c r="N132" i="9"/>
  <c r="M132" i="9"/>
  <c r="N224" i="9"/>
  <c r="M224" i="9"/>
  <c r="N995" i="9"/>
  <c r="M995" i="9"/>
  <c r="N324" i="9"/>
  <c r="M324" i="9"/>
  <c r="N494" i="9"/>
  <c r="M494" i="9"/>
  <c r="N240" i="9"/>
  <c r="M240" i="9"/>
  <c r="N328" i="9"/>
  <c r="M328" i="9"/>
  <c r="N300" i="9"/>
  <c r="M300" i="9"/>
  <c r="N733" i="9"/>
  <c r="M733" i="9"/>
  <c r="N865" i="9"/>
  <c r="M865" i="9"/>
  <c r="N317" i="9"/>
  <c r="M317" i="9"/>
  <c r="N691" i="9"/>
  <c r="M691" i="9"/>
  <c r="N228" i="9"/>
  <c r="M228" i="9"/>
  <c r="N608" i="9"/>
  <c r="M608" i="9"/>
  <c r="N50" i="9"/>
  <c r="M50" i="9"/>
  <c r="R663" i="9"/>
  <c r="N663" i="9"/>
  <c r="M663" i="9"/>
  <c r="Q663" i="9"/>
  <c r="N483" i="9"/>
  <c r="M483" i="9"/>
  <c r="N903" i="9"/>
  <c r="M903" i="9"/>
  <c r="N16" i="9"/>
  <c r="M16" i="9"/>
  <c r="N951" i="9"/>
  <c r="M951" i="9"/>
  <c r="N983" i="9"/>
  <c r="M983" i="9"/>
  <c r="N200" i="9"/>
  <c r="M200" i="9"/>
  <c r="N718" i="9"/>
  <c r="M718" i="9"/>
  <c r="N894" i="9"/>
  <c r="M894" i="9"/>
  <c r="N100" i="9"/>
  <c r="M100" i="9"/>
  <c r="N493" i="9"/>
  <c r="M493" i="9"/>
  <c r="N755" i="9"/>
  <c r="M755" i="9"/>
  <c r="N857" i="9"/>
  <c r="M857" i="9"/>
  <c r="N902" i="9"/>
  <c r="M902" i="9"/>
  <c r="N943" i="9"/>
  <c r="M943" i="9"/>
  <c r="N497" i="9"/>
  <c r="M497" i="9"/>
  <c r="N45" i="9"/>
  <c r="M45" i="9"/>
  <c r="N48" i="9"/>
  <c r="M48" i="9"/>
  <c r="N310" i="9"/>
  <c r="M310" i="9"/>
  <c r="N469" i="9"/>
  <c r="M469" i="9"/>
  <c r="N778" i="9"/>
  <c r="M778" i="9"/>
  <c r="N805" i="9"/>
  <c r="M805" i="9"/>
  <c r="N414" i="9"/>
  <c r="M414" i="9"/>
  <c r="N488" i="9"/>
  <c r="M488" i="9"/>
  <c r="N498" i="9"/>
  <c r="M498" i="9"/>
  <c r="N473" i="9"/>
  <c r="M473" i="9"/>
  <c r="N587" i="9"/>
  <c r="M587" i="9"/>
  <c r="N129" i="9"/>
  <c r="M129" i="9"/>
  <c r="N183" i="9"/>
  <c r="M183" i="9"/>
  <c r="N174" i="9"/>
  <c r="M174" i="9"/>
  <c r="N337" i="9"/>
  <c r="M337" i="9"/>
  <c r="N389" i="9"/>
  <c r="M389" i="9"/>
  <c r="N713" i="9"/>
  <c r="M713" i="9"/>
  <c r="N719" i="9"/>
  <c r="M719" i="9"/>
  <c r="N873" i="9"/>
  <c r="M873" i="9"/>
  <c r="N348" i="9"/>
  <c r="M348" i="9"/>
  <c r="N520" i="9"/>
  <c r="M520" i="9"/>
  <c r="N939" i="9"/>
  <c r="M939" i="9"/>
  <c r="N105" i="9"/>
  <c r="M105" i="9"/>
  <c r="N715" i="9"/>
  <c r="M715" i="9"/>
  <c r="N345" i="9"/>
  <c r="M345" i="9"/>
  <c r="N974" i="9"/>
  <c r="M974" i="9"/>
  <c r="N665" i="9"/>
  <c r="M665" i="9"/>
  <c r="N333" i="9"/>
  <c r="M333" i="9"/>
  <c r="N416" i="9"/>
  <c r="M416" i="9"/>
  <c r="N514" i="9"/>
  <c r="M514" i="9"/>
  <c r="N499" i="9"/>
  <c r="M499" i="9"/>
  <c r="N773" i="9"/>
  <c r="M773" i="9"/>
  <c r="N967" i="9"/>
  <c r="M967" i="9"/>
  <c r="N997" i="9"/>
  <c r="M997" i="9"/>
  <c r="N639" i="9"/>
  <c r="M639" i="9"/>
  <c r="N607" i="9"/>
  <c r="M607" i="9"/>
  <c r="N699" i="9"/>
  <c r="M699" i="9"/>
  <c r="N933" i="9"/>
  <c r="M933" i="9"/>
  <c r="N175" i="9"/>
  <c r="M175" i="9"/>
  <c r="N321" i="9"/>
  <c r="M321" i="9"/>
  <c r="N391" i="9"/>
  <c r="M391" i="9"/>
  <c r="N403" i="9"/>
  <c r="M403" i="9"/>
  <c r="N422" i="9"/>
  <c r="M422" i="9"/>
  <c r="N336" i="9"/>
  <c r="M336" i="9"/>
  <c r="N254" i="9"/>
  <c r="M254" i="9"/>
  <c r="N344" i="9"/>
  <c r="M344" i="9"/>
  <c r="N377" i="9"/>
  <c r="M377" i="9"/>
  <c r="N518" i="9"/>
  <c r="M518" i="9"/>
  <c r="N611" i="9"/>
  <c r="M611" i="9"/>
  <c r="N972" i="9"/>
  <c r="M972" i="9"/>
  <c r="N46" i="9"/>
  <c r="M46" i="9"/>
  <c r="N305" i="9"/>
  <c r="M305" i="9"/>
  <c r="N474" i="9"/>
  <c r="M474" i="9"/>
  <c r="N509" i="9"/>
  <c r="M509" i="9"/>
  <c r="N579" i="9"/>
  <c r="M579" i="9"/>
  <c r="N599" i="9"/>
  <c r="M599" i="9"/>
  <c r="N767" i="9"/>
  <c r="M767" i="9"/>
  <c r="N154" i="9"/>
  <c r="M154" i="9"/>
  <c r="N188" i="9"/>
  <c r="M188" i="9"/>
  <c r="N575" i="9"/>
  <c r="M575" i="9"/>
  <c r="N925" i="9"/>
  <c r="M925" i="9"/>
  <c r="N963" i="9"/>
  <c r="M963" i="9"/>
  <c r="N287" i="9"/>
  <c r="M287" i="9"/>
  <c r="AR761" i="9"/>
  <c r="I761" i="9"/>
  <c r="N501" i="9"/>
  <c r="M501" i="9"/>
  <c r="N929" i="9"/>
  <c r="M929" i="9"/>
  <c r="N37" i="9"/>
  <c r="M37" i="9"/>
  <c r="N481" i="9"/>
  <c r="M481" i="9"/>
  <c r="N291" i="9"/>
  <c r="M291" i="9"/>
  <c r="N670" i="9"/>
  <c r="M670" i="9"/>
  <c r="N585" i="9"/>
  <c r="M585" i="9"/>
  <c r="N662" i="9"/>
  <c r="M662" i="9"/>
  <c r="N666" i="9"/>
  <c r="M666" i="9"/>
  <c r="N710" i="9"/>
  <c r="M710" i="9"/>
  <c r="N859" i="9"/>
  <c r="M859" i="9"/>
  <c r="N832" i="9"/>
  <c r="M832" i="9"/>
  <c r="N965" i="9"/>
  <c r="M965" i="9"/>
  <c r="N482" i="9"/>
  <c r="M482" i="9"/>
  <c r="N530" i="9"/>
  <c r="M530" i="9"/>
  <c r="N700" i="9"/>
  <c r="M700" i="9"/>
  <c r="N40" i="9"/>
  <c r="M40" i="9"/>
  <c r="N341" i="9"/>
  <c r="M341" i="9"/>
  <c r="N313" i="9"/>
  <c r="M313" i="9"/>
  <c r="N366" i="9"/>
  <c r="M366" i="9"/>
  <c r="N406" i="9"/>
  <c r="M406" i="9"/>
  <c r="N161" i="9"/>
  <c r="M161" i="9"/>
  <c r="N322" i="9"/>
  <c r="M322" i="9"/>
  <c r="N408" i="9"/>
  <c r="M408" i="9"/>
  <c r="N764" i="9"/>
  <c r="M764" i="9"/>
  <c r="N236" i="9"/>
  <c r="M236" i="9"/>
  <c r="N219" i="9"/>
  <c r="M219" i="9"/>
  <c r="N956" i="9"/>
  <c r="M956" i="9"/>
  <c r="N49" i="9"/>
  <c r="M49" i="9"/>
  <c r="N784" i="9"/>
  <c r="M784" i="9"/>
  <c r="N346" i="9"/>
  <c r="M346" i="9"/>
  <c r="N911" i="9"/>
  <c r="M911" i="9"/>
  <c r="N454" i="9"/>
  <c r="M454" i="9"/>
  <c r="N596" i="9"/>
  <c r="M596" i="9"/>
  <c r="N888" i="9"/>
  <c r="M888" i="9"/>
  <c r="AS505" i="9"/>
  <c r="I505" i="9"/>
  <c r="N706" i="9"/>
  <c r="M706" i="9"/>
  <c r="N834" i="9"/>
  <c r="M834" i="9"/>
  <c r="N312" i="9"/>
  <c r="M312" i="9"/>
  <c r="N475" i="9"/>
  <c r="M475" i="9"/>
  <c r="N513" i="9"/>
  <c r="M513" i="9"/>
  <c r="N480" i="9"/>
  <c r="M480" i="9"/>
  <c r="N877" i="9"/>
  <c r="M877" i="9"/>
  <c r="N274" i="9"/>
  <c r="M274" i="9"/>
  <c r="N309" i="9"/>
  <c r="M309" i="9"/>
  <c r="N296" i="9"/>
  <c r="M296" i="9"/>
  <c r="N895" i="9"/>
  <c r="M895" i="9"/>
  <c r="N838" i="9"/>
  <c r="M838" i="9"/>
  <c r="N227" i="9"/>
  <c r="M227" i="9"/>
  <c r="N385" i="9"/>
  <c r="M385" i="9"/>
  <c r="N525" i="9"/>
  <c r="M525" i="9"/>
  <c r="N941" i="9"/>
  <c r="M941" i="9"/>
  <c r="N196" i="9"/>
  <c r="M196" i="9"/>
  <c r="N407" i="9"/>
  <c r="M407" i="9"/>
  <c r="N749" i="9"/>
  <c r="M749" i="9"/>
  <c r="N288" i="9"/>
  <c r="M288" i="9"/>
  <c r="N302" i="9"/>
  <c r="M302" i="9"/>
  <c r="N332" i="9"/>
  <c r="M332" i="9"/>
  <c r="N556" i="9"/>
  <c r="M556" i="9"/>
  <c r="N763" i="9"/>
  <c r="M763" i="9"/>
  <c r="N935" i="9"/>
  <c r="M935" i="9"/>
  <c r="N235" i="9"/>
  <c r="M235" i="9"/>
  <c r="N232" i="9"/>
  <c r="M232" i="9"/>
  <c r="N283" i="9"/>
  <c r="M283" i="9"/>
  <c r="N263" i="9"/>
  <c r="M263" i="9"/>
  <c r="N318" i="9"/>
  <c r="M318" i="9"/>
  <c r="N595" i="9"/>
  <c r="M595" i="9"/>
  <c r="N810" i="9"/>
  <c r="M810" i="9"/>
  <c r="N638" i="9"/>
  <c r="M638" i="9"/>
  <c r="N491" i="9"/>
  <c r="M491" i="9"/>
  <c r="N588" i="9"/>
  <c r="M588" i="9"/>
  <c r="N759" i="9"/>
  <c r="M759" i="9"/>
  <c r="N375" i="9"/>
  <c r="M375" i="9"/>
  <c r="N971" i="9"/>
  <c r="M971" i="9"/>
  <c r="N92" i="9"/>
  <c r="M92" i="9"/>
  <c r="N12" i="9"/>
  <c r="M12" i="9"/>
  <c r="N199" i="9"/>
  <c r="M199" i="9"/>
  <c r="N410" i="9"/>
  <c r="M410" i="9"/>
  <c r="N565" i="9"/>
  <c r="M565" i="9"/>
  <c r="N664" i="9"/>
  <c r="M664" i="9"/>
  <c r="N760" i="9"/>
  <c r="M760" i="9"/>
  <c r="N792" i="9"/>
  <c r="M792" i="9"/>
  <c r="N598" i="9"/>
  <c r="M598" i="9"/>
  <c r="N758" i="9"/>
  <c r="M758" i="9"/>
  <c r="N795" i="9"/>
  <c r="M795" i="9"/>
  <c r="N44" i="9"/>
  <c r="M44" i="9"/>
  <c r="N404" i="9"/>
  <c r="M404" i="9"/>
  <c r="N678" i="9"/>
  <c r="M678" i="9"/>
  <c r="N814" i="9"/>
  <c r="M814" i="9"/>
  <c r="N853" i="9"/>
  <c r="M853" i="9"/>
  <c r="N13" i="9"/>
  <c r="M13" i="9"/>
  <c r="N28" i="9"/>
  <c r="M28" i="9"/>
  <c r="N184" i="9"/>
  <c r="M184" i="9"/>
  <c r="N29" i="9"/>
  <c r="M29" i="9"/>
  <c r="N789" i="9"/>
  <c r="M789" i="9"/>
  <c r="N601" i="9"/>
  <c r="M601" i="9"/>
  <c r="N669" i="9"/>
  <c r="M669" i="9"/>
  <c r="N938" i="9"/>
  <c r="M938" i="9"/>
  <c r="N4" i="9"/>
  <c r="M4" i="9"/>
  <c r="N399" i="9"/>
  <c r="M399" i="9"/>
  <c r="N872" i="9"/>
  <c r="M872" i="9"/>
  <c r="N580" i="9"/>
  <c r="M580" i="9"/>
  <c r="N711" i="9"/>
  <c r="M711" i="9"/>
  <c r="Q638" i="9"/>
  <c r="R638" i="9"/>
  <c r="AY306" i="9"/>
  <c r="O306" i="9"/>
  <c r="AS945" i="9"/>
  <c r="I945" i="9"/>
  <c r="L256" i="9"/>
  <c r="AV256" i="9"/>
  <c r="AV677" i="9"/>
  <c r="L677" i="9"/>
  <c r="AR387" i="9"/>
  <c r="I387" i="9"/>
  <c r="AR340" i="9"/>
  <c r="I340" i="9"/>
  <c r="AS631" i="9"/>
  <c r="I631" i="9"/>
  <c r="AR756" i="9"/>
  <c r="I756" i="9"/>
  <c r="AR461" i="9"/>
  <c r="I461" i="9"/>
  <c r="AR771" i="9"/>
  <c r="I771" i="9"/>
  <c r="Q306" i="9"/>
  <c r="R306" i="9"/>
  <c r="AV812" i="9"/>
  <c r="L812" i="9"/>
  <c r="AR490" i="9"/>
  <c r="I490" i="9"/>
  <c r="R939" i="9"/>
  <c r="Q939" i="9"/>
  <c r="AV204" i="9"/>
  <c r="L204" i="9"/>
  <c r="AR919" i="9"/>
  <c r="I919" i="9"/>
  <c r="AR901" i="9"/>
  <c r="I901" i="9"/>
  <c r="AS615" i="9"/>
  <c r="I615" i="9"/>
  <c r="AS545" i="9"/>
  <c r="I545" i="9"/>
  <c r="AR680" i="9"/>
  <c r="I680" i="9"/>
  <c r="AX939" i="9"/>
  <c r="O939" i="9"/>
  <c r="O105" i="9"/>
  <c r="AX105" i="9"/>
  <c r="I282" i="9"/>
  <c r="AR282" i="9"/>
  <c r="AS57" i="9"/>
  <c r="I57" i="9"/>
  <c r="L137" i="9"/>
  <c r="AV137" i="9"/>
  <c r="I419" i="9"/>
  <c r="AR419" i="9"/>
  <c r="AS671" i="9"/>
  <c r="I671" i="9"/>
  <c r="I807" i="9"/>
  <c r="AR807" i="9"/>
  <c r="AV216" i="9"/>
  <c r="L216" i="9"/>
  <c r="I521" i="9"/>
  <c r="AR521" i="9"/>
  <c r="AR757" i="9"/>
  <c r="I757" i="9"/>
  <c r="R105" i="9"/>
  <c r="Q105" i="9"/>
  <c r="AR904" i="9"/>
  <c r="I904" i="9"/>
  <c r="AS577" i="9"/>
  <c r="I577" i="9"/>
  <c r="I970" i="9"/>
  <c r="AR970" i="9"/>
  <c r="AS553" i="9"/>
  <c r="I553" i="9"/>
  <c r="AR153" i="9"/>
  <c r="I153" i="9"/>
  <c r="AR622" i="9"/>
  <c r="I622" i="9"/>
  <c r="AS947" i="9"/>
  <c r="I947" i="9"/>
  <c r="AR180" i="9"/>
  <c r="I180" i="9"/>
  <c r="AV836" i="9"/>
  <c r="L836" i="9"/>
  <c r="L793" i="9"/>
  <c r="AV793" i="9"/>
  <c r="AV747" i="9"/>
  <c r="L747" i="9"/>
  <c r="I189" i="9"/>
  <c r="AR189" i="9"/>
  <c r="AY346" i="9"/>
  <c r="O346" i="9"/>
  <c r="AR692" i="9"/>
  <c r="I692" i="9"/>
  <c r="P110" i="9"/>
  <c r="AZ110" i="9"/>
  <c r="L738" i="9"/>
  <c r="AV738" i="9"/>
  <c r="I517" i="9"/>
  <c r="AR517" i="9"/>
  <c r="AV898" i="9"/>
  <c r="L898" i="9"/>
  <c r="AV220" i="9"/>
  <c r="L220" i="9"/>
  <c r="R49" i="9"/>
  <c r="Q49" i="9"/>
  <c r="Q346" i="9"/>
  <c r="R346" i="9"/>
  <c r="AR415" i="9"/>
  <c r="I415" i="9"/>
  <c r="Q911" i="9"/>
  <c r="R911" i="9"/>
  <c r="AR854" i="9"/>
  <c r="I854" i="9"/>
  <c r="AR395" i="9"/>
  <c r="I395" i="9"/>
  <c r="AR172" i="9"/>
  <c r="I172" i="9"/>
  <c r="AX638" i="9"/>
  <c r="O638" i="9"/>
  <c r="I354" i="9"/>
  <c r="AR354" i="9"/>
  <c r="AR835" i="9"/>
  <c r="I835" i="9"/>
  <c r="AX615" i="9"/>
  <c r="I799" i="9"/>
  <c r="AR799" i="9"/>
  <c r="AY911" i="9"/>
  <c r="O911" i="9"/>
  <c r="R53" i="9"/>
  <c r="Q53" i="9"/>
  <c r="AV730" i="9"/>
  <c r="L730" i="9"/>
  <c r="AV722" i="9"/>
  <c r="L722" i="9"/>
  <c r="L278" i="9"/>
  <c r="AV278" i="9"/>
  <c r="AR244" i="9"/>
  <c r="I244" i="9"/>
  <c r="R305" i="9"/>
  <c r="Q305" i="9"/>
  <c r="Q370" i="9"/>
  <c r="R370" i="9"/>
  <c r="Q509" i="9"/>
  <c r="R509" i="9"/>
  <c r="BD507" i="9"/>
  <c r="AV566" i="9"/>
  <c r="L566" i="9"/>
  <c r="AZ636" i="9"/>
  <c r="P636" i="9"/>
  <c r="AX626" i="9"/>
  <c r="O626" i="9"/>
  <c r="AZ642" i="9"/>
  <c r="AV754" i="9"/>
  <c r="L754" i="9"/>
  <c r="AS788" i="9"/>
  <c r="I788" i="9"/>
  <c r="P873" i="9"/>
  <c r="AZ873" i="9"/>
  <c r="AX841" i="9"/>
  <c r="BB956" i="9"/>
  <c r="S956" i="9"/>
  <c r="BD963" i="9"/>
  <c r="AX995" i="9"/>
  <c r="O995" i="9"/>
  <c r="L90" i="9"/>
  <c r="AV90" i="9"/>
  <c r="I147" i="9"/>
  <c r="AR147" i="9"/>
  <c r="AR356" i="9"/>
  <c r="I356" i="9"/>
  <c r="L106" i="9"/>
  <c r="AV106" i="9"/>
  <c r="R161" i="9"/>
  <c r="Q161" i="9"/>
  <c r="AV252" i="9"/>
  <c r="L252" i="9"/>
  <c r="AX183" i="9"/>
  <c r="O183" i="9"/>
  <c r="R283" i="9"/>
  <c r="Q283" i="9"/>
  <c r="AV250" i="9"/>
  <c r="L250" i="9"/>
  <c r="L202" i="9"/>
  <c r="AV202" i="9"/>
  <c r="O337" i="9"/>
  <c r="AX337" i="9"/>
  <c r="AV327" i="9"/>
  <c r="L327" i="9"/>
  <c r="AV443" i="9"/>
  <c r="L443" i="9"/>
  <c r="I433" i="9"/>
  <c r="AR433" i="9"/>
  <c r="Q586" i="9"/>
  <c r="R586" i="9"/>
  <c r="I563" i="9"/>
  <c r="AR563" i="9"/>
  <c r="AS687" i="9"/>
  <c r="I687" i="9"/>
  <c r="I708" i="9"/>
  <c r="AR708" i="9"/>
  <c r="O743" i="9"/>
  <c r="AX743" i="9"/>
  <c r="AR899" i="9"/>
  <c r="I899" i="9"/>
  <c r="L144" i="9"/>
  <c r="AV144" i="9"/>
  <c r="AX236" i="9"/>
  <c r="O236" i="9"/>
  <c r="Q963" i="9"/>
  <c r="R963" i="9"/>
  <c r="L20" i="9"/>
  <c r="AV20" i="9"/>
  <c r="P86" i="9"/>
  <c r="AZ86" i="9"/>
  <c r="R475" i="9"/>
  <c r="Q475" i="9"/>
  <c r="AV620" i="9"/>
  <c r="L620" i="9"/>
  <c r="L701" i="9"/>
  <c r="AV701" i="9"/>
  <c r="L151" i="9"/>
  <c r="AV151" i="9"/>
  <c r="AS529" i="9"/>
  <c r="I529" i="9"/>
  <c r="I647" i="9"/>
  <c r="AR647" i="9"/>
  <c r="L950" i="9"/>
  <c r="AV950" i="9"/>
  <c r="O81" i="9"/>
  <c r="AX81" i="9"/>
  <c r="L120" i="9"/>
  <c r="AV120" i="9"/>
  <c r="AV229" i="9"/>
  <c r="L229" i="9"/>
  <c r="Q493" i="9"/>
  <c r="R493" i="9"/>
  <c r="AV542" i="9"/>
  <c r="L542" i="9"/>
  <c r="P711" i="9"/>
  <c r="AZ711" i="9"/>
  <c r="L827" i="9"/>
  <c r="AV827" i="9"/>
  <c r="P104" i="9"/>
  <c r="AZ104" i="9"/>
  <c r="AR125" i="9"/>
  <c r="I125" i="9"/>
  <c r="P742" i="9"/>
  <c r="AZ742" i="9"/>
  <c r="L101" i="9"/>
  <c r="AV101" i="9"/>
  <c r="P198" i="9"/>
  <c r="AZ198" i="9"/>
  <c r="L369" i="9"/>
  <c r="AV369" i="9"/>
  <c r="R393" i="9"/>
  <c r="Q393" i="9"/>
  <c r="O411" i="9"/>
  <c r="AX411" i="9"/>
  <c r="AV712" i="9"/>
  <c r="L712" i="9"/>
  <c r="AV740" i="9"/>
  <c r="L740" i="9"/>
  <c r="AX763" i="9"/>
  <c r="O763" i="9"/>
  <c r="R935" i="9"/>
  <c r="Q935" i="9"/>
  <c r="P6" i="9"/>
  <c r="AZ6" i="9"/>
  <c r="R416" i="9"/>
  <c r="Q416" i="9"/>
  <c r="AY475" i="9"/>
  <c r="O475" i="9"/>
  <c r="R760" i="9"/>
  <c r="Q760" i="9"/>
  <c r="Q773" i="9"/>
  <c r="R773" i="9"/>
  <c r="O792" i="9"/>
  <c r="AX792" i="9"/>
  <c r="I874" i="9"/>
  <c r="AR874" i="9"/>
  <c r="AV882" i="9"/>
  <c r="L882" i="9"/>
  <c r="L946" i="9"/>
  <c r="AV946" i="9"/>
  <c r="L987" i="9"/>
  <c r="AV987" i="9"/>
  <c r="AW993" i="9"/>
  <c r="L993" i="9"/>
  <c r="L750" i="9"/>
  <c r="AV750" i="9"/>
  <c r="P851" i="9"/>
  <c r="AZ851" i="9"/>
  <c r="AR975" i="9"/>
  <c r="I975" i="9"/>
  <c r="AV67" i="9"/>
  <c r="L67" i="9"/>
  <c r="P150" i="9"/>
  <c r="AZ150" i="9"/>
  <c r="L113" i="9"/>
  <c r="AV113" i="9"/>
  <c r="L25" i="9"/>
  <c r="AV25" i="9"/>
  <c r="AS367" i="9"/>
  <c r="I367" i="9"/>
  <c r="R309" i="9"/>
  <c r="Q309" i="9"/>
  <c r="Q375" i="9"/>
  <c r="R375" i="9"/>
  <c r="Q320" i="9"/>
  <c r="R320" i="9"/>
  <c r="AV357" i="9"/>
  <c r="L357" i="9"/>
  <c r="L441" i="9"/>
  <c r="AV441" i="9"/>
  <c r="BD511" i="9"/>
  <c r="R585" i="9"/>
  <c r="Q585" i="9"/>
  <c r="AV650" i="9"/>
  <c r="L650" i="9"/>
  <c r="Q675" i="9"/>
  <c r="R675" i="9"/>
  <c r="I800" i="9"/>
  <c r="AR800" i="9"/>
  <c r="O929" i="9"/>
  <c r="AX929" i="9"/>
  <c r="Q658" i="9"/>
  <c r="R658" i="9"/>
  <c r="L820" i="9"/>
  <c r="AV820" i="9"/>
  <c r="R895" i="9"/>
  <c r="Q895" i="9"/>
  <c r="BD943" i="9"/>
  <c r="AV725" i="9"/>
  <c r="L725" i="9"/>
  <c r="AV808" i="9"/>
  <c r="L808" i="9"/>
  <c r="Q81" i="9"/>
  <c r="R81" i="9"/>
  <c r="O100" i="9"/>
  <c r="AX100" i="9"/>
  <c r="AV59" i="9"/>
  <c r="L59" i="9"/>
  <c r="BB22" i="9"/>
  <c r="S22" i="9"/>
  <c r="AR203" i="9"/>
  <c r="I203" i="9"/>
  <c r="L259" i="9"/>
  <c r="AV259" i="9"/>
  <c r="R385" i="9"/>
  <c r="Q385" i="9"/>
  <c r="Q391" i="9"/>
  <c r="R391" i="9"/>
  <c r="L374" i="9"/>
  <c r="AV374" i="9"/>
  <c r="AV413" i="9"/>
  <c r="L413" i="9"/>
  <c r="V381" i="9"/>
  <c r="Z381" i="9"/>
  <c r="BD381" i="9"/>
  <c r="W381" i="9"/>
  <c r="AX493" i="9"/>
  <c r="O493" i="9"/>
  <c r="Q481" i="9"/>
  <c r="R481" i="9"/>
  <c r="AZ576" i="9"/>
  <c r="P576" i="9"/>
  <c r="AV594" i="9"/>
  <c r="L594" i="9"/>
  <c r="BB685" i="9"/>
  <c r="AX762" i="9"/>
  <c r="O762" i="9"/>
  <c r="AV823" i="9"/>
  <c r="L823" i="9"/>
  <c r="AZ876" i="9"/>
  <c r="P876" i="9"/>
  <c r="Q878" i="9"/>
  <c r="R878" i="9"/>
  <c r="AR928" i="9"/>
  <c r="I928" i="9"/>
  <c r="AV912" i="9"/>
  <c r="L912" i="9"/>
  <c r="Q943" i="9"/>
  <c r="R943" i="9"/>
  <c r="AX482" i="9"/>
  <c r="O482" i="9"/>
  <c r="AX28" i="9"/>
  <c r="O28" i="9"/>
  <c r="AV11" i="9"/>
  <c r="L11" i="9"/>
  <c r="AV205" i="9"/>
  <c r="L205" i="9"/>
  <c r="R276" i="9"/>
  <c r="Q276" i="9"/>
  <c r="L267" i="9"/>
  <c r="AV267" i="9"/>
  <c r="AX336" i="9"/>
  <c r="O336" i="9"/>
  <c r="L361" i="9"/>
  <c r="AV361" i="9"/>
  <c r="AR352" i="9"/>
  <c r="I352" i="9"/>
  <c r="Q407" i="9"/>
  <c r="R407" i="9"/>
  <c r="L386" i="9"/>
  <c r="AV386" i="9"/>
  <c r="AZ608" i="9"/>
  <c r="P608" i="9"/>
  <c r="R673" i="9"/>
  <c r="Q673" i="9"/>
  <c r="AV688" i="9"/>
  <c r="L688" i="9"/>
  <c r="P208" i="9"/>
  <c r="AZ208" i="9"/>
  <c r="O212" i="9"/>
  <c r="AX212" i="9"/>
  <c r="O341" i="9"/>
  <c r="AX341" i="9"/>
  <c r="AX393" i="9"/>
  <c r="O393" i="9"/>
  <c r="O302" i="9"/>
  <c r="AX302" i="9"/>
  <c r="L435" i="9"/>
  <c r="AV435" i="9"/>
  <c r="R437" i="9"/>
  <c r="Q437" i="9"/>
  <c r="L568" i="9"/>
  <c r="AV568" i="9"/>
  <c r="AX611" i="9"/>
  <c r="O611" i="9"/>
  <c r="R653" i="9"/>
  <c r="Q653" i="9"/>
  <c r="AZ618" i="9"/>
  <c r="P618" i="9"/>
  <c r="I728" i="9"/>
  <c r="AR728" i="9"/>
  <c r="R763" i="9"/>
  <c r="Q763" i="9"/>
  <c r="AR802" i="9"/>
  <c r="I802" i="9"/>
  <c r="AX805" i="9"/>
  <c r="O805" i="9"/>
  <c r="O935" i="9"/>
  <c r="AX935" i="9"/>
  <c r="R972" i="9"/>
  <c r="Q972" i="9"/>
  <c r="AX182" i="9"/>
  <c r="O182" i="9"/>
  <c r="Q235" i="9"/>
  <c r="R235" i="9"/>
  <c r="L825" i="9"/>
  <c r="AV825" i="9"/>
  <c r="P134" i="9"/>
  <c r="AZ134" i="9"/>
  <c r="I96" i="9"/>
  <c r="AR96" i="9"/>
  <c r="L201" i="9"/>
  <c r="AV201" i="9"/>
  <c r="L159" i="9"/>
  <c r="AV159" i="9"/>
  <c r="L195" i="9"/>
  <c r="AV195" i="9"/>
  <c r="P360" i="9"/>
  <c r="AZ360" i="9"/>
  <c r="Q298" i="9"/>
  <c r="R298" i="9"/>
  <c r="O370" i="9"/>
  <c r="AX370" i="9"/>
  <c r="L430" i="9"/>
  <c r="AV430" i="9"/>
  <c r="AZ508" i="9"/>
  <c r="AX509" i="9"/>
  <c r="O509" i="9"/>
  <c r="BB491" i="9"/>
  <c r="S491" i="9"/>
  <c r="R669" i="9"/>
  <c r="Q669" i="9"/>
  <c r="AX674" i="9"/>
  <c r="AV732" i="9"/>
  <c r="L732" i="9"/>
  <c r="X969" i="9"/>
  <c r="Y969" i="9"/>
  <c r="L365" i="9"/>
  <c r="AV365" i="9"/>
  <c r="Q494" i="9"/>
  <c r="R494" i="9"/>
  <c r="L552" i="9"/>
  <c r="AV552" i="9"/>
  <c r="L829" i="9"/>
  <c r="AV829" i="9"/>
  <c r="AR910" i="9"/>
  <c r="I910" i="9"/>
  <c r="AX4" i="9"/>
  <c r="O4" i="9"/>
  <c r="P53" i="9"/>
  <c r="AZ53" i="9"/>
  <c r="R183" i="9"/>
  <c r="Q183" i="9"/>
  <c r="AX283" i="9"/>
  <c r="O283" i="9"/>
  <c r="AV209" i="9"/>
  <c r="L209" i="9"/>
  <c r="O325" i="9"/>
  <c r="AX325" i="9"/>
  <c r="Q322" i="9"/>
  <c r="R322" i="9"/>
  <c r="L257" i="9"/>
  <c r="AV257" i="9"/>
  <c r="R337" i="9"/>
  <c r="Q337" i="9"/>
  <c r="I349" i="9"/>
  <c r="AR349" i="9"/>
  <c r="L432" i="9"/>
  <c r="AV432" i="9"/>
  <c r="AV451" i="9"/>
  <c r="L451" i="9"/>
  <c r="AV516" i="9"/>
  <c r="L516" i="9"/>
  <c r="O586" i="9"/>
  <c r="AX586" i="9"/>
  <c r="L644" i="9"/>
  <c r="AV644" i="9"/>
  <c r="AR697" i="9"/>
  <c r="I697" i="9"/>
  <c r="AX733" i="9"/>
  <c r="O733" i="9"/>
  <c r="P715" i="9"/>
  <c r="AZ715" i="9"/>
  <c r="R719" i="9"/>
  <c r="Q719" i="9"/>
  <c r="L798" i="9"/>
  <c r="AV798" i="9"/>
  <c r="L883" i="9"/>
  <c r="AV883" i="9"/>
  <c r="Q873" i="9"/>
  <c r="R873" i="9"/>
  <c r="AX868" i="9"/>
  <c r="AW998" i="9"/>
  <c r="L998" i="9"/>
  <c r="I564" i="9"/>
  <c r="AR564" i="9"/>
  <c r="O963" i="9"/>
  <c r="AY963" i="9"/>
  <c r="BB33" i="9"/>
  <c r="S33" i="9"/>
  <c r="AR84" i="9"/>
  <c r="I84" i="9"/>
  <c r="L222" i="9"/>
  <c r="AV222" i="9"/>
  <c r="L238" i="9"/>
  <c r="AV238" i="9"/>
  <c r="AR424" i="9"/>
  <c r="I424" i="9"/>
  <c r="R514" i="9"/>
  <c r="Q514" i="9"/>
  <c r="AV661" i="9"/>
  <c r="L661" i="9"/>
  <c r="R702" i="9"/>
  <c r="Q702" i="9"/>
  <c r="BB734" i="9"/>
  <c r="S734" i="9"/>
  <c r="O359" i="9"/>
  <c r="AX359" i="9"/>
  <c r="AV597" i="9"/>
  <c r="L597" i="9"/>
  <c r="L748" i="9"/>
  <c r="AV748" i="9"/>
  <c r="R853" i="9"/>
  <c r="Q853" i="9"/>
  <c r="AV31" i="9"/>
  <c r="L31" i="9"/>
  <c r="AX184" i="9"/>
  <c r="O184" i="9"/>
  <c r="I927" i="9"/>
  <c r="AR927" i="9"/>
  <c r="AV63" i="9"/>
  <c r="L63" i="9"/>
  <c r="Q302" i="9"/>
  <c r="R302" i="9"/>
  <c r="AX358" i="9"/>
  <c r="O358" i="9"/>
  <c r="O437" i="9"/>
  <c r="AX437" i="9"/>
  <c r="I429" i="9"/>
  <c r="AR429" i="9"/>
  <c r="AR561" i="9"/>
  <c r="I561" i="9"/>
  <c r="P735" i="9"/>
  <c r="AZ735" i="9"/>
  <c r="L774" i="9"/>
  <c r="AV774" i="9"/>
  <c r="AV860" i="9"/>
  <c r="L860" i="9"/>
  <c r="L1000" i="9"/>
  <c r="AV1000" i="9"/>
  <c r="R182" i="9"/>
  <c r="Q182" i="9"/>
  <c r="O235" i="9"/>
  <c r="AX235" i="9"/>
  <c r="AV319" i="9"/>
  <c r="L319" i="9"/>
  <c r="AV409" i="9"/>
  <c r="L409" i="9"/>
  <c r="AV55" i="9"/>
  <c r="L55" i="9"/>
  <c r="I109" i="9"/>
  <c r="AR109" i="9"/>
  <c r="P141" i="9"/>
  <c r="AZ141" i="9"/>
  <c r="R33" i="9"/>
  <c r="Q33" i="9"/>
  <c r="AR142" i="9"/>
  <c r="I142" i="9"/>
  <c r="I185" i="9"/>
  <c r="AR185" i="9"/>
  <c r="AR262" i="9"/>
  <c r="I262" i="9"/>
  <c r="Y50" i="9"/>
  <c r="X50" i="9"/>
  <c r="AV181" i="9"/>
  <c r="L181" i="9"/>
  <c r="AR136" i="9"/>
  <c r="I136" i="9"/>
  <c r="L149" i="9"/>
  <c r="AV149" i="9"/>
  <c r="AY334" i="9"/>
  <c r="O334" i="9"/>
  <c r="O92" i="9"/>
  <c r="AX92" i="9"/>
  <c r="BD50" i="9"/>
  <c r="W50" i="9"/>
  <c r="V50" i="9"/>
  <c r="Z50" i="9"/>
  <c r="I95" i="9"/>
  <c r="AR95" i="9"/>
  <c r="R291" i="9"/>
  <c r="Q291" i="9"/>
  <c r="L266" i="9"/>
  <c r="AV266" i="9"/>
  <c r="AR401" i="9"/>
  <c r="I401" i="9"/>
  <c r="AX416" i="9"/>
  <c r="O416" i="9"/>
  <c r="O410" i="9"/>
  <c r="AX410" i="9"/>
  <c r="L460" i="9"/>
  <c r="AV460" i="9"/>
  <c r="AV438" i="9"/>
  <c r="L438" i="9"/>
  <c r="AS508" i="9"/>
  <c r="I508" i="9"/>
  <c r="AV571" i="9"/>
  <c r="L571" i="9"/>
  <c r="Q664" i="9"/>
  <c r="R664" i="9"/>
  <c r="Q670" i="9"/>
  <c r="R670" i="9"/>
  <c r="AR640" i="9"/>
  <c r="I640" i="9"/>
  <c r="O773" i="9"/>
  <c r="AX773" i="9"/>
  <c r="R792" i="9"/>
  <c r="Q792" i="9"/>
  <c r="AR985" i="9"/>
  <c r="I985" i="9"/>
  <c r="Q967" i="9"/>
  <c r="R967" i="9"/>
  <c r="AX545" i="9"/>
  <c r="L885" i="9"/>
  <c r="AV885" i="9"/>
  <c r="AV989" i="9"/>
  <c r="L989" i="9"/>
  <c r="AX639" i="9"/>
  <c r="O639" i="9"/>
  <c r="AV948" i="9"/>
  <c r="L948" i="9"/>
  <c r="L68" i="9"/>
  <c r="AV68" i="9"/>
  <c r="L118" i="9"/>
  <c r="AV118" i="9"/>
  <c r="R200" i="9"/>
  <c r="Q200" i="9"/>
  <c r="R274" i="9"/>
  <c r="Q274" i="9"/>
  <c r="O375" i="9"/>
  <c r="AX375" i="9"/>
  <c r="AX320" i="9"/>
  <c r="O320" i="9"/>
  <c r="L398" i="9"/>
  <c r="AV398" i="9"/>
  <c r="P442" i="9"/>
  <c r="AZ442" i="9"/>
  <c r="AV458" i="9"/>
  <c r="L458" i="9"/>
  <c r="AS533" i="9"/>
  <c r="I533" i="9"/>
  <c r="L581" i="9"/>
  <c r="AV581" i="9"/>
  <c r="L544" i="9"/>
  <c r="AV544" i="9"/>
  <c r="O585" i="9"/>
  <c r="AX585" i="9"/>
  <c r="Q662" i="9"/>
  <c r="R662" i="9"/>
  <c r="AX675" i="9"/>
  <c r="O675" i="9"/>
  <c r="AR720" i="9"/>
  <c r="I720" i="9"/>
  <c r="Y843" i="9"/>
  <c r="X843" i="9"/>
  <c r="O842" i="9"/>
  <c r="AX842" i="9"/>
  <c r="BD895" i="9"/>
  <c r="Q929" i="9"/>
  <c r="R929" i="9"/>
  <c r="AX658" i="9"/>
  <c r="O658" i="9"/>
  <c r="AZ780" i="9"/>
  <c r="AY895" i="9"/>
  <c r="O895" i="9"/>
  <c r="AV921" i="9"/>
  <c r="L921" i="9"/>
  <c r="O838" i="9"/>
  <c r="AX838" i="9"/>
  <c r="Q100" i="9"/>
  <c r="R100" i="9"/>
  <c r="L148" i="9"/>
  <c r="AV148" i="9"/>
  <c r="L152" i="9"/>
  <c r="AV152" i="9"/>
  <c r="L268" i="9"/>
  <c r="AV268" i="9"/>
  <c r="AX385" i="9"/>
  <c r="O385" i="9"/>
  <c r="O391" i="9"/>
  <c r="AX391" i="9"/>
  <c r="R404" i="9"/>
  <c r="Q404" i="9"/>
  <c r="Y381" i="9"/>
  <c r="X381" i="9"/>
  <c r="AV455" i="9"/>
  <c r="L455" i="9"/>
  <c r="AR440" i="9"/>
  <c r="I440" i="9"/>
  <c r="AX481" i="9"/>
  <c r="O481" i="9"/>
  <c r="L548" i="9"/>
  <c r="AV548" i="9"/>
  <c r="AV559" i="9"/>
  <c r="L559" i="9"/>
  <c r="AV652" i="9"/>
  <c r="L652" i="9"/>
  <c r="L633" i="9"/>
  <c r="AV633" i="9"/>
  <c r="AZ663" i="9"/>
  <c r="P663" i="9"/>
  <c r="P739" i="9"/>
  <c r="AZ739" i="9"/>
  <c r="L746" i="9"/>
  <c r="AV746" i="9"/>
  <c r="P783" i="9"/>
  <c r="AZ783" i="9"/>
  <c r="O834" i="9"/>
  <c r="AX834" i="9"/>
  <c r="AZ888" i="9"/>
  <c r="P888" i="9"/>
  <c r="AY943" i="9"/>
  <c r="O943" i="9"/>
  <c r="AV547" i="9"/>
  <c r="L547" i="9"/>
  <c r="BB855" i="9"/>
  <c r="S855" i="9"/>
  <c r="AZ932" i="9"/>
  <c r="P932" i="9"/>
  <c r="R28" i="9"/>
  <c r="Q28" i="9"/>
  <c r="AX276" i="9"/>
  <c r="O276" i="9"/>
  <c r="L255" i="9"/>
  <c r="AV255" i="9"/>
  <c r="O407" i="9"/>
  <c r="AX407" i="9"/>
  <c r="L445" i="9"/>
  <c r="AV445" i="9"/>
  <c r="L560" i="9"/>
  <c r="AV560" i="9"/>
  <c r="O673" i="9"/>
  <c r="AX673" i="9"/>
  <c r="AV616" i="9"/>
  <c r="L616" i="9"/>
  <c r="AV726" i="9"/>
  <c r="L726" i="9"/>
  <c r="I962" i="9"/>
  <c r="AR962" i="9"/>
  <c r="AR89" i="9"/>
  <c r="I89" i="9"/>
  <c r="AV3" i="9"/>
  <c r="L3" i="9"/>
  <c r="AV23" i="9"/>
  <c r="L23" i="9"/>
  <c r="P49" i="9"/>
  <c r="AZ49" i="9"/>
  <c r="AV74" i="9"/>
  <c r="L74" i="9"/>
  <c r="R212" i="9"/>
  <c r="Q212" i="9"/>
  <c r="R341" i="9"/>
  <c r="Q341" i="9"/>
  <c r="L261" i="9"/>
  <c r="AV261" i="9"/>
  <c r="L284" i="9"/>
  <c r="AV284" i="9"/>
  <c r="BB318" i="9"/>
  <c r="P290" i="9"/>
  <c r="AZ290" i="9"/>
  <c r="BB314" i="9"/>
  <c r="S314" i="9"/>
  <c r="AR379" i="9"/>
  <c r="I379" i="9"/>
  <c r="P454" i="9"/>
  <c r="AZ454" i="9"/>
  <c r="AX485" i="9"/>
  <c r="I492" i="9"/>
  <c r="AS492" i="9"/>
  <c r="P579" i="9"/>
  <c r="AZ579" i="9"/>
  <c r="P550" i="9"/>
  <c r="AZ550" i="9"/>
  <c r="Q611" i="9"/>
  <c r="R611" i="9"/>
  <c r="AV605" i="9"/>
  <c r="L605" i="9"/>
  <c r="AV804" i="9"/>
  <c r="L804" i="9"/>
  <c r="P847" i="9"/>
  <c r="AZ847" i="9"/>
  <c r="O972" i="9"/>
  <c r="AX972" i="9"/>
  <c r="P61" i="9"/>
  <c r="AZ61" i="9"/>
  <c r="AV459" i="9"/>
  <c r="L459" i="9"/>
  <c r="P26" i="9"/>
  <c r="AZ26" i="9"/>
  <c r="R46" i="9"/>
  <c r="Q46" i="9"/>
  <c r="L270" i="9"/>
  <c r="AV270" i="9"/>
  <c r="L258" i="9"/>
  <c r="AV258" i="9"/>
  <c r="AV368" i="9"/>
  <c r="L368" i="9"/>
  <c r="O298" i="9"/>
  <c r="AX298" i="9"/>
  <c r="AA373" i="9"/>
  <c r="L470" i="9"/>
  <c r="AV470" i="9"/>
  <c r="AS504" i="9"/>
  <c r="I504" i="9"/>
  <c r="BB503" i="9"/>
  <c r="R579" i="9"/>
  <c r="Q579" i="9"/>
  <c r="P619" i="9"/>
  <c r="AZ619" i="9"/>
  <c r="Q587" i="9"/>
  <c r="R587" i="9"/>
  <c r="P643" i="9"/>
  <c r="AZ643" i="9"/>
  <c r="O669" i="9"/>
  <c r="AX669" i="9"/>
  <c r="AV698" i="9"/>
  <c r="L698" i="9"/>
  <c r="AS776" i="9"/>
  <c r="I776" i="9"/>
  <c r="Q797" i="9"/>
  <c r="R797" i="9"/>
  <c r="AR806" i="9"/>
  <c r="I806" i="9"/>
  <c r="L822" i="9"/>
  <c r="AV822" i="9"/>
  <c r="L819" i="9"/>
  <c r="AV819" i="9"/>
  <c r="AV944" i="9"/>
  <c r="L944" i="9"/>
  <c r="AX945" i="9"/>
  <c r="BD969" i="9"/>
  <c r="W969" i="9"/>
  <c r="V969" i="9"/>
  <c r="Z969" i="9"/>
  <c r="AV992" i="9"/>
  <c r="L992" i="9"/>
  <c r="L167" i="9"/>
  <c r="AV167" i="9"/>
  <c r="AX494" i="9"/>
  <c r="O494" i="9"/>
  <c r="L623" i="9"/>
  <c r="AV623" i="9"/>
  <c r="P42" i="9"/>
  <c r="AZ42" i="9"/>
  <c r="Q4" i="9"/>
  <c r="R4" i="9"/>
  <c r="AV78" i="9"/>
  <c r="L78" i="9"/>
  <c r="L135" i="9"/>
  <c r="AV135" i="9"/>
  <c r="L157" i="9"/>
  <c r="AV157" i="9"/>
  <c r="I210" i="9"/>
  <c r="AR210" i="9"/>
  <c r="R325" i="9"/>
  <c r="Q325" i="9"/>
  <c r="AW519" i="9"/>
  <c r="L519" i="9"/>
  <c r="O575" i="9"/>
  <c r="AX575" i="9"/>
  <c r="AS686" i="9"/>
  <c r="I686" i="9"/>
  <c r="AV693" i="9"/>
  <c r="L693" i="9"/>
  <c r="R733" i="9"/>
  <c r="Q733" i="9"/>
  <c r="R865" i="9"/>
  <c r="Q865" i="9"/>
  <c r="R953" i="9"/>
  <c r="Q953" i="9"/>
  <c r="O317" i="9"/>
  <c r="AX317" i="9"/>
  <c r="R520" i="9"/>
  <c r="Q520" i="9"/>
  <c r="L8" i="9"/>
  <c r="AV8" i="9"/>
  <c r="L138" i="9"/>
  <c r="AV138" i="9"/>
  <c r="R228" i="9"/>
  <c r="Q228" i="9"/>
  <c r="Q334" i="9"/>
  <c r="R334" i="9"/>
  <c r="AV648" i="9"/>
  <c r="L648" i="9"/>
  <c r="BB659" i="9"/>
  <c r="AR893" i="9"/>
  <c r="I893" i="9"/>
  <c r="AV241" i="9"/>
  <c r="L241" i="9"/>
  <c r="AS642" i="9"/>
  <c r="I642" i="9"/>
  <c r="L448" i="9"/>
  <c r="AV448" i="9"/>
  <c r="AR628" i="9"/>
  <c r="I628" i="9"/>
  <c r="R762" i="9"/>
  <c r="Q762" i="9"/>
  <c r="O878" i="9"/>
  <c r="AX878" i="9"/>
  <c r="P14" i="9"/>
  <c r="AZ14" i="9"/>
  <c r="R92" i="9"/>
  <c r="Q92" i="9"/>
  <c r="L85" i="9"/>
  <c r="AV85" i="9"/>
  <c r="O199" i="9"/>
  <c r="AX199" i="9"/>
  <c r="O291" i="9"/>
  <c r="AX291" i="9"/>
  <c r="AR249" i="9"/>
  <c r="I249" i="9"/>
  <c r="Q312" i="9"/>
  <c r="R312" i="9"/>
  <c r="R565" i="9"/>
  <c r="Q565" i="9"/>
  <c r="L988" i="9"/>
  <c r="AV988" i="9"/>
  <c r="Q478" i="9"/>
  <c r="R478" i="9"/>
  <c r="AV864" i="9"/>
  <c r="L864" i="9"/>
  <c r="L69" i="9"/>
  <c r="AV69" i="9"/>
  <c r="AX192" i="9"/>
  <c r="O192" i="9"/>
  <c r="AV225" i="9"/>
  <c r="L225" i="9"/>
  <c r="Q310" i="9"/>
  <c r="R310" i="9"/>
  <c r="L279" i="9"/>
  <c r="AV279" i="9"/>
  <c r="L439" i="9"/>
  <c r="AV439" i="9"/>
  <c r="AX749" i="9"/>
  <c r="O749" i="9"/>
  <c r="AV555" i="9"/>
  <c r="L555" i="9"/>
  <c r="L909" i="9"/>
  <c r="AV909" i="9"/>
  <c r="P10" i="9"/>
  <c r="AZ10" i="9"/>
  <c r="O29" i="9"/>
  <c r="AX29" i="9"/>
  <c r="L107" i="9"/>
  <c r="AV107" i="9"/>
  <c r="R397" i="9"/>
  <c r="Q397" i="9"/>
  <c r="Q366" i="9"/>
  <c r="R366" i="9"/>
  <c r="P383" i="9"/>
  <c r="AZ383" i="9"/>
  <c r="L396" i="9"/>
  <c r="AV396" i="9"/>
  <c r="L464" i="9"/>
  <c r="AV464" i="9"/>
  <c r="L578" i="9"/>
  <c r="AV578" i="9"/>
  <c r="AV602" i="9"/>
  <c r="L602" i="9"/>
  <c r="AV694" i="9"/>
  <c r="L694" i="9"/>
  <c r="Q714" i="9"/>
  <c r="R714" i="9"/>
  <c r="AZ745" i="9"/>
  <c r="P745" i="9"/>
  <c r="AR721" i="9"/>
  <c r="I721" i="9"/>
  <c r="Q789" i="9"/>
  <c r="R789" i="9"/>
  <c r="AV405" i="9"/>
  <c r="L405" i="9"/>
  <c r="AV466" i="9"/>
  <c r="L466" i="9"/>
  <c r="O46" i="9"/>
  <c r="AX46" i="9"/>
  <c r="L223" i="9"/>
  <c r="AV223" i="9"/>
  <c r="AV233" i="9"/>
  <c r="L233" i="9"/>
  <c r="O414" i="9"/>
  <c r="AX414" i="9"/>
  <c r="L456" i="9"/>
  <c r="AV456" i="9"/>
  <c r="BB515" i="9"/>
  <c r="AV524" i="9"/>
  <c r="L524" i="9"/>
  <c r="AW515" i="9"/>
  <c r="L515" i="9"/>
  <c r="AV583" i="9"/>
  <c r="L583" i="9"/>
  <c r="AR634" i="9"/>
  <c r="I634" i="9"/>
  <c r="AX587" i="9"/>
  <c r="O587" i="9"/>
  <c r="P653" i="9"/>
  <c r="AZ653" i="9"/>
  <c r="AV672" i="9"/>
  <c r="L672" i="9"/>
  <c r="AX779" i="9"/>
  <c r="AX797" i="9"/>
  <c r="O797" i="9"/>
  <c r="AV863" i="9"/>
  <c r="L863" i="9"/>
  <c r="L881" i="9"/>
  <c r="AV881" i="9"/>
  <c r="I886" i="9"/>
  <c r="AR886" i="9"/>
  <c r="L271" i="9"/>
  <c r="AV271" i="9"/>
  <c r="L394" i="9"/>
  <c r="AV394" i="9"/>
  <c r="I856" i="9"/>
  <c r="AR856" i="9"/>
  <c r="R240" i="9"/>
  <c r="Q240" i="9"/>
  <c r="AV217" i="9"/>
  <c r="L217" i="9"/>
  <c r="Q328" i="9"/>
  <c r="R328" i="9"/>
  <c r="AV347" i="9"/>
  <c r="L347" i="9"/>
  <c r="Q399" i="9"/>
  <c r="R399" i="9"/>
  <c r="R408" i="9"/>
  <c r="Q408" i="9"/>
  <c r="AX468" i="9"/>
  <c r="R575" i="9"/>
  <c r="Q575" i="9"/>
  <c r="AZ580" i="9"/>
  <c r="P580" i="9"/>
  <c r="L593" i="9"/>
  <c r="AV593" i="9"/>
  <c r="AV612" i="9"/>
  <c r="L612" i="9"/>
  <c r="R713" i="9"/>
  <c r="Q713" i="9"/>
  <c r="AV782" i="9"/>
  <c r="L782" i="9"/>
  <c r="O810" i="9"/>
  <c r="AX810" i="9"/>
  <c r="L849" i="9"/>
  <c r="AV849" i="9"/>
  <c r="O865" i="9"/>
  <c r="AX865" i="9"/>
  <c r="AY953" i="9"/>
  <c r="O953" i="9"/>
  <c r="L97" i="9"/>
  <c r="AV97" i="9"/>
  <c r="R317" i="9"/>
  <c r="Q317" i="9"/>
  <c r="AX520" i="9"/>
  <c r="O520" i="9"/>
  <c r="I704" i="9"/>
  <c r="AR704" i="9"/>
  <c r="L979" i="9"/>
  <c r="AV979" i="9"/>
  <c r="O228" i="9"/>
  <c r="AX228" i="9"/>
  <c r="L246" i="9"/>
  <c r="AV246" i="9"/>
  <c r="BB330" i="9"/>
  <c r="S330" i="9"/>
  <c r="P869" i="9"/>
  <c r="AZ869" i="9"/>
  <c r="Q983" i="9"/>
  <c r="R983" i="9"/>
  <c r="BB480" i="9"/>
  <c r="S480" i="9"/>
  <c r="AR731" i="9"/>
  <c r="I731" i="9"/>
  <c r="L871" i="9"/>
  <c r="AV871" i="9"/>
  <c r="R13" i="9"/>
  <c r="Q13" i="9"/>
  <c r="P77" i="9"/>
  <c r="AZ77" i="9"/>
  <c r="I155" i="9"/>
  <c r="AR155" i="9"/>
  <c r="Q336" i="9"/>
  <c r="R336" i="9"/>
  <c r="I476" i="9"/>
  <c r="AS476" i="9"/>
  <c r="R805" i="9"/>
  <c r="Q805" i="9"/>
  <c r="R410" i="9"/>
  <c r="Q410" i="9"/>
  <c r="Q480" i="9"/>
  <c r="R480" i="9"/>
  <c r="O664" i="9"/>
  <c r="AX664" i="9"/>
  <c r="O670" i="9"/>
  <c r="AX670" i="9"/>
  <c r="Q877" i="9"/>
  <c r="R877" i="9"/>
  <c r="AX966" i="9"/>
  <c r="L1001" i="9"/>
  <c r="AV1001" i="9"/>
  <c r="AV682" i="9"/>
  <c r="L682" i="9"/>
  <c r="AV892" i="9"/>
  <c r="L892" i="9"/>
  <c r="AZ994" i="9"/>
  <c r="L126" i="9"/>
  <c r="AV126" i="9"/>
  <c r="R213" i="9"/>
  <c r="Q213" i="9"/>
  <c r="AV335" i="9"/>
  <c r="L335" i="9"/>
  <c r="AR830" i="9"/>
  <c r="I830" i="9"/>
  <c r="O903" i="9"/>
  <c r="AX903" i="9"/>
  <c r="Q795" i="9"/>
  <c r="R795" i="9"/>
  <c r="Q37" i="9"/>
  <c r="R37" i="9"/>
  <c r="Q403" i="9"/>
  <c r="R403" i="9"/>
  <c r="AX404" i="9"/>
  <c r="O404" i="9"/>
  <c r="O525" i="9"/>
  <c r="AX525" i="9"/>
  <c r="P655" i="9"/>
  <c r="AZ655" i="9"/>
  <c r="AV646" i="9"/>
  <c r="L646" i="9"/>
  <c r="L753" i="9"/>
  <c r="AV753" i="9"/>
  <c r="L850" i="9"/>
  <c r="AV850" i="9"/>
  <c r="BB500" i="9"/>
  <c r="L635" i="9"/>
  <c r="AV635" i="9"/>
  <c r="R665" i="9"/>
  <c r="Q665" i="9"/>
  <c r="Q530" i="9"/>
  <c r="R530" i="9"/>
  <c r="AV787" i="9"/>
  <c r="L787" i="9"/>
  <c r="AV19" i="9"/>
  <c r="L19" i="9"/>
  <c r="L102" i="9"/>
  <c r="AV102" i="9"/>
  <c r="AX12" i="9"/>
  <c r="O12" i="9"/>
  <c r="R199" i="9"/>
  <c r="Q199" i="9"/>
  <c r="R345" i="9"/>
  <c r="Q345" i="9"/>
  <c r="AX312" i="9"/>
  <c r="O312" i="9"/>
  <c r="AX308" i="9"/>
  <c r="O308" i="9"/>
  <c r="BB342" i="9"/>
  <c r="S342" i="9"/>
  <c r="L384" i="9"/>
  <c r="AV384" i="9"/>
  <c r="AR425" i="9"/>
  <c r="I425" i="9"/>
  <c r="R420" i="9"/>
  <c r="Q420" i="9"/>
  <c r="L444" i="9"/>
  <c r="AV444" i="9"/>
  <c r="L427" i="9"/>
  <c r="AV427" i="9"/>
  <c r="AZ504" i="9"/>
  <c r="O565" i="9"/>
  <c r="AX565" i="9"/>
  <c r="AV567" i="9"/>
  <c r="L567" i="9"/>
  <c r="AX577" i="9"/>
  <c r="R667" i="9"/>
  <c r="Q667" i="9"/>
  <c r="AS659" i="9"/>
  <c r="I659" i="9"/>
  <c r="BD803" i="9"/>
  <c r="W803" i="9"/>
  <c r="V803" i="9"/>
  <c r="Z803" i="9"/>
  <c r="AV926" i="9"/>
  <c r="L926" i="9"/>
  <c r="BB959" i="9"/>
  <c r="S959" i="9"/>
  <c r="AV606" i="9"/>
  <c r="L606" i="9"/>
  <c r="O706" i="9"/>
  <c r="AX706" i="9"/>
  <c r="AV716" i="9"/>
  <c r="L716" i="9"/>
  <c r="R997" i="9"/>
  <c r="Q997" i="9"/>
  <c r="I523" i="9"/>
  <c r="AR523" i="9"/>
  <c r="P65" i="9"/>
  <c r="AZ65" i="9"/>
  <c r="AZ355" i="9"/>
  <c r="P355" i="9"/>
  <c r="AX213" i="9"/>
  <c r="O213" i="9"/>
  <c r="Q338" i="9"/>
  <c r="R338" i="9"/>
  <c r="Q296" i="9"/>
  <c r="R296" i="9"/>
  <c r="R412" i="9"/>
  <c r="Q412" i="9"/>
  <c r="R418" i="9"/>
  <c r="Q418" i="9"/>
  <c r="AX553" i="9"/>
  <c r="L570" i="9"/>
  <c r="AV570" i="9"/>
  <c r="AR610" i="9"/>
  <c r="I610" i="9"/>
  <c r="AV621" i="9"/>
  <c r="L621" i="9"/>
  <c r="L683" i="9"/>
  <c r="AV683" i="9"/>
  <c r="AV770" i="9"/>
  <c r="L770" i="9"/>
  <c r="AX775" i="9"/>
  <c r="P915" i="9"/>
  <c r="AZ915" i="9"/>
  <c r="Q903" i="9"/>
  <c r="R903" i="9"/>
  <c r="I999" i="9"/>
  <c r="AR999" i="9"/>
  <c r="AX795" i="9"/>
  <c r="O795" i="9"/>
  <c r="AS674" i="9"/>
  <c r="I674" i="9"/>
  <c r="AV94" i="9"/>
  <c r="L94" i="9"/>
  <c r="AX44" i="9"/>
  <c r="O44" i="9"/>
  <c r="R131" i="9"/>
  <c r="Q131" i="9"/>
  <c r="AZ179" i="9"/>
  <c r="P179" i="9"/>
  <c r="AV146" i="9"/>
  <c r="L146" i="9"/>
  <c r="R175" i="9"/>
  <c r="Q175" i="9"/>
  <c r="I170" i="9"/>
  <c r="AR170" i="9"/>
  <c r="P310" i="9"/>
  <c r="AZ310" i="9"/>
  <c r="AR264" i="9"/>
  <c r="I264" i="9"/>
  <c r="O294" i="9"/>
  <c r="AX294" i="9"/>
  <c r="O403" i="9"/>
  <c r="AX403" i="9"/>
  <c r="BD495" i="9"/>
  <c r="Q525" i="9"/>
  <c r="R525" i="9"/>
  <c r="AX477" i="9"/>
  <c r="O477" i="9"/>
  <c r="AW503" i="9"/>
  <c r="L503" i="9"/>
  <c r="L572" i="9"/>
  <c r="AV572" i="9"/>
  <c r="BB641" i="9"/>
  <c r="Q666" i="9"/>
  <c r="R666" i="9"/>
  <c r="L684" i="9"/>
  <c r="AV684" i="9"/>
  <c r="AZ772" i="9"/>
  <c r="P772" i="9"/>
  <c r="AX857" i="9"/>
  <c r="O857" i="9"/>
  <c r="AV870" i="9"/>
  <c r="L870" i="9"/>
  <c r="Q965" i="9"/>
  <c r="R965" i="9"/>
  <c r="AV512" i="9"/>
  <c r="L512" i="9"/>
  <c r="AX478" i="9"/>
  <c r="O478" i="9"/>
  <c r="O665" i="9"/>
  <c r="AX665" i="9"/>
  <c r="AX530" i="9"/>
  <c r="O530" i="9"/>
  <c r="R630" i="9"/>
  <c r="Q630" i="9"/>
  <c r="Q700" i="9"/>
  <c r="R700" i="9"/>
  <c r="AX24" i="9"/>
  <c r="O24" i="9"/>
  <c r="AX48" i="9"/>
  <c r="O48" i="9"/>
  <c r="Q192" i="9"/>
  <c r="R192" i="9"/>
  <c r="L176" i="9"/>
  <c r="AV176" i="9"/>
  <c r="AV177" i="9"/>
  <c r="L177" i="9"/>
  <c r="L297" i="9"/>
  <c r="AV297" i="9"/>
  <c r="AV378" i="9"/>
  <c r="L378" i="9"/>
  <c r="Q469" i="9"/>
  <c r="R469" i="9"/>
  <c r="AW507" i="9"/>
  <c r="L507" i="9"/>
  <c r="AV637" i="9"/>
  <c r="L637" i="9"/>
  <c r="R749" i="9"/>
  <c r="Q749" i="9"/>
  <c r="AR785" i="9"/>
  <c r="I785" i="9"/>
  <c r="AV1002" i="9"/>
  <c r="L1002" i="9"/>
  <c r="I768" i="9"/>
  <c r="AR768" i="9"/>
  <c r="AS966" i="9"/>
  <c r="I966" i="9"/>
  <c r="R29" i="9"/>
  <c r="Q29" i="9"/>
  <c r="AR128" i="9"/>
  <c r="I128" i="9"/>
  <c r="AV98" i="9"/>
  <c r="L98" i="9"/>
  <c r="L143" i="9"/>
  <c r="AV143" i="9"/>
  <c r="AV27" i="9"/>
  <c r="L27" i="9"/>
  <c r="L127" i="9"/>
  <c r="AV127" i="9"/>
  <c r="BB334" i="9"/>
  <c r="O397" i="9"/>
  <c r="AX397" i="9"/>
  <c r="O366" i="9"/>
  <c r="AX366" i="9"/>
  <c r="BB496" i="9"/>
  <c r="AZ533" i="9"/>
  <c r="AX556" i="9"/>
  <c r="O556" i="9"/>
  <c r="AZ632" i="9"/>
  <c r="P632" i="9"/>
  <c r="L695" i="9"/>
  <c r="AV695" i="9"/>
  <c r="AZ689" i="9"/>
  <c r="P689" i="9"/>
  <c r="O714" i="9"/>
  <c r="AX714" i="9"/>
  <c r="AX789" i="9"/>
  <c r="O789" i="9"/>
  <c r="AX833" i="9"/>
  <c r="O833" i="9"/>
  <c r="P891" i="9"/>
  <c r="AZ891" i="9"/>
  <c r="L978" i="9"/>
  <c r="AV978" i="9"/>
  <c r="AZ998" i="9"/>
  <c r="L996" i="9"/>
  <c r="AV996" i="9"/>
  <c r="AR121" i="9"/>
  <c r="I121" i="9"/>
  <c r="BB660" i="9"/>
  <c r="S660" i="9"/>
  <c r="P18" i="9"/>
  <c r="AZ18" i="9"/>
  <c r="AV71" i="9"/>
  <c r="L71" i="9"/>
  <c r="AZ178" i="9"/>
  <c r="P178" i="9"/>
  <c r="AR207" i="9"/>
  <c r="I207" i="9"/>
  <c r="P322" i="9"/>
  <c r="AZ322" i="9"/>
  <c r="R414" i="9"/>
  <c r="Q414" i="9"/>
  <c r="Q488" i="9"/>
  <c r="R488" i="9"/>
  <c r="Q473" i="9"/>
  <c r="R473" i="9"/>
  <c r="AV554" i="9"/>
  <c r="L554" i="9"/>
  <c r="AV786" i="9"/>
  <c r="L786" i="9"/>
  <c r="Q292" i="9"/>
  <c r="R292" i="9"/>
  <c r="AV617" i="9"/>
  <c r="L617" i="9"/>
  <c r="AX938" i="9"/>
  <c r="O938" i="9"/>
  <c r="L73" i="9"/>
  <c r="AV73" i="9"/>
  <c r="L103" i="9"/>
  <c r="AV103" i="9"/>
  <c r="AV39" i="9"/>
  <c r="L39" i="9"/>
  <c r="R174" i="9"/>
  <c r="Q174" i="9"/>
  <c r="L273" i="9"/>
  <c r="AV273" i="9"/>
  <c r="AX328" i="9"/>
  <c r="O328" i="9"/>
  <c r="L285" i="9"/>
  <c r="AV285" i="9"/>
  <c r="O399" i="9"/>
  <c r="AX399" i="9"/>
  <c r="L388" i="9"/>
  <c r="AV388" i="9"/>
  <c r="AX408" i="9"/>
  <c r="O408" i="9"/>
  <c r="I500" i="9"/>
  <c r="AS500" i="9"/>
  <c r="AV543" i="9"/>
  <c r="L543" i="9"/>
  <c r="AX595" i="9"/>
  <c r="O595" i="9"/>
  <c r="O713" i="9"/>
  <c r="AX713" i="9"/>
  <c r="O717" i="9"/>
  <c r="AX717" i="9"/>
  <c r="R810" i="9"/>
  <c r="Q810" i="9"/>
  <c r="AS841" i="9"/>
  <c r="I841" i="9"/>
  <c r="AB866" i="9"/>
  <c r="AV900" i="9"/>
  <c r="L900" i="9"/>
  <c r="I937" i="9"/>
  <c r="AR937" i="9"/>
  <c r="AV952" i="9"/>
  <c r="L952" i="9"/>
  <c r="AX968" i="9"/>
  <c r="O968" i="9"/>
  <c r="AS994" i="9"/>
  <c r="I994" i="9"/>
  <c r="Q348" i="9"/>
  <c r="R348" i="9"/>
  <c r="AV534" i="9"/>
  <c r="L534" i="9"/>
  <c r="L80" i="9"/>
  <c r="AV80" i="9"/>
  <c r="AR111" i="9"/>
  <c r="I111" i="9"/>
  <c r="O219" i="9"/>
  <c r="AX219" i="9"/>
  <c r="I526" i="9"/>
  <c r="AR526" i="9"/>
  <c r="AV295" i="9"/>
  <c r="L295" i="9"/>
  <c r="L76" i="9"/>
  <c r="AV76" i="9"/>
  <c r="AR114" i="9"/>
  <c r="I114" i="9"/>
  <c r="P145" i="9"/>
  <c r="AZ145" i="9"/>
  <c r="R12" i="9"/>
  <c r="Q12" i="9"/>
  <c r="I169" i="9"/>
  <c r="AR169" i="9"/>
  <c r="L260" i="9"/>
  <c r="AV260" i="9"/>
  <c r="L380" i="9"/>
  <c r="AV380" i="9"/>
  <c r="AX420" i="9"/>
  <c r="O420" i="9"/>
  <c r="P541" i="9"/>
  <c r="AZ541" i="9"/>
  <c r="Q501" i="9"/>
  <c r="R501" i="9"/>
  <c r="Q513" i="9"/>
  <c r="R513" i="9"/>
  <c r="AS468" i="9"/>
  <c r="I468" i="9"/>
  <c r="AV527" i="9"/>
  <c r="L527" i="9"/>
  <c r="L645" i="9"/>
  <c r="AV645" i="9"/>
  <c r="P724" i="9"/>
  <c r="AZ724" i="9"/>
  <c r="AV852" i="9"/>
  <c r="L852" i="9"/>
  <c r="L973" i="9"/>
  <c r="AV973" i="9"/>
  <c r="L982" i="9"/>
  <c r="AV982" i="9"/>
  <c r="AX974" i="9"/>
  <c r="O974" i="9"/>
  <c r="AV613" i="9"/>
  <c r="L613" i="9"/>
  <c r="R706" i="9"/>
  <c r="Q706" i="9"/>
  <c r="AV657" i="9"/>
  <c r="L657" i="9"/>
  <c r="AX759" i="9"/>
  <c r="O759" i="9"/>
  <c r="AV880" i="9"/>
  <c r="L880" i="9"/>
  <c r="L906" i="9"/>
  <c r="AV906" i="9"/>
  <c r="AZ596" i="9"/>
  <c r="P596" i="9"/>
  <c r="L958" i="9"/>
  <c r="AV958" i="9"/>
  <c r="L64" i="9"/>
  <c r="AV64" i="9"/>
  <c r="AV82" i="9"/>
  <c r="L82" i="9"/>
  <c r="L160" i="9"/>
  <c r="AV160" i="9"/>
  <c r="AR117" i="9"/>
  <c r="I117" i="9"/>
  <c r="AR83" i="9"/>
  <c r="I83" i="9"/>
  <c r="BB215" i="9"/>
  <c r="S215" i="9"/>
  <c r="L275" i="9"/>
  <c r="AV275" i="9"/>
  <c r="P239" i="9"/>
  <c r="AZ239" i="9"/>
  <c r="AV299" i="9"/>
  <c r="L299" i="9"/>
  <c r="BB346" i="9"/>
  <c r="AX296" i="9"/>
  <c r="O296" i="9"/>
  <c r="AX412" i="9"/>
  <c r="O412" i="9"/>
  <c r="AV421" i="9"/>
  <c r="L421" i="9"/>
  <c r="AS485" i="9"/>
  <c r="I485" i="9"/>
  <c r="P457" i="9"/>
  <c r="AZ457" i="9"/>
  <c r="Q489" i="9"/>
  <c r="R489" i="9"/>
  <c r="L557" i="9"/>
  <c r="AV557" i="9"/>
  <c r="O607" i="9"/>
  <c r="AX607" i="9"/>
  <c r="R598" i="9"/>
  <c r="Q598" i="9"/>
  <c r="I651" i="9"/>
  <c r="AR651" i="9"/>
  <c r="Q718" i="9"/>
  <c r="R718" i="9"/>
  <c r="AV766" i="9"/>
  <c r="L766" i="9"/>
  <c r="AZ832" i="9"/>
  <c r="P832" i="9"/>
  <c r="L889" i="9"/>
  <c r="AV889" i="9"/>
  <c r="AV887" i="9"/>
  <c r="L887" i="9"/>
  <c r="AX971" i="9"/>
  <c r="O971" i="9"/>
  <c r="BD656" i="9"/>
  <c r="W656" i="9"/>
  <c r="V656" i="9"/>
  <c r="L839" i="9"/>
  <c r="AV839" i="9"/>
  <c r="AR729" i="9"/>
  <c r="I729" i="9"/>
  <c r="AX93" i="9"/>
  <c r="O93" i="9"/>
  <c r="R44" i="9"/>
  <c r="Q44" i="9"/>
  <c r="AR60" i="9"/>
  <c r="I60" i="9"/>
  <c r="O422" i="9"/>
  <c r="AX422" i="9"/>
  <c r="AZ467" i="9"/>
  <c r="P467" i="9"/>
  <c r="AR528" i="9"/>
  <c r="I528" i="9"/>
  <c r="AX666" i="9"/>
  <c r="O666" i="9"/>
  <c r="L737" i="9"/>
  <c r="AV737" i="9"/>
  <c r="AZ784" i="9"/>
  <c r="P784" i="9"/>
  <c r="R859" i="9"/>
  <c r="Q859" i="9"/>
  <c r="AV844" i="9"/>
  <c r="L844" i="9"/>
  <c r="L821" i="9"/>
  <c r="AV821" i="9"/>
  <c r="L828" i="9"/>
  <c r="AV828" i="9"/>
  <c r="R857" i="9"/>
  <c r="Q857" i="9"/>
  <c r="L924" i="9"/>
  <c r="AV924" i="9"/>
  <c r="O934" i="9"/>
  <c r="AX934" i="9"/>
  <c r="BB953" i="9"/>
  <c r="O965" i="9"/>
  <c r="AX965" i="9"/>
  <c r="Q497" i="9"/>
  <c r="R497" i="9"/>
  <c r="O537" i="9"/>
  <c r="AX537" i="9"/>
  <c r="L574" i="9"/>
  <c r="AV574" i="9"/>
  <c r="L625" i="9"/>
  <c r="AV625" i="9"/>
  <c r="AX630" i="9"/>
  <c r="O630" i="9"/>
  <c r="AX700" i="9"/>
  <c r="O700" i="9"/>
  <c r="L72" i="9"/>
  <c r="AV72" i="9"/>
  <c r="Q24" i="9"/>
  <c r="R24" i="9"/>
  <c r="L5" i="9"/>
  <c r="AV5" i="9"/>
  <c r="AR108" i="9"/>
  <c r="I108" i="9"/>
  <c r="AX40" i="9"/>
  <c r="O40" i="9"/>
  <c r="R48" i="9"/>
  <c r="Q48" i="9"/>
  <c r="P165" i="9"/>
  <c r="AZ165" i="9"/>
  <c r="AX196" i="9"/>
  <c r="O196" i="9"/>
  <c r="AV221" i="9"/>
  <c r="L221" i="9"/>
  <c r="AR289" i="9"/>
  <c r="I289" i="9"/>
  <c r="L400" i="9"/>
  <c r="AV400" i="9"/>
  <c r="O469" i="9"/>
  <c r="AX469" i="9"/>
  <c r="L426" i="9"/>
  <c r="AV426" i="9"/>
  <c r="AX505" i="9"/>
  <c r="R778" i="9"/>
  <c r="Q778" i="9"/>
  <c r="BB911" i="9"/>
  <c r="P34" i="9"/>
  <c r="AZ34" i="9"/>
  <c r="Y54" i="9"/>
  <c r="X54" i="9"/>
  <c r="AR140" i="9"/>
  <c r="I140" i="9"/>
  <c r="L122" i="9"/>
  <c r="AV122" i="9"/>
  <c r="L191" i="9"/>
  <c r="AV191" i="9"/>
  <c r="AV173" i="9"/>
  <c r="L173" i="9"/>
  <c r="AV272" i="9"/>
  <c r="L272" i="9"/>
  <c r="O313" i="9"/>
  <c r="AX313" i="9"/>
  <c r="R254" i="9"/>
  <c r="Q254" i="9"/>
  <c r="AV323" i="9"/>
  <c r="L323" i="9"/>
  <c r="L301" i="9"/>
  <c r="AV301" i="9"/>
  <c r="R377" i="9"/>
  <c r="Q377" i="9"/>
  <c r="Q332" i="9"/>
  <c r="R332" i="9"/>
  <c r="O406" i="9"/>
  <c r="AX406" i="9"/>
  <c r="AZ488" i="9"/>
  <c r="P488" i="9"/>
  <c r="L531" i="9"/>
  <c r="AV531" i="9"/>
  <c r="L506" i="9"/>
  <c r="AV506" i="9"/>
  <c r="AW511" i="9"/>
  <c r="L511" i="9"/>
  <c r="R556" i="9"/>
  <c r="Q556" i="9"/>
  <c r="AV584" i="9"/>
  <c r="L584" i="9"/>
  <c r="AX631" i="9"/>
  <c r="Q654" i="9"/>
  <c r="R654" i="9"/>
  <c r="L741" i="9"/>
  <c r="AV741" i="9"/>
  <c r="I769" i="9"/>
  <c r="AR769" i="9"/>
  <c r="L824" i="9"/>
  <c r="AV824" i="9"/>
  <c r="R833" i="9"/>
  <c r="Q833" i="9"/>
  <c r="L914" i="9"/>
  <c r="AV914" i="9"/>
  <c r="L954" i="9"/>
  <c r="AV954" i="9"/>
  <c r="Y58" i="9"/>
  <c r="X58" i="9"/>
  <c r="O132" i="9"/>
  <c r="AX132" i="9"/>
  <c r="L214" i="9"/>
  <c r="AV214" i="9"/>
  <c r="I206" i="9"/>
  <c r="AR206" i="9"/>
  <c r="R224" i="9"/>
  <c r="Q224" i="9"/>
  <c r="AV331" i="9"/>
  <c r="L331" i="9"/>
  <c r="AB373" i="9"/>
  <c r="AX473" i="9"/>
  <c r="O473" i="9"/>
  <c r="O599" i="9"/>
  <c r="AX599" i="9"/>
  <c r="AV535" i="9"/>
  <c r="L535" i="9"/>
  <c r="AR562" i="9"/>
  <c r="I562" i="9"/>
  <c r="R601" i="9"/>
  <c r="Q601" i="9"/>
  <c r="AX627" i="9"/>
  <c r="O627" i="9"/>
  <c r="P719" i="9"/>
  <c r="AZ719" i="9"/>
  <c r="AV751" i="9"/>
  <c r="L751" i="9"/>
  <c r="AV781" i="9"/>
  <c r="L781" i="9"/>
  <c r="I931" i="9"/>
  <c r="AR931" i="9"/>
  <c r="AS964" i="9"/>
  <c r="I964" i="9"/>
  <c r="R154" i="9"/>
  <c r="Q154" i="9"/>
  <c r="R232" i="9"/>
  <c r="Q232" i="9"/>
  <c r="AX292" i="9"/>
  <c r="O292" i="9"/>
  <c r="L436" i="9"/>
  <c r="AV436" i="9"/>
  <c r="Q938" i="9"/>
  <c r="R938" i="9"/>
  <c r="L112" i="9"/>
  <c r="AV112" i="9"/>
  <c r="AV168" i="9"/>
  <c r="L168" i="9"/>
  <c r="AX174" i="9"/>
  <c r="O174" i="9"/>
  <c r="AV304" i="9"/>
  <c r="L304" i="9"/>
  <c r="AV364" i="9"/>
  <c r="L364" i="9"/>
  <c r="Q318" i="9"/>
  <c r="R318" i="9"/>
  <c r="Q300" i="9"/>
  <c r="R300" i="9"/>
  <c r="AV447" i="9"/>
  <c r="L447" i="9"/>
  <c r="L452" i="9"/>
  <c r="AV452" i="9"/>
  <c r="O549" i="9"/>
  <c r="AX549" i="9"/>
  <c r="R595" i="9"/>
  <c r="Q595" i="9"/>
  <c r="AV604" i="9"/>
  <c r="L604" i="9"/>
  <c r="Q690" i="9"/>
  <c r="R690" i="9"/>
  <c r="I676" i="9"/>
  <c r="AR676" i="9"/>
  <c r="R717" i="9"/>
  <c r="Q717" i="9"/>
  <c r="AX764" i="9"/>
  <c r="O764" i="9"/>
  <c r="AV796" i="9"/>
  <c r="L796" i="9"/>
  <c r="AA866" i="9"/>
  <c r="AV905" i="9"/>
  <c r="L905" i="9"/>
  <c r="Q968" i="9"/>
  <c r="R968" i="9"/>
  <c r="AX348" i="9"/>
  <c r="O348" i="9"/>
  <c r="AX691" i="9"/>
  <c r="O691" i="9"/>
  <c r="AV47" i="9"/>
  <c r="L47" i="9"/>
  <c r="R219" i="9"/>
  <c r="Q219" i="9"/>
  <c r="R287" i="9"/>
  <c r="Q287" i="9"/>
  <c r="BB484" i="9"/>
  <c r="AZ967" i="9"/>
  <c r="P967" i="9"/>
  <c r="L591" i="9"/>
  <c r="AV591" i="9"/>
  <c r="O309" i="9"/>
  <c r="AX309" i="9"/>
  <c r="O483" i="9"/>
  <c r="AX483" i="9"/>
  <c r="AV558" i="9"/>
  <c r="L558" i="9"/>
  <c r="P790" i="9"/>
  <c r="AZ790" i="9"/>
  <c r="R918" i="9"/>
  <c r="Q918" i="9"/>
  <c r="AR99" i="9"/>
  <c r="I99" i="9"/>
  <c r="AV38" i="9"/>
  <c r="L38" i="9"/>
  <c r="R814" i="9"/>
  <c r="Q814" i="9"/>
  <c r="Q902" i="9"/>
  <c r="R902" i="9"/>
  <c r="R482" i="9"/>
  <c r="Q482" i="9"/>
  <c r="AV248" i="9"/>
  <c r="L248" i="9"/>
  <c r="L449" i="9"/>
  <c r="AV449" i="9"/>
  <c r="BB9" i="9"/>
  <c r="S9" i="9"/>
  <c r="P17" i="9"/>
  <c r="AZ17" i="9"/>
  <c r="O345" i="9"/>
  <c r="AX345" i="9"/>
  <c r="AV363" i="9"/>
  <c r="L363" i="9"/>
  <c r="AX667" i="9"/>
  <c r="O667" i="9"/>
  <c r="AV75" i="9"/>
  <c r="L75" i="9"/>
  <c r="R842" i="9"/>
  <c r="Q842" i="9"/>
  <c r="AW641" i="9"/>
  <c r="L641" i="9"/>
  <c r="L960" i="9"/>
  <c r="AV960" i="9"/>
  <c r="R838" i="9"/>
  <c r="Q838" i="9"/>
  <c r="AV193" i="9"/>
  <c r="L193" i="9"/>
  <c r="Q477" i="9"/>
  <c r="R477" i="9"/>
  <c r="L913" i="9"/>
  <c r="AV913" i="9"/>
  <c r="L156" i="9"/>
  <c r="AV156" i="9"/>
  <c r="AV66" i="9"/>
  <c r="L66" i="9"/>
  <c r="AV62" i="9"/>
  <c r="L62" i="9"/>
  <c r="AV162" i="9"/>
  <c r="L162" i="9"/>
  <c r="AR211" i="9"/>
  <c r="I211" i="9"/>
  <c r="P338" i="9"/>
  <c r="AZ338" i="9"/>
  <c r="O333" i="9"/>
  <c r="AX333" i="9"/>
  <c r="AV463" i="9"/>
  <c r="L463" i="9"/>
  <c r="AX501" i="9"/>
  <c r="O501" i="9"/>
  <c r="AX513" i="9"/>
  <c r="O513" i="9"/>
  <c r="R499" i="9"/>
  <c r="Q499" i="9"/>
  <c r="L582" i="9"/>
  <c r="AV582" i="9"/>
  <c r="AZ590" i="9"/>
  <c r="P590" i="9"/>
  <c r="AW685" i="9"/>
  <c r="L685" i="9"/>
  <c r="P703" i="9"/>
  <c r="AZ703" i="9"/>
  <c r="AW780" i="9"/>
  <c r="L780" i="9"/>
  <c r="L811" i="9"/>
  <c r="AV811" i="9"/>
  <c r="L846" i="9"/>
  <c r="AV846" i="9"/>
  <c r="AZ930" i="9"/>
  <c r="O951" i="9"/>
  <c r="AX951" i="9"/>
  <c r="Q974" i="9"/>
  <c r="R974" i="9"/>
  <c r="BB499" i="9"/>
  <c r="S499" i="9"/>
  <c r="R759" i="9"/>
  <c r="Q759" i="9"/>
  <c r="L36" i="9"/>
  <c r="AV36" i="9"/>
  <c r="AV51" i="9"/>
  <c r="L51" i="9"/>
  <c r="AR133" i="9"/>
  <c r="I133" i="9"/>
  <c r="AR163" i="9"/>
  <c r="I163" i="9"/>
  <c r="O329" i="9"/>
  <c r="AX329" i="9"/>
  <c r="AX472" i="9"/>
  <c r="L453" i="9"/>
  <c r="AV453" i="9"/>
  <c r="AX489" i="9"/>
  <c r="O489" i="9"/>
  <c r="R607" i="9"/>
  <c r="Q607" i="9"/>
  <c r="O598" i="9"/>
  <c r="AX598" i="9"/>
  <c r="L629" i="9"/>
  <c r="AV629" i="9"/>
  <c r="AZ614" i="9"/>
  <c r="P614" i="9"/>
  <c r="AV705" i="9"/>
  <c r="L705" i="9"/>
  <c r="O699" i="9"/>
  <c r="AX699" i="9"/>
  <c r="O718" i="9"/>
  <c r="AX718" i="9"/>
  <c r="L845" i="9"/>
  <c r="AV845" i="9"/>
  <c r="R933" i="9"/>
  <c r="Q933" i="9"/>
  <c r="R971" i="9"/>
  <c r="Q971" i="9"/>
  <c r="X656" i="9"/>
  <c r="Y656" i="9"/>
  <c r="AW930" i="9"/>
  <c r="L930" i="9"/>
  <c r="L197" i="9"/>
  <c r="AV197" i="9"/>
  <c r="R93" i="9"/>
  <c r="Q93" i="9"/>
  <c r="O231" i="9"/>
  <c r="AX231" i="9"/>
  <c r="O227" i="9"/>
  <c r="AX227" i="9"/>
  <c r="AV339" i="9"/>
  <c r="L339" i="9"/>
  <c r="O321" i="9"/>
  <c r="AX321" i="9"/>
  <c r="L392" i="9"/>
  <c r="AV392" i="9"/>
  <c r="R422" i="9"/>
  <c r="Q422" i="9"/>
  <c r="L536" i="9"/>
  <c r="AV536" i="9"/>
  <c r="R678" i="9"/>
  <c r="Q678" i="9"/>
  <c r="O710" i="9"/>
  <c r="AX710" i="9"/>
  <c r="AS775" i="9"/>
  <c r="I775" i="9"/>
  <c r="O859" i="9"/>
  <c r="AX859" i="9"/>
  <c r="R832" i="9"/>
  <c r="Q832" i="9"/>
  <c r="I896" i="9"/>
  <c r="AR896" i="9"/>
  <c r="R934" i="9"/>
  <c r="Q934" i="9"/>
  <c r="Q941" i="9"/>
  <c r="R941" i="9"/>
  <c r="AV522" i="9"/>
  <c r="L522" i="9"/>
  <c r="AX497" i="9"/>
  <c r="O497" i="9"/>
  <c r="R537" i="9"/>
  <c r="Q537" i="9"/>
  <c r="P840" i="9"/>
  <c r="AZ840" i="9"/>
  <c r="O45" i="9"/>
  <c r="AX45" i="9"/>
  <c r="P288" i="9"/>
  <c r="AZ288" i="9"/>
  <c r="BB41" i="9"/>
  <c r="S41" i="9"/>
  <c r="R40" i="9"/>
  <c r="Q40" i="9"/>
  <c r="AZ57" i="9"/>
  <c r="R196" i="9"/>
  <c r="Q196" i="9"/>
  <c r="L234" i="9"/>
  <c r="AV234" i="9"/>
  <c r="L253" i="9"/>
  <c r="AV253" i="9"/>
  <c r="AV245" i="9"/>
  <c r="L245" i="9"/>
  <c r="AV307" i="9"/>
  <c r="L307" i="9"/>
  <c r="AR592" i="9"/>
  <c r="I592" i="9"/>
  <c r="AV573" i="9"/>
  <c r="L573" i="9"/>
  <c r="O778" i="9"/>
  <c r="AX778" i="9"/>
  <c r="L826" i="9"/>
  <c r="AV826" i="9"/>
  <c r="I923" i="9"/>
  <c r="AR923" i="9"/>
  <c r="I818" i="9"/>
  <c r="AR818" i="9"/>
  <c r="R288" i="9"/>
  <c r="Q288" i="9"/>
  <c r="BD54" i="9"/>
  <c r="W54" i="9"/>
  <c r="V54" i="9"/>
  <c r="Z54" i="9"/>
  <c r="AX16" i="9"/>
  <c r="O16" i="9"/>
  <c r="L21" i="9"/>
  <c r="AV21" i="9"/>
  <c r="AV15" i="9"/>
  <c r="L15" i="9"/>
  <c r="P164" i="9"/>
  <c r="AZ164" i="9"/>
  <c r="L277" i="9"/>
  <c r="AV277" i="9"/>
  <c r="R313" i="9"/>
  <c r="Q313" i="9"/>
  <c r="O254" i="9"/>
  <c r="AX254" i="9"/>
  <c r="Q344" i="9"/>
  <c r="R344" i="9"/>
  <c r="O377" i="9"/>
  <c r="AX377" i="9"/>
  <c r="AX332" i="9"/>
  <c r="O332" i="9"/>
  <c r="R406" i="9"/>
  <c r="Q406" i="9"/>
  <c r="AV450" i="9"/>
  <c r="L450" i="9"/>
  <c r="AX518" i="9"/>
  <c r="O518" i="9"/>
  <c r="L609" i="9"/>
  <c r="AV609" i="9"/>
  <c r="AX654" i="9"/>
  <c r="O654" i="9"/>
  <c r="AV668" i="9"/>
  <c r="L668" i="9"/>
  <c r="I922" i="9"/>
  <c r="AR922" i="9"/>
  <c r="BB306" i="9"/>
  <c r="AV303" i="9"/>
  <c r="L303" i="9"/>
  <c r="R809" i="9"/>
  <c r="Q809" i="9"/>
  <c r="BD58" i="9"/>
  <c r="W58" i="9"/>
  <c r="V58" i="9"/>
  <c r="Z58" i="9"/>
  <c r="R132" i="9"/>
  <c r="Q132" i="9"/>
  <c r="BB281" i="9"/>
  <c r="S281" i="9"/>
  <c r="O224" i="9"/>
  <c r="AX224" i="9"/>
  <c r="L230" i="9"/>
  <c r="AV230" i="9"/>
  <c r="AS371" i="9"/>
  <c r="I371" i="9"/>
  <c r="R474" i="9"/>
  <c r="Q474" i="9"/>
  <c r="AX498" i="9"/>
  <c r="O498" i="9"/>
  <c r="R599" i="9"/>
  <c r="Q599" i="9"/>
  <c r="AX601" i="9"/>
  <c r="O601" i="9"/>
  <c r="L603" i="9"/>
  <c r="AV603" i="9"/>
  <c r="R627" i="9"/>
  <c r="Q627" i="9"/>
  <c r="Y723" i="9"/>
  <c r="AB723" i="9"/>
  <c r="X723" i="9"/>
  <c r="AA723" i="9"/>
  <c r="P765" i="9"/>
  <c r="AZ765" i="9"/>
  <c r="R767" i="9"/>
  <c r="Q767" i="9"/>
  <c r="L817" i="9"/>
  <c r="AV817" i="9"/>
  <c r="L861" i="9"/>
  <c r="AV861" i="9"/>
  <c r="AZ872" i="9"/>
  <c r="P872" i="9"/>
  <c r="L875" i="9"/>
  <c r="AV875" i="9"/>
  <c r="I917" i="9"/>
  <c r="AR917" i="9"/>
  <c r="AV920" i="9"/>
  <c r="L920" i="9"/>
  <c r="BD993" i="9"/>
  <c r="O154" i="9"/>
  <c r="AX154" i="9"/>
  <c r="AR52" i="9"/>
  <c r="I52" i="9"/>
  <c r="O232" i="9"/>
  <c r="AX232" i="9"/>
  <c r="Q324" i="9"/>
  <c r="R324" i="9"/>
  <c r="AV791" i="9"/>
  <c r="L791" i="9"/>
  <c r="AV848" i="9"/>
  <c r="L848" i="9"/>
  <c r="AV79" i="9"/>
  <c r="L79" i="9"/>
  <c r="AX129" i="9"/>
  <c r="O129" i="9"/>
  <c r="R188" i="9"/>
  <c r="Q188" i="9"/>
  <c r="AV286" i="9"/>
  <c r="L286" i="9"/>
  <c r="L265" i="9"/>
  <c r="AV265" i="9"/>
  <c r="AV343" i="9"/>
  <c r="L343" i="9"/>
  <c r="AX263" i="9"/>
  <c r="O263" i="9"/>
  <c r="AY318" i="9"/>
  <c r="O318" i="9"/>
  <c r="AX300" i="9"/>
  <c r="O300" i="9"/>
  <c r="R389" i="9"/>
  <c r="Q389" i="9"/>
  <c r="AX376" i="9"/>
  <c r="O376" i="9"/>
  <c r="L486" i="9"/>
  <c r="AV486" i="9"/>
  <c r="AW479" i="9"/>
  <c r="L479" i="9"/>
  <c r="I496" i="9"/>
  <c r="AS496" i="9"/>
  <c r="R549" i="9"/>
  <c r="Q549" i="9"/>
  <c r="AX690" i="9"/>
  <c r="O690" i="9"/>
  <c r="R764" i="9"/>
  <c r="Q764" i="9"/>
  <c r="O925" i="9"/>
  <c r="AX925" i="9"/>
  <c r="AV940" i="9"/>
  <c r="L940" i="9"/>
  <c r="P991" i="9"/>
  <c r="AZ991" i="9"/>
  <c r="BB326" i="9"/>
  <c r="S326" i="9"/>
  <c r="Q691" i="9"/>
  <c r="R691" i="9"/>
  <c r="AV237" i="9"/>
  <c r="L237" i="9"/>
  <c r="AX287" i="9"/>
  <c r="O287" i="9"/>
  <c r="L382" i="9"/>
  <c r="AV382" i="9"/>
  <c r="AX760" i="9"/>
  <c r="O760" i="9"/>
  <c r="AS779" i="9"/>
  <c r="I779" i="9"/>
  <c r="AV813" i="9"/>
  <c r="L813" i="9"/>
  <c r="AX758" i="9"/>
  <c r="O758" i="9"/>
  <c r="R894" i="9"/>
  <c r="Q894" i="9"/>
  <c r="AV879" i="9"/>
  <c r="L879" i="9"/>
  <c r="AX367" i="9"/>
  <c r="L431" i="9"/>
  <c r="AV431" i="9"/>
  <c r="AS472" i="9"/>
  <c r="I472" i="9"/>
  <c r="AZ624" i="9"/>
  <c r="P624" i="9"/>
  <c r="AX755" i="9"/>
  <c r="O755" i="9"/>
  <c r="BB492" i="9"/>
  <c r="AV801" i="9"/>
  <c r="L801" i="9"/>
  <c r="AX316" i="9"/>
  <c r="O316" i="9"/>
  <c r="AX671" i="9"/>
  <c r="I736" i="9"/>
  <c r="AR736" i="9"/>
  <c r="L124" i="9"/>
  <c r="AV124" i="9"/>
  <c r="Q308" i="9"/>
  <c r="R308" i="9"/>
  <c r="I484" i="9"/>
  <c r="AS484" i="9"/>
  <c r="AZ679" i="9"/>
  <c r="P679" i="9"/>
  <c r="X803" i="9"/>
  <c r="Y803" i="9"/>
  <c r="P961" i="9"/>
  <c r="AZ961" i="9"/>
  <c r="O997" i="9"/>
  <c r="AX997" i="9"/>
  <c r="Q639" i="9"/>
  <c r="R639" i="9"/>
  <c r="P877" i="9"/>
  <c r="AZ877" i="9"/>
  <c r="P30" i="9"/>
  <c r="AZ30" i="9"/>
  <c r="AV70" i="9"/>
  <c r="L70" i="9"/>
  <c r="AR56" i="9"/>
  <c r="I56" i="9"/>
  <c r="O200" i="9"/>
  <c r="AX200" i="9"/>
  <c r="O274" i="9"/>
  <c r="AX274" i="9"/>
  <c r="L390" i="9"/>
  <c r="AV390" i="9"/>
  <c r="O418" i="9"/>
  <c r="AX418" i="9"/>
  <c r="L471" i="9"/>
  <c r="AV471" i="9"/>
  <c r="AX662" i="9"/>
  <c r="O662" i="9"/>
  <c r="BD843" i="9"/>
  <c r="W843" i="9"/>
  <c r="V843" i="9"/>
  <c r="Z843" i="9"/>
  <c r="I955" i="9"/>
  <c r="AR955" i="9"/>
  <c r="L649" i="9"/>
  <c r="AV649" i="9"/>
  <c r="L752" i="9"/>
  <c r="AV752" i="9"/>
  <c r="I87" i="9"/>
  <c r="AR87" i="9"/>
  <c r="AX131" i="9"/>
  <c r="O131" i="9"/>
  <c r="AX175" i="9"/>
  <c r="O175" i="9"/>
  <c r="Q294" i="9"/>
  <c r="R294" i="9"/>
  <c r="AV462" i="9"/>
  <c r="L462" i="9"/>
  <c r="L532" i="9"/>
  <c r="AV532" i="9"/>
  <c r="R834" i="9"/>
  <c r="Q834" i="9"/>
  <c r="L32" i="9"/>
  <c r="AV32" i="9"/>
  <c r="AR186" i="9"/>
  <c r="I186" i="9"/>
  <c r="BB37" i="9"/>
  <c r="S37" i="9"/>
  <c r="AR158" i="9"/>
  <c r="I158" i="9"/>
  <c r="AV35" i="9"/>
  <c r="L35" i="9"/>
  <c r="AV43" i="9"/>
  <c r="L43" i="9"/>
  <c r="L226" i="9"/>
  <c r="AV226" i="9"/>
  <c r="AV311" i="9"/>
  <c r="L311" i="9"/>
  <c r="R333" i="9"/>
  <c r="Q333" i="9"/>
  <c r="I351" i="9"/>
  <c r="AR351" i="9"/>
  <c r="P446" i="9"/>
  <c r="AZ446" i="9"/>
  <c r="AX514" i="9"/>
  <c r="O514" i="9"/>
  <c r="BB519" i="9"/>
  <c r="L539" i="9"/>
  <c r="AV539" i="9"/>
  <c r="AV709" i="9"/>
  <c r="L709" i="9"/>
  <c r="L862" i="9"/>
  <c r="AV862" i="9"/>
  <c r="AS868" i="9"/>
  <c r="I868" i="9"/>
  <c r="AV907" i="9"/>
  <c r="L907" i="9"/>
  <c r="Q951" i="9"/>
  <c r="R951" i="9"/>
  <c r="AV936" i="9"/>
  <c r="L936" i="9"/>
  <c r="AV977" i="9"/>
  <c r="L977" i="9"/>
  <c r="AZ986" i="9"/>
  <c r="AV916" i="9"/>
  <c r="L916" i="9"/>
  <c r="O983" i="9"/>
  <c r="AX983" i="9"/>
  <c r="AV538" i="9"/>
  <c r="L538" i="9"/>
  <c r="AX702" i="9"/>
  <c r="O702" i="9"/>
  <c r="L984" i="9"/>
  <c r="AV984" i="9"/>
  <c r="AR981" i="9"/>
  <c r="I981" i="9"/>
  <c r="AR696" i="9"/>
  <c r="I696" i="9"/>
  <c r="AR976" i="9"/>
  <c r="I976" i="9"/>
  <c r="L116" i="9"/>
  <c r="AV116" i="9"/>
  <c r="L269" i="9"/>
  <c r="AV269" i="9"/>
  <c r="R329" i="9"/>
  <c r="Q329" i="9"/>
  <c r="AW487" i="9"/>
  <c r="L487" i="9"/>
  <c r="AZ529" i="9"/>
  <c r="R483" i="9"/>
  <c r="Q483" i="9"/>
  <c r="L502" i="9"/>
  <c r="AV502" i="9"/>
  <c r="BB686" i="9"/>
  <c r="R699" i="9"/>
  <c r="Q699" i="9"/>
  <c r="R758" i="9"/>
  <c r="Q758" i="9"/>
  <c r="O894" i="9"/>
  <c r="AX894" i="9"/>
  <c r="AX918" i="9"/>
  <c r="O918" i="9"/>
  <c r="O933" i="9"/>
  <c r="AX933" i="9"/>
  <c r="AV831" i="9"/>
  <c r="L831" i="9"/>
  <c r="AS986" i="9"/>
  <c r="I986" i="9"/>
  <c r="AR897" i="9"/>
  <c r="I897" i="9"/>
  <c r="L942" i="9"/>
  <c r="AV942" i="9"/>
  <c r="L88" i="9"/>
  <c r="AV88" i="9"/>
  <c r="AV7" i="9"/>
  <c r="L7" i="9"/>
  <c r="L123" i="9"/>
  <c r="AV123" i="9"/>
  <c r="L115" i="9"/>
  <c r="AV115" i="9"/>
  <c r="AR187" i="9"/>
  <c r="I187" i="9"/>
  <c r="R231" i="9"/>
  <c r="Q231" i="9"/>
  <c r="R227" i="9"/>
  <c r="Q227" i="9"/>
  <c r="L251" i="9"/>
  <c r="AV251" i="9"/>
  <c r="R321" i="9"/>
  <c r="Q321" i="9"/>
  <c r="R359" i="9"/>
  <c r="Q359" i="9"/>
  <c r="AV315" i="9"/>
  <c r="L315" i="9"/>
  <c r="BB476" i="9"/>
  <c r="AW495" i="9"/>
  <c r="L495" i="9"/>
  <c r="AZ540" i="9"/>
  <c r="P540" i="9"/>
  <c r="L589" i="9"/>
  <c r="AV589" i="9"/>
  <c r="AV681" i="9"/>
  <c r="L681" i="9"/>
  <c r="AX678" i="9"/>
  <c r="O678" i="9"/>
  <c r="R710" i="9"/>
  <c r="Q710" i="9"/>
  <c r="R755" i="9"/>
  <c r="Q755" i="9"/>
  <c r="AZ794" i="9"/>
  <c r="P794" i="9"/>
  <c r="AX814" i="9"/>
  <c r="O814" i="9"/>
  <c r="AX853" i="9"/>
  <c r="O853" i="9"/>
  <c r="P890" i="9"/>
  <c r="AZ890" i="9"/>
  <c r="AV884" i="9"/>
  <c r="L884" i="9"/>
  <c r="O902" i="9"/>
  <c r="AX902" i="9"/>
  <c r="I957" i="9"/>
  <c r="AR957" i="9"/>
  <c r="AX941" i="9"/>
  <c r="O941" i="9"/>
  <c r="AV980" i="9"/>
  <c r="L980" i="9"/>
  <c r="O13" i="9"/>
  <c r="AX13" i="9"/>
  <c r="Q45" i="9"/>
  <c r="R45" i="9"/>
  <c r="R184" i="9"/>
  <c r="Q184" i="9"/>
  <c r="AV190" i="9"/>
  <c r="L190" i="9"/>
  <c r="L218" i="9"/>
  <c r="AV218" i="9"/>
  <c r="P243" i="9"/>
  <c r="AZ243" i="9"/>
  <c r="AV353" i="9"/>
  <c r="L353" i="9"/>
  <c r="Q316" i="9"/>
  <c r="R316" i="9"/>
  <c r="I423" i="9"/>
  <c r="AR423" i="9"/>
  <c r="BB687" i="9"/>
  <c r="AV867" i="9"/>
  <c r="L867" i="9"/>
  <c r="AV569" i="9"/>
  <c r="L569" i="9"/>
  <c r="L139" i="9"/>
  <c r="AV139" i="9"/>
  <c r="Q16" i="9"/>
  <c r="R16" i="9"/>
  <c r="AX344" i="9"/>
  <c r="O344" i="9"/>
  <c r="AV362" i="9"/>
  <c r="L362" i="9"/>
  <c r="AX371" i="9"/>
  <c r="R358" i="9"/>
  <c r="Q358" i="9"/>
  <c r="Q411" i="9"/>
  <c r="R411" i="9"/>
  <c r="AV417" i="9"/>
  <c r="L417" i="9"/>
  <c r="L510" i="9"/>
  <c r="AV510" i="9"/>
  <c r="R518" i="9"/>
  <c r="Q518" i="9"/>
  <c r="L600" i="9"/>
  <c r="AV600" i="9"/>
  <c r="AZ588" i="9"/>
  <c r="P588" i="9"/>
  <c r="AV727" i="9"/>
  <c r="L727" i="9"/>
  <c r="P777" i="9"/>
  <c r="AZ777" i="9"/>
  <c r="AX776" i="9"/>
  <c r="I815" i="9"/>
  <c r="AR815" i="9"/>
  <c r="L816" i="9"/>
  <c r="AV816" i="9"/>
  <c r="AZ947" i="9"/>
  <c r="AV990" i="9"/>
  <c r="L990" i="9"/>
  <c r="AR171" i="9"/>
  <c r="I171" i="9"/>
  <c r="AX809" i="9"/>
  <c r="O809" i="9"/>
  <c r="L91" i="9"/>
  <c r="AV91" i="9"/>
  <c r="P240" i="9"/>
  <c r="AZ240" i="9"/>
  <c r="P247" i="9"/>
  <c r="AZ247" i="9"/>
  <c r="O305" i="9"/>
  <c r="AX305" i="9"/>
  <c r="L428" i="9"/>
  <c r="AV428" i="9"/>
  <c r="AX474" i="9"/>
  <c r="O474" i="9"/>
  <c r="Q498" i="9"/>
  <c r="R498" i="9"/>
  <c r="AV546" i="9"/>
  <c r="L546" i="9"/>
  <c r="AV551" i="9"/>
  <c r="L551" i="9"/>
  <c r="R626" i="9"/>
  <c r="Q626" i="9"/>
  <c r="Z656" i="9"/>
  <c r="AX767" i="9"/>
  <c r="O767" i="9"/>
  <c r="L858" i="9"/>
  <c r="AV858" i="9"/>
  <c r="AV949" i="9"/>
  <c r="L949" i="9"/>
  <c r="Q995" i="9"/>
  <c r="R995" i="9"/>
  <c r="AV194" i="9"/>
  <c r="L194" i="9"/>
  <c r="L293" i="9"/>
  <c r="AV293" i="9"/>
  <c r="AX324" i="9"/>
  <c r="O324" i="9"/>
  <c r="I350" i="9"/>
  <c r="AR350" i="9"/>
  <c r="L434" i="9"/>
  <c r="AV434" i="9"/>
  <c r="L130" i="9"/>
  <c r="AV130" i="9"/>
  <c r="O161" i="9"/>
  <c r="AX161" i="9"/>
  <c r="L119" i="9"/>
  <c r="AV119" i="9"/>
  <c r="R129" i="9"/>
  <c r="Q129" i="9"/>
  <c r="AX188" i="9"/>
  <c r="O188" i="9"/>
  <c r="L242" i="9"/>
  <c r="AV242" i="9"/>
  <c r="R263" i="9"/>
  <c r="Q263" i="9"/>
  <c r="L280" i="9"/>
  <c r="AV280" i="9"/>
  <c r="O389" i="9"/>
  <c r="AX389" i="9"/>
  <c r="L402" i="9"/>
  <c r="AV402" i="9"/>
  <c r="R376" i="9"/>
  <c r="Q376" i="9"/>
  <c r="P707" i="9"/>
  <c r="AZ707" i="9"/>
  <c r="R743" i="9"/>
  <c r="Q743" i="9"/>
  <c r="L744" i="9"/>
  <c r="AV744" i="9"/>
  <c r="AZ788" i="9"/>
  <c r="L908" i="9"/>
  <c r="AV908" i="9"/>
  <c r="Q925" i="9"/>
  <c r="R925" i="9"/>
  <c r="AZ964" i="9"/>
  <c r="AV166" i="9"/>
  <c r="L166" i="9"/>
  <c r="R236" i="9"/>
  <c r="Q236" i="9"/>
  <c r="P372" i="9"/>
  <c r="AZ372" i="9"/>
  <c r="P465" i="9"/>
  <c r="AZ465" i="9"/>
  <c r="I837" i="9"/>
  <c r="AR837" i="9"/>
  <c r="U660" i="9"/>
  <c r="T660" i="9"/>
  <c r="U959" i="9"/>
  <c r="T959" i="9"/>
  <c r="AB656" i="9"/>
  <c r="U215" i="9"/>
  <c r="T215" i="9"/>
  <c r="U480" i="9"/>
  <c r="T480" i="9"/>
  <c r="U314" i="9"/>
  <c r="T314" i="9"/>
  <c r="U326" i="9"/>
  <c r="T326" i="9"/>
  <c r="AA656" i="9"/>
  <c r="U342" i="9"/>
  <c r="T342" i="9"/>
  <c r="T41" i="9"/>
  <c r="U41" i="9"/>
  <c r="T9" i="9"/>
  <c r="U9" i="9"/>
  <c r="U499" i="9"/>
  <c r="T499" i="9"/>
  <c r="N3" i="9"/>
  <c r="M3" i="9"/>
  <c r="U956" i="9"/>
  <c r="T956" i="9"/>
  <c r="U37" i="9"/>
  <c r="T37" i="9"/>
  <c r="U281" i="9"/>
  <c r="T281" i="9"/>
  <c r="U491" i="9"/>
  <c r="T491" i="9"/>
  <c r="U22" i="9"/>
  <c r="T22" i="9"/>
  <c r="U855" i="9"/>
  <c r="T855" i="9"/>
  <c r="AA381" i="9"/>
  <c r="U330" i="9"/>
  <c r="T330" i="9"/>
  <c r="U734" i="9"/>
  <c r="T734" i="9"/>
  <c r="T33" i="9"/>
  <c r="U33" i="9"/>
  <c r="AA50" i="9"/>
  <c r="N949" i="9"/>
  <c r="M949" i="9"/>
  <c r="N218" i="9"/>
  <c r="M218" i="9"/>
  <c r="N35" i="9"/>
  <c r="M35" i="9"/>
  <c r="N796" i="9"/>
  <c r="M796" i="9"/>
  <c r="N458" i="9"/>
  <c r="M458" i="9"/>
  <c r="N688" i="9"/>
  <c r="M688" i="9"/>
  <c r="N374" i="9"/>
  <c r="M374" i="9"/>
  <c r="N503" i="9"/>
  <c r="M503" i="9"/>
  <c r="N770" i="9"/>
  <c r="M770" i="9"/>
  <c r="N1001" i="9"/>
  <c r="M1001" i="9"/>
  <c r="N271" i="9"/>
  <c r="M271" i="9"/>
  <c r="N223" i="9"/>
  <c r="M223" i="9"/>
  <c r="N396" i="9"/>
  <c r="M396" i="9"/>
  <c r="N107" i="9"/>
  <c r="M107" i="9"/>
  <c r="N85" i="9"/>
  <c r="M85" i="9"/>
  <c r="N693" i="9"/>
  <c r="M693" i="9"/>
  <c r="N78" i="9"/>
  <c r="M78" i="9"/>
  <c r="N68" i="9"/>
  <c r="M68" i="9"/>
  <c r="N885" i="9"/>
  <c r="M885" i="9"/>
  <c r="N571" i="9"/>
  <c r="M571" i="9"/>
  <c r="N409" i="9"/>
  <c r="M409" i="9"/>
  <c r="N31" i="9"/>
  <c r="M31" i="9"/>
  <c r="N998" i="9"/>
  <c r="M998" i="9"/>
  <c r="N798" i="9"/>
  <c r="M798" i="9"/>
  <c r="N257" i="9"/>
  <c r="M257" i="9"/>
  <c r="N365" i="9"/>
  <c r="M365" i="9"/>
  <c r="N159" i="9"/>
  <c r="M159" i="9"/>
  <c r="N825" i="9"/>
  <c r="M825" i="9"/>
  <c r="N568" i="9"/>
  <c r="M568" i="9"/>
  <c r="N267" i="9"/>
  <c r="M267" i="9"/>
  <c r="N808" i="9"/>
  <c r="M808" i="9"/>
  <c r="N820" i="9"/>
  <c r="M820" i="9"/>
  <c r="N357" i="9"/>
  <c r="M357" i="9"/>
  <c r="N67" i="9"/>
  <c r="M67" i="9"/>
  <c r="N993" i="9"/>
  <c r="M993" i="9"/>
  <c r="N252" i="9"/>
  <c r="M252" i="9"/>
  <c r="N738" i="9"/>
  <c r="M738" i="9"/>
  <c r="AW505" i="9"/>
  <c r="L505" i="9"/>
  <c r="L761" i="9"/>
  <c r="AV761" i="9"/>
  <c r="N487" i="9"/>
  <c r="M487" i="9"/>
  <c r="N920" i="9"/>
  <c r="M920" i="9"/>
  <c r="N364" i="9"/>
  <c r="M364" i="9"/>
  <c r="N543" i="9"/>
  <c r="M543" i="9"/>
  <c r="N572" i="9"/>
  <c r="M572" i="9"/>
  <c r="N850" i="9"/>
  <c r="M850" i="9"/>
  <c r="N694" i="9"/>
  <c r="M694" i="9"/>
  <c r="N135" i="9"/>
  <c r="M135" i="9"/>
  <c r="N861" i="9"/>
  <c r="M861" i="9"/>
  <c r="N453" i="9"/>
  <c r="M453" i="9"/>
  <c r="N452" i="9"/>
  <c r="M452" i="9"/>
  <c r="N839" i="9"/>
  <c r="M839" i="9"/>
  <c r="N657" i="9"/>
  <c r="M657" i="9"/>
  <c r="N428" i="9"/>
  <c r="M428" i="9"/>
  <c r="N91" i="9"/>
  <c r="M91" i="9"/>
  <c r="N510" i="9"/>
  <c r="M510" i="9"/>
  <c r="N362" i="9"/>
  <c r="M362" i="9"/>
  <c r="N569" i="9"/>
  <c r="M569" i="9"/>
  <c r="N315" i="9"/>
  <c r="M315" i="9"/>
  <c r="N538" i="9"/>
  <c r="M538" i="9"/>
  <c r="N311" i="9"/>
  <c r="M311" i="9"/>
  <c r="N382" i="9"/>
  <c r="M382" i="9"/>
  <c r="N265" i="9"/>
  <c r="M265" i="9"/>
  <c r="N826" i="9"/>
  <c r="M826" i="9"/>
  <c r="N522" i="9"/>
  <c r="M522" i="9"/>
  <c r="N780" i="9"/>
  <c r="M780" i="9"/>
  <c r="N463" i="9"/>
  <c r="M463" i="9"/>
  <c r="N162" i="9"/>
  <c r="M162" i="9"/>
  <c r="N604" i="9"/>
  <c r="M604" i="9"/>
  <c r="N447" i="9"/>
  <c r="M447" i="9"/>
  <c r="N304" i="9"/>
  <c r="M304" i="9"/>
  <c r="N751" i="9"/>
  <c r="M751" i="9"/>
  <c r="N214" i="9"/>
  <c r="M214" i="9"/>
  <c r="N914" i="9"/>
  <c r="M914" i="9"/>
  <c r="N272" i="9"/>
  <c r="M272" i="9"/>
  <c r="N400" i="9"/>
  <c r="M400" i="9"/>
  <c r="N5" i="9"/>
  <c r="M5" i="9"/>
  <c r="N275" i="9"/>
  <c r="M275" i="9"/>
  <c r="N160" i="9"/>
  <c r="M160" i="9"/>
  <c r="N982" i="9"/>
  <c r="M982" i="9"/>
  <c r="N645" i="9"/>
  <c r="M645" i="9"/>
  <c r="N260" i="9"/>
  <c r="M260" i="9"/>
  <c r="N39" i="9"/>
  <c r="M39" i="9"/>
  <c r="N617" i="9"/>
  <c r="M617" i="9"/>
  <c r="N978" i="9"/>
  <c r="M978" i="9"/>
  <c r="N1002" i="9"/>
  <c r="M1002" i="9"/>
  <c r="N507" i="9"/>
  <c r="M507" i="9"/>
  <c r="N570" i="9"/>
  <c r="M570" i="9"/>
  <c r="N606" i="9"/>
  <c r="M606" i="9"/>
  <c r="N753" i="9"/>
  <c r="M753" i="9"/>
  <c r="N126" i="9"/>
  <c r="M126" i="9"/>
  <c r="N871" i="9"/>
  <c r="M871" i="9"/>
  <c r="N979" i="9"/>
  <c r="M979" i="9"/>
  <c r="N97" i="9"/>
  <c r="M97" i="9"/>
  <c r="N593" i="9"/>
  <c r="M593" i="9"/>
  <c r="N602" i="9"/>
  <c r="M602" i="9"/>
  <c r="N225" i="9"/>
  <c r="M225" i="9"/>
  <c r="N944" i="9"/>
  <c r="M944" i="9"/>
  <c r="N368" i="9"/>
  <c r="M368" i="9"/>
  <c r="N74" i="9"/>
  <c r="M74" i="9"/>
  <c r="N948" i="9"/>
  <c r="M948" i="9"/>
  <c r="N1000" i="9"/>
  <c r="M1000" i="9"/>
  <c r="N650" i="9"/>
  <c r="M650" i="9"/>
  <c r="N120" i="9"/>
  <c r="M120" i="9"/>
  <c r="N202" i="9"/>
  <c r="M202" i="9"/>
  <c r="N278" i="9"/>
  <c r="M278" i="9"/>
  <c r="N220" i="9"/>
  <c r="M220" i="9"/>
  <c r="N747" i="9"/>
  <c r="M747" i="9"/>
  <c r="N204" i="9"/>
  <c r="M204" i="9"/>
  <c r="N166" i="9"/>
  <c r="M166" i="9"/>
  <c r="N380" i="9"/>
  <c r="M380" i="9"/>
  <c r="N554" i="9"/>
  <c r="M554" i="9"/>
  <c r="N378" i="9"/>
  <c r="M378" i="9"/>
  <c r="N849" i="9"/>
  <c r="M849" i="9"/>
  <c r="N864" i="9"/>
  <c r="M864" i="9"/>
  <c r="N451" i="9"/>
  <c r="M451" i="9"/>
  <c r="N677" i="9"/>
  <c r="M677" i="9"/>
  <c r="N122" i="9"/>
  <c r="M122" i="9"/>
  <c r="N924" i="9"/>
  <c r="M924" i="9"/>
  <c r="N889" i="9"/>
  <c r="M889" i="9"/>
  <c r="N130" i="9"/>
  <c r="M130" i="9"/>
  <c r="N293" i="9"/>
  <c r="M293" i="9"/>
  <c r="N858" i="9"/>
  <c r="M858" i="9"/>
  <c r="N546" i="9"/>
  <c r="M546" i="9"/>
  <c r="N816" i="9"/>
  <c r="M816" i="9"/>
  <c r="N417" i="9"/>
  <c r="M417" i="9"/>
  <c r="N353" i="9"/>
  <c r="M353" i="9"/>
  <c r="N123" i="9"/>
  <c r="M123" i="9"/>
  <c r="N936" i="9"/>
  <c r="M936" i="9"/>
  <c r="N649" i="9"/>
  <c r="M649" i="9"/>
  <c r="N471" i="9"/>
  <c r="M471" i="9"/>
  <c r="N124" i="9"/>
  <c r="M124" i="9"/>
  <c r="N431" i="9"/>
  <c r="M431" i="9"/>
  <c r="N813" i="9"/>
  <c r="M813" i="9"/>
  <c r="N286" i="9"/>
  <c r="M286" i="9"/>
  <c r="N848" i="9"/>
  <c r="M848" i="9"/>
  <c r="N817" i="9"/>
  <c r="M817" i="9"/>
  <c r="N15" i="9"/>
  <c r="M15" i="9"/>
  <c r="N245" i="9"/>
  <c r="M245" i="9"/>
  <c r="N582" i="9"/>
  <c r="M582" i="9"/>
  <c r="N913" i="9"/>
  <c r="M913" i="9"/>
  <c r="N960" i="9"/>
  <c r="M960" i="9"/>
  <c r="N331" i="9"/>
  <c r="M331" i="9"/>
  <c r="N301" i="9"/>
  <c r="M301" i="9"/>
  <c r="N82" i="9"/>
  <c r="M82" i="9"/>
  <c r="N527" i="9"/>
  <c r="M527" i="9"/>
  <c r="N900" i="9"/>
  <c r="M900" i="9"/>
  <c r="N285" i="9"/>
  <c r="M285" i="9"/>
  <c r="N127" i="9"/>
  <c r="M127" i="9"/>
  <c r="N297" i="9"/>
  <c r="M297" i="9"/>
  <c r="N684" i="9"/>
  <c r="M684" i="9"/>
  <c r="N102" i="9"/>
  <c r="M102" i="9"/>
  <c r="N646" i="9"/>
  <c r="M646" i="9"/>
  <c r="N782" i="9"/>
  <c r="M782" i="9"/>
  <c r="N672" i="9"/>
  <c r="M672" i="9"/>
  <c r="N583" i="9"/>
  <c r="M583" i="9"/>
  <c r="N456" i="9"/>
  <c r="M456" i="9"/>
  <c r="N284" i="9"/>
  <c r="M284" i="9"/>
  <c r="N255" i="9"/>
  <c r="M255" i="9"/>
  <c r="N548" i="9"/>
  <c r="M548" i="9"/>
  <c r="AB381" i="9"/>
  <c r="N268" i="9"/>
  <c r="M268" i="9"/>
  <c r="N544" i="9"/>
  <c r="M544" i="9"/>
  <c r="N319" i="9"/>
  <c r="M319" i="9"/>
  <c r="N860" i="9"/>
  <c r="M860" i="9"/>
  <c r="N63" i="9"/>
  <c r="M63" i="9"/>
  <c r="N644" i="9"/>
  <c r="M644" i="9"/>
  <c r="N432" i="9"/>
  <c r="M432" i="9"/>
  <c r="N829" i="9"/>
  <c r="M829" i="9"/>
  <c r="N201" i="9"/>
  <c r="M201" i="9"/>
  <c r="N594" i="9"/>
  <c r="M594" i="9"/>
  <c r="N59" i="9"/>
  <c r="M59" i="9"/>
  <c r="N725" i="9"/>
  <c r="M725" i="9"/>
  <c r="N740" i="9"/>
  <c r="M740" i="9"/>
  <c r="N542" i="9"/>
  <c r="M542" i="9"/>
  <c r="N443" i="9"/>
  <c r="M443" i="9"/>
  <c r="N250" i="9"/>
  <c r="M250" i="9"/>
  <c r="N722" i="9"/>
  <c r="M722" i="9"/>
  <c r="N256" i="9"/>
  <c r="M256" i="9"/>
  <c r="N234" i="9"/>
  <c r="M234" i="9"/>
  <c r="N954" i="9"/>
  <c r="M954" i="9"/>
  <c r="N512" i="9"/>
  <c r="M512" i="9"/>
  <c r="N241" i="9"/>
  <c r="M241" i="9"/>
  <c r="N623" i="9"/>
  <c r="M623" i="9"/>
  <c r="N616" i="9"/>
  <c r="M616" i="9"/>
  <c r="N455" i="9"/>
  <c r="M455" i="9"/>
  <c r="N460" i="9"/>
  <c r="M460" i="9"/>
  <c r="N441" i="9"/>
  <c r="M441" i="9"/>
  <c r="N812" i="9"/>
  <c r="M812" i="9"/>
  <c r="N402" i="9"/>
  <c r="M402" i="9"/>
  <c r="N551" i="9"/>
  <c r="M551" i="9"/>
  <c r="N139" i="9"/>
  <c r="M139" i="9"/>
  <c r="N190" i="9"/>
  <c r="M190" i="9"/>
  <c r="N681" i="9"/>
  <c r="M681" i="9"/>
  <c r="N977" i="9"/>
  <c r="M977" i="9"/>
  <c r="N668" i="9"/>
  <c r="M668" i="9"/>
  <c r="N307" i="9"/>
  <c r="M307" i="9"/>
  <c r="N156" i="9"/>
  <c r="M156" i="9"/>
  <c r="N112" i="9"/>
  <c r="M112" i="9"/>
  <c r="N194" i="9"/>
  <c r="M194" i="9"/>
  <c r="N867" i="9"/>
  <c r="M867" i="9"/>
  <c r="N589" i="9"/>
  <c r="M589" i="9"/>
  <c r="N502" i="9"/>
  <c r="M502" i="9"/>
  <c r="N862" i="9"/>
  <c r="M862" i="9"/>
  <c r="N486" i="9"/>
  <c r="M486" i="9"/>
  <c r="N303" i="9"/>
  <c r="M303" i="9"/>
  <c r="N339" i="9"/>
  <c r="M339" i="9"/>
  <c r="N705" i="9"/>
  <c r="M705" i="9"/>
  <c r="N36" i="9"/>
  <c r="M36" i="9"/>
  <c r="N62" i="9"/>
  <c r="M62" i="9"/>
  <c r="N641" i="9"/>
  <c r="M641" i="9"/>
  <c r="N363" i="9"/>
  <c r="M363" i="9"/>
  <c r="N535" i="9"/>
  <c r="M535" i="9"/>
  <c r="N741" i="9"/>
  <c r="M741" i="9"/>
  <c r="N511" i="9"/>
  <c r="M511" i="9"/>
  <c r="N323" i="9"/>
  <c r="M323" i="9"/>
  <c r="N173" i="9"/>
  <c r="M173" i="9"/>
  <c r="AA54" i="9"/>
  <c r="AE54" i="9"/>
  <c r="AF54" i="9"/>
  <c r="N625" i="9"/>
  <c r="M625" i="9"/>
  <c r="N766" i="9"/>
  <c r="M766" i="9"/>
  <c r="N906" i="9"/>
  <c r="M906" i="9"/>
  <c r="N973" i="9"/>
  <c r="M973" i="9"/>
  <c r="N76" i="9"/>
  <c r="M76" i="9"/>
  <c r="N27" i="9"/>
  <c r="M27" i="9"/>
  <c r="N177" i="9"/>
  <c r="M177" i="9"/>
  <c r="N870" i="9"/>
  <c r="M870" i="9"/>
  <c r="N146" i="9"/>
  <c r="M146" i="9"/>
  <c r="N94" i="9"/>
  <c r="M94" i="9"/>
  <c r="N683" i="9"/>
  <c r="M683" i="9"/>
  <c r="N19" i="9"/>
  <c r="M19" i="9"/>
  <c r="N892" i="9"/>
  <c r="M892" i="9"/>
  <c r="N347" i="9"/>
  <c r="M347" i="9"/>
  <c r="N466" i="9"/>
  <c r="M466" i="9"/>
  <c r="N138" i="9"/>
  <c r="M138" i="9"/>
  <c r="N167" i="9"/>
  <c r="M167" i="9"/>
  <c r="N459" i="9"/>
  <c r="M459" i="9"/>
  <c r="N804" i="9"/>
  <c r="M804" i="9"/>
  <c r="N547" i="9"/>
  <c r="M547" i="9"/>
  <c r="N921" i="9"/>
  <c r="M921" i="9"/>
  <c r="N149" i="9"/>
  <c r="M149" i="9"/>
  <c r="N732" i="9"/>
  <c r="M732" i="9"/>
  <c r="N205" i="9"/>
  <c r="M205" i="9"/>
  <c r="N25" i="9"/>
  <c r="M25" i="9"/>
  <c r="N987" i="9"/>
  <c r="M987" i="9"/>
  <c r="N369" i="9"/>
  <c r="M369" i="9"/>
  <c r="N151" i="9"/>
  <c r="M151" i="9"/>
  <c r="N144" i="9"/>
  <c r="M144" i="9"/>
  <c r="N90" i="9"/>
  <c r="M90" i="9"/>
  <c r="N898" i="9"/>
  <c r="M898" i="9"/>
  <c r="N781" i="9"/>
  <c r="M781" i="9"/>
  <c r="N844" i="9"/>
  <c r="M844" i="9"/>
  <c r="N98" i="9"/>
  <c r="M98" i="9"/>
  <c r="N750" i="9"/>
  <c r="M750" i="9"/>
  <c r="N242" i="9"/>
  <c r="M242" i="9"/>
  <c r="N727" i="9"/>
  <c r="M727" i="9"/>
  <c r="N884" i="9"/>
  <c r="M884" i="9"/>
  <c r="N115" i="9"/>
  <c r="M115" i="9"/>
  <c r="N752" i="9"/>
  <c r="M752" i="9"/>
  <c r="N801" i="9"/>
  <c r="M801" i="9"/>
  <c r="N479" i="9"/>
  <c r="M479" i="9"/>
  <c r="N230" i="9"/>
  <c r="M230" i="9"/>
  <c r="N811" i="9"/>
  <c r="M811" i="9"/>
  <c r="N531" i="9"/>
  <c r="M531" i="9"/>
  <c r="N7" i="9"/>
  <c r="M7" i="9"/>
  <c r="N280" i="9"/>
  <c r="M280" i="9"/>
  <c r="N434" i="9"/>
  <c r="M434" i="9"/>
  <c r="N269" i="9"/>
  <c r="M269" i="9"/>
  <c r="N709" i="9"/>
  <c r="M709" i="9"/>
  <c r="N226" i="9"/>
  <c r="M226" i="9"/>
  <c r="N532" i="9"/>
  <c r="M532" i="9"/>
  <c r="N879" i="9"/>
  <c r="M879" i="9"/>
  <c r="N237" i="9"/>
  <c r="M237" i="9"/>
  <c r="N940" i="9"/>
  <c r="M940" i="9"/>
  <c r="N791" i="9"/>
  <c r="M791" i="9"/>
  <c r="N875" i="9"/>
  <c r="M875" i="9"/>
  <c r="N603" i="9"/>
  <c r="M603" i="9"/>
  <c r="N573" i="9"/>
  <c r="M573" i="9"/>
  <c r="N536" i="9"/>
  <c r="M536" i="9"/>
  <c r="N197" i="9"/>
  <c r="M197" i="9"/>
  <c r="N449" i="9"/>
  <c r="M449" i="9"/>
  <c r="N591" i="9"/>
  <c r="M591" i="9"/>
  <c r="N47" i="9"/>
  <c r="M47" i="9"/>
  <c r="N905" i="9"/>
  <c r="M905" i="9"/>
  <c r="N436" i="9"/>
  <c r="M436" i="9"/>
  <c r="AA58" i="9"/>
  <c r="N221" i="9"/>
  <c r="M221" i="9"/>
  <c r="N828" i="9"/>
  <c r="M828" i="9"/>
  <c r="N299" i="9"/>
  <c r="M299" i="9"/>
  <c r="N880" i="9"/>
  <c r="M880" i="9"/>
  <c r="N613" i="9"/>
  <c r="M613" i="9"/>
  <c r="N852" i="9"/>
  <c r="M852" i="9"/>
  <c r="N295" i="9"/>
  <c r="M295" i="9"/>
  <c r="N103" i="9"/>
  <c r="M103" i="9"/>
  <c r="N621" i="9"/>
  <c r="M621" i="9"/>
  <c r="N427" i="9"/>
  <c r="M427" i="9"/>
  <c r="N384" i="9"/>
  <c r="M384" i="9"/>
  <c r="N635" i="9"/>
  <c r="M635" i="9"/>
  <c r="N335" i="9"/>
  <c r="M335" i="9"/>
  <c r="N881" i="9"/>
  <c r="M881" i="9"/>
  <c r="N515" i="9"/>
  <c r="M515" i="9"/>
  <c r="N578" i="9"/>
  <c r="M578" i="9"/>
  <c r="N439" i="9"/>
  <c r="M439" i="9"/>
  <c r="N988" i="9"/>
  <c r="M988" i="9"/>
  <c r="N448" i="9"/>
  <c r="M448" i="9"/>
  <c r="N648" i="9"/>
  <c r="M648" i="9"/>
  <c r="N992" i="9"/>
  <c r="M992" i="9"/>
  <c r="N819" i="9"/>
  <c r="M819" i="9"/>
  <c r="N258" i="9"/>
  <c r="M258" i="9"/>
  <c r="N261" i="9"/>
  <c r="M261" i="9"/>
  <c r="N560" i="9"/>
  <c r="M560" i="9"/>
  <c r="N633" i="9"/>
  <c r="M633" i="9"/>
  <c r="N152" i="9"/>
  <c r="M152" i="9"/>
  <c r="N581" i="9"/>
  <c r="M581" i="9"/>
  <c r="N398" i="9"/>
  <c r="M398" i="9"/>
  <c r="N438" i="9"/>
  <c r="M438" i="9"/>
  <c r="N552" i="9"/>
  <c r="M552" i="9"/>
  <c r="N435" i="9"/>
  <c r="M435" i="9"/>
  <c r="N361" i="9"/>
  <c r="M361" i="9"/>
  <c r="N413" i="9"/>
  <c r="M413" i="9"/>
  <c r="N712" i="9"/>
  <c r="M712" i="9"/>
  <c r="N327" i="9"/>
  <c r="M327" i="9"/>
  <c r="N730" i="9"/>
  <c r="M730" i="9"/>
  <c r="N793" i="9"/>
  <c r="M793" i="9"/>
  <c r="N539" i="9"/>
  <c r="M539" i="9"/>
  <c r="N277" i="9"/>
  <c r="M277" i="9"/>
  <c r="N75" i="9"/>
  <c r="M75" i="9"/>
  <c r="N958" i="9"/>
  <c r="M958" i="9"/>
  <c r="N217" i="9"/>
  <c r="M217" i="9"/>
  <c r="N559" i="9"/>
  <c r="M559" i="9"/>
  <c r="N266" i="9"/>
  <c r="M266" i="9"/>
  <c r="N827" i="9"/>
  <c r="M827" i="9"/>
  <c r="N980" i="9"/>
  <c r="M980" i="9"/>
  <c r="N942" i="9"/>
  <c r="M942" i="9"/>
  <c r="N32" i="9"/>
  <c r="M32" i="9"/>
  <c r="N392" i="9"/>
  <c r="M392" i="9"/>
  <c r="N51" i="9"/>
  <c r="M51" i="9"/>
  <c r="N908" i="9"/>
  <c r="M908" i="9"/>
  <c r="N831" i="9"/>
  <c r="M831" i="9"/>
  <c r="N916" i="9"/>
  <c r="M916" i="9"/>
  <c r="N43" i="9"/>
  <c r="M43" i="9"/>
  <c r="N462" i="9"/>
  <c r="M462" i="9"/>
  <c r="N70" i="9"/>
  <c r="M70" i="9"/>
  <c r="N609" i="9"/>
  <c r="M609" i="9"/>
  <c r="N21" i="9"/>
  <c r="M21" i="9"/>
  <c r="N253" i="9"/>
  <c r="M253" i="9"/>
  <c r="N930" i="9"/>
  <c r="M930" i="9"/>
  <c r="N685" i="9"/>
  <c r="M685" i="9"/>
  <c r="N66" i="9"/>
  <c r="M66" i="9"/>
  <c r="N193" i="9"/>
  <c r="M193" i="9"/>
  <c r="N248" i="9"/>
  <c r="M248" i="9"/>
  <c r="N38" i="9"/>
  <c r="M38" i="9"/>
  <c r="N558" i="9"/>
  <c r="M558" i="9"/>
  <c r="N168" i="9"/>
  <c r="M168" i="9"/>
  <c r="N824" i="9"/>
  <c r="M824" i="9"/>
  <c r="N426" i="9"/>
  <c r="M426" i="9"/>
  <c r="N72" i="9"/>
  <c r="M72" i="9"/>
  <c r="N574" i="9"/>
  <c r="M574" i="9"/>
  <c r="N887" i="9"/>
  <c r="M887" i="9"/>
  <c r="N421" i="9"/>
  <c r="M421" i="9"/>
  <c r="N64" i="9"/>
  <c r="M64" i="9"/>
  <c r="N80" i="9"/>
  <c r="M80" i="9"/>
  <c r="N786" i="9"/>
  <c r="M786" i="9"/>
  <c r="N71" i="9"/>
  <c r="M71" i="9"/>
  <c r="N695" i="9"/>
  <c r="M695" i="9"/>
  <c r="N716" i="9"/>
  <c r="M716" i="9"/>
  <c r="N926" i="9"/>
  <c r="M926" i="9"/>
  <c r="N787" i="9"/>
  <c r="M787" i="9"/>
  <c r="N682" i="9"/>
  <c r="M682" i="9"/>
  <c r="N246" i="9"/>
  <c r="M246" i="9"/>
  <c r="N863" i="9"/>
  <c r="M863" i="9"/>
  <c r="N233" i="9"/>
  <c r="M233" i="9"/>
  <c r="N405" i="9"/>
  <c r="M405" i="9"/>
  <c r="N8" i="9"/>
  <c r="M8" i="9"/>
  <c r="N157" i="9"/>
  <c r="M157" i="9"/>
  <c r="N698" i="9"/>
  <c r="M698" i="9"/>
  <c r="N470" i="9"/>
  <c r="M470" i="9"/>
  <c r="N605" i="9"/>
  <c r="M605" i="9"/>
  <c r="N23" i="9"/>
  <c r="M23" i="9"/>
  <c r="N726" i="9"/>
  <c r="M726" i="9"/>
  <c r="N652" i="9"/>
  <c r="M652" i="9"/>
  <c r="N989" i="9"/>
  <c r="M989" i="9"/>
  <c r="N774" i="9"/>
  <c r="M774" i="9"/>
  <c r="N748" i="9"/>
  <c r="M748" i="9"/>
  <c r="N238" i="9"/>
  <c r="M238" i="9"/>
  <c r="N516" i="9"/>
  <c r="M516" i="9"/>
  <c r="N209" i="9"/>
  <c r="M209" i="9"/>
  <c r="N11" i="9"/>
  <c r="M11" i="9"/>
  <c r="N912" i="9"/>
  <c r="M912" i="9"/>
  <c r="N823" i="9"/>
  <c r="M823" i="9"/>
  <c r="N259" i="9"/>
  <c r="M259" i="9"/>
  <c r="N113" i="9"/>
  <c r="M113" i="9"/>
  <c r="N946" i="9"/>
  <c r="M946" i="9"/>
  <c r="N950" i="9"/>
  <c r="M950" i="9"/>
  <c r="N701" i="9"/>
  <c r="M701" i="9"/>
  <c r="N20" i="9"/>
  <c r="M20" i="9"/>
  <c r="N106" i="9"/>
  <c r="M106" i="9"/>
  <c r="N566" i="9"/>
  <c r="M566" i="9"/>
  <c r="N836" i="9"/>
  <c r="M836" i="9"/>
  <c r="N216" i="9"/>
  <c r="M216" i="9"/>
  <c r="N584" i="9"/>
  <c r="M584" i="9"/>
  <c r="N637" i="9"/>
  <c r="M637" i="9"/>
  <c r="N555" i="9"/>
  <c r="M555" i="9"/>
  <c r="N222" i="9"/>
  <c r="M222" i="9"/>
  <c r="N101" i="9"/>
  <c r="M101" i="9"/>
  <c r="N744" i="9"/>
  <c r="M744" i="9"/>
  <c r="N251" i="9"/>
  <c r="M251" i="9"/>
  <c r="N79" i="9"/>
  <c r="M79" i="9"/>
  <c r="N450" i="9"/>
  <c r="M450" i="9"/>
  <c r="N629" i="9"/>
  <c r="M629" i="9"/>
  <c r="N600" i="9"/>
  <c r="M600" i="9"/>
  <c r="N119" i="9"/>
  <c r="M119" i="9"/>
  <c r="N990" i="9"/>
  <c r="M990" i="9"/>
  <c r="N495" i="9"/>
  <c r="M495" i="9"/>
  <c r="N88" i="9"/>
  <c r="M88" i="9"/>
  <c r="N116" i="9"/>
  <c r="M116" i="9"/>
  <c r="N984" i="9"/>
  <c r="M984" i="9"/>
  <c r="N907" i="9"/>
  <c r="M907" i="9"/>
  <c r="N390" i="9"/>
  <c r="M390" i="9"/>
  <c r="N343" i="9"/>
  <c r="M343" i="9"/>
  <c r="N845" i="9"/>
  <c r="M845" i="9"/>
  <c r="N846" i="9"/>
  <c r="M846" i="9"/>
  <c r="N506" i="9"/>
  <c r="M506" i="9"/>
  <c r="N191" i="9"/>
  <c r="M191" i="9"/>
  <c r="N821" i="9"/>
  <c r="M821" i="9"/>
  <c r="N737" i="9"/>
  <c r="M737" i="9"/>
  <c r="N557" i="9"/>
  <c r="M557" i="9"/>
  <c r="N534" i="9"/>
  <c r="M534" i="9"/>
  <c r="N952" i="9"/>
  <c r="M952" i="9"/>
  <c r="N388" i="9"/>
  <c r="M388" i="9"/>
  <c r="N273" i="9"/>
  <c r="M273" i="9"/>
  <c r="N73" i="9"/>
  <c r="M73" i="9"/>
  <c r="N996" i="9"/>
  <c r="M996" i="9"/>
  <c r="N143" i="9"/>
  <c r="M143" i="9"/>
  <c r="N176" i="9"/>
  <c r="M176" i="9"/>
  <c r="N567" i="9"/>
  <c r="M567" i="9"/>
  <c r="N444" i="9"/>
  <c r="M444" i="9"/>
  <c r="N612" i="9"/>
  <c r="M612" i="9"/>
  <c r="N394" i="9"/>
  <c r="M394" i="9"/>
  <c r="N524" i="9"/>
  <c r="M524" i="9"/>
  <c r="N464" i="9"/>
  <c r="M464" i="9"/>
  <c r="N909" i="9"/>
  <c r="M909" i="9"/>
  <c r="N279" i="9"/>
  <c r="M279" i="9"/>
  <c r="N69" i="9"/>
  <c r="M69" i="9"/>
  <c r="N519" i="9"/>
  <c r="M519" i="9"/>
  <c r="N822" i="9"/>
  <c r="M822" i="9"/>
  <c r="N270" i="9"/>
  <c r="M270" i="9"/>
  <c r="N445" i="9"/>
  <c r="M445" i="9"/>
  <c r="N746" i="9"/>
  <c r="M746" i="9"/>
  <c r="N148" i="9"/>
  <c r="M148" i="9"/>
  <c r="N118" i="9"/>
  <c r="M118" i="9"/>
  <c r="N181" i="9"/>
  <c r="M181" i="9"/>
  <c r="N55" i="9"/>
  <c r="M55" i="9"/>
  <c r="N597" i="9"/>
  <c r="M597" i="9"/>
  <c r="N661" i="9"/>
  <c r="M661" i="9"/>
  <c r="N883" i="9"/>
  <c r="M883" i="9"/>
  <c r="N430" i="9"/>
  <c r="M430" i="9"/>
  <c r="N195" i="9"/>
  <c r="M195" i="9"/>
  <c r="N386" i="9"/>
  <c r="M386" i="9"/>
  <c r="N882" i="9"/>
  <c r="M882" i="9"/>
  <c r="N229" i="9"/>
  <c r="M229" i="9"/>
  <c r="N620" i="9"/>
  <c r="M620" i="9"/>
  <c r="N754" i="9"/>
  <c r="M754" i="9"/>
  <c r="N137" i="9"/>
  <c r="M137" i="9"/>
  <c r="P105" i="9"/>
  <c r="AZ105" i="9"/>
  <c r="O722" i="9"/>
  <c r="AX722" i="9"/>
  <c r="AZ638" i="9"/>
  <c r="P638" i="9"/>
  <c r="O220" i="9"/>
  <c r="AX220" i="9"/>
  <c r="O747" i="9"/>
  <c r="AX747" i="9"/>
  <c r="AW947" i="9"/>
  <c r="L947" i="9"/>
  <c r="AV282" i="9"/>
  <c r="L282" i="9"/>
  <c r="Q204" i="9"/>
  <c r="R204" i="9"/>
  <c r="AX256" i="9"/>
  <c r="O256" i="9"/>
  <c r="R730" i="9"/>
  <c r="Q730" i="9"/>
  <c r="R898" i="9"/>
  <c r="Q898" i="9"/>
  <c r="O793" i="9"/>
  <c r="AX793" i="9"/>
  <c r="L757" i="9"/>
  <c r="AV757" i="9"/>
  <c r="AW671" i="9"/>
  <c r="L671" i="9"/>
  <c r="AW545" i="9"/>
  <c r="L545" i="9"/>
  <c r="AX204" i="9"/>
  <c r="O204" i="9"/>
  <c r="AW631" i="9"/>
  <c r="L631" i="9"/>
  <c r="R256" i="9"/>
  <c r="Q256" i="9"/>
  <c r="AB58" i="9"/>
  <c r="AG58" i="9"/>
  <c r="AV517" i="9"/>
  <c r="L517" i="9"/>
  <c r="R836" i="9"/>
  <c r="Q836" i="9"/>
  <c r="AW615" i="9"/>
  <c r="L615" i="9"/>
  <c r="AV771" i="9"/>
  <c r="L771" i="9"/>
  <c r="AV340" i="9"/>
  <c r="L340" i="9"/>
  <c r="AW945" i="9"/>
  <c r="L945" i="9"/>
  <c r="AZ615" i="9"/>
  <c r="Q793" i="9"/>
  <c r="R793" i="9"/>
  <c r="AV244" i="9"/>
  <c r="L244" i="9"/>
  <c r="AV835" i="9"/>
  <c r="L835" i="9"/>
  <c r="AV395" i="9"/>
  <c r="L395" i="9"/>
  <c r="BA346" i="9"/>
  <c r="P346" i="9"/>
  <c r="AX836" i="9"/>
  <c r="O836" i="9"/>
  <c r="L153" i="9"/>
  <c r="AV153" i="9"/>
  <c r="AV904" i="9"/>
  <c r="L904" i="9"/>
  <c r="R216" i="9"/>
  <c r="Q216" i="9"/>
  <c r="AX137" i="9"/>
  <c r="O137" i="9"/>
  <c r="L172" i="9"/>
  <c r="AV172" i="9"/>
  <c r="O898" i="9"/>
  <c r="AX898" i="9"/>
  <c r="AV622" i="9"/>
  <c r="L622" i="9"/>
  <c r="AV419" i="9"/>
  <c r="L419" i="9"/>
  <c r="AX278" i="9"/>
  <c r="O278" i="9"/>
  <c r="AV354" i="9"/>
  <c r="L354" i="9"/>
  <c r="O738" i="9"/>
  <c r="AX738" i="9"/>
  <c r="L189" i="9"/>
  <c r="AV189" i="9"/>
  <c r="AX216" i="9"/>
  <c r="O216" i="9"/>
  <c r="R137" i="9"/>
  <c r="Q137" i="9"/>
  <c r="AZ939" i="9"/>
  <c r="P939" i="9"/>
  <c r="AV901" i="9"/>
  <c r="L901" i="9"/>
  <c r="AV490" i="9"/>
  <c r="L490" i="9"/>
  <c r="L461" i="9"/>
  <c r="AV461" i="9"/>
  <c r="AV387" i="9"/>
  <c r="L387" i="9"/>
  <c r="BA306" i="9"/>
  <c r="P306" i="9"/>
  <c r="AA843" i="9"/>
  <c r="AE843" i="9"/>
  <c r="AF843" i="9"/>
  <c r="AB843" i="9"/>
  <c r="R278" i="9"/>
  <c r="Q278" i="9"/>
  <c r="BA911" i="9"/>
  <c r="P911" i="9"/>
  <c r="L854" i="9"/>
  <c r="AV854" i="9"/>
  <c r="R738" i="9"/>
  <c r="Q738" i="9"/>
  <c r="L180" i="9"/>
  <c r="AV180" i="9"/>
  <c r="AW553" i="9"/>
  <c r="L553" i="9"/>
  <c r="L807" i="9"/>
  <c r="AV807" i="9"/>
  <c r="Q812" i="9"/>
  <c r="R812" i="9"/>
  <c r="R677" i="9"/>
  <c r="Q677" i="9"/>
  <c r="O730" i="9"/>
  <c r="AX730" i="9"/>
  <c r="AV415" i="9"/>
  <c r="L415" i="9"/>
  <c r="L692" i="9"/>
  <c r="AV692" i="9"/>
  <c r="AW577" i="9"/>
  <c r="L577" i="9"/>
  <c r="L521" i="9"/>
  <c r="AV521" i="9"/>
  <c r="AA969" i="9"/>
  <c r="AE969" i="9"/>
  <c r="AF969" i="9"/>
  <c r="R722" i="9"/>
  <c r="Q722" i="9"/>
  <c r="AV799" i="9"/>
  <c r="L799" i="9"/>
  <c r="R220" i="9"/>
  <c r="Q220" i="9"/>
  <c r="S110" i="9"/>
  <c r="BB110" i="9"/>
  <c r="R747" i="9"/>
  <c r="Q747" i="9"/>
  <c r="AV970" i="9"/>
  <c r="L970" i="9"/>
  <c r="AW57" i="9"/>
  <c r="L57" i="9"/>
  <c r="AV680" i="9"/>
  <c r="L680" i="9"/>
  <c r="AV919" i="9"/>
  <c r="L919" i="9"/>
  <c r="O812" i="9"/>
  <c r="AX812" i="9"/>
  <c r="L756" i="9"/>
  <c r="AV756" i="9"/>
  <c r="AX677" i="9"/>
  <c r="O677" i="9"/>
  <c r="AG656" i="9"/>
  <c r="AE656" i="9"/>
  <c r="AF656" i="9"/>
  <c r="AH656" i="9"/>
  <c r="AE50" i="9"/>
  <c r="AF50" i="9"/>
  <c r="AE58" i="9"/>
  <c r="AF58" i="9"/>
  <c r="S540" i="9"/>
  <c r="BB540" i="9"/>
  <c r="O936" i="9"/>
  <c r="AX936" i="9"/>
  <c r="L87" i="9"/>
  <c r="AV87" i="9"/>
  <c r="L484" i="9"/>
  <c r="AW484" i="9"/>
  <c r="AZ760" i="9"/>
  <c r="P760" i="9"/>
  <c r="AG723" i="9"/>
  <c r="AE723" i="9"/>
  <c r="AF723" i="9"/>
  <c r="AH723" i="9"/>
  <c r="O253" i="9"/>
  <c r="AX253" i="9"/>
  <c r="AX913" i="9"/>
  <c r="O913" i="9"/>
  <c r="L289" i="9"/>
  <c r="AV289" i="9"/>
  <c r="R737" i="9"/>
  <c r="Q737" i="9"/>
  <c r="AV83" i="9"/>
  <c r="L83" i="9"/>
  <c r="AX80" i="9"/>
  <c r="O80" i="9"/>
  <c r="R273" i="9"/>
  <c r="Q273" i="9"/>
  <c r="AX770" i="9"/>
  <c r="O770" i="9"/>
  <c r="AV704" i="9"/>
  <c r="L704" i="9"/>
  <c r="P46" i="9"/>
  <c r="AZ46" i="9"/>
  <c r="R988" i="9"/>
  <c r="Q988" i="9"/>
  <c r="L210" i="9"/>
  <c r="AV210" i="9"/>
  <c r="BB26" i="9"/>
  <c r="S26" i="9"/>
  <c r="AW492" i="9"/>
  <c r="L492" i="9"/>
  <c r="AZ673" i="9"/>
  <c r="P673" i="9"/>
  <c r="AW533" i="9"/>
  <c r="L533" i="9"/>
  <c r="L95" i="9"/>
  <c r="AV95" i="9"/>
  <c r="O883" i="9"/>
  <c r="AX883" i="9"/>
  <c r="R361" i="9"/>
  <c r="Q361" i="9"/>
  <c r="R374" i="9"/>
  <c r="Q374" i="9"/>
  <c r="AX650" i="9"/>
  <c r="O650" i="9"/>
  <c r="AZ183" i="9"/>
  <c r="P183" i="9"/>
  <c r="R546" i="9"/>
  <c r="Q546" i="9"/>
  <c r="AZ474" i="9"/>
  <c r="P474" i="9"/>
  <c r="O91" i="9"/>
  <c r="AX91" i="9"/>
  <c r="AX990" i="9"/>
  <c r="O990" i="9"/>
  <c r="S777" i="9"/>
  <c r="BB777" i="9"/>
  <c r="O362" i="9"/>
  <c r="AX362" i="9"/>
  <c r="O139" i="9"/>
  <c r="AX139" i="9"/>
  <c r="O569" i="9"/>
  <c r="AX569" i="9"/>
  <c r="L957" i="9"/>
  <c r="AV957" i="9"/>
  <c r="AX681" i="9"/>
  <c r="O681" i="9"/>
  <c r="AX315" i="9"/>
  <c r="O315" i="9"/>
  <c r="O251" i="9"/>
  <c r="AX251" i="9"/>
  <c r="L187" i="9"/>
  <c r="AV187" i="9"/>
  <c r="AX7" i="9"/>
  <c r="O7" i="9"/>
  <c r="AY487" i="9"/>
  <c r="O487" i="9"/>
  <c r="AZ514" i="9"/>
  <c r="P514" i="9"/>
  <c r="AX226" i="9"/>
  <c r="O226" i="9"/>
  <c r="AV158" i="9"/>
  <c r="L158" i="9"/>
  <c r="AZ418" i="9"/>
  <c r="P418" i="9"/>
  <c r="AW472" i="9"/>
  <c r="L472" i="9"/>
  <c r="AZ287" i="9"/>
  <c r="P287" i="9"/>
  <c r="BD326" i="9"/>
  <c r="W326" i="9"/>
  <c r="V326" i="9"/>
  <c r="Z326" i="9"/>
  <c r="P263" i="9"/>
  <c r="AZ263" i="9"/>
  <c r="R286" i="9"/>
  <c r="Q286" i="9"/>
  <c r="AX79" i="9"/>
  <c r="O79" i="9"/>
  <c r="P154" i="9"/>
  <c r="AZ154" i="9"/>
  <c r="AV917" i="9"/>
  <c r="L917" i="9"/>
  <c r="AX817" i="9"/>
  <c r="O817" i="9"/>
  <c r="R230" i="9"/>
  <c r="Q230" i="9"/>
  <c r="AV922" i="9"/>
  <c r="L922" i="9"/>
  <c r="P254" i="9"/>
  <c r="AZ254" i="9"/>
  <c r="R253" i="9"/>
  <c r="Q253" i="9"/>
  <c r="R522" i="9"/>
  <c r="Q522" i="9"/>
  <c r="AZ710" i="9"/>
  <c r="P710" i="9"/>
  <c r="R339" i="9"/>
  <c r="Q339" i="9"/>
  <c r="O846" i="9"/>
  <c r="AX846" i="9"/>
  <c r="BB703" i="9"/>
  <c r="S703" i="9"/>
  <c r="R582" i="9"/>
  <c r="Q582" i="9"/>
  <c r="AX463" i="9"/>
  <c r="O463" i="9"/>
  <c r="Q913" i="9"/>
  <c r="R913" i="9"/>
  <c r="BB17" i="9"/>
  <c r="S17" i="9"/>
  <c r="AX248" i="9"/>
  <c r="O248" i="9"/>
  <c r="AZ309" i="9"/>
  <c r="P309" i="9"/>
  <c r="AX796" i="9"/>
  <c r="O796" i="9"/>
  <c r="AX604" i="9"/>
  <c r="O604" i="9"/>
  <c r="AX452" i="9"/>
  <c r="O452" i="9"/>
  <c r="R781" i="9"/>
  <c r="Q781" i="9"/>
  <c r="P627" i="9"/>
  <c r="AZ627" i="9"/>
  <c r="L206" i="9"/>
  <c r="AV206" i="9"/>
  <c r="R511" i="9"/>
  <c r="Q511" i="9"/>
  <c r="BB488" i="9"/>
  <c r="S488" i="9"/>
  <c r="AZ313" i="9"/>
  <c r="P313" i="9"/>
  <c r="Q191" i="9"/>
  <c r="R191" i="9"/>
  <c r="BB34" i="9"/>
  <c r="S34" i="9"/>
  <c r="R426" i="9"/>
  <c r="Q426" i="9"/>
  <c r="R221" i="9"/>
  <c r="Q221" i="9"/>
  <c r="Q5" i="9"/>
  <c r="R5" i="9"/>
  <c r="R574" i="9"/>
  <c r="Q574" i="9"/>
  <c r="BD953" i="9"/>
  <c r="AZ422" i="9"/>
  <c r="P422" i="9"/>
  <c r="L60" i="9"/>
  <c r="AV60" i="9"/>
  <c r="AX557" i="9"/>
  <c r="O557" i="9"/>
  <c r="AZ296" i="9"/>
  <c r="P296" i="9"/>
  <c r="AX82" i="9"/>
  <c r="O82" i="9"/>
  <c r="P759" i="9"/>
  <c r="AZ759" i="9"/>
  <c r="R852" i="9"/>
  <c r="Q852" i="9"/>
  <c r="O645" i="9"/>
  <c r="AX645" i="9"/>
  <c r="AX295" i="9"/>
  <c r="O295" i="9"/>
  <c r="R80" i="9"/>
  <c r="Q80" i="9"/>
  <c r="P968" i="9"/>
  <c r="AZ968" i="9"/>
  <c r="AX900" i="9"/>
  <c r="O900" i="9"/>
  <c r="AZ717" i="9"/>
  <c r="P717" i="9"/>
  <c r="AX39" i="9"/>
  <c r="O39" i="9"/>
  <c r="Y660" i="9"/>
  <c r="X660" i="9"/>
  <c r="BB998" i="9"/>
  <c r="P833" i="9"/>
  <c r="AZ833" i="9"/>
  <c r="P366" i="9"/>
  <c r="AZ366" i="9"/>
  <c r="R127" i="9"/>
  <c r="Q127" i="9"/>
  <c r="AX98" i="9"/>
  <c r="O98" i="9"/>
  <c r="L768" i="9"/>
  <c r="AV768" i="9"/>
  <c r="AZ665" i="9"/>
  <c r="P665" i="9"/>
  <c r="BB179" i="9"/>
  <c r="S179" i="9"/>
  <c r="O683" i="9"/>
  <c r="AX683" i="9"/>
  <c r="AV610" i="9"/>
  <c r="L610" i="9"/>
  <c r="AX716" i="9"/>
  <c r="O716" i="9"/>
  <c r="BD959" i="9"/>
  <c r="W959" i="9"/>
  <c r="V959" i="9"/>
  <c r="Z959" i="9"/>
  <c r="AZ12" i="9"/>
  <c r="P12" i="9"/>
  <c r="BD500" i="9"/>
  <c r="AX753" i="9"/>
  <c r="O753" i="9"/>
  <c r="P903" i="9"/>
  <c r="AZ903" i="9"/>
  <c r="R1001" i="9"/>
  <c r="Q1001" i="9"/>
  <c r="AZ664" i="9"/>
  <c r="P664" i="9"/>
  <c r="BD480" i="9"/>
  <c r="W480" i="9"/>
  <c r="V480" i="9"/>
  <c r="Z480" i="9"/>
  <c r="R97" i="9"/>
  <c r="Q97" i="9"/>
  <c r="AX612" i="9"/>
  <c r="O612" i="9"/>
  <c r="AZ468" i="9"/>
  <c r="R347" i="9"/>
  <c r="Q347" i="9"/>
  <c r="O394" i="9"/>
  <c r="AX394" i="9"/>
  <c r="AZ797" i="9"/>
  <c r="P797" i="9"/>
  <c r="R456" i="9"/>
  <c r="Q456" i="9"/>
  <c r="R405" i="9"/>
  <c r="Q405" i="9"/>
  <c r="R578" i="9"/>
  <c r="Q578" i="9"/>
  <c r="P29" i="9"/>
  <c r="AZ29" i="9"/>
  <c r="AX439" i="9"/>
  <c r="O439" i="9"/>
  <c r="R225" i="9"/>
  <c r="Q225" i="9"/>
  <c r="Q69" i="9"/>
  <c r="R69" i="9"/>
  <c r="AX85" i="9"/>
  <c r="O85" i="9"/>
  <c r="AX448" i="9"/>
  <c r="O448" i="9"/>
  <c r="AX241" i="9"/>
  <c r="O241" i="9"/>
  <c r="R648" i="9"/>
  <c r="Q648" i="9"/>
  <c r="R693" i="9"/>
  <c r="Q693" i="9"/>
  <c r="AY519" i="9"/>
  <c r="O519" i="9"/>
  <c r="R698" i="9"/>
  <c r="Q698" i="9"/>
  <c r="P298" i="9"/>
  <c r="AZ298" i="9"/>
  <c r="Y314" i="9"/>
  <c r="X314" i="9"/>
  <c r="R3" i="9"/>
  <c r="Q3" i="9"/>
  <c r="BB932" i="9"/>
  <c r="S932" i="9"/>
  <c r="BB888" i="9"/>
  <c r="S888" i="9"/>
  <c r="O746" i="9"/>
  <c r="AX746" i="9"/>
  <c r="R652" i="9"/>
  <c r="Q652" i="9"/>
  <c r="R548" i="9"/>
  <c r="Q548" i="9"/>
  <c r="AZ385" i="9"/>
  <c r="P385" i="9"/>
  <c r="O148" i="9"/>
  <c r="AX148" i="9"/>
  <c r="P585" i="9"/>
  <c r="AZ585" i="9"/>
  <c r="O118" i="9"/>
  <c r="AX118" i="9"/>
  <c r="O438" i="9"/>
  <c r="AX438" i="9"/>
  <c r="AV401" i="9"/>
  <c r="L401" i="9"/>
  <c r="L262" i="9"/>
  <c r="AV262" i="9"/>
  <c r="L429" i="9"/>
  <c r="AV429" i="9"/>
  <c r="R31" i="9"/>
  <c r="Q31" i="9"/>
  <c r="R597" i="9"/>
  <c r="Q597" i="9"/>
  <c r="Y33" i="9"/>
  <c r="X33" i="9"/>
  <c r="R883" i="9"/>
  <c r="Q883" i="9"/>
  <c r="AZ733" i="9"/>
  <c r="P733" i="9"/>
  <c r="R432" i="9"/>
  <c r="Q432" i="9"/>
  <c r="O209" i="9"/>
  <c r="AX209" i="9"/>
  <c r="BB53" i="9"/>
  <c r="S53" i="9"/>
  <c r="R829" i="9"/>
  <c r="Q829" i="9"/>
  <c r="BD491" i="9"/>
  <c r="W491" i="9"/>
  <c r="V491" i="9"/>
  <c r="Z491" i="9"/>
  <c r="P370" i="9"/>
  <c r="AZ370" i="9"/>
  <c r="O201" i="9"/>
  <c r="AX201" i="9"/>
  <c r="R386" i="9"/>
  <c r="Q386" i="9"/>
  <c r="R912" i="9"/>
  <c r="Q912" i="9"/>
  <c r="BB876" i="9"/>
  <c r="S876" i="9"/>
  <c r="AZ929" i="9"/>
  <c r="P929" i="9"/>
  <c r="R25" i="9"/>
  <c r="Q25" i="9"/>
  <c r="L975" i="9"/>
  <c r="AV975" i="9"/>
  <c r="R882" i="9"/>
  <c r="Q882" i="9"/>
  <c r="AX740" i="9"/>
  <c r="O740" i="9"/>
  <c r="AX950" i="9"/>
  <c r="O950" i="9"/>
  <c r="R701" i="9"/>
  <c r="Q701" i="9"/>
  <c r="R202" i="9"/>
  <c r="Q202" i="9"/>
  <c r="R252" i="9"/>
  <c r="Q252" i="9"/>
  <c r="Y956" i="9"/>
  <c r="X956" i="9"/>
  <c r="AX566" i="9"/>
  <c r="O566" i="9"/>
  <c r="R681" i="9"/>
  <c r="Q681" i="9"/>
  <c r="BB961" i="9"/>
  <c r="S961" i="9"/>
  <c r="O879" i="9"/>
  <c r="AX879" i="9"/>
  <c r="AW496" i="9"/>
  <c r="L496" i="9"/>
  <c r="AX920" i="9"/>
  <c r="O920" i="9"/>
  <c r="AZ778" i="9"/>
  <c r="P778" i="9"/>
  <c r="R796" i="9"/>
  <c r="Q796" i="9"/>
  <c r="P700" i="9"/>
  <c r="AZ700" i="9"/>
  <c r="R295" i="9"/>
  <c r="Q295" i="9"/>
  <c r="Y959" i="9"/>
  <c r="X959" i="9"/>
  <c r="AA959" i="9"/>
  <c r="AX456" i="9"/>
  <c r="O456" i="9"/>
  <c r="Q284" i="9"/>
  <c r="R284" i="9"/>
  <c r="P407" i="9"/>
  <c r="AZ407" i="9"/>
  <c r="AX548" i="9"/>
  <c r="O548" i="9"/>
  <c r="R438" i="9"/>
  <c r="Q438" i="9"/>
  <c r="P235" i="9"/>
  <c r="AZ235" i="9"/>
  <c r="P184" i="9"/>
  <c r="AZ184" i="9"/>
  <c r="O432" i="9"/>
  <c r="AX432" i="9"/>
  <c r="R430" i="9"/>
  <c r="Q430" i="9"/>
  <c r="BB6" i="9"/>
  <c r="S6" i="9"/>
  <c r="AX443" i="9"/>
  <c r="O443" i="9"/>
  <c r="BB788" i="9"/>
  <c r="O546" i="9"/>
  <c r="AX546" i="9"/>
  <c r="R91" i="9"/>
  <c r="Q91" i="9"/>
  <c r="AX816" i="9"/>
  <c r="O816" i="9"/>
  <c r="R139" i="9"/>
  <c r="Q139" i="9"/>
  <c r="AX218" i="9"/>
  <c r="O218" i="9"/>
  <c r="AZ853" i="9"/>
  <c r="P853" i="9"/>
  <c r="R251" i="9"/>
  <c r="Q251" i="9"/>
  <c r="L897" i="9"/>
  <c r="AV897" i="9"/>
  <c r="AX502" i="9"/>
  <c r="O502" i="9"/>
  <c r="AX116" i="9"/>
  <c r="O116" i="9"/>
  <c r="AV696" i="9"/>
  <c r="L696" i="9"/>
  <c r="AZ702" i="9"/>
  <c r="P702" i="9"/>
  <c r="BB986" i="9"/>
  <c r="R226" i="9"/>
  <c r="Q226" i="9"/>
  <c r="Y37" i="9"/>
  <c r="X37" i="9"/>
  <c r="O752" i="9"/>
  <c r="AX752" i="9"/>
  <c r="L56" i="9"/>
  <c r="AV56" i="9"/>
  <c r="BD492" i="9"/>
  <c r="AX431" i="9"/>
  <c r="O431" i="9"/>
  <c r="R237" i="9"/>
  <c r="Q237" i="9"/>
  <c r="R479" i="9"/>
  <c r="Q479" i="9"/>
  <c r="R343" i="9"/>
  <c r="Q343" i="9"/>
  <c r="O286" i="9"/>
  <c r="AX286" i="9"/>
  <c r="R817" i="9"/>
  <c r="Q817" i="9"/>
  <c r="AZ601" i="9"/>
  <c r="P601" i="9"/>
  <c r="P224" i="9"/>
  <c r="AZ224" i="9"/>
  <c r="BD306" i="9"/>
  <c r="AZ654" i="9"/>
  <c r="P654" i="9"/>
  <c r="R15" i="9"/>
  <c r="Q15" i="9"/>
  <c r="P45" i="9"/>
  <c r="AZ45" i="9"/>
  <c r="AX522" i="9"/>
  <c r="O522" i="9"/>
  <c r="O536" i="9"/>
  <c r="AX536" i="9"/>
  <c r="AX339" i="9"/>
  <c r="O339" i="9"/>
  <c r="L133" i="9"/>
  <c r="AV133" i="9"/>
  <c r="AX36" i="9"/>
  <c r="O36" i="9"/>
  <c r="Y499" i="9"/>
  <c r="X499" i="9"/>
  <c r="AZ951" i="9"/>
  <c r="P951" i="9"/>
  <c r="Q846" i="9"/>
  <c r="R846" i="9"/>
  <c r="R66" i="9"/>
  <c r="Q66" i="9"/>
  <c r="R75" i="9"/>
  <c r="Q75" i="9"/>
  <c r="P667" i="9"/>
  <c r="AZ667" i="9"/>
  <c r="S790" i="9"/>
  <c r="BB790" i="9"/>
  <c r="P691" i="9"/>
  <c r="AZ691" i="9"/>
  <c r="R452" i="9"/>
  <c r="Q452" i="9"/>
  <c r="R364" i="9"/>
  <c r="Q364" i="9"/>
  <c r="P174" i="9"/>
  <c r="AZ174" i="9"/>
  <c r="AZ292" i="9"/>
  <c r="P292" i="9"/>
  <c r="AX781" i="9"/>
  <c r="O781" i="9"/>
  <c r="AX954" i="9"/>
  <c r="O954" i="9"/>
  <c r="AZ631" i="9"/>
  <c r="AY511" i="9"/>
  <c r="O511" i="9"/>
  <c r="AZ406" i="9"/>
  <c r="P406" i="9"/>
  <c r="O301" i="9"/>
  <c r="AX301" i="9"/>
  <c r="AX122" i="9"/>
  <c r="O122" i="9"/>
  <c r="P469" i="9"/>
  <c r="AZ469" i="9"/>
  <c r="AX221" i="9"/>
  <c r="O221" i="9"/>
  <c r="AZ630" i="9"/>
  <c r="P630" i="9"/>
  <c r="P537" i="9"/>
  <c r="AZ537" i="9"/>
  <c r="O828" i="9"/>
  <c r="AX828" i="9"/>
  <c r="L651" i="9"/>
  <c r="AV651" i="9"/>
  <c r="R557" i="9"/>
  <c r="Q557" i="9"/>
  <c r="AW485" i="9"/>
  <c r="L485" i="9"/>
  <c r="O275" i="9"/>
  <c r="AX275" i="9"/>
  <c r="BB596" i="9"/>
  <c r="S596" i="9"/>
  <c r="R657" i="9"/>
  <c r="Q657" i="9"/>
  <c r="AZ974" i="9"/>
  <c r="P974" i="9"/>
  <c r="AX852" i="9"/>
  <c r="O852" i="9"/>
  <c r="R645" i="9"/>
  <c r="Q645" i="9"/>
  <c r="AW468" i="9"/>
  <c r="L468" i="9"/>
  <c r="P420" i="9"/>
  <c r="AZ420" i="9"/>
  <c r="O260" i="9"/>
  <c r="AX260" i="9"/>
  <c r="BB145" i="9"/>
  <c r="S145" i="9"/>
  <c r="Q952" i="9"/>
  <c r="R952" i="9"/>
  <c r="P595" i="9"/>
  <c r="AZ595" i="9"/>
  <c r="O285" i="9"/>
  <c r="AX285" i="9"/>
  <c r="O103" i="9"/>
  <c r="AX103" i="9"/>
  <c r="R617" i="9"/>
  <c r="Q617" i="9"/>
  <c r="R554" i="9"/>
  <c r="Q554" i="9"/>
  <c r="BB322" i="9"/>
  <c r="S322" i="9"/>
  <c r="BB178" i="9"/>
  <c r="S178" i="9"/>
  <c r="BD660" i="9"/>
  <c r="W660" i="9"/>
  <c r="V660" i="9"/>
  <c r="Z660" i="9"/>
  <c r="AX978" i="9"/>
  <c r="O978" i="9"/>
  <c r="P556" i="9"/>
  <c r="AZ556" i="9"/>
  <c r="R27" i="9"/>
  <c r="Q27" i="9"/>
  <c r="R637" i="9"/>
  <c r="Q637" i="9"/>
  <c r="R177" i="9"/>
  <c r="Q177" i="9"/>
  <c r="O572" i="9"/>
  <c r="AX572" i="9"/>
  <c r="P294" i="9"/>
  <c r="AZ294" i="9"/>
  <c r="AV170" i="9"/>
  <c r="L170" i="9"/>
  <c r="P795" i="9"/>
  <c r="AZ795" i="9"/>
  <c r="R683" i="9"/>
  <c r="Q683" i="9"/>
  <c r="O570" i="9"/>
  <c r="AX570" i="9"/>
  <c r="P213" i="9"/>
  <c r="AZ213" i="9"/>
  <c r="AZ706" i="9"/>
  <c r="P706" i="9"/>
  <c r="AZ308" i="9"/>
  <c r="P308" i="9"/>
  <c r="R753" i="9"/>
  <c r="Q753" i="9"/>
  <c r="R335" i="9"/>
  <c r="Q335" i="9"/>
  <c r="AZ966" i="9"/>
  <c r="AX871" i="9"/>
  <c r="O871" i="9"/>
  <c r="P228" i="9"/>
  <c r="AZ228" i="9"/>
  <c r="P865" i="9"/>
  <c r="AZ865" i="9"/>
  <c r="R782" i="9"/>
  <c r="Q782" i="9"/>
  <c r="O593" i="9"/>
  <c r="AX593" i="9"/>
  <c r="AX347" i="9"/>
  <c r="O347" i="9"/>
  <c r="R394" i="9"/>
  <c r="Q394" i="9"/>
  <c r="AX881" i="9"/>
  <c r="O881" i="9"/>
  <c r="P587" i="9"/>
  <c r="AZ587" i="9"/>
  <c r="AX405" i="9"/>
  <c r="O405" i="9"/>
  <c r="AV721" i="9"/>
  <c r="L721" i="9"/>
  <c r="R439" i="9"/>
  <c r="Q439" i="9"/>
  <c r="AX225" i="9"/>
  <c r="O225" i="9"/>
  <c r="R85" i="9"/>
  <c r="Q85" i="9"/>
  <c r="R448" i="9"/>
  <c r="Q448" i="9"/>
  <c r="O648" i="9"/>
  <c r="AX648" i="9"/>
  <c r="AX138" i="9"/>
  <c r="O138" i="9"/>
  <c r="O693" i="9"/>
  <c r="AX693" i="9"/>
  <c r="O157" i="9"/>
  <c r="AX157" i="9"/>
  <c r="AX623" i="9"/>
  <c r="O623" i="9"/>
  <c r="R992" i="9"/>
  <c r="Q992" i="9"/>
  <c r="L806" i="9"/>
  <c r="AV806" i="9"/>
  <c r="AX698" i="9"/>
  <c r="O698" i="9"/>
  <c r="BD503" i="9"/>
  <c r="O270" i="9"/>
  <c r="AX270" i="9"/>
  <c r="BB550" i="9"/>
  <c r="S550" i="9"/>
  <c r="BD314" i="9"/>
  <c r="W314" i="9"/>
  <c r="V314" i="9"/>
  <c r="Z314" i="9"/>
  <c r="AX261" i="9"/>
  <c r="O261" i="9"/>
  <c r="AX3" i="9"/>
  <c r="O3" i="9"/>
  <c r="R726" i="9"/>
  <c r="Q726" i="9"/>
  <c r="AX560" i="9"/>
  <c r="O560" i="9"/>
  <c r="Y855" i="9"/>
  <c r="X855" i="9"/>
  <c r="R746" i="9"/>
  <c r="Q746" i="9"/>
  <c r="O652" i="9"/>
  <c r="AX652" i="9"/>
  <c r="AE381" i="9"/>
  <c r="AF381" i="9"/>
  <c r="AH381" i="9"/>
  <c r="AG381" i="9"/>
  <c r="R148" i="9"/>
  <c r="Q148" i="9"/>
  <c r="R921" i="9"/>
  <c r="Q921" i="9"/>
  <c r="AZ658" i="9"/>
  <c r="P658" i="9"/>
  <c r="P842" i="9"/>
  <c r="AZ842" i="9"/>
  <c r="O398" i="9"/>
  <c r="AX398" i="9"/>
  <c r="R118" i="9"/>
  <c r="Q118" i="9"/>
  <c r="AZ639" i="9"/>
  <c r="P639" i="9"/>
  <c r="AX460" i="9"/>
  <c r="O460" i="9"/>
  <c r="O266" i="9"/>
  <c r="AX266" i="9"/>
  <c r="L136" i="9"/>
  <c r="AV136" i="9"/>
  <c r="AV185" i="9"/>
  <c r="L185" i="9"/>
  <c r="BB141" i="9"/>
  <c r="S141" i="9"/>
  <c r="O774" i="9"/>
  <c r="AX774" i="9"/>
  <c r="R63" i="9"/>
  <c r="Q63" i="9"/>
  <c r="AX31" i="9"/>
  <c r="O31" i="9"/>
  <c r="O597" i="9"/>
  <c r="AX597" i="9"/>
  <c r="R661" i="9"/>
  <c r="Q661" i="9"/>
  <c r="BD33" i="9"/>
  <c r="W33" i="9"/>
  <c r="V33" i="9"/>
  <c r="Z33" i="9"/>
  <c r="R998" i="9"/>
  <c r="Q998" i="9"/>
  <c r="AX798" i="9"/>
  <c r="O798" i="9"/>
  <c r="AV349" i="9"/>
  <c r="L349" i="9"/>
  <c r="AZ674" i="9"/>
  <c r="R201" i="9"/>
  <c r="Q201" i="9"/>
  <c r="O825" i="9"/>
  <c r="AX825" i="9"/>
  <c r="P182" i="9"/>
  <c r="AZ182" i="9"/>
  <c r="AV728" i="9"/>
  <c r="L728" i="9"/>
  <c r="P611" i="9"/>
  <c r="AZ611" i="9"/>
  <c r="AZ336" i="9"/>
  <c r="P336" i="9"/>
  <c r="AX912" i="9"/>
  <c r="O912" i="9"/>
  <c r="R823" i="9"/>
  <c r="Q823" i="9"/>
  <c r="L203" i="9"/>
  <c r="AV203" i="9"/>
  <c r="O113" i="9"/>
  <c r="AX113" i="9"/>
  <c r="R993" i="9"/>
  <c r="Q993" i="9"/>
  <c r="AX882" i="9"/>
  <c r="O882" i="9"/>
  <c r="R712" i="9"/>
  <c r="Q712" i="9"/>
  <c r="R229" i="9"/>
  <c r="Q229" i="9"/>
  <c r="R950" i="9"/>
  <c r="Q950" i="9"/>
  <c r="AX151" i="9"/>
  <c r="O151" i="9"/>
  <c r="R620" i="9"/>
  <c r="Q620" i="9"/>
  <c r="AV708" i="9"/>
  <c r="L708" i="9"/>
  <c r="R327" i="9"/>
  <c r="Q327" i="9"/>
  <c r="R250" i="9"/>
  <c r="Q250" i="9"/>
  <c r="O252" i="9"/>
  <c r="AX252" i="9"/>
  <c r="V956" i="9"/>
  <c r="Z956" i="9"/>
  <c r="BD956" i="9"/>
  <c r="W956" i="9"/>
  <c r="BB642" i="9"/>
  <c r="R242" i="9"/>
  <c r="Q242" i="9"/>
  <c r="AZ305" i="9"/>
  <c r="P305" i="9"/>
  <c r="R315" i="9"/>
  <c r="Q315" i="9"/>
  <c r="O831" i="9"/>
  <c r="AX831" i="9"/>
  <c r="R32" i="9"/>
  <c r="Q32" i="9"/>
  <c r="AX801" i="9"/>
  <c r="O801" i="9"/>
  <c r="R603" i="9"/>
  <c r="Q603" i="9"/>
  <c r="R845" i="9"/>
  <c r="Q845" i="9"/>
  <c r="R463" i="9"/>
  <c r="Q463" i="9"/>
  <c r="R248" i="9"/>
  <c r="Q248" i="9"/>
  <c r="R604" i="9"/>
  <c r="Q604" i="9"/>
  <c r="O191" i="9"/>
  <c r="AX191" i="9"/>
  <c r="R889" i="9"/>
  <c r="Q889" i="9"/>
  <c r="R82" i="9"/>
  <c r="Q82" i="9"/>
  <c r="AZ938" i="9"/>
  <c r="P938" i="9"/>
  <c r="R176" i="9"/>
  <c r="Q176" i="9"/>
  <c r="BD342" i="9"/>
  <c r="W342" i="9"/>
  <c r="V342" i="9"/>
  <c r="Z342" i="9"/>
  <c r="R822" i="9"/>
  <c r="Q822" i="9"/>
  <c r="O829" i="9"/>
  <c r="AX829" i="9"/>
  <c r="AZ341" i="9"/>
  <c r="P341" i="9"/>
  <c r="AZ28" i="9"/>
  <c r="P28" i="9"/>
  <c r="O25" i="9"/>
  <c r="AX25" i="9"/>
  <c r="R827" i="9"/>
  <c r="Q827" i="9"/>
  <c r="R566" i="9"/>
  <c r="Q566" i="9"/>
  <c r="R166" i="9"/>
  <c r="Q166" i="9"/>
  <c r="AX744" i="9"/>
  <c r="O744" i="9"/>
  <c r="O280" i="9"/>
  <c r="AX280" i="9"/>
  <c r="P188" i="9"/>
  <c r="AZ188" i="9"/>
  <c r="AX130" i="9"/>
  <c r="O130" i="9"/>
  <c r="AZ324" i="9"/>
  <c r="P324" i="9"/>
  <c r="R949" i="9"/>
  <c r="Q949" i="9"/>
  <c r="O428" i="9"/>
  <c r="AX428" i="9"/>
  <c r="BB947" i="9"/>
  <c r="R816" i="9"/>
  <c r="Q816" i="9"/>
  <c r="Q727" i="9"/>
  <c r="R727" i="9"/>
  <c r="AX510" i="9"/>
  <c r="O510" i="9"/>
  <c r="R867" i="9"/>
  <c r="Q867" i="9"/>
  <c r="R353" i="9"/>
  <c r="Q353" i="9"/>
  <c r="R218" i="9"/>
  <c r="Q218" i="9"/>
  <c r="P902" i="9"/>
  <c r="AZ902" i="9"/>
  <c r="R495" i="9"/>
  <c r="Q495" i="9"/>
  <c r="AX115" i="9"/>
  <c r="O115" i="9"/>
  <c r="AZ933" i="9"/>
  <c r="P933" i="9"/>
  <c r="P894" i="9"/>
  <c r="AZ894" i="9"/>
  <c r="R502" i="9"/>
  <c r="Q502" i="9"/>
  <c r="R116" i="9"/>
  <c r="Q116" i="9"/>
  <c r="R538" i="9"/>
  <c r="Q538" i="9"/>
  <c r="R977" i="9"/>
  <c r="Q977" i="9"/>
  <c r="R907" i="9"/>
  <c r="Q907" i="9"/>
  <c r="BB446" i="9"/>
  <c r="S446" i="9"/>
  <c r="R311" i="9"/>
  <c r="Q311" i="9"/>
  <c r="R43" i="9"/>
  <c r="Q43" i="9"/>
  <c r="BD37" i="9"/>
  <c r="W37" i="9"/>
  <c r="V37" i="9"/>
  <c r="Z37" i="9"/>
  <c r="R752" i="9"/>
  <c r="Q752" i="9"/>
  <c r="O390" i="9"/>
  <c r="AX390" i="9"/>
  <c r="R70" i="9"/>
  <c r="Q70" i="9"/>
  <c r="P997" i="9"/>
  <c r="AZ997" i="9"/>
  <c r="AB803" i="9"/>
  <c r="AZ671" i="9"/>
  <c r="R431" i="9"/>
  <c r="Q431" i="9"/>
  <c r="R813" i="9"/>
  <c r="Q813" i="9"/>
  <c r="AX237" i="9"/>
  <c r="O237" i="9"/>
  <c r="AZ690" i="9"/>
  <c r="P690" i="9"/>
  <c r="AY479" i="9"/>
  <c r="O479" i="9"/>
  <c r="AX343" i="9"/>
  <c r="O343" i="9"/>
  <c r="R848" i="9"/>
  <c r="Q848" i="9"/>
  <c r="AX875" i="9"/>
  <c r="O875" i="9"/>
  <c r="AZ518" i="9"/>
  <c r="P518" i="9"/>
  <c r="AX15" i="9"/>
  <c r="O15" i="9"/>
  <c r="AV923" i="9"/>
  <c r="L923" i="9"/>
  <c r="R307" i="9"/>
  <c r="Q307" i="9"/>
  <c r="AX234" i="9"/>
  <c r="O234" i="9"/>
  <c r="P859" i="9"/>
  <c r="AZ859" i="9"/>
  <c r="R536" i="9"/>
  <c r="Q536" i="9"/>
  <c r="AX392" i="9"/>
  <c r="O392" i="9"/>
  <c r="P718" i="9"/>
  <c r="AZ718" i="9"/>
  <c r="S614" i="9"/>
  <c r="BB614" i="9"/>
  <c r="AZ329" i="9"/>
  <c r="P329" i="9"/>
  <c r="Q36" i="9"/>
  <c r="R36" i="9"/>
  <c r="BD499" i="9"/>
  <c r="W499" i="9"/>
  <c r="V499" i="9"/>
  <c r="Z499" i="9"/>
  <c r="O811" i="9"/>
  <c r="AX811" i="9"/>
  <c r="BB338" i="9"/>
  <c r="S338" i="9"/>
  <c r="O66" i="9"/>
  <c r="AX66" i="9"/>
  <c r="AX75" i="9"/>
  <c r="O75" i="9"/>
  <c r="Y9" i="9"/>
  <c r="X9" i="9"/>
  <c r="BD484" i="9"/>
  <c r="R47" i="9"/>
  <c r="Q47" i="9"/>
  <c r="AZ764" i="9"/>
  <c r="P764" i="9"/>
  <c r="R447" i="9"/>
  <c r="Q447" i="9"/>
  <c r="AX364" i="9"/>
  <c r="O364" i="9"/>
  <c r="R168" i="9"/>
  <c r="Q168" i="9"/>
  <c r="R751" i="9"/>
  <c r="Q751" i="9"/>
  <c r="AZ473" i="9"/>
  <c r="P473" i="9"/>
  <c r="R331" i="9"/>
  <c r="Q331" i="9"/>
  <c r="AX214" i="9"/>
  <c r="O214" i="9"/>
  <c r="R954" i="9"/>
  <c r="Q954" i="9"/>
  <c r="O824" i="9"/>
  <c r="AX824" i="9"/>
  <c r="AX741" i="9"/>
  <c r="O741" i="9"/>
  <c r="R584" i="9"/>
  <c r="Q584" i="9"/>
  <c r="R301" i="9"/>
  <c r="Q301" i="9"/>
  <c r="R122" i="9"/>
  <c r="Q122" i="9"/>
  <c r="AZ934" i="9"/>
  <c r="P934" i="9"/>
  <c r="R828" i="9"/>
  <c r="Q828" i="9"/>
  <c r="AZ666" i="9"/>
  <c r="P666" i="9"/>
  <c r="AV729" i="9"/>
  <c r="L729" i="9"/>
  <c r="R421" i="9"/>
  <c r="Q421" i="9"/>
  <c r="R275" i="9"/>
  <c r="Q275" i="9"/>
  <c r="AX64" i="9"/>
  <c r="O64" i="9"/>
  <c r="O657" i="9"/>
  <c r="AX657" i="9"/>
  <c r="Q260" i="9"/>
  <c r="R260" i="9"/>
  <c r="O952" i="9"/>
  <c r="AX952" i="9"/>
  <c r="AZ713" i="9"/>
  <c r="P713" i="9"/>
  <c r="R543" i="9"/>
  <c r="Q543" i="9"/>
  <c r="P408" i="9"/>
  <c r="AZ408" i="9"/>
  <c r="R285" i="9"/>
  <c r="Q285" i="9"/>
  <c r="R103" i="9"/>
  <c r="Q103" i="9"/>
  <c r="O617" i="9"/>
  <c r="AX617" i="9"/>
  <c r="O554" i="9"/>
  <c r="AX554" i="9"/>
  <c r="R71" i="9"/>
  <c r="Q71" i="9"/>
  <c r="Q978" i="9"/>
  <c r="R978" i="9"/>
  <c r="AZ397" i="9"/>
  <c r="P397" i="9"/>
  <c r="AX27" i="9"/>
  <c r="O27" i="9"/>
  <c r="L128" i="9"/>
  <c r="AV128" i="9"/>
  <c r="R1002" i="9"/>
  <c r="Q1002" i="9"/>
  <c r="AX637" i="9"/>
  <c r="O637" i="9"/>
  <c r="AX177" i="9"/>
  <c r="O177" i="9"/>
  <c r="R572" i="9"/>
  <c r="Q572" i="9"/>
  <c r="AZ477" i="9"/>
  <c r="P477" i="9"/>
  <c r="R94" i="9"/>
  <c r="Q94" i="9"/>
  <c r="BB915" i="9"/>
  <c r="S915" i="9"/>
  <c r="R570" i="9"/>
  <c r="Q570" i="9"/>
  <c r="AV523" i="9"/>
  <c r="L523" i="9"/>
  <c r="Q926" i="9"/>
  <c r="R926" i="9"/>
  <c r="AZ577" i="9"/>
  <c r="BB504" i="9"/>
  <c r="O102" i="9"/>
  <c r="AX102" i="9"/>
  <c r="AX335" i="9"/>
  <c r="O335" i="9"/>
  <c r="R871" i="9"/>
  <c r="Q871" i="9"/>
  <c r="Y330" i="9"/>
  <c r="X330" i="9"/>
  <c r="P520" i="9"/>
  <c r="AZ520" i="9"/>
  <c r="O782" i="9"/>
  <c r="AX782" i="9"/>
  <c r="R593" i="9"/>
  <c r="Q593" i="9"/>
  <c r="O271" i="9"/>
  <c r="AX271" i="9"/>
  <c r="R881" i="9"/>
  <c r="Q881" i="9"/>
  <c r="AZ779" i="9"/>
  <c r="R524" i="9"/>
  <c r="Q524" i="9"/>
  <c r="AZ414" i="9"/>
  <c r="P414" i="9"/>
  <c r="R233" i="9"/>
  <c r="Q233" i="9"/>
  <c r="R694" i="9"/>
  <c r="Q694" i="9"/>
  <c r="AX464" i="9"/>
  <c r="O464" i="9"/>
  <c r="AX107" i="9"/>
  <c r="O107" i="9"/>
  <c r="BB10" i="9"/>
  <c r="S10" i="9"/>
  <c r="R555" i="9"/>
  <c r="Q555" i="9"/>
  <c r="R864" i="9"/>
  <c r="Q864" i="9"/>
  <c r="P878" i="9"/>
  <c r="AZ878" i="9"/>
  <c r="R138" i="9"/>
  <c r="Q138" i="9"/>
  <c r="AZ317" i="9"/>
  <c r="P317" i="9"/>
  <c r="R157" i="9"/>
  <c r="Q157" i="9"/>
  <c r="R623" i="9"/>
  <c r="Q623" i="9"/>
  <c r="AX992" i="9"/>
  <c r="O992" i="9"/>
  <c r="Q944" i="9"/>
  <c r="R944" i="9"/>
  <c r="AZ669" i="9"/>
  <c r="P669" i="9"/>
  <c r="R368" i="9"/>
  <c r="Q368" i="9"/>
  <c r="R270" i="9"/>
  <c r="Q270" i="9"/>
  <c r="R459" i="9"/>
  <c r="Q459" i="9"/>
  <c r="BB847" i="9"/>
  <c r="S847" i="9"/>
  <c r="AZ485" i="9"/>
  <c r="BB290" i="9"/>
  <c r="S290" i="9"/>
  <c r="R261" i="9"/>
  <c r="Q261" i="9"/>
  <c r="R74" i="9"/>
  <c r="Q74" i="9"/>
  <c r="O726" i="9"/>
  <c r="AX726" i="9"/>
  <c r="R560" i="9"/>
  <c r="Q560" i="9"/>
  <c r="BD855" i="9"/>
  <c r="W855" i="9"/>
  <c r="V855" i="9"/>
  <c r="Z855" i="9"/>
  <c r="BB739" i="9"/>
  <c r="S739" i="9"/>
  <c r="AZ481" i="9"/>
  <c r="P481" i="9"/>
  <c r="O921" i="9"/>
  <c r="AX921" i="9"/>
  <c r="AV720" i="9"/>
  <c r="L720" i="9"/>
  <c r="AX544" i="9"/>
  <c r="O544" i="9"/>
  <c r="R398" i="9"/>
  <c r="Q398" i="9"/>
  <c r="AX68" i="9"/>
  <c r="O68" i="9"/>
  <c r="R989" i="9"/>
  <c r="Q989" i="9"/>
  <c r="R571" i="9"/>
  <c r="Q571" i="9"/>
  <c r="R460" i="9"/>
  <c r="Q460" i="9"/>
  <c r="R266" i="9"/>
  <c r="Q266" i="9"/>
  <c r="R181" i="9"/>
  <c r="Q181" i="9"/>
  <c r="R409" i="9"/>
  <c r="Q409" i="9"/>
  <c r="R774" i="9"/>
  <c r="Q774" i="9"/>
  <c r="P437" i="9"/>
  <c r="AZ437" i="9"/>
  <c r="AX63" i="9"/>
  <c r="O63" i="9"/>
  <c r="AZ359" i="9"/>
  <c r="P359" i="9"/>
  <c r="O661" i="9"/>
  <c r="AX661" i="9"/>
  <c r="O238" i="9"/>
  <c r="AX238" i="9"/>
  <c r="AY998" i="9"/>
  <c r="O998" i="9"/>
  <c r="Q798" i="9"/>
  <c r="R798" i="9"/>
  <c r="R516" i="9"/>
  <c r="Q516" i="9"/>
  <c r="AX552" i="9"/>
  <c r="O552" i="9"/>
  <c r="R825" i="9"/>
  <c r="Q825" i="9"/>
  <c r="P805" i="9"/>
  <c r="AZ805" i="9"/>
  <c r="AX435" i="9"/>
  <c r="O435" i="9"/>
  <c r="AZ393" i="9"/>
  <c r="P393" i="9"/>
  <c r="P212" i="9"/>
  <c r="AZ212" i="9"/>
  <c r="BB608" i="9"/>
  <c r="S608" i="9"/>
  <c r="O267" i="9"/>
  <c r="AX267" i="9"/>
  <c r="AX823" i="9"/>
  <c r="O823" i="9"/>
  <c r="BD685" i="9"/>
  <c r="BB576" i="9"/>
  <c r="S576" i="9"/>
  <c r="Y22" i="9"/>
  <c r="X22" i="9"/>
  <c r="R113" i="9"/>
  <c r="Q113" i="9"/>
  <c r="AY993" i="9"/>
  <c r="O993" i="9"/>
  <c r="AV874" i="9"/>
  <c r="L874" i="9"/>
  <c r="AX712" i="9"/>
  <c r="O712" i="9"/>
  <c r="O101" i="9"/>
  <c r="AX101" i="9"/>
  <c r="BB711" i="9"/>
  <c r="S711" i="9"/>
  <c r="AX229" i="9"/>
  <c r="O229" i="9"/>
  <c r="L647" i="9"/>
  <c r="AV647" i="9"/>
  <c r="R151" i="9"/>
  <c r="Q151" i="9"/>
  <c r="AX620" i="9"/>
  <c r="O620" i="9"/>
  <c r="AX20" i="9"/>
  <c r="O20" i="9"/>
  <c r="AV899" i="9"/>
  <c r="L899" i="9"/>
  <c r="AX327" i="9"/>
  <c r="O327" i="9"/>
  <c r="O250" i="9"/>
  <c r="AX250" i="9"/>
  <c r="O90" i="9"/>
  <c r="AX90" i="9"/>
  <c r="BB707" i="9"/>
  <c r="S707" i="9"/>
  <c r="AV350" i="9"/>
  <c r="L350" i="9"/>
  <c r="AZ809" i="9"/>
  <c r="P809" i="9"/>
  <c r="R362" i="9"/>
  <c r="Q362" i="9"/>
  <c r="P941" i="9"/>
  <c r="AZ941" i="9"/>
  <c r="R942" i="9"/>
  <c r="Q942" i="9"/>
  <c r="AX916" i="9"/>
  <c r="O916" i="9"/>
  <c r="Y326" i="9"/>
  <c r="AB326" i="9"/>
  <c r="X326" i="9"/>
  <c r="AA326" i="9"/>
  <c r="AZ498" i="9"/>
  <c r="P498" i="9"/>
  <c r="AX705" i="9"/>
  <c r="O705" i="9"/>
  <c r="AZ599" i="9"/>
  <c r="P599" i="9"/>
  <c r="P93" i="9"/>
  <c r="AZ93" i="9"/>
  <c r="BB239" i="9"/>
  <c r="S239" i="9"/>
  <c r="R900" i="9"/>
  <c r="Q900" i="9"/>
  <c r="AX127" i="9"/>
  <c r="O127" i="9"/>
  <c r="R444" i="9"/>
  <c r="Q444" i="9"/>
  <c r="S655" i="9"/>
  <c r="BB655" i="9"/>
  <c r="Y480" i="9"/>
  <c r="AB480" i="9"/>
  <c r="X480" i="9"/>
  <c r="S383" i="9"/>
  <c r="BB383" i="9"/>
  <c r="AZ749" i="9"/>
  <c r="P749" i="9"/>
  <c r="R241" i="9"/>
  <c r="Q241" i="9"/>
  <c r="AX804" i="9"/>
  <c r="O804" i="9"/>
  <c r="AX23" i="9"/>
  <c r="O23" i="9"/>
  <c r="P773" i="9"/>
  <c r="AZ773" i="9"/>
  <c r="R149" i="9"/>
  <c r="Q149" i="9"/>
  <c r="R748" i="9"/>
  <c r="Q748" i="9"/>
  <c r="O205" i="9"/>
  <c r="AX205" i="9"/>
  <c r="P762" i="9"/>
  <c r="AZ762" i="9"/>
  <c r="BA475" i="9"/>
  <c r="P475" i="9"/>
  <c r="S198" i="9"/>
  <c r="BB198" i="9"/>
  <c r="AX701" i="9"/>
  <c r="O701" i="9"/>
  <c r="AX202" i="9"/>
  <c r="O202" i="9"/>
  <c r="AX166" i="9"/>
  <c r="O166" i="9"/>
  <c r="O908" i="9"/>
  <c r="AX908" i="9"/>
  <c r="R744" i="9"/>
  <c r="Q744" i="9"/>
  <c r="O402" i="9"/>
  <c r="AX402" i="9"/>
  <c r="R280" i="9"/>
  <c r="Q280" i="9"/>
  <c r="R130" i="9"/>
  <c r="Q130" i="9"/>
  <c r="O293" i="9"/>
  <c r="AX293" i="9"/>
  <c r="AX949" i="9"/>
  <c r="O949" i="9"/>
  <c r="R428" i="9"/>
  <c r="Q428" i="9"/>
  <c r="L815" i="9"/>
  <c r="AV815" i="9"/>
  <c r="AX727" i="9"/>
  <c r="O727" i="9"/>
  <c r="S588" i="9"/>
  <c r="BB588" i="9"/>
  <c r="R510" i="9"/>
  <c r="Q510" i="9"/>
  <c r="AZ344" i="9"/>
  <c r="P344" i="9"/>
  <c r="AX867" i="9"/>
  <c r="O867" i="9"/>
  <c r="AX353" i="9"/>
  <c r="O353" i="9"/>
  <c r="Q190" i="9"/>
  <c r="R190" i="9"/>
  <c r="AZ814" i="9"/>
  <c r="P814" i="9"/>
  <c r="O589" i="9"/>
  <c r="AX589" i="9"/>
  <c r="AY495" i="9"/>
  <c r="O495" i="9"/>
  <c r="R115" i="9"/>
  <c r="Q115" i="9"/>
  <c r="AV981" i="9"/>
  <c r="L981" i="9"/>
  <c r="AX538" i="9"/>
  <c r="O538" i="9"/>
  <c r="AX977" i="9"/>
  <c r="O977" i="9"/>
  <c r="O907" i="9"/>
  <c r="AX907" i="9"/>
  <c r="AX539" i="9"/>
  <c r="O539" i="9"/>
  <c r="AX311" i="9"/>
  <c r="O311" i="9"/>
  <c r="AX43" i="9"/>
  <c r="O43" i="9"/>
  <c r="AX532" i="9"/>
  <c r="O532" i="9"/>
  <c r="O649" i="9"/>
  <c r="AX649" i="9"/>
  <c r="R390" i="9"/>
  <c r="Q390" i="9"/>
  <c r="O70" i="9"/>
  <c r="AX70" i="9"/>
  <c r="AA803" i="9"/>
  <c r="AZ367" i="9"/>
  <c r="AX813" i="9"/>
  <c r="O813" i="9"/>
  <c r="S991" i="9"/>
  <c r="BB991" i="9"/>
  <c r="AX486" i="9"/>
  <c r="O486" i="9"/>
  <c r="AZ300" i="9"/>
  <c r="P300" i="9"/>
  <c r="AX265" i="9"/>
  <c r="O265" i="9"/>
  <c r="AX848" i="9"/>
  <c r="O848" i="9"/>
  <c r="R875" i="9"/>
  <c r="Q875" i="9"/>
  <c r="X281" i="9"/>
  <c r="Y281" i="9"/>
  <c r="O609" i="9"/>
  <c r="AX609" i="9"/>
  <c r="AZ332" i="9"/>
  <c r="P332" i="9"/>
  <c r="R573" i="9"/>
  <c r="Q573" i="9"/>
  <c r="AX307" i="9"/>
  <c r="O307" i="9"/>
  <c r="R234" i="9"/>
  <c r="Q234" i="9"/>
  <c r="BB840" i="9"/>
  <c r="S840" i="9"/>
  <c r="R392" i="9"/>
  <c r="Q392" i="9"/>
  <c r="O629" i="9"/>
  <c r="AX629" i="9"/>
  <c r="AZ489" i="9"/>
  <c r="P489" i="9"/>
  <c r="R51" i="9"/>
  <c r="Q51" i="9"/>
  <c r="R811" i="9"/>
  <c r="Q811" i="9"/>
  <c r="R685" i="9"/>
  <c r="Q685" i="9"/>
  <c r="R162" i="9"/>
  <c r="Q162" i="9"/>
  <c r="O156" i="9"/>
  <c r="AX156" i="9"/>
  <c r="O960" i="9"/>
  <c r="AX960" i="9"/>
  <c r="Q363" i="9"/>
  <c r="R363" i="9"/>
  <c r="BD9" i="9"/>
  <c r="W9" i="9"/>
  <c r="V9" i="9"/>
  <c r="Z9" i="9"/>
  <c r="R38" i="9"/>
  <c r="Q38" i="9"/>
  <c r="AX591" i="9"/>
  <c r="O591" i="9"/>
  <c r="AX47" i="9"/>
  <c r="O47" i="9"/>
  <c r="R905" i="9"/>
  <c r="Q905" i="9"/>
  <c r="P549" i="9"/>
  <c r="AZ549" i="9"/>
  <c r="AX447" i="9"/>
  <c r="O447" i="9"/>
  <c r="Q304" i="9"/>
  <c r="R304" i="9"/>
  <c r="AX168" i="9"/>
  <c r="O168" i="9"/>
  <c r="AW964" i="9"/>
  <c r="L964" i="9"/>
  <c r="AX751" i="9"/>
  <c r="O751" i="9"/>
  <c r="AX331" i="9"/>
  <c r="O331" i="9"/>
  <c r="R214" i="9"/>
  <c r="Q214" i="9"/>
  <c r="R824" i="9"/>
  <c r="Q824" i="9"/>
  <c r="R741" i="9"/>
  <c r="Q741" i="9"/>
  <c r="AX584" i="9"/>
  <c r="O584" i="9"/>
  <c r="AX506" i="9"/>
  <c r="O506" i="9"/>
  <c r="R323" i="9"/>
  <c r="Q323" i="9"/>
  <c r="R272" i="9"/>
  <c r="Q272" i="9"/>
  <c r="BD911" i="9"/>
  <c r="AX400" i="9"/>
  <c r="O400" i="9"/>
  <c r="AZ40" i="9"/>
  <c r="P40" i="9"/>
  <c r="AX72" i="9"/>
  <c r="O72" i="9"/>
  <c r="AX821" i="9"/>
  <c r="O821" i="9"/>
  <c r="S784" i="9"/>
  <c r="BB784" i="9"/>
  <c r="P971" i="9"/>
  <c r="AZ971" i="9"/>
  <c r="BB832" i="9"/>
  <c r="S832" i="9"/>
  <c r="AX421" i="9"/>
  <c r="O421" i="9"/>
  <c r="BD346" i="9"/>
  <c r="L117" i="9"/>
  <c r="AV117" i="9"/>
  <c r="R64" i="9"/>
  <c r="Q64" i="9"/>
  <c r="O906" i="9"/>
  <c r="AX906" i="9"/>
  <c r="O982" i="9"/>
  <c r="AX982" i="9"/>
  <c r="AX380" i="9"/>
  <c r="O380" i="9"/>
  <c r="P219" i="9"/>
  <c r="AZ219" i="9"/>
  <c r="Q534" i="9"/>
  <c r="R534" i="9"/>
  <c r="AW841" i="9"/>
  <c r="L841" i="9"/>
  <c r="AX543" i="9"/>
  <c r="O543" i="9"/>
  <c r="AX388" i="9"/>
  <c r="O388" i="9"/>
  <c r="O73" i="9"/>
  <c r="AX73" i="9"/>
  <c r="R786" i="9"/>
  <c r="Q786" i="9"/>
  <c r="AX71" i="9"/>
  <c r="O71" i="9"/>
  <c r="BB689" i="9"/>
  <c r="S689" i="9"/>
  <c r="BB533" i="9"/>
  <c r="AX143" i="9"/>
  <c r="O143" i="9"/>
  <c r="AX1002" i="9"/>
  <c r="O1002" i="9"/>
  <c r="R507" i="9"/>
  <c r="Q507" i="9"/>
  <c r="R378" i="9"/>
  <c r="Q378" i="9"/>
  <c r="AZ478" i="9"/>
  <c r="P478" i="9"/>
  <c r="R870" i="9"/>
  <c r="Q870" i="9"/>
  <c r="R503" i="9"/>
  <c r="Q503" i="9"/>
  <c r="O94" i="9"/>
  <c r="AX94" i="9"/>
  <c r="AZ553" i="9"/>
  <c r="BB355" i="9"/>
  <c r="S355" i="9"/>
  <c r="Q606" i="9"/>
  <c r="R606" i="9"/>
  <c r="AX926" i="9"/>
  <c r="O926" i="9"/>
  <c r="R567" i="9"/>
  <c r="Q567" i="9"/>
  <c r="L425" i="9"/>
  <c r="AV425" i="9"/>
  <c r="R102" i="9"/>
  <c r="Q102" i="9"/>
  <c r="O850" i="9"/>
  <c r="AX850" i="9"/>
  <c r="Q646" i="9"/>
  <c r="R646" i="9"/>
  <c r="AZ525" i="9"/>
  <c r="P525" i="9"/>
  <c r="R892" i="9"/>
  <c r="Q892" i="9"/>
  <c r="AA480" i="9"/>
  <c r="L155" i="9"/>
  <c r="AV155" i="9"/>
  <c r="BD330" i="9"/>
  <c r="W330" i="9"/>
  <c r="V330" i="9"/>
  <c r="Z330" i="9"/>
  <c r="BA953" i="9"/>
  <c r="P953" i="9"/>
  <c r="AX849" i="9"/>
  <c r="O849" i="9"/>
  <c r="R271" i="9"/>
  <c r="Q271" i="9"/>
  <c r="R863" i="9"/>
  <c r="Q863" i="9"/>
  <c r="AV634" i="9"/>
  <c r="L634" i="9"/>
  <c r="O524" i="9"/>
  <c r="AX524" i="9"/>
  <c r="AX233" i="9"/>
  <c r="O233" i="9"/>
  <c r="AX694" i="9"/>
  <c r="O694" i="9"/>
  <c r="R464" i="9"/>
  <c r="Q464" i="9"/>
  <c r="R107" i="9"/>
  <c r="Q107" i="9"/>
  <c r="AX555" i="9"/>
  <c r="O555" i="9"/>
  <c r="AX864" i="9"/>
  <c r="O864" i="9"/>
  <c r="L249" i="9"/>
  <c r="AV249" i="9"/>
  <c r="L893" i="9"/>
  <c r="AV893" i="9"/>
  <c r="AX8" i="9"/>
  <c r="O8" i="9"/>
  <c r="AW686" i="9"/>
  <c r="L686" i="9"/>
  <c r="AX135" i="9"/>
  <c r="O135" i="9"/>
  <c r="O944" i="9"/>
  <c r="AX944" i="9"/>
  <c r="AW504" i="9"/>
  <c r="L504" i="9"/>
  <c r="AX368" i="9"/>
  <c r="O368" i="9"/>
  <c r="AX459" i="9"/>
  <c r="O459" i="9"/>
  <c r="BB579" i="9"/>
  <c r="S579" i="9"/>
  <c r="BB454" i="9"/>
  <c r="S454" i="9"/>
  <c r="O74" i="9"/>
  <c r="AX74" i="9"/>
  <c r="L89" i="9"/>
  <c r="AV89" i="9"/>
  <c r="R616" i="9"/>
  <c r="Q616" i="9"/>
  <c r="O255" i="9"/>
  <c r="AX255" i="9"/>
  <c r="P834" i="9"/>
  <c r="AZ834" i="9"/>
  <c r="R544" i="9"/>
  <c r="Q544" i="9"/>
  <c r="R458" i="9"/>
  <c r="Q458" i="9"/>
  <c r="R68" i="9"/>
  <c r="Q68" i="9"/>
  <c r="O989" i="9"/>
  <c r="AX989" i="9"/>
  <c r="AV985" i="9"/>
  <c r="L985" i="9"/>
  <c r="O571" i="9"/>
  <c r="AX571" i="9"/>
  <c r="AZ410" i="9"/>
  <c r="P410" i="9"/>
  <c r="AX181" i="9"/>
  <c r="O181" i="9"/>
  <c r="AX409" i="9"/>
  <c r="O409" i="9"/>
  <c r="AV927" i="9"/>
  <c r="L927" i="9"/>
  <c r="R238" i="9"/>
  <c r="Q238" i="9"/>
  <c r="BA963" i="9"/>
  <c r="P963" i="9"/>
  <c r="AZ868" i="9"/>
  <c r="O516" i="9"/>
  <c r="AX516" i="9"/>
  <c r="AZ325" i="9"/>
  <c r="P325" i="9"/>
  <c r="AZ4" i="9"/>
  <c r="P4" i="9"/>
  <c r="R552" i="9"/>
  <c r="Q552" i="9"/>
  <c r="P509" i="9"/>
  <c r="AZ509" i="9"/>
  <c r="AX195" i="9"/>
  <c r="O195" i="9"/>
  <c r="R435" i="9"/>
  <c r="Q435" i="9"/>
  <c r="R688" i="9"/>
  <c r="Q688" i="9"/>
  <c r="R267" i="9"/>
  <c r="Q267" i="9"/>
  <c r="R11" i="9"/>
  <c r="Q11" i="9"/>
  <c r="AZ482" i="9"/>
  <c r="P482" i="9"/>
  <c r="AV928" i="9"/>
  <c r="L928" i="9"/>
  <c r="BD22" i="9"/>
  <c r="W22" i="9"/>
  <c r="V22" i="9"/>
  <c r="Z22" i="9"/>
  <c r="R808" i="9"/>
  <c r="Q808" i="9"/>
  <c r="S150" i="9"/>
  <c r="BB150" i="9"/>
  <c r="BB851" i="9"/>
  <c r="S851" i="9"/>
  <c r="AX987" i="9"/>
  <c r="O987" i="9"/>
  <c r="R101" i="9"/>
  <c r="Q101" i="9"/>
  <c r="L125" i="9"/>
  <c r="AV125" i="9"/>
  <c r="R20" i="9"/>
  <c r="Q20" i="9"/>
  <c r="P236" i="9"/>
  <c r="AZ236" i="9"/>
  <c r="AV356" i="9"/>
  <c r="L356" i="9"/>
  <c r="R90" i="9"/>
  <c r="Q90" i="9"/>
  <c r="AZ841" i="9"/>
  <c r="AZ389" i="9"/>
  <c r="P389" i="9"/>
  <c r="Q990" i="9"/>
  <c r="R990" i="9"/>
  <c r="R487" i="9"/>
  <c r="Q487" i="9"/>
  <c r="R862" i="9"/>
  <c r="Q862" i="9"/>
  <c r="R471" i="9"/>
  <c r="Q471" i="9"/>
  <c r="AZ925" i="9"/>
  <c r="P925" i="9"/>
  <c r="R79" i="9"/>
  <c r="Q79" i="9"/>
  <c r="BB164" i="9"/>
  <c r="S164" i="9"/>
  <c r="BB57" i="9"/>
  <c r="L163" i="9"/>
  <c r="AV163" i="9"/>
  <c r="AY641" i="9"/>
  <c r="O641" i="9"/>
  <c r="R112" i="9"/>
  <c r="Q112" i="9"/>
  <c r="O5" i="9"/>
  <c r="AX5" i="9"/>
  <c r="BB467" i="9"/>
  <c r="S467" i="9"/>
  <c r="R98" i="9"/>
  <c r="Q98" i="9"/>
  <c r="AZ44" i="9"/>
  <c r="P44" i="9"/>
  <c r="AX787" i="9"/>
  <c r="O787" i="9"/>
  <c r="AX97" i="9"/>
  <c r="O97" i="9"/>
  <c r="AX466" i="9"/>
  <c r="O466" i="9"/>
  <c r="R152" i="9"/>
  <c r="Q152" i="9"/>
  <c r="AX55" i="9"/>
  <c r="O55" i="9"/>
  <c r="BD734" i="9"/>
  <c r="W734" i="9"/>
  <c r="V734" i="9"/>
  <c r="Z734" i="9"/>
  <c r="R257" i="9"/>
  <c r="Q257" i="9"/>
  <c r="Y491" i="9"/>
  <c r="X491" i="9"/>
  <c r="AA491" i="9"/>
  <c r="S134" i="9"/>
  <c r="BB134" i="9"/>
  <c r="O386" i="9"/>
  <c r="AX386" i="9"/>
  <c r="AX594" i="9"/>
  <c r="O594" i="9"/>
  <c r="R740" i="9"/>
  <c r="Q740" i="9"/>
  <c r="BB465" i="9"/>
  <c r="S465" i="9"/>
  <c r="R908" i="9"/>
  <c r="Q908" i="9"/>
  <c r="R402" i="9"/>
  <c r="Q402" i="9"/>
  <c r="R293" i="9"/>
  <c r="Q293" i="9"/>
  <c r="BB247" i="9"/>
  <c r="S247" i="9"/>
  <c r="AX600" i="9"/>
  <c r="O600" i="9"/>
  <c r="AZ371" i="9"/>
  <c r="O190" i="9"/>
  <c r="AX190" i="9"/>
  <c r="P13" i="9"/>
  <c r="AZ13" i="9"/>
  <c r="R980" i="9"/>
  <c r="Q980" i="9"/>
  <c r="R884" i="9"/>
  <c r="Q884" i="9"/>
  <c r="AZ678" i="9"/>
  <c r="P678" i="9"/>
  <c r="R589" i="9"/>
  <c r="Q589" i="9"/>
  <c r="AX88" i="9"/>
  <c r="O88" i="9"/>
  <c r="AW986" i="9"/>
  <c r="L986" i="9"/>
  <c r="BD686" i="9"/>
  <c r="P983" i="9"/>
  <c r="AZ983" i="9"/>
  <c r="R709" i="9"/>
  <c r="Q709" i="9"/>
  <c r="R539" i="9"/>
  <c r="Q539" i="9"/>
  <c r="L351" i="9"/>
  <c r="AV351" i="9"/>
  <c r="L186" i="9"/>
  <c r="AV186" i="9"/>
  <c r="R532" i="9"/>
  <c r="Q532" i="9"/>
  <c r="AZ175" i="9"/>
  <c r="P175" i="9"/>
  <c r="R649" i="9"/>
  <c r="Q649" i="9"/>
  <c r="P274" i="9"/>
  <c r="AZ274" i="9"/>
  <c r="BB30" i="9"/>
  <c r="S30" i="9"/>
  <c r="O124" i="9"/>
  <c r="AX124" i="9"/>
  <c r="AZ316" i="9"/>
  <c r="P316" i="9"/>
  <c r="AZ755" i="9"/>
  <c r="P755" i="9"/>
  <c r="P758" i="9"/>
  <c r="AZ758" i="9"/>
  <c r="R486" i="9"/>
  <c r="Q486" i="9"/>
  <c r="R265" i="9"/>
  <c r="Q265" i="9"/>
  <c r="R791" i="9"/>
  <c r="Q791" i="9"/>
  <c r="P232" i="9"/>
  <c r="AZ232" i="9"/>
  <c r="BB765" i="9"/>
  <c r="S765" i="9"/>
  <c r="V281" i="9"/>
  <c r="Z281" i="9"/>
  <c r="BD281" i="9"/>
  <c r="W281" i="9"/>
  <c r="R609" i="9"/>
  <c r="Q609" i="9"/>
  <c r="R450" i="9"/>
  <c r="Q450" i="9"/>
  <c r="AZ377" i="9"/>
  <c r="P377" i="9"/>
  <c r="O21" i="9"/>
  <c r="AX21" i="9"/>
  <c r="O573" i="9"/>
  <c r="AX573" i="9"/>
  <c r="Y41" i="9"/>
  <c r="X41" i="9"/>
  <c r="P227" i="9"/>
  <c r="AZ227" i="9"/>
  <c r="R930" i="9"/>
  <c r="Q930" i="9"/>
  <c r="AZ699" i="9"/>
  <c r="P699" i="9"/>
  <c r="R629" i="9"/>
  <c r="Q629" i="9"/>
  <c r="O453" i="9"/>
  <c r="AX453" i="9"/>
  <c r="AX51" i="9"/>
  <c r="O51" i="9"/>
  <c r="BB930" i="9"/>
  <c r="Q780" i="9"/>
  <c r="R780" i="9"/>
  <c r="AY685" i="9"/>
  <c r="O685" i="9"/>
  <c r="P513" i="9"/>
  <c r="AZ513" i="9"/>
  <c r="O162" i="9"/>
  <c r="AX162" i="9"/>
  <c r="R156" i="9"/>
  <c r="Q156" i="9"/>
  <c r="R960" i="9"/>
  <c r="Q960" i="9"/>
  <c r="O363" i="9"/>
  <c r="AX363" i="9"/>
  <c r="O449" i="9"/>
  <c r="AX449" i="9"/>
  <c r="O38" i="9"/>
  <c r="AX38" i="9"/>
  <c r="R558" i="9"/>
  <c r="Q558" i="9"/>
  <c r="R591" i="9"/>
  <c r="Q591" i="9"/>
  <c r="O905" i="9"/>
  <c r="AX905" i="9"/>
  <c r="AX304" i="9"/>
  <c r="O304" i="9"/>
  <c r="AV931" i="9"/>
  <c r="L931" i="9"/>
  <c r="S719" i="9"/>
  <c r="BB719" i="9"/>
  <c r="AV562" i="9"/>
  <c r="L562" i="9"/>
  <c r="P132" i="9"/>
  <c r="AZ132" i="9"/>
  <c r="R506" i="9"/>
  <c r="Q506" i="9"/>
  <c r="AX323" i="9"/>
  <c r="O323" i="9"/>
  <c r="O272" i="9"/>
  <c r="AX272" i="9"/>
  <c r="L140" i="9"/>
  <c r="AV140" i="9"/>
  <c r="R400" i="9"/>
  <c r="Q400" i="9"/>
  <c r="R72" i="9"/>
  <c r="Q72" i="9"/>
  <c r="O924" i="9"/>
  <c r="AX924" i="9"/>
  <c r="R821" i="9"/>
  <c r="Q821" i="9"/>
  <c r="AV528" i="9"/>
  <c r="L528" i="9"/>
  <c r="O839" i="9"/>
  <c r="AX839" i="9"/>
  <c r="R887" i="9"/>
  <c r="Q887" i="9"/>
  <c r="R766" i="9"/>
  <c r="Q766" i="9"/>
  <c r="Y215" i="9"/>
  <c r="X215" i="9"/>
  <c r="AX160" i="9"/>
  <c r="O160" i="9"/>
  <c r="O958" i="9"/>
  <c r="AX958" i="9"/>
  <c r="R906" i="9"/>
  <c r="Q906" i="9"/>
  <c r="R982" i="9"/>
  <c r="Q982" i="9"/>
  <c r="R380" i="9"/>
  <c r="Q380" i="9"/>
  <c r="AV169" i="9"/>
  <c r="L169" i="9"/>
  <c r="L114" i="9"/>
  <c r="AV114" i="9"/>
  <c r="AV526" i="9"/>
  <c r="L526" i="9"/>
  <c r="AX534" i="9"/>
  <c r="O534" i="9"/>
  <c r="AV937" i="9"/>
  <c r="L937" i="9"/>
  <c r="R388" i="9"/>
  <c r="Q388" i="9"/>
  <c r="Q73" i="9"/>
  <c r="R73" i="9"/>
  <c r="AX786" i="9"/>
  <c r="O786" i="9"/>
  <c r="L207" i="9"/>
  <c r="AV207" i="9"/>
  <c r="L121" i="9"/>
  <c r="AV121" i="9"/>
  <c r="AZ789" i="9"/>
  <c r="P789" i="9"/>
  <c r="AX695" i="9"/>
  <c r="O695" i="9"/>
  <c r="R143" i="9"/>
  <c r="Q143" i="9"/>
  <c r="AY507" i="9"/>
  <c r="O507" i="9"/>
  <c r="O378" i="9"/>
  <c r="AX378" i="9"/>
  <c r="AZ48" i="9"/>
  <c r="P48" i="9"/>
  <c r="R512" i="9"/>
  <c r="Q512" i="9"/>
  <c r="AX870" i="9"/>
  <c r="O870" i="9"/>
  <c r="BB772" i="9"/>
  <c r="S772" i="9"/>
  <c r="AY503" i="9"/>
  <c r="O503" i="9"/>
  <c r="L264" i="9"/>
  <c r="AV264" i="9"/>
  <c r="AV999" i="9"/>
  <c r="L999" i="9"/>
  <c r="AZ775" i="9"/>
  <c r="R621" i="9"/>
  <c r="Q621" i="9"/>
  <c r="O606" i="9"/>
  <c r="AX606" i="9"/>
  <c r="AX567" i="9"/>
  <c r="O567" i="9"/>
  <c r="AX427" i="9"/>
  <c r="O427" i="9"/>
  <c r="AX384" i="9"/>
  <c r="O384" i="9"/>
  <c r="AZ312" i="9"/>
  <c r="P312" i="9"/>
  <c r="R19" i="9"/>
  <c r="Q19" i="9"/>
  <c r="AX635" i="9"/>
  <c r="O635" i="9"/>
  <c r="Q850" i="9"/>
  <c r="R850" i="9"/>
  <c r="O646" i="9"/>
  <c r="AX646" i="9"/>
  <c r="AA37" i="9"/>
  <c r="L830" i="9"/>
  <c r="AV830" i="9"/>
  <c r="AX892" i="9"/>
  <c r="O892" i="9"/>
  <c r="AV731" i="9"/>
  <c r="L731" i="9"/>
  <c r="O246" i="9"/>
  <c r="AX246" i="9"/>
  <c r="AX979" i="9"/>
  <c r="O979" i="9"/>
  <c r="Q849" i="9"/>
  <c r="R849" i="9"/>
  <c r="BB580" i="9"/>
  <c r="S580" i="9"/>
  <c r="AX863" i="9"/>
  <c r="O863" i="9"/>
  <c r="R672" i="9"/>
  <c r="Q672" i="9"/>
  <c r="R583" i="9"/>
  <c r="Q583" i="9"/>
  <c r="BB745" i="9"/>
  <c r="S745" i="9"/>
  <c r="R602" i="9"/>
  <c r="Q602" i="9"/>
  <c r="O279" i="9"/>
  <c r="AX279" i="9"/>
  <c r="P192" i="9"/>
  <c r="AZ192" i="9"/>
  <c r="AZ291" i="9"/>
  <c r="P291" i="9"/>
  <c r="BD659" i="9"/>
  <c r="R8" i="9"/>
  <c r="Q8" i="9"/>
  <c r="R135" i="9"/>
  <c r="Q135" i="9"/>
  <c r="AZ494" i="9"/>
  <c r="P494" i="9"/>
  <c r="O819" i="9"/>
  <c r="AX819" i="9"/>
  <c r="S619" i="9"/>
  <c r="BB619" i="9"/>
  <c r="AX470" i="9"/>
  <c r="O470" i="9"/>
  <c r="BB61" i="9"/>
  <c r="S61" i="9"/>
  <c r="R605" i="9"/>
  <c r="Q605" i="9"/>
  <c r="BB49" i="9"/>
  <c r="S49" i="9"/>
  <c r="L962" i="9"/>
  <c r="AV962" i="9"/>
  <c r="AX616" i="9"/>
  <c r="O616" i="9"/>
  <c r="O445" i="9"/>
  <c r="AX445" i="9"/>
  <c r="R255" i="9"/>
  <c r="Q255" i="9"/>
  <c r="BA943" i="9"/>
  <c r="P943" i="9"/>
  <c r="O268" i="9"/>
  <c r="AX268" i="9"/>
  <c r="BA895" i="9"/>
  <c r="P895" i="9"/>
  <c r="AX581" i="9"/>
  <c r="O581" i="9"/>
  <c r="O458" i="9"/>
  <c r="AX458" i="9"/>
  <c r="AZ320" i="9"/>
  <c r="P320" i="9"/>
  <c r="O885" i="9"/>
  <c r="AX885" i="9"/>
  <c r="BA334" i="9"/>
  <c r="P334" i="9"/>
  <c r="L142" i="9"/>
  <c r="AV142" i="9"/>
  <c r="L109" i="9"/>
  <c r="AV109" i="9"/>
  <c r="R319" i="9"/>
  <c r="Q319" i="9"/>
  <c r="AX1000" i="9"/>
  <c r="O1000" i="9"/>
  <c r="S735" i="9"/>
  <c r="BB735" i="9"/>
  <c r="AX222" i="9"/>
  <c r="O222" i="9"/>
  <c r="L697" i="9"/>
  <c r="AV697" i="9"/>
  <c r="AZ283" i="9"/>
  <c r="P283" i="9"/>
  <c r="R195" i="9"/>
  <c r="Q195" i="9"/>
  <c r="L96" i="9"/>
  <c r="AV96" i="9"/>
  <c r="L802" i="9"/>
  <c r="AV802" i="9"/>
  <c r="BB208" i="9"/>
  <c r="S208" i="9"/>
  <c r="AX688" i="9"/>
  <c r="O688" i="9"/>
  <c r="AX11" i="9"/>
  <c r="O11" i="9"/>
  <c r="R413" i="9"/>
  <c r="Q413" i="9"/>
  <c r="R59" i="9"/>
  <c r="Q59" i="9"/>
  <c r="AX808" i="9"/>
  <c r="O808" i="9"/>
  <c r="O820" i="9"/>
  <c r="AX820" i="9"/>
  <c r="R357" i="9"/>
  <c r="Q357" i="9"/>
  <c r="Q987" i="9"/>
  <c r="R987" i="9"/>
  <c r="P411" i="9"/>
  <c r="AZ411" i="9"/>
  <c r="BB104" i="9"/>
  <c r="S104" i="9"/>
  <c r="AX120" i="9"/>
  <c r="O120" i="9"/>
  <c r="O144" i="9"/>
  <c r="AX144" i="9"/>
  <c r="AW687" i="9"/>
  <c r="L687" i="9"/>
  <c r="L433" i="9"/>
  <c r="AV433" i="9"/>
  <c r="AZ337" i="9"/>
  <c r="P337" i="9"/>
  <c r="AW788" i="9"/>
  <c r="L788" i="9"/>
  <c r="AZ626" i="9"/>
  <c r="P626" i="9"/>
  <c r="P161" i="9"/>
  <c r="AZ161" i="9"/>
  <c r="AZ776" i="9"/>
  <c r="R569" i="9"/>
  <c r="Q569" i="9"/>
  <c r="L52" i="9"/>
  <c r="AV52" i="9"/>
  <c r="AX230" i="9"/>
  <c r="O230" i="9"/>
  <c r="AX668" i="9"/>
  <c r="O668" i="9"/>
  <c r="L818" i="9"/>
  <c r="AV818" i="9"/>
  <c r="AZ497" i="9"/>
  <c r="P497" i="9"/>
  <c r="AX582" i="9"/>
  <c r="O582" i="9"/>
  <c r="O426" i="9"/>
  <c r="AX426" i="9"/>
  <c r="O574" i="9"/>
  <c r="AX574" i="9"/>
  <c r="AZ714" i="9"/>
  <c r="P714" i="9"/>
  <c r="AW966" i="9"/>
  <c r="L966" i="9"/>
  <c r="AZ24" i="9"/>
  <c r="P24" i="9"/>
  <c r="O1001" i="9"/>
  <c r="AX1001" i="9"/>
  <c r="AZ810" i="9"/>
  <c r="P810" i="9"/>
  <c r="L886" i="9"/>
  <c r="AV886" i="9"/>
  <c r="O69" i="9"/>
  <c r="AX69" i="9"/>
  <c r="L628" i="9"/>
  <c r="AV628" i="9"/>
  <c r="O78" i="9"/>
  <c r="AX78" i="9"/>
  <c r="R633" i="9"/>
  <c r="Q633" i="9"/>
  <c r="BB780" i="9"/>
  <c r="AX860" i="9"/>
  <c r="O860" i="9"/>
  <c r="AZ586" i="9"/>
  <c r="P586" i="9"/>
  <c r="R365" i="9"/>
  <c r="Q365" i="9"/>
  <c r="R946" i="9"/>
  <c r="Q946" i="9"/>
  <c r="L837" i="9"/>
  <c r="AV837" i="9"/>
  <c r="BB964" i="9"/>
  <c r="AX119" i="9"/>
  <c r="O119" i="9"/>
  <c r="O434" i="9"/>
  <c r="AX434" i="9"/>
  <c r="R194" i="9"/>
  <c r="Q194" i="9"/>
  <c r="P767" i="9"/>
  <c r="AZ767" i="9"/>
  <c r="R551" i="9"/>
  <c r="Q551" i="9"/>
  <c r="L171" i="9"/>
  <c r="AV171" i="9"/>
  <c r="R600" i="9"/>
  <c r="Q600" i="9"/>
  <c r="R417" i="9"/>
  <c r="Q417" i="9"/>
  <c r="BD687" i="9"/>
  <c r="BB243" i="9"/>
  <c r="S243" i="9"/>
  <c r="AX980" i="9"/>
  <c r="O980" i="9"/>
  <c r="AX884" i="9"/>
  <c r="O884" i="9"/>
  <c r="BB794" i="9"/>
  <c r="S794" i="9"/>
  <c r="BD476" i="9"/>
  <c r="AX123" i="9"/>
  <c r="O123" i="9"/>
  <c r="R88" i="9"/>
  <c r="Q88" i="9"/>
  <c r="AZ918" i="9"/>
  <c r="P918" i="9"/>
  <c r="O269" i="9"/>
  <c r="AX269" i="9"/>
  <c r="AX984" i="9"/>
  <c r="O984" i="9"/>
  <c r="AW868" i="9"/>
  <c r="L868" i="9"/>
  <c r="AX709" i="9"/>
  <c r="O709" i="9"/>
  <c r="R35" i="9"/>
  <c r="Q35" i="9"/>
  <c r="R462" i="9"/>
  <c r="Q462" i="9"/>
  <c r="L955" i="9"/>
  <c r="AV955" i="9"/>
  <c r="AZ662" i="9"/>
  <c r="P662" i="9"/>
  <c r="BB679" i="9"/>
  <c r="S679" i="9"/>
  <c r="R124" i="9"/>
  <c r="Q124" i="9"/>
  <c r="AW779" i="9"/>
  <c r="L779" i="9"/>
  <c r="O382" i="9"/>
  <c r="AX382" i="9"/>
  <c r="Q940" i="9"/>
  <c r="R940" i="9"/>
  <c r="BA318" i="9"/>
  <c r="P318" i="9"/>
  <c r="AX791" i="9"/>
  <c r="O791" i="9"/>
  <c r="BB872" i="9"/>
  <c r="S872" i="9"/>
  <c r="AW371" i="9"/>
  <c r="L371" i="9"/>
  <c r="O450" i="9"/>
  <c r="AX450" i="9"/>
  <c r="O277" i="9"/>
  <c r="AX277" i="9"/>
  <c r="Q21" i="9"/>
  <c r="R21" i="9"/>
  <c r="O826" i="9"/>
  <c r="AX826" i="9"/>
  <c r="R245" i="9"/>
  <c r="Q245" i="9"/>
  <c r="BD41" i="9"/>
  <c r="W41" i="9"/>
  <c r="V41" i="9"/>
  <c r="Z41" i="9"/>
  <c r="O197" i="9"/>
  <c r="AX197" i="9"/>
  <c r="AY930" i="9"/>
  <c r="O930" i="9"/>
  <c r="AZ598" i="9"/>
  <c r="P598" i="9"/>
  <c r="R453" i="9"/>
  <c r="Q453" i="9"/>
  <c r="AY780" i="9"/>
  <c r="O780" i="9"/>
  <c r="AZ333" i="9"/>
  <c r="P333" i="9"/>
  <c r="L211" i="9"/>
  <c r="AV211" i="9"/>
  <c r="R193" i="9"/>
  <c r="Q193" i="9"/>
  <c r="AZ345" i="9"/>
  <c r="P345" i="9"/>
  <c r="R449" i="9"/>
  <c r="Q449" i="9"/>
  <c r="AX558" i="9"/>
  <c r="O558" i="9"/>
  <c r="AZ348" i="9"/>
  <c r="P348" i="9"/>
  <c r="AG866" i="9"/>
  <c r="AE866" i="9"/>
  <c r="AF866" i="9"/>
  <c r="AH866" i="9"/>
  <c r="O436" i="9"/>
  <c r="AX436" i="9"/>
  <c r="R535" i="9"/>
  <c r="Q535" i="9"/>
  <c r="O914" i="9"/>
  <c r="AX914" i="9"/>
  <c r="AV769" i="9"/>
  <c r="L769" i="9"/>
  <c r="AX531" i="9"/>
  <c r="O531" i="9"/>
  <c r="R173" i="9"/>
  <c r="Q173" i="9"/>
  <c r="AZ505" i="9"/>
  <c r="P196" i="9"/>
  <c r="AZ196" i="9"/>
  <c r="L108" i="9"/>
  <c r="AV108" i="9"/>
  <c r="O625" i="9"/>
  <c r="AX625" i="9"/>
  <c r="AZ965" i="9"/>
  <c r="P965" i="9"/>
  <c r="R924" i="9"/>
  <c r="Q924" i="9"/>
  <c r="R844" i="9"/>
  <c r="Q844" i="9"/>
  <c r="R839" i="9"/>
  <c r="Q839" i="9"/>
  <c r="O887" i="9"/>
  <c r="AX887" i="9"/>
  <c r="AX766" i="9"/>
  <c r="O766" i="9"/>
  <c r="P412" i="9"/>
  <c r="AZ412" i="9"/>
  <c r="R299" i="9"/>
  <c r="Q299" i="9"/>
  <c r="V215" i="9"/>
  <c r="Z215" i="9"/>
  <c r="BD215" i="9"/>
  <c r="W215" i="9"/>
  <c r="R160" i="9"/>
  <c r="Q160" i="9"/>
  <c r="R958" i="9"/>
  <c r="Q958" i="9"/>
  <c r="R880" i="9"/>
  <c r="Q880" i="9"/>
  <c r="R613" i="9"/>
  <c r="Q613" i="9"/>
  <c r="AX973" i="9"/>
  <c r="O973" i="9"/>
  <c r="S724" i="9"/>
  <c r="BB724" i="9"/>
  <c r="R527" i="9"/>
  <c r="Q527" i="9"/>
  <c r="AX76" i="9"/>
  <c r="O76" i="9"/>
  <c r="AW994" i="9"/>
  <c r="L994" i="9"/>
  <c r="AW500" i="9"/>
  <c r="L500" i="9"/>
  <c r="AZ328" i="9"/>
  <c r="P328" i="9"/>
  <c r="BB18" i="9"/>
  <c r="S18" i="9"/>
  <c r="AX996" i="9"/>
  <c r="O996" i="9"/>
  <c r="BB891" i="9"/>
  <c r="S891" i="9"/>
  <c r="R695" i="9"/>
  <c r="Q695" i="9"/>
  <c r="BD496" i="9"/>
  <c r="BD334" i="9"/>
  <c r="O297" i="9"/>
  <c r="AX297" i="9"/>
  <c r="O512" i="9"/>
  <c r="AX512" i="9"/>
  <c r="BD641" i="9"/>
  <c r="P403" i="9"/>
  <c r="AZ403" i="9"/>
  <c r="BB310" i="9"/>
  <c r="S310" i="9"/>
  <c r="R146" i="9"/>
  <c r="Q146" i="9"/>
  <c r="O621" i="9"/>
  <c r="AX621" i="9"/>
  <c r="BB65" i="9"/>
  <c r="S65" i="9"/>
  <c r="AW659" i="9"/>
  <c r="L659" i="9"/>
  <c r="P565" i="9"/>
  <c r="AZ565" i="9"/>
  <c r="R427" i="9"/>
  <c r="Q427" i="9"/>
  <c r="R384" i="9"/>
  <c r="Q384" i="9"/>
  <c r="AX19" i="9"/>
  <c r="O19" i="9"/>
  <c r="R635" i="9"/>
  <c r="Q635" i="9"/>
  <c r="AX126" i="9"/>
  <c r="O126" i="9"/>
  <c r="R682" i="9"/>
  <c r="Q682" i="9"/>
  <c r="BB77" i="9"/>
  <c r="S77" i="9"/>
  <c r="R246" i="9"/>
  <c r="Q246" i="9"/>
  <c r="Q979" i="9"/>
  <c r="R979" i="9"/>
  <c r="R217" i="9"/>
  <c r="Q217" i="9"/>
  <c r="AV856" i="9"/>
  <c r="L856" i="9"/>
  <c r="AX672" i="9"/>
  <c r="O672" i="9"/>
  <c r="AX583" i="9"/>
  <c r="O583" i="9"/>
  <c r="O223" i="9"/>
  <c r="AX223" i="9"/>
  <c r="O602" i="9"/>
  <c r="AX602" i="9"/>
  <c r="AX396" i="9"/>
  <c r="O396" i="9"/>
  <c r="AX909" i="9"/>
  <c r="O909" i="9"/>
  <c r="R279" i="9"/>
  <c r="Q279" i="9"/>
  <c r="AW642" i="9"/>
  <c r="L642" i="9"/>
  <c r="P575" i="9"/>
  <c r="AZ575" i="9"/>
  <c r="BB42" i="9"/>
  <c r="S42" i="9"/>
  <c r="AX167" i="9"/>
  <c r="O167" i="9"/>
  <c r="R819" i="9"/>
  <c r="Q819" i="9"/>
  <c r="AW776" i="9"/>
  <c r="L776" i="9"/>
  <c r="S643" i="9"/>
  <c r="BB643" i="9"/>
  <c r="R470" i="9"/>
  <c r="Q470" i="9"/>
  <c r="O258" i="9"/>
  <c r="AX258" i="9"/>
  <c r="AX605" i="9"/>
  <c r="O605" i="9"/>
  <c r="BD318" i="9"/>
  <c r="R445" i="9"/>
  <c r="Q445" i="9"/>
  <c r="BB783" i="9"/>
  <c r="S783" i="9"/>
  <c r="S663" i="9"/>
  <c r="BB663" i="9"/>
  <c r="R559" i="9"/>
  <c r="Q559" i="9"/>
  <c r="L440" i="9"/>
  <c r="AV440" i="9"/>
  <c r="P391" i="9"/>
  <c r="AZ391" i="9"/>
  <c r="R268" i="9"/>
  <c r="Q268" i="9"/>
  <c r="P675" i="9"/>
  <c r="AZ675" i="9"/>
  <c r="R581" i="9"/>
  <c r="Q581" i="9"/>
  <c r="BB442" i="9"/>
  <c r="S442" i="9"/>
  <c r="AZ375" i="9"/>
  <c r="P375" i="9"/>
  <c r="Q948" i="9"/>
  <c r="R948" i="9"/>
  <c r="R885" i="9"/>
  <c r="Q885" i="9"/>
  <c r="L640" i="9"/>
  <c r="AV640" i="9"/>
  <c r="AB50" i="9"/>
  <c r="AG50" i="9"/>
  <c r="AX319" i="9"/>
  <c r="O319" i="9"/>
  <c r="R1000" i="9"/>
  <c r="Q1000" i="9"/>
  <c r="AZ358" i="9"/>
  <c r="P358" i="9"/>
  <c r="R222" i="9"/>
  <c r="Q222" i="9"/>
  <c r="L564" i="9"/>
  <c r="AV564" i="9"/>
  <c r="S715" i="9"/>
  <c r="BB715" i="9"/>
  <c r="O644" i="9"/>
  <c r="AX644" i="9"/>
  <c r="R451" i="9"/>
  <c r="Q451" i="9"/>
  <c r="AB969" i="9"/>
  <c r="BB508" i="9"/>
  <c r="AX159" i="9"/>
  <c r="O159" i="9"/>
  <c r="AZ935" i="9"/>
  <c r="P935" i="9"/>
  <c r="S618" i="9"/>
  <c r="BB618" i="9"/>
  <c r="O568" i="9"/>
  <c r="AX568" i="9"/>
  <c r="AV352" i="9"/>
  <c r="L352" i="9"/>
  <c r="AX413" i="9"/>
  <c r="O413" i="9"/>
  <c r="O259" i="9"/>
  <c r="AX259" i="9"/>
  <c r="AX59" i="9"/>
  <c r="O59" i="9"/>
  <c r="R725" i="9"/>
  <c r="Q725" i="9"/>
  <c r="R820" i="9"/>
  <c r="Q820" i="9"/>
  <c r="AX357" i="9"/>
  <c r="O357" i="9"/>
  <c r="AW367" i="9"/>
  <c r="L367" i="9"/>
  <c r="R67" i="9"/>
  <c r="Q67" i="9"/>
  <c r="O750" i="9"/>
  <c r="AX750" i="9"/>
  <c r="P792" i="9"/>
  <c r="AZ792" i="9"/>
  <c r="O369" i="9"/>
  <c r="AX369" i="9"/>
  <c r="BB742" i="9"/>
  <c r="S742" i="9"/>
  <c r="R542" i="9"/>
  <c r="Q542" i="9"/>
  <c r="R120" i="9"/>
  <c r="Q120" i="9"/>
  <c r="R144" i="9"/>
  <c r="Q144" i="9"/>
  <c r="O106" i="9"/>
  <c r="AX106" i="9"/>
  <c r="L147" i="9"/>
  <c r="AV147" i="9"/>
  <c r="P995" i="9"/>
  <c r="AZ995" i="9"/>
  <c r="R754" i="9"/>
  <c r="Q754" i="9"/>
  <c r="R858" i="9"/>
  <c r="Q858" i="9"/>
  <c r="R7" i="9"/>
  <c r="Q7" i="9"/>
  <c r="L736" i="9"/>
  <c r="AV736" i="9"/>
  <c r="R861" i="9"/>
  <c r="Q861" i="9"/>
  <c r="AX303" i="9"/>
  <c r="O303" i="9"/>
  <c r="AZ16" i="9"/>
  <c r="P16" i="9"/>
  <c r="AZ472" i="9"/>
  <c r="O62" i="9"/>
  <c r="AX62" i="9"/>
  <c r="R39" i="9"/>
  <c r="Q39" i="9"/>
  <c r="S632" i="9"/>
  <c r="BB632" i="9"/>
  <c r="R684" i="9"/>
  <c r="Q684" i="9"/>
  <c r="R716" i="9"/>
  <c r="Q716" i="9"/>
  <c r="BB994" i="9"/>
  <c r="R612" i="9"/>
  <c r="Q612" i="9"/>
  <c r="AY515" i="9"/>
  <c r="O515" i="9"/>
  <c r="AX578" i="9"/>
  <c r="O578" i="9"/>
  <c r="R519" i="9"/>
  <c r="Q519" i="9"/>
  <c r="AX547" i="9"/>
  <c r="O547" i="9"/>
  <c r="AX455" i="9"/>
  <c r="O455" i="9"/>
  <c r="AV561" i="9"/>
  <c r="L561" i="9"/>
  <c r="L84" i="9"/>
  <c r="AV84" i="9"/>
  <c r="R209" i="9"/>
  <c r="Q209" i="9"/>
  <c r="AX732" i="9"/>
  <c r="O732" i="9"/>
  <c r="P302" i="9"/>
  <c r="AZ302" i="9"/>
  <c r="R441" i="9"/>
  <c r="Q441" i="9"/>
  <c r="S372" i="9"/>
  <c r="BB372" i="9"/>
  <c r="O242" i="9"/>
  <c r="AX242" i="9"/>
  <c r="R119" i="9"/>
  <c r="Q119" i="9"/>
  <c r="R434" i="9"/>
  <c r="Q434" i="9"/>
  <c r="AX194" i="9"/>
  <c r="O194" i="9"/>
  <c r="O858" i="9"/>
  <c r="AX858" i="9"/>
  <c r="AX551" i="9"/>
  <c r="O551" i="9"/>
  <c r="S240" i="9"/>
  <c r="BB240" i="9"/>
  <c r="AX417" i="9"/>
  <c r="O417" i="9"/>
  <c r="AV423" i="9"/>
  <c r="L423" i="9"/>
  <c r="S890" i="9"/>
  <c r="BB890" i="9"/>
  <c r="R123" i="9"/>
  <c r="Q123" i="9"/>
  <c r="AX942" i="9"/>
  <c r="O942" i="9"/>
  <c r="R831" i="9"/>
  <c r="Q831" i="9"/>
  <c r="BB529" i="9"/>
  <c r="R269" i="9"/>
  <c r="Q269" i="9"/>
  <c r="L976" i="9"/>
  <c r="AV976" i="9"/>
  <c r="R984" i="9"/>
  <c r="Q984" i="9"/>
  <c r="R916" i="9"/>
  <c r="Q916" i="9"/>
  <c r="Q936" i="9"/>
  <c r="R936" i="9"/>
  <c r="O862" i="9"/>
  <c r="AX862" i="9"/>
  <c r="BD519" i="9"/>
  <c r="AX35" i="9"/>
  <c r="O35" i="9"/>
  <c r="AX32" i="9"/>
  <c r="O32" i="9"/>
  <c r="O462" i="9"/>
  <c r="AX462" i="9"/>
  <c r="P131" i="9"/>
  <c r="AZ131" i="9"/>
  <c r="O471" i="9"/>
  <c r="AX471" i="9"/>
  <c r="P200" i="9"/>
  <c r="AZ200" i="9"/>
  <c r="S877" i="9"/>
  <c r="BB877" i="9"/>
  <c r="R801" i="9"/>
  <c r="Q801" i="9"/>
  <c r="S624" i="9"/>
  <c r="BB624" i="9"/>
  <c r="R879" i="9"/>
  <c r="Q879" i="9"/>
  <c r="R382" i="9"/>
  <c r="Q382" i="9"/>
  <c r="O940" i="9"/>
  <c r="AX940" i="9"/>
  <c r="P376" i="9"/>
  <c r="AZ376" i="9"/>
  <c r="P129" i="9"/>
  <c r="AZ129" i="9"/>
  <c r="R920" i="9"/>
  <c r="Q920" i="9"/>
  <c r="AX861" i="9"/>
  <c r="O861" i="9"/>
  <c r="O603" i="9"/>
  <c r="AX603" i="9"/>
  <c r="R303" i="9"/>
  <c r="Q303" i="9"/>
  <c r="R668" i="9"/>
  <c r="Q668" i="9"/>
  <c r="R277" i="9"/>
  <c r="Q277" i="9"/>
  <c r="R826" i="9"/>
  <c r="Q826" i="9"/>
  <c r="AV592" i="9"/>
  <c r="L592" i="9"/>
  <c r="AX245" i="9"/>
  <c r="O245" i="9"/>
  <c r="S288" i="9"/>
  <c r="BB288" i="9"/>
  <c r="AV896" i="9"/>
  <c r="L896" i="9"/>
  <c r="AW775" i="9"/>
  <c r="L775" i="9"/>
  <c r="AZ321" i="9"/>
  <c r="P321" i="9"/>
  <c r="P231" i="9"/>
  <c r="AZ231" i="9"/>
  <c r="R197" i="9"/>
  <c r="Q197" i="9"/>
  <c r="AX845" i="9"/>
  <c r="O845" i="9"/>
  <c r="R705" i="9"/>
  <c r="Q705" i="9"/>
  <c r="S590" i="9"/>
  <c r="BB590" i="9"/>
  <c r="P501" i="9"/>
  <c r="AZ501" i="9"/>
  <c r="R62" i="9"/>
  <c r="Q62" i="9"/>
  <c r="O193" i="9"/>
  <c r="AX193" i="9"/>
  <c r="R641" i="9"/>
  <c r="Q641" i="9"/>
  <c r="L99" i="9"/>
  <c r="AV99" i="9"/>
  <c r="AZ483" i="9"/>
  <c r="P483" i="9"/>
  <c r="S967" i="9"/>
  <c r="BB967" i="9"/>
  <c r="AV676" i="9"/>
  <c r="L676" i="9"/>
  <c r="AX112" i="9"/>
  <c r="O112" i="9"/>
  <c r="R436" i="9"/>
  <c r="Q436" i="9"/>
  <c r="AX535" i="9"/>
  <c r="O535" i="9"/>
  <c r="R914" i="9"/>
  <c r="Q914" i="9"/>
  <c r="R531" i="9"/>
  <c r="Q531" i="9"/>
  <c r="AX173" i="9"/>
  <c r="O173" i="9"/>
  <c r="AB54" i="9"/>
  <c r="BB165" i="9"/>
  <c r="S165" i="9"/>
  <c r="R625" i="9"/>
  <c r="Q625" i="9"/>
  <c r="AX844" i="9"/>
  <c r="O844" i="9"/>
  <c r="O737" i="9"/>
  <c r="AX737" i="9"/>
  <c r="AX889" i="9"/>
  <c r="O889" i="9"/>
  <c r="AZ607" i="9"/>
  <c r="P607" i="9"/>
  <c r="BB457" i="9"/>
  <c r="S457" i="9"/>
  <c r="AX299" i="9"/>
  <c r="O299" i="9"/>
  <c r="O880" i="9"/>
  <c r="AX880" i="9"/>
  <c r="O613" i="9"/>
  <c r="AX613" i="9"/>
  <c r="R973" i="9"/>
  <c r="Q973" i="9"/>
  <c r="AX527" i="9"/>
  <c r="O527" i="9"/>
  <c r="BB541" i="9"/>
  <c r="S541" i="9"/>
  <c r="R76" i="9"/>
  <c r="Q76" i="9"/>
  <c r="L111" i="9"/>
  <c r="AV111" i="9"/>
  <c r="P399" i="9"/>
  <c r="AZ399" i="9"/>
  <c r="O273" i="9"/>
  <c r="AX273" i="9"/>
  <c r="R996" i="9"/>
  <c r="Q996" i="9"/>
  <c r="L785" i="9"/>
  <c r="AV785" i="9"/>
  <c r="R297" i="9"/>
  <c r="Q297" i="9"/>
  <c r="AX176" i="9"/>
  <c r="O176" i="9"/>
  <c r="P530" i="9"/>
  <c r="AZ530" i="9"/>
  <c r="AZ857" i="9"/>
  <c r="P857" i="9"/>
  <c r="AX684" i="9"/>
  <c r="O684" i="9"/>
  <c r="O146" i="9"/>
  <c r="AX146" i="9"/>
  <c r="AW674" i="9"/>
  <c r="L674" i="9"/>
  <c r="R770" i="9"/>
  <c r="Q770" i="9"/>
  <c r="AX444" i="9"/>
  <c r="O444" i="9"/>
  <c r="Y342" i="9"/>
  <c r="AB342" i="9"/>
  <c r="X342" i="9"/>
  <c r="R787" i="9"/>
  <c r="Q787" i="9"/>
  <c r="P404" i="9"/>
  <c r="AZ404" i="9"/>
  <c r="R126" i="9"/>
  <c r="Q126" i="9"/>
  <c r="O682" i="9"/>
  <c r="AX682" i="9"/>
  <c r="AZ670" i="9"/>
  <c r="P670" i="9"/>
  <c r="AW476" i="9"/>
  <c r="L476" i="9"/>
  <c r="BB869" i="9"/>
  <c r="S869" i="9"/>
  <c r="AX217" i="9"/>
  <c r="O217" i="9"/>
  <c r="BB653" i="9"/>
  <c r="S653" i="9"/>
  <c r="R515" i="9"/>
  <c r="Q515" i="9"/>
  <c r="BD515" i="9"/>
  <c r="R223" i="9"/>
  <c r="Q223" i="9"/>
  <c r="R466" i="9"/>
  <c r="Q466" i="9"/>
  <c r="R396" i="9"/>
  <c r="Q396" i="9"/>
  <c r="Q909" i="9"/>
  <c r="R909" i="9"/>
  <c r="O988" i="9"/>
  <c r="AX988" i="9"/>
  <c r="P199" i="9"/>
  <c r="AZ199" i="9"/>
  <c r="BB14" i="9"/>
  <c r="S14" i="9"/>
  <c r="R78" i="9"/>
  <c r="Q78" i="9"/>
  <c r="R167" i="9"/>
  <c r="Q167" i="9"/>
  <c r="AZ945" i="9"/>
  <c r="O822" i="9"/>
  <c r="AX822" i="9"/>
  <c r="AE373" i="9"/>
  <c r="AF373" i="9"/>
  <c r="AH373" i="9"/>
  <c r="AG373" i="9"/>
  <c r="Q258" i="9"/>
  <c r="R258" i="9"/>
  <c r="P972" i="9"/>
  <c r="AZ972" i="9"/>
  <c r="R804" i="9"/>
  <c r="Q804" i="9"/>
  <c r="AV379" i="9"/>
  <c r="L379" i="9"/>
  <c r="AX284" i="9"/>
  <c r="O284" i="9"/>
  <c r="R23" i="9"/>
  <c r="Q23" i="9"/>
  <c r="P276" i="9"/>
  <c r="AZ276" i="9"/>
  <c r="R547" i="9"/>
  <c r="Q547" i="9"/>
  <c r="O633" i="9"/>
  <c r="AX633" i="9"/>
  <c r="AX559" i="9"/>
  <c r="O559" i="9"/>
  <c r="R455" i="9"/>
  <c r="Q455" i="9"/>
  <c r="O152" i="9"/>
  <c r="AX152" i="9"/>
  <c r="P838" i="9"/>
  <c r="AZ838" i="9"/>
  <c r="O948" i="9"/>
  <c r="AX948" i="9"/>
  <c r="AZ545" i="9"/>
  <c r="AW508" i="9"/>
  <c r="L508" i="9"/>
  <c r="P416" i="9"/>
  <c r="AZ416" i="9"/>
  <c r="P92" i="9"/>
  <c r="AZ92" i="9"/>
  <c r="O149" i="9"/>
  <c r="AX149" i="9"/>
  <c r="R55" i="9"/>
  <c r="Q55" i="9"/>
  <c r="R860" i="9"/>
  <c r="Q860" i="9"/>
  <c r="AX748" i="9"/>
  <c r="O748" i="9"/>
  <c r="Y734" i="9"/>
  <c r="AB734" i="9"/>
  <c r="X734" i="9"/>
  <c r="AA734" i="9"/>
  <c r="AV424" i="9"/>
  <c r="L424" i="9"/>
  <c r="R644" i="9"/>
  <c r="Q644" i="9"/>
  <c r="AX451" i="9"/>
  <c r="O451" i="9"/>
  <c r="O257" i="9"/>
  <c r="AX257" i="9"/>
  <c r="L910" i="9"/>
  <c r="AV910" i="9"/>
  <c r="O365" i="9"/>
  <c r="AX365" i="9"/>
  <c r="R732" i="9"/>
  <c r="Q732" i="9"/>
  <c r="O430" i="9"/>
  <c r="AX430" i="9"/>
  <c r="S360" i="9"/>
  <c r="BB360" i="9"/>
  <c r="R159" i="9"/>
  <c r="Q159" i="9"/>
  <c r="R568" i="9"/>
  <c r="Q568" i="9"/>
  <c r="AX361" i="9"/>
  <c r="O361" i="9"/>
  <c r="R205" i="9"/>
  <c r="Q205" i="9"/>
  <c r="Q594" i="9"/>
  <c r="R594" i="9"/>
  <c r="AZ493" i="9"/>
  <c r="P493" i="9"/>
  <c r="O374" i="9"/>
  <c r="AX374" i="9"/>
  <c r="R259" i="9"/>
  <c r="Q259" i="9"/>
  <c r="P100" i="9"/>
  <c r="AZ100" i="9"/>
  <c r="AX725" i="9"/>
  <c r="O725" i="9"/>
  <c r="AV800" i="9"/>
  <c r="L800" i="9"/>
  <c r="Q650" i="9"/>
  <c r="R650" i="9"/>
  <c r="O441" i="9"/>
  <c r="AX441" i="9"/>
  <c r="AX67" i="9"/>
  <c r="O67" i="9"/>
  <c r="R750" i="9"/>
  <c r="Q750" i="9"/>
  <c r="AX946" i="9"/>
  <c r="O946" i="9"/>
  <c r="P763" i="9"/>
  <c r="AZ763" i="9"/>
  <c r="R369" i="9"/>
  <c r="Q369" i="9"/>
  <c r="AX827" i="9"/>
  <c r="O827" i="9"/>
  <c r="O542" i="9"/>
  <c r="AX542" i="9"/>
  <c r="P81" i="9"/>
  <c r="AZ81" i="9"/>
  <c r="AW529" i="9"/>
  <c r="L529" i="9"/>
  <c r="S86" i="9"/>
  <c r="BB86" i="9"/>
  <c r="P743" i="9"/>
  <c r="AZ743" i="9"/>
  <c r="AV563" i="9"/>
  <c r="L563" i="9"/>
  <c r="R443" i="9"/>
  <c r="Q443" i="9"/>
  <c r="R106" i="9"/>
  <c r="Q106" i="9"/>
  <c r="BB873" i="9"/>
  <c r="S873" i="9"/>
  <c r="AX754" i="9"/>
  <c r="O754" i="9"/>
  <c r="S636" i="9"/>
  <c r="BB636" i="9"/>
  <c r="AB959" i="9"/>
  <c r="AB41" i="9"/>
  <c r="U614" i="9"/>
  <c r="T614" i="9"/>
  <c r="U632" i="9"/>
  <c r="T632" i="9"/>
  <c r="U42" i="9"/>
  <c r="T42" i="9"/>
  <c r="U636" i="9"/>
  <c r="T636" i="9"/>
  <c r="U869" i="9"/>
  <c r="T869" i="9"/>
  <c r="U967" i="9"/>
  <c r="T967" i="9"/>
  <c r="U877" i="9"/>
  <c r="T877" i="9"/>
  <c r="U240" i="9"/>
  <c r="T240" i="9"/>
  <c r="T689" i="9"/>
  <c r="U689" i="9"/>
  <c r="U840" i="9"/>
  <c r="T840" i="9"/>
  <c r="U711" i="9"/>
  <c r="T711" i="9"/>
  <c r="U10" i="9"/>
  <c r="T10" i="9"/>
  <c r="U338" i="9"/>
  <c r="T338" i="9"/>
  <c r="U6" i="9"/>
  <c r="T6" i="9"/>
  <c r="U179" i="9"/>
  <c r="T179" i="9"/>
  <c r="T17" i="9"/>
  <c r="U17" i="9"/>
  <c r="U703" i="9"/>
  <c r="T703" i="9"/>
  <c r="U663" i="9"/>
  <c r="T663" i="9"/>
  <c r="U745" i="9"/>
  <c r="T745" i="9"/>
  <c r="U580" i="9"/>
  <c r="T580" i="9"/>
  <c r="U579" i="9"/>
  <c r="T579" i="9"/>
  <c r="U991" i="9"/>
  <c r="T991" i="9"/>
  <c r="T383" i="9"/>
  <c r="U383" i="9"/>
  <c r="U290" i="9"/>
  <c r="T290" i="9"/>
  <c r="U915" i="9"/>
  <c r="T915" i="9"/>
  <c r="U141" i="9"/>
  <c r="T141" i="9"/>
  <c r="U178" i="9"/>
  <c r="T178" i="9"/>
  <c r="U145" i="9"/>
  <c r="T145" i="9"/>
  <c r="T596" i="9"/>
  <c r="U596" i="9"/>
  <c r="U777" i="9"/>
  <c r="T777" i="9"/>
  <c r="U540" i="9"/>
  <c r="T540" i="9"/>
  <c r="U77" i="9"/>
  <c r="T77" i="9"/>
  <c r="U310" i="9"/>
  <c r="T310" i="9"/>
  <c r="U457" i="9"/>
  <c r="T457" i="9"/>
  <c r="U890" i="9"/>
  <c r="T890" i="9"/>
  <c r="U618" i="9"/>
  <c r="T618" i="9"/>
  <c r="U442" i="9"/>
  <c r="T442" i="9"/>
  <c r="U783" i="9"/>
  <c r="T783" i="9"/>
  <c r="U18" i="9"/>
  <c r="T18" i="9"/>
  <c r="U104" i="9"/>
  <c r="T104" i="9"/>
  <c r="U61" i="9"/>
  <c r="T61" i="9"/>
  <c r="U719" i="9"/>
  <c r="T719" i="9"/>
  <c r="U765" i="9"/>
  <c r="T765" i="9"/>
  <c r="U467" i="9"/>
  <c r="T467" i="9"/>
  <c r="U888" i="9"/>
  <c r="T888" i="9"/>
  <c r="T65" i="9"/>
  <c r="U65" i="9"/>
  <c r="U550" i="9"/>
  <c r="T550" i="9"/>
  <c r="U360" i="9"/>
  <c r="T360" i="9"/>
  <c r="U653" i="9"/>
  <c r="T653" i="9"/>
  <c r="U624" i="9"/>
  <c r="T624" i="9"/>
  <c r="U243" i="9"/>
  <c r="T243" i="9"/>
  <c r="U30" i="9"/>
  <c r="T30" i="9"/>
  <c r="U247" i="9"/>
  <c r="T247" i="9"/>
  <c r="U465" i="9"/>
  <c r="T465" i="9"/>
  <c r="U851" i="9"/>
  <c r="T851" i="9"/>
  <c r="U355" i="9"/>
  <c r="T355" i="9"/>
  <c r="U784" i="9"/>
  <c r="T784" i="9"/>
  <c r="U239" i="9"/>
  <c r="T239" i="9"/>
  <c r="U707" i="9"/>
  <c r="T707" i="9"/>
  <c r="U847" i="9"/>
  <c r="T847" i="9"/>
  <c r="U961" i="9"/>
  <c r="T961" i="9"/>
  <c r="U53" i="9"/>
  <c r="T53" i="9"/>
  <c r="U932" i="9"/>
  <c r="T932" i="9"/>
  <c r="U488" i="9"/>
  <c r="T488" i="9"/>
  <c r="U26" i="9"/>
  <c r="T26" i="9"/>
  <c r="AH843" i="9"/>
  <c r="U873" i="9"/>
  <c r="T873" i="9"/>
  <c r="U14" i="9"/>
  <c r="T14" i="9"/>
  <c r="U735" i="9"/>
  <c r="T735" i="9"/>
  <c r="U134" i="9"/>
  <c r="T134" i="9"/>
  <c r="U164" i="9"/>
  <c r="T164" i="9"/>
  <c r="U655" i="9"/>
  <c r="T655" i="9"/>
  <c r="U608" i="9"/>
  <c r="T608" i="9"/>
  <c r="U739" i="9"/>
  <c r="T739" i="9"/>
  <c r="U790" i="9"/>
  <c r="T790" i="9"/>
  <c r="U772" i="9"/>
  <c r="T772" i="9"/>
  <c r="U322" i="9"/>
  <c r="T322" i="9"/>
  <c r="U86" i="9"/>
  <c r="T86" i="9"/>
  <c r="U541" i="9"/>
  <c r="T541" i="9"/>
  <c r="U165" i="9"/>
  <c r="T165" i="9"/>
  <c r="U590" i="9"/>
  <c r="T590" i="9"/>
  <c r="U288" i="9"/>
  <c r="T288" i="9"/>
  <c r="U372" i="9"/>
  <c r="T372" i="9"/>
  <c r="U715" i="9"/>
  <c r="T715" i="9"/>
  <c r="U643" i="9"/>
  <c r="T643" i="9"/>
  <c r="U891" i="9"/>
  <c r="T891" i="9"/>
  <c r="U794" i="9"/>
  <c r="T794" i="9"/>
  <c r="U208" i="9"/>
  <c r="T208" i="9"/>
  <c r="T49" i="9"/>
  <c r="U49" i="9"/>
  <c r="U576" i="9"/>
  <c r="T576" i="9"/>
  <c r="U446" i="9"/>
  <c r="T446" i="9"/>
  <c r="U876" i="9"/>
  <c r="T876" i="9"/>
  <c r="U34" i="9"/>
  <c r="T34" i="9"/>
  <c r="U198" i="9"/>
  <c r="T198" i="9"/>
  <c r="U742" i="9"/>
  <c r="T742" i="9"/>
  <c r="U679" i="9"/>
  <c r="T679" i="9"/>
  <c r="U724" i="9"/>
  <c r="T724" i="9"/>
  <c r="U872" i="9"/>
  <c r="T872" i="9"/>
  <c r="U619" i="9"/>
  <c r="T619" i="9"/>
  <c r="U150" i="9"/>
  <c r="T150" i="9"/>
  <c r="U454" i="9"/>
  <c r="T454" i="9"/>
  <c r="U832" i="9"/>
  <c r="T832" i="9"/>
  <c r="U588" i="9"/>
  <c r="T588" i="9"/>
  <c r="U110" i="9"/>
  <c r="T110" i="9"/>
  <c r="N500" i="9"/>
  <c r="M500" i="9"/>
  <c r="N962" i="9"/>
  <c r="M962" i="9"/>
  <c r="N485" i="9"/>
  <c r="M485" i="9"/>
  <c r="N484" i="9"/>
  <c r="M484" i="9"/>
  <c r="N807" i="9"/>
  <c r="M807" i="9"/>
  <c r="N999" i="9"/>
  <c r="M999" i="9"/>
  <c r="N425" i="9"/>
  <c r="M425" i="9"/>
  <c r="N523" i="9"/>
  <c r="M523" i="9"/>
  <c r="N429" i="9"/>
  <c r="M429" i="9"/>
  <c r="AG54" i="9"/>
  <c r="N84" i="9"/>
  <c r="M84" i="9"/>
  <c r="N367" i="9"/>
  <c r="M367" i="9"/>
  <c r="N776" i="9"/>
  <c r="M776" i="9"/>
  <c r="N108" i="9"/>
  <c r="M108" i="9"/>
  <c r="N52" i="9"/>
  <c r="M52" i="9"/>
  <c r="N788" i="9"/>
  <c r="M788" i="9"/>
  <c r="N830" i="9"/>
  <c r="M830" i="9"/>
  <c r="N121" i="9"/>
  <c r="M121" i="9"/>
  <c r="N114" i="9"/>
  <c r="M114" i="9"/>
  <c r="N140" i="9"/>
  <c r="M140" i="9"/>
  <c r="N874" i="9"/>
  <c r="M874" i="9"/>
  <c r="N728" i="9"/>
  <c r="M728" i="9"/>
  <c r="N136" i="9"/>
  <c r="M136" i="9"/>
  <c r="N897" i="9"/>
  <c r="M897" i="9"/>
  <c r="N917" i="9"/>
  <c r="M917" i="9"/>
  <c r="N704" i="9"/>
  <c r="M704" i="9"/>
  <c r="N83" i="9"/>
  <c r="M83" i="9"/>
  <c r="N553" i="9"/>
  <c r="M553" i="9"/>
  <c r="N387" i="9"/>
  <c r="M387" i="9"/>
  <c r="N622" i="9"/>
  <c r="M622" i="9"/>
  <c r="N671" i="9"/>
  <c r="M671" i="9"/>
  <c r="N947" i="9"/>
  <c r="M947" i="9"/>
  <c r="N976" i="9"/>
  <c r="M976" i="9"/>
  <c r="N647" i="9"/>
  <c r="M647" i="9"/>
  <c r="N563" i="9"/>
  <c r="M563" i="9"/>
  <c r="N775" i="9"/>
  <c r="M775" i="9"/>
  <c r="N592" i="9"/>
  <c r="M592" i="9"/>
  <c r="N561" i="9"/>
  <c r="M561" i="9"/>
  <c r="AG969" i="9"/>
  <c r="N564" i="9"/>
  <c r="M564" i="9"/>
  <c r="N994" i="9"/>
  <c r="M994" i="9"/>
  <c r="N769" i="9"/>
  <c r="M769" i="9"/>
  <c r="N937" i="9"/>
  <c r="M937" i="9"/>
  <c r="N169" i="9"/>
  <c r="M169" i="9"/>
  <c r="N562" i="9"/>
  <c r="M562" i="9"/>
  <c r="N186" i="9"/>
  <c r="M186" i="9"/>
  <c r="N125" i="9"/>
  <c r="M125" i="9"/>
  <c r="N504" i="9"/>
  <c r="M504" i="9"/>
  <c r="N720" i="9"/>
  <c r="M720" i="9"/>
  <c r="N349" i="9"/>
  <c r="M349" i="9"/>
  <c r="N170" i="9"/>
  <c r="M170" i="9"/>
  <c r="N468" i="9"/>
  <c r="M468" i="9"/>
  <c r="N696" i="9"/>
  <c r="M696" i="9"/>
  <c r="AB33" i="9"/>
  <c r="N262" i="9"/>
  <c r="M262" i="9"/>
  <c r="N95" i="9"/>
  <c r="M95" i="9"/>
  <c r="N87" i="9"/>
  <c r="M87" i="9"/>
  <c r="N57" i="9"/>
  <c r="M57" i="9"/>
  <c r="N521" i="9"/>
  <c r="M521" i="9"/>
  <c r="N615" i="9"/>
  <c r="M615" i="9"/>
  <c r="O761" i="9"/>
  <c r="AX761" i="9"/>
  <c r="N529" i="9"/>
  <c r="M529" i="9"/>
  <c r="N56" i="9"/>
  <c r="M56" i="9"/>
  <c r="N854" i="9"/>
  <c r="M854" i="9"/>
  <c r="N379" i="9"/>
  <c r="M379" i="9"/>
  <c r="N476" i="9"/>
  <c r="M476" i="9"/>
  <c r="N642" i="9"/>
  <c r="M642" i="9"/>
  <c r="N856" i="9"/>
  <c r="M856" i="9"/>
  <c r="N659" i="9"/>
  <c r="M659" i="9"/>
  <c r="N628" i="9"/>
  <c r="M628" i="9"/>
  <c r="N818" i="9"/>
  <c r="M818" i="9"/>
  <c r="N264" i="9"/>
  <c r="M264" i="9"/>
  <c r="N207" i="9"/>
  <c r="M207" i="9"/>
  <c r="N356" i="9"/>
  <c r="M356" i="9"/>
  <c r="N155" i="9"/>
  <c r="M155" i="9"/>
  <c r="N964" i="9"/>
  <c r="M964" i="9"/>
  <c r="N128" i="9"/>
  <c r="M128" i="9"/>
  <c r="N923" i="9"/>
  <c r="M923" i="9"/>
  <c r="N721" i="9"/>
  <c r="M721" i="9"/>
  <c r="N496" i="9"/>
  <c r="M496" i="9"/>
  <c r="N401" i="9"/>
  <c r="M401" i="9"/>
  <c r="N922" i="9"/>
  <c r="M922" i="9"/>
  <c r="N158" i="9"/>
  <c r="M158" i="9"/>
  <c r="N533" i="9"/>
  <c r="M533" i="9"/>
  <c r="AH58" i="9"/>
  <c r="N756" i="9"/>
  <c r="M756" i="9"/>
  <c r="N577" i="9"/>
  <c r="M577" i="9"/>
  <c r="N354" i="9"/>
  <c r="M354" i="9"/>
  <c r="N904" i="9"/>
  <c r="M904" i="9"/>
  <c r="N395" i="9"/>
  <c r="M395" i="9"/>
  <c r="N631" i="9"/>
  <c r="M631" i="9"/>
  <c r="N761" i="9"/>
  <c r="M761" i="9"/>
  <c r="R761" i="9"/>
  <c r="Q761" i="9"/>
  <c r="N142" i="9"/>
  <c r="M142" i="9"/>
  <c r="N686" i="9"/>
  <c r="M686" i="9"/>
  <c r="N203" i="9"/>
  <c r="M203" i="9"/>
  <c r="N768" i="9"/>
  <c r="M768" i="9"/>
  <c r="N680" i="9"/>
  <c r="M680" i="9"/>
  <c r="N771" i="9"/>
  <c r="M771" i="9"/>
  <c r="N424" i="9"/>
  <c r="M424" i="9"/>
  <c r="N508" i="9"/>
  <c r="M508" i="9"/>
  <c r="N785" i="9"/>
  <c r="M785" i="9"/>
  <c r="N111" i="9"/>
  <c r="M111" i="9"/>
  <c r="N896" i="9"/>
  <c r="M896" i="9"/>
  <c r="N423" i="9"/>
  <c r="M423" i="9"/>
  <c r="AA33" i="9"/>
  <c r="N736" i="9"/>
  <c r="M736" i="9"/>
  <c r="N779" i="9"/>
  <c r="M779" i="9"/>
  <c r="N868" i="9"/>
  <c r="M868" i="9"/>
  <c r="N837" i="9"/>
  <c r="M837" i="9"/>
  <c r="N802" i="9"/>
  <c r="M802" i="9"/>
  <c r="N697" i="9"/>
  <c r="M697" i="9"/>
  <c r="N731" i="9"/>
  <c r="M731" i="9"/>
  <c r="N351" i="9"/>
  <c r="M351" i="9"/>
  <c r="N986" i="9"/>
  <c r="M986" i="9"/>
  <c r="N927" i="9"/>
  <c r="M927" i="9"/>
  <c r="AB37" i="9"/>
  <c r="N975" i="9"/>
  <c r="M975" i="9"/>
  <c r="N210" i="9"/>
  <c r="M210" i="9"/>
  <c r="N970" i="9"/>
  <c r="M970" i="9"/>
  <c r="N799" i="9"/>
  <c r="M799" i="9"/>
  <c r="N180" i="9"/>
  <c r="M180" i="9"/>
  <c r="N461" i="9"/>
  <c r="M461" i="9"/>
  <c r="N945" i="9"/>
  <c r="M945" i="9"/>
  <c r="N757" i="9"/>
  <c r="M757" i="9"/>
  <c r="N505" i="9"/>
  <c r="M505" i="9"/>
  <c r="Q505" i="9"/>
  <c r="R505" i="9"/>
  <c r="N189" i="9"/>
  <c r="M189" i="9"/>
  <c r="N910" i="9"/>
  <c r="M910" i="9"/>
  <c r="N674" i="9"/>
  <c r="M674" i="9"/>
  <c r="N99" i="9"/>
  <c r="M99" i="9"/>
  <c r="N640" i="9"/>
  <c r="M640" i="9"/>
  <c r="N955" i="9"/>
  <c r="M955" i="9"/>
  <c r="N893" i="9"/>
  <c r="M893" i="9"/>
  <c r="N981" i="9"/>
  <c r="M981" i="9"/>
  <c r="N350" i="9"/>
  <c r="M350" i="9"/>
  <c r="N708" i="9"/>
  <c r="M708" i="9"/>
  <c r="N651" i="9"/>
  <c r="M651" i="9"/>
  <c r="N60" i="9"/>
  <c r="M60" i="9"/>
  <c r="N490" i="9"/>
  <c r="M490" i="9"/>
  <c r="N835" i="9"/>
  <c r="M835" i="9"/>
  <c r="AY505" i="9"/>
  <c r="O505" i="9"/>
  <c r="N371" i="9"/>
  <c r="M371" i="9"/>
  <c r="N133" i="9"/>
  <c r="M133" i="9"/>
  <c r="N800" i="9"/>
  <c r="M800" i="9"/>
  <c r="N676" i="9"/>
  <c r="M676" i="9"/>
  <c r="N147" i="9"/>
  <c r="M147" i="9"/>
  <c r="N966" i="9"/>
  <c r="M966" i="9"/>
  <c r="N433" i="9"/>
  <c r="M433" i="9"/>
  <c r="N96" i="9"/>
  <c r="M96" i="9"/>
  <c r="N109" i="9"/>
  <c r="M109" i="9"/>
  <c r="N526" i="9"/>
  <c r="M526" i="9"/>
  <c r="N528" i="9"/>
  <c r="M528" i="9"/>
  <c r="N931" i="9"/>
  <c r="M931" i="9"/>
  <c r="N163" i="9"/>
  <c r="M163" i="9"/>
  <c r="N985" i="9"/>
  <c r="M985" i="9"/>
  <c r="N634" i="9"/>
  <c r="M634" i="9"/>
  <c r="N117" i="9"/>
  <c r="M117" i="9"/>
  <c r="N815" i="9"/>
  <c r="M815" i="9"/>
  <c r="N729" i="9"/>
  <c r="M729" i="9"/>
  <c r="N185" i="9"/>
  <c r="M185" i="9"/>
  <c r="N806" i="9"/>
  <c r="M806" i="9"/>
  <c r="N206" i="9"/>
  <c r="M206" i="9"/>
  <c r="N187" i="9"/>
  <c r="M187" i="9"/>
  <c r="N957" i="9"/>
  <c r="M957" i="9"/>
  <c r="N289" i="9"/>
  <c r="M289" i="9"/>
  <c r="N919" i="9"/>
  <c r="M919" i="9"/>
  <c r="N692" i="9"/>
  <c r="M692" i="9"/>
  <c r="N172" i="9"/>
  <c r="M172" i="9"/>
  <c r="N153" i="9"/>
  <c r="M153" i="9"/>
  <c r="N340" i="9"/>
  <c r="M340" i="9"/>
  <c r="N517" i="9"/>
  <c r="M517" i="9"/>
  <c r="N352" i="9"/>
  <c r="M352" i="9"/>
  <c r="N440" i="9"/>
  <c r="M440" i="9"/>
  <c r="N211" i="9"/>
  <c r="M211" i="9"/>
  <c r="N171" i="9"/>
  <c r="M171" i="9"/>
  <c r="N886" i="9"/>
  <c r="M886" i="9"/>
  <c r="N687" i="9"/>
  <c r="M687" i="9"/>
  <c r="N928" i="9"/>
  <c r="M928" i="9"/>
  <c r="N89" i="9"/>
  <c r="M89" i="9"/>
  <c r="N249" i="9"/>
  <c r="M249" i="9"/>
  <c r="N841" i="9"/>
  <c r="M841" i="9"/>
  <c r="N899" i="9"/>
  <c r="M899" i="9"/>
  <c r="N610" i="9"/>
  <c r="M610" i="9"/>
  <c r="N472" i="9"/>
  <c r="M472" i="9"/>
  <c r="N492" i="9"/>
  <c r="M492" i="9"/>
  <c r="N415" i="9"/>
  <c r="M415" i="9"/>
  <c r="N901" i="9"/>
  <c r="M901" i="9"/>
  <c r="N419" i="9"/>
  <c r="M419" i="9"/>
  <c r="N244" i="9"/>
  <c r="M244" i="9"/>
  <c r="N545" i="9"/>
  <c r="M545" i="9"/>
  <c r="N282" i="9"/>
  <c r="M282" i="9"/>
  <c r="AX919" i="9"/>
  <c r="O919" i="9"/>
  <c r="Q415" i="9"/>
  <c r="R415" i="9"/>
  <c r="O807" i="9"/>
  <c r="AX807" i="9"/>
  <c r="O854" i="9"/>
  <c r="AX854" i="9"/>
  <c r="Q901" i="9"/>
  <c r="R901" i="9"/>
  <c r="AX189" i="9"/>
  <c r="O189" i="9"/>
  <c r="Q419" i="9"/>
  <c r="R419" i="9"/>
  <c r="R244" i="9"/>
  <c r="Q244" i="9"/>
  <c r="R340" i="9"/>
  <c r="Q340" i="9"/>
  <c r="R517" i="9"/>
  <c r="Q517" i="9"/>
  <c r="P204" i="9"/>
  <c r="AZ204" i="9"/>
  <c r="P278" i="9"/>
  <c r="AZ278" i="9"/>
  <c r="AZ220" i="9"/>
  <c r="P220" i="9"/>
  <c r="R680" i="9"/>
  <c r="Q680" i="9"/>
  <c r="V110" i="9"/>
  <c r="Z110" i="9"/>
  <c r="BD110" i="9"/>
  <c r="W110" i="9"/>
  <c r="O415" i="9"/>
  <c r="AX415" i="9"/>
  <c r="R807" i="9"/>
  <c r="Q807" i="9"/>
  <c r="Q854" i="9"/>
  <c r="R854" i="9"/>
  <c r="BC306" i="9"/>
  <c r="S306" i="9"/>
  <c r="O901" i="9"/>
  <c r="AX901" i="9"/>
  <c r="R189" i="9"/>
  <c r="Q189" i="9"/>
  <c r="O419" i="9"/>
  <c r="AX419" i="9"/>
  <c r="P137" i="9"/>
  <c r="AZ137" i="9"/>
  <c r="AZ836" i="9"/>
  <c r="P836" i="9"/>
  <c r="AX244" i="9"/>
  <c r="O244" i="9"/>
  <c r="AX340" i="9"/>
  <c r="O340" i="9"/>
  <c r="AX517" i="9"/>
  <c r="O517" i="9"/>
  <c r="R545" i="9"/>
  <c r="Q545" i="9"/>
  <c r="R282" i="9"/>
  <c r="Q282" i="9"/>
  <c r="Q692" i="9"/>
  <c r="R692" i="9"/>
  <c r="P216" i="9"/>
  <c r="AZ216" i="9"/>
  <c r="AG843" i="9"/>
  <c r="P677" i="9"/>
  <c r="AZ677" i="9"/>
  <c r="AX680" i="9"/>
  <c r="O680" i="9"/>
  <c r="X110" i="9"/>
  <c r="Y110" i="9"/>
  <c r="AB110" i="9"/>
  <c r="O521" i="9"/>
  <c r="AX521" i="9"/>
  <c r="P730" i="9"/>
  <c r="AZ730" i="9"/>
  <c r="Q553" i="9"/>
  <c r="R553" i="9"/>
  <c r="Q387" i="9"/>
  <c r="R387" i="9"/>
  <c r="AZ738" i="9"/>
  <c r="P738" i="9"/>
  <c r="Q622" i="9"/>
  <c r="R622" i="9"/>
  <c r="R771" i="9"/>
  <c r="Q771" i="9"/>
  <c r="AY545" i="9"/>
  <c r="O545" i="9"/>
  <c r="AX282" i="9"/>
  <c r="O282" i="9"/>
  <c r="BB638" i="9"/>
  <c r="S638" i="9"/>
  <c r="AY945" i="9"/>
  <c r="O945" i="9"/>
  <c r="O756" i="9"/>
  <c r="AX756" i="9"/>
  <c r="R57" i="9"/>
  <c r="Q57" i="9"/>
  <c r="R521" i="9"/>
  <c r="Q521" i="9"/>
  <c r="AY553" i="9"/>
  <c r="O553" i="9"/>
  <c r="BC911" i="9"/>
  <c r="S911" i="9"/>
  <c r="O387" i="9"/>
  <c r="AX387" i="9"/>
  <c r="S939" i="9"/>
  <c r="BB939" i="9"/>
  <c r="O622" i="9"/>
  <c r="AX622" i="9"/>
  <c r="BC346" i="9"/>
  <c r="S346" i="9"/>
  <c r="O771" i="9"/>
  <c r="AX771" i="9"/>
  <c r="Q671" i="9"/>
  <c r="R671" i="9"/>
  <c r="Q947" i="9"/>
  <c r="R947" i="9"/>
  <c r="P722" i="9"/>
  <c r="AZ722" i="9"/>
  <c r="AX490" i="9"/>
  <c r="O490" i="9"/>
  <c r="R153" i="9"/>
  <c r="Q153" i="9"/>
  <c r="R756" i="9"/>
  <c r="Q756" i="9"/>
  <c r="AY57" i="9"/>
  <c r="O57" i="9"/>
  <c r="R577" i="9"/>
  <c r="Q577" i="9"/>
  <c r="AX180" i="9"/>
  <c r="O180" i="9"/>
  <c r="AX461" i="9"/>
  <c r="O461" i="9"/>
  <c r="R354" i="9"/>
  <c r="Q354" i="9"/>
  <c r="P898" i="9"/>
  <c r="AZ898" i="9"/>
  <c r="R904" i="9"/>
  <c r="Q904" i="9"/>
  <c r="Q395" i="9"/>
  <c r="R395" i="9"/>
  <c r="BB615" i="9"/>
  <c r="R615" i="9"/>
  <c r="Q615" i="9"/>
  <c r="AY671" i="9"/>
  <c r="O671" i="9"/>
  <c r="AY947" i="9"/>
  <c r="O947" i="9"/>
  <c r="R919" i="9"/>
  <c r="Q919" i="9"/>
  <c r="Q172" i="9"/>
  <c r="R172" i="9"/>
  <c r="P793" i="9"/>
  <c r="AZ793" i="9"/>
  <c r="AA499" i="9"/>
  <c r="P812" i="9"/>
  <c r="AZ812" i="9"/>
  <c r="Q970" i="9"/>
  <c r="R970" i="9"/>
  <c r="R799" i="9"/>
  <c r="Q799" i="9"/>
  <c r="AY577" i="9"/>
  <c r="O577" i="9"/>
  <c r="Q180" i="9"/>
  <c r="R180" i="9"/>
  <c r="R461" i="9"/>
  <c r="Q461" i="9"/>
  <c r="AX354" i="9"/>
  <c r="O354" i="9"/>
  <c r="AX904" i="9"/>
  <c r="O904" i="9"/>
  <c r="O395" i="9"/>
  <c r="AX395" i="9"/>
  <c r="AY615" i="9"/>
  <c r="O615" i="9"/>
  <c r="Q631" i="9"/>
  <c r="R631" i="9"/>
  <c r="O757" i="9"/>
  <c r="AX757" i="9"/>
  <c r="P747" i="9"/>
  <c r="AZ747" i="9"/>
  <c r="S105" i="9"/>
  <c r="BB105" i="9"/>
  <c r="O835" i="9"/>
  <c r="AX835" i="9"/>
  <c r="AH969" i="9"/>
  <c r="AX970" i="9"/>
  <c r="O970" i="9"/>
  <c r="O799" i="9"/>
  <c r="AX799" i="9"/>
  <c r="O692" i="9"/>
  <c r="AX692" i="9"/>
  <c r="R490" i="9"/>
  <c r="Q490" i="9"/>
  <c r="O172" i="9"/>
  <c r="AX172" i="9"/>
  <c r="O153" i="9"/>
  <c r="AX153" i="9"/>
  <c r="R835" i="9"/>
  <c r="Q835" i="9"/>
  <c r="Q945" i="9"/>
  <c r="R945" i="9"/>
  <c r="AY631" i="9"/>
  <c r="O631" i="9"/>
  <c r="R757" i="9"/>
  <c r="Q757" i="9"/>
  <c r="P256" i="9"/>
  <c r="AZ256" i="9"/>
  <c r="AE499" i="9"/>
  <c r="V636" i="9"/>
  <c r="Z636" i="9"/>
  <c r="BD636" i="9"/>
  <c r="W636" i="9"/>
  <c r="AX424" i="9"/>
  <c r="O424" i="9"/>
  <c r="Q674" i="9"/>
  <c r="R674" i="9"/>
  <c r="V288" i="9"/>
  <c r="Z288" i="9"/>
  <c r="BD288" i="9"/>
  <c r="W288" i="9"/>
  <c r="X636" i="9"/>
  <c r="Y636" i="9"/>
  <c r="BD869" i="9"/>
  <c r="W869" i="9"/>
  <c r="V869" i="9"/>
  <c r="Z869" i="9"/>
  <c r="BB483" i="9"/>
  <c r="S483" i="9"/>
  <c r="Y240" i="9"/>
  <c r="X240" i="9"/>
  <c r="AZ357" i="9"/>
  <c r="P357" i="9"/>
  <c r="BB935" i="9"/>
  <c r="S935" i="9"/>
  <c r="S675" i="9"/>
  <c r="BB675" i="9"/>
  <c r="BB565" i="9"/>
  <c r="S565" i="9"/>
  <c r="P531" i="9"/>
  <c r="AZ531" i="9"/>
  <c r="AZ884" i="9"/>
  <c r="P884" i="9"/>
  <c r="P69" i="9"/>
  <c r="AZ69" i="9"/>
  <c r="X104" i="9"/>
  <c r="Y104" i="9"/>
  <c r="R697" i="9"/>
  <c r="Q697" i="9"/>
  <c r="Q830" i="9"/>
  <c r="R830" i="9"/>
  <c r="P870" i="9"/>
  <c r="AZ870" i="9"/>
  <c r="O121" i="9"/>
  <c r="AX121" i="9"/>
  <c r="P958" i="9"/>
  <c r="AZ958" i="9"/>
  <c r="S513" i="9"/>
  <c r="BB513" i="9"/>
  <c r="S377" i="9"/>
  <c r="BB377" i="9"/>
  <c r="BD247" i="9"/>
  <c r="W247" i="9"/>
  <c r="V247" i="9"/>
  <c r="Z247" i="9"/>
  <c r="P97" i="9"/>
  <c r="AZ97" i="9"/>
  <c r="P989" i="9"/>
  <c r="AZ989" i="9"/>
  <c r="AZ524" i="9"/>
  <c r="P524" i="9"/>
  <c r="BD689" i="9"/>
  <c r="W689" i="9"/>
  <c r="V689" i="9"/>
  <c r="Z689" i="9"/>
  <c r="BB971" i="9"/>
  <c r="S971" i="9"/>
  <c r="P960" i="9"/>
  <c r="AZ960" i="9"/>
  <c r="P907" i="9"/>
  <c r="AZ907" i="9"/>
  <c r="V655" i="9"/>
  <c r="Z655" i="9"/>
  <c r="BD655" i="9"/>
  <c r="W655" i="9"/>
  <c r="AZ705" i="9"/>
  <c r="P705" i="9"/>
  <c r="AZ921" i="9"/>
  <c r="P921" i="9"/>
  <c r="BD338" i="9"/>
  <c r="W338" i="9"/>
  <c r="V338" i="9"/>
  <c r="Z338" i="9"/>
  <c r="R728" i="9"/>
  <c r="Q728" i="9"/>
  <c r="AX349" i="9"/>
  <c r="O349" i="9"/>
  <c r="AZ652" i="9"/>
  <c r="P652" i="9"/>
  <c r="S420" i="9"/>
  <c r="BB420" i="9"/>
  <c r="AZ566" i="9"/>
  <c r="P566" i="9"/>
  <c r="Q610" i="9"/>
  <c r="R610" i="9"/>
  <c r="AZ39" i="9"/>
  <c r="P39" i="9"/>
  <c r="BD777" i="9"/>
  <c r="W777" i="9"/>
  <c r="V777" i="9"/>
  <c r="Z777" i="9"/>
  <c r="X540" i="9"/>
  <c r="Y540" i="9"/>
  <c r="AY529" i="9"/>
  <c r="O529" i="9"/>
  <c r="AX800" i="9"/>
  <c r="O800" i="9"/>
  <c r="AG734" i="9"/>
  <c r="AE734" i="9"/>
  <c r="AF734" i="9"/>
  <c r="AH734" i="9"/>
  <c r="R508" i="9"/>
  <c r="Q508" i="9"/>
  <c r="Q379" i="9"/>
  <c r="R379" i="9"/>
  <c r="Y653" i="9"/>
  <c r="X653" i="9"/>
  <c r="Q476" i="9"/>
  <c r="R476" i="9"/>
  <c r="AZ444" i="9"/>
  <c r="P444" i="9"/>
  <c r="S857" i="9"/>
  <c r="BB857" i="9"/>
  <c r="P273" i="9"/>
  <c r="AZ273" i="9"/>
  <c r="AZ613" i="9"/>
  <c r="P613" i="9"/>
  <c r="AX99" i="9"/>
  <c r="O99" i="9"/>
  <c r="BB321" i="9"/>
  <c r="S321" i="9"/>
  <c r="BD624" i="9"/>
  <c r="W624" i="9"/>
  <c r="V624" i="9"/>
  <c r="Z624" i="9"/>
  <c r="AZ471" i="9"/>
  <c r="P471" i="9"/>
  <c r="AX423" i="9"/>
  <c r="O423" i="9"/>
  <c r="P455" i="9"/>
  <c r="AZ455" i="9"/>
  <c r="AZ578" i="9"/>
  <c r="P578" i="9"/>
  <c r="R736" i="9"/>
  <c r="Q736" i="9"/>
  <c r="Y742" i="9"/>
  <c r="X742" i="9"/>
  <c r="P750" i="9"/>
  <c r="AZ750" i="9"/>
  <c r="AZ644" i="9"/>
  <c r="P644" i="9"/>
  <c r="AY642" i="9"/>
  <c r="O642" i="9"/>
  <c r="BD891" i="9"/>
  <c r="W891" i="9"/>
  <c r="V891" i="9"/>
  <c r="Z891" i="9"/>
  <c r="S328" i="9"/>
  <c r="BB328" i="9"/>
  <c r="P887" i="9"/>
  <c r="AZ887" i="9"/>
  <c r="R769" i="9"/>
  <c r="Q769" i="9"/>
  <c r="P436" i="9"/>
  <c r="AZ436" i="9"/>
  <c r="BB345" i="9"/>
  <c r="S345" i="9"/>
  <c r="P277" i="9"/>
  <c r="AZ277" i="9"/>
  <c r="AY371" i="9"/>
  <c r="O371" i="9"/>
  <c r="BC318" i="9"/>
  <c r="S318" i="9"/>
  <c r="R779" i="9"/>
  <c r="Q779" i="9"/>
  <c r="P984" i="9"/>
  <c r="AZ984" i="9"/>
  <c r="P123" i="9"/>
  <c r="AZ123" i="9"/>
  <c r="P119" i="9"/>
  <c r="AZ119" i="9"/>
  <c r="S24" i="9"/>
  <c r="BB24" i="9"/>
  <c r="AX52" i="9"/>
  <c r="O52" i="9"/>
  <c r="R788" i="9"/>
  <c r="Q788" i="9"/>
  <c r="R687" i="9"/>
  <c r="Q687" i="9"/>
  <c r="V104" i="9"/>
  <c r="Z104" i="9"/>
  <c r="BD104" i="9"/>
  <c r="W104" i="9"/>
  <c r="P808" i="9"/>
  <c r="AZ808" i="9"/>
  <c r="AX802" i="9"/>
  <c r="O802" i="9"/>
  <c r="X735" i="9"/>
  <c r="Y735" i="9"/>
  <c r="R142" i="9"/>
  <c r="Q142" i="9"/>
  <c r="S320" i="9"/>
  <c r="BB320" i="9"/>
  <c r="BD49" i="9"/>
  <c r="W49" i="9"/>
  <c r="V49" i="9"/>
  <c r="Z49" i="9"/>
  <c r="V619" i="9"/>
  <c r="Z619" i="9"/>
  <c r="BD619" i="9"/>
  <c r="W619" i="9"/>
  <c r="BB291" i="9"/>
  <c r="S291" i="9"/>
  <c r="O731" i="9"/>
  <c r="AX731" i="9"/>
  <c r="AG37" i="9"/>
  <c r="AE37" i="9"/>
  <c r="AF37" i="9"/>
  <c r="AH37" i="9"/>
  <c r="AZ427" i="9"/>
  <c r="P427" i="9"/>
  <c r="R264" i="9"/>
  <c r="Q264" i="9"/>
  <c r="R121" i="9"/>
  <c r="Q121" i="9"/>
  <c r="P534" i="9"/>
  <c r="AZ534" i="9"/>
  <c r="O528" i="9"/>
  <c r="AX528" i="9"/>
  <c r="AX562" i="9"/>
  <c r="O562" i="9"/>
  <c r="P51" i="9"/>
  <c r="AZ51" i="9"/>
  <c r="Y30" i="9"/>
  <c r="X30" i="9"/>
  <c r="BB175" i="9"/>
  <c r="S175" i="9"/>
  <c r="AZ190" i="9"/>
  <c r="P190" i="9"/>
  <c r="AB491" i="9"/>
  <c r="V164" i="9"/>
  <c r="Z164" i="9"/>
  <c r="BD164" i="9"/>
  <c r="W164" i="9"/>
  <c r="BB236" i="9"/>
  <c r="S236" i="9"/>
  <c r="V150" i="9"/>
  <c r="Z150" i="9"/>
  <c r="BD150" i="9"/>
  <c r="W150" i="9"/>
  <c r="R928" i="9"/>
  <c r="Q928" i="9"/>
  <c r="AZ195" i="9"/>
  <c r="P195" i="9"/>
  <c r="P368" i="9"/>
  <c r="AZ368" i="9"/>
  <c r="R249" i="9"/>
  <c r="Q249" i="9"/>
  <c r="AX155" i="9"/>
  <c r="O155" i="9"/>
  <c r="AZ506" i="9"/>
  <c r="P506" i="9"/>
  <c r="Y840" i="9"/>
  <c r="X840" i="9"/>
  <c r="AZ813" i="9"/>
  <c r="P813" i="9"/>
  <c r="P70" i="9"/>
  <c r="AZ70" i="9"/>
  <c r="AZ532" i="9"/>
  <c r="P532" i="9"/>
  <c r="AZ353" i="9"/>
  <c r="P353" i="9"/>
  <c r="BD588" i="9"/>
  <c r="W588" i="9"/>
  <c r="V588" i="9"/>
  <c r="Z588" i="9"/>
  <c r="V198" i="9"/>
  <c r="Z198" i="9"/>
  <c r="BD198" i="9"/>
  <c r="W198" i="9"/>
  <c r="BB773" i="9"/>
  <c r="S773" i="9"/>
  <c r="Y655" i="9"/>
  <c r="AB655" i="9"/>
  <c r="X655" i="9"/>
  <c r="AA655" i="9"/>
  <c r="BD239" i="9"/>
  <c r="W239" i="9"/>
  <c r="V239" i="9"/>
  <c r="Z239" i="9"/>
  <c r="AX350" i="9"/>
  <c r="O350" i="9"/>
  <c r="P250" i="9"/>
  <c r="AZ250" i="9"/>
  <c r="AZ20" i="9"/>
  <c r="P20" i="9"/>
  <c r="P229" i="9"/>
  <c r="AZ229" i="9"/>
  <c r="X576" i="9"/>
  <c r="Y576" i="9"/>
  <c r="BB393" i="9"/>
  <c r="S393" i="9"/>
  <c r="BB669" i="9"/>
  <c r="S669" i="9"/>
  <c r="BB577" i="9"/>
  <c r="AZ617" i="9"/>
  <c r="P617" i="9"/>
  <c r="P75" i="9"/>
  <c r="AZ75" i="9"/>
  <c r="P811" i="9"/>
  <c r="AZ811" i="9"/>
  <c r="BB329" i="9"/>
  <c r="S329" i="9"/>
  <c r="AZ343" i="9"/>
  <c r="P343" i="9"/>
  <c r="AZ510" i="9"/>
  <c r="P510" i="9"/>
  <c r="BB188" i="9"/>
  <c r="S188" i="9"/>
  <c r="AX728" i="9"/>
  <c r="O728" i="9"/>
  <c r="P597" i="9"/>
  <c r="AZ597" i="9"/>
  <c r="X141" i="9"/>
  <c r="Y141" i="9"/>
  <c r="AZ398" i="9"/>
  <c r="P398" i="9"/>
  <c r="AZ560" i="9"/>
  <c r="P560" i="9"/>
  <c r="P138" i="9"/>
  <c r="AZ138" i="9"/>
  <c r="AZ881" i="9"/>
  <c r="P881" i="9"/>
  <c r="AZ871" i="9"/>
  <c r="P871" i="9"/>
  <c r="Y178" i="9"/>
  <c r="X178" i="9"/>
  <c r="P103" i="9"/>
  <c r="AZ103" i="9"/>
  <c r="BB974" i="9"/>
  <c r="S974" i="9"/>
  <c r="AY485" i="9"/>
  <c r="O485" i="9"/>
  <c r="P828" i="9"/>
  <c r="AZ828" i="9"/>
  <c r="P221" i="9"/>
  <c r="AZ221" i="9"/>
  <c r="AZ954" i="9"/>
  <c r="P954" i="9"/>
  <c r="BB174" i="9"/>
  <c r="S174" i="9"/>
  <c r="S667" i="9"/>
  <c r="BB667" i="9"/>
  <c r="AB499" i="9"/>
  <c r="AG499" i="9"/>
  <c r="AZ536" i="9"/>
  <c r="P536" i="9"/>
  <c r="S702" i="9"/>
  <c r="BB702" i="9"/>
  <c r="P443" i="9"/>
  <c r="AZ443" i="9"/>
  <c r="BB184" i="9"/>
  <c r="S184" i="9"/>
  <c r="Q496" i="9"/>
  <c r="R496" i="9"/>
  <c r="AA956" i="9"/>
  <c r="P148" i="9"/>
  <c r="AZ148" i="9"/>
  <c r="P746" i="9"/>
  <c r="AZ746" i="9"/>
  <c r="BB468" i="9"/>
  <c r="O610" i="9"/>
  <c r="AX610" i="9"/>
  <c r="S833" i="9"/>
  <c r="BB833" i="9"/>
  <c r="S296" i="9"/>
  <c r="BB296" i="9"/>
  <c r="AZ452" i="9"/>
  <c r="P452" i="9"/>
  <c r="BB309" i="9"/>
  <c r="S309" i="9"/>
  <c r="BD703" i="9"/>
  <c r="W703" i="9"/>
  <c r="V703" i="9"/>
  <c r="Z703" i="9"/>
  <c r="BB418" i="9"/>
  <c r="S418" i="9"/>
  <c r="S514" i="9"/>
  <c r="BB514" i="9"/>
  <c r="AZ315" i="9"/>
  <c r="P315" i="9"/>
  <c r="Y777" i="9"/>
  <c r="X777" i="9"/>
  <c r="R704" i="9"/>
  <c r="Q704" i="9"/>
  <c r="P253" i="9"/>
  <c r="AZ253" i="9"/>
  <c r="AY484" i="9"/>
  <c r="O484" i="9"/>
  <c r="P257" i="9"/>
  <c r="AZ257" i="9"/>
  <c r="P374" i="9"/>
  <c r="AZ374" i="9"/>
  <c r="AY674" i="9"/>
  <c r="O674" i="9"/>
  <c r="Y288" i="9"/>
  <c r="AB288" i="9"/>
  <c r="X288" i="9"/>
  <c r="AA288" i="9"/>
  <c r="R423" i="9"/>
  <c r="Q423" i="9"/>
  <c r="AX736" i="9"/>
  <c r="O736" i="9"/>
  <c r="O352" i="9"/>
  <c r="AX352" i="9"/>
  <c r="BD77" i="9"/>
  <c r="W77" i="9"/>
  <c r="V77" i="9"/>
  <c r="Z77" i="9"/>
  <c r="AX142" i="9"/>
  <c r="O142" i="9"/>
  <c r="P363" i="9"/>
  <c r="AZ363" i="9"/>
  <c r="S389" i="9"/>
  <c r="BB389" i="9"/>
  <c r="P181" i="9"/>
  <c r="AZ181" i="9"/>
  <c r="P908" i="9"/>
  <c r="AZ908" i="9"/>
  <c r="BD504" i="9"/>
  <c r="AZ27" i="9"/>
  <c r="P27" i="9"/>
  <c r="S518" i="9"/>
  <c r="BB518" i="9"/>
  <c r="P831" i="9"/>
  <c r="AZ831" i="9"/>
  <c r="P740" i="9"/>
  <c r="AZ740" i="9"/>
  <c r="Q429" i="9"/>
  <c r="R429" i="9"/>
  <c r="BB29" i="9"/>
  <c r="S29" i="9"/>
  <c r="S12" i="9"/>
  <c r="BB12" i="9"/>
  <c r="AZ754" i="9"/>
  <c r="P754" i="9"/>
  <c r="Q563" i="9"/>
  <c r="R563" i="9"/>
  <c r="BB81" i="9"/>
  <c r="S81" i="9"/>
  <c r="S763" i="9"/>
  <c r="BB763" i="9"/>
  <c r="P67" i="9"/>
  <c r="AZ67" i="9"/>
  <c r="P451" i="9"/>
  <c r="AZ451" i="9"/>
  <c r="AY508" i="9"/>
  <c r="O508" i="9"/>
  <c r="O379" i="9"/>
  <c r="AX379" i="9"/>
  <c r="BB945" i="9"/>
  <c r="V653" i="9"/>
  <c r="Z653" i="9"/>
  <c r="BD653" i="9"/>
  <c r="W653" i="9"/>
  <c r="AY476" i="9"/>
  <c r="O476" i="9"/>
  <c r="S404" i="9"/>
  <c r="BB404" i="9"/>
  <c r="P146" i="9"/>
  <c r="AZ146" i="9"/>
  <c r="BB530" i="9"/>
  <c r="S530" i="9"/>
  <c r="AX785" i="9"/>
  <c r="O785" i="9"/>
  <c r="BB607" i="9"/>
  <c r="S607" i="9"/>
  <c r="P844" i="9"/>
  <c r="AZ844" i="9"/>
  <c r="R676" i="9"/>
  <c r="Q676" i="9"/>
  <c r="R99" i="9"/>
  <c r="Q99" i="9"/>
  <c r="R775" i="9"/>
  <c r="Q775" i="9"/>
  <c r="AZ245" i="9"/>
  <c r="P245" i="9"/>
  <c r="AZ940" i="9"/>
  <c r="P940" i="9"/>
  <c r="X624" i="9"/>
  <c r="Y624" i="9"/>
  <c r="AZ35" i="9"/>
  <c r="P35" i="9"/>
  <c r="BD529" i="9"/>
  <c r="O84" i="9"/>
  <c r="AX84" i="9"/>
  <c r="V742" i="9"/>
  <c r="Z742" i="9"/>
  <c r="BD742" i="9"/>
  <c r="W742" i="9"/>
  <c r="P159" i="9"/>
  <c r="AZ159" i="9"/>
  <c r="P396" i="9"/>
  <c r="AZ396" i="9"/>
  <c r="P583" i="9"/>
  <c r="AZ583" i="9"/>
  <c r="P19" i="9"/>
  <c r="AZ19" i="9"/>
  <c r="Q659" i="9"/>
  <c r="R659" i="9"/>
  <c r="R500" i="9"/>
  <c r="Q500" i="9"/>
  <c r="BB505" i="9"/>
  <c r="AX769" i="9"/>
  <c r="O769" i="9"/>
  <c r="S348" i="9"/>
  <c r="BB348" i="9"/>
  <c r="BA780" i="9"/>
  <c r="P780" i="9"/>
  <c r="BA930" i="9"/>
  <c r="P930" i="9"/>
  <c r="Y872" i="9"/>
  <c r="X872" i="9"/>
  <c r="AY779" i="9"/>
  <c r="O779" i="9"/>
  <c r="S662" i="9"/>
  <c r="BB662" i="9"/>
  <c r="AZ269" i="9"/>
  <c r="P269" i="9"/>
  <c r="P980" i="9"/>
  <c r="AZ980" i="9"/>
  <c r="S767" i="9"/>
  <c r="BB767" i="9"/>
  <c r="O886" i="9"/>
  <c r="AX886" i="9"/>
  <c r="R966" i="9"/>
  <c r="Q966" i="9"/>
  <c r="P426" i="9"/>
  <c r="AZ426" i="9"/>
  <c r="S497" i="9"/>
  <c r="BB497" i="9"/>
  <c r="R52" i="9"/>
  <c r="Q52" i="9"/>
  <c r="AY788" i="9"/>
  <c r="O788" i="9"/>
  <c r="AY687" i="9"/>
  <c r="O687" i="9"/>
  <c r="BB411" i="9"/>
  <c r="S411" i="9"/>
  <c r="AZ11" i="9"/>
  <c r="P11" i="9"/>
  <c r="R802" i="9"/>
  <c r="Q802" i="9"/>
  <c r="P458" i="9"/>
  <c r="AZ458" i="9"/>
  <c r="P268" i="9"/>
  <c r="AZ268" i="9"/>
  <c r="P445" i="9"/>
  <c r="AZ445" i="9"/>
  <c r="Y619" i="9"/>
  <c r="X619" i="9"/>
  <c r="AA619" i="9"/>
  <c r="AX207" i="9"/>
  <c r="O207" i="9"/>
  <c r="AZ323" i="9"/>
  <c r="P323" i="9"/>
  <c r="BD719" i="9"/>
  <c r="W719" i="9"/>
  <c r="V719" i="9"/>
  <c r="Z719" i="9"/>
  <c r="AZ304" i="9"/>
  <c r="P304" i="9"/>
  <c r="P453" i="9"/>
  <c r="AZ453" i="9"/>
  <c r="P573" i="9"/>
  <c r="AZ573" i="9"/>
  <c r="BD30" i="9"/>
  <c r="W30" i="9"/>
  <c r="V30" i="9"/>
  <c r="Z30" i="9"/>
  <c r="Q986" i="9"/>
  <c r="R986" i="9"/>
  <c r="BB678" i="9"/>
  <c r="S678" i="9"/>
  <c r="Y467" i="9"/>
  <c r="X467" i="9"/>
  <c r="BA641" i="9"/>
  <c r="P641" i="9"/>
  <c r="X150" i="9"/>
  <c r="Y150" i="9"/>
  <c r="AX928" i="9"/>
  <c r="O928" i="9"/>
  <c r="S4" i="9"/>
  <c r="BB4" i="9"/>
  <c r="BB868" i="9"/>
  <c r="R927" i="9"/>
  <c r="Q927" i="9"/>
  <c r="P255" i="9"/>
  <c r="AZ255" i="9"/>
  <c r="Y454" i="9"/>
  <c r="X454" i="9"/>
  <c r="R504" i="9"/>
  <c r="Q504" i="9"/>
  <c r="AZ8" i="9"/>
  <c r="P8" i="9"/>
  <c r="R634" i="9"/>
  <c r="Q634" i="9"/>
  <c r="R155" i="9"/>
  <c r="Q155" i="9"/>
  <c r="BB525" i="9"/>
  <c r="S525" i="9"/>
  <c r="AX425" i="9"/>
  <c r="O425" i="9"/>
  <c r="X355" i="9"/>
  <c r="Y355" i="9"/>
  <c r="P388" i="9"/>
  <c r="AZ388" i="9"/>
  <c r="AZ72" i="9"/>
  <c r="P72" i="9"/>
  <c r="P168" i="9"/>
  <c r="AZ168" i="9"/>
  <c r="P156" i="9"/>
  <c r="AZ156" i="9"/>
  <c r="V840" i="9"/>
  <c r="Z840" i="9"/>
  <c r="BD840" i="9"/>
  <c r="W840" i="9"/>
  <c r="S332" i="9"/>
  <c r="BB332" i="9"/>
  <c r="S300" i="9"/>
  <c r="BB300" i="9"/>
  <c r="X588" i="9"/>
  <c r="AA588" i="9"/>
  <c r="Y588" i="9"/>
  <c r="AB588" i="9"/>
  <c r="X198" i="9"/>
  <c r="AA198" i="9"/>
  <c r="Y198" i="9"/>
  <c r="AB198" i="9"/>
  <c r="S93" i="9"/>
  <c r="BB93" i="9"/>
  <c r="S498" i="9"/>
  <c r="BB498" i="9"/>
  <c r="S941" i="9"/>
  <c r="BB941" i="9"/>
  <c r="Y707" i="9"/>
  <c r="X707" i="9"/>
  <c r="Y711" i="9"/>
  <c r="X711" i="9"/>
  <c r="BD576" i="9"/>
  <c r="W576" i="9"/>
  <c r="V576" i="9"/>
  <c r="Z576" i="9"/>
  <c r="BB359" i="9"/>
  <c r="S359" i="9"/>
  <c r="Y290" i="9"/>
  <c r="X290" i="9"/>
  <c r="P107" i="9"/>
  <c r="AZ107" i="9"/>
  <c r="AZ271" i="9"/>
  <c r="P271" i="9"/>
  <c r="S477" i="9"/>
  <c r="BB477" i="9"/>
  <c r="AZ637" i="9"/>
  <c r="P637" i="9"/>
  <c r="S397" i="9"/>
  <c r="BB397" i="9"/>
  <c r="AZ657" i="9"/>
  <c r="P657" i="9"/>
  <c r="S666" i="9"/>
  <c r="BB666" i="9"/>
  <c r="Q923" i="9"/>
  <c r="R923" i="9"/>
  <c r="S28" i="9"/>
  <c r="BB28" i="9"/>
  <c r="BD642" i="9"/>
  <c r="O203" i="9"/>
  <c r="AX203" i="9"/>
  <c r="S336" i="9"/>
  <c r="BB336" i="9"/>
  <c r="AZ798" i="9"/>
  <c r="P798" i="9"/>
  <c r="V141" i="9"/>
  <c r="Z141" i="9"/>
  <c r="BD141" i="9"/>
  <c r="W141" i="9"/>
  <c r="AZ460" i="9"/>
  <c r="P460" i="9"/>
  <c r="Y550" i="9"/>
  <c r="X550" i="9"/>
  <c r="P623" i="9"/>
  <c r="AZ623" i="9"/>
  <c r="AZ648" i="9"/>
  <c r="P648" i="9"/>
  <c r="P225" i="9"/>
  <c r="AZ225" i="9"/>
  <c r="AZ405" i="9"/>
  <c r="P405" i="9"/>
  <c r="V178" i="9"/>
  <c r="Z178" i="9"/>
  <c r="BD178" i="9"/>
  <c r="W178" i="9"/>
  <c r="Q468" i="9"/>
  <c r="R468" i="9"/>
  <c r="S469" i="9"/>
  <c r="BB469" i="9"/>
  <c r="BB406" i="9"/>
  <c r="S406" i="9"/>
  <c r="BB224" i="9"/>
  <c r="S224" i="9"/>
  <c r="AX56" i="9"/>
  <c r="O56" i="9"/>
  <c r="R696" i="9"/>
  <c r="Q696" i="9"/>
  <c r="AZ816" i="9"/>
  <c r="P816" i="9"/>
  <c r="Y6" i="9"/>
  <c r="X6" i="9"/>
  <c r="AZ548" i="9"/>
  <c r="P548" i="9"/>
  <c r="AZ456" i="9"/>
  <c r="P456" i="9"/>
  <c r="AY496" i="9"/>
  <c r="O496" i="9"/>
  <c r="AB956" i="9"/>
  <c r="AZ683" i="9"/>
  <c r="P683" i="9"/>
  <c r="P98" i="9"/>
  <c r="AZ98" i="9"/>
  <c r="P846" i="9"/>
  <c r="AZ846" i="9"/>
  <c r="Q922" i="9"/>
  <c r="R922" i="9"/>
  <c r="P139" i="9"/>
  <c r="AZ139" i="9"/>
  <c r="P650" i="9"/>
  <c r="AZ650" i="9"/>
  <c r="BB673" i="9"/>
  <c r="S673" i="9"/>
  <c r="AX704" i="9"/>
  <c r="O704" i="9"/>
  <c r="AX289" i="9"/>
  <c r="O289" i="9"/>
  <c r="Q484" i="9"/>
  <c r="R484" i="9"/>
  <c r="AH50" i="9"/>
  <c r="P948" i="9"/>
  <c r="AZ948" i="9"/>
  <c r="P684" i="9"/>
  <c r="AZ684" i="9"/>
  <c r="Y457" i="9"/>
  <c r="X457" i="9"/>
  <c r="AZ737" i="9"/>
  <c r="P737" i="9"/>
  <c r="BB200" i="9"/>
  <c r="S200" i="9"/>
  <c r="Q529" i="9"/>
  <c r="R529" i="9"/>
  <c r="P822" i="9"/>
  <c r="AZ822" i="9"/>
  <c r="BD165" i="9"/>
  <c r="W165" i="9"/>
  <c r="V165" i="9"/>
  <c r="Z165" i="9"/>
  <c r="P259" i="9"/>
  <c r="AZ259" i="9"/>
  <c r="AZ319" i="9"/>
  <c r="P319" i="9"/>
  <c r="AZ909" i="9"/>
  <c r="P909" i="9"/>
  <c r="BB626" i="9"/>
  <c r="S626" i="9"/>
  <c r="R117" i="9"/>
  <c r="Q117" i="9"/>
  <c r="AZ265" i="9"/>
  <c r="P265" i="9"/>
  <c r="BD10" i="9"/>
  <c r="W10" i="9"/>
  <c r="V10" i="9"/>
  <c r="Z10" i="9"/>
  <c r="AZ339" i="9"/>
  <c r="P339" i="9"/>
  <c r="P85" i="9"/>
  <c r="AZ85" i="9"/>
  <c r="R768" i="9"/>
  <c r="Q768" i="9"/>
  <c r="BB422" i="9"/>
  <c r="S422" i="9"/>
  <c r="S154" i="9"/>
  <c r="BB154" i="9"/>
  <c r="R210" i="9"/>
  <c r="Q210" i="9"/>
  <c r="AZ725" i="9"/>
  <c r="P725" i="9"/>
  <c r="AZ365" i="9"/>
  <c r="P365" i="9"/>
  <c r="P149" i="9"/>
  <c r="AZ149" i="9"/>
  <c r="BB838" i="9"/>
  <c r="S838" i="9"/>
  <c r="AZ559" i="9"/>
  <c r="P559" i="9"/>
  <c r="Y14" i="9"/>
  <c r="X14" i="9"/>
  <c r="Q785" i="9"/>
  <c r="R785" i="9"/>
  <c r="S399" i="9"/>
  <c r="BB399" i="9"/>
  <c r="Y541" i="9"/>
  <c r="X541" i="9"/>
  <c r="AZ880" i="9"/>
  <c r="P880" i="9"/>
  <c r="P173" i="9"/>
  <c r="AZ173" i="9"/>
  <c r="AX676" i="9"/>
  <c r="O676" i="9"/>
  <c r="S501" i="9"/>
  <c r="BB501" i="9"/>
  <c r="AZ845" i="9"/>
  <c r="P845" i="9"/>
  <c r="AY775" i="9"/>
  <c r="O775" i="9"/>
  <c r="R592" i="9"/>
  <c r="Q592" i="9"/>
  <c r="S129" i="9"/>
  <c r="BB129" i="9"/>
  <c r="BB131" i="9"/>
  <c r="S131" i="9"/>
  <c r="P551" i="9"/>
  <c r="AZ551" i="9"/>
  <c r="Q84" i="9"/>
  <c r="R84" i="9"/>
  <c r="P547" i="9"/>
  <c r="AZ547" i="9"/>
  <c r="BA515" i="9"/>
  <c r="P515" i="9"/>
  <c r="S16" i="9"/>
  <c r="BB16" i="9"/>
  <c r="S995" i="9"/>
  <c r="BB995" i="9"/>
  <c r="AZ369" i="9"/>
  <c r="P369" i="9"/>
  <c r="AZ413" i="9"/>
  <c r="P413" i="9"/>
  <c r="AZ568" i="9"/>
  <c r="P568" i="9"/>
  <c r="BD715" i="9"/>
  <c r="W715" i="9"/>
  <c r="V715" i="9"/>
  <c r="Z715" i="9"/>
  <c r="AX640" i="9"/>
  <c r="O640" i="9"/>
  <c r="S375" i="9"/>
  <c r="BB375" i="9"/>
  <c r="V663" i="9"/>
  <c r="Z663" i="9"/>
  <c r="BD663" i="9"/>
  <c r="W663" i="9"/>
  <c r="V643" i="9"/>
  <c r="Z643" i="9"/>
  <c r="BD643" i="9"/>
  <c r="W643" i="9"/>
  <c r="AZ167" i="9"/>
  <c r="P167" i="9"/>
  <c r="AZ602" i="9"/>
  <c r="P602" i="9"/>
  <c r="AY659" i="9"/>
  <c r="O659" i="9"/>
  <c r="AZ996" i="9"/>
  <c r="P996" i="9"/>
  <c r="AY500" i="9"/>
  <c r="O500" i="9"/>
  <c r="BD724" i="9"/>
  <c r="W724" i="9"/>
  <c r="V724" i="9"/>
  <c r="Z724" i="9"/>
  <c r="S412" i="9"/>
  <c r="BB412" i="9"/>
  <c r="BB965" i="9"/>
  <c r="S965" i="9"/>
  <c r="AZ914" i="9"/>
  <c r="P914" i="9"/>
  <c r="AZ197" i="9"/>
  <c r="P197" i="9"/>
  <c r="V872" i="9"/>
  <c r="Z872" i="9"/>
  <c r="BD872" i="9"/>
  <c r="W872" i="9"/>
  <c r="AX955" i="9"/>
  <c r="O955" i="9"/>
  <c r="AZ709" i="9"/>
  <c r="P709" i="9"/>
  <c r="P860" i="9"/>
  <c r="AZ860" i="9"/>
  <c r="R886" i="9"/>
  <c r="Q886" i="9"/>
  <c r="AY966" i="9"/>
  <c r="O966" i="9"/>
  <c r="AX818" i="9"/>
  <c r="O818" i="9"/>
  <c r="BB776" i="9"/>
  <c r="P144" i="9"/>
  <c r="AZ144" i="9"/>
  <c r="AX96" i="9"/>
  <c r="O96" i="9"/>
  <c r="AZ1000" i="9"/>
  <c r="P1000" i="9"/>
  <c r="BC334" i="9"/>
  <c r="S334" i="9"/>
  <c r="P819" i="9"/>
  <c r="AZ819" i="9"/>
  <c r="X745" i="9"/>
  <c r="Y745" i="9"/>
  <c r="AZ863" i="9"/>
  <c r="P863" i="9"/>
  <c r="AZ646" i="9"/>
  <c r="P646" i="9"/>
  <c r="AZ567" i="9"/>
  <c r="P567" i="9"/>
  <c r="BB775" i="9"/>
  <c r="R207" i="9"/>
  <c r="Q207" i="9"/>
  <c r="Q526" i="9"/>
  <c r="R526" i="9"/>
  <c r="P160" i="9"/>
  <c r="AZ160" i="9"/>
  <c r="Y719" i="9"/>
  <c r="X719" i="9"/>
  <c r="P38" i="9"/>
  <c r="AZ38" i="9"/>
  <c r="BA685" i="9"/>
  <c r="P685" i="9"/>
  <c r="Y765" i="9"/>
  <c r="X765" i="9"/>
  <c r="S755" i="9"/>
  <c r="BB755" i="9"/>
  <c r="S274" i="9"/>
  <c r="BB274" i="9"/>
  <c r="AY986" i="9"/>
  <c r="O986" i="9"/>
  <c r="BB371" i="9"/>
  <c r="AZ594" i="9"/>
  <c r="P594" i="9"/>
  <c r="AZ787" i="9"/>
  <c r="P787" i="9"/>
  <c r="BD467" i="9"/>
  <c r="W467" i="9"/>
  <c r="V467" i="9"/>
  <c r="Z467" i="9"/>
  <c r="AX163" i="9"/>
  <c r="O163" i="9"/>
  <c r="BB841" i="9"/>
  <c r="S509" i="9"/>
  <c r="BB509" i="9"/>
  <c r="AX927" i="9"/>
  <c r="O927" i="9"/>
  <c r="BB410" i="9"/>
  <c r="S410" i="9"/>
  <c r="BD454" i="9"/>
  <c r="W454" i="9"/>
  <c r="V454" i="9"/>
  <c r="Z454" i="9"/>
  <c r="AY504" i="9"/>
  <c r="O504" i="9"/>
  <c r="AZ864" i="9"/>
  <c r="P864" i="9"/>
  <c r="AX634" i="9"/>
  <c r="O634" i="9"/>
  <c r="AZ849" i="9"/>
  <c r="P849" i="9"/>
  <c r="AE480" i="9"/>
  <c r="AF480" i="9"/>
  <c r="AH480" i="9"/>
  <c r="AG480" i="9"/>
  <c r="R425" i="9"/>
  <c r="Q425" i="9"/>
  <c r="BD355" i="9"/>
  <c r="W355" i="9"/>
  <c r="V355" i="9"/>
  <c r="Z355" i="9"/>
  <c r="P143" i="9"/>
  <c r="AZ143" i="9"/>
  <c r="P71" i="9"/>
  <c r="AZ71" i="9"/>
  <c r="BB219" i="9"/>
  <c r="S219" i="9"/>
  <c r="AZ906" i="9"/>
  <c r="P906" i="9"/>
  <c r="BD784" i="9"/>
  <c r="W784" i="9"/>
  <c r="V784" i="9"/>
  <c r="Z784" i="9"/>
  <c r="AZ584" i="9"/>
  <c r="P584" i="9"/>
  <c r="AZ331" i="9"/>
  <c r="P331" i="9"/>
  <c r="P609" i="9"/>
  <c r="AZ609" i="9"/>
  <c r="BB367" i="9"/>
  <c r="P43" i="9"/>
  <c r="AZ43" i="9"/>
  <c r="AZ977" i="9"/>
  <c r="P977" i="9"/>
  <c r="BB814" i="9"/>
  <c r="S814" i="9"/>
  <c r="AZ867" i="9"/>
  <c r="P867" i="9"/>
  <c r="P166" i="9"/>
  <c r="AZ166" i="9"/>
  <c r="BB749" i="9"/>
  <c r="S749" i="9"/>
  <c r="BD707" i="9"/>
  <c r="W707" i="9"/>
  <c r="V707" i="9"/>
  <c r="Z707" i="9"/>
  <c r="AZ620" i="9"/>
  <c r="P620" i="9"/>
  <c r="BD711" i="9"/>
  <c r="W711" i="9"/>
  <c r="V711" i="9"/>
  <c r="Z711" i="9"/>
  <c r="R874" i="9"/>
  <c r="Q874" i="9"/>
  <c r="X608" i="9"/>
  <c r="Y608" i="9"/>
  <c r="AZ435" i="9"/>
  <c r="P435" i="9"/>
  <c r="AZ552" i="9"/>
  <c r="P552" i="9"/>
  <c r="BA998" i="9"/>
  <c r="P998" i="9"/>
  <c r="AZ544" i="9"/>
  <c r="P544" i="9"/>
  <c r="S481" i="9"/>
  <c r="BB481" i="9"/>
  <c r="V290" i="9"/>
  <c r="Z290" i="9"/>
  <c r="BD290" i="9"/>
  <c r="W290" i="9"/>
  <c r="BB414" i="9"/>
  <c r="S414" i="9"/>
  <c r="BB520" i="9"/>
  <c r="S520" i="9"/>
  <c r="Y915" i="9"/>
  <c r="X915" i="9"/>
  <c r="AZ214" i="9"/>
  <c r="P214" i="9"/>
  <c r="BD614" i="9"/>
  <c r="W614" i="9"/>
  <c r="V614" i="9"/>
  <c r="Z614" i="9"/>
  <c r="P392" i="9"/>
  <c r="AZ392" i="9"/>
  <c r="AX923" i="9"/>
  <c r="O923" i="9"/>
  <c r="Y446" i="9"/>
  <c r="X446" i="9"/>
  <c r="S933" i="9"/>
  <c r="BB933" i="9"/>
  <c r="P280" i="9"/>
  <c r="AZ280" i="9"/>
  <c r="P151" i="9"/>
  <c r="AZ151" i="9"/>
  <c r="P113" i="9"/>
  <c r="AZ113" i="9"/>
  <c r="R203" i="9"/>
  <c r="Q203" i="9"/>
  <c r="BB182" i="9"/>
  <c r="S182" i="9"/>
  <c r="BB674" i="9"/>
  <c r="R185" i="9"/>
  <c r="Q185" i="9"/>
  <c r="BD550" i="9"/>
  <c r="W550" i="9"/>
  <c r="V550" i="9"/>
  <c r="Z550" i="9"/>
  <c r="P157" i="9"/>
  <c r="AZ157" i="9"/>
  <c r="BB865" i="9"/>
  <c r="S865" i="9"/>
  <c r="BB706" i="9"/>
  <c r="S706" i="9"/>
  <c r="BB556" i="9"/>
  <c r="S556" i="9"/>
  <c r="Y322" i="9"/>
  <c r="X322" i="9"/>
  <c r="AZ285" i="9"/>
  <c r="P285" i="9"/>
  <c r="AY468" i="9"/>
  <c r="O468" i="9"/>
  <c r="BB537" i="9"/>
  <c r="S537" i="9"/>
  <c r="BB691" i="9"/>
  <c r="S691" i="9"/>
  <c r="AZ36" i="9"/>
  <c r="P36" i="9"/>
  <c r="P286" i="9"/>
  <c r="AZ286" i="9"/>
  <c r="R56" i="9"/>
  <c r="Q56" i="9"/>
  <c r="AX696" i="9"/>
  <c r="O696" i="9"/>
  <c r="AX897" i="9"/>
  <c r="O897" i="9"/>
  <c r="S853" i="9"/>
  <c r="BB853" i="9"/>
  <c r="BD6" i="9"/>
  <c r="W6" i="9"/>
  <c r="V6" i="9"/>
  <c r="Z6" i="9"/>
  <c r="BB235" i="9"/>
  <c r="S235" i="9"/>
  <c r="BB407" i="9"/>
  <c r="S407" i="9"/>
  <c r="AZ879" i="9"/>
  <c r="P879" i="9"/>
  <c r="P201" i="9"/>
  <c r="AZ201" i="9"/>
  <c r="O262" i="9"/>
  <c r="AX262" i="9"/>
  <c r="Y888" i="9"/>
  <c r="X888" i="9"/>
  <c r="AA314" i="9"/>
  <c r="S797" i="9"/>
  <c r="BB797" i="9"/>
  <c r="AZ612" i="9"/>
  <c r="P612" i="9"/>
  <c r="P753" i="9"/>
  <c r="AZ753" i="9"/>
  <c r="P557" i="9"/>
  <c r="AZ557" i="9"/>
  <c r="P604" i="9"/>
  <c r="AZ604" i="9"/>
  <c r="AX922" i="9"/>
  <c r="O922" i="9"/>
  <c r="P79" i="9"/>
  <c r="AZ79" i="9"/>
  <c r="AZ7" i="9"/>
  <c r="P7" i="9"/>
  <c r="AZ681" i="9"/>
  <c r="P681" i="9"/>
  <c r="P990" i="9"/>
  <c r="AZ990" i="9"/>
  <c r="Q492" i="9"/>
  <c r="R492" i="9"/>
  <c r="R289" i="9"/>
  <c r="Q289" i="9"/>
  <c r="AX87" i="9"/>
  <c r="O87" i="9"/>
  <c r="P827" i="9"/>
  <c r="AZ827" i="9"/>
  <c r="AX111" i="9"/>
  <c r="O111" i="9"/>
  <c r="AZ861" i="9"/>
  <c r="P861" i="9"/>
  <c r="S276" i="9"/>
  <c r="BB276" i="9"/>
  <c r="V457" i="9"/>
  <c r="Z457" i="9"/>
  <c r="BD457" i="9"/>
  <c r="W457" i="9"/>
  <c r="AZ32" i="9"/>
  <c r="P32" i="9"/>
  <c r="AZ766" i="9"/>
  <c r="P766" i="9"/>
  <c r="Q371" i="9"/>
  <c r="R371" i="9"/>
  <c r="AZ230" i="9"/>
  <c r="P230" i="9"/>
  <c r="BD735" i="9"/>
  <c r="W735" i="9"/>
  <c r="V735" i="9"/>
  <c r="Z735" i="9"/>
  <c r="Y49" i="9"/>
  <c r="AB49" i="9"/>
  <c r="X49" i="9"/>
  <c r="P635" i="9"/>
  <c r="AZ635" i="9"/>
  <c r="BA507" i="9"/>
  <c r="P507" i="9"/>
  <c r="AX169" i="9"/>
  <c r="O169" i="9"/>
  <c r="R528" i="9"/>
  <c r="Q528" i="9"/>
  <c r="R562" i="9"/>
  <c r="Q562" i="9"/>
  <c r="S758" i="9"/>
  <c r="BB758" i="9"/>
  <c r="Y164" i="9"/>
  <c r="AB164" i="9"/>
  <c r="X164" i="9"/>
  <c r="AZ1002" i="9"/>
  <c r="P1002" i="9"/>
  <c r="AZ982" i="9"/>
  <c r="P982" i="9"/>
  <c r="P701" i="9"/>
  <c r="AZ701" i="9"/>
  <c r="Y239" i="9"/>
  <c r="X239" i="9"/>
  <c r="AA239" i="9"/>
  <c r="Q350" i="9"/>
  <c r="R350" i="9"/>
  <c r="BD847" i="9"/>
  <c r="W847" i="9"/>
  <c r="V847" i="9"/>
  <c r="Z847" i="9"/>
  <c r="BB878" i="9"/>
  <c r="S878" i="9"/>
  <c r="AZ177" i="9"/>
  <c r="P177" i="9"/>
  <c r="BB671" i="9"/>
  <c r="P130" i="9"/>
  <c r="AZ130" i="9"/>
  <c r="BB294" i="9"/>
  <c r="S294" i="9"/>
  <c r="BD34" i="9"/>
  <c r="W34" i="9"/>
  <c r="V34" i="9"/>
  <c r="Z34" i="9"/>
  <c r="Y703" i="9"/>
  <c r="X703" i="9"/>
  <c r="S474" i="9"/>
  <c r="BB474" i="9"/>
  <c r="S760" i="9"/>
  <c r="BB760" i="9"/>
  <c r="Y873" i="9"/>
  <c r="X873" i="9"/>
  <c r="AX563" i="9"/>
  <c r="O563" i="9"/>
  <c r="S493" i="9"/>
  <c r="BB493" i="9"/>
  <c r="BD873" i="9"/>
  <c r="W873" i="9"/>
  <c r="V873" i="9"/>
  <c r="Z873" i="9"/>
  <c r="BB743" i="9"/>
  <c r="S743" i="9"/>
  <c r="P542" i="9"/>
  <c r="AZ542" i="9"/>
  <c r="P441" i="9"/>
  <c r="AZ441" i="9"/>
  <c r="BB100" i="9"/>
  <c r="S100" i="9"/>
  <c r="AZ361" i="9"/>
  <c r="P361" i="9"/>
  <c r="P748" i="9"/>
  <c r="AZ748" i="9"/>
  <c r="P633" i="9"/>
  <c r="AZ633" i="9"/>
  <c r="BD14" i="9"/>
  <c r="W14" i="9"/>
  <c r="V14" i="9"/>
  <c r="Z14" i="9"/>
  <c r="P217" i="9"/>
  <c r="AZ217" i="9"/>
  <c r="BB670" i="9"/>
  <c r="S670" i="9"/>
  <c r="V541" i="9"/>
  <c r="Z541" i="9"/>
  <c r="BD541" i="9"/>
  <c r="W541" i="9"/>
  <c r="P889" i="9"/>
  <c r="AZ889" i="9"/>
  <c r="P535" i="9"/>
  <c r="AZ535" i="9"/>
  <c r="R896" i="9"/>
  <c r="Q896" i="9"/>
  <c r="O592" i="9"/>
  <c r="AX592" i="9"/>
  <c r="AZ603" i="9"/>
  <c r="P603" i="9"/>
  <c r="BD890" i="9"/>
  <c r="W890" i="9"/>
  <c r="V890" i="9"/>
  <c r="Z890" i="9"/>
  <c r="AZ417" i="9"/>
  <c r="P417" i="9"/>
  <c r="P858" i="9"/>
  <c r="AZ858" i="9"/>
  <c r="AZ242" i="9"/>
  <c r="P242" i="9"/>
  <c r="BB302" i="9"/>
  <c r="S302" i="9"/>
  <c r="R561" i="9"/>
  <c r="Q561" i="9"/>
  <c r="P62" i="9"/>
  <c r="AZ62" i="9"/>
  <c r="BD508" i="9"/>
  <c r="Y715" i="9"/>
  <c r="X715" i="9"/>
  <c r="BB358" i="9"/>
  <c r="S358" i="9"/>
  <c r="R640" i="9"/>
  <c r="Q640" i="9"/>
  <c r="Y442" i="9"/>
  <c r="X442" i="9"/>
  <c r="Y663" i="9"/>
  <c r="AB663" i="9"/>
  <c r="X663" i="9"/>
  <c r="AA663" i="9"/>
  <c r="X643" i="9"/>
  <c r="Y643" i="9"/>
  <c r="AB643" i="9"/>
  <c r="Y42" i="9"/>
  <c r="X42" i="9"/>
  <c r="AZ672" i="9"/>
  <c r="P672" i="9"/>
  <c r="Y310" i="9"/>
  <c r="X310" i="9"/>
  <c r="AZ512" i="9"/>
  <c r="P512" i="9"/>
  <c r="Y18" i="9"/>
  <c r="X18" i="9"/>
  <c r="R994" i="9"/>
  <c r="Q994" i="9"/>
  <c r="Y724" i="9"/>
  <c r="X724" i="9"/>
  <c r="P625" i="9"/>
  <c r="AZ625" i="9"/>
  <c r="AZ558" i="9"/>
  <c r="P558" i="9"/>
  <c r="AX211" i="9"/>
  <c r="O211" i="9"/>
  <c r="P826" i="9"/>
  <c r="AZ826" i="9"/>
  <c r="P450" i="9"/>
  <c r="AZ450" i="9"/>
  <c r="R955" i="9"/>
  <c r="Q955" i="9"/>
  <c r="R868" i="9"/>
  <c r="Q868" i="9"/>
  <c r="BD964" i="9"/>
  <c r="P78" i="9"/>
  <c r="AZ78" i="9"/>
  <c r="R818" i="9"/>
  <c r="Q818" i="9"/>
  <c r="R96" i="9"/>
  <c r="Q96" i="9"/>
  <c r="AZ222" i="9"/>
  <c r="P222" i="9"/>
  <c r="Y61" i="9"/>
  <c r="X61" i="9"/>
  <c r="BB192" i="9"/>
  <c r="S192" i="9"/>
  <c r="V745" i="9"/>
  <c r="Z745" i="9"/>
  <c r="BD745" i="9"/>
  <c r="W745" i="9"/>
  <c r="P979" i="9"/>
  <c r="AZ979" i="9"/>
  <c r="AZ606" i="9"/>
  <c r="P606" i="9"/>
  <c r="BA503" i="9"/>
  <c r="P503" i="9"/>
  <c r="S48" i="9"/>
  <c r="BB48" i="9"/>
  <c r="O526" i="9"/>
  <c r="AX526" i="9"/>
  <c r="AA215" i="9"/>
  <c r="AZ924" i="9"/>
  <c r="P924" i="9"/>
  <c r="R931" i="9"/>
  <c r="Q931" i="9"/>
  <c r="AZ905" i="9"/>
  <c r="P905" i="9"/>
  <c r="BB227" i="9"/>
  <c r="S227" i="9"/>
  <c r="BD765" i="9"/>
  <c r="W765" i="9"/>
  <c r="V765" i="9"/>
  <c r="Z765" i="9"/>
  <c r="AX186" i="9"/>
  <c r="O186" i="9"/>
  <c r="P386" i="9"/>
  <c r="AZ386" i="9"/>
  <c r="P5" i="9"/>
  <c r="AZ5" i="9"/>
  <c r="R163" i="9"/>
  <c r="Q163" i="9"/>
  <c r="S482" i="9"/>
  <c r="BB482" i="9"/>
  <c r="BC963" i="9"/>
  <c r="S963" i="9"/>
  <c r="P571" i="9"/>
  <c r="AZ571" i="9"/>
  <c r="Y579" i="9"/>
  <c r="X579" i="9"/>
  <c r="P135" i="9"/>
  <c r="AZ135" i="9"/>
  <c r="AX893" i="9"/>
  <c r="O893" i="9"/>
  <c r="P543" i="9"/>
  <c r="AZ543" i="9"/>
  <c r="AZ421" i="9"/>
  <c r="P421" i="9"/>
  <c r="X784" i="9"/>
  <c r="AA784" i="9"/>
  <c r="Y784" i="9"/>
  <c r="S40" i="9"/>
  <c r="BB40" i="9"/>
  <c r="P47" i="9"/>
  <c r="AZ47" i="9"/>
  <c r="AZ486" i="9"/>
  <c r="P486" i="9"/>
  <c r="AZ727" i="9"/>
  <c r="P727" i="9"/>
  <c r="P949" i="9"/>
  <c r="AZ949" i="9"/>
  <c r="AZ402" i="9"/>
  <c r="P402" i="9"/>
  <c r="BC475" i="9"/>
  <c r="S475" i="9"/>
  <c r="BD383" i="9"/>
  <c r="W383" i="9"/>
  <c r="V383" i="9"/>
  <c r="Z383" i="9"/>
  <c r="AE326" i="9"/>
  <c r="AF326" i="9"/>
  <c r="AH326" i="9"/>
  <c r="AG326" i="9"/>
  <c r="AZ327" i="9"/>
  <c r="P327" i="9"/>
  <c r="P101" i="9"/>
  <c r="AZ101" i="9"/>
  <c r="AX874" i="9"/>
  <c r="O874" i="9"/>
  <c r="BD608" i="9"/>
  <c r="W608" i="9"/>
  <c r="V608" i="9"/>
  <c r="Z608" i="9"/>
  <c r="BB805" i="9"/>
  <c r="S805" i="9"/>
  <c r="AZ238" i="9"/>
  <c r="P238" i="9"/>
  <c r="P63" i="9"/>
  <c r="AZ63" i="9"/>
  <c r="R720" i="9"/>
  <c r="Q720" i="9"/>
  <c r="X739" i="9"/>
  <c r="Y739" i="9"/>
  <c r="AZ726" i="9"/>
  <c r="P726" i="9"/>
  <c r="AZ335" i="9"/>
  <c r="P335" i="9"/>
  <c r="BD915" i="9"/>
  <c r="W915" i="9"/>
  <c r="V915" i="9"/>
  <c r="Z915" i="9"/>
  <c r="BB713" i="9"/>
  <c r="S713" i="9"/>
  <c r="X614" i="9"/>
  <c r="Y614" i="9"/>
  <c r="AB614" i="9"/>
  <c r="AZ875" i="9"/>
  <c r="P875" i="9"/>
  <c r="BA479" i="9"/>
  <c r="P479" i="9"/>
  <c r="BB997" i="9"/>
  <c r="S997" i="9"/>
  <c r="BD446" i="9"/>
  <c r="W446" i="9"/>
  <c r="V446" i="9"/>
  <c r="Z446" i="9"/>
  <c r="BB341" i="9"/>
  <c r="S341" i="9"/>
  <c r="AZ31" i="9"/>
  <c r="P31" i="9"/>
  <c r="AX185" i="9"/>
  <c r="O185" i="9"/>
  <c r="BB842" i="9"/>
  <c r="S842" i="9"/>
  <c r="P270" i="9"/>
  <c r="AZ270" i="9"/>
  <c r="AZ698" i="9"/>
  <c r="P698" i="9"/>
  <c r="BB213" i="9"/>
  <c r="S213" i="9"/>
  <c r="S795" i="9"/>
  <c r="BB795" i="9"/>
  <c r="BD322" i="9"/>
  <c r="W322" i="9"/>
  <c r="V322" i="9"/>
  <c r="Z322" i="9"/>
  <c r="Y145" i="9"/>
  <c r="X145" i="9"/>
  <c r="Y596" i="9"/>
  <c r="X596" i="9"/>
  <c r="AX651" i="9"/>
  <c r="O651" i="9"/>
  <c r="BA511" i="9"/>
  <c r="P511" i="9"/>
  <c r="AX133" i="9"/>
  <c r="O133" i="9"/>
  <c r="P522" i="9"/>
  <c r="AZ522" i="9"/>
  <c r="Q897" i="9"/>
  <c r="R897" i="9"/>
  <c r="BB929" i="9"/>
  <c r="S929" i="9"/>
  <c r="R262" i="9"/>
  <c r="Q262" i="9"/>
  <c r="P118" i="9"/>
  <c r="AZ118" i="9"/>
  <c r="BB385" i="9"/>
  <c r="S385" i="9"/>
  <c r="V888" i="9"/>
  <c r="Z888" i="9"/>
  <c r="BD888" i="9"/>
  <c r="W888" i="9"/>
  <c r="AB314" i="9"/>
  <c r="BA519" i="9"/>
  <c r="P519" i="9"/>
  <c r="AZ241" i="9"/>
  <c r="P241" i="9"/>
  <c r="P394" i="9"/>
  <c r="AZ394" i="9"/>
  <c r="BB664" i="9"/>
  <c r="S664" i="9"/>
  <c r="BB665" i="9"/>
  <c r="S665" i="9"/>
  <c r="BD998" i="9"/>
  <c r="BB717" i="9"/>
  <c r="S717" i="9"/>
  <c r="S759" i="9"/>
  <c r="BB759" i="9"/>
  <c r="BB313" i="9"/>
  <c r="S313" i="9"/>
  <c r="P248" i="9"/>
  <c r="AZ248" i="9"/>
  <c r="R158" i="9"/>
  <c r="Q158" i="9"/>
  <c r="AX187" i="9"/>
  <c r="O187" i="9"/>
  <c r="P362" i="9"/>
  <c r="AZ362" i="9"/>
  <c r="P91" i="9"/>
  <c r="AZ91" i="9"/>
  <c r="AX95" i="9"/>
  <c r="O95" i="9"/>
  <c r="AY492" i="9"/>
  <c r="O492" i="9"/>
  <c r="AZ80" i="9"/>
  <c r="P80" i="9"/>
  <c r="R87" i="9"/>
  <c r="Q87" i="9"/>
  <c r="P430" i="9"/>
  <c r="AZ430" i="9"/>
  <c r="Y165" i="9"/>
  <c r="X165" i="9"/>
  <c r="S376" i="9"/>
  <c r="BB376" i="9"/>
  <c r="R800" i="9"/>
  <c r="Q800" i="9"/>
  <c r="AZ988" i="9"/>
  <c r="P988" i="9"/>
  <c r="P112" i="9"/>
  <c r="AZ112" i="9"/>
  <c r="Y891" i="9"/>
  <c r="X891" i="9"/>
  <c r="BB196" i="9"/>
  <c r="S196" i="9"/>
  <c r="P574" i="9"/>
  <c r="AZ574" i="9"/>
  <c r="Q433" i="9"/>
  <c r="R433" i="9"/>
  <c r="P470" i="9"/>
  <c r="AZ470" i="9"/>
  <c r="Q731" i="9"/>
  <c r="R731" i="9"/>
  <c r="O264" i="9"/>
  <c r="AX264" i="9"/>
  <c r="AG491" i="9"/>
  <c r="AE491" i="9"/>
  <c r="AF491" i="9"/>
  <c r="AH491" i="9"/>
  <c r="BD851" i="9"/>
  <c r="W851" i="9"/>
  <c r="V851" i="9"/>
  <c r="Z851" i="9"/>
  <c r="P74" i="9"/>
  <c r="AZ74" i="9"/>
  <c r="O249" i="9"/>
  <c r="AX249" i="9"/>
  <c r="P205" i="9"/>
  <c r="AZ205" i="9"/>
  <c r="AZ712" i="9"/>
  <c r="P712" i="9"/>
  <c r="AZ267" i="9"/>
  <c r="P267" i="9"/>
  <c r="AZ390" i="9"/>
  <c r="P390" i="9"/>
  <c r="P428" i="9"/>
  <c r="AZ428" i="9"/>
  <c r="Q485" i="9"/>
  <c r="R485" i="9"/>
  <c r="BD967" i="9"/>
  <c r="W967" i="9"/>
  <c r="V967" i="9"/>
  <c r="Z967" i="9"/>
  <c r="BD590" i="9"/>
  <c r="W590" i="9"/>
  <c r="V590" i="9"/>
  <c r="Z590" i="9"/>
  <c r="AX896" i="9"/>
  <c r="O896" i="9"/>
  <c r="BD877" i="9"/>
  <c r="W877" i="9"/>
  <c r="V877" i="9"/>
  <c r="Z877" i="9"/>
  <c r="P462" i="9"/>
  <c r="AZ462" i="9"/>
  <c r="P862" i="9"/>
  <c r="AZ862" i="9"/>
  <c r="AX976" i="9"/>
  <c r="O976" i="9"/>
  <c r="X890" i="9"/>
  <c r="Y890" i="9"/>
  <c r="AX561" i="9"/>
  <c r="O561" i="9"/>
  <c r="V632" i="9"/>
  <c r="Z632" i="9"/>
  <c r="BD632" i="9"/>
  <c r="W632" i="9"/>
  <c r="AZ303" i="9"/>
  <c r="P303" i="9"/>
  <c r="AX147" i="9"/>
  <c r="O147" i="9"/>
  <c r="Q367" i="9"/>
  <c r="R367" i="9"/>
  <c r="BD618" i="9"/>
  <c r="W618" i="9"/>
  <c r="V618" i="9"/>
  <c r="Z618" i="9"/>
  <c r="BD442" i="9"/>
  <c r="W442" i="9"/>
  <c r="V442" i="9"/>
  <c r="Z442" i="9"/>
  <c r="S391" i="9"/>
  <c r="BB391" i="9"/>
  <c r="Y783" i="9"/>
  <c r="X783" i="9"/>
  <c r="P605" i="9"/>
  <c r="AZ605" i="9"/>
  <c r="Q776" i="9"/>
  <c r="R776" i="9"/>
  <c r="BD42" i="9"/>
  <c r="W42" i="9"/>
  <c r="V42" i="9"/>
  <c r="Z42" i="9"/>
  <c r="R856" i="9"/>
  <c r="Q856" i="9"/>
  <c r="P126" i="9"/>
  <c r="AZ126" i="9"/>
  <c r="Y65" i="9"/>
  <c r="X65" i="9"/>
  <c r="BD310" i="9"/>
  <c r="W310" i="9"/>
  <c r="V310" i="9"/>
  <c r="Z310" i="9"/>
  <c r="BD18" i="9"/>
  <c r="W18" i="9"/>
  <c r="V18" i="9"/>
  <c r="Z18" i="9"/>
  <c r="AY994" i="9"/>
  <c r="O994" i="9"/>
  <c r="R211" i="9"/>
  <c r="Q211" i="9"/>
  <c r="X679" i="9"/>
  <c r="Y679" i="9"/>
  <c r="AY868" i="9"/>
  <c r="O868" i="9"/>
  <c r="S918" i="9"/>
  <c r="BB918" i="9"/>
  <c r="X794" i="9"/>
  <c r="Y794" i="9"/>
  <c r="Y243" i="9"/>
  <c r="X243" i="9"/>
  <c r="AX171" i="9"/>
  <c r="O171" i="9"/>
  <c r="BD780" i="9"/>
  <c r="BB810" i="9"/>
  <c r="S810" i="9"/>
  <c r="BB714" i="9"/>
  <c r="S714" i="9"/>
  <c r="BB161" i="9"/>
  <c r="S161" i="9"/>
  <c r="P688" i="9"/>
  <c r="AZ688" i="9"/>
  <c r="BB283" i="9"/>
  <c r="S283" i="9"/>
  <c r="P885" i="9"/>
  <c r="AZ885" i="9"/>
  <c r="P581" i="9"/>
  <c r="AZ581" i="9"/>
  <c r="AZ616" i="9"/>
  <c r="P616" i="9"/>
  <c r="BD61" i="9"/>
  <c r="W61" i="9"/>
  <c r="V61" i="9"/>
  <c r="Z61" i="9"/>
  <c r="AZ246" i="9"/>
  <c r="P246" i="9"/>
  <c r="P892" i="9"/>
  <c r="AZ892" i="9"/>
  <c r="S312" i="9"/>
  <c r="BB312" i="9"/>
  <c r="Q999" i="9"/>
  <c r="R999" i="9"/>
  <c r="X772" i="9"/>
  <c r="Y772" i="9"/>
  <c r="AZ378" i="9"/>
  <c r="P378" i="9"/>
  <c r="AZ695" i="9"/>
  <c r="P695" i="9"/>
  <c r="AX114" i="9"/>
  <c r="O114" i="9"/>
  <c r="AB215" i="9"/>
  <c r="P839" i="9"/>
  <c r="AZ839" i="9"/>
  <c r="AX140" i="9"/>
  <c r="O140" i="9"/>
  <c r="AX931" i="9"/>
  <c r="O931" i="9"/>
  <c r="P21" i="9"/>
  <c r="AZ21" i="9"/>
  <c r="BB232" i="9"/>
  <c r="S232" i="9"/>
  <c r="S316" i="9"/>
  <c r="BB316" i="9"/>
  <c r="R186" i="9"/>
  <c r="Q186" i="9"/>
  <c r="BB983" i="9"/>
  <c r="S983" i="9"/>
  <c r="P88" i="9"/>
  <c r="AZ88" i="9"/>
  <c r="S44" i="9"/>
  <c r="BB44" i="9"/>
  <c r="O125" i="9"/>
  <c r="AX125" i="9"/>
  <c r="BB325" i="9"/>
  <c r="S325" i="9"/>
  <c r="V579" i="9"/>
  <c r="Z579" i="9"/>
  <c r="BD579" i="9"/>
  <c r="W579" i="9"/>
  <c r="R686" i="9"/>
  <c r="Q686" i="9"/>
  <c r="R893" i="9"/>
  <c r="Q893" i="9"/>
  <c r="AZ694" i="9"/>
  <c r="P694" i="9"/>
  <c r="BC953" i="9"/>
  <c r="S953" i="9"/>
  <c r="P850" i="9"/>
  <c r="AZ850" i="9"/>
  <c r="BB553" i="9"/>
  <c r="P751" i="9"/>
  <c r="AZ751" i="9"/>
  <c r="AB281" i="9"/>
  <c r="BD991" i="9"/>
  <c r="W991" i="9"/>
  <c r="V991" i="9"/>
  <c r="Z991" i="9"/>
  <c r="P649" i="9"/>
  <c r="AZ649" i="9"/>
  <c r="AZ311" i="9"/>
  <c r="P311" i="9"/>
  <c r="P538" i="9"/>
  <c r="AZ538" i="9"/>
  <c r="S344" i="9"/>
  <c r="BB344" i="9"/>
  <c r="AX815" i="9"/>
  <c r="O815" i="9"/>
  <c r="AZ293" i="9"/>
  <c r="P293" i="9"/>
  <c r="P23" i="9"/>
  <c r="AZ23" i="9"/>
  <c r="X383" i="9"/>
  <c r="AA383" i="9"/>
  <c r="Y383" i="9"/>
  <c r="AB383" i="9"/>
  <c r="P127" i="9"/>
  <c r="AZ127" i="9"/>
  <c r="BB599" i="9"/>
  <c r="S599" i="9"/>
  <c r="R899" i="9"/>
  <c r="Q899" i="9"/>
  <c r="BB437" i="9"/>
  <c r="S437" i="9"/>
  <c r="AX720" i="9"/>
  <c r="O720" i="9"/>
  <c r="BD739" i="9"/>
  <c r="W739" i="9"/>
  <c r="V739" i="9"/>
  <c r="Z739" i="9"/>
  <c r="BB485" i="9"/>
  <c r="BB317" i="9"/>
  <c r="S317" i="9"/>
  <c r="AZ464" i="9"/>
  <c r="P464" i="9"/>
  <c r="P102" i="9"/>
  <c r="AZ102" i="9"/>
  <c r="AX128" i="9"/>
  <c r="O128" i="9"/>
  <c r="P952" i="9"/>
  <c r="AZ952" i="9"/>
  <c r="AZ64" i="9"/>
  <c r="P64" i="9"/>
  <c r="AZ741" i="9"/>
  <c r="P741" i="9"/>
  <c r="S764" i="9"/>
  <c r="BB764" i="9"/>
  <c r="P66" i="9"/>
  <c r="AZ66" i="9"/>
  <c r="BB718" i="9"/>
  <c r="S718" i="9"/>
  <c r="P15" i="9"/>
  <c r="AZ15" i="9"/>
  <c r="S902" i="9"/>
  <c r="BB902" i="9"/>
  <c r="AZ191" i="9"/>
  <c r="P191" i="9"/>
  <c r="P801" i="9"/>
  <c r="AZ801" i="9"/>
  <c r="R708" i="9"/>
  <c r="Q708" i="9"/>
  <c r="AZ825" i="9"/>
  <c r="P825" i="9"/>
  <c r="AX136" i="9"/>
  <c r="O136" i="9"/>
  <c r="S639" i="9"/>
  <c r="BB639" i="9"/>
  <c r="AZ3" i="9"/>
  <c r="P3" i="9"/>
  <c r="AX806" i="9"/>
  <c r="O806" i="9"/>
  <c r="AZ693" i="9"/>
  <c r="P693" i="9"/>
  <c r="P572" i="9"/>
  <c r="AZ572" i="9"/>
  <c r="V145" i="9"/>
  <c r="Z145" i="9"/>
  <c r="BD145" i="9"/>
  <c r="W145" i="9"/>
  <c r="BD596" i="9"/>
  <c r="W596" i="9"/>
  <c r="V596" i="9"/>
  <c r="Z596" i="9"/>
  <c r="R651" i="9"/>
  <c r="Q651" i="9"/>
  <c r="P122" i="9"/>
  <c r="AZ122" i="9"/>
  <c r="BB631" i="9"/>
  <c r="AZ781" i="9"/>
  <c r="P781" i="9"/>
  <c r="R133" i="9"/>
  <c r="Q133" i="9"/>
  <c r="AZ752" i="9"/>
  <c r="P752" i="9"/>
  <c r="P116" i="9"/>
  <c r="AZ116" i="9"/>
  <c r="AZ218" i="9"/>
  <c r="P218" i="9"/>
  <c r="AG959" i="9"/>
  <c r="AE959" i="9"/>
  <c r="AF959" i="9"/>
  <c r="AH959" i="9"/>
  <c r="BB778" i="9"/>
  <c r="S778" i="9"/>
  <c r="X961" i="9"/>
  <c r="Y961" i="9"/>
  <c r="AZ950" i="9"/>
  <c r="P950" i="9"/>
  <c r="AX975" i="9"/>
  <c r="O975" i="9"/>
  <c r="Y876" i="9"/>
  <c r="X876" i="9"/>
  <c r="Y53" i="9"/>
  <c r="X53" i="9"/>
  <c r="BB733" i="9"/>
  <c r="S733" i="9"/>
  <c r="R401" i="9"/>
  <c r="Q401" i="9"/>
  <c r="Y932" i="9"/>
  <c r="X932" i="9"/>
  <c r="BB298" i="9"/>
  <c r="S298" i="9"/>
  <c r="BB366" i="9"/>
  <c r="S366" i="9"/>
  <c r="AA660" i="9"/>
  <c r="AZ295" i="9"/>
  <c r="P295" i="9"/>
  <c r="AX60" i="9"/>
  <c r="O60" i="9"/>
  <c r="Y488" i="9"/>
  <c r="X488" i="9"/>
  <c r="AX206" i="9"/>
  <c r="O206" i="9"/>
  <c r="AZ796" i="9"/>
  <c r="P796" i="9"/>
  <c r="Y17" i="9"/>
  <c r="X17" i="9"/>
  <c r="P463" i="9"/>
  <c r="AZ463" i="9"/>
  <c r="AZ817" i="9"/>
  <c r="P817" i="9"/>
  <c r="S287" i="9"/>
  <c r="BB287" i="9"/>
  <c r="O158" i="9"/>
  <c r="AX158" i="9"/>
  <c r="R187" i="9"/>
  <c r="Q187" i="9"/>
  <c r="AX957" i="9"/>
  <c r="O957" i="9"/>
  <c r="R95" i="9"/>
  <c r="Q95" i="9"/>
  <c r="Y26" i="9"/>
  <c r="X26" i="9"/>
  <c r="R83" i="9"/>
  <c r="Q83" i="9"/>
  <c r="AZ936" i="9"/>
  <c r="P936" i="9"/>
  <c r="X86" i="9"/>
  <c r="Y86" i="9"/>
  <c r="S416" i="9"/>
  <c r="BB416" i="9"/>
  <c r="Y869" i="9"/>
  <c r="AB869" i="9"/>
  <c r="X869" i="9"/>
  <c r="P284" i="9"/>
  <c r="AZ284" i="9"/>
  <c r="R111" i="9"/>
  <c r="Q111" i="9"/>
  <c r="R440" i="9"/>
  <c r="Q440" i="9"/>
  <c r="Q642" i="9"/>
  <c r="R642" i="9"/>
  <c r="BC895" i="9"/>
  <c r="S895" i="9"/>
  <c r="AZ237" i="9"/>
  <c r="P237" i="9"/>
  <c r="BB894" i="9"/>
  <c r="S894" i="9"/>
  <c r="AZ912" i="9"/>
  <c r="P912" i="9"/>
  <c r="AX721" i="9"/>
  <c r="O721" i="9"/>
  <c r="AZ920" i="9"/>
  <c r="P920" i="9"/>
  <c r="AZ645" i="9"/>
  <c r="P645" i="9"/>
  <c r="S627" i="9"/>
  <c r="BB627" i="9"/>
  <c r="BB710" i="9"/>
  <c r="S710" i="9"/>
  <c r="P569" i="9"/>
  <c r="AZ569" i="9"/>
  <c r="BD360" i="9"/>
  <c r="W360" i="9"/>
  <c r="V360" i="9"/>
  <c r="Z360" i="9"/>
  <c r="AX910" i="9"/>
  <c r="O910" i="9"/>
  <c r="S92" i="9"/>
  <c r="BB92" i="9"/>
  <c r="BB545" i="9"/>
  <c r="P152" i="9"/>
  <c r="AZ152" i="9"/>
  <c r="S199" i="9"/>
  <c r="BB199" i="9"/>
  <c r="AZ682" i="9"/>
  <c r="P682" i="9"/>
  <c r="V86" i="9"/>
  <c r="Z86" i="9"/>
  <c r="BD86" i="9"/>
  <c r="W86" i="9"/>
  <c r="AZ946" i="9"/>
  <c r="P946" i="9"/>
  <c r="X360" i="9"/>
  <c r="Y360" i="9"/>
  <c r="R910" i="9"/>
  <c r="Q910" i="9"/>
  <c r="R424" i="9"/>
  <c r="Q424" i="9"/>
  <c r="BB972" i="9"/>
  <c r="S972" i="9"/>
  <c r="AA342" i="9"/>
  <c r="P176" i="9"/>
  <c r="AZ176" i="9"/>
  <c r="P527" i="9"/>
  <c r="AZ527" i="9"/>
  <c r="AZ299" i="9"/>
  <c r="P299" i="9"/>
  <c r="X967" i="9"/>
  <c r="Y967" i="9"/>
  <c r="AZ193" i="9"/>
  <c r="P193" i="9"/>
  <c r="X590" i="9"/>
  <c r="AA590" i="9"/>
  <c r="Y590" i="9"/>
  <c r="BB231" i="9"/>
  <c r="S231" i="9"/>
  <c r="Y877" i="9"/>
  <c r="X877" i="9"/>
  <c r="R976" i="9"/>
  <c r="Q976" i="9"/>
  <c r="V372" i="9"/>
  <c r="Z372" i="9"/>
  <c r="BD372" i="9"/>
  <c r="W372" i="9"/>
  <c r="AE33" i="9"/>
  <c r="AF33" i="9"/>
  <c r="X632" i="9"/>
  <c r="Y632" i="9"/>
  <c r="R147" i="9"/>
  <c r="Q147" i="9"/>
  <c r="AY367" i="9"/>
  <c r="O367" i="9"/>
  <c r="X618" i="9"/>
  <c r="Y618" i="9"/>
  <c r="AX564" i="9"/>
  <c r="O564" i="9"/>
  <c r="BD783" i="9"/>
  <c r="W783" i="9"/>
  <c r="V783" i="9"/>
  <c r="Z783" i="9"/>
  <c r="AY776" i="9"/>
  <c r="O776" i="9"/>
  <c r="BB575" i="9"/>
  <c r="S575" i="9"/>
  <c r="P223" i="9"/>
  <c r="AZ223" i="9"/>
  <c r="AX856" i="9"/>
  <c r="O856" i="9"/>
  <c r="BD65" i="9"/>
  <c r="W65" i="9"/>
  <c r="V65" i="9"/>
  <c r="Z65" i="9"/>
  <c r="BB403" i="9"/>
  <c r="S403" i="9"/>
  <c r="P973" i="9"/>
  <c r="AZ973" i="9"/>
  <c r="AX108" i="9"/>
  <c r="O108" i="9"/>
  <c r="BB598" i="9"/>
  <c r="S598" i="9"/>
  <c r="AZ791" i="9"/>
  <c r="P791" i="9"/>
  <c r="BD679" i="9"/>
  <c r="W679" i="9"/>
  <c r="V679" i="9"/>
  <c r="Z679" i="9"/>
  <c r="V794" i="9"/>
  <c r="Z794" i="9"/>
  <c r="BD794" i="9"/>
  <c r="W794" i="9"/>
  <c r="BD243" i="9"/>
  <c r="W243" i="9"/>
  <c r="V243" i="9"/>
  <c r="Z243" i="9"/>
  <c r="Q171" i="9"/>
  <c r="R171" i="9"/>
  <c r="P434" i="9"/>
  <c r="AZ434" i="9"/>
  <c r="AX837" i="9"/>
  <c r="O837" i="9"/>
  <c r="AX628" i="9"/>
  <c r="O628" i="9"/>
  <c r="P1001" i="9"/>
  <c r="AZ1001" i="9"/>
  <c r="AZ668" i="9"/>
  <c r="P668" i="9"/>
  <c r="BB337" i="9"/>
  <c r="S337" i="9"/>
  <c r="AZ820" i="9"/>
  <c r="P820" i="9"/>
  <c r="Y208" i="9"/>
  <c r="X208" i="9"/>
  <c r="AX109" i="9"/>
  <c r="O109" i="9"/>
  <c r="AX962" i="9"/>
  <c r="O962" i="9"/>
  <c r="S494" i="9"/>
  <c r="BB494" i="9"/>
  <c r="P279" i="9"/>
  <c r="AZ279" i="9"/>
  <c r="X580" i="9"/>
  <c r="Y580" i="9"/>
  <c r="AX999" i="9"/>
  <c r="O999" i="9"/>
  <c r="BD772" i="9"/>
  <c r="W772" i="9"/>
  <c r="V772" i="9"/>
  <c r="Z772" i="9"/>
  <c r="Q937" i="9"/>
  <c r="R937" i="9"/>
  <c r="R114" i="9"/>
  <c r="Q114" i="9"/>
  <c r="R140" i="9"/>
  <c r="Q140" i="9"/>
  <c r="S132" i="9"/>
  <c r="BB132" i="9"/>
  <c r="P449" i="9"/>
  <c r="AZ449" i="9"/>
  <c r="P162" i="9"/>
  <c r="AZ162" i="9"/>
  <c r="P124" i="9"/>
  <c r="AZ124" i="9"/>
  <c r="AX351" i="9"/>
  <c r="O351" i="9"/>
  <c r="P600" i="9"/>
  <c r="AZ600" i="9"/>
  <c r="Y465" i="9"/>
  <c r="X465" i="9"/>
  <c r="V134" i="9"/>
  <c r="Z134" i="9"/>
  <c r="BD134" i="9"/>
  <c r="W134" i="9"/>
  <c r="AZ466" i="9"/>
  <c r="P466" i="9"/>
  <c r="BB925" i="9"/>
  <c r="S925" i="9"/>
  <c r="Q356" i="9"/>
  <c r="R356" i="9"/>
  <c r="R125" i="9"/>
  <c r="Q125" i="9"/>
  <c r="AZ987" i="9"/>
  <c r="P987" i="9"/>
  <c r="AZ516" i="9"/>
  <c r="P516" i="9"/>
  <c r="AZ409" i="9"/>
  <c r="P409" i="9"/>
  <c r="R985" i="9"/>
  <c r="Q985" i="9"/>
  <c r="S834" i="9"/>
  <c r="BB834" i="9"/>
  <c r="O89" i="9"/>
  <c r="AX89" i="9"/>
  <c r="AY686" i="9"/>
  <c r="O686" i="9"/>
  <c r="P555" i="9"/>
  <c r="AZ555" i="9"/>
  <c r="BD533" i="9"/>
  <c r="R841" i="9"/>
  <c r="Q841" i="9"/>
  <c r="P380" i="9"/>
  <c r="AZ380" i="9"/>
  <c r="Y832" i="9"/>
  <c r="X832" i="9"/>
  <c r="P821" i="9"/>
  <c r="AZ821" i="9"/>
  <c r="P400" i="9"/>
  <c r="AZ400" i="9"/>
  <c r="R964" i="9"/>
  <c r="Q964" i="9"/>
  <c r="P447" i="9"/>
  <c r="AZ447" i="9"/>
  <c r="P591" i="9"/>
  <c r="AZ591" i="9"/>
  <c r="S489" i="9"/>
  <c r="BB489" i="9"/>
  <c r="AZ307" i="9"/>
  <c r="P307" i="9"/>
  <c r="AA281" i="9"/>
  <c r="P848" i="9"/>
  <c r="AZ848" i="9"/>
  <c r="X991" i="9"/>
  <c r="Y991" i="9"/>
  <c r="R981" i="9"/>
  <c r="Q981" i="9"/>
  <c r="BA495" i="9"/>
  <c r="P495" i="9"/>
  <c r="R815" i="9"/>
  <c r="Q815" i="9"/>
  <c r="AZ202" i="9"/>
  <c r="P202" i="9"/>
  <c r="S762" i="9"/>
  <c r="BB762" i="9"/>
  <c r="AX899" i="9"/>
  <c r="O899" i="9"/>
  <c r="AX647" i="9"/>
  <c r="O647" i="9"/>
  <c r="BA993" i="9"/>
  <c r="P993" i="9"/>
  <c r="AA22" i="9"/>
  <c r="P823" i="9"/>
  <c r="AZ823" i="9"/>
  <c r="BB212" i="9"/>
  <c r="S212" i="9"/>
  <c r="P661" i="9"/>
  <c r="AZ661" i="9"/>
  <c r="AZ68" i="9"/>
  <c r="P68" i="9"/>
  <c r="AZ992" i="9"/>
  <c r="P992" i="9"/>
  <c r="AA330" i="9"/>
  <c r="R523" i="9"/>
  <c r="Q523" i="9"/>
  <c r="R128" i="9"/>
  <c r="Q128" i="9"/>
  <c r="R729" i="9"/>
  <c r="Q729" i="9"/>
  <c r="BB934" i="9"/>
  <c r="S934" i="9"/>
  <c r="P824" i="9"/>
  <c r="AZ824" i="9"/>
  <c r="AA9" i="9"/>
  <c r="AZ234" i="9"/>
  <c r="P234" i="9"/>
  <c r="BB690" i="9"/>
  <c r="S690" i="9"/>
  <c r="S324" i="9"/>
  <c r="BB324" i="9"/>
  <c r="P25" i="9"/>
  <c r="AZ25" i="9"/>
  <c r="P829" i="9"/>
  <c r="AZ829" i="9"/>
  <c r="S938" i="9"/>
  <c r="BB938" i="9"/>
  <c r="BB305" i="9"/>
  <c r="S305" i="9"/>
  <c r="AX708" i="9"/>
  <c r="O708" i="9"/>
  <c r="P882" i="9"/>
  <c r="AZ882" i="9"/>
  <c r="S611" i="9"/>
  <c r="BB611" i="9"/>
  <c r="R136" i="9"/>
  <c r="Q136" i="9"/>
  <c r="AA855" i="9"/>
  <c r="R806" i="9"/>
  <c r="Q806" i="9"/>
  <c r="S587" i="9"/>
  <c r="BB587" i="9"/>
  <c r="AZ347" i="9"/>
  <c r="P347" i="9"/>
  <c r="BB228" i="9"/>
  <c r="S228" i="9"/>
  <c r="Q170" i="9"/>
  <c r="R170" i="9"/>
  <c r="P978" i="9"/>
  <c r="AZ978" i="9"/>
  <c r="S595" i="9"/>
  <c r="BB595" i="9"/>
  <c r="P260" i="9"/>
  <c r="AZ260" i="9"/>
  <c r="P275" i="9"/>
  <c r="AZ275" i="9"/>
  <c r="S630" i="9"/>
  <c r="BB630" i="9"/>
  <c r="BD790" i="9"/>
  <c r="W790" i="9"/>
  <c r="V790" i="9"/>
  <c r="Z790" i="9"/>
  <c r="BB45" i="9"/>
  <c r="S45" i="9"/>
  <c r="BB601" i="9"/>
  <c r="S601" i="9"/>
  <c r="AZ431" i="9"/>
  <c r="P431" i="9"/>
  <c r="P546" i="9"/>
  <c r="AZ546" i="9"/>
  <c r="BD788" i="9"/>
  <c r="BB700" i="9"/>
  <c r="S700" i="9"/>
  <c r="V961" i="9"/>
  <c r="Z961" i="9"/>
  <c r="BD961" i="9"/>
  <c r="W961" i="9"/>
  <c r="R975" i="9"/>
  <c r="Q975" i="9"/>
  <c r="V876" i="9"/>
  <c r="Z876" i="9"/>
  <c r="BD876" i="9"/>
  <c r="W876" i="9"/>
  <c r="BB370" i="9"/>
  <c r="S370" i="9"/>
  <c r="BD53" i="9"/>
  <c r="W53" i="9"/>
  <c r="V53" i="9"/>
  <c r="Z53" i="9"/>
  <c r="AX401" i="9"/>
  <c r="O401" i="9"/>
  <c r="BB585" i="9"/>
  <c r="S585" i="9"/>
  <c r="BD932" i="9"/>
  <c r="W932" i="9"/>
  <c r="V932" i="9"/>
  <c r="Z932" i="9"/>
  <c r="AZ448" i="9"/>
  <c r="P448" i="9"/>
  <c r="AZ716" i="9"/>
  <c r="P716" i="9"/>
  <c r="X179" i="9"/>
  <c r="Y179" i="9"/>
  <c r="AB660" i="9"/>
  <c r="AZ900" i="9"/>
  <c r="P900" i="9"/>
  <c r="R60" i="9"/>
  <c r="Q60" i="9"/>
  <c r="BD488" i="9"/>
  <c r="W488" i="9"/>
  <c r="V488" i="9"/>
  <c r="Z488" i="9"/>
  <c r="R206" i="9"/>
  <c r="Q206" i="9"/>
  <c r="BD17" i="9"/>
  <c r="W17" i="9"/>
  <c r="V17" i="9"/>
  <c r="Z17" i="9"/>
  <c r="Q917" i="9"/>
  <c r="R917" i="9"/>
  <c r="S263" i="9"/>
  <c r="BB263" i="9"/>
  <c r="Q472" i="9"/>
  <c r="R472" i="9"/>
  <c r="P251" i="9"/>
  <c r="AZ251" i="9"/>
  <c r="R957" i="9"/>
  <c r="Q957" i="9"/>
  <c r="R533" i="9"/>
  <c r="Q533" i="9"/>
  <c r="BD26" i="9"/>
  <c r="W26" i="9"/>
  <c r="V26" i="9"/>
  <c r="Z26" i="9"/>
  <c r="BB46" i="9"/>
  <c r="S46" i="9"/>
  <c r="AZ770" i="9"/>
  <c r="P770" i="9"/>
  <c r="AX83" i="9"/>
  <c r="O83" i="9"/>
  <c r="AH54" i="9"/>
  <c r="AZ942" i="9"/>
  <c r="P942" i="9"/>
  <c r="BD240" i="9"/>
  <c r="W240" i="9"/>
  <c r="V240" i="9"/>
  <c r="Z240" i="9"/>
  <c r="AZ194" i="9"/>
  <c r="P194" i="9"/>
  <c r="Y372" i="9"/>
  <c r="X372" i="9"/>
  <c r="AZ732" i="9"/>
  <c r="P732" i="9"/>
  <c r="BD994" i="9"/>
  <c r="BB472" i="9"/>
  <c r="P106" i="9"/>
  <c r="AZ106" i="9"/>
  <c r="BB792" i="9"/>
  <c r="S792" i="9"/>
  <c r="P59" i="9"/>
  <c r="AZ59" i="9"/>
  <c r="Q352" i="9"/>
  <c r="R352" i="9"/>
  <c r="Q564" i="9"/>
  <c r="R564" i="9"/>
  <c r="AX440" i="9"/>
  <c r="O440" i="9"/>
  <c r="P258" i="9"/>
  <c r="AZ258" i="9"/>
  <c r="Y77" i="9"/>
  <c r="AB77" i="9"/>
  <c r="X77" i="9"/>
  <c r="AA77" i="9"/>
  <c r="AZ621" i="9"/>
  <c r="P621" i="9"/>
  <c r="AZ297" i="9"/>
  <c r="P297" i="9"/>
  <c r="AZ76" i="9"/>
  <c r="P76" i="9"/>
  <c r="R108" i="9"/>
  <c r="Q108" i="9"/>
  <c r="BB333" i="9"/>
  <c r="S333" i="9"/>
  <c r="P382" i="9"/>
  <c r="AZ382" i="9"/>
  <c r="R837" i="9"/>
  <c r="Q837" i="9"/>
  <c r="BB586" i="9"/>
  <c r="S586" i="9"/>
  <c r="R628" i="9"/>
  <c r="Q628" i="9"/>
  <c r="AZ582" i="9"/>
  <c r="P582" i="9"/>
  <c r="O433" i="9"/>
  <c r="AX433" i="9"/>
  <c r="P120" i="9"/>
  <c r="AZ120" i="9"/>
  <c r="V208" i="9"/>
  <c r="Z208" i="9"/>
  <c r="BD208" i="9"/>
  <c r="W208" i="9"/>
  <c r="AX697" i="9"/>
  <c r="O697" i="9"/>
  <c r="R109" i="9"/>
  <c r="Q109" i="9"/>
  <c r="BC943" i="9"/>
  <c r="S943" i="9"/>
  <c r="R962" i="9"/>
  <c r="Q962" i="9"/>
  <c r="BD580" i="9"/>
  <c r="W580" i="9"/>
  <c r="V580" i="9"/>
  <c r="Z580" i="9"/>
  <c r="AX830" i="9"/>
  <c r="O830" i="9"/>
  <c r="P384" i="9"/>
  <c r="AZ384" i="9"/>
  <c r="BB789" i="9"/>
  <c r="S789" i="9"/>
  <c r="P786" i="9"/>
  <c r="AZ786" i="9"/>
  <c r="AX937" i="9"/>
  <c r="O937" i="9"/>
  <c r="R169" i="9"/>
  <c r="Q169" i="9"/>
  <c r="P272" i="9"/>
  <c r="AZ272" i="9"/>
  <c r="BD930" i="9"/>
  <c r="BB699" i="9"/>
  <c r="S699" i="9"/>
  <c r="AA41" i="9"/>
  <c r="Q351" i="9"/>
  <c r="R351" i="9"/>
  <c r="BB13" i="9"/>
  <c r="S13" i="9"/>
  <c r="Y247" i="9"/>
  <c r="X247" i="9"/>
  <c r="V465" i="9"/>
  <c r="Z465" i="9"/>
  <c r="BD465" i="9"/>
  <c r="W465" i="9"/>
  <c r="X134" i="9"/>
  <c r="Y134" i="9"/>
  <c r="AZ55" i="9"/>
  <c r="P55" i="9"/>
  <c r="BD57" i="9"/>
  <c r="O356" i="9"/>
  <c r="AX356" i="9"/>
  <c r="Y851" i="9"/>
  <c r="X851" i="9"/>
  <c r="O985" i="9"/>
  <c r="AX985" i="9"/>
  <c r="R89" i="9"/>
  <c r="Q89" i="9"/>
  <c r="P459" i="9"/>
  <c r="AZ459" i="9"/>
  <c r="AZ944" i="9"/>
  <c r="P944" i="9"/>
  <c r="P233" i="9"/>
  <c r="AZ233" i="9"/>
  <c r="P926" i="9"/>
  <c r="AZ926" i="9"/>
  <c r="P94" i="9"/>
  <c r="AZ94" i="9"/>
  <c r="S478" i="9"/>
  <c r="BB478" i="9"/>
  <c r="Y689" i="9"/>
  <c r="X689" i="9"/>
  <c r="P73" i="9"/>
  <c r="AZ73" i="9"/>
  <c r="AY841" i="9"/>
  <c r="O841" i="9"/>
  <c r="AX117" i="9"/>
  <c r="O117" i="9"/>
  <c r="V832" i="9"/>
  <c r="Z832" i="9"/>
  <c r="BD832" i="9"/>
  <c r="W832" i="9"/>
  <c r="AY964" i="9"/>
  <c r="O964" i="9"/>
  <c r="BB549" i="9"/>
  <c r="S549" i="9"/>
  <c r="P629" i="9"/>
  <c r="AZ629" i="9"/>
  <c r="AE803" i="9"/>
  <c r="AF803" i="9"/>
  <c r="AH803" i="9"/>
  <c r="AG803" i="9"/>
  <c r="P539" i="9"/>
  <c r="AZ539" i="9"/>
  <c r="AX981" i="9"/>
  <c r="O981" i="9"/>
  <c r="P589" i="9"/>
  <c r="AZ589" i="9"/>
  <c r="P804" i="9"/>
  <c r="AZ804" i="9"/>
  <c r="AZ916" i="9"/>
  <c r="P916" i="9"/>
  <c r="S809" i="9"/>
  <c r="BB809" i="9"/>
  <c r="P90" i="9"/>
  <c r="AZ90" i="9"/>
  <c r="Q647" i="9"/>
  <c r="R647" i="9"/>
  <c r="AB22" i="9"/>
  <c r="Y847" i="9"/>
  <c r="AB847" i="9"/>
  <c r="X847" i="9"/>
  <c r="AA847" i="9"/>
  <c r="Y10" i="9"/>
  <c r="AB10" i="9"/>
  <c r="X10" i="9"/>
  <c r="AA10" i="9"/>
  <c r="BB779" i="9"/>
  <c r="AZ782" i="9"/>
  <c r="P782" i="9"/>
  <c r="AB330" i="9"/>
  <c r="AX523" i="9"/>
  <c r="O523" i="9"/>
  <c r="P554" i="9"/>
  <c r="AZ554" i="9"/>
  <c r="S408" i="9"/>
  <c r="BB408" i="9"/>
  <c r="AX729" i="9"/>
  <c r="O729" i="9"/>
  <c r="S473" i="9"/>
  <c r="BB473" i="9"/>
  <c r="P364" i="9"/>
  <c r="AZ364" i="9"/>
  <c r="AB9" i="9"/>
  <c r="Y338" i="9"/>
  <c r="AB338" i="9"/>
  <c r="X338" i="9"/>
  <c r="AA338" i="9"/>
  <c r="BB859" i="9"/>
  <c r="S859" i="9"/>
  <c r="P115" i="9"/>
  <c r="AZ115" i="9"/>
  <c r="BD947" i="9"/>
  <c r="P744" i="9"/>
  <c r="AZ744" i="9"/>
  <c r="P252" i="9"/>
  <c r="AZ252" i="9"/>
  <c r="R349" i="9"/>
  <c r="Q349" i="9"/>
  <c r="AZ774" i="9"/>
  <c r="P774" i="9"/>
  <c r="P266" i="9"/>
  <c r="AZ266" i="9"/>
  <c r="BB658" i="9"/>
  <c r="S658" i="9"/>
  <c r="AB855" i="9"/>
  <c r="P261" i="9"/>
  <c r="AZ261" i="9"/>
  <c r="R721" i="9"/>
  <c r="Q721" i="9"/>
  <c r="P593" i="9"/>
  <c r="AZ593" i="9"/>
  <c r="BB966" i="9"/>
  <c r="S308" i="9"/>
  <c r="BB308" i="9"/>
  <c r="P570" i="9"/>
  <c r="AZ570" i="9"/>
  <c r="AX170" i="9"/>
  <c r="O170" i="9"/>
  <c r="AZ852" i="9"/>
  <c r="P852" i="9"/>
  <c r="AZ301" i="9"/>
  <c r="P301" i="9"/>
  <c r="S292" i="9"/>
  <c r="BB292" i="9"/>
  <c r="Y790" i="9"/>
  <c r="X790" i="9"/>
  <c r="BB951" i="9"/>
  <c r="S951" i="9"/>
  <c r="S654" i="9"/>
  <c r="BB654" i="9"/>
  <c r="BD986" i="9"/>
  <c r="AZ502" i="9"/>
  <c r="P502" i="9"/>
  <c r="P432" i="9"/>
  <c r="AZ432" i="9"/>
  <c r="P209" i="9"/>
  <c r="AZ209" i="9"/>
  <c r="O429" i="9"/>
  <c r="AX429" i="9"/>
  <c r="P438" i="9"/>
  <c r="AZ438" i="9"/>
  <c r="P439" i="9"/>
  <c r="AZ439" i="9"/>
  <c r="BB903" i="9"/>
  <c r="S903" i="9"/>
  <c r="V179" i="9"/>
  <c r="Z179" i="9"/>
  <c r="BD179" i="9"/>
  <c r="W179" i="9"/>
  <c r="AX768" i="9"/>
  <c r="O768" i="9"/>
  <c r="S968" i="9"/>
  <c r="BB968" i="9"/>
  <c r="P82" i="9"/>
  <c r="AZ82" i="9"/>
  <c r="Y34" i="9"/>
  <c r="X34" i="9"/>
  <c r="AA34" i="9"/>
  <c r="S254" i="9"/>
  <c r="BB254" i="9"/>
  <c r="AX917" i="9"/>
  <c r="O917" i="9"/>
  <c r="AY472" i="9"/>
  <c r="O472" i="9"/>
  <c r="AZ226" i="9"/>
  <c r="P226" i="9"/>
  <c r="BA487" i="9"/>
  <c r="P487" i="9"/>
  <c r="BB183" i="9"/>
  <c r="S183" i="9"/>
  <c r="AZ883" i="9"/>
  <c r="P883" i="9"/>
  <c r="AY533" i="9"/>
  <c r="O533" i="9"/>
  <c r="AX210" i="9"/>
  <c r="O210" i="9"/>
  <c r="AZ913" i="9"/>
  <c r="P913" i="9"/>
  <c r="V540" i="9"/>
  <c r="Z540" i="9"/>
  <c r="BD540" i="9"/>
  <c r="W540" i="9"/>
  <c r="AA636" i="9"/>
  <c r="AA715" i="9"/>
  <c r="AB715" i="9"/>
  <c r="AG33" i="9"/>
  <c r="U46" i="9"/>
  <c r="T46" i="9"/>
  <c r="U489" i="9"/>
  <c r="T489" i="9"/>
  <c r="U710" i="9"/>
  <c r="T710" i="9"/>
  <c r="U481" i="9"/>
  <c r="T481" i="9"/>
  <c r="U410" i="9"/>
  <c r="T410" i="9"/>
  <c r="U370" i="9"/>
  <c r="T370" i="9"/>
  <c r="U902" i="9"/>
  <c r="T902" i="9"/>
  <c r="U182" i="9"/>
  <c r="T182" i="9"/>
  <c r="U565" i="9"/>
  <c r="T565" i="9"/>
  <c r="U292" i="9"/>
  <c r="T292" i="9"/>
  <c r="U549" i="9"/>
  <c r="T549" i="9"/>
  <c r="U699" i="9"/>
  <c r="T699" i="9"/>
  <c r="U45" i="9"/>
  <c r="T45" i="9"/>
  <c r="U228" i="9"/>
  <c r="T228" i="9"/>
  <c r="U337" i="9"/>
  <c r="T337" i="9"/>
  <c r="U918" i="9"/>
  <c r="T918" i="9"/>
  <c r="U795" i="9"/>
  <c r="T795" i="9"/>
  <c r="AA614" i="9"/>
  <c r="AA643" i="9"/>
  <c r="U302" i="9"/>
  <c r="T302" i="9"/>
  <c r="U743" i="9"/>
  <c r="T743" i="9"/>
  <c r="U235" i="9"/>
  <c r="T235" i="9"/>
  <c r="U691" i="9"/>
  <c r="T691" i="9"/>
  <c r="U219" i="9"/>
  <c r="T219" i="9"/>
  <c r="U965" i="9"/>
  <c r="T965" i="9"/>
  <c r="U838" i="9"/>
  <c r="T838" i="9"/>
  <c r="U200" i="9"/>
  <c r="T200" i="9"/>
  <c r="U406" i="9"/>
  <c r="T406" i="9"/>
  <c r="U678" i="9"/>
  <c r="T678" i="9"/>
  <c r="U530" i="9"/>
  <c r="T530" i="9"/>
  <c r="U418" i="9"/>
  <c r="T418" i="9"/>
  <c r="U667" i="9"/>
  <c r="T667" i="9"/>
  <c r="U669" i="9"/>
  <c r="T669" i="9"/>
  <c r="U236" i="9"/>
  <c r="T236" i="9"/>
  <c r="U306" i="9"/>
  <c r="T306" i="9"/>
  <c r="U601" i="9"/>
  <c r="T601" i="9"/>
  <c r="U670" i="9"/>
  <c r="T670" i="9"/>
  <c r="U865" i="9"/>
  <c r="T865" i="9"/>
  <c r="U478" i="9"/>
  <c r="T478" i="9"/>
  <c r="U700" i="9"/>
  <c r="T700" i="9"/>
  <c r="U494" i="9"/>
  <c r="T494" i="9"/>
  <c r="U92" i="9"/>
  <c r="T92" i="9"/>
  <c r="U733" i="9"/>
  <c r="T733" i="9"/>
  <c r="U599" i="9"/>
  <c r="T599" i="9"/>
  <c r="U717" i="9"/>
  <c r="T717" i="9"/>
  <c r="U814" i="9"/>
  <c r="T814" i="9"/>
  <c r="T129" i="9"/>
  <c r="U129" i="9"/>
  <c r="U767" i="9"/>
  <c r="T767" i="9"/>
  <c r="U809" i="9"/>
  <c r="T809" i="9"/>
  <c r="AA372" i="9"/>
  <c r="U585" i="9"/>
  <c r="T585" i="9"/>
  <c r="U212" i="9"/>
  <c r="T212" i="9"/>
  <c r="U312" i="9"/>
  <c r="T312" i="9"/>
  <c r="U997" i="9"/>
  <c r="T997" i="9"/>
  <c r="U805" i="9"/>
  <c r="T805" i="9"/>
  <c r="U227" i="9"/>
  <c r="T227" i="9"/>
  <c r="U878" i="9"/>
  <c r="T878" i="9"/>
  <c r="U414" i="9"/>
  <c r="T414" i="9"/>
  <c r="U749" i="9"/>
  <c r="T749" i="9"/>
  <c r="U274" i="9"/>
  <c r="T274" i="9"/>
  <c r="U995" i="9"/>
  <c r="T995" i="9"/>
  <c r="U399" i="9"/>
  <c r="T399" i="9"/>
  <c r="U673" i="9"/>
  <c r="T673" i="9"/>
  <c r="U336" i="9"/>
  <c r="T336" i="9"/>
  <c r="U359" i="9"/>
  <c r="T359" i="9"/>
  <c r="U296" i="9"/>
  <c r="T296" i="9"/>
  <c r="U174" i="9"/>
  <c r="T174" i="9"/>
  <c r="U188" i="9"/>
  <c r="T188" i="9"/>
  <c r="U483" i="9"/>
  <c r="T483" i="9"/>
  <c r="U346" i="9"/>
  <c r="T346" i="9"/>
  <c r="U911" i="9"/>
  <c r="T911" i="9"/>
  <c r="U895" i="9"/>
  <c r="T895" i="9"/>
  <c r="U283" i="9"/>
  <c r="T283" i="9"/>
  <c r="U759" i="9"/>
  <c r="T759" i="9"/>
  <c r="U482" i="9"/>
  <c r="T482" i="9"/>
  <c r="U366" i="9"/>
  <c r="T366" i="9"/>
  <c r="U764" i="9"/>
  <c r="T764" i="9"/>
  <c r="U501" i="9"/>
  <c r="T501" i="9"/>
  <c r="U348" i="9"/>
  <c r="T348" i="9"/>
  <c r="U389" i="9"/>
  <c r="T389" i="9"/>
  <c r="U792" i="9"/>
  <c r="T792" i="9"/>
  <c r="U196" i="9"/>
  <c r="T196" i="9"/>
  <c r="U903" i="9"/>
  <c r="T903" i="9"/>
  <c r="U654" i="9"/>
  <c r="T654" i="9"/>
  <c r="U308" i="9"/>
  <c r="T308" i="9"/>
  <c r="U859" i="9"/>
  <c r="T859" i="9"/>
  <c r="U473" i="9"/>
  <c r="T473" i="9"/>
  <c r="AB247" i="9"/>
  <c r="U324" i="9"/>
  <c r="T324" i="9"/>
  <c r="U934" i="9"/>
  <c r="T934" i="9"/>
  <c r="U199" i="9"/>
  <c r="T199" i="9"/>
  <c r="U894" i="9"/>
  <c r="T894" i="9"/>
  <c r="U718" i="9"/>
  <c r="T718" i="9"/>
  <c r="U44" i="9"/>
  <c r="T44" i="9"/>
  <c r="U316" i="9"/>
  <c r="T316" i="9"/>
  <c r="T161" i="9"/>
  <c r="U161" i="9"/>
  <c r="U665" i="9"/>
  <c r="T665" i="9"/>
  <c r="U100" i="9"/>
  <c r="T100" i="9"/>
  <c r="U294" i="9"/>
  <c r="T294" i="9"/>
  <c r="U758" i="9"/>
  <c r="T758" i="9"/>
  <c r="U537" i="9"/>
  <c r="T537" i="9"/>
  <c r="U556" i="9"/>
  <c r="T556" i="9"/>
  <c r="U933" i="9"/>
  <c r="T933" i="9"/>
  <c r="U626" i="9"/>
  <c r="T626" i="9"/>
  <c r="U666" i="9"/>
  <c r="T666" i="9"/>
  <c r="U477" i="9"/>
  <c r="T477" i="9"/>
  <c r="U941" i="9"/>
  <c r="T941" i="9"/>
  <c r="AB150" i="9"/>
  <c r="AA777" i="9"/>
  <c r="U393" i="9"/>
  <c r="T393" i="9"/>
  <c r="U773" i="9"/>
  <c r="T773" i="9"/>
  <c r="U420" i="9"/>
  <c r="T420" i="9"/>
  <c r="U377" i="9"/>
  <c r="T377" i="9"/>
  <c r="U675" i="9"/>
  <c r="T675" i="9"/>
  <c r="T105" i="9"/>
  <c r="U105" i="9"/>
  <c r="AA110" i="9"/>
  <c r="U598" i="9"/>
  <c r="T598" i="9"/>
  <c r="U810" i="9"/>
  <c r="T810" i="9"/>
  <c r="U192" i="9"/>
  <c r="T192" i="9"/>
  <c r="U407" i="9"/>
  <c r="T407" i="9"/>
  <c r="U842" i="9"/>
  <c r="T842" i="9"/>
  <c r="U475" i="9"/>
  <c r="T475" i="9"/>
  <c r="U4" i="9"/>
  <c r="T4" i="9"/>
  <c r="U497" i="9"/>
  <c r="T497" i="9"/>
  <c r="U329" i="9"/>
  <c r="T329" i="9"/>
  <c r="U318" i="9"/>
  <c r="T318" i="9"/>
  <c r="AA247" i="9"/>
  <c r="U627" i="9"/>
  <c r="T627" i="9"/>
  <c r="U298" i="9"/>
  <c r="T298" i="9"/>
  <c r="U213" i="9"/>
  <c r="T213" i="9"/>
  <c r="T713" i="9"/>
  <c r="U713" i="9"/>
  <c r="U951" i="9"/>
  <c r="T951" i="9"/>
  <c r="U658" i="9"/>
  <c r="T658" i="9"/>
  <c r="U13" i="9"/>
  <c r="T13" i="9"/>
  <c r="U789" i="9"/>
  <c r="T789" i="9"/>
  <c r="U333" i="9"/>
  <c r="T333" i="9"/>
  <c r="U263" i="9"/>
  <c r="T263" i="9"/>
  <c r="U595" i="9"/>
  <c r="T595" i="9"/>
  <c r="U690" i="9"/>
  <c r="T690" i="9"/>
  <c r="U972" i="9"/>
  <c r="T972" i="9"/>
  <c r="U416" i="9"/>
  <c r="T416" i="9"/>
  <c r="U778" i="9"/>
  <c r="T778" i="9"/>
  <c r="U639" i="9"/>
  <c r="T639" i="9"/>
  <c r="U437" i="9"/>
  <c r="T437" i="9"/>
  <c r="U953" i="9"/>
  <c r="T953" i="9"/>
  <c r="U232" i="9"/>
  <c r="T232" i="9"/>
  <c r="U313" i="9"/>
  <c r="T313" i="9"/>
  <c r="U963" i="9"/>
  <c r="T963" i="9"/>
  <c r="U760" i="9"/>
  <c r="T760" i="9"/>
  <c r="U509" i="9"/>
  <c r="T509" i="9"/>
  <c r="U755" i="9"/>
  <c r="T755" i="9"/>
  <c r="U412" i="9"/>
  <c r="T412" i="9"/>
  <c r="U16" i="9"/>
  <c r="T16" i="9"/>
  <c r="U154" i="9"/>
  <c r="T154" i="9"/>
  <c r="U469" i="9"/>
  <c r="T469" i="9"/>
  <c r="AA150" i="9"/>
  <c r="AB777" i="9"/>
  <c r="U833" i="9"/>
  <c r="T833" i="9"/>
  <c r="U702" i="9"/>
  <c r="T702" i="9"/>
  <c r="U974" i="9"/>
  <c r="T974" i="9"/>
  <c r="U935" i="9"/>
  <c r="T935" i="9"/>
  <c r="U408" i="9"/>
  <c r="T408" i="9"/>
  <c r="U305" i="9"/>
  <c r="T305" i="9"/>
  <c r="U611" i="9"/>
  <c r="T611" i="9"/>
  <c r="U925" i="9"/>
  <c r="T925" i="9"/>
  <c r="T575" i="9"/>
  <c r="U575" i="9"/>
  <c r="U231" i="9"/>
  <c r="T231" i="9"/>
  <c r="U317" i="9"/>
  <c r="T317" i="9"/>
  <c r="U344" i="9"/>
  <c r="T344" i="9"/>
  <c r="U714" i="9"/>
  <c r="T714" i="9"/>
  <c r="U391" i="9"/>
  <c r="T391" i="9"/>
  <c r="U376" i="9"/>
  <c r="T376" i="9"/>
  <c r="U664" i="9"/>
  <c r="T664" i="9"/>
  <c r="U40" i="9"/>
  <c r="T40" i="9"/>
  <c r="U276" i="9"/>
  <c r="T276" i="9"/>
  <c r="U797" i="9"/>
  <c r="T797" i="9"/>
  <c r="U706" i="9"/>
  <c r="T706" i="9"/>
  <c r="U131" i="9"/>
  <c r="T131" i="9"/>
  <c r="U422" i="9"/>
  <c r="T422" i="9"/>
  <c r="U498" i="9"/>
  <c r="T498" i="9"/>
  <c r="U300" i="9"/>
  <c r="T300" i="9"/>
  <c r="U607" i="9"/>
  <c r="T607" i="9"/>
  <c r="U763" i="9"/>
  <c r="T763" i="9"/>
  <c r="U12" i="9"/>
  <c r="T12" i="9"/>
  <c r="U309" i="9"/>
  <c r="T309" i="9"/>
  <c r="U320" i="9"/>
  <c r="T320" i="9"/>
  <c r="U513" i="9"/>
  <c r="T513" i="9"/>
  <c r="U254" i="9"/>
  <c r="T254" i="9"/>
  <c r="U834" i="9"/>
  <c r="T834" i="9"/>
  <c r="U132" i="9"/>
  <c r="T132" i="9"/>
  <c r="U385" i="9"/>
  <c r="T385" i="9"/>
  <c r="U358" i="9"/>
  <c r="T358" i="9"/>
  <c r="U520" i="9"/>
  <c r="T520" i="9"/>
  <c r="U514" i="9"/>
  <c r="T514" i="9"/>
  <c r="U175" i="9"/>
  <c r="T175" i="9"/>
  <c r="U183" i="9"/>
  <c r="T183" i="9"/>
  <c r="AA689" i="9"/>
  <c r="U938" i="9"/>
  <c r="T938" i="9"/>
  <c r="U403" i="9"/>
  <c r="T403" i="9"/>
  <c r="AH33" i="9"/>
  <c r="U968" i="9"/>
  <c r="T968" i="9"/>
  <c r="AB689" i="9"/>
  <c r="U943" i="9"/>
  <c r="T943" i="9"/>
  <c r="U586" i="9"/>
  <c r="T586" i="9"/>
  <c r="U630" i="9"/>
  <c r="T630" i="9"/>
  <c r="U587" i="9"/>
  <c r="T587" i="9"/>
  <c r="U762" i="9"/>
  <c r="T762" i="9"/>
  <c r="U287" i="9"/>
  <c r="T287" i="9"/>
  <c r="U325" i="9"/>
  <c r="T325" i="9"/>
  <c r="U983" i="9"/>
  <c r="T983" i="9"/>
  <c r="U929" i="9"/>
  <c r="T929" i="9"/>
  <c r="U341" i="9"/>
  <c r="T341" i="9"/>
  <c r="U48" i="9"/>
  <c r="T48" i="9"/>
  <c r="U493" i="9"/>
  <c r="T493" i="9"/>
  <c r="U474" i="9"/>
  <c r="T474" i="9"/>
  <c r="AA49" i="9"/>
  <c r="U853" i="9"/>
  <c r="T853" i="9"/>
  <c r="U334" i="9"/>
  <c r="T334" i="9"/>
  <c r="U375" i="9"/>
  <c r="T375" i="9"/>
  <c r="U525" i="9"/>
  <c r="T525" i="9"/>
  <c r="U662" i="9"/>
  <c r="T662" i="9"/>
  <c r="U404" i="9"/>
  <c r="T404" i="9"/>
  <c r="T81" i="9"/>
  <c r="U81" i="9"/>
  <c r="U29" i="9"/>
  <c r="T29" i="9"/>
  <c r="U291" i="9"/>
  <c r="T291" i="9"/>
  <c r="U345" i="9"/>
  <c r="T345" i="9"/>
  <c r="U321" i="9"/>
  <c r="T321" i="9"/>
  <c r="U971" i="9"/>
  <c r="T971" i="9"/>
  <c r="U638" i="9"/>
  <c r="T638" i="9"/>
  <c r="U224" i="9"/>
  <c r="T224" i="9"/>
  <c r="U28" i="9"/>
  <c r="T28" i="9"/>
  <c r="U397" i="9"/>
  <c r="T397" i="9"/>
  <c r="U93" i="9"/>
  <c r="T93" i="9"/>
  <c r="U332" i="9"/>
  <c r="T332" i="9"/>
  <c r="U411" i="9"/>
  <c r="T411" i="9"/>
  <c r="U518" i="9"/>
  <c r="T518" i="9"/>
  <c r="U184" i="9"/>
  <c r="T184" i="9"/>
  <c r="U24" i="9"/>
  <c r="T24" i="9"/>
  <c r="U328" i="9"/>
  <c r="T328" i="9"/>
  <c r="T857" i="9"/>
  <c r="U857" i="9"/>
  <c r="U939" i="9"/>
  <c r="T939" i="9"/>
  <c r="AB991" i="9"/>
  <c r="AA165" i="9"/>
  <c r="AF499" i="9"/>
  <c r="AA991" i="9"/>
  <c r="AB165" i="9"/>
  <c r="AA703" i="9"/>
  <c r="AB703" i="9"/>
  <c r="AB34" i="9"/>
  <c r="AA869" i="9"/>
  <c r="AA164" i="9"/>
  <c r="AZ761" i="9"/>
  <c r="P761" i="9"/>
  <c r="AB372" i="9"/>
  <c r="AB967" i="9"/>
  <c r="BA505" i="9"/>
  <c r="P505" i="9"/>
  <c r="AA967" i="9"/>
  <c r="AB636" i="9"/>
  <c r="AB618" i="9"/>
  <c r="AA890" i="9"/>
  <c r="AB624" i="9"/>
  <c r="AB134" i="9"/>
  <c r="AA618" i="9"/>
  <c r="AA719" i="9"/>
  <c r="AA624" i="9"/>
  <c r="AA134" i="9"/>
  <c r="AB590" i="9"/>
  <c r="AB719" i="9"/>
  <c r="AA608" i="9"/>
  <c r="P153" i="9"/>
  <c r="AZ153" i="9"/>
  <c r="P799" i="9"/>
  <c r="AZ799" i="9"/>
  <c r="X105" i="9"/>
  <c r="Y105" i="9"/>
  <c r="BA615" i="9"/>
  <c r="P615" i="9"/>
  <c r="AZ490" i="9"/>
  <c r="P490" i="9"/>
  <c r="P521" i="9"/>
  <c r="AZ521" i="9"/>
  <c r="S836" i="9"/>
  <c r="BB836" i="9"/>
  <c r="AA208" i="9"/>
  <c r="AB30" i="9"/>
  <c r="BB747" i="9"/>
  <c r="S747" i="9"/>
  <c r="P395" i="9"/>
  <c r="AZ395" i="9"/>
  <c r="BB812" i="9"/>
  <c r="S812" i="9"/>
  <c r="BD615" i="9"/>
  <c r="BB722" i="9"/>
  <c r="S722" i="9"/>
  <c r="Y346" i="9"/>
  <c r="X346" i="9"/>
  <c r="Y911" i="9"/>
  <c r="X911" i="9"/>
  <c r="AZ756" i="9"/>
  <c r="P756" i="9"/>
  <c r="P282" i="9"/>
  <c r="AZ282" i="9"/>
  <c r="S738" i="9"/>
  <c r="BB738" i="9"/>
  <c r="BB216" i="9"/>
  <c r="S216" i="9"/>
  <c r="S137" i="9"/>
  <c r="BB137" i="9"/>
  <c r="Y306" i="9"/>
  <c r="X306" i="9"/>
  <c r="BB204" i="9"/>
  <c r="S204" i="9"/>
  <c r="P807" i="9"/>
  <c r="AZ807" i="9"/>
  <c r="AZ172" i="9"/>
  <c r="P172" i="9"/>
  <c r="BA57" i="9"/>
  <c r="P57" i="9"/>
  <c r="BE346" i="9"/>
  <c r="W346" i="9"/>
  <c r="V346" i="9"/>
  <c r="Z346" i="9"/>
  <c r="BE911" i="9"/>
  <c r="W911" i="9"/>
  <c r="V911" i="9"/>
  <c r="Z911" i="9"/>
  <c r="AZ517" i="9"/>
  <c r="P517" i="9"/>
  <c r="BE306" i="9"/>
  <c r="W306" i="9"/>
  <c r="V306" i="9"/>
  <c r="Z306" i="9"/>
  <c r="AB18" i="9"/>
  <c r="AA872" i="9"/>
  <c r="AE872" i="9"/>
  <c r="AF872" i="9"/>
  <c r="BA631" i="9"/>
  <c r="P631" i="9"/>
  <c r="P970" i="9"/>
  <c r="AZ970" i="9"/>
  <c r="P757" i="9"/>
  <c r="AZ757" i="9"/>
  <c r="P622" i="9"/>
  <c r="AZ622" i="9"/>
  <c r="BA545" i="9"/>
  <c r="P545" i="9"/>
  <c r="AE110" i="9"/>
  <c r="AF110" i="9"/>
  <c r="AH110" i="9"/>
  <c r="AG110" i="9"/>
  <c r="AZ419" i="9"/>
  <c r="P419" i="9"/>
  <c r="AA26" i="9"/>
  <c r="AA145" i="9"/>
  <c r="AZ904" i="9"/>
  <c r="P904" i="9"/>
  <c r="BA577" i="9"/>
  <c r="P577" i="9"/>
  <c r="BB793" i="9"/>
  <c r="S793" i="9"/>
  <c r="BA947" i="9"/>
  <c r="P947" i="9"/>
  <c r="P461" i="9"/>
  <c r="AZ461" i="9"/>
  <c r="BA553" i="9"/>
  <c r="P553" i="9"/>
  <c r="AZ340" i="9"/>
  <c r="P340" i="9"/>
  <c r="AZ189" i="9"/>
  <c r="P189" i="9"/>
  <c r="AB179" i="9"/>
  <c r="AA961" i="9"/>
  <c r="AB145" i="9"/>
  <c r="AB322" i="9"/>
  <c r="P835" i="9"/>
  <c r="AZ835" i="9"/>
  <c r="V939" i="9"/>
  <c r="Z939" i="9"/>
  <c r="BD939" i="9"/>
  <c r="W939" i="9"/>
  <c r="BA945" i="9"/>
  <c r="P945" i="9"/>
  <c r="AZ680" i="9"/>
  <c r="P680" i="9"/>
  <c r="AB465" i="9"/>
  <c r="AA360" i="9"/>
  <c r="AB86" i="9"/>
  <c r="AA876" i="9"/>
  <c r="AA243" i="9"/>
  <c r="AE243" i="9"/>
  <c r="AF243" i="9"/>
  <c r="AB679" i="9"/>
  <c r="AB873" i="9"/>
  <c r="AB14" i="9"/>
  <c r="AA707" i="9"/>
  <c r="AB735" i="9"/>
  <c r="S256" i="9"/>
  <c r="BB256" i="9"/>
  <c r="P692" i="9"/>
  <c r="AZ692" i="9"/>
  <c r="AZ354" i="9"/>
  <c r="P354" i="9"/>
  <c r="BA671" i="9"/>
  <c r="P671" i="9"/>
  <c r="P180" i="9"/>
  <c r="AZ180" i="9"/>
  <c r="Y939" i="9"/>
  <c r="X939" i="9"/>
  <c r="X638" i="9"/>
  <c r="Y638" i="9"/>
  <c r="BB730" i="9"/>
  <c r="S730" i="9"/>
  <c r="S677" i="9"/>
  <c r="BB677" i="9"/>
  <c r="P244" i="9"/>
  <c r="AZ244" i="9"/>
  <c r="BB220" i="9"/>
  <c r="S220" i="9"/>
  <c r="AZ919" i="9"/>
  <c r="P919" i="9"/>
  <c r="AB876" i="9"/>
  <c r="AA745" i="9"/>
  <c r="BD105" i="9"/>
  <c r="W105" i="9"/>
  <c r="V105" i="9"/>
  <c r="Z105" i="9"/>
  <c r="BB898" i="9"/>
  <c r="S898" i="9"/>
  <c r="P771" i="9"/>
  <c r="AZ771" i="9"/>
  <c r="P387" i="9"/>
  <c r="AZ387" i="9"/>
  <c r="V638" i="9"/>
  <c r="Z638" i="9"/>
  <c r="BD638" i="9"/>
  <c r="W638" i="9"/>
  <c r="P901" i="9"/>
  <c r="AZ901" i="9"/>
  <c r="AZ415" i="9"/>
  <c r="P415" i="9"/>
  <c r="S278" i="9"/>
  <c r="BB278" i="9"/>
  <c r="P854" i="9"/>
  <c r="AZ854" i="9"/>
  <c r="S913" i="9"/>
  <c r="BB913" i="9"/>
  <c r="BD654" i="9"/>
  <c r="W654" i="9"/>
  <c r="V654" i="9"/>
  <c r="Z654" i="9"/>
  <c r="S459" i="9"/>
  <c r="BB459" i="9"/>
  <c r="Y46" i="9"/>
  <c r="X46" i="9"/>
  <c r="S260" i="9"/>
  <c r="BB260" i="9"/>
  <c r="BC993" i="9"/>
  <c r="S993" i="9"/>
  <c r="BB600" i="9"/>
  <c r="S600" i="9"/>
  <c r="S176" i="9"/>
  <c r="BB176" i="9"/>
  <c r="BB66" i="9"/>
  <c r="S66" i="9"/>
  <c r="V792" i="9"/>
  <c r="Z792" i="9"/>
  <c r="BD792" i="9"/>
  <c r="W792" i="9"/>
  <c r="BA686" i="9"/>
  <c r="P686" i="9"/>
  <c r="Y494" i="9"/>
  <c r="X494" i="9"/>
  <c r="S791" i="9"/>
  <c r="BB791" i="9"/>
  <c r="Y231" i="9"/>
  <c r="X231" i="9"/>
  <c r="Y627" i="9"/>
  <c r="X627" i="9"/>
  <c r="Y778" i="9"/>
  <c r="X778" i="9"/>
  <c r="Y717" i="9"/>
  <c r="X717" i="9"/>
  <c r="Y341" i="9"/>
  <c r="X341" i="9"/>
  <c r="BB238" i="9"/>
  <c r="S238" i="9"/>
  <c r="Y302" i="9"/>
  <c r="X302" i="9"/>
  <c r="S827" i="9"/>
  <c r="BB827" i="9"/>
  <c r="S36" i="9"/>
  <c r="BB36" i="9"/>
  <c r="BA966" i="9"/>
  <c r="P966" i="9"/>
  <c r="X375" i="9"/>
  <c r="Y375" i="9"/>
  <c r="BB725" i="9"/>
  <c r="S725" i="9"/>
  <c r="BB948" i="9"/>
  <c r="S948" i="9"/>
  <c r="BB255" i="9"/>
  <c r="S255" i="9"/>
  <c r="AE619" i="9"/>
  <c r="AF619" i="9"/>
  <c r="BD945" i="9"/>
  <c r="S257" i="9"/>
  <c r="BB257" i="9"/>
  <c r="S871" i="9"/>
  <c r="BB871" i="9"/>
  <c r="BB989" i="9"/>
  <c r="S989" i="9"/>
  <c r="AZ210" i="9"/>
  <c r="P210" i="9"/>
  <c r="V308" i="9"/>
  <c r="Z308" i="9"/>
  <c r="BD308" i="9"/>
  <c r="W308" i="9"/>
  <c r="BD779" i="9"/>
  <c r="BD789" i="9"/>
  <c r="W789" i="9"/>
  <c r="V789" i="9"/>
  <c r="Z789" i="9"/>
  <c r="Y943" i="9"/>
  <c r="X943" i="9"/>
  <c r="BD586" i="9"/>
  <c r="W586" i="9"/>
  <c r="V586" i="9"/>
  <c r="Z586" i="9"/>
  <c r="BB382" i="9"/>
  <c r="S382" i="9"/>
  <c r="S431" i="9"/>
  <c r="BB431" i="9"/>
  <c r="V595" i="9"/>
  <c r="Z595" i="9"/>
  <c r="BD595" i="9"/>
  <c r="W595" i="9"/>
  <c r="Y938" i="9"/>
  <c r="X938" i="9"/>
  <c r="V690" i="9"/>
  <c r="Z690" i="9"/>
  <c r="BD690" i="9"/>
  <c r="W690" i="9"/>
  <c r="BB824" i="9"/>
  <c r="S824" i="9"/>
  <c r="Y212" i="9"/>
  <c r="X212" i="9"/>
  <c r="P647" i="9"/>
  <c r="AZ647" i="9"/>
  <c r="X762" i="9"/>
  <c r="Y762" i="9"/>
  <c r="S848" i="9"/>
  <c r="BB848" i="9"/>
  <c r="S591" i="9"/>
  <c r="BB591" i="9"/>
  <c r="S400" i="9"/>
  <c r="BB400" i="9"/>
  <c r="Y925" i="9"/>
  <c r="X925" i="9"/>
  <c r="AB580" i="9"/>
  <c r="AZ837" i="9"/>
  <c r="P837" i="9"/>
  <c r="Y598" i="9"/>
  <c r="X598" i="9"/>
  <c r="S973" i="9"/>
  <c r="BB973" i="9"/>
  <c r="P564" i="9"/>
  <c r="AZ564" i="9"/>
  <c r="V231" i="9"/>
  <c r="Z231" i="9"/>
  <c r="BD231" i="9"/>
  <c r="W231" i="9"/>
  <c r="Y972" i="9"/>
  <c r="X972" i="9"/>
  <c r="AB360" i="9"/>
  <c r="BD199" i="9"/>
  <c r="W199" i="9"/>
  <c r="V199" i="9"/>
  <c r="Z199" i="9"/>
  <c r="BD545" i="9"/>
  <c r="AZ721" i="9"/>
  <c r="P721" i="9"/>
  <c r="BD894" i="9"/>
  <c r="W894" i="9"/>
  <c r="V894" i="9"/>
  <c r="Z894" i="9"/>
  <c r="BE895" i="9"/>
  <c r="W895" i="9"/>
  <c r="V895" i="9"/>
  <c r="Z895" i="9"/>
  <c r="AG869" i="9"/>
  <c r="AE869" i="9"/>
  <c r="AF869" i="9"/>
  <c r="AH869" i="9"/>
  <c r="AA86" i="9"/>
  <c r="AB26" i="9"/>
  <c r="BB817" i="9"/>
  <c r="S817" i="9"/>
  <c r="AZ60" i="9"/>
  <c r="P60" i="9"/>
  <c r="Y298" i="9"/>
  <c r="X298" i="9"/>
  <c r="BD778" i="9"/>
  <c r="W778" i="9"/>
  <c r="V778" i="9"/>
  <c r="Z778" i="9"/>
  <c r="S218" i="9"/>
  <c r="BB218" i="9"/>
  <c r="BB122" i="9"/>
  <c r="S122" i="9"/>
  <c r="BB693" i="9"/>
  <c r="S693" i="9"/>
  <c r="BB191" i="9"/>
  <c r="S191" i="9"/>
  <c r="S15" i="9"/>
  <c r="BB15" i="9"/>
  <c r="V764" i="9"/>
  <c r="Z764" i="9"/>
  <c r="BD764" i="9"/>
  <c r="W764" i="9"/>
  <c r="S64" i="9"/>
  <c r="BB64" i="9"/>
  <c r="BB102" i="9"/>
  <c r="S102" i="9"/>
  <c r="BD317" i="9"/>
  <c r="W317" i="9"/>
  <c r="V317" i="9"/>
  <c r="Z317" i="9"/>
  <c r="X599" i="9"/>
  <c r="Y599" i="9"/>
  <c r="Y344" i="9"/>
  <c r="X344" i="9"/>
  <c r="BB850" i="9"/>
  <c r="S850" i="9"/>
  <c r="X44" i="9"/>
  <c r="Y44" i="9"/>
  <c r="Y232" i="9"/>
  <c r="X232" i="9"/>
  <c r="BB839" i="9"/>
  <c r="S839" i="9"/>
  <c r="AB243" i="9"/>
  <c r="AA679" i="9"/>
  <c r="BB605" i="9"/>
  <c r="S605" i="9"/>
  <c r="P147" i="9"/>
  <c r="AZ147" i="9"/>
  <c r="BB112" i="9"/>
  <c r="S112" i="9"/>
  <c r="BD376" i="9"/>
  <c r="W376" i="9"/>
  <c r="V376" i="9"/>
  <c r="Z376" i="9"/>
  <c r="Y313" i="9"/>
  <c r="X313" i="9"/>
  <c r="V717" i="9"/>
  <c r="Z717" i="9"/>
  <c r="BD717" i="9"/>
  <c r="W717" i="9"/>
  <c r="BB394" i="9"/>
  <c r="S394" i="9"/>
  <c r="BD842" i="9"/>
  <c r="W842" i="9"/>
  <c r="V842" i="9"/>
  <c r="Z842" i="9"/>
  <c r="BD341" i="9"/>
  <c r="W341" i="9"/>
  <c r="V341" i="9"/>
  <c r="Z341" i="9"/>
  <c r="X805" i="9"/>
  <c r="Y805" i="9"/>
  <c r="S421" i="9"/>
  <c r="BB421" i="9"/>
  <c r="BB386" i="9"/>
  <c r="S386" i="9"/>
  <c r="AZ186" i="9"/>
  <c r="P186" i="9"/>
  <c r="AA61" i="9"/>
  <c r="BB558" i="9"/>
  <c r="S558" i="9"/>
  <c r="BB512" i="9"/>
  <c r="S512" i="9"/>
  <c r="BD302" i="9"/>
  <c r="W302" i="9"/>
  <c r="V302" i="9"/>
  <c r="Z302" i="9"/>
  <c r="AZ592" i="9"/>
  <c r="P592" i="9"/>
  <c r="BD670" i="9"/>
  <c r="W670" i="9"/>
  <c r="V670" i="9"/>
  <c r="Z670" i="9"/>
  <c r="X493" i="9"/>
  <c r="Y493" i="9"/>
  <c r="Y474" i="9"/>
  <c r="X474" i="9"/>
  <c r="AB239" i="9"/>
  <c r="S635" i="9"/>
  <c r="BB635" i="9"/>
  <c r="BB612" i="9"/>
  <c r="S612" i="9"/>
  <c r="AA888" i="9"/>
  <c r="V853" i="9"/>
  <c r="Z853" i="9"/>
  <c r="BD853" i="9"/>
  <c r="W853" i="9"/>
  <c r="BD556" i="9"/>
  <c r="W556" i="9"/>
  <c r="V556" i="9"/>
  <c r="Z556" i="9"/>
  <c r="BD865" i="9"/>
  <c r="W865" i="9"/>
  <c r="V865" i="9"/>
  <c r="Z865" i="9"/>
  <c r="BB113" i="9"/>
  <c r="S113" i="9"/>
  <c r="V933" i="9"/>
  <c r="Z933" i="9"/>
  <c r="BD933" i="9"/>
  <c r="W933" i="9"/>
  <c r="S214" i="9"/>
  <c r="BB214" i="9"/>
  <c r="Y414" i="9"/>
  <c r="X414" i="9"/>
  <c r="BB620" i="9"/>
  <c r="S620" i="9"/>
  <c r="BB143" i="9"/>
  <c r="S143" i="9"/>
  <c r="AZ163" i="9"/>
  <c r="P163" i="9"/>
  <c r="BB567" i="9"/>
  <c r="S567" i="9"/>
  <c r="BE334" i="9"/>
  <c r="W334" i="9"/>
  <c r="V334" i="9"/>
  <c r="Z334" i="9"/>
  <c r="BB914" i="9"/>
  <c r="S914" i="9"/>
  <c r="BA659" i="9"/>
  <c r="P659" i="9"/>
  <c r="X16" i="9"/>
  <c r="Y16" i="9"/>
  <c r="V131" i="9"/>
  <c r="Z131" i="9"/>
  <c r="BD131" i="9"/>
  <c r="W131" i="9"/>
  <c r="BA775" i="9"/>
  <c r="P775" i="9"/>
  <c r="BB173" i="9"/>
  <c r="S173" i="9"/>
  <c r="X399" i="9"/>
  <c r="Y399" i="9"/>
  <c r="Y406" i="9"/>
  <c r="X406" i="9"/>
  <c r="S623" i="9"/>
  <c r="BB623" i="9"/>
  <c r="V336" i="9"/>
  <c r="Z336" i="9"/>
  <c r="BD336" i="9"/>
  <c r="W336" i="9"/>
  <c r="BD666" i="9"/>
  <c r="W666" i="9"/>
  <c r="V666" i="9"/>
  <c r="Z666" i="9"/>
  <c r="X397" i="9"/>
  <c r="Y397" i="9"/>
  <c r="BB107" i="9"/>
  <c r="S107" i="9"/>
  <c r="AB707" i="9"/>
  <c r="AG707" i="9"/>
  <c r="Y525" i="9"/>
  <c r="X525" i="9"/>
  <c r="AA467" i="9"/>
  <c r="V678" i="9"/>
  <c r="Z678" i="9"/>
  <c r="BD678" i="9"/>
  <c r="W678" i="9"/>
  <c r="AB619" i="9"/>
  <c r="AG619" i="9"/>
  <c r="X497" i="9"/>
  <c r="Y497" i="9"/>
  <c r="AB872" i="9"/>
  <c r="AG872" i="9"/>
  <c r="V348" i="9"/>
  <c r="Z348" i="9"/>
  <c r="BD348" i="9"/>
  <c r="W348" i="9"/>
  <c r="S396" i="9"/>
  <c r="BB396" i="9"/>
  <c r="BB940" i="9"/>
  <c r="S940" i="9"/>
  <c r="BD404" i="9"/>
  <c r="W404" i="9"/>
  <c r="V404" i="9"/>
  <c r="Z404" i="9"/>
  <c r="Y81" i="9"/>
  <c r="X81" i="9"/>
  <c r="X389" i="9"/>
  <c r="Y389" i="9"/>
  <c r="AE288" i="9"/>
  <c r="AF288" i="9"/>
  <c r="AH288" i="9"/>
  <c r="AG288" i="9"/>
  <c r="S452" i="9"/>
  <c r="BB452" i="9"/>
  <c r="BB746" i="9"/>
  <c r="S746" i="9"/>
  <c r="S443" i="9"/>
  <c r="BB443" i="9"/>
  <c r="V667" i="9"/>
  <c r="Z667" i="9"/>
  <c r="BD667" i="9"/>
  <c r="W667" i="9"/>
  <c r="S828" i="9"/>
  <c r="BB828" i="9"/>
  <c r="AB141" i="9"/>
  <c r="V669" i="9"/>
  <c r="Z669" i="9"/>
  <c r="BD669" i="9"/>
  <c r="W669" i="9"/>
  <c r="Y393" i="9"/>
  <c r="X393" i="9"/>
  <c r="BB532" i="9"/>
  <c r="S532" i="9"/>
  <c r="BD236" i="9"/>
  <c r="W236" i="9"/>
  <c r="V236" i="9"/>
  <c r="Z236" i="9"/>
  <c r="BB534" i="9"/>
  <c r="S534" i="9"/>
  <c r="AA735" i="9"/>
  <c r="BB887" i="9"/>
  <c r="S887" i="9"/>
  <c r="BB471" i="9"/>
  <c r="S471" i="9"/>
  <c r="BB273" i="9"/>
  <c r="S273" i="9"/>
  <c r="AA653" i="9"/>
  <c r="BA529" i="9"/>
  <c r="P529" i="9"/>
  <c r="BB566" i="9"/>
  <c r="S566" i="9"/>
  <c r="BD377" i="9"/>
  <c r="W377" i="9"/>
  <c r="V377" i="9"/>
  <c r="Z377" i="9"/>
  <c r="P121" i="9"/>
  <c r="AZ121" i="9"/>
  <c r="S531" i="9"/>
  <c r="BB531" i="9"/>
  <c r="V935" i="9"/>
  <c r="Z935" i="9"/>
  <c r="BD935" i="9"/>
  <c r="W935" i="9"/>
  <c r="Y483" i="9"/>
  <c r="X483" i="9"/>
  <c r="AG636" i="9"/>
  <c r="AE636" i="9"/>
  <c r="AF636" i="9"/>
  <c r="AH636" i="9"/>
  <c r="AZ424" i="9"/>
  <c r="P424" i="9"/>
  <c r="S852" i="9"/>
  <c r="BB852" i="9"/>
  <c r="AZ981" i="9"/>
  <c r="P981" i="9"/>
  <c r="S258" i="9"/>
  <c r="BB258" i="9"/>
  <c r="BB251" i="9"/>
  <c r="S251" i="9"/>
  <c r="S716" i="9"/>
  <c r="BB716" i="9"/>
  <c r="S380" i="9"/>
  <c r="BB380" i="9"/>
  <c r="AB208" i="9"/>
  <c r="Y894" i="9"/>
  <c r="AB894" i="9"/>
  <c r="X894" i="9"/>
  <c r="AA894" i="9"/>
  <c r="AZ957" i="9"/>
  <c r="P957" i="9"/>
  <c r="BB88" i="9"/>
  <c r="S88" i="9"/>
  <c r="P896" i="9"/>
  <c r="AZ896" i="9"/>
  <c r="V213" i="9"/>
  <c r="Z213" i="9"/>
  <c r="BD213" i="9"/>
  <c r="W213" i="9"/>
  <c r="AA739" i="9"/>
  <c r="V474" i="9"/>
  <c r="Z474" i="9"/>
  <c r="BD474" i="9"/>
  <c r="W474" i="9"/>
  <c r="BC507" i="9"/>
  <c r="S507" i="9"/>
  <c r="BD367" i="9"/>
  <c r="X509" i="9"/>
  <c r="Y509" i="9"/>
  <c r="Y334" i="9"/>
  <c r="AB334" i="9"/>
  <c r="X334" i="9"/>
  <c r="BB167" i="9"/>
  <c r="S167" i="9"/>
  <c r="V16" i="9"/>
  <c r="Z16" i="9"/>
  <c r="BD16" i="9"/>
  <c r="W16" i="9"/>
  <c r="V422" i="9"/>
  <c r="Z422" i="9"/>
  <c r="BD422" i="9"/>
  <c r="W422" i="9"/>
  <c r="BD200" i="9"/>
  <c r="W200" i="9"/>
  <c r="V200" i="9"/>
  <c r="Z200" i="9"/>
  <c r="BB98" i="9"/>
  <c r="S98" i="9"/>
  <c r="S798" i="9"/>
  <c r="BB798" i="9"/>
  <c r="Y332" i="9"/>
  <c r="X332" i="9"/>
  <c r="X4" i="9"/>
  <c r="Y4" i="9"/>
  <c r="BD497" i="9"/>
  <c r="W497" i="9"/>
  <c r="V497" i="9"/>
  <c r="Z497" i="9"/>
  <c r="Y763" i="9"/>
  <c r="X763" i="9"/>
  <c r="S27" i="9"/>
  <c r="BB27" i="9"/>
  <c r="Y669" i="9"/>
  <c r="X669" i="9"/>
  <c r="BD971" i="9"/>
  <c r="W971" i="9"/>
  <c r="V971" i="9"/>
  <c r="Z971" i="9"/>
  <c r="BB301" i="9"/>
  <c r="S301" i="9"/>
  <c r="BD478" i="9"/>
  <c r="W478" i="9"/>
  <c r="V478" i="9"/>
  <c r="Z478" i="9"/>
  <c r="S233" i="9"/>
  <c r="BB233" i="9"/>
  <c r="AA851" i="9"/>
  <c r="BE943" i="9"/>
  <c r="W943" i="9"/>
  <c r="V943" i="9"/>
  <c r="Z943" i="9"/>
  <c r="S76" i="9"/>
  <c r="BB76" i="9"/>
  <c r="AG77" i="9"/>
  <c r="AE77" i="9"/>
  <c r="AF77" i="9"/>
  <c r="AH77" i="9"/>
  <c r="S106" i="9"/>
  <c r="BB106" i="9"/>
  <c r="BD630" i="9"/>
  <c r="W630" i="9"/>
  <c r="V630" i="9"/>
  <c r="Z630" i="9"/>
  <c r="Y595" i="9"/>
  <c r="X595" i="9"/>
  <c r="Y228" i="9"/>
  <c r="X228" i="9"/>
  <c r="P708" i="9"/>
  <c r="AZ708" i="9"/>
  <c r="BB829" i="9"/>
  <c r="S829" i="9"/>
  <c r="AE330" i="9"/>
  <c r="AF330" i="9"/>
  <c r="AH330" i="9"/>
  <c r="AG330" i="9"/>
  <c r="BD212" i="9"/>
  <c r="W212" i="9"/>
  <c r="V212" i="9"/>
  <c r="Z212" i="9"/>
  <c r="BC495" i="9"/>
  <c r="S495" i="9"/>
  <c r="P89" i="9"/>
  <c r="AZ89" i="9"/>
  <c r="S409" i="9"/>
  <c r="BB409" i="9"/>
  <c r="V925" i="9"/>
  <c r="Z925" i="9"/>
  <c r="BD925" i="9"/>
  <c r="W925" i="9"/>
  <c r="S162" i="9"/>
  <c r="BB162" i="9"/>
  <c r="AA580" i="9"/>
  <c r="P962" i="9"/>
  <c r="AZ962" i="9"/>
  <c r="BB820" i="9"/>
  <c r="S820" i="9"/>
  <c r="BB668" i="9"/>
  <c r="S668" i="9"/>
  <c r="BB434" i="9"/>
  <c r="S434" i="9"/>
  <c r="V598" i="9"/>
  <c r="Z598" i="9"/>
  <c r="BD598" i="9"/>
  <c r="W598" i="9"/>
  <c r="BA776" i="9"/>
  <c r="P776" i="9"/>
  <c r="AA877" i="9"/>
  <c r="V972" i="9"/>
  <c r="Z972" i="9"/>
  <c r="BD972" i="9"/>
  <c r="W972" i="9"/>
  <c r="AG360" i="9"/>
  <c r="X199" i="9"/>
  <c r="Y199" i="9"/>
  <c r="AB199" i="9"/>
  <c r="V92" i="9"/>
  <c r="Z92" i="9"/>
  <c r="BD92" i="9"/>
  <c r="W92" i="9"/>
  <c r="BB645" i="9"/>
  <c r="S645" i="9"/>
  <c r="S796" i="9"/>
  <c r="BB796" i="9"/>
  <c r="BD298" i="9"/>
  <c r="W298" i="9"/>
  <c r="V298" i="9"/>
  <c r="Z298" i="9"/>
  <c r="X733" i="9"/>
  <c r="Y733" i="9"/>
  <c r="P975" i="9"/>
  <c r="AZ975" i="9"/>
  <c r="P136" i="9"/>
  <c r="AZ136" i="9"/>
  <c r="X764" i="9"/>
  <c r="Y764" i="9"/>
  <c r="BB952" i="9"/>
  <c r="S952" i="9"/>
  <c r="AZ720" i="9"/>
  <c r="P720" i="9"/>
  <c r="BD599" i="9"/>
  <c r="W599" i="9"/>
  <c r="V599" i="9"/>
  <c r="Z599" i="9"/>
  <c r="X983" i="9"/>
  <c r="Y983" i="9"/>
  <c r="BD232" i="9"/>
  <c r="W232" i="9"/>
  <c r="V232" i="9"/>
  <c r="Z232" i="9"/>
  <c r="BB695" i="9"/>
  <c r="S695" i="9"/>
  <c r="V312" i="9"/>
  <c r="Z312" i="9"/>
  <c r="BD312" i="9"/>
  <c r="W312" i="9"/>
  <c r="X283" i="9"/>
  <c r="Y283" i="9"/>
  <c r="Y161" i="9"/>
  <c r="X161" i="9"/>
  <c r="AB794" i="9"/>
  <c r="P976" i="9"/>
  <c r="AZ976" i="9"/>
  <c r="BB390" i="9"/>
  <c r="S390" i="9"/>
  <c r="S712" i="9"/>
  <c r="BB712" i="9"/>
  <c r="P249" i="9"/>
  <c r="AZ249" i="9"/>
  <c r="X196" i="9"/>
  <c r="Y196" i="9"/>
  <c r="Y376" i="9"/>
  <c r="AB376" i="9"/>
  <c r="X376" i="9"/>
  <c r="AA376" i="9"/>
  <c r="BB91" i="9"/>
  <c r="S91" i="9"/>
  <c r="BD313" i="9"/>
  <c r="W313" i="9"/>
  <c r="V313" i="9"/>
  <c r="Z313" i="9"/>
  <c r="P133" i="9"/>
  <c r="AZ133" i="9"/>
  <c r="S698" i="9"/>
  <c r="BB698" i="9"/>
  <c r="Y997" i="9"/>
  <c r="X997" i="9"/>
  <c r="V805" i="9"/>
  <c r="Z805" i="9"/>
  <c r="BD805" i="9"/>
  <c r="W805" i="9"/>
  <c r="S571" i="9"/>
  <c r="BB571" i="9"/>
  <c r="BB924" i="9"/>
  <c r="S924" i="9"/>
  <c r="V48" i="9"/>
  <c r="Z48" i="9"/>
  <c r="BD48" i="9"/>
  <c r="W48" i="9"/>
  <c r="BB979" i="9"/>
  <c r="S979" i="9"/>
  <c r="AB61" i="9"/>
  <c r="S826" i="9"/>
  <c r="BB826" i="9"/>
  <c r="AA724" i="9"/>
  <c r="AA310" i="9"/>
  <c r="AA42" i="9"/>
  <c r="AA442" i="9"/>
  <c r="BB62" i="9"/>
  <c r="S62" i="9"/>
  <c r="S889" i="9"/>
  <c r="BB889" i="9"/>
  <c r="S217" i="9"/>
  <c r="BB217" i="9"/>
  <c r="BB542" i="9"/>
  <c r="S542" i="9"/>
  <c r="S701" i="9"/>
  <c r="BB701" i="9"/>
  <c r="BB982" i="9"/>
  <c r="S982" i="9"/>
  <c r="AG164" i="9"/>
  <c r="AE164" i="9"/>
  <c r="AF164" i="9"/>
  <c r="AH164" i="9"/>
  <c r="S230" i="9"/>
  <c r="BB230" i="9"/>
  <c r="S861" i="9"/>
  <c r="BB861" i="9"/>
  <c r="BB990" i="9"/>
  <c r="S990" i="9"/>
  <c r="BB604" i="9"/>
  <c r="S604" i="9"/>
  <c r="V797" i="9"/>
  <c r="Z797" i="9"/>
  <c r="BD797" i="9"/>
  <c r="W797" i="9"/>
  <c r="AB888" i="9"/>
  <c r="Y407" i="9"/>
  <c r="X407" i="9"/>
  <c r="X853" i="9"/>
  <c r="AA853" i="9"/>
  <c r="Y853" i="9"/>
  <c r="AB853" i="9"/>
  <c r="X691" i="9"/>
  <c r="Y691" i="9"/>
  <c r="Y933" i="9"/>
  <c r="AB933" i="9"/>
  <c r="X933" i="9"/>
  <c r="AA933" i="9"/>
  <c r="AA915" i="9"/>
  <c r="V414" i="9"/>
  <c r="Z414" i="9"/>
  <c r="BD414" i="9"/>
  <c r="W414" i="9"/>
  <c r="BD481" i="9"/>
  <c r="W481" i="9"/>
  <c r="V481" i="9"/>
  <c r="Z481" i="9"/>
  <c r="BC998" i="9"/>
  <c r="S998" i="9"/>
  <c r="V274" i="9"/>
  <c r="Z274" i="9"/>
  <c r="BD274" i="9"/>
  <c r="W274" i="9"/>
  <c r="BB819" i="9"/>
  <c r="S819" i="9"/>
  <c r="BD776" i="9"/>
  <c r="S709" i="9"/>
  <c r="BB709" i="9"/>
  <c r="BB197" i="9"/>
  <c r="S197" i="9"/>
  <c r="X965" i="9"/>
  <c r="Y965" i="9"/>
  <c r="AZ640" i="9"/>
  <c r="P640" i="9"/>
  <c r="S339" i="9"/>
  <c r="BB339" i="9"/>
  <c r="X626" i="9"/>
  <c r="Y626" i="9"/>
  <c r="S909" i="9"/>
  <c r="BB909" i="9"/>
  <c r="S737" i="9"/>
  <c r="BB737" i="9"/>
  <c r="BB139" i="9"/>
  <c r="S139" i="9"/>
  <c r="S548" i="9"/>
  <c r="BB548" i="9"/>
  <c r="AZ56" i="9"/>
  <c r="P56" i="9"/>
  <c r="V406" i="9"/>
  <c r="Z406" i="9"/>
  <c r="BD406" i="9"/>
  <c r="W406" i="9"/>
  <c r="Y336" i="9"/>
  <c r="X336" i="9"/>
  <c r="X666" i="9"/>
  <c r="AA666" i="9"/>
  <c r="Y666" i="9"/>
  <c r="AB666" i="9"/>
  <c r="BD941" i="9"/>
  <c r="W941" i="9"/>
  <c r="V941" i="9"/>
  <c r="Z941" i="9"/>
  <c r="AG198" i="9"/>
  <c r="AE198" i="9"/>
  <c r="AF198" i="9"/>
  <c r="AH198" i="9"/>
  <c r="V525" i="9"/>
  <c r="Z525" i="9"/>
  <c r="BD525" i="9"/>
  <c r="W525" i="9"/>
  <c r="AB467" i="9"/>
  <c r="S573" i="9"/>
  <c r="BB573" i="9"/>
  <c r="BA687" i="9"/>
  <c r="P687" i="9"/>
  <c r="BB426" i="9"/>
  <c r="S426" i="9"/>
  <c r="BB269" i="9"/>
  <c r="S269" i="9"/>
  <c r="Y348" i="9"/>
  <c r="AB348" i="9"/>
  <c r="X348" i="9"/>
  <c r="AA348" i="9"/>
  <c r="Y404" i="9"/>
  <c r="X404" i="9"/>
  <c r="P379" i="9"/>
  <c r="AZ379" i="9"/>
  <c r="BD81" i="9"/>
  <c r="W81" i="9"/>
  <c r="V81" i="9"/>
  <c r="Z81" i="9"/>
  <c r="V12" i="9"/>
  <c r="Z12" i="9"/>
  <c r="BD12" i="9"/>
  <c r="W12" i="9"/>
  <c r="P142" i="9"/>
  <c r="AZ142" i="9"/>
  <c r="P352" i="9"/>
  <c r="AZ352" i="9"/>
  <c r="AZ610" i="9"/>
  <c r="P610" i="9"/>
  <c r="Y667" i="9"/>
  <c r="X667" i="9"/>
  <c r="AA178" i="9"/>
  <c r="AA141" i="9"/>
  <c r="Y188" i="9"/>
  <c r="X188" i="9"/>
  <c r="Y329" i="9"/>
  <c r="X329" i="9"/>
  <c r="BD577" i="9"/>
  <c r="V393" i="9"/>
  <c r="Z393" i="9"/>
  <c r="BD393" i="9"/>
  <c r="W393" i="9"/>
  <c r="S20" i="9"/>
  <c r="BB20" i="9"/>
  <c r="AG655" i="9"/>
  <c r="AE655" i="9"/>
  <c r="AF655" i="9"/>
  <c r="AH655" i="9"/>
  <c r="BB70" i="9"/>
  <c r="S70" i="9"/>
  <c r="AZ562" i="9"/>
  <c r="P562" i="9"/>
  <c r="V24" i="9"/>
  <c r="Z24" i="9"/>
  <c r="BD24" i="9"/>
  <c r="W24" i="9"/>
  <c r="Y318" i="9"/>
  <c r="X318" i="9"/>
  <c r="Y345" i="9"/>
  <c r="X345" i="9"/>
  <c r="BB750" i="9"/>
  <c r="S750" i="9"/>
  <c r="AB653" i="9"/>
  <c r="S39" i="9"/>
  <c r="BB39" i="9"/>
  <c r="AZ349" i="9"/>
  <c r="P349" i="9"/>
  <c r="BB907" i="9"/>
  <c r="S907" i="9"/>
  <c r="Y377" i="9"/>
  <c r="AB377" i="9"/>
  <c r="X377" i="9"/>
  <c r="AA377" i="9"/>
  <c r="AB104" i="9"/>
  <c r="BD483" i="9"/>
  <c r="W483" i="9"/>
  <c r="V483" i="9"/>
  <c r="Z483" i="9"/>
  <c r="AE338" i="9"/>
  <c r="AF338" i="9"/>
  <c r="AH338" i="9"/>
  <c r="AG338" i="9"/>
  <c r="AG689" i="9"/>
  <c r="AE689" i="9"/>
  <c r="AF689" i="9"/>
  <c r="AH689" i="9"/>
  <c r="Y699" i="9"/>
  <c r="X699" i="9"/>
  <c r="Y333" i="9"/>
  <c r="X333" i="9"/>
  <c r="Y587" i="9"/>
  <c r="X587" i="9"/>
  <c r="AZ768" i="9"/>
  <c r="P768" i="9"/>
  <c r="BD658" i="9"/>
  <c r="W658" i="9"/>
  <c r="V658" i="9"/>
  <c r="Z658" i="9"/>
  <c r="S539" i="9"/>
  <c r="BB539" i="9"/>
  <c r="AE134" i="9"/>
  <c r="AF134" i="9"/>
  <c r="X586" i="9"/>
  <c r="Y586" i="9"/>
  <c r="Y690" i="9"/>
  <c r="X690" i="9"/>
  <c r="AG991" i="9"/>
  <c r="AE991" i="9"/>
  <c r="AF991" i="9"/>
  <c r="AH991" i="9"/>
  <c r="X639" i="9"/>
  <c r="Y639" i="9"/>
  <c r="V344" i="9"/>
  <c r="Z344" i="9"/>
  <c r="BD344" i="9"/>
  <c r="W344" i="9"/>
  <c r="V44" i="9"/>
  <c r="Z44" i="9"/>
  <c r="BD44" i="9"/>
  <c r="W44" i="9"/>
  <c r="BB246" i="9"/>
  <c r="S246" i="9"/>
  <c r="BB267" i="9"/>
  <c r="S267" i="9"/>
  <c r="BC511" i="9"/>
  <c r="S511" i="9"/>
  <c r="S875" i="9"/>
  <c r="BB875" i="9"/>
  <c r="AB579" i="9"/>
  <c r="AG715" i="9"/>
  <c r="AE715" i="9"/>
  <c r="AF715" i="9"/>
  <c r="AH715" i="9"/>
  <c r="BB557" i="9"/>
  <c r="S557" i="9"/>
  <c r="AE608" i="9"/>
  <c r="AF608" i="9"/>
  <c r="AE707" i="9"/>
  <c r="AF707" i="9"/>
  <c r="AH707" i="9"/>
  <c r="AZ425" i="9"/>
  <c r="P425" i="9"/>
  <c r="Y678" i="9"/>
  <c r="X678" i="9"/>
  <c r="S740" i="9"/>
  <c r="BB740" i="9"/>
  <c r="X833" i="9"/>
  <c r="Y833" i="9"/>
  <c r="V184" i="9"/>
  <c r="Z184" i="9"/>
  <c r="BD184" i="9"/>
  <c r="W184" i="9"/>
  <c r="S103" i="9"/>
  <c r="BB103" i="9"/>
  <c r="P155" i="9"/>
  <c r="AZ155" i="9"/>
  <c r="AZ52" i="9"/>
  <c r="P52" i="9"/>
  <c r="BD321" i="9"/>
  <c r="W321" i="9"/>
  <c r="V321" i="9"/>
  <c r="Z321" i="9"/>
  <c r="BB921" i="9"/>
  <c r="S921" i="9"/>
  <c r="S884" i="9"/>
  <c r="BB884" i="9"/>
  <c r="BC487" i="9"/>
  <c r="S487" i="9"/>
  <c r="S82" i="9"/>
  <c r="BB82" i="9"/>
  <c r="S502" i="9"/>
  <c r="BB502" i="9"/>
  <c r="Y308" i="9"/>
  <c r="X308" i="9"/>
  <c r="P117" i="9"/>
  <c r="AZ117" i="9"/>
  <c r="BA533" i="9"/>
  <c r="P533" i="9"/>
  <c r="V254" i="9"/>
  <c r="Z254" i="9"/>
  <c r="BD254" i="9"/>
  <c r="W254" i="9"/>
  <c r="BB438" i="9"/>
  <c r="S438" i="9"/>
  <c r="V951" i="9"/>
  <c r="Z951" i="9"/>
  <c r="BD951" i="9"/>
  <c r="W951" i="9"/>
  <c r="BB115" i="9"/>
  <c r="S115" i="9"/>
  <c r="S364" i="9"/>
  <c r="BB364" i="9"/>
  <c r="BB90" i="9"/>
  <c r="S90" i="9"/>
  <c r="AG247" i="9"/>
  <c r="AE247" i="9"/>
  <c r="AF247" i="9"/>
  <c r="AH247" i="9"/>
  <c r="S120" i="9"/>
  <c r="BB120" i="9"/>
  <c r="BB582" i="9"/>
  <c r="S582" i="9"/>
  <c r="AZ440" i="9"/>
  <c r="P440" i="9"/>
  <c r="S900" i="9"/>
  <c r="BB900" i="9"/>
  <c r="Y585" i="9"/>
  <c r="X585" i="9"/>
  <c r="Y370" i="9"/>
  <c r="X370" i="9"/>
  <c r="BB546" i="9"/>
  <c r="S546" i="9"/>
  <c r="Y601" i="9"/>
  <c r="X601" i="9"/>
  <c r="X630" i="9"/>
  <c r="Y630" i="9"/>
  <c r="BD228" i="9"/>
  <c r="W228" i="9"/>
  <c r="V228" i="9"/>
  <c r="Z228" i="9"/>
  <c r="V611" i="9"/>
  <c r="Z611" i="9"/>
  <c r="BD611" i="9"/>
  <c r="W611" i="9"/>
  <c r="Y305" i="9"/>
  <c r="X305" i="9"/>
  <c r="BB823" i="9"/>
  <c r="S823" i="9"/>
  <c r="P899" i="9"/>
  <c r="AZ899" i="9"/>
  <c r="S202" i="9"/>
  <c r="BB202" i="9"/>
  <c r="AG281" i="9"/>
  <c r="AE281" i="9"/>
  <c r="AF281" i="9"/>
  <c r="AH281" i="9"/>
  <c r="S447" i="9"/>
  <c r="BB447" i="9"/>
  <c r="S821" i="9"/>
  <c r="BB821" i="9"/>
  <c r="S987" i="9"/>
  <c r="BB987" i="9"/>
  <c r="P351" i="9"/>
  <c r="AZ351" i="9"/>
  <c r="P856" i="9"/>
  <c r="AZ856" i="9"/>
  <c r="AB632" i="9"/>
  <c r="AB877" i="9"/>
  <c r="AG590" i="9"/>
  <c r="AE590" i="9"/>
  <c r="AF590" i="9"/>
  <c r="AH590" i="9"/>
  <c r="S299" i="9"/>
  <c r="BB299" i="9"/>
  <c r="AE342" i="9"/>
  <c r="AF342" i="9"/>
  <c r="AH342" i="9"/>
  <c r="AG342" i="9"/>
  <c r="X92" i="9"/>
  <c r="AA92" i="9"/>
  <c r="Y92" i="9"/>
  <c r="AB92" i="9"/>
  <c r="S569" i="9"/>
  <c r="BB569" i="9"/>
  <c r="S237" i="9"/>
  <c r="BB237" i="9"/>
  <c r="S284" i="9"/>
  <c r="BB284" i="9"/>
  <c r="BB936" i="9"/>
  <c r="S936" i="9"/>
  <c r="P158" i="9"/>
  <c r="AZ158" i="9"/>
  <c r="S295" i="9"/>
  <c r="BB295" i="9"/>
  <c r="AA932" i="9"/>
  <c r="V733" i="9"/>
  <c r="Z733" i="9"/>
  <c r="BD733" i="9"/>
  <c r="W733" i="9"/>
  <c r="BB116" i="9"/>
  <c r="S116" i="9"/>
  <c r="P806" i="9"/>
  <c r="AZ806" i="9"/>
  <c r="S127" i="9"/>
  <c r="BB127" i="9"/>
  <c r="S538" i="9"/>
  <c r="BB538" i="9"/>
  <c r="BB751" i="9"/>
  <c r="S751" i="9"/>
  <c r="P125" i="9"/>
  <c r="AZ125" i="9"/>
  <c r="BD983" i="9"/>
  <c r="W983" i="9"/>
  <c r="V983" i="9"/>
  <c r="Z983" i="9"/>
  <c r="Y312" i="9"/>
  <c r="AB312" i="9"/>
  <c r="X312" i="9"/>
  <c r="AA312" i="9"/>
  <c r="BD283" i="9"/>
  <c r="W283" i="9"/>
  <c r="V283" i="9"/>
  <c r="Z283" i="9"/>
  <c r="V161" i="9"/>
  <c r="Z161" i="9"/>
  <c r="BD161" i="9"/>
  <c r="W161" i="9"/>
  <c r="AA794" i="9"/>
  <c r="AA783" i="9"/>
  <c r="P561" i="9"/>
  <c r="AZ561" i="9"/>
  <c r="BB862" i="9"/>
  <c r="S862" i="9"/>
  <c r="S470" i="9"/>
  <c r="BB470" i="9"/>
  <c r="BD196" i="9"/>
  <c r="W196" i="9"/>
  <c r="V196" i="9"/>
  <c r="Z196" i="9"/>
  <c r="AG165" i="9"/>
  <c r="AE165" i="9"/>
  <c r="AF165" i="9"/>
  <c r="AH165" i="9"/>
  <c r="S80" i="9"/>
  <c r="BB80" i="9"/>
  <c r="P651" i="9"/>
  <c r="AZ651" i="9"/>
  <c r="S270" i="9"/>
  <c r="BB270" i="9"/>
  <c r="AZ185" i="9"/>
  <c r="P185" i="9"/>
  <c r="V997" i="9"/>
  <c r="Z997" i="9"/>
  <c r="BD997" i="9"/>
  <c r="W997" i="9"/>
  <c r="S327" i="9"/>
  <c r="BB327" i="9"/>
  <c r="BB727" i="9"/>
  <c r="S727" i="9"/>
  <c r="S543" i="9"/>
  <c r="BB543" i="9"/>
  <c r="X48" i="9"/>
  <c r="AA48" i="9"/>
  <c r="Y48" i="9"/>
  <c r="AB48" i="9"/>
  <c r="BB78" i="9"/>
  <c r="S78" i="9"/>
  <c r="AB724" i="9"/>
  <c r="AB310" i="9"/>
  <c r="AB42" i="9"/>
  <c r="AB442" i="9"/>
  <c r="BB242" i="9"/>
  <c r="S242" i="9"/>
  <c r="BB633" i="9"/>
  <c r="S633" i="9"/>
  <c r="AZ563" i="9"/>
  <c r="P563" i="9"/>
  <c r="AZ87" i="9"/>
  <c r="P87" i="9"/>
  <c r="S79" i="9"/>
  <c r="BB79" i="9"/>
  <c r="Y797" i="9"/>
  <c r="X797" i="9"/>
  <c r="P262" i="9"/>
  <c r="AZ262" i="9"/>
  <c r="BD407" i="9"/>
  <c r="W407" i="9"/>
  <c r="V407" i="9"/>
  <c r="Z407" i="9"/>
  <c r="BB286" i="9"/>
  <c r="S286" i="9"/>
  <c r="BD691" i="9"/>
  <c r="W691" i="9"/>
  <c r="V691" i="9"/>
  <c r="Z691" i="9"/>
  <c r="BA468" i="9"/>
  <c r="P468" i="9"/>
  <c r="Y706" i="9"/>
  <c r="X706" i="9"/>
  <c r="S151" i="9"/>
  <c r="BB151" i="9"/>
  <c r="P923" i="9"/>
  <c r="AZ923" i="9"/>
  <c r="AB915" i="9"/>
  <c r="X481" i="9"/>
  <c r="Y481" i="9"/>
  <c r="S977" i="9"/>
  <c r="BB977" i="9"/>
  <c r="BB609" i="9"/>
  <c r="S609" i="9"/>
  <c r="S331" i="9"/>
  <c r="BB331" i="9"/>
  <c r="BB906" i="9"/>
  <c r="S906" i="9"/>
  <c r="S864" i="9"/>
  <c r="BB864" i="9"/>
  <c r="Y410" i="9"/>
  <c r="X410" i="9"/>
  <c r="Y274" i="9"/>
  <c r="X274" i="9"/>
  <c r="S646" i="9"/>
  <c r="BB646" i="9"/>
  <c r="S1000" i="9"/>
  <c r="BB1000" i="9"/>
  <c r="BD965" i="9"/>
  <c r="W965" i="9"/>
  <c r="V965" i="9"/>
  <c r="Z965" i="9"/>
  <c r="BA500" i="9"/>
  <c r="P500" i="9"/>
  <c r="S551" i="9"/>
  <c r="BB551" i="9"/>
  <c r="S845" i="9"/>
  <c r="BB845" i="9"/>
  <c r="S85" i="9"/>
  <c r="BB85" i="9"/>
  <c r="BD626" i="9"/>
  <c r="W626" i="9"/>
  <c r="V626" i="9"/>
  <c r="Z626" i="9"/>
  <c r="S822" i="9"/>
  <c r="BB822" i="9"/>
  <c r="AA457" i="9"/>
  <c r="P704" i="9"/>
  <c r="AZ704" i="9"/>
  <c r="BB683" i="9"/>
  <c r="S683" i="9"/>
  <c r="BA496" i="9"/>
  <c r="P496" i="9"/>
  <c r="AA6" i="9"/>
  <c r="BD469" i="9"/>
  <c r="W469" i="9"/>
  <c r="V469" i="9"/>
  <c r="Z469" i="9"/>
  <c r="S460" i="9"/>
  <c r="BB460" i="9"/>
  <c r="P203" i="9"/>
  <c r="AZ203" i="9"/>
  <c r="BB637" i="9"/>
  <c r="S637" i="9"/>
  <c r="X359" i="9"/>
  <c r="Y359" i="9"/>
  <c r="X941" i="9"/>
  <c r="AA941" i="9"/>
  <c r="Y941" i="9"/>
  <c r="AB941" i="9"/>
  <c r="S8" i="9"/>
  <c r="BB8" i="9"/>
  <c r="AZ928" i="9"/>
  <c r="P928" i="9"/>
  <c r="S304" i="9"/>
  <c r="BB304" i="9"/>
  <c r="BB445" i="9"/>
  <c r="S445" i="9"/>
  <c r="S19" i="9"/>
  <c r="BB19" i="9"/>
  <c r="P84" i="9"/>
  <c r="AZ84" i="9"/>
  <c r="S245" i="9"/>
  <c r="BB245" i="9"/>
  <c r="X12" i="9"/>
  <c r="AA12" i="9"/>
  <c r="Y12" i="9"/>
  <c r="AB12" i="9"/>
  <c r="S315" i="9"/>
  <c r="BB315" i="9"/>
  <c r="S148" i="9"/>
  <c r="BB148" i="9"/>
  <c r="Y174" i="9"/>
  <c r="X174" i="9"/>
  <c r="AB178" i="9"/>
  <c r="BB881" i="9"/>
  <c r="S881" i="9"/>
  <c r="BB560" i="9"/>
  <c r="S560" i="9"/>
  <c r="BB597" i="9"/>
  <c r="S597" i="9"/>
  <c r="BD188" i="9"/>
  <c r="W188" i="9"/>
  <c r="V188" i="9"/>
  <c r="Z188" i="9"/>
  <c r="BD329" i="9"/>
  <c r="W329" i="9"/>
  <c r="V329" i="9"/>
  <c r="Z329" i="9"/>
  <c r="S250" i="9"/>
  <c r="BB250" i="9"/>
  <c r="BB195" i="9"/>
  <c r="S195" i="9"/>
  <c r="BB190" i="9"/>
  <c r="S190" i="9"/>
  <c r="S427" i="9"/>
  <c r="BB427" i="9"/>
  <c r="P802" i="9"/>
  <c r="AZ802" i="9"/>
  <c r="X24" i="9"/>
  <c r="Y24" i="9"/>
  <c r="AB24" i="9"/>
  <c r="S123" i="9"/>
  <c r="BB123" i="9"/>
  <c r="BE318" i="9"/>
  <c r="W318" i="9"/>
  <c r="V318" i="9"/>
  <c r="Z318" i="9"/>
  <c r="BD345" i="9"/>
  <c r="W345" i="9"/>
  <c r="V345" i="9"/>
  <c r="Z345" i="9"/>
  <c r="V857" i="9"/>
  <c r="Z857" i="9"/>
  <c r="BD857" i="9"/>
  <c r="W857" i="9"/>
  <c r="BD420" i="9"/>
  <c r="W420" i="9"/>
  <c r="V420" i="9"/>
  <c r="Z420" i="9"/>
  <c r="V513" i="9"/>
  <c r="Z513" i="9"/>
  <c r="BD513" i="9"/>
  <c r="W513" i="9"/>
  <c r="S870" i="9"/>
  <c r="BB870" i="9"/>
  <c r="AA104" i="9"/>
  <c r="Y565" i="9"/>
  <c r="X565" i="9"/>
  <c r="S357" i="9"/>
  <c r="BB357" i="9"/>
  <c r="S439" i="9"/>
  <c r="BB439" i="9"/>
  <c r="BB782" i="9"/>
  <c r="S782" i="9"/>
  <c r="X263" i="9"/>
  <c r="Y263" i="9"/>
  <c r="AG9" i="9"/>
  <c r="AE9" i="9"/>
  <c r="AF9" i="9"/>
  <c r="AH9" i="9"/>
  <c r="AG208" i="9"/>
  <c r="AE208" i="9"/>
  <c r="AF208" i="9"/>
  <c r="AH208" i="9"/>
  <c r="AE967" i="9"/>
  <c r="AF967" i="9"/>
  <c r="S946" i="9"/>
  <c r="BB946" i="9"/>
  <c r="AA17" i="9"/>
  <c r="AE876" i="9"/>
  <c r="AF876" i="9"/>
  <c r="AZ917" i="9"/>
  <c r="P917" i="9"/>
  <c r="Y654" i="9"/>
  <c r="X654" i="9"/>
  <c r="BD699" i="9"/>
  <c r="W699" i="9"/>
  <c r="V699" i="9"/>
  <c r="Z699" i="9"/>
  <c r="P830" i="9"/>
  <c r="AZ830" i="9"/>
  <c r="BD46" i="9"/>
  <c r="W46" i="9"/>
  <c r="V46" i="9"/>
  <c r="Z46" i="9"/>
  <c r="Y324" i="9"/>
  <c r="X324" i="9"/>
  <c r="S466" i="9"/>
  <c r="BB466" i="9"/>
  <c r="V575" i="9"/>
  <c r="Z575" i="9"/>
  <c r="BD575" i="9"/>
  <c r="W575" i="9"/>
  <c r="Y895" i="9"/>
  <c r="X895" i="9"/>
  <c r="AB17" i="9"/>
  <c r="Y317" i="9"/>
  <c r="AB317" i="9"/>
  <c r="X317" i="9"/>
  <c r="AA317" i="9"/>
  <c r="BB441" i="9"/>
  <c r="S441" i="9"/>
  <c r="AG239" i="9"/>
  <c r="AE239" i="9"/>
  <c r="AF239" i="9"/>
  <c r="AH239" i="9"/>
  <c r="Y865" i="9"/>
  <c r="AB865" i="9"/>
  <c r="X865" i="9"/>
  <c r="AA865" i="9"/>
  <c r="S166" i="9"/>
  <c r="BB166" i="9"/>
  <c r="P634" i="9"/>
  <c r="AZ634" i="9"/>
  <c r="AG719" i="9"/>
  <c r="AF719" i="9"/>
  <c r="AH719" i="9"/>
  <c r="AE719" i="9"/>
  <c r="BB144" i="9"/>
  <c r="S144" i="9"/>
  <c r="S413" i="9"/>
  <c r="BB413" i="9"/>
  <c r="BD399" i="9"/>
  <c r="W399" i="9"/>
  <c r="V399" i="9"/>
  <c r="Z399" i="9"/>
  <c r="AZ289" i="9"/>
  <c r="P289" i="9"/>
  <c r="S648" i="9"/>
  <c r="BB648" i="9"/>
  <c r="V397" i="9"/>
  <c r="Z397" i="9"/>
  <c r="BD397" i="9"/>
  <c r="W397" i="9"/>
  <c r="BB271" i="9"/>
  <c r="S271" i="9"/>
  <c r="BC641" i="9"/>
  <c r="S641" i="9"/>
  <c r="BD411" i="9"/>
  <c r="W411" i="9"/>
  <c r="V411" i="9"/>
  <c r="Z411" i="9"/>
  <c r="S451" i="9"/>
  <c r="BB451" i="9"/>
  <c r="BB831" i="9"/>
  <c r="S831" i="9"/>
  <c r="V389" i="9"/>
  <c r="Z389" i="9"/>
  <c r="BD389" i="9"/>
  <c r="W389" i="9"/>
  <c r="BB374" i="9"/>
  <c r="S374" i="9"/>
  <c r="V418" i="9"/>
  <c r="Z418" i="9"/>
  <c r="BD418" i="9"/>
  <c r="W418" i="9"/>
  <c r="AE956" i="9"/>
  <c r="AF956" i="9"/>
  <c r="AH956" i="9"/>
  <c r="AG956" i="9"/>
  <c r="Y236" i="9"/>
  <c r="AB236" i="9"/>
  <c r="X236" i="9"/>
  <c r="P731" i="9"/>
  <c r="AZ731" i="9"/>
  <c r="S652" i="9"/>
  <c r="BB652" i="9"/>
  <c r="Y935" i="9"/>
  <c r="AB935" i="9"/>
  <c r="X935" i="9"/>
  <c r="AA935" i="9"/>
  <c r="Y951" i="9"/>
  <c r="AB951" i="9"/>
  <c r="X951" i="9"/>
  <c r="S266" i="9"/>
  <c r="BB266" i="9"/>
  <c r="AZ729" i="9"/>
  <c r="P729" i="9"/>
  <c r="Y549" i="9"/>
  <c r="X549" i="9"/>
  <c r="Y903" i="9"/>
  <c r="X903" i="9"/>
  <c r="AG10" i="9"/>
  <c r="AE10" i="9"/>
  <c r="AF10" i="9"/>
  <c r="AH10" i="9"/>
  <c r="BB804" i="9"/>
  <c r="S804" i="9"/>
  <c r="V549" i="9"/>
  <c r="Z549" i="9"/>
  <c r="BD549" i="9"/>
  <c r="W549" i="9"/>
  <c r="Y478" i="9"/>
  <c r="AB478" i="9"/>
  <c r="X478" i="9"/>
  <c r="AA478" i="9"/>
  <c r="AB851" i="9"/>
  <c r="S226" i="9"/>
  <c r="BB226" i="9"/>
  <c r="Y254" i="9"/>
  <c r="AB254" i="9"/>
  <c r="X254" i="9"/>
  <c r="AA254" i="9"/>
  <c r="BD968" i="9"/>
  <c r="W968" i="9"/>
  <c r="V968" i="9"/>
  <c r="Z968" i="9"/>
  <c r="BD903" i="9"/>
  <c r="W903" i="9"/>
  <c r="V903" i="9"/>
  <c r="Z903" i="9"/>
  <c r="S432" i="9"/>
  <c r="BB432" i="9"/>
  <c r="BD966" i="9"/>
  <c r="S261" i="9"/>
  <c r="BB261" i="9"/>
  <c r="Y859" i="9"/>
  <c r="X859" i="9"/>
  <c r="P523" i="9"/>
  <c r="AZ523" i="9"/>
  <c r="BB589" i="9"/>
  <c r="S589" i="9"/>
  <c r="BA841" i="9"/>
  <c r="P841" i="9"/>
  <c r="S94" i="9"/>
  <c r="BB94" i="9"/>
  <c r="AZ985" i="9"/>
  <c r="P985" i="9"/>
  <c r="S384" i="9"/>
  <c r="BB384" i="9"/>
  <c r="S59" i="9"/>
  <c r="BB59" i="9"/>
  <c r="S732" i="9"/>
  <c r="BB732" i="9"/>
  <c r="S942" i="9"/>
  <c r="BB942" i="9"/>
  <c r="AZ83" i="9"/>
  <c r="P83" i="9"/>
  <c r="V585" i="9"/>
  <c r="Z585" i="9"/>
  <c r="BD585" i="9"/>
  <c r="W585" i="9"/>
  <c r="V370" i="9"/>
  <c r="Z370" i="9"/>
  <c r="BD370" i="9"/>
  <c r="W370" i="9"/>
  <c r="Y700" i="9"/>
  <c r="X700" i="9"/>
  <c r="V601" i="9"/>
  <c r="Z601" i="9"/>
  <c r="BD601" i="9"/>
  <c r="W601" i="9"/>
  <c r="BB275" i="9"/>
  <c r="S275" i="9"/>
  <c r="BB978" i="9"/>
  <c r="S978" i="9"/>
  <c r="Y611" i="9"/>
  <c r="AB611" i="9"/>
  <c r="X611" i="9"/>
  <c r="BD305" i="9"/>
  <c r="W305" i="9"/>
  <c r="V305" i="9"/>
  <c r="Z305" i="9"/>
  <c r="BB25" i="9"/>
  <c r="S25" i="9"/>
  <c r="S234" i="9"/>
  <c r="BB234" i="9"/>
  <c r="X934" i="9"/>
  <c r="Y934" i="9"/>
  <c r="S68" i="9"/>
  <c r="BB68" i="9"/>
  <c r="BD834" i="9"/>
  <c r="W834" i="9"/>
  <c r="V834" i="9"/>
  <c r="Z834" i="9"/>
  <c r="AA465" i="9"/>
  <c r="BB449" i="9"/>
  <c r="S449" i="9"/>
  <c r="S279" i="9"/>
  <c r="BB279" i="9"/>
  <c r="BB1001" i="9"/>
  <c r="S1001" i="9"/>
  <c r="BB223" i="9"/>
  <c r="S223" i="9"/>
  <c r="AA632" i="9"/>
  <c r="S527" i="9"/>
  <c r="BB527" i="9"/>
  <c r="BB920" i="9"/>
  <c r="S920" i="9"/>
  <c r="AZ206" i="9"/>
  <c r="P206" i="9"/>
  <c r="AB932" i="9"/>
  <c r="AA53" i="9"/>
  <c r="S950" i="9"/>
  <c r="BB950" i="9"/>
  <c r="BB572" i="9"/>
  <c r="S572" i="9"/>
  <c r="BD485" i="9"/>
  <c r="Y953" i="9"/>
  <c r="X953" i="9"/>
  <c r="Y325" i="9"/>
  <c r="X325" i="9"/>
  <c r="P931" i="9"/>
  <c r="AZ931" i="9"/>
  <c r="BB378" i="9"/>
  <c r="S378" i="9"/>
  <c r="BB616" i="9"/>
  <c r="S616" i="9"/>
  <c r="V918" i="9"/>
  <c r="Z918" i="9"/>
  <c r="BD918" i="9"/>
  <c r="W918" i="9"/>
  <c r="AA65" i="9"/>
  <c r="AB783" i="9"/>
  <c r="S303" i="9"/>
  <c r="BB303" i="9"/>
  <c r="BB205" i="9"/>
  <c r="S205" i="9"/>
  <c r="BB74" i="9"/>
  <c r="S74" i="9"/>
  <c r="AA891" i="9"/>
  <c r="BB362" i="9"/>
  <c r="S362" i="9"/>
  <c r="Y385" i="9"/>
  <c r="X385" i="9"/>
  <c r="AA596" i="9"/>
  <c r="AG614" i="9"/>
  <c r="AE614" i="9"/>
  <c r="AF614" i="9"/>
  <c r="AH614" i="9"/>
  <c r="Y475" i="9"/>
  <c r="X475" i="9"/>
  <c r="V40" i="9"/>
  <c r="Z40" i="9"/>
  <c r="BD40" i="9"/>
  <c r="W40" i="9"/>
  <c r="AZ893" i="9"/>
  <c r="P893" i="9"/>
  <c r="X963" i="9"/>
  <c r="Y963" i="9"/>
  <c r="AG215" i="9"/>
  <c r="AE215" i="9"/>
  <c r="AF215" i="9"/>
  <c r="AH215" i="9"/>
  <c r="BB858" i="9"/>
  <c r="S858" i="9"/>
  <c r="S361" i="9"/>
  <c r="BB361" i="9"/>
  <c r="X743" i="9"/>
  <c r="Y743" i="9"/>
  <c r="AA873" i="9"/>
  <c r="BB130" i="9"/>
  <c r="S130" i="9"/>
  <c r="BB1002" i="9"/>
  <c r="S1002" i="9"/>
  <c r="AG49" i="9"/>
  <c r="AE49" i="9"/>
  <c r="AF49" i="9"/>
  <c r="AH49" i="9"/>
  <c r="Y235" i="9"/>
  <c r="X235" i="9"/>
  <c r="AZ897" i="9"/>
  <c r="P897" i="9"/>
  <c r="V706" i="9"/>
  <c r="Z706" i="9"/>
  <c r="BD706" i="9"/>
  <c r="W706" i="9"/>
  <c r="BD674" i="9"/>
  <c r="S280" i="9"/>
  <c r="BB280" i="9"/>
  <c r="AA446" i="9"/>
  <c r="S392" i="9"/>
  <c r="BB392" i="9"/>
  <c r="S552" i="9"/>
  <c r="BB552" i="9"/>
  <c r="S43" i="9"/>
  <c r="BB43" i="9"/>
  <c r="Y219" i="9"/>
  <c r="X219" i="9"/>
  <c r="V410" i="9"/>
  <c r="Z410" i="9"/>
  <c r="BD410" i="9"/>
  <c r="W410" i="9"/>
  <c r="BD841" i="9"/>
  <c r="BD371" i="9"/>
  <c r="V755" i="9"/>
  <c r="Z755" i="9"/>
  <c r="BD755" i="9"/>
  <c r="W755" i="9"/>
  <c r="BC685" i="9"/>
  <c r="S685" i="9"/>
  <c r="P955" i="9"/>
  <c r="AZ955" i="9"/>
  <c r="BB369" i="9"/>
  <c r="S369" i="9"/>
  <c r="BC515" i="9"/>
  <c r="S515" i="9"/>
  <c r="V129" i="9"/>
  <c r="Z129" i="9"/>
  <c r="BD129" i="9"/>
  <c r="W129" i="9"/>
  <c r="V501" i="9"/>
  <c r="Z501" i="9"/>
  <c r="BD501" i="9"/>
  <c r="W501" i="9"/>
  <c r="BB559" i="9"/>
  <c r="S559" i="9"/>
  <c r="BB365" i="9"/>
  <c r="S365" i="9"/>
  <c r="V154" i="9"/>
  <c r="Z154" i="9"/>
  <c r="BD154" i="9"/>
  <c r="W154" i="9"/>
  <c r="S319" i="9"/>
  <c r="BB319" i="9"/>
  <c r="AB457" i="9"/>
  <c r="Y673" i="9"/>
  <c r="X673" i="9"/>
  <c r="BB846" i="9"/>
  <c r="S846" i="9"/>
  <c r="AB6" i="9"/>
  <c r="Y224" i="9"/>
  <c r="X224" i="9"/>
  <c r="X469" i="9"/>
  <c r="AA469" i="9"/>
  <c r="Y469" i="9"/>
  <c r="S405" i="9"/>
  <c r="BB405" i="9"/>
  <c r="AA550" i="9"/>
  <c r="BD477" i="9"/>
  <c r="W477" i="9"/>
  <c r="V477" i="9"/>
  <c r="Z477" i="9"/>
  <c r="BD359" i="9"/>
  <c r="W359" i="9"/>
  <c r="V359" i="9"/>
  <c r="Z359" i="9"/>
  <c r="AA711" i="9"/>
  <c r="V498" i="9"/>
  <c r="Z498" i="9"/>
  <c r="BD498" i="9"/>
  <c r="W498" i="9"/>
  <c r="V300" i="9"/>
  <c r="Z300" i="9"/>
  <c r="BD300" i="9"/>
  <c r="W300" i="9"/>
  <c r="BB156" i="9"/>
  <c r="S156" i="9"/>
  <c r="S72" i="9"/>
  <c r="BB72" i="9"/>
  <c r="BA788" i="9"/>
  <c r="P788" i="9"/>
  <c r="BD767" i="9"/>
  <c r="W767" i="9"/>
  <c r="V767" i="9"/>
  <c r="Z767" i="9"/>
  <c r="BD662" i="9"/>
  <c r="W662" i="9"/>
  <c r="V662" i="9"/>
  <c r="Z662" i="9"/>
  <c r="S35" i="9"/>
  <c r="BB35" i="9"/>
  <c r="S844" i="9"/>
  <c r="BB844" i="9"/>
  <c r="AZ785" i="9"/>
  <c r="P785" i="9"/>
  <c r="BA476" i="9"/>
  <c r="P476" i="9"/>
  <c r="Y29" i="9"/>
  <c r="X29" i="9"/>
  <c r="BD518" i="9"/>
  <c r="W518" i="9"/>
  <c r="V518" i="9"/>
  <c r="Z518" i="9"/>
  <c r="BB363" i="9"/>
  <c r="S363" i="9"/>
  <c r="BA484" i="9"/>
  <c r="P484" i="9"/>
  <c r="V296" i="9"/>
  <c r="Z296" i="9"/>
  <c r="BD296" i="9"/>
  <c r="W296" i="9"/>
  <c r="V702" i="9"/>
  <c r="Z702" i="9"/>
  <c r="BD702" i="9"/>
  <c r="W702" i="9"/>
  <c r="V174" i="9"/>
  <c r="Z174" i="9"/>
  <c r="BD174" i="9"/>
  <c r="W174" i="9"/>
  <c r="BA485" i="9"/>
  <c r="P485" i="9"/>
  <c r="BB811" i="9"/>
  <c r="S811" i="9"/>
  <c r="AB576" i="9"/>
  <c r="S51" i="9"/>
  <c r="BB51" i="9"/>
  <c r="AZ528" i="9"/>
  <c r="P528" i="9"/>
  <c r="V320" i="9"/>
  <c r="Z320" i="9"/>
  <c r="BD320" i="9"/>
  <c r="W320" i="9"/>
  <c r="S436" i="9"/>
  <c r="BB436" i="9"/>
  <c r="AA742" i="9"/>
  <c r="AZ423" i="9"/>
  <c r="P423" i="9"/>
  <c r="AZ99" i="9"/>
  <c r="P99" i="9"/>
  <c r="X857" i="9"/>
  <c r="Y857" i="9"/>
  <c r="AB540" i="9"/>
  <c r="Y420" i="9"/>
  <c r="X420" i="9"/>
  <c r="BB97" i="9"/>
  <c r="S97" i="9"/>
  <c r="Y513" i="9"/>
  <c r="AB513" i="9"/>
  <c r="X513" i="9"/>
  <c r="AA513" i="9"/>
  <c r="BB69" i="9"/>
  <c r="S69" i="9"/>
  <c r="BD565" i="9"/>
  <c r="W565" i="9"/>
  <c r="V565" i="9"/>
  <c r="Z565" i="9"/>
  <c r="BD183" i="9"/>
  <c r="W183" i="9"/>
  <c r="V183" i="9"/>
  <c r="Z183" i="9"/>
  <c r="V292" i="9"/>
  <c r="Z292" i="9"/>
  <c r="BD292" i="9"/>
  <c r="W292" i="9"/>
  <c r="AG847" i="9"/>
  <c r="AE847" i="9"/>
  <c r="AF847" i="9"/>
  <c r="AH847" i="9"/>
  <c r="BB629" i="9"/>
  <c r="S629" i="9"/>
  <c r="BD472" i="9"/>
  <c r="BD494" i="9"/>
  <c r="W494" i="9"/>
  <c r="V494" i="9"/>
  <c r="Z494" i="9"/>
  <c r="AZ628" i="9"/>
  <c r="P628" i="9"/>
  <c r="Y292" i="9"/>
  <c r="X292" i="9"/>
  <c r="X789" i="9"/>
  <c r="AA789" i="9"/>
  <c r="Y789" i="9"/>
  <c r="AB789" i="9"/>
  <c r="BD333" i="9"/>
  <c r="W333" i="9"/>
  <c r="V333" i="9"/>
  <c r="Z333" i="9"/>
  <c r="BD762" i="9"/>
  <c r="W762" i="9"/>
  <c r="V762" i="9"/>
  <c r="Z762" i="9"/>
  <c r="BB694" i="9"/>
  <c r="S694" i="9"/>
  <c r="V810" i="9"/>
  <c r="Z810" i="9"/>
  <c r="BD810" i="9"/>
  <c r="W810" i="9"/>
  <c r="BC519" i="9"/>
  <c r="S519" i="9"/>
  <c r="S486" i="9"/>
  <c r="BB486" i="9"/>
  <c r="BB450" i="9"/>
  <c r="S450" i="9"/>
  <c r="S672" i="9"/>
  <c r="BB672" i="9"/>
  <c r="BD294" i="9"/>
  <c r="W294" i="9"/>
  <c r="V294" i="9"/>
  <c r="Z294" i="9"/>
  <c r="BB766" i="9"/>
  <c r="S766" i="9"/>
  <c r="S7" i="9"/>
  <c r="BB7" i="9"/>
  <c r="X556" i="9"/>
  <c r="Y556" i="9"/>
  <c r="AE745" i="9"/>
  <c r="AF745" i="9"/>
  <c r="X131" i="9"/>
  <c r="Y131" i="9"/>
  <c r="BB593" i="9"/>
  <c r="S593" i="9"/>
  <c r="S252" i="9"/>
  <c r="BB252" i="9"/>
  <c r="BD473" i="9"/>
  <c r="W473" i="9"/>
  <c r="V473" i="9"/>
  <c r="Z473" i="9"/>
  <c r="V809" i="9"/>
  <c r="Z809" i="9"/>
  <c r="BD809" i="9"/>
  <c r="W809" i="9"/>
  <c r="Y13" i="9"/>
  <c r="X13" i="9"/>
  <c r="AZ937" i="9"/>
  <c r="P937" i="9"/>
  <c r="P433" i="9"/>
  <c r="AZ433" i="9"/>
  <c r="S347" i="9"/>
  <c r="BB347" i="9"/>
  <c r="S307" i="9"/>
  <c r="BB307" i="9"/>
  <c r="BB124" i="9"/>
  <c r="S124" i="9"/>
  <c r="P999" i="9"/>
  <c r="AZ999" i="9"/>
  <c r="P109" i="9"/>
  <c r="AZ109" i="9"/>
  <c r="Y337" i="9"/>
  <c r="X337" i="9"/>
  <c r="Y403" i="9"/>
  <c r="X403" i="9"/>
  <c r="BB193" i="9"/>
  <c r="S193" i="9"/>
  <c r="AZ910" i="9"/>
  <c r="P910" i="9"/>
  <c r="Y710" i="9"/>
  <c r="X710" i="9"/>
  <c r="S912" i="9"/>
  <c r="BB912" i="9"/>
  <c r="BD416" i="9"/>
  <c r="W416" i="9"/>
  <c r="V416" i="9"/>
  <c r="Z416" i="9"/>
  <c r="BD287" i="9"/>
  <c r="W287" i="9"/>
  <c r="V287" i="9"/>
  <c r="Z287" i="9"/>
  <c r="S463" i="9"/>
  <c r="BB463" i="9"/>
  <c r="AA488" i="9"/>
  <c r="AG660" i="9"/>
  <c r="AE660" i="9"/>
  <c r="AF660" i="9"/>
  <c r="AH660" i="9"/>
  <c r="AB53" i="9"/>
  <c r="BB801" i="9"/>
  <c r="S801" i="9"/>
  <c r="BD902" i="9"/>
  <c r="W902" i="9"/>
  <c r="V902" i="9"/>
  <c r="Z902" i="9"/>
  <c r="Y718" i="9"/>
  <c r="X718" i="9"/>
  <c r="Y437" i="9"/>
  <c r="X437" i="9"/>
  <c r="BB293" i="9"/>
  <c r="S293" i="9"/>
  <c r="BE953" i="9"/>
  <c r="W953" i="9"/>
  <c r="V953" i="9"/>
  <c r="Z953" i="9"/>
  <c r="BD325" i="9"/>
  <c r="W325" i="9"/>
  <c r="V325" i="9"/>
  <c r="Z325" i="9"/>
  <c r="BB21" i="9"/>
  <c r="S21" i="9"/>
  <c r="P114" i="9"/>
  <c r="AZ114" i="9"/>
  <c r="AB772" i="9"/>
  <c r="S892" i="9"/>
  <c r="BB892" i="9"/>
  <c r="S581" i="9"/>
  <c r="BB581" i="9"/>
  <c r="S688" i="9"/>
  <c r="BB688" i="9"/>
  <c r="Y714" i="9"/>
  <c r="X714" i="9"/>
  <c r="X918" i="9"/>
  <c r="Y918" i="9"/>
  <c r="BA994" i="9"/>
  <c r="P994" i="9"/>
  <c r="AB65" i="9"/>
  <c r="BD391" i="9"/>
  <c r="W391" i="9"/>
  <c r="V391" i="9"/>
  <c r="Z391" i="9"/>
  <c r="BB462" i="9"/>
  <c r="S462" i="9"/>
  <c r="AB891" i="9"/>
  <c r="S988" i="9"/>
  <c r="BB988" i="9"/>
  <c r="V759" i="9"/>
  <c r="Z759" i="9"/>
  <c r="BD759" i="9"/>
  <c r="W759" i="9"/>
  <c r="Y665" i="9"/>
  <c r="X665" i="9"/>
  <c r="V385" i="9"/>
  <c r="Z385" i="9"/>
  <c r="BD385" i="9"/>
  <c r="W385" i="9"/>
  <c r="AB596" i="9"/>
  <c r="V795" i="9"/>
  <c r="Z795" i="9"/>
  <c r="BD795" i="9"/>
  <c r="W795" i="9"/>
  <c r="S31" i="9"/>
  <c r="BB31" i="9"/>
  <c r="Y713" i="9"/>
  <c r="X713" i="9"/>
  <c r="S63" i="9"/>
  <c r="BB63" i="9"/>
  <c r="BE475" i="9"/>
  <c r="W475" i="9"/>
  <c r="V475" i="9"/>
  <c r="Z475" i="9"/>
  <c r="X40" i="9"/>
  <c r="AA40" i="9"/>
  <c r="Y40" i="9"/>
  <c r="S135" i="9"/>
  <c r="BB135" i="9"/>
  <c r="BE963" i="9"/>
  <c r="W963" i="9"/>
  <c r="V963" i="9"/>
  <c r="Z963" i="9"/>
  <c r="BB905" i="9"/>
  <c r="S905" i="9"/>
  <c r="BC503" i="9"/>
  <c r="S503" i="9"/>
  <c r="AG643" i="9"/>
  <c r="AE643" i="9"/>
  <c r="AF643" i="9"/>
  <c r="AH643" i="9"/>
  <c r="BD743" i="9"/>
  <c r="W743" i="9"/>
  <c r="V743" i="9"/>
  <c r="Z743" i="9"/>
  <c r="AG703" i="9"/>
  <c r="AE703" i="9"/>
  <c r="AF703" i="9"/>
  <c r="AH703" i="9"/>
  <c r="S177" i="9"/>
  <c r="BB177" i="9"/>
  <c r="V276" i="9"/>
  <c r="Z276" i="9"/>
  <c r="BD276" i="9"/>
  <c r="W276" i="9"/>
  <c r="AZ111" i="9"/>
  <c r="P111" i="9"/>
  <c r="V235" i="9"/>
  <c r="Z235" i="9"/>
  <c r="BD235" i="9"/>
  <c r="W235" i="9"/>
  <c r="BB285" i="9"/>
  <c r="S285" i="9"/>
  <c r="Y182" i="9"/>
  <c r="X182" i="9"/>
  <c r="AB446" i="9"/>
  <c r="S544" i="9"/>
  <c r="BB544" i="9"/>
  <c r="S584" i="9"/>
  <c r="BB584" i="9"/>
  <c r="V219" i="9"/>
  <c r="Z219" i="9"/>
  <c r="BD219" i="9"/>
  <c r="W219" i="9"/>
  <c r="S787" i="9"/>
  <c r="BB787" i="9"/>
  <c r="Y755" i="9"/>
  <c r="X755" i="9"/>
  <c r="BB160" i="9"/>
  <c r="S160" i="9"/>
  <c r="P818" i="9"/>
  <c r="AZ818" i="9"/>
  <c r="S860" i="9"/>
  <c r="BB860" i="9"/>
  <c r="BD412" i="9"/>
  <c r="W412" i="9"/>
  <c r="V412" i="9"/>
  <c r="Z412" i="9"/>
  <c r="S996" i="9"/>
  <c r="BB996" i="9"/>
  <c r="S547" i="9"/>
  <c r="BB547" i="9"/>
  <c r="X129" i="9"/>
  <c r="Y129" i="9"/>
  <c r="X501" i="9"/>
  <c r="Y501" i="9"/>
  <c r="AB501" i="9"/>
  <c r="BB880" i="9"/>
  <c r="S880" i="9"/>
  <c r="X838" i="9"/>
  <c r="Y838" i="9"/>
  <c r="X154" i="9"/>
  <c r="Y154" i="9"/>
  <c r="S265" i="9"/>
  <c r="BB265" i="9"/>
  <c r="S259" i="9"/>
  <c r="BB259" i="9"/>
  <c r="BB684" i="9"/>
  <c r="S684" i="9"/>
  <c r="V673" i="9"/>
  <c r="Z673" i="9"/>
  <c r="BD673" i="9"/>
  <c r="W673" i="9"/>
  <c r="BD224" i="9"/>
  <c r="W224" i="9"/>
  <c r="V224" i="9"/>
  <c r="Z224" i="9"/>
  <c r="S225" i="9"/>
  <c r="BB225" i="9"/>
  <c r="AB550" i="9"/>
  <c r="BB657" i="9"/>
  <c r="S657" i="9"/>
  <c r="X477" i="9"/>
  <c r="Y477" i="9"/>
  <c r="AA290" i="9"/>
  <c r="AB711" i="9"/>
  <c r="X498" i="9"/>
  <c r="AA498" i="9"/>
  <c r="Y498" i="9"/>
  <c r="Y300" i="9"/>
  <c r="X300" i="9"/>
  <c r="AB355" i="9"/>
  <c r="AE150" i="9"/>
  <c r="AF150" i="9"/>
  <c r="AH150" i="9"/>
  <c r="AG150" i="9"/>
  <c r="BB453" i="9"/>
  <c r="S453" i="9"/>
  <c r="S268" i="9"/>
  <c r="BB268" i="9"/>
  <c r="S11" i="9"/>
  <c r="BB11" i="9"/>
  <c r="Y767" i="9"/>
  <c r="AB767" i="9"/>
  <c r="X767" i="9"/>
  <c r="AA767" i="9"/>
  <c r="Y662" i="9"/>
  <c r="X662" i="9"/>
  <c r="BC930" i="9"/>
  <c r="S930" i="9"/>
  <c r="P769" i="9"/>
  <c r="AZ769" i="9"/>
  <c r="X530" i="9"/>
  <c r="Y530" i="9"/>
  <c r="S67" i="9"/>
  <c r="BB67" i="9"/>
  <c r="BD29" i="9"/>
  <c r="W29" i="9"/>
  <c r="V29" i="9"/>
  <c r="Z29" i="9"/>
  <c r="X518" i="9"/>
  <c r="AA518" i="9"/>
  <c r="Y518" i="9"/>
  <c r="AB518" i="9"/>
  <c r="P736" i="9"/>
  <c r="AZ736" i="9"/>
  <c r="BA674" i="9"/>
  <c r="P674" i="9"/>
  <c r="BB253" i="9"/>
  <c r="S253" i="9"/>
  <c r="BD514" i="9"/>
  <c r="W514" i="9"/>
  <c r="V514" i="9"/>
  <c r="Z514" i="9"/>
  <c r="Y296" i="9"/>
  <c r="X296" i="9"/>
  <c r="BD468" i="9"/>
  <c r="Y702" i="9"/>
  <c r="X702" i="9"/>
  <c r="X974" i="9"/>
  <c r="Y974" i="9"/>
  <c r="AA576" i="9"/>
  <c r="X773" i="9"/>
  <c r="Y773" i="9"/>
  <c r="S813" i="9"/>
  <c r="BB813" i="9"/>
  <c r="S368" i="9"/>
  <c r="BB368" i="9"/>
  <c r="X175" i="9"/>
  <c r="Y175" i="9"/>
  <c r="Y291" i="9"/>
  <c r="X291" i="9"/>
  <c r="Y320" i="9"/>
  <c r="X320" i="9"/>
  <c r="AA320" i="9"/>
  <c r="S808" i="9"/>
  <c r="BB808" i="9"/>
  <c r="S984" i="9"/>
  <c r="BB984" i="9"/>
  <c r="BA371" i="9"/>
  <c r="P371" i="9"/>
  <c r="S644" i="9"/>
  <c r="BB644" i="9"/>
  <c r="AB742" i="9"/>
  <c r="P800" i="9"/>
  <c r="AZ800" i="9"/>
  <c r="AA540" i="9"/>
  <c r="S705" i="9"/>
  <c r="BB705" i="9"/>
  <c r="BB960" i="9"/>
  <c r="S960" i="9"/>
  <c r="AG34" i="9"/>
  <c r="AE34" i="9"/>
  <c r="AF34" i="9"/>
  <c r="AH34" i="9"/>
  <c r="BB570" i="9"/>
  <c r="S570" i="9"/>
  <c r="BB554" i="9"/>
  <c r="S554" i="9"/>
  <c r="Y792" i="9"/>
  <c r="AB792" i="9"/>
  <c r="X792" i="9"/>
  <c r="AA792" i="9"/>
  <c r="X132" i="9"/>
  <c r="Y132" i="9"/>
  <c r="BB682" i="9"/>
  <c r="S682" i="9"/>
  <c r="BD639" i="9"/>
  <c r="W639" i="9"/>
  <c r="V639" i="9"/>
  <c r="Z639" i="9"/>
  <c r="BB209" i="9"/>
  <c r="S209" i="9"/>
  <c r="BB916" i="9"/>
  <c r="S916" i="9"/>
  <c r="BB194" i="9"/>
  <c r="S194" i="9"/>
  <c r="BD938" i="9"/>
  <c r="W938" i="9"/>
  <c r="V938" i="9"/>
  <c r="Z938" i="9"/>
  <c r="S992" i="9"/>
  <c r="BB992" i="9"/>
  <c r="AZ95" i="9"/>
  <c r="P95" i="9"/>
  <c r="BD664" i="9"/>
  <c r="W664" i="9"/>
  <c r="V664" i="9"/>
  <c r="Z664" i="9"/>
  <c r="Y842" i="9"/>
  <c r="AB842" i="9"/>
  <c r="X842" i="9"/>
  <c r="AA842" i="9"/>
  <c r="S949" i="9"/>
  <c r="BB949" i="9"/>
  <c r="Y670" i="9"/>
  <c r="AB670" i="9"/>
  <c r="X670" i="9"/>
  <c r="AA670" i="9"/>
  <c r="BD493" i="9"/>
  <c r="W493" i="9"/>
  <c r="V493" i="9"/>
  <c r="Z493" i="9"/>
  <c r="BD878" i="9"/>
  <c r="W878" i="9"/>
  <c r="V878" i="9"/>
  <c r="Z878" i="9"/>
  <c r="AE314" i="9"/>
  <c r="AF314" i="9"/>
  <c r="AH314" i="9"/>
  <c r="AG314" i="9"/>
  <c r="V814" i="9"/>
  <c r="Z814" i="9"/>
  <c r="BD814" i="9"/>
  <c r="W814" i="9"/>
  <c r="BB594" i="9"/>
  <c r="S594" i="9"/>
  <c r="S456" i="9"/>
  <c r="BB456" i="9"/>
  <c r="BB883" i="9"/>
  <c r="S883" i="9"/>
  <c r="Y968" i="9"/>
  <c r="X968" i="9"/>
  <c r="P429" i="9"/>
  <c r="AZ429" i="9"/>
  <c r="AA790" i="9"/>
  <c r="BB774" i="9"/>
  <c r="S774" i="9"/>
  <c r="BD859" i="9"/>
  <c r="W859" i="9"/>
  <c r="V859" i="9"/>
  <c r="Z859" i="9"/>
  <c r="BD408" i="9"/>
  <c r="W408" i="9"/>
  <c r="V408" i="9"/>
  <c r="Z408" i="9"/>
  <c r="BA964" i="9"/>
  <c r="P964" i="9"/>
  <c r="BB73" i="9"/>
  <c r="S73" i="9"/>
  <c r="P356" i="9"/>
  <c r="AZ356" i="9"/>
  <c r="BB297" i="9"/>
  <c r="S297" i="9"/>
  <c r="AE372" i="9"/>
  <c r="AF372" i="9"/>
  <c r="AH372" i="9"/>
  <c r="AG372" i="9"/>
  <c r="BD700" i="9"/>
  <c r="W700" i="9"/>
  <c r="V700" i="9"/>
  <c r="Z700" i="9"/>
  <c r="Y45" i="9"/>
  <c r="X45" i="9"/>
  <c r="AE855" i="9"/>
  <c r="AF855" i="9"/>
  <c r="AH855" i="9"/>
  <c r="AG855" i="9"/>
  <c r="BD934" i="9"/>
  <c r="W934" i="9"/>
  <c r="V934" i="9"/>
  <c r="Z934" i="9"/>
  <c r="AG22" i="9"/>
  <c r="AE22" i="9"/>
  <c r="AF22" i="9"/>
  <c r="AH22" i="9"/>
  <c r="AA832" i="9"/>
  <c r="S555" i="9"/>
  <c r="BB555" i="9"/>
  <c r="X834" i="9"/>
  <c r="Y834" i="9"/>
  <c r="BB516" i="9"/>
  <c r="S516" i="9"/>
  <c r="X183" i="9"/>
  <c r="AA183" i="9"/>
  <c r="Y183" i="9"/>
  <c r="AB183" i="9"/>
  <c r="BA472" i="9"/>
  <c r="P472" i="9"/>
  <c r="AB790" i="9"/>
  <c r="AZ170" i="9"/>
  <c r="P170" i="9"/>
  <c r="S744" i="9"/>
  <c r="BB744" i="9"/>
  <c r="X473" i="9"/>
  <c r="AA473" i="9"/>
  <c r="Y473" i="9"/>
  <c r="Y408" i="9"/>
  <c r="X408" i="9"/>
  <c r="X809" i="9"/>
  <c r="Y809" i="9"/>
  <c r="S926" i="9"/>
  <c r="BB926" i="9"/>
  <c r="BB944" i="9"/>
  <c r="S944" i="9"/>
  <c r="S55" i="9"/>
  <c r="BB55" i="9"/>
  <c r="BD13" i="9"/>
  <c r="W13" i="9"/>
  <c r="V13" i="9"/>
  <c r="Z13" i="9"/>
  <c r="AG41" i="9"/>
  <c r="AE41" i="9"/>
  <c r="AF41" i="9"/>
  <c r="AH41" i="9"/>
  <c r="S272" i="9"/>
  <c r="BB272" i="9"/>
  <c r="BB786" i="9"/>
  <c r="S786" i="9"/>
  <c r="P697" i="9"/>
  <c r="AZ697" i="9"/>
  <c r="S770" i="9"/>
  <c r="BB770" i="9"/>
  <c r="V263" i="9"/>
  <c r="Z263" i="9"/>
  <c r="BD263" i="9"/>
  <c r="W263" i="9"/>
  <c r="AA179" i="9"/>
  <c r="S448" i="9"/>
  <c r="BB448" i="9"/>
  <c r="AZ401" i="9"/>
  <c r="P401" i="9"/>
  <c r="BD45" i="9"/>
  <c r="W45" i="9"/>
  <c r="V45" i="9"/>
  <c r="Z45" i="9"/>
  <c r="V587" i="9"/>
  <c r="Z587" i="9"/>
  <c r="BD587" i="9"/>
  <c r="W587" i="9"/>
  <c r="S882" i="9"/>
  <c r="BB882" i="9"/>
  <c r="BB661" i="9"/>
  <c r="S661" i="9"/>
  <c r="BD489" i="9"/>
  <c r="W489" i="9"/>
  <c r="V489" i="9"/>
  <c r="Z489" i="9"/>
  <c r="AB832" i="9"/>
  <c r="V132" i="9"/>
  <c r="Z132" i="9"/>
  <c r="BD132" i="9"/>
  <c r="W132" i="9"/>
  <c r="BD337" i="9"/>
  <c r="W337" i="9"/>
  <c r="V337" i="9"/>
  <c r="Z337" i="9"/>
  <c r="P108" i="9"/>
  <c r="AZ108" i="9"/>
  <c r="BD403" i="9"/>
  <c r="W403" i="9"/>
  <c r="V403" i="9"/>
  <c r="Z403" i="9"/>
  <c r="BA367" i="9"/>
  <c r="P367" i="9"/>
  <c r="S152" i="9"/>
  <c r="BB152" i="9"/>
  <c r="V710" i="9"/>
  <c r="Z710" i="9"/>
  <c r="BD710" i="9"/>
  <c r="W710" i="9"/>
  <c r="Y416" i="9"/>
  <c r="AB416" i="9"/>
  <c r="X416" i="9"/>
  <c r="X287" i="9"/>
  <c r="Y287" i="9"/>
  <c r="AB488" i="9"/>
  <c r="Y366" i="9"/>
  <c r="X366" i="9"/>
  <c r="AB961" i="9"/>
  <c r="AG961" i="9"/>
  <c r="BB752" i="9"/>
  <c r="S752" i="9"/>
  <c r="S781" i="9"/>
  <c r="BB781" i="9"/>
  <c r="S3" i="9"/>
  <c r="BB3" i="9"/>
  <c r="X902" i="9"/>
  <c r="AA902" i="9"/>
  <c r="Y902" i="9"/>
  <c r="BD718" i="9"/>
  <c r="W718" i="9"/>
  <c r="V718" i="9"/>
  <c r="Z718" i="9"/>
  <c r="S741" i="9"/>
  <c r="BB741" i="9"/>
  <c r="S464" i="9"/>
  <c r="BB464" i="9"/>
  <c r="BD437" i="9"/>
  <c r="W437" i="9"/>
  <c r="V437" i="9"/>
  <c r="Z437" i="9"/>
  <c r="AG383" i="9"/>
  <c r="AE383" i="9"/>
  <c r="AF383" i="9"/>
  <c r="AH383" i="9"/>
  <c r="S311" i="9"/>
  <c r="BB311" i="9"/>
  <c r="V316" i="9"/>
  <c r="Z316" i="9"/>
  <c r="BD316" i="9"/>
  <c r="W316" i="9"/>
  <c r="AA772" i="9"/>
  <c r="BD714" i="9"/>
  <c r="W714" i="9"/>
  <c r="V714" i="9"/>
  <c r="Z714" i="9"/>
  <c r="X391" i="9"/>
  <c r="Y391" i="9"/>
  <c r="AB890" i="9"/>
  <c r="AG890" i="9"/>
  <c r="BB430" i="9"/>
  <c r="S430" i="9"/>
  <c r="BA492" i="9"/>
  <c r="P492" i="9"/>
  <c r="S248" i="9"/>
  <c r="BB248" i="9"/>
  <c r="Y759" i="9"/>
  <c r="X759" i="9"/>
  <c r="V665" i="9"/>
  <c r="Z665" i="9"/>
  <c r="BD665" i="9"/>
  <c r="W665" i="9"/>
  <c r="S241" i="9"/>
  <c r="BB241" i="9"/>
  <c r="BB118" i="9"/>
  <c r="S118" i="9"/>
  <c r="Y929" i="9"/>
  <c r="X929" i="9"/>
  <c r="Y795" i="9"/>
  <c r="AB795" i="9"/>
  <c r="X795" i="9"/>
  <c r="AA795" i="9"/>
  <c r="BC479" i="9"/>
  <c r="S479" i="9"/>
  <c r="V713" i="9"/>
  <c r="Z713" i="9"/>
  <c r="BD713" i="9"/>
  <c r="W713" i="9"/>
  <c r="BB726" i="9"/>
  <c r="S726" i="9"/>
  <c r="P874" i="9"/>
  <c r="AZ874" i="9"/>
  <c r="S47" i="9"/>
  <c r="BB47" i="9"/>
  <c r="AB784" i="9"/>
  <c r="V482" i="9"/>
  <c r="Z482" i="9"/>
  <c r="BD482" i="9"/>
  <c r="W482" i="9"/>
  <c r="Y227" i="9"/>
  <c r="X227" i="9"/>
  <c r="P526" i="9"/>
  <c r="AZ526" i="9"/>
  <c r="Y192" i="9"/>
  <c r="X192" i="9"/>
  <c r="BB625" i="9"/>
  <c r="S625" i="9"/>
  <c r="AA18" i="9"/>
  <c r="Y358" i="9"/>
  <c r="X358" i="9"/>
  <c r="S748" i="9"/>
  <c r="BB748" i="9"/>
  <c r="X100" i="9"/>
  <c r="Y100" i="9"/>
  <c r="V760" i="9"/>
  <c r="Z760" i="9"/>
  <c r="BD760" i="9"/>
  <c r="W760" i="9"/>
  <c r="BD758" i="9"/>
  <c r="W758" i="9"/>
  <c r="V758" i="9"/>
  <c r="Z758" i="9"/>
  <c r="AZ169" i="9"/>
  <c r="P169" i="9"/>
  <c r="Y276" i="9"/>
  <c r="AB276" i="9"/>
  <c r="X276" i="9"/>
  <c r="AA276" i="9"/>
  <c r="BB681" i="9"/>
  <c r="S681" i="9"/>
  <c r="AZ922" i="9"/>
  <c r="P922" i="9"/>
  <c r="BB753" i="9"/>
  <c r="S753" i="9"/>
  <c r="P696" i="9"/>
  <c r="AZ696" i="9"/>
  <c r="Y537" i="9"/>
  <c r="X537" i="9"/>
  <c r="AA322" i="9"/>
  <c r="V182" i="9"/>
  <c r="Z182" i="9"/>
  <c r="BD182" i="9"/>
  <c r="W182" i="9"/>
  <c r="Y520" i="9"/>
  <c r="X520" i="9"/>
  <c r="S435" i="9"/>
  <c r="BB435" i="9"/>
  <c r="X749" i="9"/>
  <c r="Y749" i="9"/>
  <c r="S867" i="9"/>
  <c r="BB867" i="9"/>
  <c r="S849" i="9"/>
  <c r="BB849" i="9"/>
  <c r="BA504" i="9"/>
  <c r="P504" i="9"/>
  <c r="P927" i="9"/>
  <c r="AZ927" i="9"/>
  <c r="AA765" i="9"/>
  <c r="BB38" i="9"/>
  <c r="S38" i="9"/>
  <c r="BB863" i="9"/>
  <c r="S863" i="9"/>
  <c r="P96" i="9"/>
  <c r="AZ96" i="9"/>
  <c r="Y412" i="9"/>
  <c r="X412" i="9"/>
  <c r="BB602" i="9"/>
  <c r="S602" i="9"/>
  <c r="BB568" i="9"/>
  <c r="S568" i="9"/>
  <c r="V995" i="9"/>
  <c r="Z995" i="9"/>
  <c r="BD995" i="9"/>
  <c r="W995" i="9"/>
  <c r="AA541" i="9"/>
  <c r="BD838" i="9"/>
  <c r="W838" i="9"/>
  <c r="V838" i="9"/>
  <c r="Z838" i="9"/>
  <c r="S650" i="9"/>
  <c r="BB650" i="9"/>
  <c r="BB816" i="9"/>
  <c r="S816" i="9"/>
  <c r="V28" i="9"/>
  <c r="Z28" i="9"/>
  <c r="BD28" i="9"/>
  <c r="W28" i="9"/>
  <c r="AB290" i="9"/>
  <c r="V93" i="9"/>
  <c r="Z93" i="9"/>
  <c r="BD93" i="9"/>
  <c r="W93" i="9"/>
  <c r="AG588" i="9"/>
  <c r="AE588" i="9"/>
  <c r="AF588" i="9"/>
  <c r="AH588" i="9"/>
  <c r="S388" i="9"/>
  <c r="BB388" i="9"/>
  <c r="AA355" i="9"/>
  <c r="AA454" i="9"/>
  <c r="BD868" i="9"/>
  <c r="P886" i="9"/>
  <c r="AZ886" i="9"/>
  <c r="BD505" i="9"/>
  <c r="Y607" i="9"/>
  <c r="X607" i="9"/>
  <c r="BD530" i="9"/>
  <c r="W530" i="9"/>
  <c r="V530" i="9"/>
  <c r="Z530" i="9"/>
  <c r="BA508" i="9"/>
  <c r="P508" i="9"/>
  <c r="BB754" i="9"/>
  <c r="S754" i="9"/>
  <c r="BB181" i="9"/>
  <c r="S181" i="9"/>
  <c r="X514" i="9"/>
  <c r="AA514" i="9"/>
  <c r="Y514" i="9"/>
  <c r="AB514" i="9"/>
  <c r="Y309" i="9"/>
  <c r="X309" i="9"/>
  <c r="BB954" i="9"/>
  <c r="S954" i="9"/>
  <c r="V974" i="9"/>
  <c r="Z974" i="9"/>
  <c r="BD974" i="9"/>
  <c r="W974" i="9"/>
  <c r="BB138" i="9"/>
  <c r="S138" i="9"/>
  <c r="S510" i="9"/>
  <c r="BB510" i="9"/>
  <c r="S75" i="9"/>
  <c r="BB75" i="9"/>
  <c r="AZ350" i="9"/>
  <c r="P350" i="9"/>
  <c r="V773" i="9"/>
  <c r="Z773" i="9"/>
  <c r="BD773" i="9"/>
  <c r="W773" i="9"/>
  <c r="S353" i="9"/>
  <c r="BB353" i="9"/>
  <c r="AA840" i="9"/>
  <c r="BD175" i="9"/>
  <c r="W175" i="9"/>
  <c r="V175" i="9"/>
  <c r="Z175" i="9"/>
  <c r="BD291" i="9"/>
  <c r="W291" i="9"/>
  <c r="V291" i="9"/>
  <c r="Z291" i="9"/>
  <c r="BB119" i="9"/>
  <c r="S119" i="9"/>
  <c r="BB277" i="9"/>
  <c r="S277" i="9"/>
  <c r="V328" i="9"/>
  <c r="Z328" i="9"/>
  <c r="BD328" i="9"/>
  <c r="W328" i="9"/>
  <c r="BA642" i="9"/>
  <c r="P642" i="9"/>
  <c r="S578" i="9"/>
  <c r="BB578" i="9"/>
  <c r="S444" i="9"/>
  <c r="BB444" i="9"/>
  <c r="S524" i="9"/>
  <c r="BB524" i="9"/>
  <c r="BD675" i="9"/>
  <c r="W675" i="9"/>
  <c r="V675" i="9"/>
  <c r="Z675" i="9"/>
  <c r="AA240" i="9"/>
  <c r="Y658" i="9"/>
  <c r="X658" i="9"/>
  <c r="BB621" i="9"/>
  <c r="S621" i="9"/>
  <c r="V324" i="9"/>
  <c r="Z324" i="9"/>
  <c r="BD324" i="9"/>
  <c r="W324" i="9"/>
  <c r="X489" i="9"/>
  <c r="Y489" i="9"/>
  <c r="Y575" i="9"/>
  <c r="X575" i="9"/>
  <c r="V627" i="9"/>
  <c r="Z627" i="9"/>
  <c r="BD627" i="9"/>
  <c r="W627" i="9"/>
  <c r="V366" i="9"/>
  <c r="Z366" i="9"/>
  <c r="BD366" i="9"/>
  <c r="W366" i="9"/>
  <c r="AE961" i="9"/>
  <c r="AF961" i="9"/>
  <c r="BD631" i="9"/>
  <c r="BB825" i="9"/>
  <c r="S825" i="9"/>
  <c r="P128" i="9"/>
  <c r="AZ128" i="9"/>
  <c r="S23" i="9"/>
  <c r="BB23" i="9"/>
  <c r="AZ815" i="9"/>
  <c r="P815" i="9"/>
  <c r="BB649" i="9"/>
  <c r="S649" i="9"/>
  <c r="BD553" i="9"/>
  <c r="Y316" i="9"/>
  <c r="X316" i="9"/>
  <c r="P140" i="9"/>
  <c r="AZ140" i="9"/>
  <c r="BB885" i="9"/>
  <c r="S885" i="9"/>
  <c r="X810" i="9"/>
  <c r="AA810" i="9"/>
  <c r="Y810" i="9"/>
  <c r="AB810" i="9"/>
  <c r="P171" i="9"/>
  <c r="AZ171" i="9"/>
  <c r="BA868" i="9"/>
  <c r="P868" i="9"/>
  <c r="BB126" i="9"/>
  <c r="S126" i="9"/>
  <c r="AE890" i="9"/>
  <c r="AF890" i="9"/>
  <c r="S428" i="9"/>
  <c r="BB428" i="9"/>
  <c r="P264" i="9"/>
  <c r="AZ264" i="9"/>
  <c r="BB574" i="9"/>
  <c r="S574" i="9"/>
  <c r="AZ187" i="9"/>
  <c r="P187" i="9"/>
  <c r="Y664" i="9"/>
  <c r="AB664" i="9"/>
  <c r="X664" i="9"/>
  <c r="AA664" i="9"/>
  <c r="V929" i="9"/>
  <c r="Z929" i="9"/>
  <c r="BD929" i="9"/>
  <c r="W929" i="9"/>
  <c r="S522" i="9"/>
  <c r="BB522" i="9"/>
  <c r="Y213" i="9"/>
  <c r="AB213" i="9"/>
  <c r="X213" i="9"/>
  <c r="AA213" i="9"/>
  <c r="S335" i="9"/>
  <c r="BB335" i="9"/>
  <c r="AB739" i="9"/>
  <c r="BB101" i="9"/>
  <c r="S101" i="9"/>
  <c r="BB402" i="9"/>
  <c r="S402" i="9"/>
  <c r="AG784" i="9"/>
  <c r="AE784" i="9"/>
  <c r="AF784" i="9"/>
  <c r="AH784" i="9"/>
  <c r="AA579" i="9"/>
  <c r="Y482" i="9"/>
  <c r="AB482" i="9"/>
  <c r="X482" i="9"/>
  <c r="AA482" i="9"/>
  <c r="BB5" i="9"/>
  <c r="S5" i="9"/>
  <c r="V227" i="9"/>
  <c r="Z227" i="9"/>
  <c r="BD227" i="9"/>
  <c r="W227" i="9"/>
  <c r="S606" i="9"/>
  <c r="BB606" i="9"/>
  <c r="BD192" i="9"/>
  <c r="W192" i="9"/>
  <c r="V192" i="9"/>
  <c r="Z192" i="9"/>
  <c r="S222" i="9"/>
  <c r="BB222" i="9"/>
  <c r="P211" i="9"/>
  <c r="AZ211" i="9"/>
  <c r="AG663" i="9"/>
  <c r="AE663" i="9"/>
  <c r="AF663" i="9"/>
  <c r="AH663" i="9"/>
  <c r="V358" i="9"/>
  <c r="Z358" i="9"/>
  <c r="BD358" i="9"/>
  <c r="W358" i="9"/>
  <c r="S417" i="9"/>
  <c r="BB417" i="9"/>
  <c r="BB603" i="9"/>
  <c r="S603" i="9"/>
  <c r="S535" i="9"/>
  <c r="BB535" i="9"/>
  <c r="V100" i="9"/>
  <c r="Z100" i="9"/>
  <c r="BD100" i="9"/>
  <c r="W100" i="9"/>
  <c r="X760" i="9"/>
  <c r="Y760" i="9"/>
  <c r="Y294" i="9"/>
  <c r="X294" i="9"/>
  <c r="BD671" i="9"/>
  <c r="Y878" i="9"/>
  <c r="AB878" i="9"/>
  <c r="X878" i="9"/>
  <c r="X758" i="9"/>
  <c r="Y758" i="9"/>
  <c r="S32" i="9"/>
  <c r="BB32" i="9"/>
  <c r="BB201" i="9"/>
  <c r="S201" i="9"/>
  <c r="BB879" i="9"/>
  <c r="S879" i="9"/>
  <c r="V537" i="9"/>
  <c r="Z537" i="9"/>
  <c r="BD537" i="9"/>
  <c r="W537" i="9"/>
  <c r="BB157" i="9"/>
  <c r="S157" i="9"/>
  <c r="V520" i="9"/>
  <c r="Z520" i="9"/>
  <c r="BD520" i="9"/>
  <c r="W520" i="9"/>
  <c r="AB608" i="9"/>
  <c r="AG608" i="9"/>
  <c r="V749" i="9"/>
  <c r="Z749" i="9"/>
  <c r="BD749" i="9"/>
  <c r="W749" i="9"/>
  <c r="X814" i="9"/>
  <c r="AA814" i="9"/>
  <c r="Y814" i="9"/>
  <c r="AB814" i="9"/>
  <c r="S71" i="9"/>
  <c r="BB71" i="9"/>
  <c r="V509" i="9"/>
  <c r="Z509" i="9"/>
  <c r="BD509" i="9"/>
  <c r="W509" i="9"/>
  <c r="BA986" i="9"/>
  <c r="P986" i="9"/>
  <c r="AB765" i="9"/>
  <c r="BD775" i="9"/>
  <c r="AB745" i="9"/>
  <c r="AG745" i="9"/>
  <c r="BD375" i="9"/>
  <c r="W375" i="9"/>
  <c r="V375" i="9"/>
  <c r="Z375" i="9"/>
  <c r="X995" i="9"/>
  <c r="Y995" i="9"/>
  <c r="AB995" i="9"/>
  <c r="P676" i="9"/>
  <c r="AZ676" i="9"/>
  <c r="AB541" i="9"/>
  <c r="AA14" i="9"/>
  <c r="BB149" i="9"/>
  <c r="S149" i="9"/>
  <c r="Y422" i="9"/>
  <c r="X422" i="9"/>
  <c r="Y200" i="9"/>
  <c r="AB200" i="9"/>
  <c r="X200" i="9"/>
  <c r="AA200" i="9"/>
  <c r="X28" i="9"/>
  <c r="Y28" i="9"/>
  <c r="X93" i="9"/>
  <c r="Y93" i="9"/>
  <c r="V332" i="9"/>
  <c r="Z332" i="9"/>
  <c r="BD332" i="9"/>
  <c r="W332" i="9"/>
  <c r="S168" i="9"/>
  <c r="BB168" i="9"/>
  <c r="AB454" i="9"/>
  <c r="V4" i="9"/>
  <c r="Z4" i="9"/>
  <c r="BD4" i="9"/>
  <c r="W4" i="9"/>
  <c r="S323" i="9"/>
  <c r="BB323" i="9"/>
  <c r="P207" i="9"/>
  <c r="AZ207" i="9"/>
  <c r="BB458" i="9"/>
  <c r="S458" i="9"/>
  <c r="Y411" i="9"/>
  <c r="AB411" i="9"/>
  <c r="X411" i="9"/>
  <c r="AA411" i="9"/>
  <c r="S980" i="9"/>
  <c r="BB980" i="9"/>
  <c r="BA779" i="9"/>
  <c r="P779" i="9"/>
  <c r="BC780" i="9"/>
  <c r="S780" i="9"/>
  <c r="S583" i="9"/>
  <c r="BB583" i="9"/>
  <c r="S159" i="9"/>
  <c r="BB159" i="9"/>
  <c r="AG624" i="9"/>
  <c r="AE624" i="9"/>
  <c r="AF624" i="9"/>
  <c r="AH624" i="9"/>
  <c r="BD607" i="9"/>
  <c r="W607" i="9"/>
  <c r="V607" i="9"/>
  <c r="Z607" i="9"/>
  <c r="S146" i="9"/>
  <c r="BB146" i="9"/>
  <c r="V763" i="9"/>
  <c r="Z763" i="9"/>
  <c r="BD763" i="9"/>
  <c r="W763" i="9"/>
  <c r="BB908" i="9"/>
  <c r="S908" i="9"/>
  <c r="AG777" i="9"/>
  <c r="AE777" i="9"/>
  <c r="AF777" i="9"/>
  <c r="AH777" i="9"/>
  <c r="Y418" i="9"/>
  <c r="AB418" i="9"/>
  <c r="X418" i="9"/>
  <c r="BD309" i="9"/>
  <c r="W309" i="9"/>
  <c r="V309" i="9"/>
  <c r="Z309" i="9"/>
  <c r="V833" i="9"/>
  <c r="Z833" i="9"/>
  <c r="BD833" i="9"/>
  <c r="W833" i="9"/>
  <c r="X184" i="9"/>
  <c r="AA184" i="9"/>
  <c r="Y184" i="9"/>
  <c r="S536" i="9"/>
  <c r="BB536" i="9"/>
  <c r="S221" i="9"/>
  <c r="BB221" i="9"/>
  <c r="BB398" i="9"/>
  <c r="S398" i="9"/>
  <c r="AZ728" i="9"/>
  <c r="P728" i="9"/>
  <c r="S343" i="9"/>
  <c r="BB343" i="9"/>
  <c r="BB617" i="9"/>
  <c r="S617" i="9"/>
  <c r="S229" i="9"/>
  <c r="BB229" i="9"/>
  <c r="AB840" i="9"/>
  <c r="S506" i="9"/>
  <c r="BB506" i="9"/>
  <c r="AA30" i="9"/>
  <c r="Y328" i="9"/>
  <c r="X328" i="9"/>
  <c r="AA328" i="9"/>
  <c r="S455" i="9"/>
  <c r="BB455" i="9"/>
  <c r="Y321" i="9"/>
  <c r="AB321" i="9"/>
  <c r="X321" i="9"/>
  <c r="AA321" i="9"/>
  <c r="BB613" i="9"/>
  <c r="S613" i="9"/>
  <c r="X971" i="9"/>
  <c r="Y971" i="9"/>
  <c r="S958" i="9"/>
  <c r="BB958" i="9"/>
  <c r="Y675" i="9"/>
  <c r="X675" i="9"/>
  <c r="AB240" i="9"/>
  <c r="AH499" i="9"/>
  <c r="AB759" i="9"/>
  <c r="AA28" i="9"/>
  <c r="AB477" i="9"/>
  <c r="AA501" i="9"/>
  <c r="AA477" i="9"/>
  <c r="AA231" i="9"/>
  <c r="U458" i="9"/>
  <c r="T458" i="9"/>
  <c r="U574" i="9"/>
  <c r="T574" i="9"/>
  <c r="U867" i="9"/>
  <c r="T867" i="9"/>
  <c r="U430" i="9"/>
  <c r="T430" i="9"/>
  <c r="U456" i="9"/>
  <c r="T456" i="9"/>
  <c r="T705" i="9"/>
  <c r="U705" i="9"/>
  <c r="U265" i="9"/>
  <c r="T265" i="9"/>
  <c r="U544" i="9"/>
  <c r="T544" i="9"/>
  <c r="U988" i="9"/>
  <c r="T988" i="9"/>
  <c r="U581" i="9"/>
  <c r="T581" i="9"/>
  <c r="U124" i="9"/>
  <c r="T124" i="9"/>
  <c r="U672" i="9"/>
  <c r="T672" i="9"/>
  <c r="U629" i="9"/>
  <c r="T629" i="9"/>
  <c r="U846" i="9"/>
  <c r="T846" i="9"/>
  <c r="U74" i="9"/>
  <c r="T74" i="9"/>
  <c r="U950" i="9"/>
  <c r="T950" i="9"/>
  <c r="U527" i="9"/>
  <c r="T527" i="9"/>
  <c r="U449" i="9"/>
  <c r="T449" i="9"/>
  <c r="U942" i="9"/>
  <c r="T942" i="9"/>
  <c r="U266" i="9"/>
  <c r="T266" i="9"/>
  <c r="U648" i="9"/>
  <c r="T648" i="9"/>
  <c r="U870" i="9"/>
  <c r="T870" i="9"/>
  <c r="U250" i="9"/>
  <c r="T250" i="9"/>
  <c r="U270" i="9"/>
  <c r="T270" i="9"/>
  <c r="U284" i="9"/>
  <c r="T284" i="9"/>
  <c r="T447" i="9"/>
  <c r="U447" i="9"/>
  <c r="U120" i="9"/>
  <c r="T120" i="9"/>
  <c r="U82" i="9"/>
  <c r="T82" i="9"/>
  <c r="U20" i="9"/>
  <c r="T20" i="9"/>
  <c r="U737" i="9"/>
  <c r="T737" i="9"/>
  <c r="U819" i="9"/>
  <c r="T819" i="9"/>
  <c r="U990" i="9"/>
  <c r="T990" i="9"/>
  <c r="U982" i="9"/>
  <c r="T982" i="9"/>
  <c r="U698" i="9"/>
  <c r="T698" i="9"/>
  <c r="U434" i="9"/>
  <c r="T434" i="9"/>
  <c r="U98" i="9"/>
  <c r="T98" i="9"/>
  <c r="U167" i="9"/>
  <c r="T167" i="9"/>
  <c r="U88" i="9"/>
  <c r="T88" i="9"/>
  <c r="U380" i="9"/>
  <c r="T380" i="9"/>
  <c r="U471" i="9"/>
  <c r="T471" i="9"/>
  <c r="U173" i="9"/>
  <c r="T173" i="9"/>
  <c r="U635" i="9"/>
  <c r="T635" i="9"/>
  <c r="U973" i="9"/>
  <c r="T973" i="9"/>
  <c r="T257" i="9"/>
  <c r="U257" i="9"/>
  <c r="U827" i="9"/>
  <c r="T827" i="9"/>
  <c r="U66" i="9"/>
  <c r="T66" i="9"/>
  <c r="U898" i="9"/>
  <c r="T898" i="9"/>
  <c r="U220" i="9"/>
  <c r="T220" i="9"/>
  <c r="U780" i="9"/>
  <c r="T780" i="9"/>
  <c r="U32" i="9"/>
  <c r="T32" i="9"/>
  <c r="U5" i="9"/>
  <c r="T5" i="9"/>
  <c r="U578" i="9"/>
  <c r="T578" i="9"/>
  <c r="U138" i="9"/>
  <c r="T138" i="9"/>
  <c r="U417" i="9"/>
  <c r="T417" i="9"/>
  <c r="U222" i="9"/>
  <c r="T222" i="9"/>
  <c r="U101" i="9"/>
  <c r="T101" i="9"/>
  <c r="U522" i="9"/>
  <c r="T522" i="9"/>
  <c r="U464" i="9"/>
  <c r="T464" i="9"/>
  <c r="U3" i="9"/>
  <c r="T3" i="9"/>
  <c r="U152" i="9"/>
  <c r="T152" i="9"/>
  <c r="U594" i="9"/>
  <c r="T594" i="9"/>
  <c r="U194" i="9"/>
  <c r="T194" i="9"/>
  <c r="U682" i="9"/>
  <c r="T682" i="9"/>
  <c r="U570" i="9"/>
  <c r="T570" i="9"/>
  <c r="U63" i="9"/>
  <c r="T63" i="9"/>
  <c r="U912" i="9"/>
  <c r="T912" i="9"/>
  <c r="U252" i="9"/>
  <c r="T252" i="9"/>
  <c r="U450" i="9"/>
  <c r="T450" i="9"/>
  <c r="U694" i="9"/>
  <c r="T694" i="9"/>
  <c r="U51" i="9"/>
  <c r="T51" i="9"/>
  <c r="U365" i="9"/>
  <c r="T365" i="9"/>
  <c r="U515" i="9"/>
  <c r="T515" i="9"/>
  <c r="U280" i="9"/>
  <c r="T280" i="9"/>
  <c r="U978" i="9"/>
  <c r="T978" i="9"/>
  <c r="AA951" i="9"/>
  <c r="U641" i="9"/>
  <c r="T641" i="9"/>
  <c r="U439" i="9"/>
  <c r="T439" i="9"/>
  <c r="U881" i="9"/>
  <c r="T881" i="9"/>
  <c r="U315" i="9"/>
  <c r="T315" i="9"/>
  <c r="U19" i="9"/>
  <c r="T19" i="9"/>
  <c r="U8" i="9"/>
  <c r="T8" i="9"/>
  <c r="U683" i="9"/>
  <c r="T683" i="9"/>
  <c r="U331" i="9"/>
  <c r="T331" i="9"/>
  <c r="U633" i="9"/>
  <c r="T633" i="9"/>
  <c r="U78" i="9"/>
  <c r="T78" i="9"/>
  <c r="U127" i="9"/>
  <c r="T127" i="9"/>
  <c r="U487" i="9"/>
  <c r="T487" i="9"/>
  <c r="U875" i="9"/>
  <c r="T875" i="9"/>
  <c r="U750" i="9"/>
  <c r="T750" i="9"/>
  <c r="T889" i="9"/>
  <c r="U889" i="9"/>
  <c r="U826" i="9"/>
  <c r="T826" i="9"/>
  <c r="U796" i="9"/>
  <c r="T796" i="9"/>
  <c r="U495" i="9"/>
  <c r="T495" i="9"/>
  <c r="U566" i="9"/>
  <c r="T566" i="9"/>
  <c r="U532" i="9"/>
  <c r="T532" i="9"/>
  <c r="U828" i="9"/>
  <c r="T828" i="9"/>
  <c r="U452" i="9"/>
  <c r="T452" i="9"/>
  <c r="U214" i="9"/>
  <c r="T214" i="9"/>
  <c r="U605" i="9"/>
  <c r="T605" i="9"/>
  <c r="U817" i="9"/>
  <c r="T817" i="9"/>
  <c r="U400" i="9"/>
  <c r="T400" i="9"/>
  <c r="U791" i="9"/>
  <c r="T791" i="9"/>
  <c r="U260" i="9"/>
  <c r="T260" i="9"/>
  <c r="U913" i="9"/>
  <c r="T913" i="9"/>
  <c r="T137" i="9"/>
  <c r="U137" i="9"/>
  <c r="U812" i="9"/>
  <c r="T812" i="9"/>
  <c r="U506" i="9"/>
  <c r="T506" i="9"/>
  <c r="U181" i="9"/>
  <c r="T181" i="9"/>
  <c r="U681" i="9"/>
  <c r="T681" i="9"/>
  <c r="U726" i="9"/>
  <c r="T726" i="9"/>
  <c r="U882" i="9"/>
  <c r="T882" i="9"/>
  <c r="U448" i="9"/>
  <c r="T448" i="9"/>
  <c r="U786" i="9"/>
  <c r="T786" i="9"/>
  <c r="U297" i="9"/>
  <c r="T297" i="9"/>
  <c r="U984" i="9"/>
  <c r="T984" i="9"/>
  <c r="U11" i="9"/>
  <c r="T11" i="9"/>
  <c r="U657" i="9"/>
  <c r="T657" i="9"/>
  <c r="U860" i="9"/>
  <c r="T860" i="9"/>
  <c r="U787" i="9"/>
  <c r="T787" i="9"/>
  <c r="U462" i="9"/>
  <c r="T462" i="9"/>
  <c r="U892" i="9"/>
  <c r="T892" i="9"/>
  <c r="U593" i="9"/>
  <c r="T593" i="9"/>
  <c r="U7" i="9"/>
  <c r="T7" i="9"/>
  <c r="U69" i="9"/>
  <c r="T69" i="9"/>
  <c r="U844" i="9"/>
  <c r="T844" i="9"/>
  <c r="U405" i="9"/>
  <c r="T405" i="9"/>
  <c r="U43" i="9"/>
  <c r="T43" i="9"/>
  <c r="U205" i="9"/>
  <c r="T205" i="9"/>
  <c r="U616" i="9"/>
  <c r="T616" i="9"/>
  <c r="U223" i="9"/>
  <c r="T223" i="9"/>
  <c r="U234" i="9"/>
  <c r="T234" i="9"/>
  <c r="U732" i="9"/>
  <c r="T732" i="9"/>
  <c r="U94" i="9"/>
  <c r="T94" i="9"/>
  <c r="U427" i="9"/>
  <c r="T427" i="9"/>
  <c r="U445" i="9"/>
  <c r="T445" i="9"/>
  <c r="U609" i="9"/>
  <c r="T609" i="9"/>
  <c r="U327" i="9"/>
  <c r="T327" i="9"/>
  <c r="U295" i="9"/>
  <c r="T295" i="9"/>
  <c r="U237" i="9"/>
  <c r="T237" i="9"/>
  <c r="U299" i="9"/>
  <c r="T299" i="9"/>
  <c r="U900" i="9"/>
  <c r="T900" i="9"/>
  <c r="T511" i="9"/>
  <c r="U511" i="9"/>
  <c r="U907" i="9"/>
  <c r="T907" i="9"/>
  <c r="U909" i="9"/>
  <c r="T909" i="9"/>
  <c r="U62" i="9"/>
  <c r="T62" i="9"/>
  <c r="U571" i="9"/>
  <c r="T571" i="9"/>
  <c r="U695" i="9"/>
  <c r="T695" i="9"/>
  <c r="U645" i="9"/>
  <c r="T645" i="9"/>
  <c r="U668" i="9"/>
  <c r="T668" i="9"/>
  <c r="U162" i="9"/>
  <c r="T162" i="9"/>
  <c r="U106" i="9"/>
  <c r="T106" i="9"/>
  <c r="U716" i="9"/>
  <c r="T716" i="9"/>
  <c r="U852" i="9"/>
  <c r="T852" i="9"/>
  <c r="U887" i="9"/>
  <c r="T887" i="9"/>
  <c r="U940" i="9"/>
  <c r="T940" i="9"/>
  <c r="U107" i="9"/>
  <c r="T107" i="9"/>
  <c r="U914" i="9"/>
  <c r="T914" i="9"/>
  <c r="U143" i="9"/>
  <c r="T143" i="9"/>
  <c r="U15" i="9"/>
  <c r="T15" i="9"/>
  <c r="U218" i="9"/>
  <c r="T218" i="9"/>
  <c r="U216" i="9"/>
  <c r="T216" i="9"/>
  <c r="U836" i="9"/>
  <c r="T836" i="9"/>
  <c r="U958" i="9"/>
  <c r="T958" i="9"/>
  <c r="U229" i="9"/>
  <c r="T229" i="9"/>
  <c r="U879" i="9"/>
  <c r="T879" i="9"/>
  <c r="U23" i="9"/>
  <c r="T23" i="9"/>
  <c r="U388" i="9"/>
  <c r="T388" i="9"/>
  <c r="U816" i="9"/>
  <c r="T816" i="9"/>
  <c r="U625" i="9"/>
  <c r="T625" i="9"/>
  <c r="U311" i="9"/>
  <c r="T311" i="9"/>
  <c r="U741" i="9"/>
  <c r="T741" i="9"/>
  <c r="U781" i="9"/>
  <c r="T781" i="9"/>
  <c r="U55" i="9"/>
  <c r="T55" i="9"/>
  <c r="U916" i="9"/>
  <c r="T916" i="9"/>
  <c r="U253" i="9"/>
  <c r="T253" i="9"/>
  <c r="U930" i="9"/>
  <c r="T930" i="9"/>
  <c r="U684" i="9"/>
  <c r="T684" i="9"/>
  <c r="U135" i="9"/>
  <c r="T135" i="9"/>
  <c r="U463" i="9"/>
  <c r="T463" i="9"/>
  <c r="U307" i="9"/>
  <c r="T307" i="9"/>
  <c r="U766" i="9"/>
  <c r="T766" i="9"/>
  <c r="U436" i="9"/>
  <c r="T436" i="9"/>
  <c r="U811" i="9"/>
  <c r="T811" i="9"/>
  <c r="U559" i="9"/>
  <c r="T559" i="9"/>
  <c r="U369" i="9"/>
  <c r="T369" i="9"/>
  <c r="U1002" i="9"/>
  <c r="T1002" i="9"/>
  <c r="T361" i="9"/>
  <c r="U361" i="9"/>
  <c r="T25" i="9"/>
  <c r="U25" i="9"/>
  <c r="U275" i="9"/>
  <c r="T275" i="9"/>
  <c r="U831" i="9"/>
  <c r="T831" i="9"/>
  <c r="U271" i="9"/>
  <c r="T271" i="9"/>
  <c r="U357" i="9"/>
  <c r="T357" i="9"/>
  <c r="U190" i="9"/>
  <c r="T190" i="9"/>
  <c r="U460" i="9"/>
  <c r="T460" i="9"/>
  <c r="U85" i="9"/>
  <c r="T85" i="9"/>
  <c r="U286" i="9"/>
  <c r="T286" i="9"/>
  <c r="U242" i="9"/>
  <c r="T242" i="9"/>
  <c r="U470" i="9"/>
  <c r="T470" i="9"/>
  <c r="U546" i="9"/>
  <c r="T546" i="9"/>
  <c r="U90" i="9"/>
  <c r="T90" i="9"/>
  <c r="U438" i="9"/>
  <c r="T438" i="9"/>
  <c r="U557" i="9"/>
  <c r="T557" i="9"/>
  <c r="U70" i="9"/>
  <c r="T70" i="9"/>
  <c r="U573" i="9"/>
  <c r="T573" i="9"/>
  <c r="U197" i="9"/>
  <c r="T197" i="9"/>
  <c r="U861" i="9"/>
  <c r="T861" i="9"/>
  <c r="U701" i="9"/>
  <c r="T701" i="9"/>
  <c r="U979" i="9"/>
  <c r="T979" i="9"/>
  <c r="U233" i="9"/>
  <c r="T233" i="9"/>
  <c r="U251" i="9"/>
  <c r="T251" i="9"/>
  <c r="U623" i="9"/>
  <c r="T623" i="9"/>
  <c r="U386" i="9"/>
  <c r="T386" i="9"/>
  <c r="U850" i="9"/>
  <c r="T850" i="9"/>
  <c r="U102" i="9"/>
  <c r="T102" i="9"/>
  <c r="U191" i="9"/>
  <c r="T191" i="9"/>
  <c r="U591" i="9"/>
  <c r="T591" i="9"/>
  <c r="U989" i="9"/>
  <c r="T989" i="9"/>
  <c r="U255" i="9"/>
  <c r="T255" i="9"/>
  <c r="U238" i="9"/>
  <c r="T238" i="9"/>
  <c r="U176" i="9"/>
  <c r="T176" i="9"/>
  <c r="U168" i="9"/>
  <c r="T168" i="9"/>
  <c r="U455" i="9"/>
  <c r="T455" i="9"/>
  <c r="T617" i="9"/>
  <c r="U617" i="9"/>
  <c r="U621" i="9"/>
  <c r="T621" i="9"/>
  <c r="U524" i="9"/>
  <c r="T524" i="9"/>
  <c r="U954" i="9"/>
  <c r="T954" i="9"/>
  <c r="U754" i="9"/>
  <c r="T754" i="9"/>
  <c r="U568" i="9"/>
  <c r="T568" i="9"/>
  <c r="U863" i="9"/>
  <c r="T863" i="9"/>
  <c r="U435" i="9"/>
  <c r="T435" i="9"/>
  <c r="U118" i="9"/>
  <c r="T118" i="9"/>
  <c r="U752" i="9"/>
  <c r="T752" i="9"/>
  <c r="U944" i="9"/>
  <c r="T944" i="9"/>
  <c r="U555" i="9"/>
  <c r="T555" i="9"/>
  <c r="U808" i="9"/>
  <c r="T808" i="9"/>
  <c r="U368" i="9"/>
  <c r="T368" i="9"/>
  <c r="AA702" i="9"/>
  <c r="U268" i="9"/>
  <c r="T268" i="9"/>
  <c r="AB498" i="9"/>
  <c r="U547" i="9"/>
  <c r="T547" i="9"/>
  <c r="U285" i="9"/>
  <c r="T285" i="9"/>
  <c r="U503" i="9"/>
  <c r="T503" i="9"/>
  <c r="AB40" i="9"/>
  <c r="U293" i="9"/>
  <c r="T293" i="9"/>
  <c r="U801" i="9"/>
  <c r="T801" i="9"/>
  <c r="U486" i="9"/>
  <c r="T486" i="9"/>
  <c r="U35" i="9"/>
  <c r="T35" i="9"/>
  <c r="U72" i="9"/>
  <c r="T72" i="9"/>
  <c r="U552" i="9"/>
  <c r="T552" i="9"/>
  <c r="U858" i="9"/>
  <c r="T858" i="9"/>
  <c r="U378" i="9"/>
  <c r="T378" i="9"/>
  <c r="U1001" i="9"/>
  <c r="T1001" i="9"/>
  <c r="U59" i="9"/>
  <c r="T59" i="9"/>
  <c r="U261" i="9"/>
  <c r="T261" i="9"/>
  <c r="U441" i="9"/>
  <c r="T441" i="9"/>
  <c r="U123" i="9"/>
  <c r="T123" i="9"/>
  <c r="U151" i="9"/>
  <c r="T151" i="9"/>
  <c r="U79" i="9"/>
  <c r="T79" i="9"/>
  <c r="U80" i="9"/>
  <c r="T80" i="9"/>
  <c r="U862" i="9"/>
  <c r="T862" i="9"/>
  <c r="U751" i="9"/>
  <c r="T751" i="9"/>
  <c r="U116" i="9"/>
  <c r="T116" i="9"/>
  <c r="U569" i="9"/>
  <c r="T569" i="9"/>
  <c r="U987" i="9"/>
  <c r="T987" i="9"/>
  <c r="U202" i="9"/>
  <c r="T202" i="9"/>
  <c r="U884" i="9"/>
  <c r="T884" i="9"/>
  <c r="U740" i="9"/>
  <c r="T740" i="9"/>
  <c r="U267" i="9"/>
  <c r="T267" i="9"/>
  <c r="U269" i="9"/>
  <c r="T269" i="9"/>
  <c r="U548" i="9"/>
  <c r="T548" i="9"/>
  <c r="U998" i="9"/>
  <c r="T998" i="9"/>
  <c r="U542" i="9"/>
  <c r="T542" i="9"/>
  <c r="U952" i="9"/>
  <c r="T952" i="9"/>
  <c r="U820" i="9"/>
  <c r="T820" i="9"/>
  <c r="U531" i="9"/>
  <c r="T531" i="9"/>
  <c r="U620" i="9"/>
  <c r="T620" i="9"/>
  <c r="T113" i="9"/>
  <c r="U113" i="9"/>
  <c r="U512" i="9"/>
  <c r="T512" i="9"/>
  <c r="AG243" i="9"/>
  <c r="U824" i="9"/>
  <c r="T824" i="9"/>
  <c r="U600" i="9"/>
  <c r="T600" i="9"/>
  <c r="U204" i="9"/>
  <c r="T204" i="9"/>
  <c r="U398" i="9"/>
  <c r="T398" i="9"/>
  <c r="U221" i="9"/>
  <c r="T221" i="9"/>
  <c r="U159" i="9"/>
  <c r="T159" i="9"/>
  <c r="U149" i="9"/>
  <c r="T149" i="9"/>
  <c r="U277" i="9"/>
  <c r="T277" i="9"/>
  <c r="U75" i="9"/>
  <c r="T75" i="9"/>
  <c r="U248" i="9"/>
  <c r="T248" i="9"/>
  <c r="U272" i="9"/>
  <c r="T272" i="9"/>
  <c r="U883" i="9"/>
  <c r="T883" i="9"/>
  <c r="U209" i="9"/>
  <c r="T209" i="9"/>
  <c r="U960" i="9"/>
  <c r="T960" i="9"/>
  <c r="U453" i="9"/>
  <c r="T453" i="9"/>
  <c r="U880" i="9"/>
  <c r="T880" i="9"/>
  <c r="U160" i="9"/>
  <c r="T160" i="9"/>
  <c r="U177" i="9"/>
  <c r="T177" i="9"/>
  <c r="U31" i="9"/>
  <c r="T31" i="9"/>
  <c r="U347" i="9"/>
  <c r="T347" i="9"/>
  <c r="U519" i="9"/>
  <c r="T519" i="9"/>
  <c r="U156" i="9"/>
  <c r="T156" i="9"/>
  <c r="U130" i="9"/>
  <c r="T130" i="9"/>
  <c r="U362" i="9"/>
  <c r="T362" i="9"/>
  <c r="U303" i="9"/>
  <c r="T303" i="9"/>
  <c r="U572" i="9"/>
  <c r="T572" i="9"/>
  <c r="U920" i="9"/>
  <c r="T920" i="9"/>
  <c r="U589" i="9"/>
  <c r="T589" i="9"/>
  <c r="U804" i="9"/>
  <c r="T804" i="9"/>
  <c r="U195" i="9"/>
  <c r="T195" i="9"/>
  <c r="U597" i="9"/>
  <c r="T597" i="9"/>
  <c r="U245" i="9"/>
  <c r="T245" i="9"/>
  <c r="U304" i="9"/>
  <c r="T304" i="9"/>
  <c r="U845" i="9"/>
  <c r="T845" i="9"/>
  <c r="U1000" i="9"/>
  <c r="T1000" i="9"/>
  <c r="U864" i="9"/>
  <c r="T864" i="9"/>
  <c r="U977" i="9"/>
  <c r="T977" i="9"/>
  <c r="U936" i="9"/>
  <c r="T936" i="9"/>
  <c r="U582" i="9"/>
  <c r="T582" i="9"/>
  <c r="U921" i="9"/>
  <c r="T921" i="9"/>
  <c r="U139" i="9"/>
  <c r="T139" i="9"/>
  <c r="U230" i="9"/>
  <c r="T230" i="9"/>
  <c r="U91" i="9"/>
  <c r="T91" i="9"/>
  <c r="U27" i="9"/>
  <c r="T27" i="9"/>
  <c r="U534" i="9"/>
  <c r="T534" i="9"/>
  <c r="U443" i="9"/>
  <c r="T443" i="9"/>
  <c r="U396" i="9"/>
  <c r="T396" i="9"/>
  <c r="U612" i="9"/>
  <c r="T612" i="9"/>
  <c r="U394" i="9"/>
  <c r="T394" i="9"/>
  <c r="U112" i="9"/>
  <c r="T112" i="9"/>
  <c r="U839" i="9"/>
  <c r="T839" i="9"/>
  <c r="U693" i="9"/>
  <c r="T693" i="9"/>
  <c r="U848" i="9"/>
  <c r="T848" i="9"/>
  <c r="U431" i="9"/>
  <c r="T431" i="9"/>
  <c r="U948" i="9"/>
  <c r="T948" i="9"/>
  <c r="U459" i="9"/>
  <c r="T459" i="9"/>
  <c r="U278" i="9"/>
  <c r="T278" i="9"/>
  <c r="U677" i="9"/>
  <c r="T677" i="9"/>
  <c r="U256" i="9"/>
  <c r="T256" i="9"/>
  <c r="U738" i="9"/>
  <c r="T738" i="9"/>
  <c r="U747" i="9"/>
  <c r="T747" i="9"/>
  <c r="U908" i="9"/>
  <c r="T908" i="9"/>
  <c r="U323" i="9"/>
  <c r="T323" i="9"/>
  <c r="U535" i="9"/>
  <c r="T535" i="9"/>
  <c r="U335" i="9"/>
  <c r="T335" i="9"/>
  <c r="U428" i="9"/>
  <c r="T428" i="9"/>
  <c r="U603" i="9"/>
  <c r="T603" i="9"/>
  <c r="U649" i="9"/>
  <c r="T649" i="9"/>
  <c r="T825" i="9"/>
  <c r="U825" i="9"/>
  <c r="U444" i="9"/>
  <c r="T444" i="9"/>
  <c r="U650" i="9"/>
  <c r="T650" i="9"/>
  <c r="U602" i="9"/>
  <c r="T602" i="9"/>
  <c r="U38" i="9"/>
  <c r="T38" i="9"/>
  <c r="U849" i="9"/>
  <c r="T849" i="9"/>
  <c r="U753" i="9"/>
  <c r="T753" i="9"/>
  <c r="U479" i="9"/>
  <c r="T479" i="9"/>
  <c r="T73" i="9"/>
  <c r="U73" i="9"/>
  <c r="U774" i="9"/>
  <c r="T774" i="9"/>
  <c r="U949" i="9"/>
  <c r="T949" i="9"/>
  <c r="U992" i="9"/>
  <c r="T992" i="9"/>
  <c r="U644" i="9"/>
  <c r="T644" i="9"/>
  <c r="U813" i="9"/>
  <c r="T813" i="9"/>
  <c r="U67" i="9"/>
  <c r="T67" i="9"/>
  <c r="T225" i="9"/>
  <c r="U225" i="9"/>
  <c r="U259" i="9"/>
  <c r="T259" i="9"/>
  <c r="U996" i="9"/>
  <c r="T996" i="9"/>
  <c r="U584" i="9"/>
  <c r="T584" i="9"/>
  <c r="U905" i="9"/>
  <c r="T905" i="9"/>
  <c r="U688" i="9"/>
  <c r="T688" i="9"/>
  <c r="U21" i="9"/>
  <c r="T21" i="9"/>
  <c r="T193" i="9"/>
  <c r="U193" i="9"/>
  <c r="T97" i="9"/>
  <c r="U97" i="9"/>
  <c r="T319" i="9"/>
  <c r="U319" i="9"/>
  <c r="U392" i="9"/>
  <c r="T392" i="9"/>
  <c r="U68" i="9"/>
  <c r="T68" i="9"/>
  <c r="U384" i="9"/>
  <c r="T384" i="9"/>
  <c r="U652" i="9"/>
  <c r="T652" i="9"/>
  <c r="U451" i="9"/>
  <c r="T451" i="9"/>
  <c r="U413" i="9"/>
  <c r="T413" i="9"/>
  <c r="U466" i="9"/>
  <c r="T466" i="9"/>
  <c r="U946" i="9"/>
  <c r="T946" i="9"/>
  <c r="U782" i="9"/>
  <c r="T782" i="9"/>
  <c r="AA24" i="9"/>
  <c r="U637" i="9"/>
  <c r="T637" i="9"/>
  <c r="U906" i="9"/>
  <c r="T906" i="9"/>
  <c r="U543" i="9"/>
  <c r="T543" i="9"/>
  <c r="U821" i="9"/>
  <c r="T821" i="9"/>
  <c r="U364" i="9"/>
  <c r="T364" i="9"/>
  <c r="U502" i="9"/>
  <c r="T502" i="9"/>
  <c r="U103" i="9"/>
  <c r="T103" i="9"/>
  <c r="U246" i="9"/>
  <c r="T246" i="9"/>
  <c r="U539" i="9"/>
  <c r="T539" i="9"/>
  <c r="U426" i="9"/>
  <c r="T426" i="9"/>
  <c r="U339" i="9"/>
  <c r="T339" i="9"/>
  <c r="U709" i="9"/>
  <c r="T709" i="9"/>
  <c r="U604" i="9"/>
  <c r="T604" i="9"/>
  <c r="U712" i="9"/>
  <c r="T712" i="9"/>
  <c r="U409" i="9"/>
  <c r="T409" i="9"/>
  <c r="U76" i="9"/>
  <c r="T76" i="9"/>
  <c r="U301" i="9"/>
  <c r="T301" i="9"/>
  <c r="U258" i="9"/>
  <c r="T258" i="9"/>
  <c r="U273" i="9"/>
  <c r="T273" i="9"/>
  <c r="U746" i="9"/>
  <c r="T746" i="9"/>
  <c r="U567" i="9"/>
  <c r="T567" i="9"/>
  <c r="U558" i="9"/>
  <c r="T558" i="9"/>
  <c r="U421" i="9"/>
  <c r="T421" i="9"/>
  <c r="U64" i="9"/>
  <c r="T64" i="9"/>
  <c r="U382" i="9"/>
  <c r="T382" i="9"/>
  <c r="U871" i="9"/>
  <c r="T871" i="9"/>
  <c r="U36" i="9"/>
  <c r="T36" i="9"/>
  <c r="U993" i="9"/>
  <c r="T993" i="9"/>
  <c r="U730" i="9"/>
  <c r="T730" i="9"/>
  <c r="U793" i="9"/>
  <c r="T793" i="9"/>
  <c r="U722" i="9"/>
  <c r="T722" i="9"/>
  <c r="AG134" i="9"/>
  <c r="AG967" i="9"/>
  <c r="U980" i="9"/>
  <c r="T980" i="9"/>
  <c r="U201" i="9"/>
  <c r="T201" i="9"/>
  <c r="U606" i="9"/>
  <c r="T606" i="9"/>
  <c r="U613" i="9"/>
  <c r="T613" i="9"/>
  <c r="U343" i="9"/>
  <c r="T343" i="9"/>
  <c r="U536" i="9"/>
  <c r="T536" i="9"/>
  <c r="U146" i="9"/>
  <c r="T146" i="9"/>
  <c r="U583" i="9"/>
  <c r="T583" i="9"/>
  <c r="AB28" i="9"/>
  <c r="U71" i="9"/>
  <c r="T71" i="9"/>
  <c r="U157" i="9"/>
  <c r="T157" i="9"/>
  <c r="U402" i="9"/>
  <c r="T402" i="9"/>
  <c r="U126" i="9"/>
  <c r="T126" i="9"/>
  <c r="U885" i="9"/>
  <c r="T885" i="9"/>
  <c r="U119" i="9"/>
  <c r="T119" i="9"/>
  <c r="U353" i="9"/>
  <c r="T353" i="9"/>
  <c r="U510" i="9"/>
  <c r="T510" i="9"/>
  <c r="U748" i="9"/>
  <c r="T748" i="9"/>
  <c r="U47" i="9"/>
  <c r="T47" i="9"/>
  <c r="U241" i="9"/>
  <c r="T241" i="9"/>
  <c r="U661" i="9"/>
  <c r="T661" i="9"/>
  <c r="U770" i="9"/>
  <c r="T770" i="9"/>
  <c r="U926" i="9"/>
  <c r="T926" i="9"/>
  <c r="U744" i="9"/>
  <c r="T744" i="9"/>
  <c r="U516" i="9"/>
  <c r="T516" i="9"/>
  <c r="U554" i="9"/>
  <c r="T554" i="9"/>
  <c r="U363" i="9"/>
  <c r="T363" i="9"/>
  <c r="U685" i="9"/>
  <c r="T685" i="9"/>
  <c r="U279" i="9"/>
  <c r="T279" i="9"/>
  <c r="U432" i="9"/>
  <c r="T432" i="9"/>
  <c r="U226" i="9"/>
  <c r="T226" i="9"/>
  <c r="U374" i="9"/>
  <c r="T374" i="9"/>
  <c r="U144" i="9"/>
  <c r="T144" i="9"/>
  <c r="U166" i="9"/>
  <c r="T166" i="9"/>
  <c r="U560" i="9"/>
  <c r="T560" i="9"/>
  <c r="U148" i="9"/>
  <c r="T148" i="9"/>
  <c r="U822" i="9"/>
  <c r="T822" i="9"/>
  <c r="U551" i="9"/>
  <c r="T551" i="9"/>
  <c r="U646" i="9"/>
  <c r="T646" i="9"/>
  <c r="U727" i="9"/>
  <c r="T727" i="9"/>
  <c r="U538" i="9"/>
  <c r="T538" i="9"/>
  <c r="U823" i="9"/>
  <c r="T823" i="9"/>
  <c r="U115" i="9"/>
  <c r="T115" i="9"/>
  <c r="U39" i="9"/>
  <c r="T39" i="9"/>
  <c r="U217" i="9"/>
  <c r="T217" i="9"/>
  <c r="U924" i="9"/>
  <c r="T924" i="9"/>
  <c r="U390" i="9"/>
  <c r="T390" i="9"/>
  <c r="U829" i="9"/>
  <c r="T829" i="9"/>
  <c r="U798" i="9"/>
  <c r="T798" i="9"/>
  <c r="U507" i="9"/>
  <c r="T507" i="9"/>
  <c r="U122" i="9"/>
  <c r="T122" i="9"/>
  <c r="U725" i="9"/>
  <c r="T725" i="9"/>
  <c r="AB318" i="9"/>
  <c r="AG26" i="9"/>
  <c r="AG618" i="9"/>
  <c r="AA995" i="9"/>
  <c r="AB626" i="9"/>
  <c r="AB105" i="9"/>
  <c r="BC505" i="9"/>
  <c r="S505" i="9"/>
  <c r="AH961" i="9"/>
  <c r="AB320" i="9"/>
  <c r="AH745" i="9"/>
  <c r="AB224" i="9"/>
  <c r="AB174" i="9"/>
  <c r="AB690" i="9"/>
  <c r="AA690" i="9"/>
  <c r="AB971" i="9"/>
  <c r="AB556" i="9"/>
  <c r="AA611" i="9"/>
  <c r="AH967" i="9"/>
  <c r="AB586" i="9"/>
  <c r="AA556" i="9"/>
  <c r="AA420" i="9"/>
  <c r="AE618" i="9"/>
  <c r="AF618" i="9"/>
  <c r="AH618" i="9"/>
  <c r="AA586" i="9"/>
  <c r="AB997" i="9"/>
  <c r="AB764" i="9"/>
  <c r="BB761" i="9"/>
  <c r="S761" i="9"/>
  <c r="AA971" i="9"/>
  <c r="AB391" i="9"/>
  <c r="AB154" i="9"/>
  <c r="AB129" i="9"/>
  <c r="AB420" i="9"/>
  <c r="AA963" i="9"/>
  <c r="AA903" i="9"/>
  <c r="AA274" i="9"/>
  <c r="AE274" i="9"/>
  <c r="AF274" i="9"/>
  <c r="AA764" i="9"/>
  <c r="AB332" i="9"/>
  <c r="AA391" i="9"/>
  <c r="AG391" i="9"/>
  <c r="AA300" i="9"/>
  <c r="AA154" i="9"/>
  <c r="AA129" i="9"/>
  <c r="AB274" i="9"/>
  <c r="AE26" i="9"/>
  <c r="AF26" i="9"/>
  <c r="AH26" i="9"/>
  <c r="AH134" i="9"/>
  <c r="AE360" i="9"/>
  <c r="AF360" i="9"/>
  <c r="AH360" i="9"/>
  <c r="AA93" i="9"/>
  <c r="AE93" i="9"/>
  <c r="AF93" i="9"/>
  <c r="AH890" i="9"/>
  <c r="AB300" i="9"/>
  <c r="AB469" i="9"/>
  <c r="AH876" i="9"/>
  <c r="AG876" i="9"/>
  <c r="AH872" i="9"/>
  <c r="Y204" i="9"/>
  <c r="X204" i="9"/>
  <c r="AB665" i="9"/>
  <c r="AA509" i="9"/>
  <c r="S771" i="9"/>
  <c r="BB771" i="9"/>
  <c r="Y677" i="9"/>
  <c r="X677" i="9"/>
  <c r="Y256" i="9"/>
  <c r="X256" i="9"/>
  <c r="BB189" i="9"/>
  <c r="S189" i="9"/>
  <c r="BC947" i="9"/>
  <c r="S947" i="9"/>
  <c r="V204" i="9"/>
  <c r="Z204" i="9"/>
  <c r="BD204" i="9"/>
  <c r="W204" i="9"/>
  <c r="Y738" i="9"/>
  <c r="X738" i="9"/>
  <c r="AB346" i="9"/>
  <c r="BB395" i="9"/>
  <c r="S395" i="9"/>
  <c r="X836" i="9"/>
  <c r="Y836" i="9"/>
  <c r="BB180" i="9"/>
  <c r="S180" i="9"/>
  <c r="BC615" i="9"/>
  <c r="S615" i="9"/>
  <c r="AE145" i="9"/>
  <c r="AF145" i="9"/>
  <c r="AH145" i="9"/>
  <c r="AB537" i="9"/>
  <c r="AB929" i="9"/>
  <c r="AA366" i="9"/>
  <c r="AE366" i="9"/>
  <c r="AF366" i="9"/>
  <c r="AA968" i="9"/>
  <c r="AB702" i="9"/>
  <c r="AB755" i="9"/>
  <c r="AB918" i="9"/>
  <c r="AA549" i="9"/>
  <c r="AB630" i="9"/>
  <c r="AA585" i="9"/>
  <c r="AE585" i="9"/>
  <c r="AF585" i="9"/>
  <c r="AA833" i="9"/>
  <c r="AA336" i="9"/>
  <c r="AB283" i="9"/>
  <c r="AB983" i="9"/>
  <c r="AB389" i="9"/>
  <c r="AB344" i="9"/>
  <c r="BB415" i="9"/>
  <c r="S415" i="9"/>
  <c r="Y730" i="9"/>
  <c r="X730" i="9"/>
  <c r="BB835" i="9"/>
  <c r="S835" i="9"/>
  <c r="X793" i="9"/>
  <c r="Y793" i="9"/>
  <c r="BB757" i="9"/>
  <c r="S757" i="9"/>
  <c r="AA306" i="9"/>
  <c r="BB282" i="9"/>
  <c r="S282" i="9"/>
  <c r="Y722" i="9"/>
  <c r="X722" i="9"/>
  <c r="BB521" i="9"/>
  <c r="S521" i="9"/>
  <c r="AA105" i="9"/>
  <c r="Y278" i="9"/>
  <c r="X278" i="9"/>
  <c r="S622" i="9"/>
  <c r="BB622" i="9"/>
  <c r="V836" i="9"/>
  <c r="Z836" i="9"/>
  <c r="BD836" i="9"/>
  <c r="W836" i="9"/>
  <c r="AA294" i="9"/>
  <c r="AE294" i="9"/>
  <c r="AF294" i="9"/>
  <c r="AG145" i="9"/>
  <c r="AB968" i="9"/>
  <c r="AA918" i="9"/>
  <c r="AB953" i="9"/>
  <c r="AB549" i="9"/>
  <c r="AB410" i="9"/>
  <c r="AA797" i="9"/>
  <c r="AA630" i="9"/>
  <c r="AG630" i="9"/>
  <c r="AA308" i="9"/>
  <c r="AE308" i="9"/>
  <c r="AF308" i="9"/>
  <c r="AB188" i="9"/>
  <c r="AB336" i="9"/>
  <c r="BB901" i="9"/>
  <c r="S901" i="9"/>
  <c r="Y898" i="9"/>
  <c r="X898" i="9"/>
  <c r="S919" i="9"/>
  <c r="BB919" i="9"/>
  <c r="BD730" i="9"/>
  <c r="W730" i="9"/>
  <c r="V730" i="9"/>
  <c r="Z730" i="9"/>
  <c r="BC671" i="9"/>
  <c r="S671" i="9"/>
  <c r="S340" i="9"/>
  <c r="BB340" i="9"/>
  <c r="BD793" i="9"/>
  <c r="W793" i="9"/>
  <c r="V793" i="9"/>
  <c r="Z793" i="9"/>
  <c r="BB419" i="9"/>
  <c r="S419" i="9"/>
  <c r="BC57" i="9"/>
  <c r="S57" i="9"/>
  <c r="AB306" i="9"/>
  <c r="BD722" i="9"/>
  <c r="W722" i="9"/>
  <c r="V722" i="9"/>
  <c r="Z722" i="9"/>
  <c r="X747" i="9"/>
  <c r="AA747" i="9"/>
  <c r="Y747" i="9"/>
  <c r="S799" i="9"/>
  <c r="BB799" i="9"/>
  <c r="AA346" i="9"/>
  <c r="AB294" i="9"/>
  <c r="AA520" i="9"/>
  <c r="AE520" i="9"/>
  <c r="AF520" i="9"/>
  <c r="AB809" i="9"/>
  <c r="AA773" i="9"/>
  <c r="AE773" i="9"/>
  <c r="AF773" i="9"/>
  <c r="AA662" i="9"/>
  <c r="AA654" i="9"/>
  <c r="AB797" i="9"/>
  <c r="AA601" i="9"/>
  <c r="AE601" i="9"/>
  <c r="AF601" i="9"/>
  <c r="AB308" i="9"/>
  <c r="AA228" i="9"/>
  <c r="AE228" i="9"/>
  <c r="AF228" i="9"/>
  <c r="AA406" i="9"/>
  <c r="AE406" i="9"/>
  <c r="AF406" i="9"/>
  <c r="BD898" i="9"/>
  <c r="W898" i="9"/>
  <c r="V898" i="9"/>
  <c r="Z898" i="9"/>
  <c r="Y220" i="9"/>
  <c r="X220" i="9"/>
  <c r="AB638" i="9"/>
  <c r="S970" i="9"/>
  <c r="BB970" i="9"/>
  <c r="V137" i="9"/>
  <c r="Z137" i="9"/>
  <c r="BD137" i="9"/>
  <c r="W137" i="9"/>
  <c r="BD747" i="9"/>
  <c r="W747" i="9"/>
  <c r="V747" i="9"/>
  <c r="Z747" i="9"/>
  <c r="BD677" i="9"/>
  <c r="W677" i="9"/>
  <c r="V677" i="9"/>
  <c r="Z677" i="9"/>
  <c r="BD812" i="9"/>
  <c r="W812" i="9"/>
  <c r="V812" i="9"/>
  <c r="Z812" i="9"/>
  <c r="AA675" i="9"/>
  <c r="AB758" i="9"/>
  <c r="AA316" i="9"/>
  <c r="AA575" i="9"/>
  <c r="AA658" i="9"/>
  <c r="AB287" i="9"/>
  <c r="AA809" i="9"/>
  <c r="AA175" i="9"/>
  <c r="AB662" i="9"/>
  <c r="AB182" i="9"/>
  <c r="AA337" i="9"/>
  <c r="AB219" i="9"/>
  <c r="AB654" i="9"/>
  <c r="AB305" i="9"/>
  <c r="AB587" i="9"/>
  <c r="AA196" i="9"/>
  <c r="BB854" i="9"/>
  <c r="S854" i="9"/>
  <c r="BD220" i="9"/>
  <c r="W220" i="9"/>
  <c r="V220" i="9"/>
  <c r="Z220" i="9"/>
  <c r="AA638" i="9"/>
  <c r="S354" i="9"/>
  <c r="BB354" i="9"/>
  <c r="S680" i="9"/>
  <c r="BB680" i="9"/>
  <c r="BC553" i="9"/>
  <c r="S553" i="9"/>
  <c r="BC577" i="9"/>
  <c r="S577" i="9"/>
  <c r="S517" i="9"/>
  <c r="BB517" i="9"/>
  <c r="BB172" i="9"/>
  <c r="S172" i="9"/>
  <c r="X137" i="9"/>
  <c r="Y137" i="9"/>
  <c r="S756" i="9"/>
  <c r="BB756" i="9"/>
  <c r="BB490" i="9"/>
  <c r="S490" i="9"/>
  <c r="S153" i="9"/>
  <c r="BB153" i="9"/>
  <c r="V256" i="9"/>
  <c r="Z256" i="9"/>
  <c r="BD256" i="9"/>
  <c r="W256" i="9"/>
  <c r="V738" i="9"/>
  <c r="Z738" i="9"/>
  <c r="BD738" i="9"/>
  <c r="W738" i="9"/>
  <c r="AA857" i="9"/>
  <c r="AE857" i="9"/>
  <c r="AB675" i="9"/>
  <c r="AA418" i="9"/>
  <c r="AA758" i="9"/>
  <c r="AB316" i="9"/>
  <c r="AG316" i="9"/>
  <c r="AB658" i="9"/>
  <c r="AA309" i="9"/>
  <c r="AA192" i="9"/>
  <c r="AA287" i="9"/>
  <c r="AA132" i="9"/>
  <c r="AB345" i="9"/>
  <c r="AA667" i="9"/>
  <c r="AB407" i="9"/>
  <c r="AA595" i="9"/>
  <c r="AA334" i="9"/>
  <c r="AB313" i="9"/>
  <c r="AH619" i="9"/>
  <c r="BB244" i="9"/>
  <c r="S244" i="9"/>
  <c r="AA939" i="9"/>
  <c r="BB692" i="9"/>
  <c r="S692" i="9"/>
  <c r="BB461" i="9"/>
  <c r="S461" i="9"/>
  <c r="S807" i="9"/>
  <c r="BB807" i="9"/>
  <c r="Y216" i="9"/>
  <c r="X216" i="9"/>
  <c r="AA911" i="9"/>
  <c r="AB184" i="9"/>
  <c r="AB93" i="9"/>
  <c r="AA358" i="9"/>
  <c r="AA416" i="9"/>
  <c r="AA530" i="9"/>
  <c r="AB475" i="9"/>
  <c r="AB667" i="9"/>
  <c r="AB595" i="9"/>
  <c r="AA525" i="9"/>
  <c r="AA212" i="9"/>
  <c r="AE212" i="9"/>
  <c r="AF212" i="9"/>
  <c r="AB938" i="9"/>
  <c r="BD278" i="9"/>
  <c r="W278" i="9"/>
  <c r="V278" i="9"/>
  <c r="Z278" i="9"/>
  <c r="BB387" i="9"/>
  <c r="S387" i="9"/>
  <c r="AB939" i="9"/>
  <c r="BC945" i="9"/>
  <c r="S945" i="9"/>
  <c r="S904" i="9"/>
  <c r="BB904" i="9"/>
  <c r="BC545" i="9"/>
  <c r="S545" i="9"/>
  <c r="BC631" i="9"/>
  <c r="S631" i="9"/>
  <c r="BD216" i="9"/>
  <c r="W216" i="9"/>
  <c r="V216" i="9"/>
  <c r="Z216" i="9"/>
  <c r="AB911" i="9"/>
  <c r="X812" i="9"/>
  <c r="AA812" i="9"/>
  <c r="Y812" i="9"/>
  <c r="AB812" i="9"/>
  <c r="V157" i="9"/>
  <c r="Z157" i="9"/>
  <c r="BD157" i="9"/>
  <c r="W157" i="9"/>
  <c r="X222" i="9"/>
  <c r="Y222" i="9"/>
  <c r="BB187" i="9"/>
  <c r="S187" i="9"/>
  <c r="Y23" i="9"/>
  <c r="X23" i="9"/>
  <c r="Y524" i="9"/>
  <c r="X524" i="9"/>
  <c r="V138" i="9"/>
  <c r="Z138" i="9"/>
  <c r="BD138" i="9"/>
  <c r="W138" i="9"/>
  <c r="AG355" i="9"/>
  <c r="AE355" i="9"/>
  <c r="AF355" i="9"/>
  <c r="AH355" i="9"/>
  <c r="AE192" i="9"/>
  <c r="AF192" i="9"/>
  <c r="V118" i="9"/>
  <c r="Z118" i="9"/>
  <c r="BD118" i="9"/>
  <c r="W118" i="9"/>
  <c r="Y744" i="9"/>
  <c r="X744" i="9"/>
  <c r="S356" i="9"/>
  <c r="BB356" i="9"/>
  <c r="AG842" i="9"/>
  <c r="AE842" i="9"/>
  <c r="AF842" i="9"/>
  <c r="AH842" i="9"/>
  <c r="V960" i="9"/>
  <c r="Z960" i="9"/>
  <c r="BD960" i="9"/>
  <c r="W960" i="9"/>
  <c r="AG498" i="9"/>
  <c r="AE498" i="9"/>
  <c r="AF498" i="9"/>
  <c r="AH498" i="9"/>
  <c r="BD21" i="9"/>
  <c r="W21" i="9"/>
  <c r="V21" i="9"/>
  <c r="Z21" i="9"/>
  <c r="BD912" i="9"/>
  <c r="W912" i="9"/>
  <c r="V912" i="9"/>
  <c r="Z912" i="9"/>
  <c r="S937" i="9"/>
  <c r="BB937" i="9"/>
  <c r="BD97" i="9"/>
  <c r="W97" i="9"/>
  <c r="V97" i="9"/>
  <c r="Z97" i="9"/>
  <c r="BC788" i="9"/>
  <c r="S788" i="9"/>
  <c r="Y559" i="9"/>
  <c r="X559" i="9"/>
  <c r="AG446" i="9"/>
  <c r="AE446" i="9"/>
  <c r="AF446" i="9"/>
  <c r="AH446" i="9"/>
  <c r="X226" i="9"/>
  <c r="Y226" i="9"/>
  <c r="Y439" i="9"/>
  <c r="X439" i="9"/>
  <c r="BB84" i="9"/>
  <c r="S84" i="9"/>
  <c r="BD609" i="9"/>
  <c r="W609" i="9"/>
  <c r="V609" i="9"/>
  <c r="Z609" i="9"/>
  <c r="BD900" i="9"/>
  <c r="W900" i="9"/>
  <c r="V900" i="9"/>
  <c r="Z900" i="9"/>
  <c r="AE833" i="9"/>
  <c r="AF833" i="9"/>
  <c r="BE511" i="9"/>
  <c r="W511" i="9"/>
  <c r="V511" i="9"/>
  <c r="Z511" i="9"/>
  <c r="X39" i="9"/>
  <c r="Y39" i="9"/>
  <c r="BB379" i="9"/>
  <c r="S379" i="9"/>
  <c r="AF310" i="9"/>
  <c r="AH310" i="9"/>
  <c r="AE310" i="9"/>
  <c r="AG310" i="9"/>
  <c r="X76" i="9"/>
  <c r="Y76" i="9"/>
  <c r="V746" i="9"/>
  <c r="Z746" i="9"/>
  <c r="BD746" i="9"/>
  <c r="W746" i="9"/>
  <c r="Y635" i="9"/>
  <c r="X635" i="9"/>
  <c r="BD257" i="9"/>
  <c r="W257" i="9"/>
  <c r="V257" i="9"/>
  <c r="Z257" i="9"/>
  <c r="V36" i="9"/>
  <c r="Z36" i="9"/>
  <c r="BD36" i="9"/>
  <c r="W36" i="9"/>
  <c r="V455" i="9"/>
  <c r="Z455" i="9"/>
  <c r="BD455" i="9"/>
  <c r="W455" i="9"/>
  <c r="V229" i="9"/>
  <c r="Z229" i="9"/>
  <c r="BD229" i="9"/>
  <c r="W229" i="9"/>
  <c r="Y398" i="9"/>
  <c r="X398" i="9"/>
  <c r="V146" i="9"/>
  <c r="Z146" i="9"/>
  <c r="BD146" i="9"/>
  <c r="W146" i="9"/>
  <c r="V159" i="9"/>
  <c r="Z159" i="9"/>
  <c r="BD159" i="9"/>
  <c r="W159" i="9"/>
  <c r="Y458" i="9"/>
  <c r="X458" i="9"/>
  <c r="AG93" i="9"/>
  <c r="S676" i="9"/>
  <c r="BB676" i="9"/>
  <c r="X32" i="9"/>
  <c r="Y32" i="9"/>
  <c r="X603" i="9"/>
  <c r="Y603" i="9"/>
  <c r="Y5" i="9"/>
  <c r="X5" i="9"/>
  <c r="Y402" i="9"/>
  <c r="X402" i="9"/>
  <c r="V885" i="9"/>
  <c r="Z885" i="9"/>
  <c r="BD885" i="9"/>
  <c r="W885" i="9"/>
  <c r="AB575" i="9"/>
  <c r="V444" i="9"/>
  <c r="Z444" i="9"/>
  <c r="BD444" i="9"/>
  <c r="W444" i="9"/>
  <c r="BB350" i="9"/>
  <c r="S350" i="9"/>
  <c r="AG514" i="9"/>
  <c r="AE514" i="9"/>
  <c r="AF514" i="9"/>
  <c r="AH514" i="9"/>
  <c r="BD388" i="9"/>
  <c r="W388" i="9"/>
  <c r="V388" i="9"/>
  <c r="Z388" i="9"/>
  <c r="AG541" i="9"/>
  <c r="AE541" i="9"/>
  <c r="AF541" i="9"/>
  <c r="AH541" i="9"/>
  <c r="V602" i="9"/>
  <c r="Z602" i="9"/>
  <c r="BD602" i="9"/>
  <c r="W602" i="9"/>
  <c r="BD38" i="9"/>
  <c r="W38" i="9"/>
  <c r="V38" i="9"/>
  <c r="Z38" i="9"/>
  <c r="X849" i="9"/>
  <c r="Y849" i="9"/>
  <c r="AB520" i="9"/>
  <c r="Y753" i="9"/>
  <c r="X753" i="9"/>
  <c r="AB100" i="9"/>
  <c r="Y625" i="9"/>
  <c r="X625" i="9"/>
  <c r="AB192" i="9"/>
  <c r="AG192" i="9"/>
  <c r="AG795" i="9"/>
  <c r="AE795" i="9"/>
  <c r="AF795" i="9"/>
  <c r="AH795" i="9"/>
  <c r="V241" i="9"/>
  <c r="Z241" i="9"/>
  <c r="BD241" i="9"/>
  <c r="W241" i="9"/>
  <c r="X464" i="9"/>
  <c r="Y464" i="9"/>
  <c r="V3" i="9"/>
  <c r="Z3" i="9"/>
  <c r="BD3" i="9"/>
  <c r="W3" i="9"/>
  <c r="AB366" i="9"/>
  <c r="AG366" i="9"/>
  <c r="Y661" i="9"/>
  <c r="X661" i="9"/>
  <c r="BD786" i="9"/>
  <c r="W786" i="9"/>
  <c r="V786" i="9"/>
  <c r="Z786" i="9"/>
  <c r="V55" i="9"/>
  <c r="Z55" i="9"/>
  <c r="BD55" i="9"/>
  <c r="W55" i="9"/>
  <c r="AE832" i="9"/>
  <c r="AF832" i="9"/>
  <c r="AH832" i="9"/>
  <c r="AG832" i="9"/>
  <c r="Y883" i="9"/>
  <c r="X883" i="9"/>
  <c r="BD594" i="9"/>
  <c r="W594" i="9"/>
  <c r="V594" i="9"/>
  <c r="Z594" i="9"/>
  <c r="Y916" i="9"/>
  <c r="X916" i="9"/>
  <c r="V570" i="9"/>
  <c r="Z570" i="9"/>
  <c r="BD570" i="9"/>
  <c r="W570" i="9"/>
  <c r="V705" i="9"/>
  <c r="Z705" i="9"/>
  <c r="BD705" i="9"/>
  <c r="W705" i="9"/>
  <c r="AE320" i="9"/>
  <c r="AF320" i="9"/>
  <c r="AH320" i="9"/>
  <c r="AG320" i="9"/>
  <c r="BC674" i="9"/>
  <c r="S674" i="9"/>
  <c r="S769" i="9"/>
  <c r="BB769" i="9"/>
  <c r="Y225" i="9"/>
  <c r="X225" i="9"/>
  <c r="AE154" i="9"/>
  <c r="AF154" i="9"/>
  <c r="AH154" i="9"/>
  <c r="AG154" i="9"/>
  <c r="AE129" i="9"/>
  <c r="AF129" i="9"/>
  <c r="X860" i="9"/>
  <c r="Y860" i="9"/>
  <c r="BD787" i="9"/>
  <c r="W787" i="9"/>
  <c r="V787" i="9"/>
  <c r="Z787" i="9"/>
  <c r="V135" i="9"/>
  <c r="Z135" i="9"/>
  <c r="BD135" i="9"/>
  <c r="W135" i="9"/>
  <c r="X63" i="9"/>
  <c r="Y63" i="9"/>
  <c r="BC994" i="9"/>
  <c r="S994" i="9"/>
  <c r="Y581" i="9"/>
  <c r="X581" i="9"/>
  <c r="V801" i="9"/>
  <c r="Z801" i="9"/>
  <c r="BD801" i="9"/>
  <c r="W801" i="9"/>
  <c r="X463" i="9"/>
  <c r="Y463" i="9"/>
  <c r="Y912" i="9"/>
  <c r="X912" i="9"/>
  <c r="AA13" i="9"/>
  <c r="X252" i="9"/>
  <c r="Y252" i="9"/>
  <c r="BD766" i="9"/>
  <c r="W766" i="9"/>
  <c r="V766" i="9"/>
  <c r="Z766" i="9"/>
  <c r="Y486" i="9"/>
  <c r="X486" i="9"/>
  <c r="V629" i="9"/>
  <c r="Z629" i="9"/>
  <c r="BD629" i="9"/>
  <c r="W629" i="9"/>
  <c r="S785" i="9"/>
  <c r="BB785" i="9"/>
  <c r="Y319" i="9"/>
  <c r="X319" i="9"/>
  <c r="V559" i="9"/>
  <c r="Z559" i="9"/>
  <c r="BD559" i="9"/>
  <c r="W559" i="9"/>
  <c r="V369" i="9"/>
  <c r="Z369" i="9"/>
  <c r="BD369" i="9"/>
  <c r="W369" i="9"/>
  <c r="V43" i="9"/>
  <c r="Z43" i="9"/>
  <c r="BD43" i="9"/>
  <c r="W43" i="9"/>
  <c r="V280" i="9"/>
  <c r="Z280" i="9"/>
  <c r="BD280" i="9"/>
  <c r="W280" i="9"/>
  <c r="S897" i="9"/>
  <c r="BB897" i="9"/>
  <c r="AB743" i="9"/>
  <c r="V362" i="9"/>
  <c r="Z362" i="9"/>
  <c r="BD362" i="9"/>
  <c r="W362" i="9"/>
  <c r="V950" i="9"/>
  <c r="Z950" i="9"/>
  <c r="BD950" i="9"/>
  <c r="W950" i="9"/>
  <c r="X920" i="9"/>
  <c r="Y920" i="9"/>
  <c r="Y449" i="9"/>
  <c r="X449" i="9"/>
  <c r="V68" i="9"/>
  <c r="Z68" i="9"/>
  <c r="BD68" i="9"/>
  <c r="W68" i="9"/>
  <c r="BD25" i="9"/>
  <c r="W25" i="9"/>
  <c r="V25" i="9"/>
  <c r="Z25" i="9"/>
  <c r="BD275" i="9"/>
  <c r="W275" i="9"/>
  <c r="V275" i="9"/>
  <c r="Z275" i="9"/>
  <c r="Y732" i="9"/>
  <c r="X732" i="9"/>
  <c r="V589" i="9"/>
  <c r="Z589" i="9"/>
  <c r="BD589" i="9"/>
  <c r="W589" i="9"/>
  <c r="BB729" i="9"/>
  <c r="S729" i="9"/>
  <c r="V374" i="9"/>
  <c r="Z374" i="9"/>
  <c r="BD374" i="9"/>
  <c r="W374" i="9"/>
  <c r="V648" i="9"/>
  <c r="Z648" i="9"/>
  <c r="BD648" i="9"/>
  <c r="W648" i="9"/>
  <c r="Y413" i="9"/>
  <c r="X413" i="9"/>
  <c r="V466" i="9"/>
  <c r="Z466" i="9"/>
  <c r="BD466" i="9"/>
  <c r="W466" i="9"/>
  <c r="BD357" i="9"/>
  <c r="W357" i="9"/>
  <c r="V357" i="9"/>
  <c r="Z357" i="9"/>
  <c r="V190" i="9"/>
  <c r="Z190" i="9"/>
  <c r="BD190" i="9"/>
  <c r="W190" i="9"/>
  <c r="X881" i="9"/>
  <c r="Y881" i="9"/>
  <c r="AG12" i="9"/>
  <c r="AE12" i="9"/>
  <c r="AF12" i="9"/>
  <c r="AH12" i="9"/>
  <c r="Y304" i="9"/>
  <c r="X304" i="9"/>
  <c r="V460" i="9"/>
  <c r="Z460" i="9"/>
  <c r="BD460" i="9"/>
  <c r="W460" i="9"/>
  <c r="BD683" i="9"/>
  <c r="W683" i="9"/>
  <c r="V683" i="9"/>
  <c r="Z683" i="9"/>
  <c r="V85" i="9"/>
  <c r="Z85" i="9"/>
  <c r="BD85" i="9"/>
  <c r="W85" i="9"/>
  <c r="BC500" i="9"/>
  <c r="S500" i="9"/>
  <c r="X1000" i="9"/>
  <c r="Y1000" i="9"/>
  <c r="V864" i="9"/>
  <c r="Z864" i="9"/>
  <c r="BD864" i="9"/>
  <c r="W864" i="9"/>
  <c r="V977" i="9"/>
  <c r="Z977" i="9"/>
  <c r="BD977" i="9"/>
  <c r="W977" i="9"/>
  <c r="X151" i="9"/>
  <c r="Y151" i="9"/>
  <c r="Y286" i="9"/>
  <c r="X286" i="9"/>
  <c r="AE797" i="9"/>
  <c r="AF797" i="9"/>
  <c r="AH797" i="9"/>
  <c r="AG797" i="9"/>
  <c r="AG48" i="9"/>
  <c r="AF48" i="9"/>
  <c r="AH48" i="9"/>
  <c r="AE48" i="9"/>
  <c r="S561" i="9"/>
  <c r="BB561" i="9"/>
  <c r="BB125" i="9"/>
  <c r="S125" i="9"/>
  <c r="X127" i="9"/>
  <c r="Y127" i="9"/>
  <c r="Y936" i="9"/>
  <c r="X936" i="9"/>
  <c r="V821" i="9"/>
  <c r="Z821" i="9"/>
  <c r="BD821" i="9"/>
  <c r="W821" i="9"/>
  <c r="V202" i="9"/>
  <c r="Z202" i="9"/>
  <c r="BD202" i="9"/>
  <c r="W202" i="9"/>
  <c r="AB601" i="9"/>
  <c r="Y900" i="9"/>
  <c r="X900" i="9"/>
  <c r="AA900" i="9"/>
  <c r="X582" i="9"/>
  <c r="Y582" i="9"/>
  <c r="V115" i="9"/>
  <c r="Z115" i="9"/>
  <c r="BD115" i="9"/>
  <c r="W115" i="9"/>
  <c r="V502" i="9"/>
  <c r="Z502" i="9"/>
  <c r="BD502" i="9"/>
  <c r="W502" i="9"/>
  <c r="X884" i="9"/>
  <c r="Y884" i="9"/>
  <c r="S155" i="9"/>
  <c r="BB155" i="9"/>
  <c r="AG377" i="9"/>
  <c r="AE377" i="9"/>
  <c r="AF377" i="9"/>
  <c r="AH377" i="9"/>
  <c r="BD70" i="9"/>
  <c r="W70" i="9"/>
  <c r="V70" i="9"/>
  <c r="Z70" i="9"/>
  <c r="AG667" i="9"/>
  <c r="AF667" i="9"/>
  <c r="AH667" i="9"/>
  <c r="AE667" i="9"/>
  <c r="BB142" i="9"/>
  <c r="S142" i="9"/>
  <c r="V269" i="9"/>
  <c r="Z269" i="9"/>
  <c r="BD269" i="9"/>
  <c r="W269" i="9"/>
  <c r="X139" i="9"/>
  <c r="Y139" i="9"/>
  <c r="AA626" i="9"/>
  <c r="X709" i="9"/>
  <c r="Y709" i="9"/>
  <c r="AB691" i="9"/>
  <c r="V230" i="9"/>
  <c r="Z230" i="9"/>
  <c r="BD230" i="9"/>
  <c r="W230" i="9"/>
  <c r="BD701" i="9"/>
  <c r="W701" i="9"/>
  <c r="V701" i="9"/>
  <c r="Z701" i="9"/>
  <c r="V889" i="9"/>
  <c r="Z889" i="9"/>
  <c r="BD889" i="9"/>
  <c r="W889" i="9"/>
  <c r="AG724" i="9"/>
  <c r="AE724" i="9"/>
  <c r="AF724" i="9"/>
  <c r="AH724" i="9"/>
  <c r="X979" i="9"/>
  <c r="Y979" i="9"/>
  <c r="S976" i="9"/>
  <c r="BB976" i="9"/>
  <c r="AA283" i="9"/>
  <c r="AA983" i="9"/>
  <c r="Y796" i="9"/>
  <c r="X796" i="9"/>
  <c r="AA199" i="9"/>
  <c r="BC776" i="9"/>
  <c r="S776" i="9"/>
  <c r="Y820" i="9"/>
  <c r="X820" i="9"/>
  <c r="BE495" i="9"/>
  <c r="W495" i="9"/>
  <c r="V495" i="9"/>
  <c r="Z495" i="9"/>
  <c r="X829" i="9"/>
  <c r="Y829" i="9"/>
  <c r="Y106" i="9"/>
  <c r="X106" i="9"/>
  <c r="Y233" i="9"/>
  <c r="X233" i="9"/>
  <c r="AB763" i="9"/>
  <c r="V798" i="9"/>
  <c r="Z798" i="9"/>
  <c r="BD798" i="9"/>
  <c r="W798" i="9"/>
  <c r="V887" i="9"/>
  <c r="Z887" i="9"/>
  <c r="BD887" i="9"/>
  <c r="W887" i="9"/>
  <c r="Y828" i="9"/>
  <c r="X828" i="9"/>
  <c r="V452" i="9"/>
  <c r="Z452" i="9"/>
  <c r="BD452" i="9"/>
  <c r="W452" i="9"/>
  <c r="AA389" i="9"/>
  <c r="Y940" i="9"/>
  <c r="X940" i="9"/>
  <c r="AB497" i="9"/>
  <c r="AB525" i="9"/>
  <c r="AG525" i="9"/>
  <c r="AB406" i="9"/>
  <c r="AG406" i="9"/>
  <c r="AB399" i="9"/>
  <c r="AB16" i="9"/>
  <c r="X143" i="9"/>
  <c r="Y143" i="9"/>
  <c r="Y421" i="9"/>
  <c r="X421" i="9"/>
  <c r="S147" i="9"/>
  <c r="BB147" i="9"/>
  <c r="AA232" i="9"/>
  <c r="AB599" i="9"/>
  <c r="X64" i="9"/>
  <c r="Y64" i="9"/>
  <c r="Y693" i="9"/>
  <c r="X693" i="9"/>
  <c r="Y591" i="9"/>
  <c r="X591" i="9"/>
  <c r="AB212" i="9"/>
  <c r="Y382" i="9"/>
  <c r="X382" i="9"/>
  <c r="Y989" i="9"/>
  <c r="X989" i="9"/>
  <c r="X257" i="9"/>
  <c r="AA257" i="9"/>
  <c r="Y257" i="9"/>
  <c r="AB375" i="9"/>
  <c r="X36" i="9"/>
  <c r="AA36" i="9"/>
  <c r="Y36" i="9"/>
  <c r="AB36" i="9"/>
  <c r="V238" i="9"/>
  <c r="Z238" i="9"/>
  <c r="BD238" i="9"/>
  <c r="W238" i="9"/>
  <c r="AB231" i="9"/>
  <c r="V176" i="9"/>
  <c r="Z176" i="9"/>
  <c r="BD176" i="9"/>
  <c r="W176" i="9"/>
  <c r="BE993" i="9"/>
  <c r="W993" i="9"/>
  <c r="V993" i="9"/>
  <c r="Z993" i="9"/>
  <c r="V459" i="9"/>
  <c r="Z459" i="9"/>
  <c r="BD459" i="9"/>
  <c r="W459" i="9"/>
  <c r="V32" i="9"/>
  <c r="Z32" i="9"/>
  <c r="BD32" i="9"/>
  <c r="W32" i="9"/>
  <c r="X885" i="9"/>
  <c r="AA885" i="9"/>
  <c r="Y885" i="9"/>
  <c r="AB885" i="9"/>
  <c r="AE658" i="9"/>
  <c r="AF658" i="9"/>
  <c r="AH658" i="9"/>
  <c r="AG658" i="9"/>
  <c r="BB886" i="9"/>
  <c r="S886" i="9"/>
  <c r="Y38" i="9"/>
  <c r="AB38" i="9"/>
  <c r="X38" i="9"/>
  <c r="AA38" i="9"/>
  <c r="BD726" i="9"/>
  <c r="W726" i="9"/>
  <c r="V726" i="9"/>
  <c r="Z726" i="9"/>
  <c r="AE902" i="9"/>
  <c r="AF902" i="9"/>
  <c r="Y786" i="9"/>
  <c r="AB786" i="9"/>
  <c r="X786" i="9"/>
  <c r="AA786" i="9"/>
  <c r="V194" i="9"/>
  <c r="Z194" i="9"/>
  <c r="BD194" i="9"/>
  <c r="W194" i="9"/>
  <c r="X808" i="9"/>
  <c r="Y808" i="9"/>
  <c r="V225" i="9"/>
  <c r="Z225" i="9"/>
  <c r="BD225" i="9"/>
  <c r="W225" i="9"/>
  <c r="V463" i="9"/>
  <c r="Z463" i="9"/>
  <c r="BD463" i="9"/>
  <c r="W463" i="9"/>
  <c r="X766" i="9"/>
  <c r="Y766" i="9"/>
  <c r="BD319" i="9"/>
  <c r="W319" i="9"/>
  <c r="V319" i="9"/>
  <c r="Z319" i="9"/>
  <c r="Y362" i="9"/>
  <c r="X362" i="9"/>
  <c r="V223" i="9"/>
  <c r="Z223" i="9"/>
  <c r="BD223" i="9"/>
  <c r="W223" i="9"/>
  <c r="X275" i="9"/>
  <c r="Y275" i="9"/>
  <c r="AB275" i="9"/>
  <c r="X148" i="9"/>
  <c r="Y148" i="9"/>
  <c r="X683" i="9"/>
  <c r="Y683" i="9"/>
  <c r="V1000" i="9"/>
  <c r="Z1000" i="9"/>
  <c r="BD1000" i="9"/>
  <c r="W1000" i="9"/>
  <c r="V884" i="9"/>
  <c r="Z884" i="9"/>
  <c r="BD884" i="9"/>
  <c r="W884" i="9"/>
  <c r="Y573" i="9"/>
  <c r="X573" i="9"/>
  <c r="Y217" i="9"/>
  <c r="X217" i="9"/>
  <c r="AE196" i="9"/>
  <c r="AF196" i="9"/>
  <c r="BD952" i="9"/>
  <c r="W952" i="9"/>
  <c r="V952" i="9"/>
  <c r="Z952" i="9"/>
  <c r="BD668" i="9"/>
  <c r="W668" i="9"/>
  <c r="V668" i="9"/>
  <c r="Z668" i="9"/>
  <c r="V106" i="9"/>
  <c r="Z106" i="9"/>
  <c r="BD106" i="9"/>
  <c r="W106" i="9"/>
  <c r="AA763" i="9"/>
  <c r="AG894" i="9"/>
  <c r="AE894" i="9"/>
  <c r="AF894" i="9"/>
  <c r="AH894" i="9"/>
  <c r="X214" i="9"/>
  <c r="Y214" i="9"/>
  <c r="V64" i="9"/>
  <c r="Z64" i="9"/>
  <c r="BD64" i="9"/>
  <c r="W64" i="9"/>
  <c r="V817" i="9"/>
  <c r="Z817" i="9"/>
  <c r="BD817" i="9"/>
  <c r="W817" i="9"/>
  <c r="BB564" i="9"/>
  <c r="S564" i="9"/>
  <c r="Y238" i="9"/>
  <c r="AB238" i="9"/>
  <c r="X238" i="9"/>
  <c r="Y993" i="9"/>
  <c r="X993" i="9"/>
  <c r="X455" i="9"/>
  <c r="AA455" i="9"/>
  <c r="Y455" i="9"/>
  <c r="AB455" i="9"/>
  <c r="Y229" i="9"/>
  <c r="AB229" i="9"/>
  <c r="X229" i="9"/>
  <c r="V398" i="9"/>
  <c r="Z398" i="9"/>
  <c r="BD398" i="9"/>
  <c r="W398" i="9"/>
  <c r="X146" i="9"/>
  <c r="AA146" i="9"/>
  <c r="Y146" i="9"/>
  <c r="AB146" i="9"/>
  <c r="X159" i="9"/>
  <c r="AA159" i="9"/>
  <c r="Y159" i="9"/>
  <c r="AB159" i="9"/>
  <c r="BC779" i="9"/>
  <c r="S779" i="9"/>
  <c r="BD458" i="9"/>
  <c r="W458" i="9"/>
  <c r="V458" i="9"/>
  <c r="Z458" i="9"/>
  <c r="V603" i="9"/>
  <c r="Z603" i="9"/>
  <c r="BD603" i="9"/>
  <c r="W603" i="9"/>
  <c r="BD5" i="9"/>
  <c r="W5" i="9"/>
  <c r="V5" i="9"/>
  <c r="Z5" i="9"/>
  <c r="V402" i="9"/>
  <c r="Z402" i="9"/>
  <c r="BD402" i="9"/>
  <c r="W402" i="9"/>
  <c r="AE213" i="9"/>
  <c r="AF213" i="9"/>
  <c r="AH213" i="9"/>
  <c r="AG213" i="9"/>
  <c r="AB489" i="9"/>
  <c r="X444" i="9"/>
  <c r="AA444" i="9"/>
  <c r="Y444" i="9"/>
  <c r="AB444" i="9"/>
  <c r="X277" i="9"/>
  <c r="Y277" i="9"/>
  <c r="V75" i="9"/>
  <c r="Z75" i="9"/>
  <c r="BD75" i="9"/>
  <c r="W75" i="9"/>
  <c r="Y181" i="9"/>
  <c r="X181" i="9"/>
  <c r="Y388" i="9"/>
  <c r="AB388" i="9"/>
  <c r="X388" i="9"/>
  <c r="AA388" i="9"/>
  <c r="AA412" i="9"/>
  <c r="AE765" i="9"/>
  <c r="AF765" i="9"/>
  <c r="AH765" i="9"/>
  <c r="AG765" i="9"/>
  <c r="V867" i="9"/>
  <c r="Z867" i="9"/>
  <c r="BD867" i="9"/>
  <c r="W867" i="9"/>
  <c r="BD753" i="9"/>
  <c r="W753" i="9"/>
  <c r="V753" i="9"/>
  <c r="Z753" i="9"/>
  <c r="AA100" i="9"/>
  <c r="V625" i="9"/>
  <c r="Z625" i="9"/>
  <c r="BD625" i="9"/>
  <c r="W625" i="9"/>
  <c r="BB526" i="9"/>
  <c r="S526" i="9"/>
  <c r="Y241" i="9"/>
  <c r="AB241" i="9"/>
  <c r="X241" i="9"/>
  <c r="X3" i="9"/>
  <c r="AA3" i="9"/>
  <c r="Y3" i="9"/>
  <c r="AB3" i="9"/>
  <c r="V152" i="9"/>
  <c r="Z152" i="9"/>
  <c r="BD152" i="9"/>
  <c r="W152" i="9"/>
  <c r="S108" i="9"/>
  <c r="BB108" i="9"/>
  <c r="V661" i="9"/>
  <c r="Z661" i="9"/>
  <c r="BD661" i="9"/>
  <c r="W661" i="9"/>
  <c r="BD770" i="9"/>
  <c r="W770" i="9"/>
  <c r="V770" i="9"/>
  <c r="Z770" i="9"/>
  <c r="V272" i="9"/>
  <c r="Z272" i="9"/>
  <c r="BD272" i="9"/>
  <c r="W272" i="9"/>
  <c r="Y55" i="9"/>
  <c r="AB55" i="9"/>
  <c r="X55" i="9"/>
  <c r="AA55" i="9"/>
  <c r="AE809" i="9"/>
  <c r="AG809" i="9"/>
  <c r="AF809" i="9"/>
  <c r="AH809" i="9"/>
  <c r="BB170" i="9"/>
  <c r="S170" i="9"/>
  <c r="Y516" i="9"/>
  <c r="X516" i="9"/>
  <c r="Y73" i="9"/>
  <c r="X73" i="9"/>
  <c r="X774" i="9"/>
  <c r="Y774" i="9"/>
  <c r="BD883" i="9"/>
  <c r="W883" i="9"/>
  <c r="V883" i="9"/>
  <c r="Z883" i="9"/>
  <c r="BD916" i="9"/>
  <c r="W916" i="9"/>
  <c r="V916" i="9"/>
  <c r="Z916" i="9"/>
  <c r="AB132" i="9"/>
  <c r="AG132" i="9"/>
  <c r="X705" i="9"/>
  <c r="Y705" i="9"/>
  <c r="BD368" i="9"/>
  <c r="W368" i="9"/>
  <c r="V368" i="9"/>
  <c r="Z368" i="9"/>
  <c r="AG576" i="9"/>
  <c r="AE576" i="9"/>
  <c r="AF576" i="9"/>
  <c r="AH576" i="9"/>
  <c r="AA296" i="9"/>
  <c r="S736" i="9"/>
  <c r="BB736" i="9"/>
  <c r="V67" i="9"/>
  <c r="Z67" i="9"/>
  <c r="BD67" i="9"/>
  <c r="W67" i="9"/>
  <c r="V11" i="9"/>
  <c r="Z11" i="9"/>
  <c r="BD11" i="9"/>
  <c r="W11" i="9"/>
  <c r="AE290" i="9"/>
  <c r="AF290" i="9"/>
  <c r="AH290" i="9"/>
  <c r="AG290" i="9"/>
  <c r="V259" i="9"/>
  <c r="Z259" i="9"/>
  <c r="BD259" i="9"/>
  <c r="W259" i="9"/>
  <c r="AB838" i="9"/>
  <c r="V547" i="9"/>
  <c r="Z547" i="9"/>
  <c r="BD547" i="9"/>
  <c r="W547" i="9"/>
  <c r="S818" i="9"/>
  <c r="BB818" i="9"/>
  <c r="X787" i="9"/>
  <c r="AA787" i="9"/>
  <c r="Y787" i="9"/>
  <c r="V544" i="9"/>
  <c r="Z544" i="9"/>
  <c r="BD544" i="9"/>
  <c r="W544" i="9"/>
  <c r="Y503" i="9"/>
  <c r="X503" i="9"/>
  <c r="X135" i="9"/>
  <c r="AA135" i="9"/>
  <c r="Y135" i="9"/>
  <c r="AB135" i="9"/>
  <c r="AA713" i="9"/>
  <c r="BD988" i="9"/>
  <c r="W988" i="9"/>
  <c r="V988" i="9"/>
  <c r="Z988" i="9"/>
  <c r="Y462" i="9"/>
  <c r="X462" i="9"/>
  <c r="V892" i="9"/>
  <c r="Z892" i="9"/>
  <c r="BD892" i="9"/>
  <c r="W892" i="9"/>
  <c r="AA437" i="9"/>
  <c r="AA710" i="9"/>
  <c r="AA403" i="9"/>
  <c r="S999" i="9"/>
  <c r="BB999" i="9"/>
  <c r="BD347" i="9"/>
  <c r="W347" i="9"/>
  <c r="V347" i="9"/>
  <c r="Z347" i="9"/>
  <c r="AB13" i="9"/>
  <c r="Y593" i="9"/>
  <c r="X593" i="9"/>
  <c r="Y519" i="9"/>
  <c r="X519" i="9"/>
  <c r="AG789" i="9"/>
  <c r="AE789" i="9"/>
  <c r="AF789" i="9"/>
  <c r="AH789" i="9"/>
  <c r="AG420" i="9"/>
  <c r="AE420" i="9"/>
  <c r="AF420" i="9"/>
  <c r="AH420" i="9"/>
  <c r="BB99" i="9"/>
  <c r="S99" i="9"/>
  <c r="BC484" i="9"/>
  <c r="S484" i="9"/>
  <c r="V844" i="9"/>
  <c r="Z844" i="9"/>
  <c r="BD844" i="9"/>
  <c r="W844" i="9"/>
  <c r="AG550" i="9"/>
  <c r="AE550" i="9"/>
  <c r="AF550" i="9"/>
  <c r="AH550" i="9"/>
  <c r="Y846" i="9"/>
  <c r="X846" i="9"/>
  <c r="BB955" i="9"/>
  <c r="S955" i="9"/>
  <c r="Y43" i="9"/>
  <c r="AB43" i="9"/>
  <c r="X43" i="9"/>
  <c r="AA43" i="9"/>
  <c r="Y280" i="9"/>
  <c r="AB280" i="9"/>
  <c r="X280" i="9"/>
  <c r="AA280" i="9"/>
  <c r="AA235" i="9"/>
  <c r="AA743" i="9"/>
  <c r="S893" i="9"/>
  <c r="BB893" i="9"/>
  <c r="AG596" i="9"/>
  <c r="AE596" i="9"/>
  <c r="AF596" i="9"/>
  <c r="AH596" i="9"/>
  <c r="AG891" i="9"/>
  <c r="AE891" i="9"/>
  <c r="AF891" i="9"/>
  <c r="AH891" i="9"/>
  <c r="X616" i="9"/>
  <c r="Y616" i="9"/>
  <c r="Y950" i="9"/>
  <c r="AB950" i="9"/>
  <c r="X950" i="9"/>
  <c r="AA950" i="9"/>
  <c r="BD920" i="9"/>
  <c r="W920" i="9"/>
  <c r="V920" i="9"/>
  <c r="Z920" i="9"/>
  <c r="Y1001" i="9"/>
  <c r="X1001" i="9"/>
  <c r="V449" i="9"/>
  <c r="Z449" i="9"/>
  <c r="BD449" i="9"/>
  <c r="W449" i="9"/>
  <c r="X68" i="9"/>
  <c r="Y68" i="9"/>
  <c r="V59" i="9"/>
  <c r="Z59" i="9"/>
  <c r="BD59" i="9"/>
  <c r="W59" i="9"/>
  <c r="BB985" i="9"/>
  <c r="S985" i="9"/>
  <c r="S523" i="9"/>
  <c r="BB523" i="9"/>
  <c r="AG478" i="9"/>
  <c r="AE478" i="9"/>
  <c r="AF478" i="9"/>
  <c r="AH478" i="9"/>
  <c r="V266" i="9"/>
  <c r="Z266" i="9"/>
  <c r="BD266" i="9"/>
  <c r="W266" i="9"/>
  <c r="V652" i="9"/>
  <c r="Z652" i="9"/>
  <c r="BD652" i="9"/>
  <c r="W652" i="9"/>
  <c r="X648" i="9"/>
  <c r="AA648" i="9"/>
  <c r="Y648" i="9"/>
  <c r="AB648" i="9"/>
  <c r="V166" i="9"/>
  <c r="Z166" i="9"/>
  <c r="BD166" i="9"/>
  <c r="W166" i="9"/>
  <c r="AG317" i="9"/>
  <c r="AE317" i="9"/>
  <c r="AF317" i="9"/>
  <c r="AH317" i="9"/>
  <c r="X466" i="9"/>
  <c r="Y466" i="9"/>
  <c r="AB263" i="9"/>
  <c r="Y357" i="9"/>
  <c r="X357" i="9"/>
  <c r="AA357" i="9"/>
  <c r="AG24" i="9"/>
  <c r="AE24" i="9"/>
  <c r="AF24" i="9"/>
  <c r="AH24" i="9"/>
  <c r="X195" i="9"/>
  <c r="Y195" i="9"/>
  <c r="V881" i="9"/>
  <c r="Z881" i="9"/>
  <c r="BD881" i="9"/>
  <c r="W881" i="9"/>
  <c r="BD315" i="9"/>
  <c r="W315" i="9"/>
  <c r="V315" i="9"/>
  <c r="Z315" i="9"/>
  <c r="V19" i="9"/>
  <c r="Z19" i="9"/>
  <c r="BD19" i="9"/>
  <c r="W19" i="9"/>
  <c r="AE941" i="9"/>
  <c r="AF941" i="9"/>
  <c r="AH941" i="9"/>
  <c r="AG941" i="9"/>
  <c r="X460" i="9"/>
  <c r="AA460" i="9"/>
  <c r="Y460" i="9"/>
  <c r="AB460" i="9"/>
  <c r="S704" i="9"/>
  <c r="BB704" i="9"/>
  <c r="X85" i="9"/>
  <c r="AA85" i="9"/>
  <c r="Y85" i="9"/>
  <c r="AB85" i="9"/>
  <c r="BD646" i="9"/>
  <c r="W646" i="9"/>
  <c r="V646" i="9"/>
  <c r="Z646" i="9"/>
  <c r="Y864" i="9"/>
  <c r="X864" i="9"/>
  <c r="Y977" i="9"/>
  <c r="AB977" i="9"/>
  <c r="X977" i="9"/>
  <c r="AA977" i="9"/>
  <c r="V286" i="9"/>
  <c r="Z286" i="9"/>
  <c r="BD286" i="9"/>
  <c r="W286" i="9"/>
  <c r="BB563" i="9"/>
  <c r="S563" i="9"/>
  <c r="AG932" i="9"/>
  <c r="AE932" i="9"/>
  <c r="AF932" i="9"/>
  <c r="AH932" i="9"/>
  <c r="BD936" i="9"/>
  <c r="W936" i="9"/>
  <c r="V936" i="9"/>
  <c r="Z936" i="9"/>
  <c r="AG92" i="9"/>
  <c r="AE92" i="9"/>
  <c r="AF92" i="9"/>
  <c r="AH92" i="9"/>
  <c r="BB351" i="9"/>
  <c r="S351" i="9"/>
  <c r="X821" i="9"/>
  <c r="AA821" i="9"/>
  <c r="Y821" i="9"/>
  <c r="AB821" i="9"/>
  <c r="X202" i="9"/>
  <c r="Y202" i="9"/>
  <c r="Y546" i="9"/>
  <c r="X546" i="9"/>
  <c r="BD582" i="9"/>
  <c r="W582" i="9"/>
  <c r="V582" i="9"/>
  <c r="Z582" i="9"/>
  <c r="X502" i="9"/>
  <c r="Y502" i="9"/>
  <c r="Y921" i="9"/>
  <c r="X921" i="9"/>
  <c r="V740" i="9"/>
  <c r="Z740" i="9"/>
  <c r="BD740" i="9"/>
  <c r="W740" i="9"/>
  <c r="AA333" i="9"/>
  <c r="AA404" i="9"/>
  <c r="Y426" i="9"/>
  <c r="X426" i="9"/>
  <c r="V139" i="9"/>
  <c r="Z139" i="9"/>
  <c r="BD139" i="9"/>
  <c r="W139" i="9"/>
  <c r="BD339" i="9"/>
  <c r="W339" i="9"/>
  <c r="V339" i="9"/>
  <c r="Z339" i="9"/>
  <c r="S640" i="9"/>
  <c r="BB640" i="9"/>
  <c r="AA691" i="9"/>
  <c r="X604" i="9"/>
  <c r="Y604" i="9"/>
  <c r="X230" i="9"/>
  <c r="Y230" i="9"/>
  <c r="Y701" i="9"/>
  <c r="X701" i="9"/>
  <c r="X889" i="9"/>
  <c r="AA889" i="9"/>
  <c r="Y889" i="9"/>
  <c r="AB889" i="9"/>
  <c r="BD979" i="9"/>
  <c r="W979" i="9"/>
  <c r="V979" i="9"/>
  <c r="Z979" i="9"/>
  <c r="V698" i="9"/>
  <c r="Z698" i="9"/>
  <c r="BD698" i="9"/>
  <c r="W698" i="9"/>
  <c r="BB249" i="9"/>
  <c r="S249" i="9"/>
  <c r="AG764" i="9"/>
  <c r="AE764" i="9"/>
  <c r="AF764" i="9"/>
  <c r="AH764" i="9"/>
  <c r="BB975" i="9"/>
  <c r="S975" i="9"/>
  <c r="V820" i="9"/>
  <c r="Z820" i="9"/>
  <c r="BD820" i="9"/>
  <c r="W820" i="9"/>
  <c r="V829" i="9"/>
  <c r="Z829" i="9"/>
  <c r="BD829" i="9"/>
  <c r="W829" i="9"/>
  <c r="AA669" i="9"/>
  <c r="X798" i="9"/>
  <c r="AA798" i="9"/>
  <c r="Y798" i="9"/>
  <c r="AB798" i="9"/>
  <c r="AG739" i="9"/>
  <c r="AE739" i="9"/>
  <c r="AF739" i="9"/>
  <c r="AH739" i="9"/>
  <c r="X88" i="9"/>
  <c r="Y88" i="9"/>
  <c r="V716" i="9"/>
  <c r="Z716" i="9"/>
  <c r="BD716" i="9"/>
  <c r="W716" i="9"/>
  <c r="S981" i="9"/>
  <c r="BB981" i="9"/>
  <c r="BB121" i="9"/>
  <c r="S121" i="9"/>
  <c r="BC529" i="9"/>
  <c r="S529" i="9"/>
  <c r="X532" i="9"/>
  <c r="Y532" i="9"/>
  <c r="X452" i="9"/>
  <c r="AA452" i="9"/>
  <c r="Y452" i="9"/>
  <c r="AB452" i="9"/>
  <c r="AA81" i="9"/>
  <c r="BD940" i="9"/>
  <c r="W940" i="9"/>
  <c r="V940" i="9"/>
  <c r="Z940" i="9"/>
  <c r="AA497" i="9"/>
  <c r="AA399" i="9"/>
  <c r="AA16" i="9"/>
  <c r="V143" i="9"/>
  <c r="Z143" i="9"/>
  <c r="BD143" i="9"/>
  <c r="W143" i="9"/>
  <c r="S592" i="9"/>
  <c r="BB592" i="9"/>
  <c r="AB805" i="9"/>
  <c r="AB232" i="9"/>
  <c r="AA599" i="9"/>
  <c r="BD693" i="9"/>
  <c r="W693" i="9"/>
  <c r="V693" i="9"/>
  <c r="Z693" i="9"/>
  <c r="V848" i="9"/>
  <c r="Z848" i="9"/>
  <c r="BD848" i="9"/>
  <c r="W848" i="9"/>
  <c r="X824" i="9"/>
  <c r="Y824" i="9"/>
  <c r="V382" i="9"/>
  <c r="Z382" i="9"/>
  <c r="BD382" i="9"/>
  <c r="W382" i="9"/>
  <c r="V989" i="9"/>
  <c r="Z989" i="9"/>
  <c r="BD989" i="9"/>
  <c r="W989" i="9"/>
  <c r="X255" i="9"/>
  <c r="Y255" i="9"/>
  <c r="AA375" i="9"/>
  <c r="BD827" i="9"/>
  <c r="W827" i="9"/>
  <c r="V827" i="9"/>
  <c r="Z827" i="9"/>
  <c r="AA341" i="9"/>
  <c r="V791" i="9"/>
  <c r="Z791" i="9"/>
  <c r="BD791" i="9"/>
  <c r="W791" i="9"/>
  <c r="Y176" i="9"/>
  <c r="X176" i="9"/>
  <c r="X459" i="9"/>
  <c r="AA459" i="9"/>
  <c r="Y459" i="9"/>
  <c r="AB459" i="9"/>
  <c r="AG184" i="9"/>
  <c r="AE184" i="9"/>
  <c r="AF184" i="9"/>
  <c r="AH184" i="9"/>
  <c r="BE780" i="9"/>
  <c r="W780" i="9"/>
  <c r="V780" i="9"/>
  <c r="Z780" i="9"/>
  <c r="V849" i="9"/>
  <c r="Z849" i="9"/>
  <c r="BD849" i="9"/>
  <c r="W849" i="9"/>
  <c r="AG772" i="9"/>
  <c r="AE772" i="9"/>
  <c r="AF772" i="9"/>
  <c r="AH772" i="9"/>
  <c r="AG183" i="9"/>
  <c r="AE183" i="9"/>
  <c r="AF183" i="9"/>
  <c r="AH183" i="9"/>
  <c r="X570" i="9"/>
  <c r="AA570" i="9"/>
  <c r="Y570" i="9"/>
  <c r="AB570" i="9"/>
  <c r="Y644" i="9"/>
  <c r="X644" i="9"/>
  <c r="BD285" i="9"/>
  <c r="W285" i="9"/>
  <c r="V285" i="9"/>
  <c r="Z285" i="9"/>
  <c r="V63" i="9"/>
  <c r="Z63" i="9"/>
  <c r="BD63" i="9"/>
  <c r="W63" i="9"/>
  <c r="Y801" i="9"/>
  <c r="AB801" i="9"/>
  <c r="X801" i="9"/>
  <c r="AA801" i="9"/>
  <c r="S109" i="9"/>
  <c r="BB109" i="9"/>
  <c r="V694" i="9"/>
  <c r="Z694" i="9"/>
  <c r="BD694" i="9"/>
  <c r="W694" i="9"/>
  <c r="BC485" i="9"/>
  <c r="S485" i="9"/>
  <c r="Y369" i="9"/>
  <c r="X369" i="9"/>
  <c r="AE963" i="9"/>
  <c r="AF963" i="9"/>
  <c r="V205" i="9"/>
  <c r="Z205" i="9"/>
  <c r="BD205" i="9"/>
  <c r="W205" i="9"/>
  <c r="V732" i="9"/>
  <c r="Z732" i="9"/>
  <c r="BD732" i="9"/>
  <c r="W732" i="9"/>
  <c r="X432" i="9"/>
  <c r="Y432" i="9"/>
  <c r="Y374" i="9"/>
  <c r="AB374" i="9"/>
  <c r="X374" i="9"/>
  <c r="AA374" i="9"/>
  <c r="V413" i="9"/>
  <c r="Z413" i="9"/>
  <c r="BD413" i="9"/>
  <c r="W413" i="9"/>
  <c r="S917" i="9"/>
  <c r="BB917" i="9"/>
  <c r="V151" i="9"/>
  <c r="Z151" i="9"/>
  <c r="BD151" i="9"/>
  <c r="W151" i="9"/>
  <c r="Y327" i="9"/>
  <c r="X327" i="9"/>
  <c r="BD862" i="9"/>
  <c r="W862" i="9"/>
  <c r="V862" i="9"/>
  <c r="Z862" i="9"/>
  <c r="X569" i="9"/>
  <c r="Y569" i="9"/>
  <c r="BD557" i="9"/>
  <c r="W557" i="9"/>
  <c r="V557" i="9"/>
  <c r="Z557" i="9"/>
  <c r="Y539" i="9"/>
  <c r="X539" i="9"/>
  <c r="Y70" i="9"/>
  <c r="X70" i="9"/>
  <c r="AA70" i="9"/>
  <c r="X269" i="9"/>
  <c r="Y269" i="9"/>
  <c r="V982" i="9"/>
  <c r="Z982" i="9"/>
  <c r="BD982" i="9"/>
  <c r="W982" i="9"/>
  <c r="X531" i="9"/>
  <c r="Y531" i="9"/>
  <c r="V828" i="9"/>
  <c r="Z828" i="9"/>
  <c r="BD828" i="9"/>
  <c r="W828" i="9"/>
  <c r="S163" i="9"/>
  <c r="BB163" i="9"/>
  <c r="Y617" i="9"/>
  <c r="X617" i="9"/>
  <c r="V221" i="9"/>
  <c r="Z221" i="9"/>
  <c r="BD221" i="9"/>
  <c r="W221" i="9"/>
  <c r="V583" i="9"/>
  <c r="Z583" i="9"/>
  <c r="BD583" i="9"/>
  <c r="W583" i="9"/>
  <c r="V980" i="9"/>
  <c r="Z980" i="9"/>
  <c r="BD980" i="9"/>
  <c r="W980" i="9"/>
  <c r="S207" i="9"/>
  <c r="BB207" i="9"/>
  <c r="AG28" i="9"/>
  <c r="AE28" i="9"/>
  <c r="AF28" i="9"/>
  <c r="AH28" i="9"/>
  <c r="AA422" i="9"/>
  <c r="Y879" i="9"/>
  <c r="X879" i="9"/>
  <c r="AE758" i="9"/>
  <c r="AF758" i="9"/>
  <c r="AB760" i="9"/>
  <c r="V417" i="9"/>
  <c r="Z417" i="9"/>
  <c r="BD417" i="9"/>
  <c r="W417" i="9"/>
  <c r="S211" i="9"/>
  <c r="BB211" i="9"/>
  <c r="V606" i="9"/>
  <c r="Z606" i="9"/>
  <c r="BD606" i="9"/>
  <c r="W606" i="9"/>
  <c r="AG482" i="9"/>
  <c r="AE482" i="9"/>
  <c r="AF482" i="9"/>
  <c r="AH482" i="9"/>
  <c r="X101" i="9"/>
  <c r="Y101" i="9"/>
  <c r="X574" i="9"/>
  <c r="Y574" i="9"/>
  <c r="BC868" i="9"/>
  <c r="S868" i="9"/>
  <c r="Y649" i="9"/>
  <c r="X649" i="9"/>
  <c r="BB128" i="9"/>
  <c r="S128" i="9"/>
  <c r="AA489" i="9"/>
  <c r="AG240" i="9"/>
  <c r="AE240" i="9"/>
  <c r="AF240" i="9"/>
  <c r="AH240" i="9"/>
  <c r="BD578" i="9"/>
  <c r="W578" i="9"/>
  <c r="V578" i="9"/>
  <c r="Z578" i="9"/>
  <c r="BD277" i="9"/>
  <c r="W277" i="9"/>
  <c r="V277" i="9"/>
  <c r="Z277" i="9"/>
  <c r="AE840" i="9"/>
  <c r="AF840" i="9"/>
  <c r="AH840" i="9"/>
  <c r="AG840" i="9"/>
  <c r="X75" i="9"/>
  <c r="AA75" i="9"/>
  <c r="Y75" i="9"/>
  <c r="AB75" i="9"/>
  <c r="X954" i="9"/>
  <c r="Y954" i="9"/>
  <c r="BD181" i="9"/>
  <c r="W181" i="9"/>
  <c r="V181" i="9"/>
  <c r="Z181" i="9"/>
  <c r="AA607" i="9"/>
  <c r="BD650" i="9"/>
  <c r="W650" i="9"/>
  <c r="V650" i="9"/>
  <c r="Z650" i="9"/>
  <c r="AB412" i="9"/>
  <c r="Y867" i="9"/>
  <c r="AB867" i="9"/>
  <c r="X867" i="9"/>
  <c r="AA867" i="9"/>
  <c r="BB169" i="9"/>
  <c r="S169" i="9"/>
  <c r="V748" i="9"/>
  <c r="Z748" i="9"/>
  <c r="BD748" i="9"/>
  <c r="W748" i="9"/>
  <c r="V47" i="9"/>
  <c r="Z47" i="9"/>
  <c r="BD47" i="9"/>
  <c r="W47" i="9"/>
  <c r="BC492" i="9"/>
  <c r="S492" i="9"/>
  <c r="V741" i="9"/>
  <c r="Z741" i="9"/>
  <c r="BD741" i="9"/>
  <c r="W741" i="9"/>
  <c r="BD781" i="9"/>
  <c r="W781" i="9"/>
  <c r="V781" i="9"/>
  <c r="Z781" i="9"/>
  <c r="X152" i="9"/>
  <c r="Y152" i="9"/>
  <c r="S401" i="9"/>
  <c r="BB401" i="9"/>
  <c r="Y770" i="9"/>
  <c r="AB770" i="9"/>
  <c r="X770" i="9"/>
  <c r="AA770" i="9"/>
  <c r="X272" i="9"/>
  <c r="AA272" i="9"/>
  <c r="Y272" i="9"/>
  <c r="AA408" i="9"/>
  <c r="BD516" i="9"/>
  <c r="W516" i="9"/>
  <c r="V516" i="9"/>
  <c r="Z516" i="9"/>
  <c r="AA45" i="9"/>
  <c r="Y297" i="9"/>
  <c r="X297" i="9"/>
  <c r="BD73" i="9"/>
  <c r="W73" i="9"/>
  <c r="V73" i="9"/>
  <c r="Z73" i="9"/>
  <c r="V774" i="9"/>
  <c r="Z774" i="9"/>
  <c r="BD774" i="9"/>
  <c r="W774" i="9"/>
  <c r="BD992" i="9"/>
  <c r="W992" i="9"/>
  <c r="V992" i="9"/>
  <c r="Z992" i="9"/>
  <c r="Y209" i="9"/>
  <c r="X209" i="9"/>
  <c r="AE132" i="9"/>
  <c r="AF132" i="9"/>
  <c r="AH132" i="9"/>
  <c r="AG540" i="9"/>
  <c r="AE540" i="9"/>
  <c r="AF540" i="9"/>
  <c r="AH540" i="9"/>
  <c r="BC371" i="9"/>
  <c r="S371" i="9"/>
  <c r="AA291" i="9"/>
  <c r="Y368" i="9"/>
  <c r="AB368" i="9"/>
  <c r="X368" i="9"/>
  <c r="AA368" i="9"/>
  <c r="AB296" i="9"/>
  <c r="X67" i="9"/>
  <c r="Y67" i="9"/>
  <c r="X930" i="9"/>
  <c r="Y930" i="9"/>
  <c r="Y11" i="9"/>
  <c r="AB11" i="9"/>
  <c r="X11" i="9"/>
  <c r="AA11" i="9"/>
  <c r="X259" i="9"/>
  <c r="AA259" i="9"/>
  <c r="Y259" i="9"/>
  <c r="AB259" i="9"/>
  <c r="AA838" i="9"/>
  <c r="Y547" i="9"/>
  <c r="X547" i="9"/>
  <c r="X544" i="9"/>
  <c r="AA544" i="9"/>
  <c r="Y544" i="9"/>
  <c r="AB544" i="9"/>
  <c r="BE503" i="9"/>
  <c r="W503" i="9"/>
  <c r="V503" i="9"/>
  <c r="Z503" i="9"/>
  <c r="AB713" i="9"/>
  <c r="Y988" i="9"/>
  <c r="AB988" i="9"/>
  <c r="X988" i="9"/>
  <c r="AA988" i="9"/>
  <c r="BD462" i="9"/>
  <c r="W462" i="9"/>
  <c r="V462" i="9"/>
  <c r="Z462" i="9"/>
  <c r="AG918" i="9"/>
  <c r="AE918" i="9"/>
  <c r="AF918" i="9"/>
  <c r="AH918" i="9"/>
  <c r="Y892" i="9"/>
  <c r="AB892" i="9"/>
  <c r="X892" i="9"/>
  <c r="AB437" i="9"/>
  <c r="AB710" i="9"/>
  <c r="AB403" i="9"/>
  <c r="Y347" i="9"/>
  <c r="X347" i="9"/>
  <c r="V593" i="9"/>
  <c r="Z593" i="9"/>
  <c r="BD593" i="9"/>
  <c r="W593" i="9"/>
  <c r="BE519" i="9"/>
  <c r="W519" i="9"/>
  <c r="V519" i="9"/>
  <c r="Z519" i="9"/>
  <c r="AA292" i="9"/>
  <c r="Y69" i="9"/>
  <c r="X69" i="9"/>
  <c r="AA29" i="9"/>
  <c r="X844" i="9"/>
  <c r="Y844" i="9"/>
  <c r="AB844" i="9"/>
  <c r="V405" i="9"/>
  <c r="Z405" i="9"/>
  <c r="BD405" i="9"/>
  <c r="W405" i="9"/>
  <c r="V846" i="9"/>
  <c r="Z846" i="9"/>
  <c r="BD846" i="9"/>
  <c r="W846" i="9"/>
  <c r="AB235" i="9"/>
  <c r="BD361" i="9"/>
  <c r="W361" i="9"/>
  <c r="V361" i="9"/>
  <c r="Z361" i="9"/>
  <c r="AA385" i="9"/>
  <c r="BD303" i="9"/>
  <c r="W303" i="9"/>
  <c r="V303" i="9"/>
  <c r="Z303" i="9"/>
  <c r="BD616" i="9"/>
  <c r="W616" i="9"/>
  <c r="V616" i="9"/>
  <c r="Z616" i="9"/>
  <c r="AG53" i="9"/>
  <c r="AE53" i="9"/>
  <c r="AF53" i="9"/>
  <c r="AH53" i="9"/>
  <c r="V1001" i="9"/>
  <c r="Z1001" i="9"/>
  <c r="BD1001" i="9"/>
  <c r="W1001" i="9"/>
  <c r="AG465" i="9"/>
  <c r="AE465" i="9"/>
  <c r="AF465" i="9"/>
  <c r="AH465" i="9"/>
  <c r="Y59" i="9"/>
  <c r="X59" i="9"/>
  <c r="V94" i="9"/>
  <c r="Z94" i="9"/>
  <c r="BD94" i="9"/>
  <c r="W94" i="9"/>
  <c r="Y266" i="9"/>
  <c r="X266" i="9"/>
  <c r="Y652" i="9"/>
  <c r="AB652" i="9"/>
  <c r="X652" i="9"/>
  <c r="AA652" i="9"/>
  <c r="Y641" i="9"/>
  <c r="X641" i="9"/>
  <c r="X144" i="9"/>
  <c r="Y144" i="9"/>
  <c r="X166" i="9"/>
  <c r="AA166" i="9"/>
  <c r="Y166" i="9"/>
  <c r="AB166" i="9"/>
  <c r="AA324" i="9"/>
  <c r="AA263" i="9"/>
  <c r="AA565" i="9"/>
  <c r="BD195" i="9"/>
  <c r="W195" i="9"/>
  <c r="V195" i="9"/>
  <c r="Z195" i="9"/>
  <c r="Y315" i="9"/>
  <c r="AB315" i="9"/>
  <c r="X315" i="9"/>
  <c r="AA315" i="9"/>
  <c r="X19" i="9"/>
  <c r="AA19" i="9"/>
  <c r="Y19" i="9"/>
  <c r="AB359" i="9"/>
  <c r="Y646" i="9"/>
  <c r="AB646" i="9"/>
  <c r="X646" i="9"/>
  <c r="AA646" i="9"/>
  <c r="X906" i="9"/>
  <c r="Y906" i="9"/>
  <c r="AB481" i="9"/>
  <c r="AA706" i="9"/>
  <c r="V79" i="9"/>
  <c r="Z79" i="9"/>
  <c r="BD79" i="9"/>
  <c r="W79" i="9"/>
  <c r="Y633" i="9"/>
  <c r="X633" i="9"/>
  <c r="V543" i="9"/>
  <c r="Z543" i="9"/>
  <c r="BD543" i="9"/>
  <c r="W543" i="9"/>
  <c r="BD470" i="9"/>
  <c r="W470" i="9"/>
  <c r="V470" i="9"/>
  <c r="Z470" i="9"/>
  <c r="AE783" i="9"/>
  <c r="AF783" i="9"/>
  <c r="AH783" i="9"/>
  <c r="AG783" i="9"/>
  <c r="AE312" i="9"/>
  <c r="AF312" i="9"/>
  <c r="AH312" i="9"/>
  <c r="AG312" i="9"/>
  <c r="BB806" i="9"/>
  <c r="S806" i="9"/>
  <c r="BD295" i="9"/>
  <c r="W295" i="9"/>
  <c r="V295" i="9"/>
  <c r="Z295" i="9"/>
  <c r="V284" i="9"/>
  <c r="Z284" i="9"/>
  <c r="BD284" i="9"/>
  <c r="W284" i="9"/>
  <c r="V447" i="9"/>
  <c r="Z447" i="9"/>
  <c r="BD447" i="9"/>
  <c r="W447" i="9"/>
  <c r="S899" i="9"/>
  <c r="BB899" i="9"/>
  <c r="BD546" i="9"/>
  <c r="W546" i="9"/>
  <c r="V546" i="9"/>
  <c r="Z546" i="9"/>
  <c r="V120" i="9"/>
  <c r="Z120" i="9"/>
  <c r="BD120" i="9"/>
  <c r="W120" i="9"/>
  <c r="Y90" i="9"/>
  <c r="X90" i="9"/>
  <c r="V82" i="9"/>
  <c r="Z82" i="9"/>
  <c r="BD82" i="9"/>
  <c r="W82" i="9"/>
  <c r="V921" i="9"/>
  <c r="Z921" i="9"/>
  <c r="BD921" i="9"/>
  <c r="W921" i="9"/>
  <c r="V103" i="9"/>
  <c r="Z103" i="9"/>
  <c r="BD103" i="9"/>
  <c r="W103" i="9"/>
  <c r="Y740" i="9"/>
  <c r="X740" i="9"/>
  <c r="X267" i="9"/>
  <c r="Y267" i="9"/>
  <c r="AB639" i="9"/>
  <c r="AB333" i="9"/>
  <c r="Y907" i="9"/>
  <c r="X907" i="9"/>
  <c r="Y750" i="9"/>
  <c r="X750" i="9"/>
  <c r="AA329" i="9"/>
  <c r="AB404" i="9"/>
  <c r="BD426" i="9"/>
  <c r="W426" i="9"/>
  <c r="V426" i="9"/>
  <c r="Z426" i="9"/>
  <c r="S56" i="9"/>
  <c r="BB56" i="9"/>
  <c r="Y339" i="9"/>
  <c r="X339" i="9"/>
  <c r="BD604" i="9"/>
  <c r="W604" i="9"/>
  <c r="V604" i="9"/>
  <c r="Z604" i="9"/>
  <c r="Y698" i="9"/>
  <c r="AB698" i="9"/>
  <c r="X698" i="9"/>
  <c r="AA698" i="9"/>
  <c r="X91" i="9"/>
  <c r="Y91" i="9"/>
  <c r="BB136" i="9"/>
  <c r="S136" i="9"/>
  <c r="S962" i="9"/>
  <c r="BB962" i="9"/>
  <c r="V409" i="9"/>
  <c r="Z409" i="9"/>
  <c r="BD409" i="9"/>
  <c r="W409" i="9"/>
  <c r="S708" i="9"/>
  <c r="BB708" i="9"/>
  <c r="AB669" i="9"/>
  <c r="Y98" i="9"/>
  <c r="X98" i="9"/>
  <c r="X167" i="9"/>
  <c r="Y167" i="9"/>
  <c r="V88" i="9"/>
  <c r="Z88" i="9"/>
  <c r="BD88" i="9"/>
  <c r="W88" i="9"/>
  <c r="Y716" i="9"/>
  <c r="AB716" i="9"/>
  <c r="X716" i="9"/>
  <c r="V852" i="9"/>
  <c r="Z852" i="9"/>
  <c r="BD852" i="9"/>
  <c r="W852" i="9"/>
  <c r="AA483" i="9"/>
  <c r="AE653" i="9"/>
  <c r="AF653" i="9"/>
  <c r="AH653" i="9"/>
  <c r="AG653" i="9"/>
  <c r="AG735" i="9"/>
  <c r="AE735" i="9"/>
  <c r="AF735" i="9"/>
  <c r="AH735" i="9"/>
  <c r="V532" i="9"/>
  <c r="Z532" i="9"/>
  <c r="BD532" i="9"/>
  <c r="W532" i="9"/>
  <c r="AB81" i="9"/>
  <c r="BD396" i="9"/>
  <c r="W396" i="9"/>
  <c r="V396" i="9"/>
  <c r="Z396" i="9"/>
  <c r="X107" i="9"/>
  <c r="Y107" i="9"/>
  <c r="Y173" i="9"/>
  <c r="X173" i="9"/>
  <c r="X567" i="9"/>
  <c r="Y567" i="9"/>
  <c r="Y620" i="9"/>
  <c r="X620" i="9"/>
  <c r="X113" i="9"/>
  <c r="Y113" i="9"/>
  <c r="AA474" i="9"/>
  <c r="AG61" i="9"/>
  <c r="AE61" i="9"/>
  <c r="AF61" i="9"/>
  <c r="AH61" i="9"/>
  <c r="AA805" i="9"/>
  <c r="Y394" i="9"/>
  <c r="X394" i="9"/>
  <c r="Y605" i="9"/>
  <c r="X605" i="9"/>
  <c r="AB44" i="9"/>
  <c r="X122" i="9"/>
  <c r="Y122" i="9"/>
  <c r="AA298" i="9"/>
  <c r="AE86" i="9"/>
  <c r="AF86" i="9"/>
  <c r="AH86" i="9"/>
  <c r="AG86" i="9"/>
  <c r="AA972" i="9"/>
  <c r="V973" i="9"/>
  <c r="Z973" i="9"/>
  <c r="BD973" i="9"/>
  <c r="W973" i="9"/>
  <c r="Y848" i="9"/>
  <c r="X848" i="9"/>
  <c r="V824" i="9"/>
  <c r="Z824" i="9"/>
  <c r="BD824" i="9"/>
  <c r="W824" i="9"/>
  <c r="BD255" i="9"/>
  <c r="W255" i="9"/>
  <c r="V255" i="9"/>
  <c r="Z255" i="9"/>
  <c r="Y827" i="9"/>
  <c r="AB827" i="9"/>
  <c r="X827" i="9"/>
  <c r="AA827" i="9"/>
  <c r="AB341" i="9"/>
  <c r="AA778" i="9"/>
  <c r="Y791" i="9"/>
  <c r="AB791" i="9"/>
  <c r="X791" i="9"/>
  <c r="AA791" i="9"/>
  <c r="Y600" i="9"/>
  <c r="X600" i="9"/>
  <c r="V260" i="9"/>
  <c r="Z260" i="9"/>
  <c r="BD260" i="9"/>
  <c r="W260" i="9"/>
  <c r="X958" i="9"/>
  <c r="Y958" i="9"/>
  <c r="Y535" i="9"/>
  <c r="X535" i="9"/>
  <c r="X428" i="9"/>
  <c r="Y428" i="9"/>
  <c r="BC508" i="9"/>
  <c r="S508" i="9"/>
  <c r="Y602" i="9"/>
  <c r="X602" i="9"/>
  <c r="V464" i="9"/>
  <c r="Z464" i="9"/>
  <c r="BD464" i="9"/>
  <c r="W464" i="9"/>
  <c r="BD684" i="9"/>
  <c r="W684" i="9"/>
  <c r="V684" i="9"/>
  <c r="Z684" i="9"/>
  <c r="X584" i="9"/>
  <c r="Y584" i="9"/>
  <c r="BD293" i="9"/>
  <c r="W293" i="9"/>
  <c r="V293" i="9"/>
  <c r="Z293" i="9"/>
  <c r="Y307" i="9"/>
  <c r="X307" i="9"/>
  <c r="BD486" i="9"/>
  <c r="W486" i="9"/>
  <c r="V486" i="9"/>
  <c r="Z486" i="9"/>
  <c r="Y629" i="9"/>
  <c r="X629" i="9"/>
  <c r="S634" i="9"/>
  <c r="BB634" i="9"/>
  <c r="BB830" i="9"/>
  <c r="S830" i="9"/>
  <c r="X123" i="9"/>
  <c r="Y123" i="9"/>
  <c r="V560" i="9"/>
  <c r="Z560" i="9"/>
  <c r="BD560" i="9"/>
  <c r="W560" i="9"/>
  <c r="S651" i="9"/>
  <c r="BB651" i="9"/>
  <c r="S856" i="9"/>
  <c r="BB856" i="9"/>
  <c r="X115" i="9"/>
  <c r="AA115" i="9"/>
  <c r="Y115" i="9"/>
  <c r="AB115" i="9"/>
  <c r="S52" i="9"/>
  <c r="BB52" i="9"/>
  <c r="AE178" i="9"/>
  <c r="AF178" i="9"/>
  <c r="AH178" i="9"/>
  <c r="AG178" i="9"/>
  <c r="X571" i="9"/>
  <c r="Y571" i="9"/>
  <c r="AE595" i="9"/>
  <c r="AF595" i="9"/>
  <c r="V233" i="9"/>
  <c r="Z233" i="9"/>
  <c r="BD233" i="9"/>
  <c r="W233" i="9"/>
  <c r="AE509" i="9"/>
  <c r="AF509" i="9"/>
  <c r="Y887" i="9"/>
  <c r="X887" i="9"/>
  <c r="AA887" i="9"/>
  <c r="AE525" i="9"/>
  <c r="AF525" i="9"/>
  <c r="V421" i="9"/>
  <c r="Z421" i="9"/>
  <c r="BD421" i="9"/>
  <c r="W421" i="9"/>
  <c r="S837" i="9"/>
  <c r="BB837" i="9"/>
  <c r="V617" i="9"/>
  <c r="Z617" i="9"/>
  <c r="BD617" i="9"/>
  <c r="W617" i="9"/>
  <c r="Y908" i="9"/>
  <c r="X908" i="9"/>
  <c r="Y583" i="9"/>
  <c r="AB583" i="9"/>
  <c r="X583" i="9"/>
  <c r="AA583" i="9"/>
  <c r="Y980" i="9"/>
  <c r="AB980" i="9"/>
  <c r="X980" i="9"/>
  <c r="AA980" i="9"/>
  <c r="V168" i="9"/>
  <c r="Z168" i="9"/>
  <c r="BD168" i="9"/>
  <c r="W168" i="9"/>
  <c r="AB422" i="9"/>
  <c r="V71" i="9"/>
  <c r="Z71" i="9"/>
  <c r="BD71" i="9"/>
  <c r="W71" i="9"/>
  <c r="V879" i="9"/>
  <c r="Z879" i="9"/>
  <c r="BD879" i="9"/>
  <c r="W879" i="9"/>
  <c r="AA760" i="9"/>
  <c r="Y417" i="9"/>
  <c r="AB417" i="9"/>
  <c r="X417" i="9"/>
  <c r="AA417" i="9"/>
  <c r="X606" i="9"/>
  <c r="Y606" i="9"/>
  <c r="AB606" i="9"/>
  <c r="BD101" i="9"/>
  <c r="W101" i="9"/>
  <c r="V101" i="9"/>
  <c r="Z101" i="9"/>
  <c r="BD574" i="9"/>
  <c r="W574" i="9"/>
  <c r="V574" i="9"/>
  <c r="Z574" i="9"/>
  <c r="BB171" i="9"/>
  <c r="S171" i="9"/>
  <c r="V649" i="9"/>
  <c r="Z649" i="9"/>
  <c r="BD649" i="9"/>
  <c r="W649" i="9"/>
  <c r="X578" i="9"/>
  <c r="Y578" i="9"/>
  <c r="X119" i="9"/>
  <c r="Y119" i="9"/>
  <c r="BD353" i="9"/>
  <c r="W353" i="9"/>
  <c r="V353" i="9"/>
  <c r="Z353" i="9"/>
  <c r="V510" i="9"/>
  <c r="Z510" i="9"/>
  <c r="BD510" i="9"/>
  <c r="W510" i="9"/>
  <c r="V954" i="9"/>
  <c r="Z954" i="9"/>
  <c r="BD954" i="9"/>
  <c r="W954" i="9"/>
  <c r="AB607" i="9"/>
  <c r="X650" i="9"/>
  <c r="AA650" i="9"/>
  <c r="Y650" i="9"/>
  <c r="AB650" i="9"/>
  <c r="BB96" i="9"/>
  <c r="S96" i="9"/>
  <c r="S927" i="9"/>
  <c r="BB927" i="9"/>
  <c r="AB749" i="9"/>
  <c r="AE322" i="9"/>
  <c r="AF322" i="9"/>
  <c r="AH322" i="9"/>
  <c r="AG322" i="9"/>
  <c r="BB922" i="9"/>
  <c r="S922" i="9"/>
  <c r="Y748" i="9"/>
  <c r="X748" i="9"/>
  <c r="Y47" i="9"/>
  <c r="AB47" i="9"/>
  <c r="X47" i="9"/>
  <c r="AA47" i="9"/>
  <c r="Y430" i="9"/>
  <c r="X430" i="9"/>
  <c r="X741" i="9"/>
  <c r="AA741" i="9"/>
  <c r="Y741" i="9"/>
  <c r="AB741" i="9"/>
  <c r="Y781" i="9"/>
  <c r="X781" i="9"/>
  <c r="AG287" i="9"/>
  <c r="V882" i="9"/>
  <c r="Z882" i="9"/>
  <c r="BD882" i="9"/>
  <c r="W882" i="9"/>
  <c r="V448" i="9"/>
  <c r="Z448" i="9"/>
  <c r="BD448" i="9"/>
  <c r="W448" i="9"/>
  <c r="Y944" i="9"/>
  <c r="X944" i="9"/>
  <c r="AB408" i="9"/>
  <c r="AB834" i="9"/>
  <c r="AB45" i="9"/>
  <c r="BD297" i="9"/>
  <c r="W297" i="9"/>
  <c r="V297" i="9"/>
  <c r="Z297" i="9"/>
  <c r="AG790" i="9"/>
  <c r="AE790" i="9"/>
  <c r="AF790" i="9"/>
  <c r="AH790" i="9"/>
  <c r="AG670" i="9"/>
  <c r="AE670" i="9"/>
  <c r="AF670" i="9"/>
  <c r="AH670" i="9"/>
  <c r="Y992" i="9"/>
  <c r="AB992" i="9"/>
  <c r="X992" i="9"/>
  <c r="AA992" i="9"/>
  <c r="V209" i="9"/>
  <c r="Z209" i="9"/>
  <c r="BD209" i="9"/>
  <c r="W209" i="9"/>
  <c r="AE792" i="9"/>
  <c r="AF792" i="9"/>
  <c r="AH792" i="9"/>
  <c r="AG792" i="9"/>
  <c r="BB800" i="9"/>
  <c r="S800" i="9"/>
  <c r="BD984" i="9"/>
  <c r="W984" i="9"/>
  <c r="V984" i="9"/>
  <c r="Z984" i="9"/>
  <c r="AB291" i="9"/>
  <c r="AB974" i="9"/>
  <c r="BE930" i="9"/>
  <c r="W930" i="9"/>
  <c r="V930" i="9"/>
  <c r="Z930" i="9"/>
  <c r="V268" i="9"/>
  <c r="Z268" i="9"/>
  <c r="BD268" i="9"/>
  <c r="W268" i="9"/>
  <c r="AG477" i="9"/>
  <c r="AE477" i="9"/>
  <c r="AF477" i="9"/>
  <c r="AH477" i="9"/>
  <c r="Y880" i="9"/>
  <c r="X880" i="9"/>
  <c r="BD996" i="9"/>
  <c r="W996" i="9"/>
  <c r="V996" i="9"/>
  <c r="Z996" i="9"/>
  <c r="BD177" i="9"/>
  <c r="W177" i="9"/>
  <c r="V177" i="9"/>
  <c r="Z177" i="9"/>
  <c r="Y905" i="9"/>
  <c r="X905" i="9"/>
  <c r="AG40" i="9"/>
  <c r="AE40" i="9"/>
  <c r="AF40" i="9"/>
  <c r="AH40" i="9"/>
  <c r="AA714" i="9"/>
  <c r="AA718" i="9"/>
  <c r="BD672" i="9"/>
  <c r="W672" i="9"/>
  <c r="V672" i="9"/>
  <c r="Z672" i="9"/>
  <c r="AB292" i="9"/>
  <c r="V69" i="9"/>
  <c r="Z69" i="9"/>
  <c r="BD69" i="9"/>
  <c r="W69" i="9"/>
  <c r="BB423" i="9"/>
  <c r="S423" i="9"/>
  <c r="Y811" i="9"/>
  <c r="X811" i="9"/>
  <c r="AB29" i="9"/>
  <c r="V72" i="9"/>
  <c r="Z72" i="9"/>
  <c r="BD72" i="9"/>
  <c r="W72" i="9"/>
  <c r="AG711" i="9"/>
  <c r="AE711" i="9"/>
  <c r="AF711" i="9"/>
  <c r="AH711" i="9"/>
  <c r="Y405" i="9"/>
  <c r="AB405" i="9"/>
  <c r="X405" i="9"/>
  <c r="AA405" i="9"/>
  <c r="AA673" i="9"/>
  <c r="V552" i="9"/>
  <c r="Z552" i="9"/>
  <c r="BD552" i="9"/>
  <c r="W552" i="9"/>
  <c r="Y1002" i="9"/>
  <c r="X1002" i="9"/>
  <c r="Y361" i="9"/>
  <c r="X361" i="9"/>
  <c r="AB385" i="9"/>
  <c r="Y303" i="9"/>
  <c r="AB303" i="9"/>
  <c r="X303" i="9"/>
  <c r="AA303" i="9"/>
  <c r="Y378" i="9"/>
  <c r="X378" i="9"/>
  <c r="AA325" i="9"/>
  <c r="BD527" i="9"/>
  <c r="W527" i="9"/>
  <c r="V527" i="9"/>
  <c r="Z527" i="9"/>
  <c r="AB934" i="9"/>
  <c r="AG611" i="9"/>
  <c r="AE611" i="9"/>
  <c r="AF611" i="9"/>
  <c r="AH611" i="9"/>
  <c r="AA700" i="9"/>
  <c r="Y94" i="9"/>
  <c r="AB94" i="9"/>
  <c r="X94" i="9"/>
  <c r="AA94" i="9"/>
  <c r="AA859" i="9"/>
  <c r="AE903" i="9"/>
  <c r="AF903" i="9"/>
  <c r="AG951" i="9"/>
  <c r="AE951" i="9"/>
  <c r="AF951" i="9"/>
  <c r="AH951" i="9"/>
  <c r="Y831" i="9"/>
  <c r="X831" i="9"/>
  <c r="BE641" i="9"/>
  <c r="W641" i="9"/>
  <c r="V641" i="9"/>
  <c r="Z641" i="9"/>
  <c r="V144" i="9"/>
  <c r="Z144" i="9"/>
  <c r="BD144" i="9"/>
  <c r="W144" i="9"/>
  <c r="AG865" i="9"/>
  <c r="AE865" i="9"/>
  <c r="AF865" i="9"/>
  <c r="AH865" i="9"/>
  <c r="Y441" i="9"/>
  <c r="X441" i="9"/>
  <c r="AB324" i="9"/>
  <c r="AG17" i="9"/>
  <c r="AE17" i="9"/>
  <c r="AF17" i="9"/>
  <c r="AH17" i="9"/>
  <c r="Y782" i="9"/>
  <c r="X782" i="9"/>
  <c r="AB565" i="9"/>
  <c r="BB802" i="9"/>
  <c r="S802" i="9"/>
  <c r="S928" i="9"/>
  <c r="BB928" i="9"/>
  <c r="AA359" i="9"/>
  <c r="AG457" i="9"/>
  <c r="AE457" i="9"/>
  <c r="AF457" i="9"/>
  <c r="AH457" i="9"/>
  <c r="V845" i="9"/>
  <c r="Z845" i="9"/>
  <c r="BD845" i="9"/>
  <c r="W845" i="9"/>
  <c r="BD906" i="9"/>
  <c r="W906" i="9"/>
  <c r="V906" i="9"/>
  <c r="Z906" i="9"/>
  <c r="AA481" i="9"/>
  <c r="AB706" i="9"/>
  <c r="X79" i="9"/>
  <c r="AA79" i="9"/>
  <c r="Y79" i="9"/>
  <c r="AB79" i="9"/>
  <c r="V633" i="9"/>
  <c r="Z633" i="9"/>
  <c r="BD633" i="9"/>
  <c r="W633" i="9"/>
  <c r="Y543" i="9"/>
  <c r="AB543" i="9"/>
  <c r="X543" i="9"/>
  <c r="AA543" i="9"/>
  <c r="BB185" i="9"/>
  <c r="S185" i="9"/>
  <c r="V80" i="9"/>
  <c r="Z80" i="9"/>
  <c r="BD80" i="9"/>
  <c r="W80" i="9"/>
  <c r="Y470" i="9"/>
  <c r="X470" i="9"/>
  <c r="AA470" i="9"/>
  <c r="X751" i="9"/>
  <c r="Y751" i="9"/>
  <c r="Y295" i="9"/>
  <c r="X295" i="9"/>
  <c r="Y284" i="9"/>
  <c r="AB284" i="9"/>
  <c r="X284" i="9"/>
  <c r="AA284" i="9"/>
  <c r="X447" i="9"/>
  <c r="AA447" i="9"/>
  <c r="Y447" i="9"/>
  <c r="AB447" i="9"/>
  <c r="AA370" i="9"/>
  <c r="X120" i="9"/>
  <c r="AA120" i="9"/>
  <c r="Y120" i="9"/>
  <c r="AB120" i="9"/>
  <c r="V90" i="9"/>
  <c r="Z90" i="9"/>
  <c r="BD90" i="9"/>
  <c r="W90" i="9"/>
  <c r="BC533" i="9"/>
  <c r="S533" i="9"/>
  <c r="Y82" i="9"/>
  <c r="X82" i="9"/>
  <c r="X103" i="9"/>
  <c r="AA103" i="9"/>
  <c r="Y103" i="9"/>
  <c r="AB103" i="9"/>
  <c r="AA678" i="9"/>
  <c r="V267" i="9"/>
  <c r="Z267" i="9"/>
  <c r="BD267" i="9"/>
  <c r="W267" i="9"/>
  <c r="AA639" i="9"/>
  <c r="S768" i="9"/>
  <c r="BB768" i="9"/>
  <c r="AA699" i="9"/>
  <c r="BD907" i="9"/>
  <c r="W907" i="9"/>
  <c r="V907" i="9"/>
  <c r="Z907" i="9"/>
  <c r="V750" i="9"/>
  <c r="Z750" i="9"/>
  <c r="BD750" i="9"/>
  <c r="W750" i="9"/>
  <c r="AB329" i="9"/>
  <c r="AG666" i="9"/>
  <c r="AE666" i="9"/>
  <c r="AF666" i="9"/>
  <c r="AH666" i="9"/>
  <c r="V548" i="9"/>
  <c r="Z548" i="9"/>
  <c r="BD548" i="9"/>
  <c r="W548" i="9"/>
  <c r="V737" i="9"/>
  <c r="Z737" i="9"/>
  <c r="BD737" i="9"/>
  <c r="W737" i="9"/>
  <c r="AB965" i="9"/>
  <c r="AG915" i="9"/>
  <c r="AE915" i="9"/>
  <c r="AF915" i="9"/>
  <c r="AH915" i="9"/>
  <c r="AG853" i="9"/>
  <c r="AF853" i="9"/>
  <c r="AH853" i="9"/>
  <c r="AE853" i="9"/>
  <c r="X990" i="9"/>
  <c r="Y990" i="9"/>
  <c r="Y62" i="9"/>
  <c r="X62" i="9"/>
  <c r="V91" i="9"/>
  <c r="Z91" i="9"/>
  <c r="BD91" i="9"/>
  <c r="W91" i="9"/>
  <c r="BD712" i="9"/>
  <c r="W712" i="9"/>
  <c r="V712" i="9"/>
  <c r="Z712" i="9"/>
  <c r="X695" i="9"/>
  <c r="Y695" i="9"/>
  <c r="AB733" i="9"/>
  <c r="Y645" i="9"/>
  <c r="X645" i="9"/>
  <c r="Y409" i="9"/>
  <c r="AB409" i="9"/>
  <c r="X409" i="9"/>
  <c r="V98" i="9"/>
  <c r="Z98" i="9"/>
  <c r="BD98" i="9"/>
  <c r="W98" i="9"/>
  <c r="V167" i="9"/>
  <c r="Z167" i="9"/>
  <c r="BD167" i="9"/>
  <c r="W167" i="9"/>
  <c r="X251" i="9"/>
  <c r="Y251" i="9"/>
  <c r="Y852" i="9"/>
  <c r="X852" i="9"/>
  <c r="AB483" i="9"/>
  <c r="X273" i="9"/>
  <c r="Y273" i="9"/>
  <c r="AA393" i="9"/>
  <c r="V443" i="9"/>
  <c r="Z443" i="9"/>
  <c r="BD443" i="9"/>
  <c r="W443" i="9"/>
  <c r="Y396" i="9"/>
  <c r="AB396" i="9"/>
  <c r="X396" i="9"/>
  <c r="V107" i="9"/>
  <c r="Z107" i="9"/>
  <c r="BD107" i="9"/>
  <c r="W107" i="9"/>
  <c r="BD173" i="9"/>
  <c r="W173" i="9"/>
  <c r="V173" i="9"/>
  <c r="Z173" i="9"/>
  <c r="V567" i="9"/>
  <c r="Z567" i="9"/>
  <c r="BD567" i="9"/>
  <c r="W567" i="9"/>
  <c r="BD620" i="9"/>
  <c r="W620" i="9"/>
  <c r="V620" i="9"/>
  <c r="Z620" i="9"/>
  <c r="V113" i="9"/>
  <c r="Z113" i="9"/>
  <c r="BD113" i="9"/>
  <c r="W113" i="9"/>
  <c r="AE888" i="9"/>
  <c r="AF888" i="9"/>
  <c r="AH888" i="9"/>
  <c r="AG888" i="9"/>
  <c r="AB474" i="9"/>
  <c r="V394" i="9"/>
  <c r="Z394" i="9"/>
  <c r="BD394" i="9"/>
  <c r="W394" i="9"/>
  <c r="V605" i="9"/>
  <c r="Z605" i="9"/>
  <c r="BD605" i="9"/>
  <c r="W605" i="9"/>
  <c r="AA44" i="9"/>
  <c r="V15" i="9"/>
  <c r="Z15" i="9"/>
  <c r="BD15" i="9"/>
  <c r="W15" i="9"/>
  <c r="V122" i="9"/>
  <c r="Z122" i="9"/>
  <c r="BD122" i="9"/>
  <c r="W122" i="9"/>
  <c r="AB298" i="9"/>
  <c r="AB972" i="9"/>
  <c r="Y973" i="9"/>
  <c r="X973" i="9"/>
  <c r="AA925" i="9"/>
  <c r="AB762" i="9"/>
  <c r="BC966" i="9"/>
  <c r="S966" i="9"/>
  <c r="AA717" i="9"/>
  <c r="AB778" i="9"/>
  <c r="AA494" i="9"/>
  <c r="BD600" i="9"/>
  <c r="W600" i="9"/>
  <c r="V600" i="9"/>
  <c r="Z600" i="9"/>
  <c r="Y260" i="9"/>
  <c r="X260" i="9"/>
  <c r="AA260" i="9"/>
  <c r="S728" i="9"/>
  <c r="BB728" i="9"/>
  <c r="AG200" i="9"/>
  <c r="AE200" i="9"/>
  <c r="AF200" i="9"/>
  <c r="AH200" i="9"/>
  <c r="Y522" i="9"/>
  <c r="X522" i="9"/>
  <c r="V126" i="9"/>
  <c r="Z126" i="9"/>
  <c r="BD126" i="9"/>
  <c r="W126" i="9"/>
  <c r="AE575" i="9"/>
  <c r="AF575" i="9"/>
  <c r="AH575" i="9"/>
  <c r="AG575" i="9"/>
  <c r="AG520" i="9"/>
  <c r="AG18" i="9"/>
  <c r="AE18" i="9"/>
  <c r="AF18" i="9"/>
  <c r="AH18" i="9"/>
  <c r="Y248" i="9"/>
  <c r="X248" i="9"/>
  <c r="X594" i="9"/>
  <c r="AA594" i="9"/>
  <c r="Y594" i="9"/>
  <c r="AB594" i="9"/>
  <c r="V682" i="9"/>
  <c r="Z682" i="9"/>
  <c r="BD682" i="9"/>
  <c r="W682" i="9"/>
  <c r="AE175" i="9"/>
  <c r="AF175" i="9"/>
  <c r="V860" i="9"/>
  <c r="Z860" i="9"/>
  <c r="BD860" i="9"/>
  <c r="W860" i="9"/>
  <c r="V581" i="9"/>
  <c r="Z581" i="9"/>
  <c r="BD581" i="9"/>
  <c r="W581" i="9"/>
  <c r="V193" i="9"/>
  <c r="Z193" i="9"/>
  <c r="BD193" i="9"/>
  <c r="W193" i="9"/>
  <c r="V252" i="9"/>
  <c r="Z252" i="9"/>
  <c r="BD252" i="9"/>
  <c r="W252" i="9"/>
  <c r="Y51" i="9"/>
  <c r="X51" i="9"/>
  <c r="AG873" i="9"/>
  <c r="AE873" i="9"/>
  <c r="AF873" i="9"/>
  <c r="AH873" i="9"/>
  <c r="Y25" i="9"/>
  <c r="X25" i="9"/>
  <c r="AA25" i="9"/>
  <c r="Y589" i="9"/>
  <c r="X589" i="9"/>
  <c r="Y190" i="9"/>
  <c r="AB190" i="9"/>
  <c r="X190" i="9"/>
  <c r="AA190" i="9"/>
  <c r="V304" i="9"/>
  <c r="Z304" i="9"/>
  <c r="BD304" i="9"/>
  <c r="W304" i="9"/>
  <c r="V127" i="9"/>
  <c r="Z127" i="9"/>
  <c r="BD127" i="9"/>
  <c r="W127" i="9"/>
  <c r="BD438" i="9"/>
  <c r="W438" i="9"/>
  <c r="V438" i="9"/>
  <c r="Z438" i="9"/>
  <c r="V709" i="9"/>
  <c r="Z709" i="9"/>
  <c r="BD709" i="9"/>
  <c r="W709" i="9"/>
  <c r="X861" i="9"/>
  <c r="Y861" i="9"/>
  <c r="V796" i="9"/>
  <c r="Z796" i="9"/>
  <c r="BD796" i="9"/>
  <c r="W796" i="9"/>
  <c r="Y495" i="9"/>
  <c r="AB495" i="9"/>
  <c r="X495" i="9"/>
  <c r="AA495" i="9"/>
  <c r="BD566" i="9"/>
  <c r="W566" i="9"/>
  <c r="V566" i="9"/>
  <c r="Z566" i="9"/>
  <c r="V558" i="9"/>
  <c r="Z558" i="9"/>
  <c r="BD558" i="9"/>
  <c r="W558" i="9"/>
  <c r="BD839" i="9"/>
  <c r="W839" i="9"/>
  <c r="V839" i="9"/>
  <c r="Z839" i="9"/>
  <c r="V591" i="9"/>
  <c r="Z591" i="9"/>
  <c r="BD591" i="9"/>
  <c r="W591" i="9"/>
  <c r="BD725" i="9"/>
  <c r="W725" i="9"/>
  <c r="V725" i="9"/>
  <c r="Z725" i="9"/>
  <c r="AG231" i="9"/>
  <c r="AE231" i="9"/>
  <c r="AF231" i="9"/>
  <c r="AG30" i="9"/>
  <c r="AE30" i="9"/>
  <c r="AF30" i="9"/>
  <c r="AH30" i="9"/>
  <c r="Y221" i="9"/>
  <c r="X221" i="9"/>
  <c r="AG675" i="9"/>
  <c r="AE675" i="9"/>
  <c r="AF675" i="9"/>
  <c r="AH675" i="9"/>
  <c r="Y613" i="9"/>
  <c r="X613" i="9"/>
  <c r="BD343" i="9"/>
  <c r="W343" i="9"/>
  <c r="V343" i="9"/>
  <c r="Z343" i="9"/>
  <c r="V536" i="9"/>
  <c r="Z536" i="9"/>
  <c r="BD536" i="9"/>
  <c r="W536" i="9"/>
  <c r="V908" i="9"/>
  <c r="Z908" i="9"/>
  <c r="BD908" i="9"/>
  <c r="W908" i="9"/>
  <c r="BD323" i="9"/>
  <c r="W323" i="9"/>
  <c r="V323" i="9"/>
  <c r="Z323" i="9"/>
  <c r="X168" i="9"/>
  <c r="AA168" i="9"/>
  <c r="Y168" i="9"/>
  <c r="AB168" i="9"/>
  <c r="Y149" i="9"/>
  <c r="X149" i="9"/>
  <c r="X71" i="9"/>
  <c r="AA71" i="9"/>
  <c r="Y71" i="9"/>
  <c r="AB71" i="9"/>
  <c r="Y201" i="9"/>
  <c r="X201" i="9"/>
  <c r="AA878" i="9"/>
  <c r="AE579" i="9"/>
  <c r="AF579" i="9"/>
  <c r="AH579" i="9"/>
  <c r="AG579" i="9"/>
  <c r="AE664" i="9"/>
  <c r="AF664" i="9"/>
  <c r="AH664" i="9"/>
  <c r="AG664" i="9"/>
  <c r="S264" i="9"/>
  <c r="BB264" i="9"/>
  <c r="BB140" i="9"/>
  <c r="S140" i="9"/>
  <c r="X825" i="9"/>
  <c r="Y825" i="9"/>
  <c r="V119" i="9"/>
  <c r="Z119" i="9"/>
  <c r="BD119" i="9"/>
  <c r="W119" i="9"/>
  <c r="Y353" i="9"/>
  <c r="AB353" i="9"/>
  <c r="X353" i="9"/>
  <c r="AA353" i="9"/>
  <c r="X510" i="9"/>
  <c r="Y510" i="9"/>
  <c r="Y754" i="9"/>
  <c r="X754" i="9"/>
  <c r="X816" i="9"/>
  <c r="Y816" i="9"/>
  <c r="AA749" i="9"/>
  <c r="AA537" i="9"/>
  <c r="Y681" i="9"/>
  <c r="X681" i="9"/>
  <c r="AA227" i="9"/>
  <c r="S874" i="9"/>
  <c r="BB874" i="9"/>
  <c r="Y479" i="9"/>
  <c r="X479" i="9"/>
  <c r="AA929" i="9"/>
  <c r="AA759" i="9"/>
  <c r="BD430" i="9"/>
  <c r="W430" i="9"/>
  <c r="V430" i="9"/>
  <c r="Z430" i="9"/>
  <c r="X752" i="9"/>
  <c r="Y752" i="9"/>
  <c r="AG416" i="9"/>
  <c r="AE416" i="9"/>
  <c r="AF416" i="9"/>
  <c r="AH416" i="9"/>
  <c r="X882" i="9"/>
  <c r="Y882" i="9"/>
  <c r="X448" i="9"/>
  <c r="Y448" i="9"/>
  <c r="BD944" i="9"/>
  <c r="W944" i="9"/>
  <c r="V944" i="9"/>
  <c r="Z944" i="9"/>
  <c r="AB473" i="9"/>
  <c r="AA834" i="9"/>
  <c r="BC964" i="9"/>
  <c r="S964" i="9"/>
  <c r="S429" i="9"/>
  <c r="BB429" i="9"/>
  <c r="V456" i="9"/>
  <c r="Z456" i="9"/>
  <c r="BD456" i="9"/>
  <c r="W456" i="9"/>
  <c r="S95" i="9"/>
  <c r="BB95" i="9"/>
  <c r="X984" i="9"/>
  <c r="Y984" i="9"/>
  <c r="V813" i="9"/>
  <c r="Z813" i="9"/>
  <c r="BD813" i="9"/>
  <c r="W813" i="9"/>
  <c r="AA974" i="9"/>
  <c r="AB530" i="9"/>
  <c r="AE662" i="9"/>
  <c r="AF662" i="9"/>
  <c r="AH662" i="9"/>
  <c r="AG662" i="9"/>
  <c r="Y268" i="9"/>
  <c r="X268" i="9"/>
  <c r="AE300" i="9"/>
  <c r="AF300" i="9"/>
  <c r="AH300" i="9"/>
  <c r="AG300" i="9"/>
  <c r="Y657" i="9"/>
  <c r="X657" i="9"/>
  <c r="V880" i="9"/>
  <c r="Z880" i="9"/>
  <c r="BD880" i="9"/>
  <c r="W880" i="9"/>
  <c r="X996" i="9"/>
  <c r="Y996" i="9"/>
  <c r="X160" i="9"/>
  <c r="Y160" i="9"/>
  <c r="AA182" i="9"/>
  <c r="Y177" i="9"/>
  <c r="AB177" i="9"/>
  <c r="X177" i="9"/>
  <c r="AA177" i="9"/>
  <c r="V905" i="9"/>
  <c r="Z905" i="9"/>
  <c r="BD905" i="9"/>
  <c r="W905" i="9"/>
  <c r="AA665" i="9"/>
  <c r="AB714" i="9"/>
  <c r="S114" i="9"/>
  <c r="BB114" i="9"/>
  <c r="AB718" i="9"/>
  <c r="S910" i="9"/>
  <c r="BB910" i="9"/>
  <c r="X124" i="9"/>
  <c r="Y124" i="9"/>
  <c r="S433" i="9"/>
  <c r="BB433" i="9"/>
  <c r="Y672" i="9"/>
  <c r="AB672" i="9"/>
  <c r="X672" i="9"/>
  <c r="AA672" i="9"/>
  <c r="AE513" i="9"/>
  <c r="AF513" i="9"/>
  <c r="AH513" i="9"/>
  <c r="AG513" i="9"/>
  <c r="AG742" i="9"/>
  <c r="AE742" i="9"/>
  <c r="AF742" i="9"/>
  <c r="AH742" i="9"/>
  <c r="BD811" i="9"/>
  <c r="W811" i="9"/>
  <c r="V811" i="9"/>
  <c r="Z811" i="9"/>
  <c r="X363" i="9"/>
  <c r="Y363" i="9"/>
  <c r="V35" i="9"/>
  <c r="Z35" i="9"/>
  <c r="BD35" i="9"/>
  <c r="W35" i="9"/>
  <c r="X72" i="9"/>
  <c r="Y72" i="9"/>
  <c r="AB673" i="9"/>
  <c r="Y685" i="9"/>
  <c r="X685" i="9"/>
  <c r="X552" i="9"/>
  <c r="AA552" i="9"/>
  <c r="Y552" i="9"/>
  <c r="AB552" i="9"/>
  <c r="BD1002" i="9"/>
  <c r="W1002" i="9"/>
  <c r="V1002" i="9"/>
  <c r="Z1002" i="9"/>
  <c r="AA475" i="9"/>
  <c r="Y74" i="9"/>
  <c r="X74" i="9"/>
  <c r="V378" i="9"/>
  <c r="Z378" i="9"/>
  <c r="BD378" i="9"/>
  <c r="W378" i="9"/>
  <c r="AB325" i="9"/>
  <c r="Y527" i="9"/>
  <c r="X527" i="9"/>
  <c r="V279" i="9"/>
  <c r="Z279" i="9"/>
  <c r="BD279" i="9"/>
  <c r="W279" i="9"/>
  <c r="AA934" i="9"/>
  <c r="AB700" i="9"/>
  <c r="S83" i="9"/>
  <c r="BB83" i="9"/>
  <c r="AB859" i="9"/>
  <c r="AE254" i="9"/>
  <c r="AF254" i="9"/>
  <c r="AH254" i="9"/>
  <c r="AG254" i="9"/>
  <c r="AB903" i="9"/>
  <c r="AG903" i="9"/>
  <c r="BB731" i="9"/>
  <c r="S731" i="9"/>
  <c r="V831" i="9"/>
  <c r="Z831" i="9"/>
  <c r="BD831" i="9"/>
  <c r="W831" i="9"/>
  <c r="X271" i="9"/>
  <c r="Y271" i="9"/>
  <c r="S289" i="9"/>
  <c r="BB289" i="9"/>
  <c r="V441" i="9"/>
  <c r="Z441" i="9"/>
  <c r="BD441" i="9"/>
  <c r="W441" i="9"/>
  <c r="AA895" i="9"/>
  <c r="AE654" i="9"/>
  <c r="AF654" i="9"/>
  <c r="AH654" i="9"/>
  <c r="AG654" i="9"/>
  <c r="BD946" i="9"/>
  <c r="W946" i="9"/>
  <c r="V946" i="9"/>
  <c r="Z946" i="9"/>
  <c r="BD782" i="9"/>
  <c r="W782" i="9"/>
  <c r="V782" i="9"/>
  <c r="Z782" i="9"/>
  <c r="AG104" i="9"/>
  <c r="AE104" i="9"/>
  <c r="AF104" i="9"/>
  <c r="AH104" i="9"/>
  <c r="V250" i="9"/>
  <c r="Z250" i="9"/>
  <c r="BD250" i="9"/>
  <c r="W250" i="9"/>
  <c r="Y597" i="9"/>
  <c r="X597" i="9"/>
  <c r="AA174" i="9"/>
  <c r="X637" i="9"/>
  <c r="Y637" i="9"/>
  <c r="AE6" i="9"/>
  <c r="AF6" i="9"/>
  <c r="AH6" i="9"/>
  <c r="AG6" i="9"/>
  <c r="BD822" i="9"/>
  <c r="W822" i="9"/>
  <c r="V822" i="9"/>
  <c r="Z822" i="9"/>
  <c r="X845" i="9"/>
  <c r="Y845" i="9"/>
  <c r="BD331" i="9"/>
  <c r="W331" i="9"/>
  <c r="V331" i="9"/>
  <c r="Z331" i="9"/>
  <c r="Y727" i="9"/>
  <c r="X727" i="9"/>
  <c r="V270" i="9"/>
  <c r="Z270" i="9"/>
  <c r="BD270" i="9"/>
  <c r="W270" i="9"/>
  <c r="X80" i="9"/>
  <c r="AA80" i="9"/>
  <c r="Y80" i="9"/>
  <c r="AB80" i="9"/>
  <c r="AG794" i="9"/>
  <c r="AE794" i="9"/>
  <c r="AF794" i="9"/>
  <c r="AH794" i="9"/>
  <c r="BD751" i="9"/>
  <c r="W751" i="9"/>
  <c r="V751" i="9"/>
  <c r="Z751" i="9"/>
  <c r="V237" i="9"/>
  <c r="Z237" i="9"/>
  <c r="BD237" i="9"/>
  <c r="W237" i="9"/>
  <c r="V987" i="9"/>
  <c r="Z987" i="9"/>
  <c r="BD987" i="9"/>
  <c r="W987" i="9"/>
  <c r="Y823" i="9"/>
  <c r="X823" i="9"/>
  <c r="AB370" i="9"/>
  <c r="S117" i="9"/>
  <c r="BB117" i="9"/>
  <c r="Y487" i="9"/>
  <c r="X487" i="9"/>
  <c r="AB678" i="9"/>
  <c r="V875" i="9"/>
  <c r="Z875" i="9"/>
  <c r="BD875" i="9"/>
  <c r="W875" i="9"/>
  <c r="Y246" i="9"/>
  <c r="X246" i="9"/>
  <c r="AB699" i="9"/>
  <c r="AA345" i="9"/>
  <c r="V20" i="9"/>
  <c r="Z20" i="9"/>
  <c r="BD20" i="9"/>
  <c r="W20" i="9"/>
  <c r="AA188" i="9"/>
  <c r="BB610" i="9"/>
  <c r="S610" i="9"/>
  <c r="BC687" i="9"/>
  <c r="S687" i="9"/>
  <c r="X548" i="9"/>
  <c r="AA548" i="9"/>
  <c r="Y548" i="9"/>
  <c r="AB548" i="9"/>
  <c r="X737" i="9"/>
  <c r="AA737" i="9"/>
  <c r="Y737" i="9"/>
  <c r="AB737" i="9"/>
  <c r="AA965" i="9"/>
  <c r="Y819" i="9"/>
  <c r="X819" i="9"/>
  <c r="AA407" i="9"/>
  <c r="BD990" i="9"/>
  <c r="W990" i="9"/>
  <c r="V990" i="9"/>
  <c r="Z990" i="9"/>
  <c r="Y542" i="9"/>
  <c r="X542" i="9"/>
  <c r="BD62" i="9"/>
  <c r="W62" i="9"/>
  <c r="V62" i="9"/>
  <c r="Z62" i="9"/>
  <c r="V826" i="9"/>
  <c r="Z826" i="9"/>
  <c r="BD826" i="9"/>
  <c r="W826" i="9"/>
  <c r="Y924" i="9"/>
  <c r="X924" i="9"/>
  <c r="AG376" i="9"/>
  <c r="AE376" i="9"/>
  <c r="AF376" i="9"/>
  <c r="AH376" i="9"/>
  <c r="Y712" i="9"/>
  <c r="X712" i="9"/>
  <c r="BD695" i="9"/>
  <c r="W695" i="9"/>
  <c r="V695" i="9"/>
  <c r="Z695" i="9"/>
  <c r="AA733" i="9"/>
  <c r="V645" i="9"/>
  <c r="Z645" i="9"/>
  <c r="BD645" i="9"/>
  <c r="W645" i="9"/>
  <c r="Y434" i="9"/>
  <c r="X434" i="9"/>
  <c r="AG580" i="9"/>
  <c r="AE580" i="9"/>
  <c r="AF580" i="9"/>
  <c r="AH580" i="9"/>
  <c r="BB89" i="9"/>
  <c r="S89" i="9"/>
  <c r="Y301" i="9"/>
  <c r="X301" i="9"/>
  <c r="AB4" i="9"/>
  <c r="AE334" i="9"/>
  <c r="AF334" i="9"/>
  <c r="AH334" i="9"/>
  <c r="AG334" i="9"/>
  <c r="Y507" i="9"/>
  <c r="X507" i="9"/>
  <c r="V251" i="9"/>
  <c r="Z251" i="9"/>
  <c r="BD251" i="9"/>
  <c r="W251" i="9"/>
  <c r="V273" i="9"/>
  <c r="Z273" i="9"/>
  <c r="BD273" i="9"/>
  <c r="W273" i="9"/>
  <c r="X534" i="9"/>
  <c r="Y534" i="9"/>
  <c r="AB393" i="9"/>
  <c r="Y443" i="9"/>
  <c r="X443" i="9"/>
  <c r="AB397" i="9"/>
  <c r="BD623" i="9"/>
  <c r="W623" i="9"/>
  <c r="V623" i="9"/>
  <c r="Z623" i="9"/>
  <c r="BC659" i="9"/>
  <c r="S659" i="9"/>
  <c r="AA414" i="9"/>
  <c r="X612" i="9"/>
  <c r="Y612" i="9"/>
  <c r="AB493" i="9"/>
  <c r="Y512" i="9"/>
  <c r="X512" i="9"/>
  <c r="BB186" i="9"/>
  <c r="S186" i="9"/>
  <c r="X112" i="9"/>
  <c r="Y112" i="9"/>
  <c r="AG679" i="9"/>
  <c r="AE679" i="9"/>
  <c r="AF679" i="9"/>
  <c r="AH679" i="9"/>
  <c r="Y850" i="9"/>
  <c r="X850" i="9"/>
  <c r="Y15" i="9"/>
  <c r="AB15" i="9"/>
  <c r="X15" i="9"/>
  <c r="AA15" i="9"/>
  <c r="BB721" i="9"/>
  <c r="S721" i="9"/>
  <c r="AA598" i="9"/>
  <c r="AB925" i="9"/>
  <c r="AA762" i="9"/>
  <c r="V431" i="9"/>
  <c r="Z431" i="9"/>
  <c r="BD431" i="9"/>
  <c r="W431" i="9"/>
  <c r="AA943" i="9"/>
  <c r="Y948" i="9"/>
  <c r="X948" i="9"/>
  <c r="AB717" i="9"/>
  <c r="AB494" i="9"/>
  <c r="AG418" i="9"/>
  <c r="AE418" i="9"/>
  <c r="AF418" i="9"/>
  <c r="AH418" i="9"/>
  <c r="Y323" i="9"/>
  <c r="X323" i="9"/>
  <c r="V149" i="9"/>
  <c r="Z149" i="9"/>
  <c r="BD149" i="9"/>
  <c r="W149" i="9"/>
  <c r="AE309" i="9"/>
  <c r="AF309" i="9"/>
  <c r="BD752" i="9"/>
  <c r="W752" i="9"/>
  <c r="V752" i="9"/>
  <c r="Z752" i="9"/>
  <c r="AG473" i="9"/>
  <c r="AE473" i="9"/>
  <c r="AF473" i="9"/>
  <c r="AH473" i="9"/>
  <c r="X456" i="9"/>
  <c r="AA456" i="9"/>
  <c r="Y456" i="9"/>
  <c r="AB456" i="9"/>
  <c r="BD949" i="9"/>
  <c r="W949" i="9"/>
  <c r="V949" i="9"/>
  <c r="Z949" i="9"/>
  <c r="AE702" i="9"/>
  <c r="AF702" i="9"/>
  <c r="AH702" i="9"/>
  <c r="AG702" i="9"/>
  <c r="X253" i="9"/>
  <c r="Y253" i="9"/>
  <c r="AG530" i="9"/>
  <c r="AE530" i="9"/>
  <c r="AF530" i="9"/>
  <c r="AH530" i="9"/>
  <c r="Y453" i="9"/>
  <c r="X453" i="9"/>
  <c r="V657" i="9"/>
  <c r="Z657" i="9"/>
  <c r="BD657" i="9"/>
  <c r="W657" i="9"/>
  <c r="V160" i="9"/>
  <c r="Z160" i="9"/>
  <c r="BD160" i="9"/>
  <c r="W160" i="9"/>
  <c r="V31" i="9"/>
  <c r="Z31" i="9"/>
  <c r="BD31" i="9"/>
  <c r="W31" i="9"/>
  <c r="AE337" i="9"/>
  <c r="AF337" i="9"/>
  <c r="AB131" i="9"/>
  <c r="V7" i="9"/>
  <c r="Z7" i="9"/>
  <c r="BD7" i="9"/>
  <c r="W7" i="9"/>
  <c r="V436" i="9"/>
  <c r="Z436" i="9"/>
  <c r="BD436" i="9"/>
  <c r="W436" i="9"/>
  <c r="BB528" i="9"/>
  <c r="S528" i="9"/>
  <c r="BD363" i="9"/>
  <c r="W363" i="9"/>
  <c r="V363" i="9"/>
  <c r="Z363" i="9"/>
  <c r="Y35" i="9"/>
  <c r="X35" i="9"/>
  <c r="X156" i="9"/>
  <c r="Y156" i="9"/>
  <c r="AG469" i="9"/>
  <c r="AE469" i="9"/>
  <c r="AF469" i="9"/>
  <c r="AH469" i="9"/>
  <c r="Y365" i="9"/>
  <c r="X365" i="9"/>
  <c r="Y515" i="9"/>
  <c r="X515" i="9"/>
  <c r="BE685" i="9"/>
  <c r="W685" i="9"/>
  <c r="V685" i="9"/>
  <c r="Z685" i="9"/>
  <c r="BD392" i="9"/>
  <c r="W392" i="9"/>
  <c r="V392" i="9"/>
  <c r="Z392" i="9"/>
  <c r="X130" i="9"/>
  <c r="Y130" i="9"/>
  <c r="Y858" i="9"/>
  <c r="X858" i="9"/>
  <c r="BD74" i="9"/>
  <c r="W74" i="9"/>
  <c r="V74" i="9"/>
  <c r="Z74" i="9"/>
  <c r="AG65" i="9"/>
  <c r="AE65" i="9"/>
  <c r="AF65" i="9"/>
  <c r="AH65" i="9"/>
  <c r="X572" i="9"/>
  <c r="Y572" i="9"/>
  <c r="S206" i="9"/>
  <c r="BB206" i="9"/>
  <c r="AG632" i="9"/>
  <c r="AE632" i="9"/>
  <c r="AF632" i="9"/>
  <c r="AH632" i="9"/>
  <c r="X279" i="9"/>
  <c r="AA279" i="9"/>
  <c r="Y279" i="9"/>
  <c r="AB279" i="9"/>
  <c r="V234" i="9"/>
  <c r="Z234" i="9"/>
  <c r="BD234" i="9"/>
  <c r="W234" i="9"/>
  <c r="X978" i="9"/>
  <c r="Y978" i="9"/>
  <c r="V942" i="9"/>
  <c r="Z942" i="9"/>
  <c r="BD942" i="9"/>
  <c r="W942" i="9"/>
  <c r="BD384" i="9"/>
  <c r="W384" i="9"/>
  <c r="V384" i="9"/>
  <c r="Z384" i="9"/>
  <c r="BC841" i="9"/>
  <c r="S841" i="9"/>
  <c r="V261" i="9"/>
  <c r="Z261" i="9"/>
  <c r="BD261" i="9"/>
  <c r="W261" i="9"/>
  <c r="X804" i="9"/>
  <c r="Y804" i="9"/>
  <c r="AG549" i="9"/>
  <c r="AE549" i="9"/>
  <c r="AF549" i="9"/>
  <c r="AH549" i="9"/>
  <c r="V451" i="9"/>
  <c r="Z451" i="9"/>
  <c r="BD451" i="9"/>
  <c r="W451" i="9"/>
  <c r="V271" i="9"/>
  <c r="Z271" i="9"/>
  <c r="BD271" i="9"/>
  <c r="W271" i="9"/>
  <c r="AB895" i="9"/>
  <c r="Y946" i="9"/>
  <c r="X946" i="9"/>
  <c r="BD870" i="9"/>
  <c r="W870" i="9"/>
  <c r="V870" i="9"/>
  <c r="Z870" i="9"/>
  <c r="V427" i="9"/>
  <c r="Z427" i="9"/>
  <c r="BD427" i="9"/>
  <c r="W427" i="9"/>
  <c r="X250" i="9"/>
  <c r="Y250" i="9"/>
  <c r="V597" i="9"/>
  <c r="Z597" i="9"/>
  <c r="BD597" i="9"/>
  <c r="W597" i="9"/>
  <c r="V245" i="9"/>
  <c r="Z245" i="9"/>
  <c r="BD245" i="9"/>
  <c r="W245" i="9"/>
  <c r="Y445" i="9"/>
  <c r="X445" i="9"/>
  <c r="V8" i="9"/>
  <c r="Z8" i="9"/>
  <c r="BD8" i="9"/>
  <c r="W8" i="9"/>
  <c r="BD637" i="9"/>
  <c r="W637" i="9"/>
  <c r="V637" i="9"/>
  <c r="Z637" i="9"/>
  <c r="X822" i="9"/>
  <c r="Y822" i="9"/>
  <c r="V551" i="9"/>
  <c r="Z551" i="9"/>
  <c r="BD551" i="9"/>
  <c r="W551" i="9"/>
  <c r="Y331" i="9"/>
  <c r="X331" i="9"/>
  <c r="S923" i="9"/>
  <c r="BB923" i="9"/>
  <c r="BC468" i="9"/>
  <c r="S468" i="9"/>
  <c r="BB87" i="9"/>
  <c r="S87" i="9"/>
  <c r="Y242" i="9"/>
  <c r="X242" i="9"/>
  <c r="Y78" i="9"/>
  <c r="X78" i="9"/>
  <c r="BD727" i="9"/>
  <c r="W727" i="9"/>
  <c r="V727" i="9"/>
  <c r="Z727" i="9"/>
  <c r="X270" i="9"/>
  <c r="Y270" i="9"/>
  <c r="BD538" i="9"/>
  <c r="W538" i="9"/>
  <c r="V538" i="9"/>
  <c r="Z538" i="9"/>
  <c r="X116" i="9"/>
  <c r="Y116" i="9"/>
  <c r="BB158" i="9"/>
  <c r="S158" i="9"/>
  <c r="Y237" i="9"/>
  <c r="AB237" i="9"/>
  <c r="X237" i="9"/>
  <c r="AA237" i="9"/>
  <c r="BD299" i="9"/>
  <c r="W299" i="9"/>
  <c r="V299" i="9"/>
  <c r="Z299" i="9"/>
  <c r="X987" i="9"/>
  <c r="AA987" i="9"/>
  <c r="Y987" i="9"/>
  <c r="AB987" i="9"/>
  <c r="BD823" i="9"/>
  <c r="W823" i="9"/>
  <c r="V823" i="9"/>
  <c r="Z823" i="9"/>
  <c r="BD364" i="9"/>
  <c r="W364" i="9"/>
  <c r="V364" i="9"/>
  <c r="Z364" i="9"/>
  <c r="BE487" i="9"/>
  <c r="W487" i="9"/>
  <c r="V487" i="9"/>
  <c r="Z487" i="9"/>
  <c r="AH608" i="9"/>
  <c r="Y875" i="9"/>
  <c r="X875" i="9"/>
  <c r="V246" i="9"/>
  <c r="Z246" i="9"/>
  <c r="BD246" i="9"/>
  <c r="W246" i="9"/>
  <c r="BB349" i="9"/>
  <c r="S349" i="9"/>
  <c r="S562" i="9"/>
  <c r="BB562" i="9"/>
  <c r="X20" i="9"/>
  <c r="Y20" i="9"/>
  <c r="AB20" i="9"/>
  <c r="AE348" i="9"/>
  <c r="AF348" i="9"/>
  <c r="AH348" i="9"/>
  <c r="AG348" i="9"/>
  <c r="AE336" i="9"/>
  <c r="AF336" i="9"/>
  <c r="AH336" i="9"/>
  <c r="AG336" i="9"/>
  <c r="V909" i="9"/>
  <c r="Z909" i="9"/>
  <c r="BD909" i="9"/>
  <c r="W909" i="9"/>
  <c r="Y197" i="9"/>
  <c r="X197" i="9"/>
  <c r="BD819" i="9"/>
  <c r="W819" i="9"/>
  <c r="V819" i="9"/>
  <c r="Z819" i="9"/>
  <c r="Y998" i="9"/>
  <c r="X998" i="9"/>
  <c r="AE933" i="9"/>
  <c r="AF933" i="9"/>
  <c r="AH933" i="9"/>
  <c r="AG933" i="9"/>
  <c r="BD542" i="9"/>
  <c r="W542" i="9"/>
  <c r="V542" i="9"/>
  <c r="Z542" i="9"/>
  <c r="AG442" i="9"/>
  <c r="AE442" i="9"/>
  <c r="AF442" i="9"/>
  <c r="AH442" i="9"/>
  <c r="X826" i="9"/>
  <c r="Y826" i="9"/>
  <c r="BD924" i="9"/>
  <c r="W924" i="9"/>
  <c r="V924" i="9"/>
  <c r="Z924" i="9"/>
  <c r="S133" i="9"/>
  <c r="BB133" i="9"/>
  <c r="Y390" i="9"/>
  <c r="X390" i="9"/>
  <c r="AA161" i="9"/>
  <c r="BB720" i="9"/>
  <c r="S720" i="9"/>
  <c r="BD434" i="9"/>
  <c r="W434" i="9"/>
  <c r="V434" i="9"/>
  <c r="Z434" i="9"/>
  <c r="V162" i="9"/>
  <c r="Z162" i="9"/>
  <c r="BD162" i="9"/>
  <c r="W162" i="9"/>
  <c r="AG851" i="9"/>
  <c r="AE851" i="9"/>
  <c r="AF851" i="9"/>
  <c r="AH851" i="9"/>
  <c r="BD301" i="9"/>
  <c r="W301" i="9"/>
  <c r="V301" i="9"/>
  <c r="Z301" i="9"/>
  <c r="V27" i="9"/>
  <c r="Z27" i="9"/>
  <c r="BD27" i="9"/>
  <c r="W27" i="9"/>
  <c r="AA4" i="9"/>
  <c r="BE507" i="9"/>
  <c r="W507" i="9"/>
  <c r="V507" i="9"/>
  <c r="Z507" i="9"/>
  <c r="BD380" i="9"/>
  <c r="W380" i="9"/>
  <c r="V380" i="9"/>
  <c r="Z380" i="9"/>
  <c r="V258" i="9"/>
  <c r="Z258" i="9"/>
  <c r="BD258" i="9"/>
  <c r="W258" i="9"/>
  <c r="Y471" i="9"/>
  <c r="X471" i="9"/>
  <c r="BD534" i="9"/>
  <c r="W534" i="9"/>
  <c r="V534" i="9"/>
  <c r="Z534" i="9"/>
  <c r="AA397" i="9"/>
  <c r="Y623" i="9"/>
  <c r="X623" i="9"/>
  <c r="BC775" i="9"/>
  <c r="S775" i="9"/>
  <c r="X914" i="9"/>
  <c r="Y914" i="9"/>
  <c r="AB414" i="9"/>
  <c r="BD612" i="9"/>
  <c r="W612" i="9"/>
  <c r="V612" i="9"/>
  <c r="Z612" i="9"/>
  <c r="AA493" i="9"/>
  <c r="BD512" i="9"/>
  <c r="W512" i="9"/>
  <c r="V512" i="9"/>
  <c r="Z512" i="9"/>
  <c r="Y386" i="9"/>
  <c r="X386" i="9"/>
  <c r="V112" i="9"/>
  <c r="Z112" i="9"/>
  <c r="BD112" i="9"/>
  <c r="W112" i="9"/>
  <c r="BD850" i="9"/>
  <c r="W850" i="9"/>
  <c r="V850" i="9"/>
  <c r="Z850" i="9"/>
  <c r="Y102" i="9"/>
  <c r="X102" i="9"/>
  <c r="X191" i="9"/>
  <c r="Y191" i="9"/>
  <c r="V218" i="9"/>
  <c r="Z218" i="9"/>
  <c r="BD218" i="9"/>
  <c r="W218" i="9"/>
  <c r="S60" i="9"/>
  <c r="BB60" i="9"/>
  <c r="AB598" i="9"/>
  <c r="BD400" i="9"/>
  <c r="W400" i="9"/>
  <c r="V400" i="9"/>
  <c r="Z400" i="9"/>
  <c r="S647" i="9"/>
  <c r="BB647" i="9"/>
  <c r="Y431" i="9"/>
  <c r="X431" i="9"/>
  <c r="AB943" i="9"/>
  <c r="V871" i="9"/>
  <c r="Z871" i="9"/>
  <c r="BD871" i="9"/>
  <c r="W871" i="9"/>
  <c r="BD948" i="9"/>
  <c r="W948" i="9"/>
  <c r="V948" i="9"/>
  <c r="Z948" i="9"/>
  <c r="AA302" i="9"/>
  <c r="AA627" i="9"/>
  <c r="Y66" i="9"/>
  <c r="X66" i="9"/>
  <c r="AA46" i="9"/>
  <c r="V913" i="9"/>
  <c r="Z913" i="9"/>
  <c r="BD913" i="9"/>
  <c r="W913" i="9"/>
  <c r="V613" i="9"/>
  <c r="Z613" i="9"/>
  <c r="BD613" i="9"/>
  <c r="W613" i="9"/>
  <c r="AE328" i="9"/>
  <c r="AF328" i="9"/>
  <c r="V506" i="9"/>
  <c r="Z506" i="9"/>
  <c r="BD506" i="9"/>
  <c r="W506" i="9"/>
  <c r="Y343" i="9"/>
  <c r="X343" i="9"/>
  <c r="X536" i="9"/>
  <c r="AA536" i="9"/>
  <c r="Y536" i="9"/>
  <c r="AB536" i="9"/>
  <c r="AE995" i="9"/>
  <c r="AF995" i="9"/>
  <c r="AH995" i="9"/>
  <c r="AG995" i="9"/>
  <c r="V201" i="9"/>
  <c r="Z201" i="9"/>
  <c r="BD201" i="9"/>
  <c r="W201" i="9"/>
  <c r="BD335" i="9"/>
  <c r="W335" i="9"/>
  <c r="V335" i="9"/>
  <c r="Z335" i="9"/>
  <c r="BB815" i="9"/>
  <c r="S815" i="9"/>
  <c r="V825" i="9"/>
  <c r="Z825" i="9"/>
  <c r="BD825" i="9"/>
  <c r="W825" i="9"/>
  <c r="Y621" i="9"/>
  <c r="X621" i="9"/>
  <c r="BC642" i="9"/>
  <c r="S642" i="9"/>
  <c r="V754" i="9"/>
  <c r="Z754" i="9"/>
  <c r="BD754" i="9"/>
  <c r="W754" i="9"/>
  <c r="AG454" i="9"/>
  <c r="AE454" i="9"/>
  <c r="AF454" i="9"/>
  <c r="AH454" i="9"/>
  <c r="V816" i="9"/>
  <c r="Z816" i="9"/>
  <c r="BD816" i="9"/>
  <c r="W816" i="9"/>
  <c r="X568" i="9"/>
  <c r="Y568" i="9"/>
  <c r="Y863" i="9"/>
  <c r="X863" i="9"/>
  <c r="V435" i="9"/>
  <c r="Z435" i="9"/>
  <c r="BD435" i="9"/>
  <c r="W435" i="9"/>
  <c r="BD681" i="9"/>
  <c r="W681" i="9"/>
  <c r="V681" i="9"/>
  <c r="Z681" i="9"/>
  <c r="AE358" i="9"/>
  <c r="AF358" i="9"/>
  <c r="AB227" i="9"/>
  <c r="BE479" i="9"/>
  <c r="W479" i="9"/>
  <c r="V479" i="9"/>
  <c r="Z479" i="9"/>
  <c r="BD311" i="9"/>
  <c r="W311" i="9"/>
  <c r="V311" i="9"/>
  <c r="Z311" i="9"/>
  <c r="AG179" i="9"/>
  <c r="AE179" i="9"/>
  <c r="AF179" i="9"/>
  <c r="AH179" i="9"/>
  <c r="S697" i="9"/>
  <c r="BB697" i="9"/>
  <c r="BD926" i="9"/>
  <c r="W926" i="9"/>
  <c r="V926" i="9"/>
  <c r="Z926" i="9"/>
  <c r="BC472" i="9"/>
  <c r="S472" i="9"/>
  <c r="V555" i="9"/>
  <c r="Z555" i="9"/>
  <c r="BD555" i="9"/>
  <c r="W555" i="9"/>
  <c r="Y554" i="9"/>
  <c r="X554" i="9"/>
  <c r="Y813" i="9"/>
  <c r="AB813" i="9"/>
  <c r="X813" i="9"/>
  <c r="AA813" i="9"/>
  <c r="V265" i="9"/>
  <c r="Z265" i="9"/>
  <c r="BD265" i="9"/>
  <c r="W265" i="9"/>
  <c r="V688" i="9"/>
  <c r="Z688" i="9"/>
  <c r="BD688" i="9"/>
  <c r="W688" i="9"/>
  <c r="V124" i="9"/>
  <c r="Z124" i="9"/>
  <c r="BD124" i="9"/>
  <c r="W124" i="9"/>
  <c r="Y450" i="9"/>
  <c r="X450" i="9"/>
  <c r="BD958" i="9"/>
  <c r="W958" i="9"/>
  <c r="V958" i="9"/>
  <c r="Z958" i="9"/>
  <c r="AG321" i="9"/>
  <c r="AE321" i="9"/>
  <c r="AF321" i="9"/>
  <c r="AH321" i="9"/>
  <c r="AB328" i="9"/>
  <c r="AG328" i="9"/>
  <c r="X506" i="9"/>
  <c r="AA506" i="9"/>
  <c r="Y506" i="9"/>
  <c r="AB506" i="9"/>
  <c r="X780" i="9"/>
  <c r="Y780" i="9"/>
  <c r="AG411" i="9"/>
  <c r="AE411" i="9"/>
  <c r="AF411" i="9"/>
  <c r="AH411" i="9"/>
  <c r="AG14" i="9"/>
  <c r="AE14" i="9"/>
  <c r="AF14" i="9"/>
  <c r="AH14" i="9"/>
  <c r="BC986" i="9"/>
  <c r="S986" i="9"/>
  <c r="AG814" i="9"/>
  <c r="AE814" i="9"/>
  <c r="AF814" i="9"/>
  <c r="AH814" i="9"/>
  <c r="Y157" i="9"/>
  <c r="AB157" i="9"/>
  <c r="X157" i="9"/>
  <c r="AA157" i="9"/>
  <c r="V535" i="9"/>
  <c r="Z535" i="9"/>
  <c r="BD535" i="9"/>
  <c r="W535" i="9"/>
  <c r="V222" i="9"/>
  <c r="Z222" i="9"/>
  <c r="BD222" i="9"/>
  <c r="W222" i="9"/>
  <c r="Y335" i="9"/>
  <c r="AB335" i="9"/>
  <c r="X335" i="9"/>
  <c r="AA335" i="9"/>
  <c r="BD522" i="9"/>
  <c r="W522" i="9"/>
  <c r="V522" i="9"/>
  <c r="Z522" i="9"/>
  <c r="V428" i="9"/>
  <c r="Z428" i="9"/>
  <c r="BD428" i="9"/>
  <c r="W428" i="9"/>
  <c r="X126" i="9"/>
  <c r="Y126" i="9"/>
  <c r="AG810" i="9"/>
  <c r="AE810" i="9"/>
  <c r="AF810" i="9"/>
  <c r="AH810" i="9"/>
  <c r="AE316" i="9"/>
  <c r="AF316" i="9"/>
  <c r="V23" i="9"/>
  <c r="Z23" i="9"/>
  <c r="BD23" i="9"/>
  <c r="W23" i="9"/>
  <c r="V621" i="9"/>
  <c r="Z621" i="9"/>
  <c r="BD621" i="9"/>
  <c r="W621" i="9"/>
  <c r="V524" i="9"/>
  <c r="Z524" i="9"/>
  <c r="BD524" i="9"/>
  <c r="W524" i="9"/>
  <c r="X138" i="9"/>
  <c r="Y138" i="9"/>
  <c r="AB309" i="9"/>
  <c r="AG309" i="9"/>
  <c r="V568" i="9"/>
  <c r="Z568" i="9"/>
  <c r="BD568" i="9"/>
  <c r="W568" i="9"/>
  <c r="V863" i="9"/>
  <c r="Z863" i="9"/>
  <c r="BD863" i="9"/>
  <c r="W863" i="9"/>
  <c r="BC504" i="9"/>
  <c r="S504" i="9"/>
  <c r="Y435" i="9"/>
  <c r="AB435" i="9"/>
  <c r="X435" i="9"/>
  <c r="AA435" i="9"/>
  <c r="S696" i="9"/>
  <c r="BB696" i="9"/>
  <c r="AE276" i="9"/>
  <c r="AF276" i="9"/>
  <c r="AH276" i="9"/>
  <c r="AG276" i="9"/>
  <c r="AB358" i="9"/>
  <c r="AG358" i="9"/>
  <c r="Y726" i="9"/>
  <c r="AB726" i="9"/>
  <c r="X726" i="9"/>
  <c r="AA726" i="9"/>
  <c r="X118" i="9"/>
  <c r="AA118" i="9"/>
  <c r="Y118" i="9"/>
  <c r="AB118" i="9"/>
  <c r="BD248" i="9"/>
  <c r="W248" i="9"/>
  <c r="V248" i="9"/>
  <c r="Z248" i="9"/>
  <c r="Y311" i="9"/>
  <c r="X311" i="9"/>
  <c r="AB902" i="9"/>
  <c r="AG902" i="9"/>
  <c r="BC367" i="9"/>
  <c r="S367" i="9"/>
  <c r="X926" i="9"/>
  <c r="Y926" i="9"/>
  <c r="V744" i="9"/>
  <c r="Z744" i="9"/>
  <c r="BD744" i="9"/>
  <c r="W744" i="9"/>
  <c r="Y555" i="9"/>
  <c r="X555" i="9"/>
  <c r="AE968" i="9"/>
  <c r="AF968" i="9"/>
  <c r="AH968" i="9"/>
  <c r="AG968" i="9"/>
  <c r="Y949" i="9"/>
  <c r="X949" i="9"/>
  <c r="Y194" i="9"/>
  <c r="AB194" i="9"/>
  <c r="X194" i="9"/>
  <c r="AA194" i="9"/>
  <c r="Y682" i="9"/>
  <c r="AB682" i="9"/>
  <c r="X682" i="9"/>
  <c r="AA682" i="9"/>
  <c r="BD554" i="9"/>
  <c r="W554" i="9"/>
  <c r="V554" i="9"/>
  <c r="Z554" i="9"/>
  <c r="Y960" i="9"/>
  <c r="X960" i="9"/>
  <c r="AA960" i="9"/>
  <c r="V644" i="9"/>
  <c r="Z644" i="9"/>
  <c r="BD644" i="9"/>
  <c r="W644" i="9"/>
  <c r="BD808" i="9"/>
  <c r="W808" i="9"/>
  <c r="V808" i="9"/>
  <c r="Z808" i="9"/>
  <c r="AB175" i="9"/>
  <c r="AG175" i="9"/>
  <c r="AB773" i="9"/>
  <c r="V253" i="9"/>
  <c r="Z253" i="9"/>
  <c r="BD253" i="9"/>
  <c r="W253" i="9"/>
  <c r="AG518" i="9"/>
  <c r="AE518" i="9"/>
  <c r="AF518" i="9"/>
  <c r="AH518" i="9"/>
  <c r="AE767" i="9"/>
  <c r="AF767" i="9"/>
  <c r="AH767" i="9"/>
  <c r="AG767" i="9"/>
  <c r="V453" i="9"/>
  <c r="Z453" i="9"/>
  <c r="BD453" i="9"/>
  <c r="W453" i="9"/>
  <c r="Y684" i="9"/>
  <c r="AB684" i="9"/>
  <c r="X684" i="9"/>
  <c r="AA684" i="9"/>
  <c r="X265" i="9"/>
  <c r="Y265" i="9"/>
  <c r="AE501" i="9"/>
  <c r="AF501" i="9"/>
  <c r="AH501" i="9"/>
  <c r="AG501" i="9"/>
  <c r="AA755" i="9"/>
  <c r="BD584" i="9"/>
  <c r="W584" i="9"/>
  <c r="V584" i="9"/>
  <c r="Z584" i="9"/>
  <c r="X285" i="9"/>
  <c r="Y285" i="9"/>
  <c r="BB111" i="9"/>
  <c r="S111" i="9"/>
  <c r="Y31" i="9"/>
  <c r="X31" i="9"/>
  <c r="Y688" i="9"/>
  <c r="X688" i="9"/>
  <c r="Y21" i="9"/>
  <c r="X21" i="9"/>
  <c r="Y293" i="9"/>
  <c r="X293" i="9"/>
  <c r="AE488" i="9"/>
  <c r="AF488" i="9"/>
  <c r="AH488" i="9"/>
  <c r="AG488" i="9"/>
  <c r="Y193" i="9"/>
  <c r="AB193" i="9"/>
  <c r="X193" i="9"/>
  <c r="AB337" i="9"/>
  <c r="AG337" i="9"/>
  <c r="BD307" i="9"/>
  <c r="W307" i="9"/>
  <c r="V307" i="9"/>
  <c r="Z307" i="9"/>
  <c r="AA131" i="9"/>
  <c r="Y7" i="9"/>
  <c r="X7" i="9"/>
  <c r="AA7" i="9"/>
  <c r="BD450" i="9"/>
  <c r="W450" i="9"/>
  <c r="V450" i="9"/>
  <c r="Z450" i="9"/>
  <c r="Y694" i="9"/>
  <c r="AB694" i="9"/>
  <c r="X694" i="9"/>
  <c r="AA694" i="9"/>
  <c r="S628" i="9"/>
  <c r="BB628" i="9"/>
  <c r="X97" i="9"/>
  <c r="AA97" i="9"/>
  <c r="Y97" i="9"/>
  <c r="AB97" i="9"/>
  <c r="AB857" i="9"/>
  <c r="X436" i="9"/>
  <c r="Y436" i="9"/>
  <c r="V51" i="9"/>
  <c r="Z51" i="9"/>
  <c r="BD51" i="9"/>
  <c r="W51" i="9"/>
  <c r="BC476" i="9"/>
  <c r="S476" i="9"/>
  <c r="V156" i="9"/>
  <c r="Z156" i="9"/>
  <c r="BD156" i="9"/>
  <c r="W156" i="9"/>
  <c r="AA224" i="9"/>
  <c r="V365" i="9"/>
  <c r="Z365" i="9"/>
  <c r="BD365" i="9"/>
  <c r="W365" i="9"/>
  <c r="BE515" i="9"/>
  <c r="W515" i="9"/>
  <c r="V515" i="9"/>
  <c r="Z515" i="9"/>
  <c r="AA219" i="9"/>
  <c r="Y392" i="9"/>
  <c r="AB392" i="9"/>
  <c r="X392" i="9"/>
  <c r="AA392" i="9"/>
  <c r="V130" i="9"/>
  <c r="Z130" i="9"/>
  <c r="BD130" i="9"/>
  <c r="W130" i="9"/>
  <c r="V858" i="9"/>
  <c r="Z858" i="9"/>
  <c r="BD858" i="9"/>
  <c r="W858" i="9"/>
  <c r="AB963" i="9"/>
  <c r="AG963" i="9"/>
  <c r="Y205" i="9"/>
  <c r="AB205" i="9"/>
  <c r="X205" i="9"/>
  <c r="AA205" i="9"/>
  <c r="BB931" i="9"/>
  <c r="S931" i="9"/>
  <c r="AA953" i="9"/>
  <c r="BD572" i="9"/>
  <c r="W572" i="9"/>
  <c r="V572" i="9"/>
  <c r="Z572" i="9"/>
  <c r="Y223" i="9"/>
  <c r="AB223" i="9"/>
  <c r="X223" i="9"/>
  <c r="AA223" i="9"/>
  <c r="X234" i="9"/>
  <c r="AA234" i="9"/>
  <c r="Y234" i="9"/>
  <c r="AB234" i="9"/>
  <c r="BD978" i="9"/>
  <c r="W978" i="9"/>
  <c r="V978" i="9"/>
  <c r="Z978" i="9"/>
  <c r="Y942" i="9"/>
  <c r="X942" i="9"/>
  <c r="Y384" i="9"/>
  <c r="AB384" i="9"/>
  <c r="X384" i="9"/>
  <c r="X261" i="9"/>
  <c r="AA261" i="9"/>
  <c r="Y261" i="9"/>
  <c r="AB261" i="9"/>
  <c r="V432" i="9"/>
  <c r="Z432" i="9"/>
  <c r="BD432" i="9"/>
  <c r="W432" i="9"/>
  <c r="V226" i="9"/>
  <c r="Z226" i="9"/>
  <c r="BD226" i="9"/>
  <c r="W226" i="9"/>
  <c r="BD804" i="9"/>
  <c r="W804" i="9"/>
  <c r="V804" i="9"/>
  <c r="Z804" i="9"/>
  <c r="AG935" i="9"/>
  <c r="AE935" i="9"/>
  <c r="AF935" i="9"/>
  <c r="AH935" i="9"/>
  <c r="AA236" i="9"/>
  <c r="X451" i="9"/>
  <c r="Y451" i="9"/>
  <c r="V439" i="9"/>
  <c r="Z439" i="9"/>
  <c r="BD439" i="9"/>
  <c r="W439" i="9"/>
  <c r="Y870" i="9"/>
  <c r="X870" i="9"/>
  <c r="V123" i="9"/>
  <c r="Z123" i="9"/>
  <c r="BD123" i="9"/>
  <c r="W123" i="9"/>
  <c r="Y427" i="9"/>
  <c r="X427" i="9"/>
  <c r="X560" i="9"/>
  <c r="AA560" i="9"/>
  <c r="Y560" i="9"/>
  <c r="AB560" i="9"/>
  <c r="V148" i="9"/>
  <c r="Z148" i="9"/>
  <c r="BD148" i="9"/>
  <c r="W148" i="9"/>
  <c r="Y245" i="9"/>
  <c r="AB245" i="9"/>
  <c r="X245" i="9"/>
  <c r="AA245" i="9"/>
  <c r="V445" i="9"/>
  <c r="Z445" i="9"/>
  <c r="BD445" i="9"/>
  <c r="W445" i="9"/>
  <c r="X8" i="9"/>
  <c r="Y8" i="9"/>
  <c r="S203" i="9"/>
  <c r="BB203" i="9"/>
  <c r="BC496" i="9"/>
  <c r="S496" i="9"/>
  <c r="Y551" i="9"/>
  <c r="X551" i="9"/>
  <c r="AA410" i="9"/>
  <c r="Y609" i="9"/>
  <c r="AB609" i="9"/>
  <c r="X609" i="9"/>
  <c r="AA609" i="9"/>
  <c r="BB262" i="9"/>
  <c r="S262" i="9"/>
  <c r="V242" i="9"/>
  <c r="Z242" i="9"/>
  <c r="BD242" i="9"/>
  <c r="W242" i="9"/>
  <c r="BD78" i="9"/>
  <c r="W78" i="9"/>
  <c r="V78" i="9"/>
  <c r="Z78" i="9"/>
  <c r="BD327" i="9"/>
  <c r="W327" i="9"/>
  <c r="V327" i="9"/>
  <c r="Z327" i="9"/>
  <c r="Y862" i="9"/>
  <c r="X862" i="9"/>
  <c r="X538" i="9"/>
  <c r="Y538" i="9"/>
  <c r="V116" i="9"/>
  <c r="Z116" i="9"/>
  <c r="BD116" i="9"/>
  <c r="W116" i="9"/>
  <c r="V569" i="9"/>
  <c r="Z569" i="9"/>
  <c r="BD569" i="9"/>
  <c r="W569" i="9"/>
  <c r="Y299" i="9"/>
  <c r="X299" i="9"/>
  <c r="AA305" i="9"/>
  <c r="AB585" i="9"/>
  <c r="S440" i="9"/>
  <c r="BB440" i="9"/>
  <c r="Y364" i="9"/>
  <c r="AB364" i="9"/>
  <c r="X364" i="9"/>
  <c r="AA364" i="9"/>
  <c r="Y438" i="9"/>
  <c r="AB438" i="9"/>
  <c r="X438" i="9"/>
  <c r="AA438" i="9"/>
  <c r="AB833" i="9"/>
  <c r="AG833" i="9"/>
  <c r="BB425" i="9"/>
  <c r="S425" i="9"/>
  <c r="Y557" i="9"/>
  <c r="AB557" i="9"/>
  <c r="X557" i="9"/>
  <c r="AA557" i="9"/>
  <c r="Y511" i="9"/>
  <c r="AB511" i="9"/>
  <c r="X511" i="9"/>
  <c r="AA511" i="9"/>
  <c r="AE690" i="9"/>
  <c r="AF690" i="9"/>
  <c r="AH690" i="9"/>
  <c r="AG690" i="9"/>
  <c r="V539" i="9"/>
  <c r="Z539" i="9"/>
  <c r="BD539" i="9"/>
  <c r="W539" i="9"/>
  <c r="AA587" i="9"/>
  <c r="V39" i="9"/>
  <c r="Z39" i="9"/>
  <c r="BD39" i="9"/>
  <c r="W39" i="9"/>
  <c r="AA318" i="9"/>
  <c r="AG141" i="9"/>
  <c r="AE141" i="9"/>
  <c r="AF141" i="9"/>
  <c r="AH141" i="9"/>
  <c r="S352" i="9"/>
  <c r="BB352" i="9"/>
  <c r="V573" i="9"/>
  <c r="Z573" i="9"/>
  <c r="BD573" i="9"/>
  <c r="W573" i="9"/>
  <c r="X909" i="9"/>
  <c r="Y909" i="9"/>
  <c r="AB909" i="9"/>
  <c r="V197" i="9"/>
  <c r="Z197" i="9"/>
  <c r="BD197" i="9"/>
  <c r="W197" i="9"/>
  <c r="BE998" i="9"/>
  <c r="W998" i="9"/>
  <c r="V998" i="9"/>
  <c r="Z998" i="9"/>
  <c r="V861" i="9"/>
  <c r="Z861" i="9"/>
  <c r="BD861" i="9"/>
  <c r="W861" i="9"/>
  <c r="X982" i="9"/>
  <c r="AA982" i="9"/>
  <c r="Y982" i="9"/>
  <c r="AB982" i="9"/>
  <c r="V217" i="9"/>
  <c r="Z217" i="9"/>
  <c r="BD217" i="9"/>
  <c r="W217" i="9"/>
  <c r="AG42" i="9"/>
  <c r="AE42" i="9"/>
  <c r="AF42" i="9"/>
  <c r="AH42" i="9"/>
  <c r="V571" i="9"/>
  <c r="Z571" i="9"/>
  <c r="BD571" i="9"/>
  <c r="W571" i="9"/>
  <c r="AA997" i="9"/>
  <c r="AB196" i="9"/>
  <c r="AG196" i="9"/>
  <c r="V390" i="9"/>
  <c r="Z390" i="9"/>
  <c r="BD390" i="9"/>
  <c r="W390" i="9"/>
  <c r="AB161" i="9"/>
  <c r="Y952" i="9"/>
  <c r="X952" i="9"/>
  <c r="AG877" i="9"/>
  <c r="AE877" i="9"/>
  <c r="AF877" i="9"/>
  <c r="AH877" i="9"/>
  <c r="Y668" i="9"/>
  <c r="X668" i="9"/>
  <c r="X162" i="9"/>
  <c r="Y162" i="9"/>
  <c r="AB228" i="9"/>
  <c r="V76" i="9"/>
  <c r="Z76" i="9"/>
  <c r="BD76" i="9"/>
  <c r="W76" i="9"/>
  <c r="X27" i="9"/>
  <c r="AA27" i="9"/>
  <c r="Y27" i="9"/>
  <c r="AB27" i="9"/>
  <c r="AA332" i="9"/>
  <c r="AB509" i="9"/>
  <c r="AG509" i="9"/>
  <c r="S896" i="9"/>
  <c r="BB896" i="9"/>
  <c r="S957" i="9"/>
  <c r="BB957" i="9"/>
  <c r="Y380" i="9"/>
  <c r="AB380" i="9"/>
  <c r="X380" i="9"/>
  <c r="Y258" i="9"/>
  <c r="X258" i="9"/>
  <c r="BB424" i="9"/>
  <c r="S424" i="9"/>
  <c r="V531" i="9"/>
  <c r="Z531" i="9"/>
  <c r="BD531" i="9"/>
  <c r="W531" i="9"/>
  <c r="X566" i="9"/>
  <c r="AA566" i="9"/>
  <c r="Y566" i="9"/>
  <c r="BD471" i="9"/>
  <c r="W471" i="9"/>
  <c r="V471" i="9"/>
  <c r="Z471" i="9"/>
  <c r="Y746" i="9"/>
  <c r="AB746" i="9"/>
  <c r="X746" i="9"/>
  <c r="AA746" i="9"/>
  <c r="AE467" i="9"/>
  <c r="AF467" i="9"/>
  <c r="AH467" i="9"/>
  <c r="AG467" i="9"/>
  <c r="BD914" i="9"/>
  <c r="W914" i="9"/>
  <c r="V914" i="9"/>
  <c r="Z914" i="9"/>
  <c r="V214" i="9"/>
  <c r="Z214" i="9"/>
  <c r="BD214" i="9"/>
  <c r="W214" i="9"/>
  <c r="V635" i="9"/>
  <c r="Z635" i="9"/>
  <c r="BD635" i="9"/>
  <c r="W635" i="9"/>
  <c r="Y558" i="9"/>
  <c r="X558" i="9"/>
  <c r="V386" i="9"/>
  <c r="Z386" i="9"/>
  <c r="BD386" i="9"/>
  <c r="W386" i="9"/>
  <c r="AA313" i="9"/>
  <c r="Y839" i="9"/>
  <c r="AB839" i="9"/>
  <c r="X839" i="9"/>
  <c r="AA839" i="9"/>
  <c r="AA344" i="9"/>
  <c r="V102" i="9"/>
  <c r="Z102" i="9"/>
  <c r="BD102" i="9"/>
  <c r="W102" i="9"/>
  <c r="BD191" i="9"/>
  <c r="W191" i="9"/>
  <c r="V191" i="9"/>
  <c r="Z191" i="9"/>
  <c r="X218" i="9"/>
  <c r="Y218" i="9"/>
  <c r="X817" i="9"/>
  <c r="AA817" i="9"/>
  <c r="Y817" i="9"/>
  <c r="AB817" i="9"/>
  <c r="Y400" i="9"/>
  <c r="AB400" i="9"/>
  <c r="X400" i="9"/>
  <c r="AA400" i="9"/>
  <c r="AA938" i="9"/>
  <c r="S210" i="9"/>
  <c r="BB210" i="9"/>
  <c r="Y871" i="9"/>
  <c r="X871" i="9"/>
  <c r="Y725" i="9"/>
  <c r="X725" i="9"/>
  <c r="AA725" i="9"/>
  <c r="AB302" i="9"/>
  <c r="AH243" i="9"/>
  <c r="AB627" i="9"/>
  <c r="BC686" i="9"/>
  <c r="S686" i="9"/>
  <c r="BD66" i="9"/>
  <c r="W66" i="9"/>
  <c r="V66" i="9"/>
  <c r="Z66" i="9"/>
  <c r="AB46" i="9"/>
  <c r="X913" i="9"/>
  <c r="AA913" i="9"/>
  <c r="Y913" i="9"/>
  <c r="AB913" i="9"/>
  <c r="AA238" i="9"/>
  <c r="AG595" i="9"/>
  <c r="AA35" i="9"/>
  <c r="AB766" i="9"/>
  <c r="AB900" i="9"/>
  <c r="AG812" i="9"/>
  <c r="AG556" i="9"/>
  <c r="AA20" i="9"/>
  <c r="AA606" i="9"/>
  <c r="AA275" i="9"/>
  <c r="AA311" i="9"/>
  <c r="AA993" i="9"/>
  <c r="AB311" i="9"/>
  <c r="AB993" i="9"/>
  <c r="U957" i="9"/>
  <c r="T957" i="9"/>
  <c r="AA942" i="9"/>
  <c r="U628" i="9"/>
  <c r="T628" i="9"/>
  <c r="AB555" i="9"/>
  <c r="U841" i="9"/>
  <c r="T841" i="9"/>
  <c r="T89" i="9"/>
  <c r="U89" i="9"/>
  <c r="AA882" i="9"/>
  <c r="U96" i="9"/>
  <c r="T96" i="9"/>
  <c r="U136" i="9"/>
  <c r="T136" i="9"/>
  <c r="U492" i="9"/>
  <c r="T492" i="9"/>
  <c r="U529" i="9"/>
  <c r="T529" i="9"/>
  <c r="U994" i="9"/>
  <c r="T994" i="9"/>
  <c r="U769" i="9"/>
  <c r="T769" i="9"/>
  <c r="U387" i="9"/>
  <c r="T387" i="9"/>
  <c r="U172" i="9"/>
  <c r="T172" i="9"/>
  <c r="U919" i="9"/>
  <c r="T919" i="9"/>
  <c r="U521" i="9"/>
  <c r="T521" i="9"/>
  <c r="U395" i="9"/>
  <c r="T395" i="9"/>
  <c r="U771" i="9"/>
  <c r="T771" i="9"/>
  <c r="U424" i="9"/>
  <c r="T424" i="9"/>
  <c r="T425" i="9"/>
  <c r="U425" i="9"/>
  <c r="U440" i="9"/>
  <c r="T440" i="9"/>
  <c r="AB942" i="9"/>
  <c r="U986" i="9"/>
  <c r="T986" i="9"/>
  <c r="U815" i="9"/>
  <c r="T815" i="9"/>
  <c r="U647" i="9"/>
  <c r="T647" i="9"/>
  <c r="U158" i="9"/>
  <c r="T158" i="9"/>
  <c r="U468" i="9"/>
  <c r="T468" i="9"/>
  <c r="T721" i="9"/>
  <c r="U721" i="9"/>
  <c r="U687" i="9"/>
  <c r="T687" i="9"/>
  <c r="U264" i="9"/>
  <c r="T264" i="9"/>
  <c r="U922" i="9"/>
  <c r="T922" i="9"/>
  <c r="U171" i="9"/>
  <c r="T171" i="9"/>
  <c r="U651" i="9"/>
  <c r="T651" i="9"/>
  <c r="U634" i="9"/>
  <c r="T634" i="9"/>
  <c r="U401" i="9"/>
  <c r="T401" i="9"/>
  <c r="U868" i="9"/>
  <c r="T868" i="9"/>
  <c r="U163" i="9"/>
  <c r="T163" i="9"/>
  <c r="U917" i="9"/>
  <c r="T917" i="9"/>
  <c r="U955" i="9"/>
  <c r="T955" i="9"/>
  <c r="U484" i="9"/>
  <c r="T484" i="9"/>
  <c r="U999" i="9"/>
  <c r="T999" i="9"/>
  <c r="U142" i="9"/>
  <c r="T142" i="9"/>
  <c r="U674" i="9"/>
  <c r="T674" i="9"/>
  <c r="U937" i="9"/>
  <c r="T937" i="9"/>
  <c r="U545" i="9"/>
  <c r="T545" i="9"/>
  <c r="U244" i="9"/>
  <c r="T244" i="9"/>
  <c r="U153" i="9"/>
  <c r="T153" i="9"/>
  <c r="U680" i="9"/>
  <c r="T680" i="9"/>
  <c r="U189" i="9"/>
  <c r="T189" i="9"/>
  <c r="U896" i="9"/>
  <c r="T896" i="9"/>
  <c r="U352" i="9"/>
  <c r="T352" i="9"/>
  <c r="AA875" i="9"/>
  <c r="U528" i="9"/>
  <c r="T528" i="9"/>
  <c r="U117" i="9"/>
  <c r="T117" i="9"/>
  <c r="U910" i="9"/>
  <c r="T910" i="9"/>
  <c r="U95" i="9"/>
  <c r="T95" i="9"/>
  <c r="U185" i="9"/>
  <c r="T185" i="9"/>
  <c r="U423" i="9"/>
  <c r="T423" i="9"/>
  <c r="U508" i="9"/>
  <c r="T508" i="9"/>
  <c r="AB152" i="9"/>
  <c r="T121" i="9"/>
  <c r="U121" i="9"/>
  <c r="U893" i="9"/>
  <c r="T893" i="9"/>
  <c r="U736" i="9"/>
  <c r="T736" i="9"/>
  <c r="U526" i="9"/>
  <c r="T526" i="9"/>
  <c r="U886" i="9"/>
  <c r="T886" i="9"/>
  <c r="U561" i="9"/>
  <c r="T561" i="9"/>
  <c r="U500" i="9"/>
  <c r="T500" i="9"/>
  <c r="U897" i="9"/>
  <c r="T897" i="9"/>
  <c r="U84" i="9"/>
  <c r="T84" i="9"/>
  <c r="U490" i="9"/>
  <c r="T490" i="9"/>
  <c r="U970" i="9"/>
  <c r="T970" i="9"/>
  <c r="U340" i="9"/>
  <c r="T340" i="9"/>
  <c r="U615" i="9"/>
  <c r="T615" i="9"/>
  <c r="U367" i="9"/>
  <c r="T367" i="9"/>
  <c r="U686" i="9"/>
  <c r="T686" i="9"/>
  <c r="AA258" i="9"/>
  <c r="U496" i="9"/>
  <c r="T496" i="9"/>
  <c r="U931" i="9"/>
  <c r="T931" i="9"/>
  <c r="AA688" i="9"/>
  <c r="T697" i="9"/>
  <c r="U697" i="9"/>
  <c r="U642" i="9"/>
  <c r="T642" i="9"/>
  <c r="AA343" i="9"/>
  <c r="U775" i="9"/>
  <c r="T775" i="9"/>
  <c r="U133" i="9"/>
  <c r="T133" i="9"/>
  <c r="U186" i="9"/>
  <c r="T186" i="9"/>
  <c r="U659" i="9"/>
  <c r="T659" i="9"/>
  <c r="U610" i="9"/>
  <c r="T610" i="9"/>
  <c r="U83" i="9"/>
  <c r="T83" i="9"/>
  <c r="U52" i="9"/>
  <c r="T52" i="9"/>
  <c r="U708" i="9"/>
  <c r="T708" i="9"/>
  <c r="U56" i="9"/>
  <c r="T56" i="9"/>
  <c r="AA152" i="9"/>
  <c r="U592" i="9"/>
  <c r="T592" i="9"/>
  <c r="U975" i="9"/>
  <c r="T975" i="9"/>
  <c r="U704" i="9"/>
  <c r="T704" i="9"/>
  <c r="U99" i="9"/>
  <c r="T99" i="9"/>
  <c r="U108" i="9"/>
  <c r="T108" i="9"/>
  <c r="U779" i="9"/>
  <c r="T779" i="9"/>
  <c r="U564" i="9"/>
  <c r="T564" i="9"/>
  <c r="U155" i="9"/>
  <c r="T155" i="9"/>
  <c r="U350" i="9"/>
  <c r="T350" i="9"/>
  <c r="U676" i="9"/>
  <c r="T676" i="9"/>
  <c r="U807" i="9"/>
  <c r="T807" i="9"/>
  <c r="U517" i="9"/>
  <c r="T517" i="9"/>
  <c r="U354" i="9"/>
  <c r="T354" i="9"/>
  <c r="T57" i="9"/>
  <c r="U57" i="9"/>
  <c r="U671" i="9"/>
  <c r="T671" i="9"/>
  <c r="U901" i="9"/>
  <c r="T901" i="9"/>
  <c r="U835" i="9"/>
  <c r="T835" i="9"/>
  <c r="AH93" i="9"/>
  <c r="AG129" i="9"/>
  <c r="AG586" i="9"/>
  <c r="U505" i="9"/>
  <c r="T505" i="9"/>
  <c r="U720" i="9"/>
  <c r="T720" i="9"/>
  <c r="AB258" i="9"/>
  <c r="AA299" i="9"/>
  <c r="U262" i="9"/>
  <c r="T262" i="9"/>
  <c r="AB688" i="9"/>
  <c r="U696" i="9"/>
  <c r="T696" i="9"/>
  <c r="AB343" i="9"/>
  <c r="U923" i="9"/>
  <c r="T923" i="9"/>
  <c r="U731" i="9"/>
  <c r="T731" i="9"/>
  <c r="U874" i="9"/>
  <c r="T874" i="9"/>
  <c r="AA396" i="9"/>
  <c r="AA409" i="9"/>
  <c r="U928" i="9"/>
  <c r="T928" i="9"/>
  <c r="U837" i="9"/>
  <c r="T837" i="9"/>
  <c r="AB272" i="9"/>
  <c r="U211" i="9"/>
  <c r="T211" i="9"/>
  <c r="U109" i="9"/>
  <c r="T109" i="9"/>
  <c r="U523" i="9"/>
  <c r="T523" i="9"/>
  <c r="U729" i="9"/>
  <c r="T729" i="9"/>
  <c r="U788" i="9"/>
  <c r="T788" i="9"/>
  <c r="U187" i="9"/>
  <c r="T187" i="9"/>
  <c r="U904" i="9"/>
  <c r="T904" i="9"/>
  <c r="U461" i="9"/>
  <c r="T461" i="9"/>
  <c r="U577" i="9"/>
  <c r="T577" i="9"/>
  <c r="U622" i="9"/>
  <c r="T622" i="9"/>
  <c r="U282" i="9"/>
  <c r="T282" i="9"/>
  <c r="U180" i="9"/>
  <c r="T180" i="9"/>
  <c r="U210" i="9"/>
  <c r="T210" i="9"/>
  <c r="U114" i="9"/>
  <c r="T114" i="9"/>
  <c r="U802" i="9"/>
  <c r="T802" i="9"/>
  <c r="U128" i="9"/>
  <c r="T128" i="9"/>
  <c r="U981" i="9"/>
  <c r="T981" i="9"/>
  <c r="U985" i="9"/>
  <c r="T985" i="9"/>
  <c r="U818" i="9"/>
  <c r="T818" i="9"/>
  <c r="U170" i="9"/>
  <c r="T170" i="9"/>
  <c r="U356" i="9"/>
  <c r="T356" i="9"/>
  <c r="U945" i="9"/>
  <c r="T945" i="9"/>
  <c r="U756" i="9"/>
  <c r="T756" i="9"/>
  <c r="U799" i="9"/>
  <c r="T799" i="9"/>
  <c r="U419" i="9"/>
  <c r="T419" i="9"/>
  <c r="U562" i="9"/>
  <c r="T562" i="9"/>
  <c r="AA909" i="9"/>
  <c r="U203" i="9"/>
  <c r="T203" i="9"/>
  <c r="U476" i="9"/>
  <c r="T476" i="9"/>
  <c r="U472" i="9"/>
  <c r="T472" i="9"/>
  <c r="U60" i="9"/>
  <c r="T60" i="9"/>
  <c r="U349" i="9"/>
  <c r="T349" i="9"/>
  <c r="U433" i="9"/>
  <c r="T433" i="9"/>
  <c r="U429" i="9"/>
  <c r="T429" i="9"/>
  <c r="U140" i="9"/>
  <c r="T140" i="9"/>
  <c r="U728" i="9"/>
  <c r="T728" i="9"/>
  <c r="U966" i="9"/>
  <c r="T966" i="9"/>
  <c r="U768" i="9"/>
  <c r="T768" i="9"/>
  <c r="U830" i="9"/>
  <c r="T830" i="9"/>
  <c r="U806" i="9"/>
  <c r="T806" i="9"/>
  <c r="U169" i="9"/>
  <c r="T169" i="9"/>
  <c r="U351" i="9"/>
  <c r="T351" i="9"/>
  <c r="U563" i="9"/>
  <c r="T563" i="9"/>
  <c r="U147" i="9"/>
  <c r="T147" i="9"/>
  <c r="U776" i="9"/>
  <c r="T776" i="9"/>
  <c r="U976" i="9"/>
  <c r="T976" i="9"/>
  <c r="T785" i="9"/>
  <c r="U785" i="9"/>
  <c r="U692" i="9"/>
  <c r="T692" i="9"/>
  <c r="T553" i="9"/>
  <c r="U553" i="9"/>
  <c r="U111" i="9"/>
  <c r="T111" i="9"/>
  <c r="AA555" i="9"/>
  <c r="U504" i="9"/>
  <c r="T504" i="9"/>
  <c r="U87" i="9"/>
  <c r="T87" i="9"/>
  <c r="U206" i="9"/>
  <c r="T206" i="9"/>
  <c r="U289" i="9"/>
  <c r="T289" i="9"/>
  <c r="AB984" i="9"/>
  <c r="U964" i="9"/>
  <c r="T964" i="9"/>
  <c r="AB882" i="9"/>
  <c r="U533" i="9"/>
  <c r="T533" i="9"/>
  <c r="U800" i="9"/>
  <c r="T800" i="9"/>
  <c r="U927" i="9"/>
  <c r="T927" i="9"/>
  <c r="U856" i="9"/>
  <c r="T856" i="9"/>
  <c r="U962" i="9"/>
  <c r="T962" i="9"/>
  <c r="U899" i="9"/>
  <c r="T899" i="9"/>
  <c r="U371" i="9"/>
  <c r="T371" i="9"/>
  <c r="U207" i="9"/>
  <c r="T207" i="9"/>
  <c r="U485" i="9"/>
  <c r="T485" i="9"/>
  <c r="U249" i="9"/>
  <c r="T249" i="9"/>
  <c r="U640" i="9"/>
  <c r="T640" i="9"/>
  <c r="U125" i="9"/>
  <c r="T125" i="9"/>
  <c r="U379" i="9"/>
  <c r="T379" i="9"/>
  <c r="U631" i="9"/>
  <c r="T631" i="9"/>
  <c r="U854" i="9"/>
  <c r="T854" i="9"/>
  <c r="U757" i="9"/>
  <c r="T757" i="9"/>
  <c r="U415" i="9"/>
  <c r="T415" i="9"/>
  <c r="U947" i="9"/>
  <c r="T947" i="9"/>
  <c r="U761" i="9"/>
  <c r="T761" i="9"/>
  <c r="AB126" i="9"/>
  <c r="AB822" i="9"/>
  <c r="AB887" i="9"/>
  <c r="AA126" i="9"/>
  <c r="AA218" i="9"/>
  <c r="AB926" i="9"/>
  <c r="AA221" i="9"/>
  <c r="AB269" i="9"/>
  <c r="AG971" i="9"/>
  <c r="AA926" i="9"/>
  <c r="AB221" i="9"/>
  <c r="AA269" i="9"/>
  <c r="AH129" i="9"/>
  <c r="AG758" i="9"/>
  <c r="AH308" i="9"/>
  <c r="AA836" i="9"/>
  <c r="AE836" i="9"/>
  <c r="AF836" i="9"/>
  <c r="AH274" i="9"/>
  <c r="AB218" i="9"/>
  <c r="AE586" i="9"/>
  <c r="AF586" i="9"/>
  <c r="AH586" i="9"/>
  <c r="AB230" i="9"/>
  <c r="AE391" i="9"/>
  <c r="AF391" i="9"/>
  <c r="AH391" i="9"/>
  <c r="AH294" i="9"/>
  <c r="AA558" i="9"/>
  <c r="AA293" i="9"/>
  <c r="AB510" i="9"/>
  <c r="AA230" i="9"/>
  <c r="AB202" i="9"/>
  <c r="AG601" i="9"/>
  <c r="AE812" i="9"/>
  <c r="AF812" i="9"/>
  <c r="AH812" i="9"/>
  <c r="AA898" i="9"/>
  <c r="AB558" i="9"/>
  <c r="AB293" i="9"/>
  <c r="AA510" i="9"/>
  <c r="AH231" i="9"/>
  <c r="AA202" i="9"/>
  <c r="AB787" i="9"/>
  <c r="AA241" i="9"/>
  <c r="AB470" i="9"/>
  <c r="AH595" i="9"/>
  <c r="AA339" i="9"/>
  <c r="AA844" i="9"/>
  <c r="AB68" i="9"/>
  <c r="AA912" i="9"/>
  <c r="AE912" i="9"/>
  <c r="AF912" i="9"/>
  <c r="X761" i="9"/>
  <c r="Y761" i="9"/>
  <c r="AA984" i="9"/>
  <c r="AB952" i="9"/>
  <c r="AB7" i="9"/>
  <c r="AG773" i="9"/>
  <c r="AB875" i="9"/>
  <c r="AG274" i="9"/>
  <c r="AB260" i="9"/>
  <c r="AA781" i="9"/>
  <c r="AA748" i="9"/>
  <c r="AB339" i="9"/>
  <c r="AA176" i="9"/>
  <c r="AA68" i="9"/>
  <c r="AE971" i="9"/>
  <c r="AF971" i="9"/>
  <c r="AH971" i="9"/>
  <c r="AB912" i="9"/>
  <c r="AH228" i="9"/>
  <c r="AH520" i="9"/>
  <c r="V761" i="9"/>
  <c r="Z761" i="9"/>
  <c r="BD761" i="9"/>
  <c r="W761" i="9"/>
  <c r="AA952" i="9"/>
  <c r="AB960" i="9"/>
  <c r="AE556" i="9"/>
  <c r="AF556" i="9"/>
  <c r="AH556" i="9"/>
  <c r="AB990" i="9"/>
  <c r="AB781" i="9"/>
  <c r="AB748" i="9"/>
  <c r="AB176" i="9"/>
  <c r="AB138" i="9"/>
  <c r="AA621" i="9"/>
  <c r="AA623" i="9"/>
  <c r="AB845" i="9"/>
  <c r="AA973" i="9"/>
  <c r="AB811" i="9"/>
  <c r="AA547" i="9"/>
  <c r="AB502" i="9"/>
  <c r="AA864" i="9"/>
  <c r="AF857" i="9"/>
  <c r="AH857" i="9"/>
  <c r="AB35" i="9"/>
  <c r="AA551" i="9"/>
  <c r="AA427" i="9"/>
  <c r="AB285" i="9"/>
  <c r="AA138" i="9"/>
  <c r="AH316" i="9"/>
  <c r="AB623" i="9"/>
  <c r="AA845" i="9"/>
  <c r="AB72" i="9"/>
  <c r="AA589" i="9"/>
  <c r="AE589" i="9"/>
  <c r="AF589" i="9"/>
  <c r="AH175" i="9"/>
  <c r="AB973" i="9"/>
  <c r="AB295" i="9"/>
  <c r="AB547" i="9"/>
  <c r="AB67" i="9"/>
  <c r="AH758" i="9"/>
  <c r="AA502" i="9"/>
  <c r="AB864" i="9"/>
  <c r="AA362" i="9"/>
  <c r="Y505" i="9"/>
  <c r="X505" i="9"/>
  <c r="AG308" i="9"/>
  <c r="AG585" i="9"/>
  <c r="AB551" i="9"/>
  <c r="AB427" i="9"/>
  <c r="AA285" i="9"/>
  <c r="AA331" i="9"/>
  <c r="AB250" i="9"/>
  <c r="AB323" i="9"/>
  <c r="AA246" i="9"/>
  <c r="AA727" i="9"/>
  <c r="AA72" i="9"/>
  <c r="AB754" i="9"/>
  <c r="AB589" i="9"/>
  <c r="AA852" i="9"/>
  <c r="AA602" i="9"/>
  <c r="AA67" i="9"/>
  <c r="AB362" i="9"/>
  <c r="BE505" i="9"/>
  <c r="W505" i="9"/>
  <c r="V505" i="9"/>
  <c r="Z505" i="9"/>
  <c r="AA193" i="9"/>
  <c r="AB331" i="9"/>
  <c r="AA250" i="9"/>
  <c r="AB852" i="9"/>
  <c r="AB602" i="9"/>
  <c r="AB19" i="9"/>
  <c r="AB214" i="9"/>
  <c r="AB257" i="9"/>
  <c r="AB591" i="9"/>
  <c r="AB828" i="9"/>
  <c r="AA106" i="9"/>
  <c r="AH366" i="9"/>
  <c r="V771" i="9"/>
  <c r="Z771" i="9"/>
  <c r="BD771" i="9"/>
  <c r="W771" i="9"/>
  <c r="Y461" i="9"/>
  <c r="X461" i="9"/>
  <c r="AA870" i="9"/>
  <c r="AG857" i="9"/>
  <c r="AA450" i="9"/>
  <c r="AA822" i="9"/>
  <c r="AA712" i="9"/>
  <c r="AB819" i="9"/>
  <c r="AB246" i="9"/>
  <c r="AB25" i="9"/>
  <c r="AA251" i="9"/>
  <c r="AA361" i="9"/>
  <c r="AA119" i="9"/>
  <c r="AB70" i="9"/>
  <c r="AA277" i="9"/>
  <c r="AA766" i="9"/>
  <c r="BE945" i="9"/>
  <c r="W945" i="9"/>
  <c r="V945" i="9"/>
  <c r="Z945" i="9"/>
  <c r="V461" i="9"/>
  <c r="Z461" i="9"/>
  <c r="BD461" i="9"/>
  <c r="W461" i="9"/>
  <c r="V756" i="9"/>
  <c r="Z756" i="9"/>
  <c r="BD756" i="9"/>
  <c r="W756" i="9"/>
  <c r="Y577" i="9"/>
  <c r="X577" i="9"/>
  <c r="AE638" i="9"/>
  <c r="AF638" i="9"/>
  <c r="AH638" i="9"/>
  <c r="AG638" i="9"/>
  <c r="X970" i="9"/>
  <c r="Y970" i="9"/>
  <c r="X340" i="9"/>
  <c r="Y340" i="9"/>
  <c r="AB898" i="9"/>
  <c r="V521" i="9"/>
  <c r="Z521" i="9"/>
  <c r="BD521" i="9"/>
  <c r="W521" i="9"/>
  <c r="AB793" i="9"/>
  <c r="Y395" i="9"/>
  <c r="X395" i="9"/>
  <c r="BE947" i="9"/>
  <c r="W947" i="9"/>
  <c r="V947" i="9"/>
  <c r="Z947" i="9"/>
  <c r="Y771" i="9"/>
  <c r="AB771" i="9"/>
  <c r="X771" i="9"/>
  <c r="AA819" i="9"/>
  <c r="BD490" i="9"/>
  <c r="W490" i="9"/>
  <c r="V490" i="9"/>
  <c r="Z490" i="9"/>
  <c r="AE898" i="9"/>
  <c r="AF898" i="9"/>
  <c r="AE630" i="9"/>
  <c r="AF630" i="9"/>
  <c r="AH630" i="9"/>
  <c r="AB870" i="9"/>
  <c r="AA31" i="9"/>
  <c r="AA431" i="9"/>
  <c r="AA946" i="9"/>
  <c r="AB130" i="9"/>
  <c r="AA365" i="9"/>
  <c r="AB512" i="9"/>
  <c r="AA434" i="9"/>
  <c r="AB712" i="9"/>
  <c r="AA657" i="9"/>
  <c r="AB361" i="9"/>
  <c r="AB578" i="9"/>
  <c r="AA59" i="9"/>
  <c r="AA347" i="9"/>
  <c r="AB531" i="9"/>
  <c r="AA539" i="9"/>
  <c r="AA327" i="9"/>
  <c r="AB516" i="9"/>
  <c r="AB683" i="9"/>
  <c r="AB849" i="9"/>
  <c r="AB559" i="9"/>
  <c r="Y631" i="9"/>
  <c r="X631" i="9"/>
  <c r="Y692" i="9"/>
  <c r="X692" i="9"/>
  <c r="X756" i="9"/>
  <c r="Y756" i="9"/>
  <c r="BE577" i="9"/>
  <c r="W577" i="9"/>
  <c r="V577" i="9"/>
  <c r="Z577" i="9"/>
  <c r="AE346" i="9"/>
  <c r="AF346" i="9"/>
  <c r="AH346" i="9"/>
  <c r="AG346" i="9"/>
  <c r="X57" i="9"/>
  <c r="Y57" i="9"/>
  <c r="Y671" i="9"/>
  <c r="X671" i="9"/>
  <c r="Y901" i="9"/>
  <c r="X901" i="9"/>
  <c r="AA722" i="9"/>
  <c r="AA793" i="9"/>
  <c r="BD395" i="9"/>
  <c r="W395" i="9"/>
  <c r="V395" i="9"/>
  <c r="Z395" i="9"/>
  <c r="Y189" i="9"/>
  <c r="X189" i="9"/>
  <c r="Y945" i="9"/>
  <c r="X945" i="9"/>
  <c r="AA945" i="9"/>
  <c r="V970" i="9"/>
  <c r="Z970" i="9"/>
  <c r="BD970" i="9"/>
  <c r="W970" i="9"/>
  <c r="X521" i="9"/>
  <c r="Y521" i="9"/>
  <c r="AB521" i="9"/>
  <c r="AA871" i="9"/>
  <c r="AG228" i="9"/>
  <c r="AB31" i="9"/>
  <c r="AG31" i="9"/>
  <c r="AB431" i="9"/>
  <c r="AB946" i="9"/>
  <c r="AA130" i="9"/>
  <c r="AB365" i="9"/>
  <c r="AA378" i="9"/>
  <c r="AA578" i="9"/>
  <c r="AE578" i="9"/>
  <c r="AF578" i="9"/>
  <c r="AH578" i="9"/>
  <c r="AB59" i="9"/>
  <c r="AB347" i="9"/>
  <c r="AH963" i="9"/>
  <c r="AB466" i="9"/>
  <c r="AA519" i="9"/>
  <c r="AA503" i="9"/>
  <c r="AA683" i="9"/>
  <c r="AA916" i="9"/>
  <c r="AH833" i="9"/>
  <c r="BE631" i="9"/>
  <c r="W631" i="9"/>
  <c r="V631" i="9"/>
  <c r="Z631" i="9"/>
  <c r="X387" i="9"/>
  <c r="Y387" i="9"/>
  <c r="AE911" i="9"/>
  <c r="AF911" i="9"/>
  <c r="AH911" i="9"/>
  <c r="AG911" i="9"/>
  <c r="BD692" i="9"/>
  <c r="W692" i="9"/>
  <c r="V692" i="9"/>
  <c r="Z692" i="9"/>
  <c r="AB137" i="9"/>
  <c r="Y553" i="9"/>
  <c r="X553" i="9"/>
  <c r="AA220" i="9"/>
  <c r="BD799" i="9"/>
  <c r="W799" i="9"/>
  <c r="V799" i="9"/>
  <c r="Z799" i="9"/>
  <c r="BE57" i="9"/>
  <c r="W57" i="9"/>
  <c r="V57" i="9"/>
  <c r="Z57" i="9"/>
  <c r="BE671" i="9"/>
  <c r="W671" i="9"/>
  <c r="V671" i="9"/>
  <c r="Z671" i="9"/>
  <c r="BD901" i="9"/>
  <c r="W901" i="9"/>
  <c r="V901" i="9"/>
  <c r="Z901" i="9"/>
  <c r="BD622" i="9"/>
  <c r="W622" i="9"/>
  <c r="V622" i="9"/>
  <c r="Z622" i="9"/>
  <c r="AB722" i="9"/>
  <c r="Y835" i="9"/>
  <c r="X835" i="9"/>
  <c r="X615" i="9"/>
  <c r="Y615" i="9"/>
  <c r="V189" i="9"/>
  <c r="Z189" i="9"/>
  <c r="BD189" i="9"/>
  <c r="W189" i="9"/>
  <c r="X354" i="9"/>
  <c r="Y354" i="9"/>
  <c r="X947" i="9"/>
  <c r="AA947" i="9"/>
  <c r="Y947" i="9"/>
  <c r="AB947" i="9"/>
  <c r="AB871" i="9"/>
  <c r="AB162" i="9"/>
  <c r="AA914" i="9"/>
  <c r="AA471" i="9"/>
  <c r="AA527" i="9"/>
  <c r="AH525" i="9"/>
  <c r="AA466" i="9"/>
  <c r="AE466" i="9"/>
  <c r="AF466" i="9"/>
  <c r="AH466" i="9"/>
  <c r="AH196" i="9"/>
  <c r="AH601" i="9"/>
  <c r="Y545" i="9"/>
  <c r="X545" i="9"/>
  <c r="V387" i="9"/>
  <c r="Z387" i="9"/>
  <c r="BD387" i="9"/>
  <c r="W387" i="9"/>
  <c r="AA216" i="9"/>
  <c r="AE939" i="9"/>
  <c r="AF939" i="9"/>
  <c r="AH939" i="9"/>
  <c r="AG939" i="9"/>
  <c r="AA137" i="9"/>
  <c r="BE553" i="9"/>
  <c r="W553" i="9"/>
  <c r="V553" i="9"/>
  <c r="Z553" i="9"/>
  <c r="Y854" i="9"/>
  <c r="X854" i="9"/>
  <c r="AB220" i="9"/>
  <c r="Y799" i="9"/>
  <c r="X799" i="9"/>
  <c r="AA799" i="9"/>
  <c r="Y419" i="9"/>
  <c r="X419" i="9"/>
  <c r="X622" i="9"/>
  <c r="Y622" i="9"/>
  <c r="Y282" i="9"/>
  <c r="X282" i="9"/>
  <c r="V835" i="9"/>
  <c r="Z835" i="9"/>
  <c r="BD835" i="9"/>
  <c r="W835" i="9"/>
  <c r="BE615" i="9"/>
  <c r="W615" i="9"/>
  <c r="V615" i="9"/>
  <c r="Z615" i="9"/>
  <c r="AA738" i="9"/>
  <c r="AA256" i="9"/>
  <c r="BD340" i="9"/>
  <c r="W340" i="9"/>
  <c r="V340" i="9"/>
  <c r="Z340" i="9"/>
  <c r="BD757" i="9"/>
  <c r="W757" i="9"/>
  <c r="V757" i="9"/>
  <c r="Z757" i="9"/>
  <c r="AB451" i="9"/>
  <c r="AB568" i="9"/>
  <c r="AB471" i="9"/>
  <c r="AH337" i="9"/>
  <c r="AA637" i="9"/>
  <c r="AB527" i="9"/>
  <c r="AA82" i="9"/>
  <c r="AA98" i="9"/>
  <c r="AA255" i="9"/>
  <c r="AA148" i="9"/>
  <c r="AA151" i="9"/>
  <c r="AB304" i="9"/>
  <c r="AB732" i="9"/>
  <c r="AB449" i="9"/>
  <c r="AA23" i="9"/>
  <c r="BE545" i="9"/>
  <c r="W545" i="9"/>
  <c r="V545" i="9"/>
  <c r="Z545" i="9"/>
  <c r="AB216" i="9"/>
  <c r="Y244" i="9"/>
  <c r="X244" i="9"/>
  <c r="V153" i="9"/>
  <c r="Z153" i="9"/>
  <c r="BD153" i="9"/>
  <c r="W153" i="9"/>
  <c r="Y172" i="9"/>
  <c r="X172" i="9"/>
  <c r="BD680" i="9"/>
  <c r="W680" i="9"/>
  <c r="V680" i="9"/>
  <c r="Z680" i="9"/>
  <c r="BD854" i="9"/>
  <c r="W854" i="9"/>
  <c r="V854" i="9"/>
  <c r="Z854" i="9"/>
  <c r="AB747" i="9"/>
  <c r="AG747" i="9"/>
  <c r="V419" i="9"/>
  <c r="Z419" i="9"/>
  <c r="BD419" i="9"/>
  <c r="W419" i="9"/>
  <c r="AA278" i="9"/>
  <c r="BD282" i="9"/>
  <c r="W282" i="9"/>
  <c r="V282" i="9"/>
  <c r="Z282" i="9"/>
  <c r="AA730" i="9"/>
  <c r="Y180" i="9"/>
  <c r="X180" i="9"/>
  <c r="AB738" i="9"/>
  <c r="AB256" i="9"/>
  <c r="AA204" i="9"/>
  <c r="AA862" i="9"/>
  <c r="AA451" i="9"/>
  <c r="AA568" i="9"/>
  <c r="AA445" i="9"/>
  <c r="AH309" i="9"/>
  <c r="AB201" i="9"/>
  <c r="AB82" i="9"/>
  <c r="AE287" i="9"/>
  <c r="AF287" i="9"/>
  <c r="AH287" i="9"/>
  <c r="AB705" i="9"/>
  <c r="AG212" i="9"/>
  <c r="AB884" i="9"/>
  <c r="AB936" i="9"/>
  <c r="AG294" i="9"/>
  <c r="AB398" i="9"/>
  <c r="V904" i="9"/>
  <c r="Z904" i="9"/>
  <c r="BD904" i="9"/>
  <c r="W904" i="9"/>
  <c r="V807" i="9"/>
  <c r="Z807" i="9"/>
  <c r="BD807" i="9"/>
  <c r="W807" i="9"/>
  <c r="BD244" i="9"/>
  <c r="W244" i="9"/>
  <c r="V244" i="9"/>
  <c r="Z244" i="9"/>
  <c r="X153" i="9"/>
  <c r="AA153" i="9"/>
  <c r="Y153" i="9"/>
  <c r="BD172" i="9"/>
  <c r="W172" i="9"/>
  <c r="V172" i="9"/>
  <c r="Z172" i="9"/>
  <c r="Y680" i="9"/>
  <c r="AB680" i="9"/>
  <c r="X680" i="9"/>
  <c r="AA680" i="9"/>
  <c r="AE680" i="9"/>
  <c r="AF680" i="9"/>
  <c r="AE747" i="9"/>
  <c r="AF747" i="9"/>
  <c r="AH747" i="9"/>
  <c r="BD919" i="9"/>
  <c r="W919" i="9"/>
  <c r="V919" i="9"/>
  <c r="Z919" i="9"/>
  <c r="AB278" i="9"/>
  <c r="AE306" i="9"/>
  <c r="AF306" i="9"/>
  <c r="AH306" i="9"/>
  <c r="AG306" i="9"/>
  <c r="AB730" i="9"/>
  <c r="BD180" i="9"/>
  <c r="W180" i="9"/>
  <c r="V180" i="9"/>
  <c r="Z180" i="9"/>
  <c r="AA677" i="9"/>
  <c r="AB204" i="9"/>
  <c r="Y517" i="9"/>
  <c r="X517" i="9"/>
  <c r="BD415" i="9"/>
  <c r="W415" i="9"/>
  <c r="V415" i="9"/>
  <c r="Z415" i="9"/>
  <c r="AA162" i="9"/>
  <c r="AA380" i="9"/>
  <c r="AB668" i="9"/>
  <c r="AB862" i="9"/>
  <c r="AA571" i="9"/>
  <c r="AA535" i="9"/>
  <c r="AA394" i="9"/>
  <c r="AA716" i="9"/>
  <c r="AA705" i="9"/>
  <c r="AA229" i="9"/>
  <c r="AB139" i="9"/>
  <c r="AH773" i="9"/>
  <c r="AB744" i="9"/>
  <c r="X904" i="9"/>
  <c r="Y904" i="9"/>
  <c r="Y807" i="9"/>
  <c r="X807" i="9"/>
  <c r="Y490" i="9"/>
  <c r="AB490" i="9"/>
  <c r="X490" i="9"/>
  <c r="AA490" i="9"/>
  <c r="BD517" i="9"/>
  <c r="W517" i="9"/>
  <c r="V517" i="9"/>
  <c r="Z517" i="9"/>
  <c r="V354" i="9"/>
  <c r="Z354" i="9"/>
  <c r="BD354" i="9"/>
  <c r="W354" i="9"/>
  <c r="Y919" i="9"/>
  <c r="X919" i="9"/>
  <c r="AG105" i="9"/>
  <c r="AE105" i="9"/>
  <c r="AF105" i="9"/>
  <c r="AH105" i="9"/>
  <c r="X757" i="9"/>
  <c r="AA757" i="9"/>
  <c r="Y757" i="9"/>
  <c r="AB757" i="9"/>
  <c r="Y415" i="9"/>
  <c r="X415" i="9"/>
  <c r="AA415" i="9"/>
  <c r="AB836" i="9"/>
  <c r="AG836" i="9"/>
  <c r="AB677" i="9"/>
  <c r="AE566" i="9"/>
  <c r="AF566" i="9"/>
  <c r="AE299" i="9"/>
  <c r="AF299" i="9"/>
  <c r="BE496" i="9"/>
  <c r="W496" i="9"/>
  <c r="V496" i="9"/>
  <c r="Z496" i="9"/>
  <c r="AE621" i="9"/>
  <c r="AF621" i="9"/>
  <c r="AE527" i="9"/>
  <c r="AF527" i="9"/>
  <c r="AE882" i="9"/>
  <c r="AF882" i="9"/>
  <c r="AH882" i="9"/>
  <c r="AG882" i="9"/>
  <c r="AG717" i="9"/>
  <c r="AE717" i="9"/>
  <c r="AF717" i="9"/>
  <c r="AH717" i="9"/>
  <c r="AE583" i="9"/>
  <c r="AF583" i="9"/>
  <c r="AH583" i="9"/>
  <c r="AG583" i="9"/>
  <c r="AG329" i="9"/>
  <c r="AE329" i="9"/>
  <c r="AF329" i="9"/>
  <c r="AH329" i="9"/>
  <c r="Y868" i="9"/>
  <c r="X868" i="9"/>
  <c r="AE539" i="9"/>
  <c r="AF539" i="9"/>
  <c r="V981" i="9"/>
  <c r="Z981" i="9"/>
  <c r="BD981" i="9"/>
  <c r="W981" i="9"/>
  <c r="X999" i="9"/>
  <c r="Y999" i="9"/>
  <c r="X886" i="9"/>
  <c r="Y886" i="9"/>
  <c r="AE151" i="9"/>
  <c r="AF151" i="9"/>
  <c r="AG912" i="9"/>
  <c r="BE674" i="9"/>
  <c r="W674" i="9"/>
  <c r="V674" i="9"/>
  <c r="Z674" i="9"/>
  <c r="AE344" i="9"/>
  <c r="AF344" i="9"/>
  <c r="AH344" i="9"/>
  <c r="AG344" i="9"/>
  <c r="AB299" i="9"/>
  <c r="AG299" i="9"/>
  <c r="V262" i="9"/>
  <c r="Z262" i="9"/>
  <c r="BD262" i="9"/>
  <c r="W262" i="9"/>
  <c r="V203" i="9"/>
  <c r="Z203" i="9"/>
  <c r="BD203" i="9"/>
  <c r="W203" i="9"/>
  <c r="AE451" i="9"/>
  <c r="AF451" i="9"/>
  <c r="AH451" i="9"/>
  <c r="AG451" i="9"/>
  <c r="AE694" i="9"/>
  <c r="AF694" i="9"/>
  <c r="AH694" i="9"/>
  <c r="AG694" i="9"/>
  <c r="V111" i="9"/>
  <c r="Z111" i="9"/>
  <c r="BD111" i="9"/>
  <c r="W111" i="9"/>
  <c r="X367" i="9"/>
  <c r="Y367" i="9"/>
  <c r="AE118" i="9"/>
  <c r="AF118" i="9"/>
  <c r="AH118" i="9"/>
  <c r="AG118" i="9"/>
  <c r="V696" i="9"/>
  <c r="Z696" i="9"/>
  <c r="BD696" i="9"/>
  <c r="W696" i="9"/>
  <c r="AB621" i="9"/>
  <c r="AG621" i="9"/>
  <c r="BE775" i="9"/>
  <c r="W775" i="9"/>
  <c r="V775" i="9"/>
  <c r="Z775" i="9"/>
  <c r="Y720" i="9"/>
  <c r="X720" i="9"/>
  <c r="AB197" i="9"/>
  <c r="AH585" i="9"/>
  <c r="AA78" i="9"/>
  <c r="AB445" i="9"/>
  <c r="AB804" i="9"/>
  <c r="AA948" i="9"/>
  <c r="Y721" i="9"/>
  <c r="X721" i="9"/>
  <c r="AB612" i="9"/>
  <c r="AA443" i="9"/>
  <c r="AA301" i="9"/>
  <c r="AB434" i="9"/>
  <c r="AF965" i="9"/>
  <c r="AH965" i="9"/>
  <c r="AE965" i="9"/>
  <c r="AG965" i="9"/>
  <c r="BD610" i="9"/>
  <c r="W610" i="9"/>
  <c r="V610" i="9"/>
  <c r="Z610" i="9"/>
  <c r="AA823" i="9"/>
  <c r="AB727" i="9"/>
  <c r="AA597" i="9"/>
  <c r="BD731" i="9"/>
  <c r="W731" i="9"/>
  <c r="V731" i="9"/>
  <c r="Z731" i="9"/>
  <c r="V114" i="9"/>
  <c r="Z114" i="9"/>
  <c r="BD114" i="9"/>
  <c r="W114" i="9"/>
  <c r="AE182" i="9"/>
  <c r="AF182" i="9"/>
  <c r="AH182" i="9"/>
  <c r="AG182" i="9"/>
  <c r="AB657" i="9"/>
  <c r="V95" i="9"/>
  <c r="Z95" i="9"/>
  <c r="BD95" i="9"/>
  <c r="W95" i="9"/>
  <c r="AG834" i="9"/>
  <c r="AE834" i="9"/>
  <c r="AF834" i="9"/>
  <c r="AH834" i="9"/>
  <c r="AA681" i="9"/>
  <c r="AB861" i="9"/>
  <c r="Y728" i="9"/>
  <c r="X728" i="9"/>
  <c r="AG396" i="9"/>
  <c r="AE396" i="9"/>
  <c r="AF396" i="9"/>
  <c r="AH396" i="9"/>
  <c r="AB273" i="9"/>
  <c r="AA990" i="9"/>
  <c r="AG639" i="9"/>
  <c r="AE639" i="9"/>
  <c r="AF639" i="9"/>
  <c r="AH639" i="9"/>
  <c r="Y533" i="9"/>
  <c r="X533" i="9"/>
  <c r="AE447" i="9"/>
  <c r="AF447" i="9"/>
  <c r="AH447" i="9"/>
  <c r="AG447" i="9"/>
  <c r="AB751" i="9"/>
  <c r="AE543" i="9"/>
  <c r="AF543" i="9"/>
  <c r="AH543" i="9"/>
  <c r="AG543" i="9"/>
  <c r="V928" i="9"/>
  <c r="Z928" i="9"/>
  <c r="BD928" i="9"/>
  <c r="W928" i="9"/>
  <c r="AB378" i="9"/>
  <c r="AB1002" i="9"/>
  <c r="V423" i="9"/>
  <c r="Z423" i="9"/>
  <c r="BD423" i="9"/>
  <c r="W423" i="9"/>
  <c r="V800" i="9"/>
  <c r="Z800" i="9"/>
  <c r="BD800" i="9"/>
  <c r="W800" i="9"/>
  <c r="Y922" i="9"/>
  <c r="X922" i="9"/>
  <c r="X96" i="9"/>
  <c r="Y96" i="9"/>
  <c r="AG578" i="9"/>
  <c r="Y856" i="9"/>
  <c r="X856" i="9"/>
  <c r="BD830" i="9"/>
  <c r="W830" i="9"/>
  <c r="V830" i="9"/>
  <c r="Z830" i="9"/>
  <c r="AB307" i="9"/>
  <c r="AB535" i="9"/>
  <c r="AG535" i="9"/>
  <c r="AB394" i="9"/>
  <c r="AA620" i="9"/>
  <c r="AB98" i="9"/>
  <c r="AG98" i="9"/>
  <c r="X136" i="9"/>
  <c r="Y136" i="9"/>
  <c r="AG339" i="9"/>
  <c r="AE339" i="9"/>
  <c r="AF339" i="9"/>
  <c r="AH339" i="9"/>
  <c r="AA750" i="9"/>
  <c r="AE324" i="9"/>
  <c r="AF324" i="9"/>
  <c r="AH324" i="9"/>
  <c r="AG324" i="9"/>
  <c r="AE844" i="9"/>
  <c r="AF844" i="9"/>
  <c r="AH844" i="9"/>
  <c r="AG844" i="9"/>
  <c r="AG259" i="9"/>
  <c r="AE259" i="9"/>
  <c r="AF259" i="9"/>
  <c r="AH259" i="9"/>
  <c r="AG368" i="9"/>
  <c r="AE368" i="9"/>
  <c r="AF368" i="9"/>
  <c r="AH368" i="9"/>
  <c r="AG408" i="9"/>
  <c r="AE408" i="9"/>
  <c r="AF408" i="9"/>
  <c r="AH408" i="9"/>
  <c r="AG152" i="9"/>
  <c r="AE152" i="9"/>
  <c r="AF152" i="9"/>
  <c r="AH152" i="9"/>
  <c r="AG867" i="9"/>
  <c r="AE867" i="9"/>
  <c r="AF867" i="9"/>
  <c r="AH867" i="9"/>
  <c r="X128" i="9"/>
  <c r="Y128" i="9"/>
  <c r="BE868" i="9"/>
  <c r="W868" i="9"/>
  <c r="V868" i="9"/>
  <c r="Z868" i="9"/>
  <c r="AA531" i="9"/>
  <c r="AB539" i="9"/>
  <c r="AG539" i="9"/>
  <c r="AB327" i="9"/>
  <c r="AG452" i="9"/>
  <c r="AE452" i="9"/>
  <c r="AF452" i="9"/>
  <c r="AH452" i="9"/>
  <c r="Y981" i="9"/>
  <c r="X981" i="9"/>
  <c r="X975" i="9"/>
  <c r="Y975" i="9"/>
  <c r="AG230" i="9"/>
  <c r="AE230" i="9"/>
  <c r="AF230" i="9"/>
  <c r="AH230" i="9"/>
  <c r="AA921" i="9"/>
  <c r="AG460" i="9"/>
  <c r="AE460" i="9"/>
  <c r="AF460" i="9"/>
  <c r="AH460" i="9"/>
  <c r="AB357" i="9"/>
  <c r="AG357" i="9"/>
  <c r="AE280" i="9"/>
  <c r="AF280" i="9"/>
  <c r="AH280" i="9"/>
  <c r="AG280" i="9"/>
  <c r="AA846" i="9"/>
  <c r="BE484" i="9"/>
  <c r="W484" i="9"/>
  <c r="V484" i="9"/>
  <c r="Z484" i="9"/>
  <c r="AB519" i="9"/>
  <c r="AG519" i="9"/>
  <c r="AG403" i="9"/>
  <c r="AE403" i="9"/>
  <c r="AF403" i="9"/>
  <c r="AH403" i="9"/>
  <c r="AA462" i="9"/>
  <c r="AB503" i="9"/>
  <c r="Y170" i="9"/>
  <c r="X170" i="9"/>
  <c r="X526" i="9"/>
  <c r="Y526" i="9"/>
  <c r="AG388" i="9"/>
  <c r="AE388" i="9"/>
  <c r="AF388" i="9"/>
  <c r="AH388" i="9"/>
  <c r="AA214" i="9"/>
  <c r="AA573" i="9"/>
  <c r="BD886" i="9"/>
  <c r="W886" i="9"/>
  <c r="V886" i="9"/>
  <c r="Z886" i="9"/>
  <c r="AG257" i="9"/>
  <c r="AF257" i="9"/>
  <c r="AH257" i="9"/>
  <c r="AE257" i="9"/>
  <c r="AA693" i="9"/>
  <c r="AA421" i="9"/>
  <c r="AB106" i="9"/>
  <c r="BE776" i="9"/>
  <c r="W776" i="9"/>
  <c r="V776" i="9"/>
  <c r="Z776" i="9"/>
  <c r="AB979" i="9"/>
  <c r="AA139" i="9"/>
  <c r="AA884" i="9"/>
  <c r="AB127" i="9"/>
  <c r="AB920" i="9"/>
  <c r="V897" i="9"/>
  <c r="Z897" i="9"/>
  <c r="BD897" i="9"/>
  <c r="W897" i="9"/>
  <c r="AA486" i="9"/>
  <c r="BE994" i="9"/>
  <c r="W994" i="9"/>
  <c r="V994" i="9"/>
  <c r="Z994" i="9"/>
  <c r="AB916" i="9"/>
  <c r="AG916" i="9"/>
  <c r="AA849" i="9"/>
  <c r="AA402" i="9"/>
  <c r="AA458" i="9"/>
  <c r="BD379" i="9"/>
  <c r="W379" i="9"/>
  <c r="V379" i="9"/>
  <c r="Z379" i="9"/>
  <c r="AB226" i="9"/>
  <c r="BE788" i="9"/>
  <c r="W788" i="9"/>
  <c r="V788" i="9"/>
  <c r="Z788" i="9"/>
  <c r="AB23" i="9"/>
  <c r="AE862" i="9"/>
  <c r="AF862" i="9"/>
  <c r="AG942" i="9"/>
  <c r="AE942" i="9"/>
  <c r="AF942" i="9"/>
  <c r="AH942" i="9"/>
  <c r="AG293" i="9"/>
  <c r="AE293" i="9"/>
  <c r="AF293" i="9"/>
  <c r="AH293" i="9"/>
  <c r="AG279" i="9"/>
  <c r="AE279" i="9"/>
  <c r="AF279" i="9"/>
  <c r="AH279" i="9"/>
  <c r="AE174" i="9"/>
  <c r="AF174" i="9"/>
  <c r="AH174" i="9"/>
  <c r="AG174" i="9"/>
  <c r="AG72" i="9"/>
  <c r="AE72" i="9"/>
  <c r="AF72" i="9"/>
  <c r="AH72" i="9"/>
  <c r="V185" i="9"/>
  <c r="Z185" i="9"/>
  <c r="BD185" i="9"/>
  <c r="W185" i="9"/>
  <c r="AG714" i="9"/>
  <c r="AE714" i="9"/>
  <c r="AF714" i="9"/>
  <c r="AH714" i="9"/>
  <c r="Y800" i="9"/>
  <c r="X800" i="9"/>
  <c r="X927" i="9"/>
  <c r="Y927" i="9"/>
  <c r="AE571" i="9"/>
  <c r="AF571" i="9"/>
  <c r="AG791" i="9"/>
  <c r="AE791" i="9"/>
  <c r="AF791" i="9"/>
  <c r="AH791" i="9"/>
  <c r="AE98" i="9"/>
  <c r="AF98" i="9"/>
  <c r="AG263" i="9"/>
  <c r="AE263" i="9"/>
  <c r="AF263" i="9"/>
  <c r="AH263" i="9"/>
  <c r="V563" i="9"/>
  <c r="Z563" i="9"/>
  <c r="BD563" i="9"/>
  <c r="W563" i="9"/>
  <c r="AE357" i="9"/>
  <c r="AF357" i="9"/>
  <c r="AH357" i="9"/>
  <c r="Y484" i="9"/>
  <c r="X484" i="9"/>
  <c r="AE148" i="9"/>
  <c r="AF148" i="9"/>
  <c r="AE106" i="9"/>
  <c r="AF106" i="9"/>
  <c r="AH106" i="9"/>
  <c r="AG106" i="9"/>
  <c r="AE916" i="9"/>
  <c r="AF916" i="9"/>
  <c r="AH916" i="9"/>
  <c r="AE997" i="9"/>
  <c r="AF997" i="9"/>
  <c r="AH997" i="9"/>
  <c r="AG997" i="9"/>
  <c r="AE871" i="9"/>
  <c r="AF871" i="9"/>
  <c r="AH871" i="9"/>
  <c r="AG871" i="9"/>
  <c r="AG817" i="9"/>
  <c r="AE817" i="9"/>
  <c r="AF817" i="9"/>
  <c r="AH817" i="9"/>
  <c r="AE839" i="9"/>
  <c r="AF839" i="9"/>
  <c r="AH839" i="9"/>
  <c r="AG839" i="9"/>
  <c r="X957" i="9"/>
  <c r="Y957" i="9"/>
  <c r="AG982" i="9"/>
  <c r="AE982" i="9"/>
  <c r="AF982" i="9"/>
  <c r="AH982" i="9"/>
  <c r="AE909" i="9"/>
  <c r="AF909" i="9"/>
  <c r="AH909" i="9"/>
  <c r="AG909" i="9"/>
  <c r="AE318" i="9"/>
  <c r="AF318" i="9"/>
  <c r="AH318" i="9"/>
  <c r="AG318" i="9"/>
  <c r="X440" i="9"/>
  <c r="Y440" i="9"/>
  <c r="AE609" i="9"/>
  <c r="AF609" i="9"/>
  <c r="AH609" i="9"/>
  <c r="AG609" i="9"/>
  <c r="X203" i="9"/>
  <c r="AA203" i="9"/>
  <c r="Y203" i="9"/>
  <c r="AB203" i="9"/>
  <c r="AG236" i="9"/>
  <c r="AE236" i="9"/>
  <c r="AF236" i="9"/>
  <c r="AH236" i="9"/>
  <c r="AE953" i="9"/>
  <c r="AF953" i="9"/>
  <c r="AH953" i="9"/>
  <c r="AG953" i="9"/>
  <c r="AB436" i="9"/>
  <c r="AA21" i="9"/>
  <c r="AB265" i="9"/>
  <c r="AE682" i="9"/>
  <c r="AF682" i="9"/>
  <c r="AH682" i="9"/>
  <c r="AG682" i="9"/>
  <c r="BE367" i="9"/>
  <c r="W367" i="9"/>
  <c r="V367" i="9"/>
  <c r="Z367" i="9"/>
  <c r="AG726" i="9"/>
  <c r="AE726" i="9"/>
  <c r="AF726" i="9"/>
  <c r="AH726" i="9"/>
  <c r="Y696" i="9"/>
  <c r="AB696" i="9"/>
  <c r="X696" i="9"/>
  <c r="AA696" i="9"/>
  <c r="AG46" i="9"/>
  <c r="AE46" i="9"/>
  <c r="AF46" i="9"/>
  <c r="AH46" i="9"/>
  <c r="V647" i="9"/>
  <c r="Z647" i="9"/>
  <c r="BD647" i="9"/>
  <c r="W647" i="9"/>
  <c r="AG623" i="9"/>
  <c r="AE623" i="9"/>
  <c r="AF623" i="9"/>
  <c r="AH623" i="9"/>
  <c r="V720" i="9"/>
  <c r="Z720" i="9"/>
  <c r="BD720" i="9"/>
  <c r="W720" i="9"/>
  <c r="AB826" i="9"/>
  <c r="AE875" i="9"/>
  <c r="AF875" i="9"/>
  <c r="AH875" i="9"/>
  <c r="AG875" i="9"/>
  <c r="AE237" i="9"/>
  <c r="AF237" i="9"/>
  <c r="AH237" i="9"/>
  <c r="AG237" i="9"/>
  <c r="AB78" i="9"/>
  <c r="Y468" i="9"/>
  <c r="X468" i="9"/>
  <c r="AA804" i="9"/>
  <c r="AB948" i="9"/>
  <c r="BD721" i="9"/>
  <c r="W721" i="9"/>
  <c r="V721" i="9"/>
  <c r="Z721" i="9"/>
  <c r="AB112" i="9"/>
  <c r="AA612" i="9"/>
  <c r="AB443" i="9"/>
  <c r="AB301" i="9"/>
  <c r="AA542" i="9"/>
  <c r="AG188" i="9"/>
  <c r="AE188" i="9"/>
  <c r="AF188" i="9"/>
  <c r="AH188" i="9"/>
  <c r="AB823" i="9"/>
  <c r="AB597" i="9"/>
  <c r="BD289" i="9"/>
  <c r="W289" i="9"/>
  <c r="V289" i="9"/>
  <c r="Z289" i="9"/>
  <c r="V83" i="9"/>
  <c r="Z83" i="9"/>
  <c r="BD83" i="9"/>
  <c r="W83" i="9"/>
  <c r="V433" i="9"/>
  <c r="Z433" i="9"/>
  <c r="BD433" i="9"/>
  <c r="W433" i="9"/>
  <c r="X114" i="9"/>
  <c r="Y114" i="9"/>
  <c r="AB160" i="9"/>
  <c r="X95" i="9"/>
  <c r="AA95" i="9"/>
  <c r="Y95" i="9"/>
  <c r="AB95" i="9"/>
  <c r="AE759" i="9"/>
  <c r="AF759" i="9"/>
  <c r="AH759" i="9"/>
  <c r="AG759" i="9"/>
  <c r="AB681" i="9"/>
  <c r="AB825" i="9"/>
  <c r="AE71" i="9"/>
  <c r="AF71" i="9"/>
  <c r="AH71" i="9"/>
  <c r="AG71" i="9"/>
  <c r="AE495" i="9"/>
  <c r="AF495" i="9"/>
  <c r="AH495" i="9"/>
  <c r="AG495" i="9"/>
  <c r="AA861" i="9"/>
  <c r="AE260" i="9"/>
  <c r="AF260" i="9"/>
  <c r="AH260" i="9"/>
  <c r="AG260" i="9"/>
  <c r="Y966" i="9"/>
  <c r="X966" i="9"/>
  <c r="AA273" i="9"/>
  <c r="AA645" i="9"/>
  <c r="BE533" i="9"/>
  <c r="W533" i="9"/>
  <c r="V533" i="9"/>
  <c r="Z533" i="9"/>
  <c r="AA751" i="9"/>
  <c r="Y928" i="9"/>
  <c r="AB928" i="9"/>
  <c r="X928" i="9"/>
  <c r="AA928" i="9"/>
  <c r="AG303" i="9"/>
  <c r="AE303" i="9"/>
  <c r="AF303" i="9"/>
  <c r="AH303" i="9"/>
  <c r="AA880" i="9"/>
  <c r="BD922" i="9"/>
  <c r="W922" i="9"/>
  <c r="V922" i="9"/>
  <c r="Z922" i="9"/>
  <c r="V96" i="9"/>
  <c r="Z96" i="9"/>
  <c r="BD96" i="9"/>
  <c r="W96" i="9"/>
  <c r="AA908" i="9"/>
  <c r="BD651" i="9"/>
  <c r="W651" i="9"/>
  <c r="V651" i="9"/>
  <c r="Z651" i="9"/>
  <c r="BD634" i="9"/>
  <c r="W634" i="9"/>
  <c r="V634" i="9"/>
  <c r="Z634" i="9"/>
  <c r="AE602" i="9"/>
  <c r="AF602" i="9"/>
  <c r="AH602" i="9"/>
  <c r="AG602" i="9"/>
  <c r="AB958" i="9"/>
  <c r="AE778" i="9"/>
  <c r="AF778" i="9"/>
  <c r="AH778" i="9"/>
  <c r="AG778" i="9"/>
  <c r="AA848" i="9"/>
  <c r="AE298" i="9"/>
  <c r="AF298" i="9"/>
  <c r="AH298" i="9"/>
  <c r="AG298" i="9"/>
  <c r="AE805" i="9"/>
  <c r="AF805" i="9"/>
  <c r="AH805" i="9"/>
  <c r="AG805" i="9"/>
  <c r="AB620" i="9"/>
  <c r="AB107" i="9"/>
  <c r="AE716" i="9"/>
  <c r="AF716" i="9"/>
  <c r="AH716" i="9"/>
  <c r="AG716" i="9"/>
  <c r="V136" i="9"/>
  <c r="Z136" i="9"/>
  <c r="BD136" i="9"/>
  <c r="W136" i="9"/>
  <c r="AB750" i="9"/>
  <c r="AB267" i="9"/>
  <c r="BD899" i="9"/>
  <c r="W899" i="9"/>
  <c r="V899" i="9"/>
  <c r="Z899" i="9"/>
  <c r="X806" i="9"/>
  <c r="Y806" i="9"/>
  <c r="AG706" i="9"/>
  <c r="AE706" i="9"/>
  <c r="AF706" i="9"/>
  <c r="AH706" i="9"/>
  <c r="AE19" i="9"/>
  <c r="AF19" i="9"/>
  <c r="AH19" i="9"/>
  <c r="AG19" i="9"/>
  <c r="AA266" i="9"/>
  <c r="AG29" i="9"/>
  <c r="AE29" i="9"/>
  <c r="AF29" i="9"/>
  <c r="AH29" i="9"/>
  <c r="AE11" i="9"/>
  <c r="AF11" i="9"/>
  <c r="AH11" i="9"/>
  <c r="AG11" i="9"/>
  <c r="AB954" i="9"/>
  <c r="V128" i="9"/>
  <c r="Z128" i="9"/>
  <c r="BD128" i="9"/>
  <c r="W128" i="9"/>
  <c r="AB574" i="9"/>
  <c r="V207" i="9"/>
  <c r="Z207" i="9"/>
  <c r="BD207" i="9"/>
  <c r="W207" i="9"/>
  <c r="AA617" i="9"/>
  <c r="AB432" i="9"/>
  <c r="AG16" i="9"/>
  <c r="AE16" i="9"/>
  <c r="AF16" i="9"/>
  <c r="AH16" i="9"/>
  <c r="AB532" i="9"/>
  <c r="V975" i="9"/>
  <c r="Z975" i="9"/>
  <c r="BD975" i="9"/>
  <c r="W975" i="9"/>
  <c r="AB604" i="9"/>
  <c r="AB921" i="9"/>
  <c r="AG202" i="9"/>
  <c r="AE202" i="9"/>
  <c r="AF202" i="9"/>
  <c r="AH202" i="9"/>
  <c r="AE950" i="9"/>
  <c r="AF950" i="9"/>
  <c r="AH950" i="9"/>
  <c r="AG950" i="9"/>
  <c r="AB846" i="9"/>
  <c r="AA593" i="9"/>
  <c r="AG710" i="9"/>
  <c r="AE710" i="9"/>
  <c r="AF710" i="9"/>
  <c r="AH710" i="9"/>
  <c r="AB462" i="9"/>
  <c r="V170" i="9"/>
  <c r="Z170" i="9"/>
  <c r="BD170" i="9"/>
  <c r="W170" i="9"/>
  <c r="BD526" i="9"/>
  <c r="W526" i="9"/>
  <c r="V526" i="9"/>
  <c r="Z526" i="9"/>
  <c r="AG444" i="9"/>
  <c r="AE444" i="9"/>
  <c r="AF444" i="9"/>
  <c r="AH444" i="9"/>
  <c r="AG159" i="9"/>
  <c r="AE159" i="9"/>
  <c r="AF159" i="9"/>
  <c r="AH159" i="9"/>
  <c r="AE455" i="9"/>
  <c r="AF455" i="9"/>
  <c r="AH455" i="9"/>
  <c r="AG455" i="9"/>
  <c r="X564" i="9"/>
  <c r="Y564" i="9"/>
  <c r="AB573" i="9"/>
  <c r="AH902" i="9"/>
  <c r="AA989" i="9"/>
  <c r="AB693" i="9"/>
  <c r="AB421" i="9"/>
  <c r="AA940" i="9"/>
  <c r="AB829" i="9"/>
  <c r="AG199" i="9"/>
  <c r="AE199" i="9"/>
  <c r="AF199" i="9"/>
  <c r="AH199" i="9"/>
  <c r="AA979" i="9"/>
  <c r="AA127" i="9"/>
  <c r="AA920" i="9"/>
  <c r="X897" i="9"/>
  <c r="AA897" i="9"/>
  <c r="Y897" i="9"/>
  <c r="AB897" i="9"/>
  <c r="AB486" i="9"/>
  <c r="AB463" i="9"/>
  <c r="AB63" i="9"/>
  <c r="AB464" i="9"/>
  <c r="AA625" i="9"/>
  <c r="AB402" i="9"/>
  <c r="AB32" i="9"/>
  <c r="AB458" i="9"/>
  <c r="AH212" i="9"/>
  <c r="AB39" i="9"/>
  <c r="AA226" i="9"/>
  <c r="X187" i="9"/>
  <c r="Y187" i="9"/>
  <c r="AE725" i="9"/>
  <c r="AF725" i="9"/>
  <c r="AG335" i="9"/>
  <c r="AE335" i="9"/>
  <c r="AF335" i="9"/>
  <c r="AH335" i="9"/>
  <c r="AE845" i="9"/>
  <c r="AF845" i="9"/>
  <c r="V728" i="9"/>
  <c r="Z728" i="9"/>
  <c r="BD728" i="9"/>
  <c r="W728" i="9"/>
  <c r="AE409" i="9"/>
  <c r="AF409" i="9"/>
  <c r="AH409" i="9"/>
  <c r="AG409" i="9"/>
  <c r="AE378" i="9"/>
  <c r="AF378" i="9"/>
  <c r="AH378" i="9"/>
  <c r="AG378" i="9"/>
  <c r="V856" i="9"/>
  <c r="Z856" i="9"/>
  <c r="BD856" i="9"/>
  <c r="W856" i="9"/>
  <c r="AE535" i="9"/>
  <c r="AF535" i="9"/>
  <c r="AH535" i="9"/>
  <c r="AE864" i="9"/>
  <c r="AF864" i="9"/>
  <c r="AE277" i="9"/>
  <c r="AF277" i="9"/>
  <c r="BE779" i="9"/>
  <c r="W779" i="9"/>
  <c r="V779" i="9"/>
  <c r="Z779" i="9"/>
  <c r="AB217" i="9"/>
  <c r="X147" i="9"/>
  <c r="Y147" i="9"/>
  <c r="X976" i="9"/>
  <c r="Y976" i="9"/>
  <c r="AG900" i="9"/>
  <c r="AE900" i="9"/>
  <c r="AF900" i="9"/>
  <c r="AH900" i="9"/>
  <c r="AB439" i="9"/>
  <c r="AB725" i="9"/>
  <c r="AG725" i="9"/>
  <c r="V957" i="9"/>
  <c r="Z957" i="9"/>
  <c r="BD957" i="9"/>
  <c r="W957" i="9"/>
  <c r="V440" i="9"/>
  <c r="Z440" i="9"/>
  <c r="BD440" i="9"/>
  <c r="W440" i="9"/>
  <c r="Y686" i="9"/>
  <c r="X686" i="9"/>
  <c r="AG746" i="9"/>
  <c r="AE746" i="9"/>
  <c r="AF746" i="9"/>
  <c r="AH746" i="9"/>
  <c r="Y424" i="9"/>
  <c r="X424" i="9"/>
  <c r="V896" i="9"/>
  <c r="Z896" i="9"/>
  <c r="BD896" i="9"/>
  <c r="W896" i="9"/>
  <c r="AG952" i="9"/>
  <c r="AE952" i="9"/>
  <c r="AF952" i="9"/>
  <c r="AH952" i="9"/>
  <c r="AE511" i="9"/>
  <c r="AF511" i="9"/>
  <c r="AH511" i="9"/>
  <c r="AG511" i="9"/>
  <c r="AB8" i="9"/>
  <c r="Y931" i="9"/>
  <c r="X931" i="9"/>
  <c r="AG224" i="9"/>
  <c r="AE224" i="9"/>
  <c r="AF224" i="9"/>
  <c r="AH224" i="9"/>
  <c r="AA436" i="9"/>
  <c r="AG193" i="9"/>
  <c r="AE193" i="9"/>
  <c r="AF193" i="9"/>
  <c r="AH193" i="9"/>
  <c r="AB21" i="9"/>
  <c r="AA265" i="9"/>
  <c r="AE555" i="9"/>
  <c r="AF555" i="9"/>
  <c r="AH555" i="9"/>
  <c r="AG555" i="9"/>
  <c r="AE435" i="9"/>
  <c r="AF435" i="9"/>
  <c r="AH435" i="9"/>
  <c r="AG435" i="9"/>
  <c r="AE126" i="9"/>
  <c r="AF126" i="9"/>
  <c r="AH126" i="9"/>
  <c r="AG126" i="9"/>
  <c r="X986" i="9"/>
  <c r="Y986" i="9"/>
  <c r="AB780" i="9"/>
  <c r="Y472" i="9"/>
  <c r="X472" i="9"/>
  <c r="AA863" i="9"/>
  <c r="AA66" i="9"/>
  <c r="X647" i="9"/>
  <c r="Y647" i="9"/>
  <c r="AB191" i="9"/>
  <c r="AA386" i="9"/>
  <c r="AG161" i="9"/>
  <c r="AE161" i="9"/>
  <c r="AF161" i="9"/>
  <c r="AH161" i="9"/>
  <c r="AA826" i="9"/>
  <c r="AG20" i="9"/>
  <c r="AE20" i="9"/>
  <c r="AF20" i="9"/>
  <c r="AH20" i="9"/>
  <c r="AA242" i="9"/>
  <c r="BE468" i="9"/>
  <c r="W468" i="9"/>
  <c r="V468" i="9"/>
  <c r="Z468" i="9"/>
  <c r="AG822" i="9"/>
  <c r="AE822" i="9"/>
  <c r="AF822" i="9"/>
  <c r="AH822" i="9"/>
  <c r="AB978" i="9"/>
  <c r="AB253" i="9"/>
  <c r="AG456" i="9"/>
  <c r="AE456" i="9"/>
  <c r="AF456" i="9"/>
  <c r="AH456" i="9"/>
  <c r="AE943" i="9"/>
  <c r="AF943" i="9"/>
  <c r="AH943" i="9"/>
  <c r="AG943" i="9"/>
  <c r="AE15" i="9"/>
  <c r="AF15" i="9"/>
  <c r="AH15" i="9"/>
  <c r="AG15" i="9"/>
  <c r="AA112" i="9"/>
  <c r="AG414" i="9"/>
  <c r="AE414" i="9"/>
  <c r="AF414" i="9"/>
  <c r="AH414" i="9"/>
  <c r="AA507" i="9"/>
  <c r="X89" i="9"/>
  <c r="Y89" i="9"/>
  <c r="AB542" i="9"/>
  <c r="AG737" i="9"/>
  <c r="AE737" i="9"/>
  <c r="AF737" i="9"/>
  <c r="AH737" i="9"/>
  <c r="X289" i="9"/>
  <c r="AA289" i="9"/>
  <c r="Y289" i="9"/>
  <c r="Y83" i="9"/>
  <c r="AB83" i="9"/>
  <c r="X83" i="9"/>
  <c r="AA83" i="9"/>
  <c r="AG552" i="9"/>
  <c r="AE552" i="9"/>
  <c r="AF552" i="9"/>
  <c r="AH552" i="9"/>
  <c r="AB363" i="9"/>
  <c r="X433" i="9"/>
  <c r="Y433" i="9"/>
  <c r="AA160" i="9"/>
  <c r="AG929" i="9"/>
  <c r="AE929" i="9"/>
  <c r="AF929" i="9"/>
  <c r="AH929" i="9"/>
  <c r="AG537" i="9"/>
  <c r="AE537" i="9"/>
  <c r="AF537" i="9"/>
  <c r="AH537" i="9"/>
  <c r="AA825" i="9"/>
  <c r="AA149" i="9"/>
  <c r="AA613" i="9"/>
  <c r="AE190" i="9"/>
  <c r="AF190" i="9"/>
  <c r="AH190" i="9"/>
  <c r="AG190" i="9"/>
  <c r="AA522" i="9"/>
  <c r="BE966" i="9"/>
  <c r="W966" i="9"/>
  <c r="V966" i="9"/>
  <c r="Z966" i="9"/>
  <c r="AB645" i="9"/>
  <c r="AG470" i="9"/>
  <c r="AE470" i="9"/>
  <c r="AF470" i="9"/>
  <c r="AH470" i="9"/>
  <c r="X802" i="9"/>
  <c r="Y802" i="9"/>
  <c r="AH903" i="9"/>
  <c r="AB880" i="9"/>
  <c r="AA430" i="9"/>
  <c r="AE606" i="9"/>
  <c r="AF606" i="9"/>
  <c r="AH606" i="9"/>
  <c r="AG606" i="9"/>
  <c r="AB908" i="9"/>
  <c r="X651" i="9"/>
  <c r="Y651" i="9"/>
  <c r="X634" i="9"/>
  <c r="AA634" i="9"/>
  <c r="Y634" i="9"/>
  <c r="AB634" i="9"/>
  <c r="AA958" i="9"/>
  <c r="AB848" i="9"/>
  <c r="AB122" i="9"/>
  <c r="AB567" i="9"/>
  <c r="AA107" i="9"/>
  <c r="BD708" i="9"/>
  <c r="W708" i="9"/>
  <c r="V708" i="9"/>
  <c r="Z708" i="9"/>
  <c r="AB91" i="9"/>
  <c r="V56" i="9"/>
  <c r="Z56" i="9"/>
  <c r="BD56" i="9"/>
  <c r="W56" i="9"/>
  <c r="AA907" i="9"/>
  <c r="AA267" i="9"/>
  <c r="Y899" i="9"/>
  <c r="AB899" i="9"/>
  <c r="X899" i="9"/>
  <c r="AA899" i="9"/>
  <c r="BD806" i="9"/>
  <c r="W806" i="9"/>
  <c r="V806" i="9"/>
  <c r="Z806" i="9"/>
  <c r="AG315" i="9"/>
  <c r="AE315" i="9"/>
  <c r="AF315" i="9"/>
  <c r="AH315" i="9"/>
  <c r="AE166" i="9"/>
  <c r="AF166" i="9"/>
  <c r="AH166" i="9"/>
  <c r="AG166" i="9"/>
  <c r="AB266" i="9"/>
  <c r="AA69" i="9"/>
  <c r="AG291" i="9"/>
  <c r="AE291" i="9"/>
  <c r="AF291" i="9"/>
  <c r="AH291" i="9"/>
  <c r="AE272" i="9"/>
  <c r="AF272" i="9"/>
  <c r="AH272" i="9"/>
  <c r="AG272" i="9"/>
  <c r="AA954" i="9"/>
  <c r="AA649" i="9"/>
  <c r="AA574" i="9"/>
  <c r="V211" i="9"/>
  <c r="Z211" i="9"/>
  <c r="BD211" i="9"/>
  <c r="W211" i="9"/>
  <c r="AA879" i="9"/>
  <c r="X207" i="9"/>
  <c r="AA207" i="9"/>
  <c r="Y207" i="9"/>
  <c r="AB207" i="9"/>
  <c r="AB617" i="9"/>
  <c r="AA432" i="9"/>
  <c r="AA369" i="9"/>
  <c r="AG341" i="9"/>
  <c r="AE341" i="9"/>
  <c r="AF341" i="9"/>
  <c r="AH341" i="9"/>
  <c r="AG599" i="9"/>
  <c r="AE599" i="9"/>
  <c r="AF599" i="9"/>
  <c r="AH599" i="9"/>
  <c r="AG399" i="9"/>
  <c r="AE399" i="9"/>
  <c r="AF399" i="9"/>
  <c r="AH399" i="9"/>
  <c r="AA532" i="9"/>
  <c r="AG798" i="9"/>
  <c r="AE798" i="9"/>
  <c r="AF798" i="9"/>
  <c r="AH798" i="9"/>
  <c r="AA604" i="9"/>
  <c r="AA426" i="9"/>
  <c r="AB195" i="9"/>
  <c r="AG648" i="9"/>
  <c r="AE648" i="9"/>
  <c r="AF648" i="9"/>
  <c r="AH648" i="9"/>
  <c r="AG68" i="9"/>
  <c r="AE68" i="9"/>
  <c r="AF68" i="9"/>
  <c r="AH68" i="9"/>
  <c r="AE43" i="9"/>
  <c r="AF43" i="9"/>
  <c r="AH43" i="9"/>
  <c r="AG43" i="9"/>
  <c r="AB593" i="9"/>
  <c r="AB774" i="9"/>
  <c r="AE3" i="9"/>
  <c r="AF3" i="9"/>
  <c r="AH3" i="9"/>
  <c r="AG3" i="9"/>
  <c r="AA181" i="9"/>
  <c r="BD564" i="9"/>
  <c r="W564" i="9"/>
  <c r="V564" i="9"/>
  <c r="Z564" i="9"/>
  <c r="AG275" i="9"/>
  <c r="AE275" i="9"/>
  <c r="AF275" i="9"/>
  <c r="AH275" i="9"/>
  <c r="AB808" i="9"/>
  <c r="AB989" i="9"/>
  <c r="AB64" i="9"/>
  <c r="AB143" i="9"/>
  <c r="AB940" i="9"/>
  <c r="AA829" i="9"/>
  <c r="AA796" i="9"/>
  <c r="X125" i="9"/>
  <c r="Y125" i="9"/>
  <c r="Y729" i="9"/>
  <c r="X729" i="9"/>
  <c r="AA319" i="9"/>
  <c r="AA463" i="9"/>
  <c r="AA63" i="9"/>
  <c r="AB860" i="9"/>
  <c r="AA225" i="9"/>
  <c r="AA464" i="9"/>
  <c r="AB625" i="9"/>
  <c r="AA5" i="9"/>
  <c r="AA32" i="9"/>
  <c r="AB76" i="9"/>
  <c r="AA39" i="9"/>
  <c r="BD187" i="9"/>
  <c r="W187" i="9"/>
  <c r="V187" i="9"/>
  <c r="Z187" i="9"/>
  <c r="AE27" i="9"/>
  <c r="AF27" i="9"/>
  <c r="AH27" i="9"/>
  <c r="AG27" i="9"/>
  <c r="BD425" i="9"/>
  <c r="W425" i="9"/>
  <c r="V425" i="9"/>
  <c r="Z425" i="9"/>
  <c r="X111" i="9"/>
  <c r="AA111" i="9"/>
  <c r="Y111" i="9"/>
  <c r="AB111" i="9"/>
  <c r="AE130" i="9"/>
  <c r="AF130" i="9"/>
  <c r="AG130" i="9"/>
  <c r="AG434" i="9"/>
  <c r="AE434" i="9"/>
  <c r="AF434" i="9"/>
  <c r="AH434" i="9"/>
  <c r="AG727" i="9"/>
  <c r="AE727" i="9"/>
  <c r="AF727" i="9"/>
  <c r="AH727" i="9"/>
  <c r="BE964" i="9"/>
  <c r="W964" i="9"/>
  <c r="V964" i="9"/>
  <c r="Z964" i="9"/>
  <c r="AG227" i="9"/>
  <c r="AE227" i="9"/>
  <c r="AF227" i="9"/>
  <c r="AH227" i="9"/>
  <c r="X768" i="9"/>
  <c r="Y768" i="9"/>
  <c r="AG359" i="9"/>
  <c r="AE359" i="9"/>
  <c r="AF359" i="9"/>
  <c r="AH359" i="9"/>
  <c r="AG741" i="9"/>
  <c r="AE741" i="9"/>
  <c r="AF741" i="9"/>
  <c r="AH741" i="9"/>
  <c r="V424" i="9"/>
  <c r="Z424" i="9"/>
  <c r="BD424" i="9"/>
  <c r="W424" i="9"/>
  <c r="Y896" i="9"/>
  <c r="AB896" i="9"/>
  <c r="X896" i="9"/>
  <c r="AA896" i="9"/>
  <c r="AG410" i="9"/>
  <c r="AE410" i="9"/>
  <c r="AF410" i="9"/>
  <c r="AH410" i="9"/>
  <c r="AA8" i="9"/>
  <c r="AG560" i="9"/>
  <c r="AE560" i="9"/>
  <c r="AF560" i="9"/>
  <c r="AH560" i="9"/>
  <c r="AG870" i="9"/>
  <c r="AE870" i="9"/>
  <c r="AF870" i="9"/>
  <c r="AH870" i="9"/>
  <c r="BD931" i="9"/>
  <c r="W931" i="9"/>
  <c r="V931" i="9"/>
  <c r="Z931" i="9"/>
  <c r="AG392" i="9"/>
  <c r="AE392" i="9"/>
  <c r="AF392" i="9"/>
  <c r="AH392" i="9"/>
  <c r="AE688" i="9"/>
  <c r="AF688" i="9"/>
  <c r="AH688" i="9"/>
  <c r="AG688" i="9"/>
  <c r="AG684" i="9"/>
  <c r="AE684" i="9"/>
  <c r="AF684" i="9"/>
  <c r="AH684" i="9"/>
  <c r="AE194" i="9"/>
  <c r="AF194" i="9"/>
  <c r="AH194" i="9"/>
  <c r="AG194" i="9"/>
  <c r="AG311" i="9"/>
  <c r="AE311" i="9"/>
  <c r="AF311" i="9"/>
  <c r="AH311" i="9"/>
  <c r="BE986" i="9"/>
  <c r="W986" i="9"/>
  <c r="V986" i="9"/>
  <c r="Z986" i="9"/>
  <c r="AA780" i="9"/>
  <c r="BE472" i="9"/>
  <c r="W472" i="9"/>
  <c r="V472" i="9"/>
  <c r="Z472" i="9"/>
  <c r="AH358" i="9"/>
  <c r="AB863" i="9"/>
  <c r="Y815" i="9"/>
  <c r="X815" i="9"/>
  <c r="AB66" i="9"/>
  <c r="AA191" i="9"/>
  <c r="AB386" i="9"/>
  <c r="AE397" i="9"/>
  <c r="AF397" i="9"/>
  <c r="AH397" i="9"/>
  <c r="AG397" i="9"/>
  <c r="AA390" i="9"/>
  <c r="AA998" i="9"/>
  <c r="BD562" i="9"/>
  <c r="W562" i="9"/>
  <c r="V562" i="9"/>
  <c r="Z562" i="9"/>
  <c r="X158" i="9"/>
  <c r="Y158" i="9"/>
  <c r="AB242" i="9"/>
  <c r="V923" i="9"/>
  <c r="Z923" i="9"/>
  <c r="BD923" i="9"/>
  <c r="W923" i="9"/>
  <c r="AG946" i="9"/>
  <c r="AE946" i="9"/>
  <c r="AF946" i="9"/>
  <c r="AH946" i="9"/>
  <c r="AA978" i="9"/>
  <c r="V206" i="9"/>
  <c r="Z206" i="9"/>
  <c r="BD206" i="9"/>
  <c r="W206" i="9"/>
  <c r="AB156" i="9"/>
  <c r="AA253" i="9"/>
  <c r="X186" i="9"/>
  <c r="Y186" i="9"/>
  <c r="Y659" i="9"/>
  <c r="X659" i="9"/>
  <c r="AB534" i="9"/>
  <c r="AB507" i="9"/>
  <c r="BD89" i="9"/>
  <c r="W89" i="9"/>
  <c r="V89" i="9"/>
  <c r="Z89" i="9"/>
  <c r="AG733" i="9"/>
  <c r="AE733" i="9"/>
  <c r="AF733" i="9"/>
  <c r="AH733" i="9"/>
  <c r="AA924" i="9"/>
  <c r="AA487" i="9"/>
  <c r="AB271" i="9"/>
  <c r="AA685" i="9"/>
  <c r="AA363" i="9"/>
  <c r="AB124" i="9"/>
  <c r="AE665" i="9"/>
  <c r="AF665" i="9"/>
  <c r="AH665" i="9"/>
  <c r="AG665" i="9"/>
  <c r="AB996" i="9"/>
  <c r="AG974" i="9"/>
  <c r="AE974" i="9"/>
  <c r="AF974" i="9"/>
  <c r="AH974" i="9"/>
  <c r="AB752" i="9"/>
  <c r="AA479" i="9"/>
  <c r="AG749" i="9"/>
  <c r="AE749" i="9"/>
  <c r="AF749" i="9"/>
  <c r="AH749" i="9"/>
  <c r="X140" i="9"/>
  <c r="Y140" i="9"/>
  <c r="AB149" i="9"/>
  <c r="AB613" i="9"/>
  <c r="AA51" i="9"/>
  <c r="AB522" i="9"/>
  <c r="AE852" i="9"/>
  <c r="AF852" i="9"/>
  <c r="AH852" i="9"/>
  <c r="AG852" i="9"/>
  <c r="AE678" i="9"/>
  <c r="AF678" i="9"/>
  <c r="AH678" i="9"/>
  <c r="AG678" i="9"/>
  <c r="BD802" i="9"/>
  <c r="W802" i="9"/>
  <c r="V802" i="9"/>
  <c r="Z802" i="9"/>
  <c r="AA441" i="9"/>
  <c r="AA905" i="9"/>
  <c r="AA944" i="9"/>
  <c r="AB430" i="9"/>
  <c r="AE650" i="9"/>
  <c r="AF650" i="9"/>
  <c r="AH650" i="9"/>
  <c r="AG650" i="9"/>
  <c r="X171" i="9"/>
  <c r="Y171" i="9"/>
  <c r="AE417" i="9"/>
  <c r="AF417" i="9"/>
  <c r="AH417" i="9"/>
  <c r="AG417" i="9"/>
  <c r="V52" i="9"/>
  <c r="Z52" i="9"/>
  <c r="BD52" i="9"/>
  <c r="W52" i="9"/>
  <c r="AA629" i="9"/>
  <c r="AB584" i="9"/>
  <c r="Y508" i="9"/>
  <c r="X508" i="9"/>
  <c r="AG827" i="9"/>
  <c r="AE827" i="9"/>
  <c r="AF827" i="9"/>
  <c r="AH827" i="9"/>
  <c r="AA122" i="9"/>
  <c r="AA567" i="9"/>
  <c r="Y708" i="9"/>
  <c r="AB708" i="9"/>
  <c r="X708" i="9"/>
  <c r="AA708" i="9"/>
  <c r="AA91" i="9"/>
  <c r="X56" i="9"/>
  <c r="AA56" i="9"/>
  <c r="Y56" i="9"/>
  <c r="AB56" i="9"/>
  <c r="AB907" i="9"/>
  <c r="AA740" i="9"/>
  <c r="AA90" i="9"/>
  <c r="AB906" i="9"/>
  <c r="AB144" i="9"/>
  <c r="AB69" i="9"/>
  <c r="AG544" i="9"/>
  <c r="AE544" i="9"/>
  <c r="AF544" i="9"/>
  <c r="AH544" i="9"/>
  <c r="AB930" i="9"/>
  <c r="X371" i="9"/>
  <c r="Y371" i="9"/>
  <c r="AA209" i="9"/>
  <c r="AA297" i="9"/>
  <c r="AE770" i="9"/>
  <c r="AF770" i="9"/>
  <c r="AH770" i="9"/>
  <c r="AG770" i="9"/>
  <c r="AB649" i="9"/>
  <c r="AB101" i="9"/>
  <c r="X211" i="9"/>
  <c r="AA211" i="9"/>
  <c r="Y211" i="9"/>
  <c r="AB211" i="9"/>
  <c r="AB879" i="9"/>
  <c r="V163" i="9"/>
  <c r="Z163" i="9"/>
  <c r="BD163" i="9"/>
  <c r="W163" i="9"/>
  <c r="AB569" i="9"/>
  <c r="V917" i="9"/>
  <c r="Z917" i="9"/>
  <c r="BD917" i="9"/>
  <c r="W917" i="9"/>
  <c r="AB369" i="9"/>
  <c r="V109" i="9"/>
  <c r="Z109" i="9"/>
  <c r="BD109" i="9"/>
  <c r="W109" i="9"/>
  <c r="AA644" i="9"/>
  <c r="AG497" i="9"/>
  <c r="AE497" i="9"/>
  <c r="AF497" i="9"/>
  <c r="AH497" i="9"/>
  <c r="Y529" i="9"/>
  <c r="X529" i="9"/>
  <c r="AB88" i="9"/>
  <c r="AE669" i="9"/>
  <c r="AF669" i="9"/>
  <c r="AH669" i="9"/>
  <c r="AG669" i="9"/>
  <c r="AG691" i="9"/>
  <c r="AE691" i="9"/>
  <c r="AF691" i="9"/>
  <c r="AH691" i="9"/>
  <c r="AB426" i="9"/>
  <c r="AG502" i="9"/>
  <c r="AE502" i="9"/>
  <c r="AF502" i="9"/>
  <c r="AH502" i="9"/>
  <c r="AG821" i="9"/>
  <c r="AE821" i="9"/>
  <c r="AF821" i="9"/>
  <c r="AH821" i="9"/>
  <c r="AA195" i="9"/>
  <c r="BD523" i="9"/>
  <c r="W523" i="9"/>
  <c r="V523" i="9"/>
  <c r="Z523" i="9"/>
  <c r="AB616" i="9"/>
  <c r="V736" i="9"/>
  <c r="Z736" i="9"/>
  <c r="BD736" i="9"/>
  <c r="W736" i="9"/>
  <c r="AA774" i="9"/>
  <c r="AB181" i="9"/>
  <c r="AE146" i="9"/>
  <c r="AF146" i="9"/>
  <c r="AH146" i="9"/>
  <c r="AG146" i="9"/>
  <c r="AA808" i="9"/>
  <c r="AA382" i="9"/>
  <c r="AA64" i="9"/>
  <c r="AA143" i="9"/>
  <c r="AE389" i="9"/>
  <c r="AF389" i="9"/>
  <c r="AH389" i="9"/>
  <c r="AG389" i="9"/>
  <c r="AB796" i="9"/>
  <c r="X142" i="9"/>
  <c r="Y142" i="9"/>
  <c r="V125" i="9"/>
  <c r="Z125" i="9"/>
  <c r="BD125" i="9"/>
  <c r="W125" i="9"/>
  <c r="AB881" i="9"/>
  <c r="AA413" i="9"/>
  <c r="BD729" i="9"/>
  <c r="W729" i="9"/>
  <c r="V729" i="9"/>
  <c r="Z729" i="9"/>
  <c r="AB319" i="9"/>
  <c r="AA860" i="9"/>
  <c r="AB225" i="9"/>
  <c r="AA883" i="9"/>
  <c r="AB5" i="9"/>
  <c r="BD676" i="9"/>
  <c r="W676" i="9"/>
  <c r="V676" i="9"/>
  <c r="Z676" i="9"/>
  <c r="AA635" i="9"/>
  <c r="AA76" i="9"/>
  <c r="BD937" i="9"/>
  <c r="W937" i="9"/>
  <c r="V937" i="9"/>
  <c r="Z937" i="9"/>
  <c r="AB222" i="9"/>
  <c r="Y262" i="9"/>
  <c r="AB262" i="9"/>
  <c r="X262" i="9"/>
  <c r="X628" i="9"/>
  <c r="Y628" i="9"/>
  <c r="Y697" i="9"/>
  <c r="X697" i="9"/>
  <c r="AG445" i="9"/>
  <c r="AE445" i="9"/>
  <c r="AF445" i="9"/>
  <c r="AH445" i="9"/>
  <c r="AE598" i="9"/>
  <c r="AF598" i="9"/>
  <c r="AH598" i="9"/>
  <c r="AG598" i="9"/>
  <c r="Y731" i="9"/>
  <c r="AB731" i="9"/>
  <c r="X731" i="9"/>
  <c r="AA731" i="9"/>
  <c r="AE984" i="9"/>
  <c r="AF984" i="9"/>
  <c r="AH984" i="9"/>
  <c r="AG984" i="9"/>
  <c r="AE393" i="9"/>
  <c r="AF393" i="9"/>
  <c r="AH393" i="9"/>
  <c r="AG393" i="9"/>
  <c r="AG700" i="9"/>
  <c r="AE700" i="9"/>
  <c r="AF700" i="9"/>
  <c r="AH700" i="9"/>
  <c r="AA307" i="9"/>
  <c r="AA113" i="9"/>
  <c r="X962" i="9"/>
  <c r="Y962" i="9"/>
  <c r="AG652" i="9"/>
  <c r="AE652" i="9"/>
  <c r="AF652" i="9"/>
  <c r="AH652" i="9"/>
  <c r="AG327" i="9"/>
  <c r="AE327" i="9"/>
  <c r="AF327" i="9"/>
  <c r="AH327" i="9"/>
  <c r="AB546" i="9"/>
  <c r="AG235" i="9"/>
  <c r="AE235" i="9"/>
  <c r="AF235" i="9"/>
  <c r="AH235" i="9"/>
  <c r="AE503" i="9"/>
  <c r="AF503" i="9"/>
  <c r="AH503" i="9"/>
  <c r="AG503" i="9"/>
  <c r="Y994" i="9"/>
  <c r="AB994" i="9"/>
  <c r="X994" i="9"/>
  <c r="AA994" i="9"/>
  <c r="AG218" i="9"/>
  <c r="AE218" i="9"/>
  <c r="AF218" i="9"/>
  <c r="AH218" i="9"/>
  <c r="AG313" i="9"/>
  <c r="AE313" i="9"/>
  <c r="AF313" i="9"/>
  <c r="AH313" i="9"/>
  <c r="X210" i="9"/>
  <c r="Y210" i="9"/>
  <c r="AE258" i="9"/>
  <c r="AF258" i="9"/>
  <c r="AH258" i="9"/>
  <c r="AG258" i="9"/>
  <c r="AE162" i="9"/>
  <c r="AF162" i="9"/>
  <c r="AH162" i="9"/>
  <c r="AG162" i="9"/>
  <c r="BD352" i="9"/>
  <c r="W352" i="9"/>
  <c r="V352" i="9"/>
  <c r="Z352" i="9"/>
  <c r="AE587" i="9"/>
  <c r="AF587" i="9"/>
  <c r="AH587" i="9"/>
  <c r="AG587" i="9"/>
  <c r="AG557" i="9"/>
  <c r="AE557" i="9"/>
  <c r="AF557" i="9"/>
  <c r="AH557" i="9"/>
  <c r="AE438" i="9"/>
  <c r="AF438" i="9"/>
  <c r="AH438" i="9"/>
  <c r="AG438" i="9"/>
  <c r="AG261" i="9"/>
  <c r="AE261" i="9"/>
  <c r="AF261" i="9"/>
  <c r="AH261" i="9"/>
  <c r="AG234" i="9"/>
  <c r="AE234" i="9"/>
  <c r="AF234" i="9"/>
  <c r="AH234" i="9"/>
  <c r="AE205" i="9"/>
  <c r="AF205" i="9"/>
  <c r="AH205" i="9"/>
  <c r="AG205" i="9"/>
  <c r="AE7" i="9"/>
  <c r="AF7" i="9"/>
  <c r="AH7" i="9"/>
  <c r="AG7" i="9"/>
  <c r="Y504" i="9"/>
  <c r="X504" i="9"/>
  <c r="AE138" i="9"/>
  <c r="AF138" i="9"/>
  <c r="AH138" i="9"/>
  <c r="AG138" i="9"/>
  <c r="AE450" i="9"/>
  <c r="AF450" i="9"/>
  <c r="AE813" i="9"/>
  <c r="AF813" i="9"/>
  <c r="AH813" i="9"/>
  <c r="AG813" i="9"/>
  <c r="V815" i="9"/>
  <c r="Z815" i="9"/>
  <c r="BD815" i="9"/>
  <c r="W815" i="9"/>
  <c r="AH328" i="9"/>
  <c r="AE627" i="9"/>
  <c r="AF627" i="9"/>
  <c r="AH627" i="9"/>
  <c r="AG627" i="9"/>
  <c r="AE431" i="9"/>
  <c r="AF431" i="9"/>
  <c r="AH431" i="9"/>
  <c r="AG431" i="9"/>
  <c r="AA102" i="9"/>
  <c r="AB390" i="9"/>
  <c r="AB998" i="9"/>
  <c r="Y562" i="9"/>
  <c r="X562" i="9"/>
  <c r="V158" i="9"/>
  <c r="Z158" i="9"/>
  <c r="BD158" i="9"/>
  <c r="W158" i="9"/>
  <c r="AB270" i="9"/>
  <c r="X87" i="9"/>
  <c r="Y87" i="9"/>
  <c r="Y923" i="9"/>
  <c r="AB923" i="9"/>
  <c r="X923" i="9"/>
  <c r="X841" i="9"/>
  <c r="Y841" i="9"/>
  <c r="X206" i="9"/>
  <c r="AA206" i="9"/>
  <c r="Y206" i="9"/>
  <c r="AB206" i="9"/>
  <c r="AA858" i="9"/>
  <c r="AA515" i="9"/>
  <c r="AA156" i="9"/>
  <c r="Y528" i="9"/>
  <c r="X528" i="9"/>
  <c r="AA850" i="9"/>
  <c r="V186" i="9"/>
  <c r="Z186" i="9"/>
  <c r="BD186" i="9"/>
  <c r="W186" i="9"/>
  <c r="BE659" i="9"/>
  <c r="W659" i="9"/>
  <c r="V659" i="9"/>
  <c r="Z659" i="9"/>
  <c r="AA534" i="9"/>
  <c r="AB924" i="9"/>
  <c r="AG548" i="9"/>
  <c r="AE548" i="9"/>
  <c r="AF548" i="9"/>
  <c r="AH548" i="9"/>
  <c r="AG345" i="9"/>
  <c r="AE345" i="9"/>
  <c r="AF345" i="9"/>
  <c r="AH345" i="9"/>
  <c r="AB487" i="9"/>
  <c r="AG80" i="9"/>
  <c r="AE80" i="9"/>
  <c r="AF80" i="9"/>
  <c r="AH80" i="9"/>
  <c r="AA271" i="9"/>
  <c r="AG934" i="9"/>
  <c r="AE934" i="9"/>
  <c r="AF934" i="9"/>
  <c r="AH934" i="9"/>
  <c r="AA74" i="9"/>
  <c r="AB685" i="9"/>
  <c r="AG672" i="9"/>
  <c r="AE672" i="9"/>
  <c r="AF672" i="9"/>
  <c r="AH672" i="9"/>
  <c r="AA124" i="9"/>
  <c r="AA996" i="9"/>
  <c r="AA268" i="9"/>
  <c r="V429" i="9"/>
  <c r="Z429" i="9"/>
  <c r="BD429" i="9"/>
  <c r="W429" i="9"/>
  <c r="AB448" i="9"/>
  <c r="AA752" i="9"/>
  <c r="AB479" i="9"/>
  <c r="AB816" i="9"/>
  <c r="AG510" i="9"/>
  <c r="AE510" i="9"/>
  <c r="AF510" i="9"/>
  <c r="AH510" i="9"/>
  <c r="V140" i="9"/>
  <c r="Z140" i="9"/>
  <c r="BD140" i="9"/>
  <c r="W140" i="9"/>
  <c r="AB51" i="9"/>
  <c r="AG594" i="9"/>
  <c r="AE594" i="9"/>
  <c r="AF594" i="9"/>
  <c r="AH594" i="9"/>
  <c r="AE925" i="9"/>
  <c r="AF925" i="9"/>
  <c r="AH925" i="9"/>
  <c r="AG925" i="9"/>
  <c r="AB695" i="9"/>
  <c r="AE284" i="9"/>
  <c r="AF284" i="9"/>
  <c r="AH284" i="9"/>
  <c r="AG284" i="9"/>
  <c r="AB441" i="9"/>
  <c r="AA831" i="9"/>
  <c r="AG859" i="9"/>
  <c r="AE859" i="9"/>
  <c r="AF859" i="9"/>
  <c r="AH859" i="9"/>
  <c r="AE673" i="9"/>
  <c r="AF673" i="9"/>
  <c r="AH673" i="9"/>
  <c r="AG673" i="9"/>
  <c r="AB905" i="9"/>
  <c r="AB944" i="9"/>
  <c r="AG781" i="9"/>
  <c r="AE781" i="9"/>
  <c r="AF781" i="9"/>
  <c r="AH781" i="9"/>
  <c r="AE47" i="9"/>
  <c r="AF47" i="9"/>
  <c r="AH47" i="9"/>
  <c r="AG47" i="9"/>
  <c r="BD171" i="9"/>
  <c r="W171" i="9"/>
  <c r="V171" i="9"/>
  <c r="Z171" i="9"/>
  <c r="AG887" i="9"/>
  <c r="AE887" i="9"/>
  <c r="AF887" i="9"/>
  <c r="AH887" i="9"/>
  <c r="X52" i="9"/>
  <c r="Y52" i="9"/>
  <c r="AB629" i="9"/>
  <c r="AA584" i="9"/>
  <c r="BE508" i="9"/>
  <c r="W508" i="9"/>
  <c r="V508" i="9"/>
  <c r="Z508" i="9"/>
  <c r="AA173" i="9"/>
  <c r="AE698" i="9"/>
  <c r="AF698" i="9"/>
  <c r="AH698" i="9"/>
  <c r="AG698" i="9"/>
  <c r="AB740" i="9"/>
  <c r="AB90" i="9"/>
  <c r="AA906" i="9"/>
  <c r="AA144" i="9"/>
  <c r="AE292" i="9"/>
  <c r="AF292" i="9"/>
  <c r="AH292" i="9"/>
  <c r="AG292" i="9"/>
  <c r="AE547" i="9"/>
  <c r="AF547" i="9"/>
  <c r="AH547" i="9"/>
  <c r="AG547" i="9"/>
  <c r="AA930" i="9"/>
  <c r="BE371" i="9"/>
  <c r="W371" i="9"/>
  <c r="V371" i="9"/>
  <c r="Z371" i="9"/>
  <c r="AB209" i="9"/>
  <c r="AB297" i="9"/>
  <c r="AE75" i="9"/>
  <c r="AF75" i="9"/>
  <c r="AH75" i="9"/>
  <c r="AG75" i="9"/>
  <c r="AA101" i="9"/>
  <c r="X163" i="9"/>
  <c r="AA163" i="9"/>
  <c r="Y163" i="9"/>
  <c r="AB163" i="9"/>
  <c r="AG269" i="9"/>
  <c r="AE269" i="9"/>
  <c r="AF269" i="9"/>
  <c r="AH269" i="9"/>
  <c r="AA569" i="9"/>
  <c r="X917" i="9"/>
  <c r="AA917" i="9"/>
  <c r="Y917" i="9"/>
  <c r="AB917" i="9"/>
  <c r="X485" i="9"/>
  <c r="Y485" i="9"/>
  <c r="X109" i="9"/>
  <c r="Y109" i="9"/>
  <c r="AB644" i="9"/>
  <c r="AB824" i="9"/>
  <c r="BE529" i="9"/>
  <c r="W529" i="9"/>
  <c r="V529" i="9"/>
  <c r="Z529" i="9"/>
  <c r="AA88" i="9"/>
  <c r="AG889" i="9"/>
  <c r="AE889" i="9"/>
  <c r="AF889" i="9"/>
  <c r="AH889" i="9"/>
  <c r="BD640" i="9"/>
  <c r="W640" i="9"/>
  <c r="V640" i="9"/>
  <c r="Z640" i="9"/>
  <c r="AG404" i="9"/>
  <c r="AE404" i="9"/>
  <c r="AF404" i="9"/>
  <c r="AH404" i="9"/>
  <c r="X351" i="9"/>
  <c r="Y351" i="9"/>
  <c r="AG85" i="9"/>
  <c r="AE85" i="9"/>
  <c r="AF85" i="9"/>
  <c r="AH85" i="9"/>
  <c r="X523" i="9"/>
  <c r="Y523" i="9"/>
  <c r="AA616" i="9"/>
  <c r="V893" i="9"/>
  <c r="Z893" i="9"/>
  <c r="BD893" i="9"/>
  <c r="W893" i="9"/>
  <c r="X99" i="9"/>
  <c r="Y99" i="9"/>
  <c r="AE713" i="9"/>
  <c r="AF713" i="9"/>
  <c r="AH713" i="9"/>
  <c r="AG713" i="9"/>
  <c r="AG787" i="9"/>
  <c r="AE787" i="9"/>
  <c r="AF787" i="9"/>
  <c r="AH787" i="9"/>
  <c r="Y736" i="9"/>
  <c r="AB736" i="9"/>
  <c r="X736" i="9"/>
  <c r="AA736" i="9"/>
  <c r="AE705" i="9"/>
  <c r="AF705" i="9"/>
  <c r="AH705" i="9"/>
  <c r="AG705" i="9"/>
  <c r="AA73" i="9"/>
  <c r="AG100" i="9"/>
  <c r="AE100" i="9"/>
  <c r="AF100" i="9"/>
  <c r="AH100" i="9"/>
  <c r="AG412" i="9"/>
  <c r="AE412" i="9"/>
  <c r="AF412" i="9"/>
  <c r="AH412" i="9"/>
  <c r="AE763" i="9"/>
  <c r="AF763" i="9"/>
  <c r="AH763" i="9"/>
  <c r="AG763" i="9"/>
  <c r="AB382" i="9"/>
  <c r="AG983" i="9"/>
  <c r="AE983" i="9"/>
  <c r="AF983" i="9"/>
  <c r="AH983" i="9"/>
  <c r="AB709" i="9"/>
  <c r="V142" i="9"/>
  <c r="Z142" i="9"/>
  <c r="BD142" i="9"/>
  <c r="W142" i="9"/>
  <c r="V561" i="9"/>
  <c r="Z561" i="9"/>
  <c r="BD561" i="9"/>
  <c r="W561" i="9"/>
  <c r="AA286" i="9"/>
  <c r="AB1000" i="9"/>
  <c r="AA881" i="9"/>
  <c r="AB413" i="9"/>
  <c r="BD785" i="9"/>
  <c r="W785" i="9"/>
  <c r="V785" i="9"/>
  <c r="Z785" i="9"/>
  <c r="AB252" i="9"/>
  <c r="BD769" i="9"/>
  <c r="W769" i="9"/>
  <c r="V769" i="9"/>
  <c r="Z769" i="9"/>
  <c r="AB883" i="9"/>
  <c r="AA661" i="9"/>
  <c r="AA753" i="9"/>
  <c r="AB603" i="9"/>
  <c r="Y676" i="9"/>
  <c r="AB676" i="9"/>
  <c r="X676" i="9"/>
  <c r="AA676" i="9"/>
  <c r="AB635" i="9"/>
  <c r="Y84" i="9"/>
  <c r="X84" i="9"/>
  <c r="Y937" i="9"/>
  <c r="AB937" i="9"/>
  <c r="X937" i="9"/>
  <c r="AA937" i="9"/>
  <c r="V356" i="9"/>
  <c r="Z356" i="9"/>
  <c r="BD356" i="9"/>
  <c r="W356" i="9"/>
  <c r="AA222" i="9"/>
  <c r="AG926" i="9"/>
  <c r="AE926" i="9"/>
  <c r="AF926" i="9"/>
  <c r="AH926" i="9"/>
  <c r="AB554" i="9"/>
  <c r="Y775" i="9"/>
  <c r="AB775" i="9"/>
  <c r="X775" i="9"/>
  <c r="AA775" i="9"/>
  <c r="AA197" i="9"/>
  <c r="AG657" i="9"/>
  <c r="AE657" i="9"/>
  <c r="AF657" i="9"/>
  <c r="AH657" i="9"/>
  <c r="AA1002" i="9"/>
  <c r="X830" i="9"/>
  <c r="Y830" i="9"/>
  <c r="AG394" i="9"/>
  <c r="AE394" i="9"/>
  <c r="AF394" i="9"/>
  <c r="AH394" i="9"/>
  <c r="BD169" i="9"/>
  <c r="W169" i="9"/>
  <c r="V169" i="9"/>
  <c r="Z169" i="9"/>
  <c r="AG489" i="9"/>
  <c r="AE489" i="9"/>
  <c r="AF489" i="9"/>
  <c r="AH489" i="9"/>
  <c r="AE374" i="9"/>
  <c r="AF374" i="9"/>
  <c r="AH374" i="9"/>
  <c r="AG374" i="9"/>
  <c r="AE255" i="9"/>
  <c r="AF255" i="9"/>
  <c r="AE519" i="9"/>
  <c r="AF519" i="9"/>
  <c r="AH519" i="9"/>
  <c r="AG238" i="9"/>
  <c r="AE238" i="9"/>
  <c r="AF238" i="9"/>
  <c r="AH238" i="9"/>
  <c r="X776" i="9"/>
  <c r="Y776" i="9"/>
  <c r="BE500" i="9"/>
  <c r="W500" i="9"/>
  <c r="V500" i="9"/>
  <c r="Z500" i="9"/>
  <c r="X379" i="9"/>
  <c r="Y379" i="9"/>
  <c r="Y788" i="9"/>
  <c r="AB788" i="9"/>
  <c r="X788" i="9"/>
  <c r="AA788" i="9"/>
  <c r="BE686" i="9"/>
  <c r="W686" i="9"/>
  <c r="V686" i="9"/>
  <c r="Z686" i="9"/>
  <c r="V210" i="9"/>
  <c r="Z210" i="9"/>
  <c r="BD210" i="9"/>
  <c r="W210" i="9"/>
  <c r="AG938" i="9"/>
  <c r="AE938" i="9"/>
  <c r="AF938" i="9"/>
  <c r="AH938" i="9"/>
  <c r="AE332" i="9"/>
  <c r="AF332" i="9"/>
  <c r="AH332" i="9"/>
  <c r="AG332" i="9"/>
  <c r="AA668" i="9"/>
  <c r="Y352" i="9"/>
  <c r="AB352" i="9"/>
  <c r="X352" i="9"/>
  <c r="AA352" i="9"/>
  <c r="AB538" i="9"/>
  <c r="AA384" i="9"/>
  <c r="AG223" i="9"/>
  <c r="AE223" i="9"/>
  <c r="AF223" i="9"/>
  <c r="AH223" i="9"/>
  <c r="AG219" i="9"/>
  <c r="AE219" i="9"/>
  <c r="AF219" i="9"/>
  <c r="AH219" i="9"/>
  <c r="Y476" i="9"/>
  <c r="X476" i="9"/>
  <c r="AG97" i="9"/>
  <c r="AE97" i="9"/>
  <c r="AF97" i="9"/>
  <c r="AH97" i="9"/>
  <c r="AE31" i="9"/>
  <c r="AF31" i="9"/>
  <c r="AE755" i="9"/>
  <c r="AF755" i="9"/>
  <c r="AH755" i="9"/>
  <c r="AG755" i="9"/>
  <c r="AE960" i="9"/>
  <c r="AF960" i="9"/>
  <c r="AH960" i="9"/>
  <c r="AG960" i="9"/>
  <c r="AA949" i="9"/>
  <c r="BE504" i="9"/>
  <c r="W504" i="9"/>
  <c r="V504" i="9"/>
  <c r="Z504" i="9"/>
  <c r="AG157" i="9"/>
  <c r="AE157" i="9"/>
  <c r="AF157" i="9"/>
  <c r="AH157" i="9"/>
  <c r="AG506" i="9"/>
  <c r="AE506" i="9"/>
  <c r="AF506" i="9"/>
  <c r="AH506" i="9"/>
  <c r="AB450" i="9"/>
  <c r="AG450" i="9"/>
  <c r="AG568" i="9"/>
  <c r="AE568" i="9"/>
  <c r="AF568" i="9"/>
  <c r="AH568" i="9"/>
  <c r="Y642" i="9"/>
  <c r="X642" i="9"/>
  <c r="AG536" i="9"/>
  <c r="AE536" i="9"/>
  <c r="AF536" i="9"/>
  <c r="AH536" i="9"/>
  <c r="AE302" i="9"/>
  <c r="AF302" i="9"/>
  <c r="AH302" i="9"/>
  <c r="AG302" i="9"/>
  <c r="AB102" i="9"/>
  <c r="AB914" i="9"/>
  <c r="AG914" i="9"/>
  <c r="V133" i="9"/>
  <c r="Z133" i="9"/>
  <c r="BD133" i="9"/>
  <c r="W133" i="9"/>
  <c r="X349" i="9"/>
  <c r="Y349" i="9"/>
  <c r="AB116" i="9"/>
  <c r="AA270" i="9"/>
  <c r="V87" i="9"/>
  <c r="Z87" i="9"/>
  <c r="BD87" i="9"/>
  <c r="W87" i="9"/>
  <c r="AE331" i="9"/>
  <c r="AF331" i="9"/>
  <c r="AH331" i="9"/>
  <c r="BE841" i="9"/>
  <c r="W841" i="9"/>
  <c r="V841" i="9"/>
  <c r="Z841" i="9"/>
  <c r="AB572" i="9"/>
  <c r="AB858" i="9"/>
  <c r="AB515" i="9"/>
  <c r="AE35" i="9"/>
  <c r="AF35" i="9"/>
  <c r="AH35" i="9"/>
  <c r="AG35" i="9"/>
  <c r="V528" i="9"/>
  <c r="Z528" i="9"/>
  <c r="BD528" i="9"/>
  <c r="W528" i="9"/>
  <c r="AA453" i="9"/>
  <c r="AA323" i="9"/>
  <c r="AG762" i="9"/>
  <c r="AE762" i="9"/>
  <c r="AF762" i="9"/>
  <c r="AH762" i="9"/>
  <c r="AB850" i="9"/>
  <c r="AA512" i="9"/>
  <c r="AG407" i="9"/>
  <c r="AF407" i="9"/>
  <c r="AH407" i="9"/>
  <c r="AE407" i="9"/>
  <c r="X687" i="9"/>
  <c r="Y687" i="9"/>
  <c r="V117" i="9"/>
  <c r="Z117" i="9"/>
  <c r="BD117" i="9"/>
  <c r="W117" i="9"/>
  <c r="AB637" i="9"/>
  <c r="AG637" i="9"/>
  <c r="AB74" i="9"/>
  <c r="V910" i="9"/>
  <c r="Z910" i="9"/>
  <c r="BD910" i="9"/>
  <c r="W910" i="9"/>
  <c r="AB268" i="9"/>
  <c r="X429" i="9"/>
  <c r="Y429" i="9"/>
  <c r="AA448" i="9"/>
  <c r="AE799" i="9"/>
  <c r="AF799" i="9"/>
  <c r="BD874" i="9"/>
  <c r="W874" i="9"/>
  <c r="V874" i="9"/>
  <c r="Z874" i="9"/>
  <c r="AA816" i="9"/>
  <c r="AG353" i="9"/>
  <c r="AE353" i="9"/>
  <c r="AF353" i="9"/>
  <c r="AH353" i="9"/>
  <c r="V264" i="9"/>
  <c r="Z264" i="9"/>
  <c r="BD264" i="9"/>
  <c r="W264" i="9"/>
  <c r="AG878" i="9"/>
  <c r="AE878" i="9"/>
  <c r="AF878" i="9"/>
  <c r="AH878" i="9"/>
  <c r="AE168" i="9"/>
  <c r="AF168" i="9"/>
  <c r="AH168" i="9"/>
  <c r="AG168" i="9"/>
  <c r="AA248" i="9"/>
  <c r="AG494" i="9"/>
  <c r="AE494" i="9"/>
  <c r="AF494" i="9"/>
  <c r="AH494" i="9"/>
  <c r="AE973" i="9"/>
  <c r="AF973" i="9"/>
  <c r="AH973" i="9"/>
  <c r="AG973" i="9"/>
  <c r="AG44" i="9"/>
  <c r="AE44" i="9"/>
  <c r="AF44" i="9"/>
  <c r="AH44" i="9"/>
  <c r="AB251" i="9"/>
  <c r="AG251" i="9"/>
  <c r="AA695" i="9"/>
  <c r="AA62" i="9"/>
  <c r="AG699" i="9"/>
  <c r="AE699" i="9"/>
  <c r="AF699" i="9"/>
  <c r="AH699" i="9"/>
  <c r="AG103" i="9"/>
  <c r="AE103" i="9"/>
  <c r="AF103" i="9"/>
  <c r="AH103" i="9"/>
  <c r="AG120" i="9"/>
  <c r="AE120" i="9"/>
  <c r="AF120" i="9"/>
  <c r="AH120" i="9"/>
  <c r="AE79" i="9"/>
  <c r="AF79" i="9"/>
  <c r="AH79" i="9"/>
  <c r="AG79" i="9"/>
  <c r="AA782" i="9"/>
  <c r="AB831" i="9"/>
  <c r="AE94" i="9"/>
  <c r="AF94" i="9"/>
  <c r="AH94" i="9"/>
  <c r="AG94" i="9"/>
  <c r="AE405" i="9"/>
  <c r="AF405" i="9"/>
  <c r="AH405" i="9"/>
  <c r="AG405" i="9"/>
  <c r="AA811" i="9"/>
  <c r="AB119" i="9"/>
  <c r="AG760" i="9"/>
  <c r="AE760" i="9"/>
  <c r="AF760" i="9"/>
  <c r="AH760" i="9"/>
  <c r="AG980" i="9"/>
  <c r="AE980" i="9"/>
  <c r="AF980" i="9"/>
  <c r="AH980" i="9"/>
  <c r="V837" i="9"/>
  <c r="Z837" i="9"/>
  <c r="BD837" i="9"/>
  <c r="W837" i="9"/>
  <c r="AB123" i="9"/>
  <c r="AB428" i="9"/>
  <c r="AA600" i="9"/>
  <c r="AG972" i="9"/>
  <c r="AE972" i="9"/>
  <c r="AF972" i="9"/>
  <c r="AH972" i="9"/>
  <c r="AA605" i="9"/>
  <c r="AG474" i="9"/>
  <c r="AE474" i="9"/>
  <c r="AF474" i="9"/>
  <c r="AH474" i="9"/>
  <c r="AB173" i="9"/>
  <c r="AB167" i="9"/>
  <c r="AA633" i="9"/>
  <c r="AE646" i="9"/>
  <c r="AF646" i="9"/>
  <c r="AH646" i="9"/>
  <c r="AG646" i="9"/>
  <c r="AA641" i="9"/>
  <c r="AE59" i="9"/>
  <c r="AF59" i="9"/>
  <c r="AH59" i="9"/>
  <c r="AE385" i="9"/>
  <c r="AF385" i="9"/>
  <c r="AH385" i="9"/>
  <c r="AG385" i="9"/>
  <c r="AE988" i="9"/>
  <c r="AF988" i="9"/>
  <c r="AH988" i="9"/>
  <c r="AG988" i="9"/>
  <c r="AG45" i="9"/>
  <c r="AE45" i="9"/>
  <c r="AF45" i="9"/>
  <c r="AH45" i="9"/>
  <c r="V401" i="9"/>
  <c r="Z401" i="9"/>
  <c r="BD401" i="9"/>
  <c r="W401" i="9"/>
  <c r="Y492" i="9"/>
  <c r="X492" i="9"/>
  <c r="AE415" i="9"/>
  <c r="AF415" i="9"/>
  <c r="AG422" i="9"/>
  <c r="AE422" i="9"/>
  <c r="AF422" i="9"/>
  <c r="AH422" i="9"/>
  <c r="AE70" i="9"/>
  <c r="AF70" i="9"/>
  <c r="AH70" i="9"/>
  <c r="AG70" i="9"/>
  <c r="BE485" i="9"/>
  <c r="W485" i="9"/>
  <c r="V485" i="9"/>
  <c r="Z485" i="9"/>
  <c r="AE801" i="9"/>
  <c r="AF801" i="9"/>
  <c r="AH801" i="9"/>
  <c r="AG801" i="9"/>
  <c r="AE459" i="9"/>
  <c r="AF459" i="9"/>
  <c r="AH459" i="9"/>
  <c r="AG459" i="9"/>
  <c r="AG375" i="9"/>
  <c r="AE375" i="9"/>
  <c r="AF375" i="9"/>
  <c r="AH375" i="9"/>
  <c r="AA824" i="9"/>
  <c r="BD592" i="9"/>
  <c r="W592" i="9"/>
  <c r="V592" i="9"/>
  <c r="Z592" i="9"/>
  <c r="X121" i="9"/>
  <c r="Y121" i="9"/>
  <c r="X249" i="9"/>
  <c r="Y249" i="9"/>
  <c r="AA701" i="9"/>
  <c r="Y640" i="9"/>
  <c r="X640" i="9"/>
  <c r="AG333" i="9"/>
  <c r="AE333" i="9"/>
  <c r="AF333" i="9"/>
  <c r="AH333" i="9"/>
  <c r="BD351" i="9"/>
  <c r="W351" i="9"/>
  <c r="V351" i="9"/>
  <c r="Z351" i="9"/>
  <c r="AE977" i="9"/>
  <c r="AF977" i="9"/>
  <c r="AH977" i="9"/>
  <c r="AG977" i="9"/>
  <c r="BD704" i="9"/>
  <c r="W704" i="9"/>
  <c r="V704" i="9"/>
  <c r="Z704" i="9"/>
  <c r="Y985" i="9"/>
  <c r="X985" i="9"/>
  <c r="AA1001" i="9"/>
  <c r="X893" i="9"/>
  <c r="Y893" i="9"/>
  <c r="X955" i="9"/>
  <c r="Y955" i="9"/>
  <c r="V99" i="9"/>
  <c r="Z99" i="9"/>
  <c r="BD99" i="9"/>
  <c r="W99" i="9"/>
  <c r="AG437" i="9"/>
  <c r="AE437" i="9"/>
  <c r="AF437" i="9"/>
  <c r="AH437" i="9"/>
  <c r="BD818" i="9"/>
  <c r="W818" i="9"/>
  <c r="V818" i="9"/>
  <c r="Z818" i="9"/>
  <c r="AE296" i="9"/>
  <c r="AF296" i="9"/>
  <c r="AH296" i="9"/>
  <c r="AG296" i="9"/>
  <c r="AB73" i="9"/>
  <c r="AE55" i="9"/>
  <c r="AF55" i="9"/>
  <c r="AH55" i="9"/>
  <c r="AG55" i="9"/>
  <c r="V108" i="9"/>
  <c r="Z108" i="9"/>
  <c r="BD108" i="9"/>
  <c r="W108" i="9"/>
  <c r="AE993" i="9"/>
  <c r="AF993" i="9"/>
  <c r="AH993" i="9"/>
  <c r="AG993" i="9"/>
  <c r="AG683" i="9"/>
  <c r="AE683" i="9"/>
  <c r="AF683" i="9"/>
  <c r="AH683" i="9"/>
  <c r="AE362" i="9"/>
  <c r="AF362" i="9"/>
  <c r="AH362" i="9"/>
  <c r="AG362" i="9"/>
  <c r="AG766" i="9"/>
  <c r="AE766" i="9"/>
  <c r="AF766" i="9"/>
  <c r="AH766" i="9"/>
  <c r="AG38" i="9"/>
  <c r="AE38" i="9"/>
  <c r="AF38" i="9"/>
  <c r="AH38" i="9"/>
  <c r="AG885" i="9"/>
  <c r="AE885" i="9"/>
  <c r="AF885" i="9"/>
  <c r="AH885" i="9"/>
  <c r="AG36" i="9"/>
  <c r="AE36" i="9"/>
  <c r="AF36" i="9"/>
  <c r="AH36" i="9"/>
  <c r="AG232" i="9"/>
  <c r="AE232" i="9"/>
  <c r="AF232" i="9"/>
  <c r="AH232" i="9"/>
  <c r="AA233" i="9"/>
  <c r="AA820" i="9"/>
  <c r="AG283" i="9"/>
  <c r="AE283" i="9"/>
  <c r="AF283" i="9"/>
  <c r="AH283" i="9"/>
  <c r="AA709" i="9"/>
  <c r="V155" i="9"/>
  <c r="Z155" i="9"/>
  <c r="BD155" i="9"/>
  <c r="W155" i="9"/>
  <c r="AB582" i="9"/>
  <c r="Y561" i="9"/>
  <c r="AB561" i="9"/>
  <c r="X561" i="9"/>
  <c r="AB286" i="9"/>
  <c r="AA1000" i="9"/>
  <c r="X785" i="9"/>
  <c r="AA785" i="9"/>
  <c r="Y785" i="9"/>
  <c r="AB785" i="9"/>
  <c r="AA252" i="9"/>
  <c r="AA581" i="9"/>
  <c r="Y769" i="9"/>
  <c r="X769" i="9"/>
  <c r="AB661" i="9"/>
  <c r="AB753" i="9"/>
  <c r="X350" i="9"/>
  <c r="Y350" i="9"/>
  <c r="AA603" i="9"/>
  <c r="V84" i="9"/>
  <c r="Z84" i="9"/>
  <c r="BD84" i="9"/>
  <c r="W84" i="9"/>
  <c r="AA559" i="9"/>
  <c r="Y356" i="9"/>
  <c r="AB356" i="9"/>
  <c r="X356" i="9"/>
  <c r="AA356" i="9"/>
  <c r="AA524" i="9"/>
  <c r="AE427" i="9"/>
  <c r="AF427" i="9"/>
  <c r="AH427" i="9"/>
  <c r="AG427" i="9"/>
  <c r="X60" i="9"/>
  <c r="Y60" i="9"/>
  <c r="Y610" i="9"/>
  <c r="AB610" i="9"/>
  <c r="X610" i="9"/>
  <c r="AE221" i="9"/>
  <c r="AF221" i="9"/>
  <c r="AH221" i="9"/>
  <c r="AG221" i="9"/>
  <c r="AG481" i="9"/>
  <c r="AE481" i="9"/>
  <c r="AF481" i="9"/>
  <c r="AH481" i="9"/>
  <c r="Y423" i="9"/>
  <c r="AB423" i="9"/>
  <c r="X423" i="9"/>
  <c r="AA423" i="9"/>
  <c r="AE913" i="9"/>
  <c r="AF913" i="9"/>
  <c r="AH913" i="9"/>
  <c r="AG913" i="9"/>
  <c r="AG400" i="9"/>
  <c r="AE400" i="9"/>
  <c r="AF400" i="9"/>
  <c r="AH400" i="9"/>
  <c r="AG558" i="9"/>
  <c r="AE558" i="9"/>
  <c r="AF558" i="9"/>
  <c r="AH558" i="9"/>
  <c r="AB566" i="9"/>
  <c r="AG566" i="9"/>
  <c r="AG380" i="9"/>
  <c r="AE380" i="9"/>
  <c r="AF380" i="9"/>
  <c r="AH380" i="9"/>
  <c r="X425" i="9"/>
  <c r="Y425" i="9"/>
  <c r="AG364" i="9"/>
  <c r="AE364" i="9"/>
  <c r="AF364" i="9"/>
  <c r="AH364" i="9"/>
  <c r="AG305" i="9"/>
  <c r="AE305" i="9"/>
  <c r="AF305" i="9"/>
  <c r="AH305" i="9"/>
  <c r="AA538" i="9"/>
  <c r="Y496" i="9"/>
  <c r="AB496" i="9"/>
  <c r="X496" i="9"/>
  <c r="AA496" i="9"/>
  <c r="AE245" i="9"/>
  <c r="AF245" i="9"/>
  <c r="AH245" i="9"/>
  <c r="AG245" i="9"/>
  <c r="BE476" i="9"/>
  <c r="W476" i="9"/>
  <c r="V476" i="9"/>
  <c r="Z476" i="9"/>
  <c r="BD628" i="9"/>
  <c r="W628" i="9"/>
  <c r="V628" i="9"/>
  <c r="Z628" i="9"/>
  <c r="AG131" i="9"/>
  <c r="AE131" i="9"/>
  <c r="AF131" i="9"/>
  <c r="AH131" i="9"/>
  <c r="AB949" i="9"/>
  <c r="AA554" i="9"/>
  <c r="V697" i="9"/>
  <c r="Z697" i="9"/>
  <c r="BD697" i="9"/>
  <c r="W697" i="9"/>
  <c r="BE642" i="9"/>
  <c r="W642" i="9"/>
  <c r="V642" i="9"/>
  <c r="Z642" i="9"/>
  <c r="AG343" i="9"/>
  <c r="AE343" i="9"/>
  <c r="AF343" i="9"/>
  <c r="AH343" i="9"/>
  <c r="V60" i="9"/>
  <c r="Z60" i="9"/>
  <c r="BD60" i="9"/>
  <c r="W60" i="9"/>
  <c r="AG493" i="9"/>
  <c r="AE493" i="9"/>
  <c r="AF493" i="9"/>
  <c r="AH493" i="9"/>
  <c r="AE914" i="9"/>
  <c r="AF914" i="9"/>
  <c r="AH914" i="9"/>
  <c r="AE471" i="9"/>
  <c r="AF471" i="9"/>
  <c r="AH471" i="9"/>
  <c r="AG471" i="9"/>
  <c r="AG4" i="9"/>
  <c r="AE4" i="9"/>
  <c r="AF4" i="9"/>
  <c r="AH4" i="9"/>
  <c r="X133" i="9"/>
  <c r="Y133" i="9"/>
  <c r="BD349" i="9"/>
  <c r="W349" i="9"/>
  <c r="V349" i="9"/>
  <c r="Z349" i="9"/>
  <c r="AG987" i="9"/>
  <c r="AE987" i="9"/>
  <c r="AF987" i="9"/>
  <c r="AH987" i="9"/>
  <c r="AA116" i="9"/>
  <c r="AE250" i="9"/>
  <c r="AF250" i="9"/>
  <c r="AH250" i="9"/>
  <c r="AG250" i="9"/>
  <c r="AA572" i="9"/>
  <c r="AB453" i="9"/>
  <c r="AG712" i="9"/>
  <c r="AE712" i="9"/>
  <c r="AF712" i="9"/>
  <c r="AH712" i="9"/>
  <c r="AG819" i="9"/>
  <c r="AE819" i="9"/>
  <c r="AF819" i="9"/>
  <c r="AH819" i="9"/>
  <c r="BE687" i="9"/>
  <c r="W687" i="9"/>
  <c r="V687" i="9"/>
  <c r="Z687" i="9"/>
  <c r="AG246" i="9"/>
  <c r="AE246" i="9"/>
  <c r="AF246" i="9"/>
  <c r="AH246" i="9"/>
  <c r="X117" i="9"/>
  <c r="Y117" i="9"/>
  <c r="AE637" i="9"/>
  <c r="AF637" i="9"/>
  <c r="AH637" i="9"/>
  <c r="AE895" i="9"/>
  <c r="AF895" i="9"/>
  <c r="AH895" i="9"/>
  <c r="AG895" i="9"/>
  <c r="AG475" i="9"/>
  <c r="AE475" i="9"/>
  <c r="AF475" i="9"/>
  <c r="AH475" i="9"/>
  <c r="X910" i="9"/>
  <c r="Y910" i="9"/>
  <c r="AE177" i="9"/>
  <c r="AG177" i="9"/>
  <c r="AF177" i="9"/>
  <c r="AH177" i="9"/>
  <c r="Y964" i="9"/>
  <c r="X964" i="9"/>
  <c r="Y874" i="9"/>
  <c r="X874" i="9"/>
  <c r="AA754" i="9"/>
  <c r="Y264" i="9"/>
  <c r="X264" i="9"/>
  <c r="AA201" i="9"/>
  <c r="AG25" i="9"/>
  <c r="AE25" i="9"/>
  <c r="AF25" i="9"/>
  <c r="AH25" i="9"/>
  <c r="AB248" i="9"/>
  <c r="AE251" i="9"/>
  <c r="AF251" i="9"/>
  <c r="AB62" i="9"/>
  <c r="BD768" i="9"/>
  <c r="W768" i="9"/>
  <c r="V768" i="9"/>
  <c r="Z768" i="9"/>
  <c r="AE370" i="9"/>
  <c r="AF370" i="9"/>
  <c r="AH370" i="9"/>
  <c r="AG370" i="9"/>
  <c r="AA295" i="9"/>
  <c r="X185" i="9"/>
  <c r="Y185" i="9"/>
  <c r="AB782" i="9"/>
  <c r="AG325" i="9"/>
  <c r="AE325" i="9"/>
  <c r="AF325" i="9"/>
  <c r="AH325" i="9"/>
  <c r="AG718" i="9"/>
  <c r="AE718" i="9"/>
  <c r="AF718" i="9"/>
  <c r="AH718" i="9"/>
  <c r="AG992" i="9"/>
  <c r="AE992" i="9"/>
  <c r="AF992" i="9"/>
  <c r="AH992" i="9"/>
  <c r="AE748" i="9"/>
  <c r="AF748" i="9"/>
  <c r="AH748" i="9"/>
  <c r="AG748" i="9"/>
  <c r="V927" i="9"/>
  <c r="Z927" i="9"/>
  <c r="BD927" i="9"/>
  <c r="W927" i="9"/>
  <c r="AG119" i="9"/>
  <c r="AE119" i="9"/>
  <c r="AF119" i="9"/>
  <c r="AH119" i="9"/>
  <c r="X837" i="9"/>
  <c r="Y837" i="9"/>
  <c r="AH509" i="9"/>
  <c r="AB571" i="9"/>
  <c r="AG115" i="9"/>
  <c r="AE115" i="9"/>
  <c r="AF115" i="9"/>
  <c r="AH115" i="9"/>
  <c r="AA123" i="9"/>
  <c r="AA428" i="9"/>
  <c r="AB600" i="9"/>
  <c r="AB605" i="9"/>
  <c r="AB113" i="9"/>
  <c r="AG483" i="9"/>
  <c r="AE483" i="9"/>
  <c r="AF483" i="9"/>
  <c r="AH483" i="9"/>
  <c r="AA167" i="9"/>
  <c r="V962" i="9"/>
  <c r="Z962" i="9"/>
  <c r="BD962" i="9"/>
  <c r="W962" i="9"/>
  <c r="AB633" i="9"/>
  <c r="AG565" i="9"/>
  <c r="AE565" i="9"/>
  <c r="AF565" i="9"/>
  <c r="AH565" i="9"/>
  <c r="AB641" i="9"/>
  <c r="AA892" i="9"/>
  <c r="AG838" i="9"/>
  <c r="AE838" i="9"/>
  <c r="AF838" i="9"/>
  <c r="AH838" i="9"/>
  <c r="AE67" i="9"/>
  <c r="AF67" i="9"/>
  <c r="AH67" i="9"/>
  <c r="AG67" i="9"/>
  <c r="Y401" i="9"/>
  <c r="X401" i="9"/>
  <c r="BE492" i="9"/>
  <c r="W492" i="9"/>
  <c r="V492" i="9"/>
  <c r="Z492" i="9"/>
  <c r="Y169" i="9"/>
  <c r="X169" i="9"/>
  <c r="AG607" i="9"/>
  <c r="AE607" i="9"/>
  <c r="AF607" i="9"/>
  <c r="AH607" i="9"/>
  <c r="AG570" i="9"/>
  <c r="AE570" i="9"/>
  <c r="AF570" i="9"/>
  <c r="AH570" i="9"/>
  <c r="AG176" i="9"/>
  <c r="AE176" i="9"/>
  <c r="AF176" i="9"/>
  <c r="AH176" i="9"/>
  <c r="AB255" i="9"/>
  <c r="AG255" i="9"/>
  <c r="X592" i="9"/>
  <c r="AA592" i="9"/>
  <c r="Y592" i="9"/>
  <c r="AB592" i="9"/>
  <c r="AG81" i="9"/>
  <c r="AE81" i="9"/>
  <c r="AF81" i="9"/>
  <c r="AH81" i="9"/>
  <c r="V121" i="9"/>
  <c r="Z121" i="9"/>
  <c r="BD121" i="9"/>
  <c r="W121" i="9"/>
  <c r="V249" i="9"/>
  <c r="Z249" i="9"/>
  <c r="BD249" i="9"/>
  <c r="W249" i="9"/>
  <c r="AB701" i="9"/>
  <c r="AA546" i="9"/>
  <c r="Y563" i="9"/>
  <c r="AB563" i="9"/>
  <c r="X563" i="9"/>
  <c r="AA563" i="9"/>
  <c r="Y704" i="9"/>
  <c r="X704" i="9"/>
  <c r="V985" i="9"/>
  <c r="Z985" i="9"/>
  <c r="BD985" i="9"/>
  <c r="W985" i="9"/>
  <c r="AB1001" i="9"/>
  <c r="AG743" i="9"/>
  <c r="AE743" i="9"/>
  <c r="AF743" i="9"/>
  <c r="AH743" i="9"/>
  <c r="BD955" i="9"/>
  <c r="W955" i="9"/>
  <c r="V955" i="9"/>
  <c r="Z955" i="9"/>
  <c r="V999" i="9"/>
  <c r="Z999" i="9"/>
  <c r="BD999" i="9"/>
  <c r="W999" i="9"/>
  <c r="AG135" i="9"/>
  <c r="AE135" i="9"/>
  <c r="AF135" i="9"/>
  <c r="AH135" i="9"/>
  <c r="Y818" i="9"/>
  <c r="X818" i="9"/>
  <c r="AA516" i="9"/>
  <c r="X108" i="9"/>
  <c r="AA108" i="9"/>
  <c r="Y108" i="9"/>
  <c r="AB108" i="9"/>
  <c r="AE241" i="9"/>
  <c r="AF241" i="9"/>
  <c r="AH241" i="9"/>
  <c r="AG241" i="9"/>
  <c r="AB277" i="9"/>
  <c r="AG277" i="9"/>
  <c r="Y779" i="9"/>
  <c r="AB779" i="9"/>
  <c r="X779" i="9"/>
  <c r="AA779" i="9"/>
  <c r="AE229" i="9"/>
  <c r="AF229" i="9"/>
  <c r="AH229" i="9"/>
  <c r="AG229" i="9"/>
  <c r="AA217" i="9"/>
  <c r="AB148" i="9"/>
  <c r="AG148" i="9"/>
  <c r="AG786" i="9"/>
  <c r="AE786" i="9"/>
  <c r="AF786" i="9"/>
  <c r="AH786" i="9"/>
  <c r="AA591" i="9"/>
  <c r="V147" i="9"/>
  <c r="Z147" i="9"/>
  <c r="BD147" i="9"/>
  <c r="W147" i="9"/>
  <c r="AA828" i="9"/>
  <c r="AB233" i="9"/>
  <c r="AB820" i="9"/>
  <c r="V976" i="9"/>
  <c r="Z976" i="9"/>
  <c r="BD976" i="9"/>
  <c r="W976" i="9"/>
  <c r="AG626" i="9"/>
  <c r="AE626" i="9"/>
  <c r="AF626" i="9"/>
  <c r="AH626" i="9"/>
  <c r="X155" i="9"/>
  <c r="AA155" i="9"/>
  <c r="Y155" i="9"/>
  <c r="AA582" i="9"/>
  <c r="AA936" i="9"/>
  <c r="AB151" i="9"/>
  <c r="AG151" i="9"/>
  <c r="Y500" i="9"/>
  <c r="X500" i="9"/>
  <c r="AA304" i="9"/>
  <c r="AA732" i="9"/>
  <c r="AA449" i="9"/>
  <c r="AG13" i="9"/>
  <c r="AE13" i="9"/>
  <c r="AF13" i="9"/>
  <c r="AH13" i="9"/>
  <c r="AB581" i="9"/>
  <c r="Y674" i="9"/>
  <c r="X674" i="9"/>
  <c r="V350" i="9"/>
  <c r="Z350" i="9"/>
  <c r="BD350" i="9"/>
  <c r="W350" i="9"/>
  <c r="AA398" i="9"/>
  <c r="AH406" i="9"/>
  <c r="AA439" i="9"/>
  <c r="AA744" i="9"/>
  <c r="AH192" i="9"/>
  <c r="AB524" i="9"/>
  <c r="AA622" i="9"/>
  <c r="AA505" i="9"/>
  <c r="AB799" i="9"/>
  <c r="AG845" i="9"/>
  <c r="AA704" i="9"/>
  <c r="AG527" i="9"/>
  <c r="AA521" i="9"/>
  <c r="AG551" i="9"/>
  <c r="AG862" i="9"/>
  <c r="AB153" i="9"/>
  <c r="AB622" i="9"/>
  <c r="AB945" i="9"/>
  <c r="AA769" i="9"/>
  <c r="AB769" i="9"/>
  <c r="AA874" i="9"/>
  <c r="AB401" i="9"/>
  <c r="AB874" i="9"/>
  <c r="AG799" i="9"/>
  <c r="AG898" i="9"/>
  <c r="AA264" i="9"/>
  <c r="AB505" i="9"/>
  <c r="AG505" i="9"/>
  <c r="AB837" i="9"/>
  <c r="AB114" i="9"/>
  <c r="AH98" i="9"/>
  <c r="AH299" i="9"/>
  <c r="AA771" i="9"/>
  <c r="AA837" i="9"/>
  <c r="AA114" i="9"/>
  <c r="AB761" i="9"/>
  <c r="AA169" i="9"/>
  <c r="AH898" i="9"/>
  <c r="AA761" i="9"/>
  <c r="AB169" i="9"/>
  <c r="AB523" i="9"/>
  <c r="AG680" i="9"/>
  <c r="AA901" i="9"/>
  <c r="AE901" i="9"/>
  <c r="AF901" i="9"/>
  <c r="AH901" i="9"/>
  <c r="AG347" i="9"/>
  <c r="AG365" i="9"/>
  <c r="AA395" i="9"/>
  <c r="AB970" i="9"/>
  <c r="AG361" i="9"/>
  <c r="AG331" i="9"/>
  <c r="AG285" i="9"/>
  <c r="AG864" i="9"/>
  <c r="AH589" i="9"/>
  <c r="AH912" i="9"/>
  <c r="AB415" i="9"/>
  <c r="AG415" i="9"/>
  <c r="AA561" i="9"/>
  <c r="AB172" i="9"/>
  <c r="AG82" i="9"/>
  <c r="AB52" i="9"/>
  <c r="AE551" i="9"/>
  <c r="AF551" i="9"/>
  <c r="AH551" i="9"/>
  <c r="AH864" i="9"/>
  <c r="AB981" i="9"/>
  <c r="AA52" i="9"/>
  <c r="AE52" i="9"/>
  <c r="AF52" i="9"/>
  <c r="AE761" i="9"/>
  <c r="AF761" i="9"/>
  <c r="AH761" i="9"/>
  <c r="AG761" i="9"/>
  <c r="AH799" i="9"/>
  <c r="AA562" i="9"/>
  <c r="AA282" i="9"/>
  <c r="AB835" i="9"/>
  <c r="AB901" i="9"/>
  <c r="AG59" i="9"/>
  <c r="AG571" i="9"/>
  <c r="AE82" i="9"/>
  <c r="AF82" i="9"/>
  <c r="AH82" i="9"/>
  <c r="AE365" i="9"/>
  <c r="AF365" i="9"/>
  <c r="AH365" i="9"/>
  <c r="AB425" i="9"/>
  <c r="AG589" i="9"/>
  <c r="AB562" i="9"/>
  <c r="AA140" i="9"/>
  <c r="AH845" i="9"/>
  <c r="AE347" i="9"/>
  <c r="AF347" i="9"/>
  <c r="AH347" i="9"/>
  <c r="AH566" i="9"/>
  <c r="AA425" i="9"/>
  <c r="AE425" i="9"/>
  <c r="AF425" i="9"/>
  <c r="AE23" i="9"/>
  <c r="AF23" i="9"/>
  <c r="AH23" i="9"/>
  <c r="AB756" i="9"/>
  <c r="AH31" i="9"/>
  <c r="AA523" i="9"/>
  <c r="AE285" i="9"/>
  <c r="AF285" i="9"/>
  <c r="AH285" i="9"/>
  <c r="AG23" i="9"/>
  <c r="AA807" i="9"/>
  <c r="AE807" i="9"/>
  <c r="AF807" i="9"/>
  <c r="AA756" i="9"/>
  <c r="AA185" i="9"/>
  <c r="AA981" i="9"/>
  <c r="AH621" i="9"/>
  <c r="AB807" i="9"/>
  <c r="AE505" i="9"/>
  <c r="AF505" i="9"/>
  <c r="AA350" i="9"/>
  <c r="AA674" i="9"/>
  <c r="AE674" i="9"/>
  <c r="AF674" i="9"/>
  <c r="AA500" i="9"/>
  <c r="AB704" i="9"/>
  <c r="AB893" i="9"/>
  <c r="AB87" i="9"/>
  <c r="AB508" i="9"/>
  <c r="AB171" i="9"/>
  <c r="AB433" i="9"/>
  <c r="AA526" i="9"/>
  <c r="AE526" i="9"/>
  <c r="AF526" i="9"/>
  <c r="AB533" i="9"/>
  <c r="AA999" i="9"/>
  <c r="AG490" i="9"/>
  <c r="AE490" i="9"/>
  <c r="AF490" i="9"/>
  <c r="AH490" i="9"/>
  <c r="AE677" i="9"/>
  <c r="AF677" i="9"/>
  <c r="AH677" i="9"/>
  <c r="AG677" i="9"/>
  <c r="AG153" i="9"/>
  <c r="AE153" i="9"/>
  <c r="AF153" i="9"/>
  <c r="AH153" i="9"/>
  <c r="AA180" i="9"/>
  <c r="AB282" i="9"/>
  <c r="AG282" i="9"/>
  <c r="AA854" i="9"/>
  <c r="AE216" i="9"/>
  <c r="AF216" i="9"/>
  <c r="AH216" i="9"/>
  <c r="AG216" i="9"/>
  <c r="AB354" i="9"/>
  <c r="AA189" i="9"/>
  <c r="AA671" i="9"/>
  <c r="AB395" i="9"/>
  <c r="AA970" i="9"/>
  <c r="AE282" i="9"/>
  <c r="AF282" i="9"/>
  <c r="AG947" i="9"/>
  <c r="AE947" i="9"/>
  <c r="AF947" i="9"/>
  <c r="AH947" i="9"/>
  <c r="AB674" i="9"/>
  <c r="AB500" i="9"/>
  <c r="AA818" i="9"/>
  <c r="AH251" i="9"/>
  <c r="AA893" i="9"/>
  <c r="AB249" i="9"/>
  <c r="AA687" i="9"/>
  <c r="AA171" i="9"/>
  <c r="AA433" i="9"/>
  <c r="AB564" i="9"/>
  <c r="AA170" i="9"/>
  <c r="AH527" i="9"/>
  <c r="AB180" i="9"/>
  <c r="AA244" i="9"/>
  <c r="AE256" i="9"/>
  <c r="AF256" i="9"/>
  <c r="AH256" i="9"/>
  <c r="AG256" i="9"/>
  <c r="AB854" i="9"/>
  <c r="AA354" i="9"/>
  <c r="AB189" i="9"/>
  <c r="AB671" i="9"/>
  <c r="AH836" i="9"/>
  <c r="AE757" i="9"/>
  <c r="AF757" i="9"/>
  <c r="AH757" i="9"/>
  <c r="AG757" i="9"/>
  <c r="AB818" i="9"/>
  <c r="AA249" i="9"/>
  <c r="AB830" i="9"/>
  <c r="AB371" i="9"/>
  <c r="AH725" i="9"/>
  <c r="AA468" i="9"/>
  <c r="AH862" i="9"/>
  <c r="AA919" i="9"/>
  <c r="AG730" i="9"/>
  <c r="AE730" i="9"/>
  <c r="AF730" i="9"/>
  <c r="AH730" i="9"/>
  <c r="AB244" i="9"/>
  <c r="AG738" i="9"/>
  <c r="AE738" i="9"/>
  <c r="AF738" i="9"/>
  <c r="AH738" i="9"/>
  <c r="AG622" i="9"/>
  <c r="AE622" i="9"/>
  <c r="AF622" i="9"/>
  <c r="AB57" i="9"/>
  <c r="AA461" i="9"/>
  <c r="AG395" i="9"/>
  <c r="AE395" i="9"/>
  <c r="AF395" i="9"/>
  <c r="AH395" i="9"/>
  <c r="AB117" i="9"/>
  <c r="AB133" i="9"/>
  <c r="AA985" i="9"/>
  <c r="AE985" i="9"/>
  <c r="AF985" i="9"/>
  <c r="AE361" i="9"/>
  <c r="AF361" i="9"/>
  <c r="AH361" i="9"/>
  <c r="AA830" i="9"/>
  <c r="AA84" i="9"/>
  <c r="AH450" i="9"/>
  <c r="AA529" i="9"/>
  <c r="AE529" i="9"/>
  <c r="AF529" i="9"/>
  <c r="AH277" i="9"/>
  <c r="AB468" i="9"/>
  <c r="AH539" i="9"/>
  <c r="AB919" i="9"/>
  <c r="AG807" i="9"/>
  <c r="AH680" i="9"/>
  <c r="AA419" i="9"/>
  <c r="AA545" i="9"/>
  <c r="AG220" i="9"/>
  <c r="AE220" i="9"/>
  <c r="AF220" i="9"/>
  <c r="AH220" i="9"/>
  <c r="AB387" i="9"/>
  <c r="AA57" i="9"/>
  <c r="AA692" i="9"/>
  <c r="AE771" i="9"/>
  <c r="AF771" i="9"/>
  <c r="AH771" i="9"/>
  <c r="AG771" i="9"/>
  <c r="AA577" i="9"/>
  <c r="AB461" i="9"/>
  <c r="AA117" i="9"/>
  <c r="AA133" i="9"/>
  <c r="AG133" i="9"/>
  <c r="AB84" i="9"/>
  <c r="AB99" i="9"/>
  <c r="AA210" i="9"/>
  <c r="AG466" i="9"/>
  <c r="AA957" i="9"/>
  <c r="AE957" i="9"/>
  <c r="AF957" i="9"/>
  <c r="AH148" i="9"/>
  <c r="AH571" i="9"/>
  <c r="AA721" i="9"/>
  <c r="AA720" i="9"/>
  <c r="AE720" i="9"/>
  <c r="AF720" i="9"/>
  <c r="AB904" i="9"/>
  <c r="AB419" i="9"/>
  <c r="AE137" i="9"/>
  <c r="AF137" i="9"/>
  <c r="AH137" i="9"/>
  <c r="AG137" i="9"/>
  <c r="AB545" i="9"/>
  <c r="AB615" i="9"/>
  <c r="AA553" i="9"/>
  <c r="AA387" i="9"/>
  <c r="AE793" i="9"/>
  <c r="AF793" i="9"/>
  <c r="AH793" i="9"/>
  <c r="AG793" i="9"/>
  <c r="AB692" i="9"/>
  <c r="AB577" i="9"/>
  <c r="AB155" i="9"/>
  <c r="AG155" i="9"/>
  <c r="AA476" i="9"/>
  <c r="AE476" i="9"/>
  <c r="AA729" i="9"/>
  <c r="AA976" i="9"/>
  <c r="AE976" i="9"/>
  <c r="AF976" i="9"/>
  <c r="AB927" i="9"/>
  <c r="AA904" i="9"/>
  <c r="AA517" i="9"/>
  <c r="AE204" i="9"/>
  <c r="AF204" i="9"/>
  <c r="AH204" i="9"/>
  <c r="AG204" i="9"/>
  <c r="AE278" i="9"/>
  <c r="AF278" i="9"/>
  <c r="AH278" i="9"/>
  <c r="AG278" i="9"/>
  <c r="AA172" i="9"/>
  <c r="AA615" i="9"/>
  <c r="AB553" i="9"/>
  <c r="AG722" i="9"/>
  <c r="AE722" i="9"/>
  <c r="AF722" i="9"/>
  <c r="AH722" i="9"/>
  <c r="AA631" i="9"/>
  <c r="AB340" i="9"/>
  <c r="AB140" i="9"/>
  <c r="AH130" i="9"/>
  <c r="AB729" i="9"/>
  <c r="AB424" i="9"/>
  <c r="AB147" i="9"/>
  <c r="AA975" i="9"/>
  <c r="AB517" i="9"/>
  <c r="AA835" i="9"/>
  <c r="AE945" i="9"/>
  <c r="AF945" i="9"/>
  <c r="AH945" i="9"/>
  <c r="AG945" i="9"/>
  <c r="AG901" i="9"/>
  <c r="AB631" i="9"/>
  <c r="AA340" i="9"/>
  <c r="AE270" i="9"/>
  <c r="AF270" i="9"/>
  <c r="AH270" i="9"/>
  <c r="AG270" i="9"/>
  <c r="AG534" i="9"/>
  <c r="AE534" i="9"/>
  <c r="AF534" i="9"/>
  <c r="AH534" i="9"/>
  <c r="AG181" i="9"/>
  <c r="AE181" i="9"/>
  <c r="AF181" i="9"/>
  <c r="AH181" i="9"/>
  <c r="AG433" i="9"/>
  <c r="AE433" i="9"/>
  <c r="AF433" i="9"/>
  <c r="AH433" i="9"/>
  <c r="AE486" i="9"/>
  <c r="AF486" i="9"/>
  <c r="AH486" i="9"/>
  <c r="AG486" i="9"/>
  <c r="AE559" i="9"/>
  <c r="AF559" i="9"/>
  <c r="AH559" i="9"/>
  <c r="AG559" i="9"/>
  <c r="AG384" i="9"/>
  <c r="AE384" i="9"/>
  <c r="AF384" i="9"/>
  <c r="AH384" i="9"/>
  <c r="AG954" i="9"/>
  <c r="AE954" i="9"/>
  <c r="AF954" i="9"/>
  <c r="AH954" i="9"/>
  <c r="AE563" i="9"/>
  <c r="AF563" i="9"/>
  <c r="AH563" i="9"/>
  <c r="AG563" i="9"/>
  <c r="AG113" i="9"/>
  <c r="AE113" i="9"/>
  <c r="AF113" i="9"/>
  <c r="AH113" i="9"/>
  <c r="AE209" i="9"/>
  <c r="AF209" i="9"/>
  <c r="AH209" i="9"/>
  <c r="AG209" i="9"/>
  <c r="AG5" i="9"/>
  <c r="AE5" i="9"/>
  <c r="AF5" i="9"/>
  <c r="AH5" i="9"/>
  <c r="AE289" i="9"/>
  <c r="AF289" i="9"/>
  <c r="AB856" i="9"/>
  <c r="AG600" i="9"/>
  <c r="AE600" i="9"/>
  <c r="AF600" i="9"/>
  <c r="AH600" i="9"/>
  <c r="AE736" i="9"/>
  <c r="AF736" i="9"/>
  <c r="AH736" i="9"/>
  <c r="AG736" i="9"/>
  <c r="AE883" i="9"/>
  <c r="AF883" i="9"/>
  <c r="AH883" i="9"/>
  <c r="AG883" i="9"/>
  <c r="AG863" i="9"/>
  <c r="AE863" i="9"/>
  <c r="AF863" i="9"/>
  <c r="AH863" i="9"/>
  <c r="AE920" i="9"/>
  <c r="AF920" i="9"/>
  <c r="AH920" i="9"/>
  <c r="AG920" i="9"/>
  <c r="AE981" i="9"/>
  <c r="AF981" i="9"/>
  <c r="AH981" i="9"/>
  <c r="AG981" i="9"/>
  <c r="AG732" i="9"/>
  <c r="AE732" i="9"/>
  <c r="AF732" i="9"/>
  <c r="AH732" i="9"/>
  <c r="AE155" i="9"/>
  <c r="AF155" i="9"/>
  <c r="AE828" i="9"/>
  <c r="AF828" i="9"/>
  <c r="AH828" i="9"/>
  <c r="AG828" i="9"/>
  <c r="AE217" i="9"/>
  <c r="AF217" i="9"/>
  <c r="AH217" i="9"/>
  <c r="AG217" i="9"/>
  <c r="AG546" i="9"/>
  <c r="AE546" i="9"/>
  <c r="AF546" i="9"/>
  <c r="AH546" i="9"/>
  <c r="AG428" i="9"/>
  <c r="AE428" i="9"/>
  <c r="AF428" i="9"/>
  <c r="AH428" i="9"/>
  <c r="AB264" i="9"/>
  <c r="AA60" i="9"/>
  <c r="AE820" i="9"/>
  <c r="AF820" i="9"/>
  <c r="AH820" i="9"/>
  <c r="AG820" i="9"/>
  <c r="AB985" i="9"/>
  <c r="AB121" i="9"/>
  <c r="AG512" i="9"/>
  <c r="AE512" i="9"/>
  <c r="AF512" i="9"/>
  <c r="AH512" i="9"/>
  <c r="AB349" i="9"/>
  <c r="AB476" i="9"/>
  <c r="AB379" i="9"/>
  <c r="AE197" i="9"/>
  <c r="AF197" i="9"/>
  <c r="AH197" i="9"/>
  <c r="AG197" i="9"/>
  <c r="AE286" i="9"/>
  <c r="AF286" i="9"/>
  <c r="AH286" i="9"/>
  <c r="AG286" i="9"/>
  <c r="AA99" i="9"/>
  <c r="AB109" i="9"/>
  <c r="AG52" i="9"/>
  <c r="AG996" i="9"/>
  <c r="AE996" i="9"/>
  <c r="AF996" i="9"/>
  <c r="AH996" i="9"/>
  <c r="AG858" i="9"/>
  <c r="AE858" i="9"/>
  <c r="AF858" i="9"/>
  <c r="AH858" i="9"/>
  <c r="AA87" i="9"/>
  <c r="AE102" i="9"/>
  <c r="AF102" i="9"/>
  <c r="AH102" i="9"/>
  <c r="AG102" i="9"/>
  <c r="AG64" i="9"/>
  <c r="AE64" i="9"/>
  <c r="AF64" i="9"/>
  <c r="AH64" i="9"/>
  <c r="AG195" i="9"/>
  <c r="AE195" i="9"/>
  <c r="AF195" i="9"/>
  <c r="AH195" i="9"/>
  <c r="AB529" i="9"/>
  <c r="AA371" i="9"/>
  <c r="AE90" i="9"/>
  <c r="AF90" i="9"/>
  <c r="AH90" i="9"/>
  <c r="AG90" i="9"/>
  <c r="AE567" i="9"/>
  <c r="AF567" i="9"/>
  <c r="AH567" i="9"/>
  <c r="AG567" i="9"/>
  <c r="AE629" i="9"/>
  <c r="AF629" i="9"/>
  <c r="AH629" i="9"/>
  <c r="AG629" i="9"/>
  <c r="AG487" i="9"/>
  <c r="AE487" i="9"/>
  <c r="AF487" i="9"/>
  <c r="AH487" i="9"/>
  <c r="AB158" i="9"/>
  <c r="AE896" i="9"/>
  <c r="AF896" i="9"/>
  <c r="AH896" i="9"/>
  <c r="AG896" i="9"/>
  <c r="AG464" i="9"/>
  <c r="AE464" i="9"/>
  <c r="AF464" i="9"/>
  <c r="AH464" i="9"/>
  <c r="AB125" i="9"/>
  <c r="AG958" i="9"/>
  <c r="AE958" i="9"/>
  <c r="AF958" i="9"/>
  <c r="AH958" i="9"/>
  <c r="AE613" i="9"/>
  <c r="AF613" i="9"/>
  <c r="AH613" i="9"/>
  <c r="AG613" i="9"/>
  <c r="AA472" i="9"/>
  <c r="AA147" i="9"/>
  <c r="AB187" i="9"/>
  <c r="AE625" i="9"/>
  <c r="AF625" i="9"/>
  <c r="AH625" i="9"/>
  <c r="AG625" i="9"/>
  <c r="AA564" i="9"/>
  <c r="AE612" i="9"/>
  <c r="AF612" i="9"/>
  <c r="AH612" i="9"/>
  <c r="AG612" i="9"/>
  <c r="AA927" i="9"/>
  <c r="AG458" i="9"/>
  <c r="AE458" i="9"/>
  <c r="AF458" i="9"/>
  <c r="AH458" i="9"/>
  <c r="AE573" i="9"/>
  <c r="AF573" i="9"/>
  <c r="AH573" i="9"/>
  <c r="AG573" i="9"/>
  <c r="AB170" i="9"/>
  <c r="AG170" i="9"/>
  <c r="AG750" i="9"/>
  <c r="AE750" i="9"/>
  <c r="AF750" i="9"/>
  <c r="AH750" i="9"/>
  <c r="AB721" i="9"/>
  <c r="AB720" i="9"/>
  <c r="AH151" i="9"/>
  <c r="AG398" i="9"/>
  <c r="AE398" i="9"/>
  <c r="AF398" i="9"/>
  <c r="AH398" i="9"/>
  <c r="AG453" i="9"/>
  <c r="AE453" i="9"/>
  <c r="AF453" i="9"/>
  <c r="AH453" i="9"/>
  <c r="AE74" i="9"/>
  <c r="AF74" i="9"/>
  <c r="AH74" i="9"/>
  <c r="AG74" i="9"/>
  <c r="AE210" i="9"/>
  <c r="AF210" i="9"/>
  <c r="AG729" i="9"/>
  <c r="AE729" i="9"/>
  <c r="AF729" i="9"/>
  <c r="AH729" i="9"/>
  <c r="AG907" i="9"/>
  <c r="AE907" i="9"/>
  <c r="AF907" i="9"/>
  <c r="AH907" i="9"/>
  <c r="AE66" i="9"/>
  <c r="AF66" i="9"/>
  <c r="AH66" i="9"/>
  <c r="AG66" i="9"/>
  <c r="AE468" i="9"/>
  <c r="AF468" i="9"/>
  <c r="AH468" i="9"/>
  <c r="AG468" i="9"/>
  <c r="AG531" i="9"/>
  <c r="AE531" i="9"/>
  <c r="AF531" i="9"/>
  <c r="AH531" i="9"/>
  <c r="AE264" i="9"/>
  <c r="AF264" i="9"/>
  <c r="AG264" i="9"/>
  <c r="AG769" i="9"/>
  <c r="AE769" i="9"/>
  <c r="AF769" i="9"/>
  <c r="AH769" i="9"/>
  <c r="AE249" i="9"/>
  <c r="AF249" i="9"/>
  <c r="AG222" i="9"/>
  <c r="AE222" i="9"/>
  <c r="AF222" i="9"/>
  <c r="AH222" i="9"/>
  <c r="AE515" i="9"/>
  <c r="AF515" i="9"/>
  <c r="AH515" i="9"/>
  <c r="AG515" i="9"/>
  <c r="AG211" i="9"/>
  <c r="AE211" i="9"/>
  <c r="AF211" i="9"/>
  <c r="AH211" i="9"/>
  <c r="AE171" i="9"/>
  <c r="AF171" i="9"/>
  <c r="AH171" i="9"/>
  <c r="AG751" i="9"/>
  <c r="AE751" i="9"/>
  <c r="AF751" i="9"/>
  <c r="AH751" i="9"/>
  <c r="AE170" i="9"/>
  <c r="AF170" i="9"/>
  <c r="AH170" i="9"/>
  <c r="AG620" i="9"/>
  <c r="AE620" i="9"/>
  <c r="AF620" i="9"/>
  <c r="AH620" i="9"/>
  <c r="AE304" i="9"/>
  <c r="AF304" i="9"/>
  <c r="AH304" i="9"/>
  <c r="AG304" i="9"/>
  <c r="AA401" i="9"/>
  <c r="AE892" i="9"/>
  <c r="AF892" i="9"/>
  <c r="AH892" i="9"/>
  <c r="AG892" i="9"/>
  <c r="AG167" i="9"/>
  <c r="AE167" i="9"/>
  <c r="AF167" i="9"/>
  <c r="AH167" i="9"/>
  <c r="AG123" i="9"/>
  <c r="AE123" i="9"/>
  <c r="AF123" i="9"/>
  <c r="AH123" i="9"/>
  <c r="AG754" i="9"/>
  <c r="AE754" i="9"/>
  <c r="AF754" i="9"/>
  <c r="AH754" i="9"/>
  <c r="AB910" i="9"/>
  <c r="AG116" i="9"/>
  <c r="AE116" i="9"/>
  <c r="AF116" i="9"/>
  <c r="AH116" i="9"/>
  <c r="AE581" i="9"/>
  <c r="AF581" i="9"/>
  <c r="AH581" i="9"/>
  <c r="AG581" i="9"/>
  <c r="AE233" i="9"/>
  <c r="AF233" i="9"/>
  <c r="AH233" i="9"/>
  <c r="AG233" i="9"/>
  <c r="AA121" i="9"/>
  <c r="AA492" i="9"/>
  <c r="AE641" i="9"/>
  <c r="AF641" i="9"/>
  <c r="AH641" i="9"/>
  <c r="AG641" i="9"/>
  <c r="AG448" i="9"/>
  <c r="AE448" i="9"/>
  <c r="AF448" i="9"/>
  <c r="AH448" i="9"/>
  <c r="AA349" i="9"/>
  <c r="AG352" i="9"/>
  <c r="AE352" i="9"/>
  <c r="AF352" i="9"/>
  <c r="AH352" i="9"/>
  <c r="AA379" i="9"/>
  <c r="AE775" i="9"/>
  <c r="AF775" i="9"/>
  <c r="AH775" i="9"/>
  <c r="AG775" i="9"/>
  <c r="AB351" i="9"/>
  <c r="AA109" i="9"/>
  <c r="AG124" i="9"/>
  <c r="AE124" i="9"/>
  <c r="AF124" i="9"/>
  <c r="AH124" i="9"/>
  <c r="AE731" i="9"/>
  <c r="AF731" i="9"/>
  <c r="AH731" i="9"/>
  <c r="AG731" i="9"/>
  <c r="AA697" i="9"/>
  <c r="AE860" i="9"/>
  <c r="AF860" i="9"/>
  <c r="AH860" i="9"/>
  <c r="AG860" i="9"/>
  <c r="AB142" i="9"/>
  <c r="AG382" i="9"/>
  <c r="AE382" i="9"/>
  <c r="AF382" i="9"/>
  <c r="AH382" i="9"/>
  <c r="AE740" i="9"/>
  <c r="AF740" i="9"/>
  <c r="AH740" i="9"/>
  <c r="AG740" i="9"/>
  <c r="AE122" i="9"/>
  <c r="AF122" i="9"/>
  <c r="AH122" i="9"/>
  <c r="AG122" i="9"/>
  <c r="AG441" i="9"/>
  <c r="AE441" i="9"/>
  <c r="AF441" i="9"/>
  <c r="AH441" i="9"/>
  <c r="AE924" i="9"/>
  <c r="AF924" i="9"/>
  <c r="AH924" i="9"/>
  <c r="AG924" i="9"/>
  <c r="AA659" i="9"/>
  <c r="AG978" i="9"/>
  <c r="AE978" i="9"/>
  <c r="AF978" i="9"/>
  <c r="AH978" i="9"/>
  <c r="AA158" i="9"/>
  <c r="AE225" i="9"/>
  <c r="AF225" i="9"/>
  <c r="AH225" i="9"/>
  <c r="AG225" i="9"/>
  <c r="AA125" i="9"/>
  <c r="AG207" i="9"/>
  <c r="AE207" i="9"/>
  <c r="AF207" i="9"/>
  <c r="AH207" i="9"/>
  <c r="AG430" i="9"/>
  <c r="AE430" i="9"/>
  <c r="AF430" i="9"/>
  <c r="AH430" i="9"/>
  <c r="AG149" i="9"/>
  <c r="AE149" i="9"/>
  <c r="AF149" i="9"/>
  <c r="AH149" i="9"/>
  <c r="AG112" i="9"/>
  <c r="AE112" i="9"/>
  <c r="AF112" i="9"/>
  <c r="AH112" i="9"/>
  <c r="AB472" i="9"/>
  <c r="AA187" i="9"/>
  <c r="AG940" i="9"/>
  <c r="AE940" i="9"/>
  <c r="AF940" i="9"/>
  <c r="AH940" i="9"/>
  <c r="AE908" i="9"/>
  <c r="AF908" i="9"/>
  <c r="AH908" i="9"/>
  <c r="AG908" i="9"/>
  <c r="AE880" i="9"/>
  <c r="AF880" i="9"/>
  <c r="AH880" i="9"/>
  <c r="AG880" i="9"/>
  <c r="AG861" i="9"/>
  <c r="AF861" i="9"/>
  <c r="AH861" i="9"/>
  <c r="AE861" i="9"/>
  <c r="AE114" i="9"/>
  <c r="AF114" i="9"/>
  <c r="AH114" i="9"/>
  <c r="AG114" i="9"/>
  <c r="AA800" i="9"/>
  <c r="AG402" i="9"/>
  <c r="AE402" i="9"/>
  <c r="AF402" i="9"/>
  <c r="AH402" i="9"/>
  <c r="AE421" i="9"/>
  <c r="AF421" i="9"/>
  <c r="AH421" i="9"/>
  <c r="AG421" i="9"/>
  <c r="AG214" i="9"/>
  <c r="AE214" i="9"/>
  <c r="AF214" i="9"/>
  <c r="AH214" i="9"/>
  <c r="AG846" i="9"/>
  <c r="AE846" i="9"/>
  <c r="AF846" i="9"/>
  <c r="AH846" i="9"/>
  <c r="AE921" i="9"/>
  <c r="AF921" i="9"/>
  <c r="AH921" i="9"/>
  <c r="AG921" i="9"/>
  <c r="AB128" i="9"/>
  <c r="AG948" i="9"/>
  <c r="AE948" i="9"/>
  <c r="AF948" i="9"/>
  <c r="AH948" i="9"/>
  <c r="AB367" i="9"/>
  <c r="AG788" i="9"/>
  <c r="AE788" i="9"/>
  <c r="AF788" i="9"/>
  <c r="AH788" i="9"/>
  <c r="AG432" i="9"/>
  <c r="AE432" i="9"/>
  <c r="AF432" i="9"/>
  <c r="AH432" i="9"/>
  <c r="AG203" i="9"/>
  <c r="AE203" i="9"/>
  <c r="AF203" i="9"/>
  <c r="AH203" i="9"/>
  <c r="AE975" i="9"/>
  <c r="AF975" i="9"/>
  <c r="AG676" i="9"/>
  <c r="AE676" i="9"/>
  <c r="AF676" i="9"/>
  <c r="AH676" i="9"/>
  <c r="AG307" i="9"/>
  <c r="AE307" i="9"/>
  <c r="AF307" i="9"/>
  <c r="AH307" i="9"/>
  <c r="AG774" i="9"/>
  <c r="AE774" i="9"/>
  <c r="AF774" i="9"/>
  <c r="AH774" i="9"/>
  <c r="AG604" i="9"/>
  <c r="AE604" i="9"/>
  <c r="AF604" i="9"/>
  <c r="AH604" i="9"/>
  <c r="AE500" i="9"/>
  <c r="AF500" i="9"/>
  <c r="AG592" i="9"/>
  <c r="AE592" i="9"/>
  <c r="AF592" i="9"/>
  <c r="AH592" i="9"/>
  <c r="AG874" i="9"/>
  <c r="AE874" i="9"/>
  <c r="AF874" i="9"/>
  <c r="AH874" i="9"/>
  <c r="AA910" i="9"/>
  <c r="AE496" i="9"/>
  <c r="AF496" i="9"/>
  <c r="AH496" i="9"/>
  <c r="AG496" i="9"/>
  <c r="AG603" i="9"/>
  <c r="AE603" i="9"/>
  <c r="AF603" i="9"/>
  <c r="AH603" i="9"/>
  <c r="AE252" i="9"/>
  <c r="AF252" i="9"/>
  <c r="AH252" i="9"/>
  <c r="AG252" i="9"/>
  <c r="AB955" i="9"/>
  <c r="AB492" i="9"/>
  <c r="AB429" i="9"/>
  <c r="AE949" i="9"/>
  <c r="AF949" i="9"/>
  <c r="AH949" i="9"/>
  <c r="AG949" i="9"/>
  <c r="AE937" i="9"/>
  <c r="AF937" i="9"/>
  <c r="AH937" i="9"/>
  <c r="AG937" i="9"/>
  <c r="AG753" i="9"/>
  <c r="AE753" i="9"/>
  <c r="AF753" i="9"/>
  <c r="AH753" i="9"/>
  <c r="AA351" i="9"/>
  <c r="AB485" i="9"/>
  <c r="AG173" i="9"/>
  <c r="AE173" i="9"/>
  <c r="AF173" i="9"/>
  <c r="AH173" i="9"/>
  <c r="AG271" i="9"/>
  <c r="AE271" i="9"/>
  <c r="AF271" i="9"/>
  <c r="AH271" i="9"/>
  <c r="AG206" i="9"/>
  <c r="AE206" i="9"/>
  <c r="AF206" i="9"/>
  <c r="AH206" i="9"/>
  <c r="AB697" i="9"/>
  <c r="AG76" i="9"/>
  <c r="AE76" i="9"/>
  <c r="AF76" i="9"/>
  <c r="AH76" i="9"/>
  <c r="AA142" i="9"/>
  <c r="AE808" i="9"/>
  <c r="AF808" i="9"/>
  <c r="AH808" i="9"/>
  <c r="AG808" i="9"/>
  <c r="AB659" i="9"/>
  <c r="AG191" i="9"/>
  <c r="AE191" i="9"/>
  <c r="AF191" i="9"/>
  <c r="AH191" i="9"/>
  <c r="AG780" i="9"/>
  <c r="AE780" i="9"/>
  <c r="AF780" i="9"/>
  <c r="AH780" i="9"/>
  <c r="AB768" i="9"/>
  <c r="AG796" i="9"/>
  <c r="AE796" i="9"/>
  <c r="AF796" i="9"/>
  <c r="AH796" i="9"/>
  <c r="AG879" i="9"/>
  <c r="AE879" i="9"/>
  <c r="AF879" i="9"/>
  <c r="AH879" i="9"/>
  <c r="AG634" i="9"/>
  <c r="AE634" i="9"/>
  <c r="AF634" i="9"/>
  <c r="AH634" i="9"/>
  <c r="AG825" i="9"/>
  <c r="AE825" i="9"/>
  <c r="AF825" i="9"/>
  <c r="AH825" i="9"/>
  <c r="AG242" i="9"/>
  <c r="AE242" i="9"/>
  <c r="AF242" i="9"/>
  <c r="AH242" i="9"/>
  <c r="AG386" i="9"/>
  <c r="AE386" i="9"/>
  <c r="AF386" i="9"/>
  <c r="AH386" i="9"/>
  <c r="AA931" i="9"/>
  <c r="AA686" i="9"/>
  <c r="AG226" i="9"/>
  <c r="AE226" i="9"/>
  <c r="AF226" i="9"/>
  <c r="AH226" i="9"/>
  <c r="AE593" i="9"/>
  <c r="AF593" i="9"/>
  <c r="AH593" i="9"/>
  <c r="AG593" i="9"/>
  <c r="AB806" i="9"/>
  <c r="AG645" i="9"/>
  <c r="AE645" i="9"/>
  <c r="AF645" i="9"/>
  <c r="AH645" i="9"/>
  <c r="AG696" i="9"/>
  <c r="AE696" i="9"/>
  <c r="AF696" i="9"/>
  <c r="AH696" i="9"/>
  <c r="AB440" i="9"/>
  <c r="AB800" i="9"/>
  <c r="AG849" i="9"/>
  <c r="AE849" i="9"/>
  <c r="AF849" i="9"/>
  <c r="AH849" i="9"/>
  <c r="AG693" i="9"/>
  <c r="AE693" i="9"/>
  <c r="AF693" i="9"/>
  <c r="AH693" i="9"/>
  <c r="AG462" i="9"/>
  <c r="AE462" i="9"/>
  <c r="AF462" i="9"/>
  <c r="AH462" i="9"/>
  <c r="AA128" i="9"/>
  <c r="AB96" i="9"/>
  <c r="AG990" i="9"/>
  <c r="AE990" i="9"/>
  <c r="AF990" i="9"/>
  <c r="AH990" i="9"/>
  <c r="AA728" i="9"/>
  <c r="AA367" i="9"/>
  <c r="AE201" i="9"/>
  <c r="AF201" i="9"/>
  <c r="AH201" i="9"/>
  <c r="AG201" i="9"/>
  <c r="AG554" i="9"/>
  <c r="AE554" i="9"/>
  <c r="AF554" i="9"/>
  <c r="AH554" i="9"/>
  <c r="AG881" i="9"/>
  <c r="AE881" i="9"/>
  <c r="AF881" i="9"/>
  <c r="AH881" i="9"/>
  <c r="AG156" i="9"/>
  <c r="AE156" i="9"/>
  <c r="AF156" i="9"/>
  <c r="AH156" i="9"/>
  <c r="AG426" i="9"/>
  <c r="AE426" i="9"/>
  <c r="AF426" i="9"/>
  <c r="AH426" i="9"/>
  <c r="AG265" i="9"/>
  <c r="AE265" i="9"/>
  <c r="AF265" i="9"/>
  <c r="AH265" i="9"/>
  <c r="AG897" i="9"/>
  <c r="AE897" i="9"/>
  <c r="AF897" i="9"/>
  <c r="AH897" i="9"/>
  <c r="AE999" i="9"/>
  <c r="AF999" i="9"/>
  <c r="AG449" i="9"/>
  <c r="AE449" i="9"/>
  <c r="AF449" i="9"/>
  <c r="AH449" i="9"/>
  <c r="AB60" i="9"/>
  <c r="AG985" i="9"/>
  <c r="AE268" i="9"/>
  <c r="AF268" i="9"/>
  <c r="AH268" i="9"/>
  <c r="AG268" i="9"/>
  <c r="AG143" i="9"/>
  <c r="AE143" i="9"/>
  <c r="AF143" i="9"/>
  <c r="AH143" i="9"/>
  <c r="AG140" i="9"/>
  <c r="AE140" i="9"/>
  <c r="AF140" i="9"/>
  <c r="AH140" i="9"/>
  <c r="AE744" i="9"/>
  <c r="AF744" i="9"/>
  <c r="AH744" i="9"/>
  <c r="AG744" i="9"/>
  <c r="AG591" i="9"/>
  <c r="AE591" i="9"/>
  <c r="AF591" i="9"/>
  <c r="AH591" i="9"/>
  <c r="AG108" i="9"/>
  <c r="AE108" i="9"/>
  <c r="AF108" i="9"/>
  <c r="AH108" i="9"/>
  <c r="AB185" i="9"/>
  <c r="AB350" i="9"/>
  <c r="AA955" i="9"/>
  <c r="AA640" i="9"/>
  <c r="AE605" i="9"/>
  <c r="AF605" i="9"/>
  <c r="AH605" i="9"/>
  <c r="AG605" i="9"/>
  <c r="AG811" i="9"/>
  <c r="AE811" i="9"/>
  <c r="AF811" i="9"/>
  <c r="AH811" i="9"/>
  <c r="AE62" i="9"/>
  <c r="AF62" i="9"/>
  <c r="AH62" i="9"/>
  <c r="AG62" i="9"/>
  <c r="AE816" i="9"/>
  <c r="AF816" i="9"/>
  <c r="AH816" i="9"/>
  <c r="AG816" i="9"/>
  <c r="AA429" i="9"/>
  <c r="AB687" i="9"/>
  <c r="AG687" i="9"/>
  <c r="AG668" i="9"/>
  <c r="AE668" i="9"/>
  <c r="AF668" i="9"/>
  <c r="AH668" i="9"/>
  <c r="AE830" i="9"/>
  <c r="AF830" i="9"/>
  <c r="AG661" i="9"/>
  <c r="AE661" i="9"/>
  <c r="AF661" i="9"/>
  <c r="AH661" i="9"/>
  <c r="AG73" i="9"/>
  <c r="AE73" i="9"/>
  <c r="AF73" i="9"/>
  <c r="AH73" i="9"/>
  <c r="AE616" i="9"/>
  <c r="AF616" i="9"/>
  <c r="AH616" i="9"/>
  <c r="AG616" i="9"/>
  <c r="AG88" i="9"/>
  <c r="AE88" i="9"/>
  <c r="AF88" i="9"/>
  <c r="AH88" i="9"/>
  <c r="AA485" i="9"/>
  <c r="AG163" i="9"/>
  <c r="AE163" i="9"/>
  <c r="AF163" i="9"/>
  <c r="AH163" i="9"/>
  <c r="AG144" i="9"/>
  <c r="AE144" i="9"/>
  <c r="AF144" i="9"/>
  <c r="AH144" i="9"/>
  <c r="AG752" i="9"/>
  <c r="AE752" i="9"/>
  <c r="AF752" i="9"/>
  <c r="AH752" i="9"/>
  <c r="AG850" i="9"/>
  <c r="AE850" i="9"/>
  <c r="AF850" i="9"/>
  <c r="AH850" i="9"/>
  <c r="AB841" i="9"/>
  <c r="AA504" i="9"/>
  <c r="AB628" i="9"/>
  <c r="AE635" i="9"/>
  <c r="AF635" i="9"/>
  <c r="AH635" i="9"/>
  <c r="AG635" i="9"/>
  <c r="AE51" i="9"/>
  <c r="AF51" i="9"/>
  <c r="AH51" i="9"/>
  <c r="AG51" i="9"/>
  <c r="AG479" i="9"/>
  <c r="AE479" i="9"/>
  <c r="AF479" i="9"/>
  <c r="AH479" i="9"/>
  <c r="AB186" i="9"/>
  <c r="AA768" i="9"/>
  <c r="AG111" i="9"/>
  <c r="AE111" i="9"/>
  <c r="AF111" i="9"/>
  <c r="AH111" i="9"/>
  <c r="AE39" i="9"/>
  <c r="AF39" i="9"/>
  <c r="AH39" i="9"/>
  <c r="AG39" i="9"/>
  <c r="AE63" i="9"/>
  <c r="AF63" i="9"/>
  <c r="AH63" i="9"/>
  <c r="AG63" i="9"/>
  <c r="AG829" i="9"/>
  <c r="AE829" i="9"/>
  <c r="AF829" i="9"/>
  <c r="AH829" i="9"/>
  <c r="AE532" i="9"/>
  <c r="AF532" i="9"/>
  <c r="AH532" i="9"/>
  <c r="AG532" i="9"/>
  <c r="AG899" i="9"/>
  <c r="AE899" i="9"/>
  <c r="AF899" i="9"/>
  <c r="AH899" i="9"/>
  <c r="AB651" i="9"/>
  <c r="AG83" i="9"/>
  <c r="AE83" i="9"/>
  <c r="AF83" i="9"/>
  <c r="AH83" i="9"/>
  <c r="AB89" i="9"/>
  <c r="AB986" i="9"/>
  <c r="AB931" i="9"/>
  <c r="AB686" i="9"/>
  <c r="AG127" i="9"/>
  <c r="AE127" i="9"/>
  <c r="AF127" i="9"/>
  <c r="AH127" i="9"/>
  <c r="AE617" i="9"/>
  <c r="AF617" i="9"/>
  <c r="AH617" i="9"/>
  <c r="AG617" i="9"/>
  <c r="AE266" i="9"/>
  <c r="AF266" i="9"/>
  <c r="AH266" i="9"/>
  <c r="AG266" i="9"/>
  <c r="AA806" i="9"/>
  <c r="AG273" i="9"/>
  <c r="AE273" i="9"/>
  <c r="AF273" i="9"/>
  <c r="AH273" i="9"/>
  <c r="AA440" i="9"/>
  <c r="AE884" i="9"/>
  <c r="AF884" i="9"/>
  <c r="AH884" i="9"/>
  <c r="AG884" i="9"/>
  <c r="AA96" i="9"/>
  <c r="AB728" i="9"/>
  <c r="AE597" i="9"/>
  <c r="AF597" i="9"/>
  <c r="AH597" i="9"/>
  <c r="AG597" i="9"/>
  <c r="AB886" i="9"/>
  <c r="AG582" i="9"/>
  <c r="AE582" i="9"/>
  <c r="AF582" i="9"/>
  <c r="AH582" i="9"/>
  <c r="AE1001" i="9"/>
  <c r="AF1001" i="9"/>
  <c r="AH1001" i="9"/>
  <c r="AG1001" i="9"/>
  <c r="AE569" i="9"/>
  <c r="AF569" i="9"/>
  <c r="AH569" i="9"/>
  <c r="AG569" i="9"/>
  <c r="AG649" i="9"/>
  <c r="AE649" i="9"/>
  <c r="AF649" i="9"/>
  <c r="AH649" i="9"/>
  <c r="AG826" i="9"/>
  <c r="AE826" i="9"/>
  <c r="AF826" i="9"/>
  <c r="AH826" i="9"/>
  <c r="AG436" i="9"/>
  <c r="AE436" i="9"/>
  <c r="AF436" i="9"/>
  <c r="AH436" i="9"/>
  <c r="AE248" i="9"/>
  <c r="AF248" i="9"/>
  <c r="AH248" i="9"/>
  <c r="AG248" i="9"/>
  <c r="AE779" i="9"/>
  <c r="AF779" i="9"/>
  <c r="AH779" i="9"/>
  <c r="AG779" i="9"/>
  <c r="AE704" i="9"/>
  <c r="AF704" i="9"/>
  <c r="AH704" i="9"/>
  <c r="AG704" i="9"/>
  <c r="AE185" i="9"/>
  <c r="AF185" i="9"/>
  <c r="AH185" i="9"/>
  <c r="AG185" i="9"/>
  <c r="AA964" i="9"/>
  <c r="AG538" i="9"/>
  <c r="AE538" i="9"/>
  <c r="AF538" i="9"/>
  <c r="AH538" i="9"/>
  <c r="AE524" i="9"/>
  <c r="AF524" i="9"/>
  <c r="AH524" i="9"/>
  <c r="AG524" i="9"/>
  <c r="AE350" i="9"/>
  <c r="AF350" i="9"/>
  <c r="AG350" i="9"/>
  <c r="AG785" i="9"/>
  <c r="AE785" i="9"/>
  <c r="AF785" i="9"/>
  <c r="AH785" i="9"/>
  <c r="AE709" i="9"/>
  <c r="AF709" i="9"/>
  <c r="AH709" i="9"/>
  <c r="AG709" i="9"/>
  <c r="AB640" i="9"/>
  <c r="AE824" i="9"/>
  <c r="AF824" i="9"/>
  <c r="AH824" i="9"/>
  <c r="AG824" i="9"/>
  <c r="AG695" i="9"/>
  <c r="AE695" i="9"/>
  <c r="AF695" i="9"/>
  <c r="AH695" i="9"/>
  <c r="AE687" i="9"/>
  <c r="AF687" i="9"/>
  <c r="AH687" i="9"/>
  <c r="AA642" i="9"/>
  <c r="AB776" i="9"/>
  <c r="AH255" i="9"/>
  <c r="AG1002" i="9"/>
  <c r="AE1002" i="9"/>
  <c r="AF1002" i="9"/>
  <c r="AH1002" i="9"/>
  <c r="AE84" i="9"/>
  <c r="AF84" i="9"/>
  <c r="AG101" i="9"/>
  <c r="AE101" i="9"/>
  <c r="AF101" i="9"/>
  <c r="AH101" i="9"/>
  <c r="AG930" i="9"/>
  <c r="AE930" i="9"/>
  <c r="AF930" i="9"/>
  <c r="AH930" i="9"/>
  <c r="AG906" i="9"/>
  <c r="AE906" i="9"/>
  <c r="AF906" i="9"/>
  <c r="AH906" i="9"/>
  <c r="AE831" i="9"/>
  <c r="AF831" i="9"/>
  <c r="AH831" i="9"/>
  <c r="AG831" i="9"/>
  <c r="AA528" i="9"/>
  <c r="AA841" i="9"/>
  <c r="AG562" i="9"/>
  <c r="AE562" i="9"/>
  <c r="AF562" i="9"/>
  <c r="AH562" i="9"/>
  <c r="AB504" i="9"/>
  <c r="AB962" i="9"/>
  <c r="AA628" i="9"/>
  <c r="AG644" i="9"/>
  <c r="AE644" i="9"/>
  <c r="AF644" i="9"/>
  <c r="AH644" i="9"/>
  <c r="AG56" i="9"/>
  <c r="AE56" i="9"/>
  <c r="AF56" i="9"/>
  <c r="AH56" i="9"/>
  <c r="AG944" i="9"/>
  <c r="AE944" i="9"/>
  <c r="AF944" i="9"/>
  <c r="AH944" i="9"/>
  <c r="AA186" i="9"/>
  <c r="AG998" i="9"/>
  <c r="AE998" i="9"/>
  <c r="AF998" i="9"/>
  <c r="AH998" i="9"/>
  <c r="AA815" i="9"/>
  <c r="AG8" i="9"/>
  <c r="AE8" i="9"/>
  <c r="AF8" i="9"/>
  <c r="AH8" i="9"/>
  <c r="AE463" i="9"/>
  <c r="AF463" i="9"/>
  <c r="AH463" i="9"/>
  <c r="AG463" i="9"/>
  <c r="AG107" i="9"/>
  <c r="AE107" i="9"/>
  <c r="AF107" i="9"/>
  <c r="AH107" i="9"/>
  <c r="AA651" i="9"/>
  <c r="AB802" i="9"/>
  <c r="AE522" i="9"/>
  <c r="AF522" i="9"/>
  <c r="AH522" i="9"/>
  <c r="AG522" i="9"/>
  <c r="AG160" i="9"/>
  <c r="AE160" i="9"/>
  <c r="AF160" i="9"/>
  <c r="AH160" i="9"/>
  <c r="AA89" i="9"/>
  <c r="AB647" i="9"/>
  <c r="AA986" i="9"/>
  <c r="AG979" i="9"/>
  <c r="AE979" i="9"/>
  <c r="AF979" i="9"/>
  <c r="AH979" i="9"/>
  <c r="AE989" i="9"/>
  <c r="AF989" i="9"/>
  <c r="AH989" i="9"/>
  <c r="AG989" i="9"/>
  <c r="AA966" i="9"/>
  <c r="AA484" i="9"/>
  <c r="AG139" i="9"/>
  <c r="AE139" i="9"/>
  <c r="AF139" i="9"/>
  <c r="AH139" i="9"/>
  <c r="AB136" i="9"/>
  <c r="AA922" i="9"/>
  <c r="AG301" i="9"/>
  <c r="AE301" i="9"/>
  <c r="AF301" i="9"/>
  <c r="AH301" i="9"/>
  <c r="AE78" i="9"/>
  <c r="AF78" i="9"/>
  <c r="AH78" i="9"/>
  <c r="AG78" i="9"/>
  <c r="AA886" i="9"/>
  <c r="AA868" i="9"/>
  <c r="AG782" i="9"/>
  <c r="AE782" i="9"/>
  <c r="AF782" i="9"/>
  <c r="AH782" i="9"/>
  <c r="AE708" i="9"/>
  <c r="AF708" i="9"/>
  <c r="AH708" i="9"/>
  <c r="AG708" i="9"/>
  <c r="AG685" i="9"/>
  <c r="AE685" i="9"/>
  <c r="AF685" i="9"/>
  <c r="AH685" i="9"/>
  <c r="AG69" i="9"/>
  <c r="AE69" i="9"/>
  <c r="AF69" i="9"/>
  <c r="AH69" i="9"/>
  <c r="AG95" i="9"/>
  <c r="AE95" i="9"/>
  <c r="AF95" i="9"/>
  <c r="AH95" i="9"/>
  <c r="AE561" i="9"/>
  <c r="AF561" i="9"/>
  <c r="AH561" i="9"/>
  <c r="AG561" i="9"/>
  <c r="AE439" i="9"/>
  <c r="AF439" i="9"/>
  <c r="AH439" i="9"/>
  <c r="AG439" i="9"/>
  <c r="AG516" i="9"/>
  <c r="AE516" i="9"/>
  <c r="AF516" i="9"/>
  <c r="AH516" i="9"/>
  <c r="AG936" i="9"/>
  <c r="AE936" i="9"/>
  <c r="AF936" i="9"/>
  <c r="AH936" i="9"/>
  <c r="AE818" i="9"/>
  <c r="AF818" i="9"/>
  <c r="AH818" i="9"/>
  <c r="AG818" i="9"/>
  <c r="AG169" i="9"/>
  <c r="AE169" i="9"/>
  <c r="AF169" i="9"/>
  <c r="AH169" i="9"/>
  <c r="AG295" i="9"/>
  <c r="AE295" i="9"/>
  <c r="AF295" i="9"/>
  <c r="AH295" i="9"/>
  <c r="AB964" i="9"/>
  <c r="AE117" i="9"/>
  <c r="AF117" i="9"/>
  <c r="AH117" i="9"/>
  <c r="AG572" i="9"/>
  <c r="AE572" i="9"/>
  <c r="AF572" i="9"/>
  <c r="AH572" i="9"/>
  <c r="AE423" i="9"/>
  <c r="AF423" i="9"/>
  <c r="AH423" i="9"/>
  <c r="AG423" i="9"/>
  <c r="AA610" i="9"/>
  <c r="AG356" i="9"/>
  <c r="AE356" i="9"/>
  <c r="AF356" i="9"/>
  <c r="AH356" i="9"/>
  <c r="AG1000" i="9"/>
  <c r="AE1000" i="9"/>
  <c r="AF1000" i="9"/>
  <c r="AH1000" i="9"/>
  <c r="AG893" i="9"/>
  <c r="AE893" i="9"/>
  <c r="AF893" i="9"/>
  <c r="AH893" i="9"/>
  <c r="AE701" i="9"/>
  <c r="AF701" i="9"/>
  <c r="AH701" i="9"/>
  <c r="AG701" i="9"/>
  <c r="AG633" i="9"/>
  <c r="AE633" i="9"/>
  <c r="AF633" i="9"/>
  <c r="AH633" i="9"/>
  <c r="AG323" i="9"/>
  <c r="AF323" i="9"/>
  <c r="AH323" i="9"/>
  <c r="AE323" i="9"/>
  <c r="AB642" i="9"/>
  <c r="AA776" i="9"/>
  <c r="AG523" i="9"/>
  <c r="AE523" i="9"/>
  <c r="AF523" i="9"/>
  <c r="AE917" i="9"/>
  <c r="AF917" i="9"/>
  <c r="AH917" i="9"/>
  <c r="AG917" i="9"/>
  <c r="AG584" i="9"/>
  <c r="AE584" i="9"/>
  <c r="AF584" i="9"/>
  <c r="AH584" i="9"/>
  <c r="AB528" i="9"/>
  <c r="AA923" i="9"/>
  <c r="AB210" i="9"/>
  <c r="AG210" i="9"/>
  <c r="AG994" i="9"/>
  <c r="AE994" i="9"/>
  <c r="AF994" i="9"/>
  <c r="AH994" i="9"/>
  <c r="AA962" i="9"/>
  <c r="AA262" i="9"/>
  <c r="AE413" i="9"/>
  <c r="AF413" i="9"/>
  <c r="AH413" i="9"/>
  <c r="AG413" i="9"/>
  <c r="AG297" i="9"/>
  <c r="AE297" i="9"/>
  <c r="AF297" i="9"/>
  <c r="AH297" i="9"/>
  <c r="AG91" i="9"/>
  <c r="AE91" i="9"/>
  <c r="AF91" i="9"/>
  <c r="AH91" i="9"/>
  <c r="AA508" i="9"/>
  <c r="AE905" i="9"/>
  <c r="AF905" i="9"/>
  <c r="AH905" i="9"/>
  <c r="AG905" i="9"/>
  <c r="AG363" i="9"/>
  <c r="AE363" i="9"/>
  <c r="AF363" i="9"/>
  <c r="AH363" i="9"/>
  <c r="AG253" i="9"/>
  <c r="AE253" i="9"/>
  <c r="AF253" i="9"/>
  <c r="AH253" i="9"/>
  <c r="AG390" i="9"/>
  <c r="AE390" i="9"/>
  <c r="AF390" i="9"/>
  <c r="AH390" i="9"/>
  <c r="AB815" i="9"/>
  <c r="AG32" i="9"/>
  <c r="AE32" i="9"/>
  <c r="AF32" i="9"/>
  <c r="AH32" i="9"/>
  <c r="AG319" i="9"/>
  <c r="AE319" i="9"/>
  <c r="AF319" i="9"/>
  <c r="AH319" i="9"/>
  <c r="AG369" i="9"/>
  <c r="AE369" i="9"/>
  <c r="AF369" i="9"/>
  <c r="AH369" i="9"/>
  <c r="AG574" i="9"/>
  <c r="AE574" i="9"/>
  <c r="AF574" i="9"/>
  <c r="AH574" i="9"/>
  <c r="AG267" i="9"/>
  <c r="AE267" i="9"/>
  <c r="AF267" i="9"/>
  <c r="AH267" i="9"/>
  <c r="AA802" i="9"/>
  <c r="AB289" i="9"/>
  <c r="AG289" i="9"/>
  <c r="AE507" i="9"/>
  <c r="AF507" i="9"/>
  <c r="AH507" i="9"/>
  <c r="AG507" i="9"/>
  <c r="AA647" i="9"/>
  <c r="AA424" i="9"/>
  <c r="AB976" i="9"/>
  <c r="AG976" i="9"/>
  <c r="AE848" i="9"/>
  <c r="AF848" i="9"/>
  <c r="AH848" i="9"/>
  <c r="AG848" i="9"/>
  <c r="AE928" i="9"/>
  <c r="AF928" i="9"/>
  <c r="AH928" i="9"/>
  <c r="AG928" i="9"/>
  <c r="AB966" i="9"/>
  <c r="AG542" i="9"/>
  <c r="AE542" i="9"/>
  <c r="AF542" i="9"/>
  <c r="AH542" i="9"/>
  <c r="AG804" i="9"/>
  <c r="AE804" i="9"/>
  <c r="AF804" i="9"/>
  <c r="AH804" i="9"/>
  <c r="AG21" i="9"/>
  <c r="AE21" i="9"/>
  <c r="AF21" i="9"/>
  <c r="AH21" i="9"/>
  <c r="AB957" i="9"/>
  <c r="AB484" i="9"/>
  <c r="AB526" i="9"/>
  <c r="AB975" i="9"/>
  <c r="AG975" i="9"/>
  <c r="AA136" i="9"/>
  <c r="AA856" i="9"/>
  <c r="AB922" i="9"/>
  <c r="AA533" i="9"/>
  <c r="AG681" i="9"/>
  <c r="AE681" i="9"/>
  <c r="AF681" i="9"/>
  <c r="AH681" i="9"/>
  <c r="AG823" i="9"/>
  <c r="AE823" i="9"/>
  <c r="AF823" i="9"/>
  <c r="AH823" i="9"/>
  <c r="AE443" i="9"/>
  <c r="AF443" i="9"/>
  <c r="AH443" i="9"/>
  <c r="AG443" i="9"/>
  <c r="AB999" i="9"/>
  <c r="AG999" i="9"/>
  <c r="AB868" i="9"/>
  <c r="AG84" i="9"/>
  <c r="AH264" i="9"/>
  <c r="AG521" i="9"/>
  <c r="AE521" i="9"/>
  <c r="AF521" i="9"/>
  <c r="AH521" i="9"/>
  <c r="AH674" i="9"/>
  <c r="AH505" i="9"/>
  <c r="AG837" i="9"/>
  <c r="AH425" i="9"/>
  <c r="AH622" i="9"/>
  <c r="AG500" i="9"/>
  <c r="AG830" i="9"/>
  <c r="AH52" i="9"/>
  <c r="AG249" i="9"/>
  <c r="AH282" i="9"/>
  <c r="AG425" i="9"/>
  <c r="AG674" i="9"/>
  <c r="AE837" i="9"/>
  <c r="AF837" i="9"/>
  <c r="AH837" i="9"/>
  <c r="AH523" i="9"/>
  <c r="AG529" i="9"/>
  <c r="AH830" i="9"/>
  <c r="AG526" i="9"/>
  <c r="AH500" i="9"/>
  <c r="AH415" i="9"/>
  <c r="AG957" i="9"/>
  <c r="AG721" i="9"/>
  <c r="AH985" i="9"/>
  <c r="AH807" i="9"/>
  <c r="AH720" i="9"/>
  <c r="AG171" i="9"/>
  <c r="AH155" i="9"/>
  <c r="AE133" i="9"/>
  <c r="AF133" i="9"/>
  <c r="AH133" i="9"/>
  <c r="AG117" i="9"/>
  <c r="AH249" i="9"/>
  <c r="AE721" i="9"/>
  <c r="AF721" i="9"/>
  <c r="AH721" i="9"/>
  <c r="AG756" i="9"/>
  <c r="AE756" i="9"/>
  <c r="AF756" i="9"/>
  <c r="AH756" i="9"/>
  <c r="AG720" i="9"/>
  <c r="AH957" i="9"/>
  <c r="AG615" i="9"/>
  <c r="AE615" i="9"/>
  <c r="AF615" i="9"/>
  <c r="AH615" i="9"/>
  <c r="AG904" i="9"/>
  <c r="AE904" i="9"/>
  <c r="AF904" i="9"/>
  <c r="AH904" i="9"/>
  <c r="AE577" i="9"/>
  <c r="AF577" i="9"/>
  <c r="AH577" i="9"/>
  <c r="AG577" i="9"/>
  <c r="AE545" i="9"/>
  <c r="AF545" i="9"/>
  <c r="AH545" i="9"/>
  <c r="AG545" i="9"/>
  <c r="AE854" i="9"/>
  <c r="AF854" i="9"/>
  <c r="AH854" i="9"/>
  <c r="AG854" i="9"/>
  <c r="AH350" i="9"/>
  <c r="AH84" i="9"/>
  <c r="AF476" i="9"/>
  <c r="AH476" i="9"/>
  <c r="AG172" i="9"/>
  <c r="AE172" i="9"/>
  <c r="AF172" i="9"/>
  <c r="AH172" i="9"/>
  <c r="AG419" i="9"/>
  <c r="AE419" i="9"/>
  <c r="AF419" i="9"/>
  <c r="AH419" i="9"/>
  <c r="AE354" i="9"/>
  <c r="AF354" i="9"/>
  <c r="AH354" i="9"/>
  <c r="AG354" i="9"/>
  <c r="AE970" i="9"/>
  <c r="AF970" i="9"/>
  <c r="AH970" i="9"/>
  <c r="AG970" i="9"/>
  <c r="AH976" i="9"/>
  <c r="AH210" i="9"/>
  <c r="AH526" i="9"/>
  <c r="AH975" i="9"/>
  <c r="AG476" i="9"/>
  <c r="AH529" i="9"/>
  <c r="AG461" i="9"/>
  <c r="AE461" i="9"/>
  <c r="AF461" i="9"/>
  <c r="AH461" i="9"/>
  <c r="AG180" i="9"/>
  <c r="AE180" i="9"/>
  <c r="AF180" i="9"/>
  <c r="AH180" i="9"/>
  <c r="AE517" i="9"/>
  <c r="AF517" i="9"/>
  <c r="AH517" i="9"/>
  <c r="AG517" i="9"/>
  <c r="AH289" i="9"/>
  <c r="AE835" i="9"/>
  <c r="AF835" i="9"/>
  <c r="AH835" i="9"/>
  <c r="AG835" i="9"/>
  <c r="AG387" i="9"/>
  <c r="AE387" i="9"/>
  <c r="AF387" i="9"/>
  <c r="AH387" i="9"/>
  <c r="AE692" i="9"/>
  <c r="AF692" i="9"/>
  <c r="AH692" i="9"/>
  <c r="AG692" i="9"/>
  <c r="AE671" i="9"/>
  <c r="AF671" i="9"/>
  <c r="AH671" i="9"/>
  <c r="AG671" i="9"/>
  <c r="AG340" i="9"/>
  <c r="AE340" i="9"/>
  <c r="AF340" i="9"/>
  <c r="AH340" i="9"/>
  <c r="AE631" i="9"/>
  <c r="AF631" i="9"/>
  <c r="AH631" i="9"/>
  <c r="AG631" i="9"/>
  <c r="AE553" i="9"/>
  <c r="AF553" i="9"/>
  <c r="AH553" i="9"/>
  <c r="AG553" i="9"/>
  <c r="AE57" i="9"/>
  <c r="AF57" i="9"/>
  <c r="AH57" i="9"/>
  <c r="AG57" i="9"/>
  <c r="AE919" i="9"/>
  <c r="AF919" i="9"/>
  <c r="AH919" i="9"/>
  <c r="AG919" i="9"/>
  <c r="AG189" i="9"/>
  <c r="AE189" i="9"/>
  <c r="AF189" i="9"/>
  <c r="AH189" i="9"/>
  <c r="AG244" i="9"/>
  <c r="AE244" i="9"/>
  <c r="AF244" i="9"/>
  <c r="AH244" i="9"/>
  <c r="AG776" i="9"/>
  <c r="AE776" i="9"/>
  <c r="AF776" i="9"/>
  <c r="AH776" i="9"/>
  <c r="AG841" i="9"/>
  <c r="AE841" i="9"/>
  <c r="AF841" i="9"/>
  <c r="AH841" i="9"/>
  <c r="AE528" i="9"/>
  <c r="AF528" i="9"/>
  <c r="AH528" i="9"/>
  <c r="AG528" i="9"/>
  <c r="AG125" i="9"/>
  <c r="AE125" i="9"/>
  <c r="AF125" i="9"/>
  <c r="AH125" i="9"/>
  <c r="AG659" i="9"/>
  <c r="AE659" i="9"/>
  <c r="AF659" i="9"/>
  <c r="AH659" i="9"/>
  <c r="AG379" i="9"/>
  <c r="AE379" i="9"/>
  <c r="AF379" i="9"/>
  <c r="AH379" i="9"/>
  <c r="AE472" i="9"/>
  <c r="AF472" i="9"/>
  <c r="AH472" i="9"/>
  <c r="AG472" i="9"/>
  <c r="AG962" i="9"/>
  <c r="AE962" i="9"/>
  <c r="AF962" i="9"/>
  <c r="AH962" i="9"/>
  <c r="AG986" i="9"/>
  <c r="AE986" i="9"/>
  <c r="AF986" i="9"/>
  <c r="AH986" i="9"/>
  <c r="AE966" i="9"/>
  <c r="AF966" i="9"/>
  <c r="AH966" i="9"/>
  <c r="AG966" i="9"/>
  <c r="AE424" i="9"/>
  <c r="AF424" i="9"/>
  <c r="AH424" i="9"/>
  <c r="AG424" i="9"/>
  <c r="AG89" i="9"/>
  <c r="AE89" i="9"/>
  <c r="AF89" i="9"/>
  <c r="AH89" i="9"/>
  <c r="AG651" i="9"/>
  <c r="AE651" i="9"/>
  <c r="AF651" i="9"/>
  <c r="AH651" i="9"/>
  <c r="AG628" i="9"/>
  <c r="AE628" i="9"/>
  <c r="AF628" i="9"/>
  <c r="AH628" i="9"/>
  <c r="AG429" i="9"/>
  <c r="AE429" i="9"/>
  <c r="AF429" i="9"/>
  <c r="AH429" i="9"/>
  <c r="AG910" i="9"/>
  <c r="AE910" i="9"/>
  <c r="AF910" i="9"/>
  <c r="AH910" i="9"/>
  <c r="AG99" i="9"/>
  <c r="AE99" i="9"/>
  <c r="AF99" i="9"/>
  <c r="AH99" i="9"/>
  <c r="AG802" i="9"/>
  <c r="AE802" i="9"/>
  <c r="AF802" i="9"/>
  <c r="AH802" i="9"/>
  <c r="AG96" i="9"/>
  <c r="AE96" i="9"/>
  <c r="AF96" i="9"/>
  <c r="AH96" i="9"/>
  <c r="AE922" i="9"/>
  <c r="AF922" i="9"/>
  <c r="AH922" i="9"/>
  <c r="AG922" i="9"/>
  <c r="AG800" i="9"/>
  <c r="AE800" i="9"/>
  <c r="AF800" i="9"/>
  <c r="AH800" i="9"/>
  <c r="AG136" i="9"/>
  <c r="AE136" i="9"/>
  <c r="AF136" i="9"/>
  <c r="AH136" i="9"/>
  <c r="AE610" i="9"/>
  <c r="AF610" i="9"/>
  <c r="AH610" i="9"/>
  <c r="AG610" i="9"/>
  <c r="AG886" i="9"/>
  <c r="AE886" i="9"/>
  <c r="AF886" i="9"/>
  <c r="AH886" i="9"/>
  <c r="AE815" i="9"/>
  <c r="AF815" i="9"/>
  <c r="AH815" i="9"/>
  <c r="AG815" i="9"/>
  <c r="AG440" i="9"/>
  <c r="AE440" i="9"/>
  <c r="AF440" i="9"/>
  <c r="AH440" i="9"/>
  <c r="AG768" i="9"/>
  <c r="AE768" i="9"/>
  <c r="AF768" i="9"/>
  <c r="AH768" i="9"/>
  <c r="AH999" i="9"/>
  <c r="AG351" i="9"/>
  <c r="AE351" i="9"/>
  <c r="AF351" i="9"/>
  <c r="AH351" i="9"/>
  <c r="AG109" i="9"/>
  <c r="AE109" i="9"/>
  <c r="AF109" i="9"/>
  <c r="AH109" i="9"/>
  <c r="AE492" i="9"/>
  <c r="AF492" i="9"/>
  <c r="AH492" i="9"/>
  <c r="AG492" i="9"/>
  <c r="AE401" i="9"/>
  <c r="AF401" i="9"/>
  <c r="AH401" i="9"/>
  <c r="AG401" i="9"/>
  <c r="AG371" i="9"/>
  <c r="AE371" i="9"/>
  <c r="AF371" i="9"/>
  <c r="AH371" i="9"/>
  <c r="AG60" i="9"/>
  <c r="AE60" i="9"/>
  <c r="AF60" i="9"/>
  <c r="AH60" i="9"/>
  <c r="AE186" i="9"/>
  <c r="AF186" i="9"/>
  <c r="AH186" i="9"/>
  <c r="AG186" i="9"/>
  <c r="AG504" i="9"/>
  <c r="AE504" i="9"/>
  <c r="AF504" i="9"/>
  <c r="AH504" i="9"/>
  <c r="AG647" i="9"/>
  <c r="AE647" i="9"/>
  <c r="AF647" i="9"/>
  <c r="AH647" i="9"/>
  <c r="AG508" i="9"/>
  <c r="AE508" i="9"/>
  <c r="AF508" i="9"/>
  <c r="AH508" i="9"/>
  <c r="AE923" i="9"/>
  <c r="AF923" i="9"/>
  <c r="AH923" i="9"/>
  <c r="AG923" i="9"/>
  <c r="AG128" i="9"/>
  <c r="AE128" i="9"/>
  <c r="AF128" i="9"/>
  <c r="AH128" i="9"/>
  <c r="AE142" i="9"/>
  <c r="AF142" i="9"/>
  <c r="AH142" i="9"/>
  <c r="AG142" i="9"/>
  <c r="AE158" i="9"/>
  <c r="AF158" i="9"/>
  <c r="AH158" i="9"/>
  <c r="AG158" i="9"/>
  <c r="AE697" i="9"/>
  <c r="AF697" i="9"/>
  <c r="AH697" i="9"/>
  <c r="AG697" i="9"/>
  <c r="AG349" i="9"/>
  <c r="AE349" i="9"/>
  <c r="AF349" i="9"/>
  <c r="AH349" i="9"/>
  <c r="AG121" i="9"/>
  <c r="AE121" i="9"/>
  <c r="AF121" i="9"/>
  <c r="AH121" i="9"/>
  <c r="AE484" i="9"/>
  <c r="AF484" i="9"/>
  <c r="AH484" i="9"/>
  <c r="AG484" i="9"/>
  <c r="AG806" i="9"/>
  <c r="AE806" i="9"/>
  <c r="AF806" i="9"/>
  <c r="AH806" i="9"/>
  <c r="AE964" i="9"/>
  <c r="AF964" i="9"/>
  <c r="AH964" i="9"/>
  <c r="AG964" i="9"/>
  <c r="AE642" i="9"/>
  <c r="AF642" i="9"/>
  <c r="AH642" i="9"/>
  <c r="AG642" i="9"/>
  <c r="AG485" i="9"/>
  <c r="AE485" i="9"/>
  <c r="AF485" i="9"/>
  <c r="AH485" i="9"/>
  <c r="AE686" i="9"/>
  <c r="AF686" i="9"/>
  <c r="AH686" i="9"/>
  <c r="AG686" i="9"/>
  <c r="AG955" i="9"/>
  <c r="AE955" i="9"/>
  <c r="AF955" i="9"/>
  <c r="AH955" i="9"/>
  <c r="AE728" i="9"/>
  <c r="AF728" i="9"/>
  <c r="AH728" i="9"/>
  <c r="AG728" i="9"/>
  <c r="AG533" i="9"/>
  <c r="AE533" i="9"/>
  <c r="AF533" i="9"/>
  <c r="AH533" i="9"/>
  <c r="AE856" i="9"/>
  <c r="AF856" i="9"/>
  <c r="AH856" i="9"/>
  <c r="AG856" i="9"/>
  <c r="AE868" i="9"/>
  <c r="AF868" i="9"/>
  <c r="AH868" i="9"/>
  <c r="AG868" i="9"/>
  <c r="AG187" i="9"/>
  <c r="AE187" i="9"/>
  <c r="AF187" i="9"/>
  <c r="AH187" i="9"/>
  <c r="AG564" i="9"/>
  <c r="AE564" i="9"/>
  <c r="AF564" i="9"/>
  <c r="AH564" i="9"/>
  <c r="AE262" i="9"/>
  <c r="AF262" i="9"/>
  <c r="AH262" i="9"/>
  <c r="AG262" i="9"/>
  <c r="AG640" i="9"/>
  <c r="AE640" i="9"/>
  <c r="AF640" i="9"/>
  <c r="AH640" i="9"/>
  <c r="AG367" i="9"/>
  <c r="AE367" i="9"/>
  <c r="AF367" i="9"/>
  <c r="AH367" i="9"/>
  <c r="AE931" i="9"/>
  <c r="AF931" i="9"/>
  <c r="AH931" i="9"/>
  <c r="AG931" i="9"/>
  <c r="AG927" i="9"/>
  <c r="AE927" i="9"/>
  <c r="AF927" i="9"/>
  <c r="AH927" i="9"/>
  <c r="AG87" i="9"/>
  <c r="AE87" i="9"/>
  <c r="AF87" i="9"/>
  <c r="AH87" i="9"/>
  <c r="AG147" i="9"/>
  <c r="AE147" i="9"/>
  <c r="AF147" i="9"/>
  <c r="AH147"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300-000001000000}">
      <text>
        <r>
          <rPr>
            <sz val="10"/>
            <color rgb="FF000000"/>
            <rFont val="Arial"/>
            <family val="2"/>
          </rPr>
          <t>Isi sendiri, bebas karena Brand sendiri</t>
        </r>
      </text>
    </comment>
    <comment ref="E3" authorId="0" shapeId="0" xr:uid="{00000000-0006-0000-0300-000002000000}">
      <text>
        <r>
          <rPr>
            <sz val="10"/>
            <color rgb="FF000000"/>
            <rFont val="Arial"/>
            <family val="2"/>
            <scheme val="minor"/>
          </rPr>
          <t>Isi sendiri, bebas karena Brand sendiri</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<sst xmlns="http://schemas.openxmlformats.org/spreadsheetml/2006/main" count="5369" uniqueCount="1029">
  <si>
    <t>Kode diskon</t>
  </si>
  <si>
    <t>Diskon</t>
  </si>
  <si>
    <t>Jenis promo</t>
  </si>
  <si>
    <t>Marketplace</t>
  </si>
  <si>
    <t>Lokasi pembeli</t>
  </si>
  <si>
    <t>DISC10</t>
  </si>
  <si>
    <t>Shopee</t>
  </si>
  <si>
    <t>DISC20</t>
  </si>
  <si>
    <t>Promo Lebaran</t>
  </si>
  <si>
    <t>Tokopedia</t>
  </si>
  <si>
    <t>-</t>
  </si>
  <si>
    <t>Bukalapak</t>
  </si>
  <si>
    <t>DISC15</t>
  </si>
  <si>
    <t>BliBli</t>
  </si>
  <si>
    <t>Celana Pendek</t>
  </si>
  <si>
    <t>Flat Shoes</t>
  </si>
  <si>
    <t>Jaket Hoodie</t>
  </si>
  <si>
    <t>Jaket Jeans</t>
  </si>
  <si>
    <t>Kaftan</t>
  </si>
  <si>
    <t>Kaos Polo</t>
  </si>
  <si>
    <t>Sandal Slip On</t>
  </si>
  <si>
    <t>No</t>
  </si>
  <si>
    <t>OrderID</t>
  </si>
  <si>
    <t>Qty A</t>
  </si>
  <si>
    <t>Qty B</t>
  </si>
  <si>
    <t>Qty C</t>
  </si>
  <si>
    <t>Total Qty</t>
  </si>
  <si>
    <t>BELI44</t>
  </si>
  <si>
    <t>Promo 4.4</t>
  </si>
  <si>
    <t>DISCAPRIL</t>
  </si>
  <si>
    <t>LEBAR10</t>
  </si>
  <si>
    <t>BUKALEBAR</t>
  </si>
  <si>
    <t>KATALOG [NAMA BRAND]</t>
  </si>
  <si>
    <t>Kategori</t>
  </si>
  <si>
    <t>Nama Barang</t>
  </si>
  <si>
    <t>Harga Produksi</t>
  </si>
  <si>
    <t>Pakaian Wanita</t>
  </si>
  <si>
    <t>Pakaian Pria</t>
  </si>
  <si>
    <t>Pakaian Unisex</t>
  </si>
  <si>
    <t>Sepatu Pria</t>
  </si>
  <si>
    <t>Sepatu Wanita</t>
  </si>
  <si>
    <t>Guide pengerjaan sheet Main Data dan Final Project</t>
  </si>
  <si>
    <t>Contoh :</t>
  </si>
  <si>
    <t>Kode Diskon [NAMA BRAND] Bulan April 2023</t>
  </si>
  <si>
    <t>Platform</t>
  </si>
  <si>
    <t>Jenis Promo</t>
  </si>
  <si>
    <t>Kode Diskon</t>
  </si>
  <si>
    <t>Besar Diskon</t>
  </si>
  <si>
    <t>Keterangan</t>
  </si>
  <si>
    <t>Nomor data</t>
  </si>
  <si>
    <t>ID pesanan</t>
  </si>
  <si>
    <t>Besar diskon (dalam %)</t>
  </si>
  <si>
    <t>Jenis promo dari kode diskon yang digunakan</t>
  </si>
  <si>
    <t>Tanggal dilakukannya pembelian</t>
  </si>
  <si>
    <t>Harga Jual</t>
  </si>
  <si>
    <t>Kode Barang</t>
  </si>
  <si>
    <t>Dress</t>
  </si>
  <si>
    <t>Blouse</t>
  </si>
  <si>
    <t>Sneakers</t>
  </si>
  <si>
    <t>PW001</t>
  </si>
  <si>
    <t>PW002</t>
  </si>
  <si>
    <t>PW003</t>
  </si>
  <si>
    <t>PP001</t>
  </si>
  <si>
    <t>PP002</t>
  </si>
  <si>
    <t>PP003</t>
  </si>
  <si>
    <t>PU001</t>
  </si>
  <si>
    <t>SP001</t>
  </si>
  <si>
    <t>SP002</t>
  </si>
  <si>
    <t>SW001</t>
  </si>
  <si>
    <t>Item A</t>
  </si>
  <si>
    <t>Item B</t>
  </si>
  <si>
    <t>Item C</t>
  </si>
  <si>
    <t>Harga Barang A</t>
  </si>
  <si>
    <t>Harga Barang B</t>
  </si>
  <si>
    <t>Harga Barang C</t>
  </si>
  <si>
    <t>[{item_code: PW001, quantity: 1, rating: 4}, {item_code: SP001, quantity: 3, rating: 4}, {item_code: SW001, quantity: 2, rating: 3}]</t>
  </si>
  <si>
    <t>[{item_code: PW002, quantity: 1, rating: 2}, {item_code: PP003, quantity: 1, rating: 1}, {item_code: SP002, quantity: 2, rating: 4}]</t>
  </si>
  <si>
    <t>[{item_code: PW003, quantity: 2, rating: 3}, {item_code: SW001, quantity: 1, rating: 5}]</t>
  </si>
  <si>
    <t>[{item_code: PP001, quantity: 1, rating: 1}, {item_code: PP002, quantity: 1, rating: 3}, {item_code: PU001, quantity: 3, rating: 2}]</t>
  </si>
  <si>
    <t>[{item_code: PP002, quantity: 2, rating: 3}, {item_code: PP002, quantity: 1, rating: 2}]</t>
  </si>
  <si>
    <t>[{item_code: PP003, quantity: 2, rating: 4}, {item_code: PP002, quantity: 2, rating: 3}, {item_code: PU001, quantity: 1, rating: 5}]</t>
  </si>
  <si>
    <t>[{item_code: PU001, quantity: 4, rating: 4}]</t>
  </si>
  <si>
    <t>[{item_code: SP001, quantity: 4, rating: 1}, {item_code: PP002, quantity: 1, rating: 3}]</t>
  </si>
  <si>
    <t>[{item_code: PW002, quantity: 1, rating: 3}, {item_code: PW001, quantity: 1, rating: 2}]</t>
  </si>
  <si>
    <t>[{item_code: PP002, quantity: 3, rating: 4}, {item_code: PP001, quantity: 2, rating: 5}]</t>
  </si>
  <si>
    <t>[{item_code: PU001, quantity: 3, rating: 5}, {item_code: PW001, quantity: 1, rating: 5}, {item_code: PP001, quantity: 1, rating: 4}]</t>
  </si>
  <si>
    <t>[{item_code: PW001, quantity: 1, rating: 3}]</t>
  </si>
  <si>
    <t>[{item_code: PP001, quantity: 3, rating: 1}, {item_code: PP001, quantity: 1, rating: 1}, {item_code: PP001, quantity: 1, rating: 4}]</t>
  </si>
  <si>
    <t>[{item_code: PP001, quantity: 1, rating: 2}, {item_code: PP002, quantity: 1, rating: 2}, {item_code: PP001, quantity: 1, rating: 5}]</t>
  </si>
  <si>
    <t>[{item_code: PP002, quantity: 1, rating: 2}, {item_code: PW002, quantity: 1, rating: 4}, {item_code: SP002, quantity: 3, rating: 5}]</t>
  </si>
  <si>
    <t>[{item_code: PP001, quantity: 1, rating: 1}]</t>
  </si>
  <si>
    <t>[{item_code: PU001, quantity: 2, rating: 4}, {item_code: PW001, quantity: 1, rating: 5}]</t>
  </si>
  <si>
    <t>[{item_code: PW001, quantity: 1, rating: 4}]</t>
  </si>
  <si>
    <t>[{item_code: SP002, quantity: 1, rating: 4}, {item_code: SW001, quantity: 2, rating: 2}, {item_code: PP001, quantity: 1, rating: 4}]</t>
  </si>
  <si>
    <t>[{item_code: PP002, quantity: 1, rating: 1}]</t>
  </si>
  <si>
    <t>[{item_code: PW002, quantity: 2, rating: 5}, {item_code: SP002, quantity: 1, rating: 2}]</t>
  </si>
  <si>
    <t>[{item_code: PU001, quantity: 1, rating: 1}, {item_code: PW001, quantity: 3, rating: 1}]</t>
  </si>
  <si>
    <t>[{item_code: PW002, quantity: 3, rating: 2}, {item_code: SP002, quantity: 1, rating: 5}]</t>
  </si>
  <si>
    <t>[{item_code: PW003, quantity: 7, rating: 4}]</t>
  </si>
  <si>
    <t>[{item_code: PU001, quantity: 1, rating: 1}, {item_code: PW001, quantity: 6, rating: 5}]</t>
  </si>
  <si>
    <t>[{item_code: PP003, quantity: 2, rating: 3}, {item_code: PW001, quantity: 3, rating: 1}]</t>
  </si>
  <si>
    <t>[{item_code: SW001, quantity: 3, rating: 1}, {item_code: PP001, quantity: 2, rating: 3}, {item_code: PW001, quantity: 1, rating: 3}]</t>
  </si>
  <si>
    <t>[{item_code: PP002, quantity: 5, rating: 2}, {item_code: PW001, quantity: 2, rating: 1}]</t>
  </si>
  <si>
    <t>[{item_code: PW003, quantity: 1, rating: 1}]</t>
  </si>
  <si>
    <t>[{item_code: PP002, quantity: 2, rating: 2}, {item_code: SW001, quantity: 1, rating: 1}, {item_code: PW002, quantity: 3, rating: 1}]</t>
  </si>
  <si>
    <t>[{item_code: PU001, quantity: 2, rating: 3}, {item_code: PW001, quantity: 4, rating: 3}]</t>
  </si>
  <si>
    <t>[{item_code: PP003, quantity: 5, rating: 5}]</t>
  </si>
  <si>
    <t>[{item_code: PW001, quantity: 4, rating: 1}]</t>
  </si>
  <si>
    <t>[{item_code: PU001, quantity: 2, rating: 1}, {item_code: SP001, quantity: 2, rating: 4}, {item_code: PP002, quantity: 2, rating: 2}]</t>
  </si>
  <si>
    <t>[{item_code: PW003, quantity: 2, rating: 2}, {item_code: PP003, quantity: 1, rating: 2}]</t>
  </si>
  <si>
    <t>[{item_code: PW002, quantity: 1, rating: 1}, {item_code: SW001, quantity: 1, rating: 5}]</t>
  </si>
  <si>
    <t>[{item_code: SW001, quantity: 1, rating: 3}, {item_code: PP002, quantity: 2, rating: 2}]</t>
  </si>
  <si>
    <t>[{item_code: PU001, quantity: 7, rating: 3}]</t>
  </si>
  <si>
    <t>[{item_code: SP002, quantity: 6, rating: 4}]</t>
  </si>
  <si>
    <t>[{item_code: PW003, quantity: 2, rating: 5}, {item_code: PP002, quantity: 3, rating: 3}, {item_code: PP001, quantity: 2, rating: 3}]</t>
  </si>
  <si>
    <t>[{item_code: SP002, quantity: 2, rating: 3}]</t>
  </si>
  <si>
    <t>[{item_code: PP003, quantity: 1, rating: 5}]</t>
  </si>
  <si>
    <t>[{item_code: SP001, quantity: 5, rating: 1}, {item_code: PW002, quantity: 2, rating: 3}]</t>
  </si>
  <si>
    <t>[{item_code: PW001, quantity: 4, rating: 3}, {item_code: PP003, quantity: 1, rating: 5}, {item_code: PW003, quantity: 2, rating: 1}]</t>
  </si>
  <si>
    <t>[{item_code: PW002, quantity: 2, rating: 3}]</t>
  </si>
  <si>
    <t>[{item_code: SP001, quantity: 1, rating: 2}, {item_code: PW001, quantity: 1, rating: 1}, {item_code: PP003, quantity: 1, rating: 4}]</t>
  </si>
  <si>
    <t>[{item_code: PW001, quantity: 1, rating: 1}, {item_code: PP003, quantity: 2, rating: 3}]</t>
  </si>
  <si>
    <t>[{item_code: PP001, quantity: 4, rating: 1}]</t>
  </si>
  <si>
    <t>[{item_code: PU001, quantity: 1, rating: 3}, {item_code: SW001, quantity: 4, rating: 3}]</t>
  </si>
  <si>
    <t>[{item_code: PP001, quantity: 1, rating: 2}, {item_code: SW001, quantity: 3, rating: 5}, {item_code: SP001, quantity: 3, rating: 2}]</t>
  </si>
  <si>
    <t>[{item_code: PW002, quantity: 5, rating: 4}, {item_code: SP001, quantity: 1, rating: 3}]</t>
  </si>
  <si>
    <t>[{item_code: SP002, quantity: 2, rating: 1}, {item_code: SP001, quantity: 2, rating: 3}, {item_code: PW002, quantity: 1, rating: 5}]</t>
  </si>
  <si>
    <t>[{item_code: SP001, quantity: 2, rating: 1}, {item_code: PU001, quantity: 1, rating: 1}]</t>
  </si>
  <si>
    <t>[{item_code: PW001, quantity: 1, rating: 1}, {item_code: SP002, quantity: 5, rating: 5}]</t>
  </si>
  <si>
    <t>[{item_code: SP001, quantity: 2, rating: 1}]</t>
  </si>
  <si>
    <t>[{item_code: PP002, quantity: 1, rating: 5}, {item_code: PU001, quantity: 1, rating: 5}]</t>
  </si>
  <si>
    <t>[{item_code: SW001, quantity: 2, rating: 2}]</t>
  </si>
  <si>
    <t>[{item_code: PW001, quantity: 2, rating: 5}]</t>
  </si>
  <si>
    <t>[{item_code: SP002, quantity: 5, rating: 5}, {item_code: SW001, quantity: 1, rating: 4}]</t>
  </si>
  <si>
    <t>[{item_code: SW001, quantity: 5, rating: 5}]</t>
  </si>
  <si>
    <t>[{item_code: SP001, quantity: 2, rating: 1}, {item_code: PP001, quantity: 1, rating: 4}]</t>
  </si>
  <si>
    <t>[{item_code: PU001, quantity: 1, rating: 4}, {item_code: PW003, quantity: 1, rating: 2}, {item_code: PP002, quantity: 3, rating: 5}]</t>
  </si>
  <si>
    <t>[{item_code: PW002, quantity: 2, rating: 5}]</t>
  </si>
  <si>
    <t>[{item_code: SP001, quantity: 6, rating: 1}, {item_code: PP002, quantity: 1, rating: 2}]</t>
  </si>
  <si>
    <t>[{item_code: PW001, quantity: 1, rating: 5}]</t>
  </si>
  <si>
    <t>[{item_code: PW002, quantity: 1, rating: 2}, {item_code: SP001, quantity: 2, rating: 1}, {item_code: PP001, quantity: 1, rating: 5}]</t>
  </si>
  <si>
    <t>[{item_code: SP001, quantity: 3, rating: 1}, {item_code: PP002, quantity: 1, rating: 1}, {item_code: SW001, quantity: 2, rating: 3}]</t>
  </si>
  <si>
    <t>[{item_code: PW002, quantity: 4, rating: 5}, {item_code: PP003, quantity: 3, rating: 1}]</t>
  </si>
  <si>
    <t>[{item_code: PP002, quantity: 3, rating: 3}, {item_code: SP002, quantity: 1, rating: 4}, {item_code: PP002, quantity: 1, rating: 5}]</t>
  </si>
  <si>
    <t>[{item_code: PW001, quantity: 4, rating: 2}, {item_code: PP003, quantity: 1, rating: 3}]</t>
  </si>
  <si>
    <t>[{item_code: SW001, quantity: 3, rating: 4}, {item_code: PP001, quantity: 2, rating: 3}, {item_code: PW002, quantity: 1, rating: 1}]</t>
  </si>
  <si>
    <t>[{item_code: SW001, quantity: 1, rating: 3}, {item_code: SP001, quantity: 2, rating: 2}, {item_code: PW002, quantity: 3, rating: 4}]</t>
  </si>
  <si>
    <t>[{item_code: PW001, quantity: 3, rating: 4}]</t>
  </si>
  <si>
    <t>[{item_code: PP003, quantity: 6, rating: 4}, {item_code: PW001, quantity: 1, rating: 1}]</t>
  </si>
  <si>
    <t>[{item_code: PW002, quantity: 3, rating: 1}]</t>
  </si>
  <si>
    <t>[{item_code: PP002, quantity: 5, rating: 5}, {item_code: PW003, quantity: 1, rating: 4}, {item_code: PP001, quantity: 1, rating: 3}]</t>
  </si>
  <si>
    <t>[{item_code: SW001, quantity: 2, rating: 5}, {item_code: SP002, quantity: 2, rating: 5}, {item_code: PW003, quantity: 1, rating: 3}]</t>
  </si>
  <si>
    <t>[{item_code: PP003, quantity: 1, rating: 1}, {item_code: PW003, quantity: 1, rating: 2}]</t>
  </si>
  <si>
    <t>[{item_code: SW001, quantity: 4, rating: 1}, {item_code: PP001, quantity: 1, rating: 2}, {item_code: SP001, quantity: 2, rating: 1}]</t>
  </si>
  <si>
    <t>[{item_code: PP001, quantity: 1, rating: 5}, {item_code: PW003, quantity: 1, rating: 1}, {item_code: PU001, quantity: 1, rating: 3}]</t>
  </si>
  <si>
    <t>[{item_code: PW001, quantity: 2, rating: 3}, {item_code: PP002, quantity: 1, rating: 4}]</t>
  </si>
  <si>
    <t>[{item_code: PW003, quantity: 1, rating: 3}]</t>
  </si>
  <si>
    <t>[{item_code: PW001, quantity: 2, rating: 4}, {item_code: PP001, quantity: 1, rating: 3}]</t>
  </si>
  <si>
    <t>[{item_code: PP003, quantity: 2, rating: 1}, {item_code: PW002, quantity: 1, rating: 2}, {item_code: PP002, quantity: 1, rating: 4}]</t>
  </si>
  <si>
    <t>[{item_code: PW003, quantity: 4, rating: 2}, {item_code: PW001, quantity: 1, rating: 5}]</t>
  </si>
  <si>
    <t>[{item_code: PP002, quantity: 5, rating: 2}, {item_code: SP001, quantity: 1, rating: 4}, {item_code: PW002, quantity: 1, rating: 4}]</t>
  </si>
  <si>
    <t>[{item_code: SW001, quantity: 2, rating: 3}, {item_code: PW001, quantity: 3, rating: 1}]</t>
  </si>
  <si>
    <t>[{item_code: PW003, quantity: 1, rating: 2}, {item_code: PP002, quantity: 1, rating: 5}]</t>
  </si>
  <si>
    <t>[{item_code: SP002, quantity: 1, rating: 1}]</t>
  </si>
  <si>
    <t>[{item_code: PP001, quantity: 3, rating: 1}, {item_code: PW003, quantity: 1, rating: 2}]</t>
  </si>
  <si>
    <t>[{item_code: PW003, quantity: 3, rating: 2}]</t>
  </si>
  <si>
    <t>[{item_code: SP002, quantity: 1, rating: 2}, {item_code: PP002, quantity: 1, rating: 1}, {item_code: PP003, quantity: 3, rating: 1}]</t>
  </si>
  <si>
    <t>[{item_code: PW001, quantity: 5, rating: 5}]</t>
  </si>
  <si>
    <t>[{item_code: PW003, quantity: 4, rating: 5}]</t>
  </si>
  <si>
    <t>[{item_code: PW001, quantity: 1, rating: 1}, {item_code: PU001, quantity: 1, rating: 5}]</t>
  </si>
  <si>
    <t>[{item_code: PU001, quantity: 1, rating: 3}, {item_code: SP002, quantity: 2, rating: 4}, {item_code: PW001, quantity: 1, rating: 5}]</t>
  </si>
  <si>
    <t>[{item_code: PP002, quantity: 3, rating: 5}, {item_code: PW002, quantity: 1, rating: 5}, {item_code: PP002, quantity: 1, rating: 3}]</t>
  </si>
  <si>
    <t>[{item_code: SW001, quantity: 1, rating: 1}, {item_code: SP001, quantity: 1, rating: 2}, {item_code: SW001, quantity: 1, rating: 1}]</t>
  </si>
  <si>
    <t>[{item_code: SP001, quantity: 4, rating: 5}, {item_code: PP003, quantity: 1, rating: 1}]</t>
  </si>
  <si>
    <t>[{item_code: PP003, quantity: 3, rating: 4}, {item_code: SW001, quantity: 1, rating: 1}, {item_code: SP001, quantity: 1, rating: 5}]</t>
  </si>
  <si>
    <t>[{item_code: PU001, quantity: 1, rating: 5}, {item_code: SW001, quantity: 1, rating: 5}]</t>
  </si>
  <si>
    <t>[{item_code: PW001, quantity: 2, rating: 2}, {item_code: PW003, quantity: 1, rating: 1}]</t>
  </si>
  <si>
    <t>[{item_code: SP001, quantity: 3, rating: 5}]</t>
  </si>
  <si>
    <t>[{item_code: PW003, quantity: 5, rating: 4}]</t>
  </si>
  <si>
    <t>[{item_code: PW001, quantity: 1, rating: 5}, {item_code: PU001, quantity: 1, rating: 3}]</t>
  </si>
  <si>
    <t>[{item_code: PU001, quantity: 7, rating: 4}]</t>
  </si>
  <si>
    <t>[{item_code: SW001, quantity: 1, rating: 4}, {item_code: PP002, quantity: 1, rating: 3}]</t>
  </si>
  <si>
    <t>[{item_code: PW001, quantity: 4, rating: 2}]</t>
  </si>
  <si>
    <t>[{item_code: PP003, quantity: 3, rating: 4}, {item_code: PP001, quantity: 2, rating: 5}, {item_code: SP001, quantity: 1, rating: 5}]</t>
  </si>
  <si>
    <t>[{item_code: SW001, quantity: 1, rating: 2}, {item_code: SP001, quantity: 1, rating: 2}, {item_code: SW001, quantity: 2, rating: 5}]</t>
  </si>
  <si>
    <t>[{item_code: SP001, quantity: 3, rating: 1}, {item_code: PW003, quantity: 1, rating: 4}]</t>
  </si>
  <si>
    <t>[{item_code: PU001, quantity: 2, rating: 3}]</t>
  </si>
  <si>
    <t>[{item_code: PP002, quantity: 2, rating: 3}, {item_code: PW003, quantity: 1, rating: 4}]</t>
  </si>
  <si>
    <t>[{item_code: SW001, quantity: 4, rating: 4}]</t>
  </si>
  <si>
    <t>[{item_code: SW001, quantity: 1, rating: 5}, {item_code: PW003, quantity: 1, rating: 2}]</t>
  </si>
  <si>
    <t>[{item_code: PW001, quantity: 5, rating: 4}]</t>
  </si>
  <si>
    <t>[{item_code: PU001, quantity: 2, rating: 1}, {item_code: PW001, quantity: 2, rating: 5}, {item_code: SP002, quantity: 3, rating: 3}]</t>
  </si>
  <si>
    <t>[{item_code: SP001, quantity: 2, rating: 3}, {item_code: SW001, quantity: 1, rating: 2}]</t>
  </si>
  <si>
    <t>[{item_code: PW001, quantity: 2, rating: 1}]</t>
  </si>
  <si>
    <t>[{item_code: PP003, quantity: 3, rating: 5}, {item_code: SP001, quantity: 1, rating: 3}]</t>
  </si>
  <si>
    <t>[{item_code: PW003, quantity: 2, rating: 5}, {item_code: PP003, quantity: 2, rating: 2}]</t>
  </si>
  <si>
    <t>[{item_code: SP001, quantity: 1, rating: 5}, {item_code: SW001, quantity: 1, rating: 4}]</t>
  </si>
  <si>
    <t>[{item_code: PW003, quantity: 4, rating: 5}, {item_code: SW001, quantity: 1, rating: 2}, {item_code: PW002, quantity: 2, rating: 5}]</t>
  </si>
  <si>
    <t>[{item_code: PW002, quantity: 3, rating: 2}, {item_code: SW001, quantity: 2, rating: 4}, {item_code: PU001, quantity: 1, rating: 1}]</t>
  </si>
  <si>
    <t>[{item_code: PP001, quantity: 3, rating: 2}]</t>
  </si>
  <si>
    <t>[{item_code: SP002, quantity: 2, rating: 2}]</t>
  </si>
  <si>
    <t>[{item_code: PP001, quantity: 1, rating: 4}, {item_code: SW001, quantity: 1, rating: 1}]</t>
  </si>
  <si>
    <t>[{item_code: PP003, quantity: 5, rating: 5}, {item_code: PW002, quantity: 1, rating: 1}]</t>
  </si>
  <si>
    <t>[{item_code: PW002, quantity: 1, rating: 4}, {item_code: PP001, quantity: 1, rating: 3}, {item_code: SW001, quantity: 5, rating: 5}]</t>
  </si>
  <si>
    <t>[{item_code: PW002, quantity: 5, rating: 5}, {item_code: PP003, quantity: 1, rating: 1}, {item_code: PP001, quantity: 1, rating: 5}]</t>
  </si>
  <si>
    <t>[{item_code: PP002, quantity: 2, rating: 3}, {item_code: PU001, quantity: 2, rating: 3}, {item_code: SP001, quantity: 1, rating: 5}]</t>
  </si>
  <si>
    <t>[{item_code: SW001, quantity: 3, rating: 4}, {item_code: PW001, quantity: 1, rating: 4}]</t>
  </si>
  <si>
    <t>[{item_code: PP003, quantity: 1, rating: 2}]</t>
  </si>
  <si>
    <t>[{item_code: SW001, quantity: 1, rating: 2}, {item_code: PU001, quantity: 1, rating: 4}, {item_code: PW001, quantity: 3, rating: 3}]</t>
  </si>
  <si>
    <t>[{item_code: PW002, quantity: 4, rating: 4}]</t>
  </si>
  <si>
    <t>[{item_code: SP002, quantity: 3, rating: 3}, {item_code: PW001, quantity: 1, rating: 3}, {item_code: SP002, quantity: 1, rating: 4}]</t>
  </si>
  <si>
    <t>[{item_code: PU001, quantity: 2, rating: 1}, {item_code: SW001, quantity: 1, rating: 2}]</t>
  </si>
  <si>
    <t>[{item_code: SW001, quantity: 2, rating: 1}, {item_code: PU001, quantity: 1, rating: 3}, {item_code: SP001, quantity: 4, rating: 3}]</t>
  </si>
  <si>
    <t>[{item_code: SP002, quantity: 2, rating: 5}, {item_code: PP002, quantity: 3, rating: 5}]</t>
  </si>
  <si>
    <t>[{item_code: PU001, quantity: 1, rating: 1}]</t>
  </si>
  <si>
    <t>[{item_code: SP002, quantity: 3, rating: 4}, {item_code: SP002, quantity: 3, rating: 2}, {item_code: PW002, quantity: 1, rating: 5}]</t>
  </si>
  <si>
    <t>[{item_code: PW002, quantity: 6, rating: 1}, {item_code: PW003, quantity: 1, rating: 3}]</t>
  </si>
  <si>
    <t>[{item_code: PW003, quantity: 2, rating: 5}]</t>
  </si>
  <si>
    <t>[{item_code: SW001, quantity: 2, rating: 5}]</t>
  </si>
  <si>
    <t>[{item_code: PP001, quantity: 2, rating: 4}, {item_code: SP001, quantity: 1, rating: 2}, {item_code: PW002, quantity: 1, rating: 5}]</t>
  </si>
  <si>
    <t>[{item_code: PW001, quantity: 1, rating: 4}, {item_code: SP002, quantity: 2, rating: 2}, {item_code: PW002, quantity: 3, rating: 4}]</t>
  </si>
  <si>
    <t>[{item_code: SW001, quantity: 4, rating: 2}, {item_code: PP001, quantity: 1, rating: 5}]</t>
  </si>
  <si>
    <t>[{item_code: PW003, quantity: 4, rating: 3}]</t>
  </si>
  <si>
    <t>[{item_code: SW001, quantity: 2, rating: 1}, {item_code: PP001, quantity: 1, rating: 5}]</t>
  </si>
  <si>
    <t>[{item_code: PP001, quantity: 7, rating: 1}]</t>
  </si>
  <si>
    <t>[{item_code: PP001, quantity: 4, rating: 5}, {item_code: SP002, quantity: 1, rating: 3}, {item_code: SW001, quantity: 1, rating: 2}]</t>
  </si>
  <si>
    <t>[{item_code: PP001, quantity: 1, rating: 2}, {item_code: PP003, quantity: 2, rating: 5}, {item_code: PW001, quantity: 1, rating: 2}]</t>
  </si>
  <si>
    <t>[{item_code: SW001, quantity: 4, rating: 2}]</t>
  </si>
  <si>
    <t>[{item_code: PU001, quantity: 4, rating: 3}, {item_code: PP003, quantity: 2, rating: 5}]</t>
  </si>
  <si>
    <t>[{item_code: PW001, quantity: 1, rating: 4}, {item_code: PP001, quantity: 2, rating: 3}, {item_code: SP002, quantity: 2, rating: 1}]</t>
  </si>
  <si>
    <t>[{item_code: PP003, quantity: 3, rating: 2}, {item_code: SW001, quantity: 1, rating: 5}]</t>
  </si>
  <si>
    <t>[{item_code: PU001, quantity: 2, rating: 3}, {item_code: PU001, quantity: 2, rating: 1}, {item_code: PU001, quantity: 2, rating: 4}]</t>
  </si>
  <si>
    <t>[{item_code: PP001, quantity: 2, rating: 3}, {item_code: SP002, quantity: 1, rating: 2}, {item_code: PU001, quantity: 1, rating: 1}]</t>
  </si>
  <si>
    <t>[{item_code: PP003, quantity: 2, rating: 5}]</t>
  </si>
  <si>
    <t>[{item_code: SW001, quantity: 2, rating: 4}]</t>
  </si>
  <si>
    <t>[{item_code: PP002, quantity: 1, rating: 4}, {item_code: PP001, quantity: 4, rating: 1}]</t>
  </si>
  <si>
    <t>[{item_code: PP003, quantity: 5, rating: 2}, {item_code: SP002, quantity: 2, rating: 4}]</t>
  </si>
  <si>
    <t>[{item_code: PW001, quantity: 2, rating: 3}, {item_code: PW003, quantity: 1, rating: 4}]</t>
  </si>
  <si>
    <t>[{item_code: PW001, quantity: 1, rating: 5}, {item_code: SP002, quantity: 2, rating: 5}]</t>
  </si>
  <si>
    <t>[{item_code: PP003, quantity: 1, rating: 3}]</t>
  </si>
  <si>
    <t>[{item_code: PP002, quantity: 3, rating: 1}, {item_code: SP002, quantity: 1, rating: 2}, {item_code: PW003, quantity: 2, rating: 1}]</t>
  </si>
  <si>
    <t>[{item_code: PP003, quantity: 3, rating: 3}, {item_code: SP002, quantity: 1, rating: 1}]</t>
  </si>
  <si>
    <t>[{item_code: PW002, quantity: 6, rating: 3}, {item_code: SW001, quantity: 1, rating: 4}]</t>
  </si>
  <si>
    <t>[{item_code: PU001, quantity: 1, rating: 2}]</t>
  </si>
  <si>
    <t>[{item_code: PP002, quantity: 2, rating: 4}]</t>
  </si>
  <si>
    <t>[{item_code: PU001, quantity: 1, rating: 3}, {item_code: PW003, quantity: 1, rating: 4}]</t>
  </si>
  <si>
    <t>[{item_code: PP002, quantity: 1, rating: 3}, {item_code: SP001, quantity: 1, rating: 4}, {item_code: PW003, quantity: 1, rating: 2}]</t>
  </si>
  <si>
    <t>[{item_code: PU001, quantity: 1, rating: 3}, {item_code: SP002, quantity: 1, rating: 5}]</t>
  </si>
  <si>
    <t>[{item_code: SW001, quantity: 1, rating: 5}]</t>
  </si>
  <si>
    <t>[{item_code: PP003, quantity: 2, rating: 4}, {item_code: PW003, quantity: 1, rating: 1}, {item_code: SP002, quantity: 1, rating: 1}]</t>
  </si>
  <si>
    <t>[{item_code: PW002, quantity: 5, rating: 5}, {item_code: PP003, quantity: 2, rating: 2}]</t>
  </si>
  <si>
    <t>[{item_code: PP001, quantity: 1, rating: 3}, {item_code: PP003, quantity: 1, rating: 4}]</t>
  </si>
  <si>
    <t>[{item_code: PW002, quantity: 7, rating: 4}]</t>
  </si>
  <si>
    <t>[{item_code: SP002, quantity: 2, rating: 2}, {item_code: PU001, quantity: 2, rating: 2}]</t>
  </si>
  <si>
    <t>[{item_code: PP003, quantity: 3, rating: 2}, {item_code: SP001, quantity: 1, rating: 5}]</t>
  </si>
  <si>
    <t>[{item_code: PP001, quantity: 4, rating: 2}, {item_code: PW001, quantity: 1, rating: 4}]</t>
  </si>
  <si>
    <t>[{item_code: PU001, quantity: 1, rating: 2}, {item_code: PP001, quantity: 1, rating: 5}]</t>
  </si>
  <si>
    <t>[{item_code: PP002, quantity: 5, rating: 1}, {item_code: PW001, quantity: 1, rating: 5}]</t>
  </si>
  <si>
    <t>[{item_code: PW001, quantity: 1, rating: 4}, {item_code: SW001, quantity: 4, rating: 1}, {item_code: SP001, quantity: 1, rating: 5}]</t>
  </si>
  <si>
    <t>[{item_code: SP001, quantity: 2, rating: 3}, {item_code: SW001, quantity: 1, rating: 3}]</t>
  </si>
  <si>
    <t>[{item_code: PP001, quantity: 3, rating: 2}, {item_code: PW003, quantity: 2, rating: 5}, {item_code: PW001, quantity: 1, rating: 1}]</t>
  </si>
  <si>
    <t>[{item_code: PW001, quantity: 1, rating: 2}, {item_code: SW001, quantity: 1, rating: 3}]</t>
  </si>
  <si>
    <t>[{item_code: PP002, quantity: 4, rating: 5}, {item_code: SP002, quantity: 2, rating: 3}, {item_code: PW001, quantity: 1, rating: 1}]</t>
  </si>
  <si>
    <t>[{item_code: PW002, quantity: 1, rating: 3}]</t>
  </si>
  <si>
    <t>[{item_code: SW001, quantity: 2, rating: 5}, {item_code: PW001, quantity: 2, rating: 1}, {item_code: PP003, quantity: 2, rating: 2}]</t>
  </si>
  <si>
    <t>[{item_code: SP001, quantity: 6, rating: 4}, {item_code: PP001, quantity: 1, rating: 4}]</t>
  </si>
  <si>
    <t>[{item_code: SP002, quantity: 4, rating: 2}, {item_code: PW003, quantity: 1, rating: 5}, {item_code: SP001, quantity: 1, rating: 5}]</t>
  </si>
  <si>
    <t>[{item_code: PW002, quantity: 2, rating: 1}]</t>
  </si>
  <si>
    <t>[{item_code: PW002, quantity: 1, rating: 4}]</t>
  </si>
  <si>
    <t>[{item_code: PW002, quantity: 1, rating: 4}, {item_code: PU001, quantity: 1, rating: 4}, {item_code: SP001, quantity: 1, rating: 2}]</t>
  </si>
  <si>
    <t>[{item_code: PP003, quantity: 1, rating: 1}]</t>
  </si>
  <si>
    <t>[{item_code: PP001, quantity: 1, rating: 3}, {item_code: SP001, quantity: 1, rating: 2}, {item_code: PW003, quantity: 1, rating: 1}]</t>
  </si>
  <si>
    <t>[{item_code: SP002, quantity: 5, rating: 2}, {item_code: PW002, quantity: 2, rating: 1}]</t>
  </si>
  <si>
    <t>[{item_code: PW001, quantity: 2, rating: 2}, {item_code: PW003, quantity: 1, rating: 2}]</t>
  </si>
  <si>
    <t>[{item_code: SP002, quantity: 1, rating: 5}]</t>
  </si>
  <si>
    <t>[{item_code: PP002, quantity: 3, rating: 4}, {item_code: PP001, quantity: 1, rating: 4}]</t>
  </si>
  <si>
    <t>[{item_code: SP001, quantity: 2, rating: 2}, {item_code: SW001, quantity: 1, rating: 4}, {item_code: PW002, quantity: 1, rating: 2}]</t>
  </si>
  <si>
    <t>[{item_code: PW002, quantity: 1, rating: 3}, {item_code: PU001, quantity: 5, rating: 5}]</t>
  </si>
  <si>
    <t>[{item_code: PW003, quantity: 1, rating: 4}, {item_code: SW001, quantity: 1, rating: 4}]</t>
  </si>
  <si>
    <t>[{item_code: PP003, quantity: 2, rating: 5}, {item_code: PW001, quantity: 1, rating: 1}, {item_code: PW002, quantity: 2, rating: 2}]</t>
  </si>
  <si>
    <t>[{item_code: SP001, quantity: 4, rating: 1}, {item_code: PU001, quantity: 3, rating: 4}]</t>
  </si>
  <si>
    <t>[{item_code: PW003, quantity: 1, rating: 5}]</t>
  </si>
  <si>
    <t>[{item_code: PW002, quantity: 3, rating: 5}, {item_code: PW003, quantity: 1, rating: 5}]</t>
  </si>
  <si>
    <t>[{item_code: PP001, quantity: 4, rating: 4}, {item_code: SP001, quantity: 1, rating: 2}]</t>
  </si>
  <si>
    <t>[{item_code: PP003, quantity: 2, rating: 3}, {item_code: PW001, quantity: 1, rating: 2}, {item_code: PW002, quantity: 2, rating: 2}]</t>
  </si>
  <si>
    <t>[{item_code: PU001, quantity: 1, rating: 3}]</t>
  </si>
  <si>
    <t>[{item_code: SP002, quantity: 3, rating: 1}, {item_code: PP002, quantity: 2, rating: 4}]</t>
  </si>
  <si>
    <t>[{item_code: PW003, quantity: 3, rating: 5}, {item_code: PP002, quantity: 2, rating: 4}]</t>
  </si>
  <si>
    <t>[{item_code: SP002, quantity: 1, rating: 2}, {item_code: PW003, quantity: 3, rating: 5}, {item_code: SW001, quantity: 3, rating: 5}]</t>
  </si>
  <si>
    <t>[{item_code: SP001, quantity: 2, rating: 2}, {item_code: PP001, quantity: 1, rating: 4}]</t>
  </si>
  <si>
    <t>[{item_code: PP001, quantity: 2, rating: 3}]</t>
  </si>
  <si>
    <t>[{item_code: PW003, quantity: 5, rating: 3}]</t>
  </si>
  <si>
    <t>[{item_code: PP001, quantity: 4, rating: 2}, {item_code: SP001, quantity: 1, rating: 1}]</t>
  </si>
  <si>
    <t>[{item_code: SP002, quantity: 2, rating: 4}]</t>
  </si>
  <si>
    <t>[{item_code: PW001, quantity: 4, rating: 3}]</t>
  </si>
  <si>
    <t>[{item_code: PP002, quantity: 2, rating: 1}, {item_code: SP001, quantity: 2, rating: 1}, {item_code: SP002, quantity: 1, rating: 1}]</t>
  </si>
  <si>
    <t>[{item_code: PW001, quantity: 1, rating: 5}, {item_code: PP003, quantity: 1, rating: 1}]</t>
  </si>
  <si>
    <t>[{item_code: PP002, quantity: 2, rating: 3}, {item_code: SW001, quantity: 2, rating: 4}, {item_code: PP002, quantity: 1, rating: 1}]</t>
  </si>
  <si>
    <t>[{item_code: PW001, quantity: 4, rating: 1}, {item_code: PP002, quantity: 1, rating: 2}, {item_code: PW001, quantity: 1, rating: 3}]</t>
  </si>
  <si>
    <t>[{item_code: PP002, quantity: 2, rating: 5}, {item_code: SP001, quantity: 2, rating: 3}]</t>
  </si>
  <si>
    <t>[{item_code: SP002, quantity: 4, rating: 2}, {item_code: PP003, quantity: 1, rating: 4}]</t>
  </si>
  <si>
    <t>[{item_code: SP001, quantity: 3, rating: 4}, {item_code: PW001, quantity: 1, rating: 1}, {item_code: PP001, quantity: 1, rating: 5}]</t>
  </si>
  <si>
    <t>[{item_code: PP001, quantity: 1, rating: 2}]</t>
  </si>
  <si>
    <t>[{item_code: PW003, quantity: 3, rating: 3}]</t>
  </si>
  <si>
    <t>[{item_code: SP002, quantity: 2, rating: 4}, {item_code: PP003, quantity: 1, rating: 3}, {item_code: PW002, quantity: 4, rating: 5}]</t>
  </si>
  <si>
    <t>[{item_code: PW003, quantity: 4, rating: 4}]</t>
  </si>
  <si>
    <t>[{item_code: PP001, quantity: 6, rating: 4}]</t>
  </si>
  <si>
    <t>[{item_code: PP001, quantity: 3, rating: 2}, {item_code: SP001, quantity: 2, rating: 1}]</t>
  </si>
  <si>
    <t>[{item_code: PP001, quantity: 3, rating: 5}]</t>
  </si>
  <si>
    <t>[{item_code: PW001, quantity: 2, rating: 4}, {item_code: SP002, quantity: 1, rating: 3}]</t>
  </si>
  <si>
    <t>[{item_code: PP002, quantity: 1, rating: 5}]</t>
  </si>
  <si>
    <t>[{item_code: PP001, quantity: 2, rating: 3}, {item_code: PW002, quantity: 1, rating: 4}]</t>
  </si>
  <si>
    <t>[{item_code: PP003, quantity: 1, rating: 5}, {item_code: PU001, quantity: 3, rating: 4}]</t>
  </si>
  <si>
    <t>[{item_code: PW003, quantity: 1, rating: 2}, {item_code: PP002, quantity: 1, rating: 3}, {item_code: PP001, quantity: 5, rating: 4}]</t>
  </si>
  <si>
    <t>[{item_code: SP002, quantity: 3, rating: 4}, {item_code: PU001, quantity: 1, rating: 4}, {item_code: PP001, quantity: 1, rating: 5}]</t>
  </si>
  <si>
    <t>[{item_code: PW003, quantity: 1, rating: 2}, {item_code: PU001, quantity: 1, rating: 3}]</t>
  </si>
  <si>
    <t>[{item_code: SP002, quantity: 2, rating: 5}]</t>
  </si>
  <si>
    <t>[{item_code: SP002, quantity: 2, rating: 4}, {item_code: PU001, quantity: 3, rating: 2}, {item_code: SP002, quantity: 2, rating: 1}]</t>
  </si>
  <si>
    <t>[{item_code: SP001, quantity: 4, rating: 1}, {item_code: SP002, quantity: 2, rating: 5}]</t>
  </si>
  <si>
    <t>[{item_code: SW001, quantity: 3, rating: 3}, {item_code: SP002, quantity: 1, rating: 3}, {item_code: PU001, quantity: 1, rating: 2}]</t>
  </si>
  <si>
    <t>[{item_code: PU001, quantity: 3, rating: 4}, {item_code: SP002, quantity: 1, rating: 5}, {item_code: SP002, quantity: 1, rating: 2}]</t>
  </si>
  <si>
    <t>[{item_code: SP001, quantity: 3, rating: 3}]</t>
  </si>
  <si>
    <t>[{item_code: SW001, quantity: 1, rating: 1}]</t>
  </si>
  <si>
    <t>[{item_code: PU001, quantity: 2, rating: 2}]</t>
  </si>
  <si>
    <t>[{item_code: PW002, quantity: 2, rating: 4}]</t>
  </si>
  <si>
    <t>[{item_code: PW002, quantity: 6, rating: 3}, {item_code: PP003, quantity: 1, rating: 5}]</t>
  </si>
  <si>
    <t>[{item_code: PP003, quantity: 3, rating: 5}, {item_code: PW001, quantity: 1, rating: 1}]</t>
  </si>
  <si>
    <t>[{item_code: PP003, quantity: 1, rating: 3}, {item_code: SW001, quantity: 3, rating: 3}]</t>
  </si>
  <si>
    <t>[{item_code: PP002, quantity: 1, rating: 2}]</t>
  </si>
  <si>
    <t>[{item_code: SP002, quantity: 6, rating: 1}]</t>
  </si>
  <si>
    <t>[{item_code: SP002, quantity: 2, rating: 2}, {item_code: PU001, quantity: 1, rating: 5}, {item_code: SP001, quantity: 4, rating: 1}]</t>
  </si>
  <si>
    <t>[{item_code: SP002, quantity: 4, rating: 2}, {item_code: PW002, quantity: 3, rating: 4}]</t>
  </si>
  <si>
    <t>[{item_code: PU001, quantity: 1, rating: 5}, {item_code: PP001, quantity: 1, rating: 1}]</t>
  </si>
  <si>
    <t>[{item_code: PW003, quantity: 5, rating: 5}]</t>
  </si>
  <si>
    <t>[{item_code: SP002, quantity: 5, rating: 2}]</t>
  </si>
  <si>
    <t>[{item_code: SW001, quantity: 2, rating: 4}, {item_code: SP002, quantity: 4, rating: 4}, {item_code: SW001, quantity: 1, rating: 3}]</t>
  </si>
  <si>
    <t>[{item_code: SP002, quantity: 1, rating: 5}, {item_code: PW001, quantity: 1, rating: 2}]</t>
  </si>
  <si>
    <t>[{item_code: PP002, quantity: 5, rating: 3}, {item_code: PP001, quantity: 1, rating: 1}]</t>
  </si>
  <si>
    <t>[{item_code: PP003, quantity: 2, rating: 3}, {item_code: PW001, quantity: 1, rating: 2}, {item_code: PP003, quantity: 1, rating: 4}]</t>
  </si>
  <si>
    <t>[{item_code: SP002, quantity: 1, rating: 2}]</t>
  </si>
  <si>
    <t>[{item_code: PP001, quantity: 7, rating: 3}]</t>
  </si>
  <si>
    <t>[{item_code: PW003, quantity: 2, rating: 3}, {item_code: SW001, quantity: 3, rating: 5}]</t>
  </si>
  <si>
    <t>[{item_code: PW001, quantity: 2, rating: 4}]</t>
  </si>
  <si>
    <t>[{item_code: PP003, quantity: 1, rating: 2}, {item_code: SP002, quantity: 2, rating: 1}, {item_code: PP002, quantity: 4, rating: 2}]</t>
  </si>
  <si>
    <t>[{item_code: PW003, quantity: 2, rating: 2}, {item_code: PP003, quantity: 1, rating: 4}]</t>
  </si>
  <si>
    <t>[{item_code: PW001, quantity: 4, rating: 1}, {item_code: PW003, quantity: 1, rating: 2}, {item_code: SP002, quantity: 1, rating: 2}]</t>
  </si>
  <si>
    <t>[{item_code: PP003, quantity: 6, rating: 2}, {item_code: PP002, quantity: 1, rating: 1}]</t>
  </si>
  <si>
    <t>[{item_code: SP002, quantity: 1, rating: 4}, {item_code: SP001, quantity: 1, rating: 4}]</t>
  </si>
  <si>
    <t>[{item_code: SW001, quantity: 3, rating: 2}]</t>
  </si>
  <si>
    <t>[{item_code: PP003, quantity: 2, rating: 2}, {item_code: PW003, quantity: 2, rating: 1}, {item_code: PW002, quantity: 3, rating: 2}]</t>
  </si>
  <si>
    <t>[{item_code: PW002, quantity: 1, rating: 2}, {item_code: PW003, quantity: 1, rating: 3}]</t>
  </si>
  <si>
    <t>[{item_code: PW002, quantity: 6, rating: 4}]</t>
  </si>
  <si>
    <t>[{item_code: PP002, quantity: 3, rating: 5}, {item_code: PP001, quantity: 1, rating: 3}]</t>
  </si>
  <si>
    <t>[{item_code: PP003, quantity: 6, rating: 5}]</t>
  </si>
  <si>
    <t>[{item_code: PW001, quantity: 4, rating: 1}, {item_code: PP001, quantity: 3, rating: 4}]</t>
  </si>
  <si>
    <t>[{item_code: PW002, quantity: 2, rating: 4}, {item_code: PP001, quantity: 4, rating: 3}]</t>
  </si>
  <si>
    <t>[{item_code: PW001, quantity: 1, rating: 3}, {item_code: SP002, quantity: 2, rating: 4}, {item_code: PP002, quantity: 1, rating: 4}]</t>
  </si>
  <si>
    <t>[{item_code: PP003, quantity: 3, rating: 4}, {item_code: PP002, quantity: 4, rating: 4}]</t>
  </si>
  <si>
    <t>[{item_code: SW001, quantity: 6, rating: 2}, {item_code: PU001, quantity: 1, rating: 3}]</t>
  </si>
  <si>
    <t>[{item_code: PP003, quantity: 2, rating: 4}]</t>
  </si>
  <si>
    <t>[{item_code: PP002, quantity: 1, rating: 2}, {item_code: PW003, quantity: 4, rating: 3}]</t>
  </si>
  <si>
    <t>[{item_code: PP003, quantity: 2, rating: 4}, {item_code: PW002, quantity: 2, rating: 4}]</t>
  </si>
  <si>
    <t>[{item_code: PP001, quantity: 2, rating: 5}, {item_code: PU001, quantity: 2, rating: 2}]</t>
  </si>
  <si>
    <t>[{item_code: PP001, quantity: 5, rating: 4}, {item_code: SP001, quantity: 2, rating: 3}]</t>
  </si>
  <si>
    <t>[{item_code: PW002, quantity: 2, rating: 5}, {item_code: PP001, quantity: 4, rating: 5}]</t>
  </si>
  <si>
    <t>[{item_code: PW002, quantity: 3, rating: 1}, {item_code: PP002, quantity: 2, rating: 4}]</t>
  </si>
  <si>
    <t>[{item_code: PP002, quantity: 3, rating: 2}, {item_code: SP002, quantity: 2, rating: 1}, {item_code: PW001, quantity: 2, rating: 4}]</t>
  </si>
  <si>
    <t>[{item_code: SP001, quantity: 2, rating: 5}, {item_code: PW003, quantity: 1, rating: 3}, {item_code: SP002, quantity: 1, rating: 2}]</t>
  </si>
  <si>
    <t>[{item_code: SP002, quantity: 4, rating: 5}]</t>
  </si>
  <si>
    <t>[{item_code: PW002, quantity: 3, rating: 2}]</t>
  </si>
  <si>
    <t>[{item_code: SP002, quantity: 1, rating: 5}, {item_code: PP001, quantity: 1, rating: 1}, {item_code: PW001, quantity: 1, rating: 1}]</t>
  </si>
  <si>
    <t>[{item_code: PW002, quantity: 1, rating: 1}, {item_code: SP002, quantity: 1, rating: 5}, {item_code: PP001, quantity: 1, rating: 3}]</t>
  </si>
  <si>
    <t>[{item_code: PP001, quantity: 6, rating: 1}]</t>
  </si>
  <si>
    <t>[{item_code: PP003, quantity: 3, rating: 3}, {item_code: SW001, quantity: 2, rating: 3}, {item_code: PP001, quantity: 1, rating: 5}]</t>
  </si>
  <si>
    <t>[{item_code: PW002, quantity: 3, rating: 4}, {item_code: PU001, quantity: 2, rating: 3}]</t>
  </si>
  <si>
    <t>[{item_code: SP002, quantity: 1, rating: 4}, {item_code: PW001, quantity: 1, rating: 1}]</t>
  </si>
  <si>
    <t>[{item_code: PP001, quantity: 2, rating: 5}, {item_code: PP002, quantity: 2, rating: 1}, {item_code: SP002, quantity: 2, rating: 3}]</t>
  </si>
  <si>
    <t>[{item_code: PU001, quantity: 3, rating: 1}]</t>
  </si>
  <si>
    <t>[{item_code: PP003, quantity: 4, rating: 4}, {item_code: PW001, quantity: 1, rating: 3}, {item_code: SP002, quantity: 2, rating: 4}]</t>
  </si>
  <si>
    <t>[{item_code: SP002, quantity: 3, rating: 4}, {item_code: PW002, quantity: 2, rating: 5}, {item_code: PP001, quantity: 1, rating: 3}]</t>
  </si>
  <si>
    <t>[{item_code: SP001, quantity: 1, rating: 5}]</t>
  </si>
  <si>
    <t>[{item_code: PP002, quantity: 2, rating: 5}, {item_code: PW001, quantity: 2, rating: 3}, {item_code: PW003, quantity: 1, rating: 5}]</t>
  </si>
  <si>
    <t>[{item_code: PW002, quantity: 2, rating: 2}, {item_code: PU001, quantity: 1, rating: 3}, {item_code: PP001, quantity: 1, rating: 5}]</t>
  </si>
  <si>
    <t>[{item_code: PW002, quantity: 1, rating: 1}]</t>
  </si>
  <si>
    <t>[{item_code: PW002, quantity: 1, rating: 4}, {item_code: SP002, quantity: 1, rating: 1}, {item_code: SW001, quantity: 2, rating: 2}]</t>
  </si>
  <si>
    <t>[{item_code: PP003, quantity: 2, rating: 4}, {item_code: PP002, quantity: 1, rating: 5}, {item_code: PP002, quantity: 2, rating: 1}]</t>
  </si>
  <si>
    <t>[{item_code: SP002, quantity: 1, rating: 2}, {item_code: SW001, quantity: 3, rating: 1}]</t>
  </si>
  <si>
    <t>[{item_code: SP001, quantity: 6, rating: 4}, {item_code: PU001, quantity: 1, rating: 4}]</t>
  </si>
  <si>
    <t>[{item_code: PP003, quantity: 2, rating: 2}, {item_code: PW002, quantity: 1, rating: 2}]</t>
  </si>
  <si>
    <t>[{item_code: SP002, quantity: 1, rating: 4}, {item_code: PP003, quantity: 1, rating: 1}, {item_code: PW002, quantity: 1, rating: 4}]</t>
  </si>
  <si>
    <t>[{item_code: SW001, quantity: 1, rating: 3}]</t>
  </si>
  <si>
    <t>[{item_code: PP002, quantity: 2, rating: 5}]</t>
  </si>
  <si>
    <t>[{item_code: SW001, quantity: 1, rating: 5}, {item_code: PP001, quantity: 1, rating: 1}]</t>
  </si>
  <si>
    <t>[{item_code: PW002, quantity: 3, rating: 3}]</t>
  </si>
  <si>
    <t>[{item_code: PW002, quantity: 3, rating: 4}, {item_code: PW001, quantity: 1, rating: 4}]</t>
  </si>
  <si>
    <t>[{item_code: PW001, quantity: 4, rating: 5}, {item_code: PW003, quantity: 3, rating: 2}]</t>
  </si>
  <si>
    <t>[{item_code: PP001, quantity: 1, rating: 2}, {item_code: SP002, quantity: 1, rating: 3}, {item_code: PW003, quantity: 2, rating: 1}]</t>
  </si>
  <si>
    <t>[{item_code: PW001, quantity: 4, rating: 5}, {item_code: SP001, quantity: 1, rating: 5}, {item_code: PW001, quantity: 1, rating: 2}]</t>
  </si>
  <si>
    <t>[{item_code: SP001, quantity: 3, rating: 2}, {item_code: PU001, quantity: 1, rating: 2}]</t>
  </si>
  <si>
    <t>[{item_code: PW002, quantity: 1, rating: 2}]</t>
  </si>
  <si>
    <t>[{item_code: SP001, quantity: 2, rating: 5}, {item_code: SP002, quantity: 1, rating: 4}]</t>
  </si>
  <si>
    <t>[{item_code: PP003, quantity: 2, rating: 2}, {item_code: PW003, quantity: 3, rating: 4}]</t>
  </si>
  <si>
    <t>[{item_code: PW001, quantity: 6, rating: 5}, {item_code: SP002, quantity: 1, rating: 1}]</t>
  </si>
  <si>
    <t>[{item_code: PP001, quantity: 3, rating: 3}]</t>
  </si>
  <si>
    <t>[{item_code: PU001, quantity: 1, rating: 3}, {item_code: SP002, quantity: 1, rating: 1}]</t>
  </si>
  <si>
    <t>[{item_code: SP001, quantity: 3, rating: 3}, {item_code: PW001, quantity: 1, rating: 1}, {item_code: SW001, quantity: 1, rating: 1}]</t>
  </si>
  <si>
    <t>[{item_code: PU001, quantity: 4, rating: 1}, {item_code: PW002, quantity: 1, rating: 2}, {item_code: PW001, quantity: 1, rating: 2}]</t>
  </si>
  <si>
    <t>[{item_code: PP002, quantity: 1, rating: 1}, {item_code: SP002, quantity: 1, rating: 1}, {item_code: PU001, quantity: 1, rating: 4}]</t>
  </si>
  <si>
    <t>[{item_code: SP001, quantity: 5, rating: 1}, {item_code: PW001, quantity: 1, rating: 1}]</t>
  </si>
  <si>
    <t>[{item_code: SW001, quantity: 1, rating: 2}, {item_code: PW001, quantity: 1, rating: 1}, {item_code: PW003, quantity: 2, rating: 3}]</t>
  </si>
  <si>
    <t>[{item_code: PP001, quantity: 1, rating: 3}]</t>
  </si>
  <si>
    <t>[{item_code: SW001, quantity: 4, rating: 5}]</t>
  </si>
  <si>
    <t>[{item_code: PW001, quantity: 2, rating: 2}, {item_code: PP003, quantity: 3, rating: 2}]</t>
  </si>
  <si>
    <t>[{item_code: SP002, quantity: 3, rating: 5}, {item_code: PW003, quantity: 1, rating: 5}]</t>
  </si>
  <si>
    <t>[{item_code: PP002, quantity: 1, rating: 5}, {item_code: PW001, quantity: 2, rating: 5}]</t>
  </si>
  <si>
    <t>[{item_code: PP001, quantity: 3, rating: 4}]</t>
  </si>
  <si>
    <t>[{item_code: PW002, quantity: 2, rating: 2}, {item_code: PW001, quantity: 1, rating: 1}]</t>
  </si>
  <si>
    <t>[{item_code: PW001, quantity: 1, rating: 5}, {item_code: PP002, quantity: 4, rating: 5}]</t>
  </si>
  <si>
    <t>[{item_code: PP003, quantity: 4, rating: 5}, {item_code: SP002, quantity: 2, rating: 4}]</t>
  </si>
  <si>
    <t>[{item_code: PW001, quantity: 1, rating: 1}]</t>
  </si>
  <si>
    <t>[{item_code: PP002, quantity: 1, rating: 5}, {item_code: SP001, quantity: 1, rating: 3}]</t>
  </si>
  <si>
    <t>[{item_code: PW001, quantity: 3, rating: 3}, {item_code: PP002, quantity: 2, rating: 3}, {item_code: SW001, quantity: 1, rating: 2}]</t>
  </si>
  <si>
    <t>[{item_code: SP002, quantity: 2, rating: 3}, {item_code: PW002, quantity: 1, rating: 4}, {item_code: PW001, quantity: 1, rating: 3}]</t>
  </si>
  <si>
    <t>[{item_code: PW002, quantity: 1, rating: 4}, {item_code: PU001, quantity: 2, rating: 3}]</t>
  </si>
  <si>
    <t>[{item_code: PU001, quantity: 5, rating: 2}]</t>
  </si>
  <si>
    <t>[{item_code: PP001, quantity: 4, rating: 3}]</t>
  </si>
  <si>
    <t>[{item_code: PW001, quantity: 2, rating: 1}, {item_code: SP001, quantity: 4, rating: 3}]</t>
  </si>
  <si>
    <t>[{item_code: SW001, quantity: 3, rating: 4}, {item_code: PP003, quantity: 2, rating: 5}]</t>
  </si>
  <si>
    <t>[{item_code: SW001, quantity: 1, rating: 3}, {item_code: PP002, quantity: 2, rating: 1}, {item_code: PW002, quantity: 4, rating: 4}]</t>
  </si>
  <si>
    <t>[{item_code: SP001, quantity: 1, rating: 2}, {item_code: PP003, quantity: 2, rating: 2}, {item_code: PW003, quantity: 1, rating: 1}]</t>
  </si>
  <si>
    <t>[{item_code: SW001, quantity: 1, rating: 3}, {item_code: PP002, quantity: 2, rating: 3}]</t>
  </si>
  <si>
    <t>[{item_code: SP001, quantity: 4, rating: 2}, {item_code: PP003, quantity: 2, rating: 5}]</t>
  </si>
  <si>
    <t>[{item_code: PP003, quantity: 4, rating: 4}, {item_code: PU001, quantity: 1, rating: 4}, {item_code: PP003, quantity: 2, rating: 4}]</t>
  </si>
  <si>
    <t>[{item_code: SP001, quantity: 2, rating: 3}, {item_code: PP003, quantity: 1, rating: 4}]</t>
  </si>
  <si>
    <t>[{item_code: PP002, quantity: 2, rating: 1}]</t>
  </si>
  <si>
    <t>[{item_code: PP003, quantity: 4, rating: 2}]</t>
  </si>
  <si>
    <t>[{item_code: PP002, quantity: 4, rating: 3}, {item_code: PU001, quantity: 1, rating: 2}, {item_code: SP001, quantity: 2, rating: 4}]</t>
  </si>
  <si>
    <t>[{item_code: PW002, quantity: 3, rating: 5}]</t>
  </si>
  <si>
    <t>[{item_code: SP002, quantity: 3, rating: 2}]</t>
  </si>
  <si>
    <t>[{item_code: PW003, quantity: 2, rating: 1}]</t>
  </si>
  <si>
    <t>[{item_code: PW003, quantity: 2, rating: 1}, {item_code: PW002, quantity: 1, rating: 5}, {item_code: PW001, quantity: 2, rating: 3}]</t>
  </si>
  <si>
    <t>[{item_code: PP002, quantity: 1, rating: 4}]</t>
  </si>
  <si>
    <t>[{item_code: PU001, quantity: 4, rating: 2}, {item_code: PP003, quantity: 2, rating: 4}, {item_code: PU001, quantity: 1, rating: 5}]</t>
  </si>
  <si>
    <t>[{item_code: PP002, quantity: 1, rating: 2}, {item_code: SP001, quantity: 1, rating: 1}, {item_code: PU001, quantity: 1, rating: 2}]</t>
  </si>
  <si>
    <t>[{item_code: SP001, quantity: 1, rating: 3}]</t>
  </si>
  <si>
    <t>[{item_code: PW001, quantity: 1, rating: 3}, {item_code: PW002, quantity: 1, rating: 3}, {item_code: PU001, quantity: 3, rating: 3}]</t>
  </si>
  <si>
    <t>[{item_code: SP002, quantity: 3, rating: 2}, {item_code: PP003, quantity: 3, rating: 3}]</t>
  </si>
  <si>
    <t>[{item_code: PP001, quantity: 2, rating: 3}, {item_code: PP002, quantity: 1, rating: 2}]</t>
  </si>
  <si>
    <t>[{item_code: SP002, quantity: 3, rating: 3}, {item_code: PW003, quantity: 1, rating: 2}]</t>
  </si>
  <si>
    <t>[{item_code: PP003, quantity: 6, rating: 4}]</t>
  </si>
  <si>
    <t>[{item_code: PW003, quantity: 3, rating: 3}, {item_code: PW001, quantity: 3, rating: 2}]</t>
  </si>
  <si>
    <t>[{item_code: PP001, quantity: 4, rating: 5}, {item_code: PW003, quantity: 1, rating: 2}, {item_code: PW002, quantity: 2, rating: 1}]</t>
  </si>
  <si>
    <t>[{item_code: SP002, quantity: 1, rating: 4}, {item_code: PP002, quantity: 1, rating: 5}]</t>
  </si>
  <si>
    <t>[{item_code: SP001, quantity: 2, rating: 5}, {item_code: PW003, quantity: 2, rating: 5}, {item_code: PW002, quantity: 3, rating: 4}]</t>
  </si>
  <si>
    <t>[{item_code: PP003, quantity: 1, rating: 2}, {item_code: PP001, quantity: 1, rating: 2}, {item_code: SP001, quantity: 3, rating: 4}]</t>
  </si>
  <si>
    <t>[{item_code: SW001, quantity: 3, rating: 5}, {item_code: PW003, quantity: 1, rating: 2}]</t>
  </si>
  <si>
    <t>[{item_code: PP002, quantity: 4, rating: 4}, {item_code: PP001, quantity: 1, rating: 4}]</t>
  </si>
  <si>
    <t>[{item_code: SP001, quantity: 5, rating: 1}]</t>
  </si>
  <si>
    <t>[{item_code: PU001, quantity: 2, rating: 4}, {item_code: PP001, quantity: 1, rating: 1}]</t>
  </si>
  <si>
    <t>[{item_code: PP002, quantity: 2, rating: 5}, {item_code: SP002, quantity: 1, rating: 5}]</t>
  </si>
  <si>
    <t>[{item_code: PU001, quantity: 6, rating: 5}]</t>
  </si>
  <si>
    <t>[{item_code: PP001, quantity: 5, rating: 4}, {item_code: PP002, quantity: 1, rating: 3}]</t>
  </si>
  <si>
    <t>[{item_code: PW001, quantity: 2, rating: 5}, {item_code: SW001, quantity: 1, rating: 5}, {item_code: SP001, quantity: 1, rating: 3}]</t>
  </si>
  <si>
    <t>[{item_code: PU001, quantity: 3, rating: 4}, {item_code: PP003, quantity: 1, rating: 5}, {item_code: PW002, quantity: 2, rating: 4}]</t>
  </si>
  <si>
    <t>[{item_code: PW003, quantity: 1, rating: 4}]</t>
  </si>
  <si>
    <t>[{item_code: PP003, quantity: 1, rating: 3}, {item_code: PP002, quantity: 5, rating: 2}]</t>
  </si>
  <si>
    <t>[{item_code: SW001, quantity: 1, rating: 2}, {item_code: SP002, quantity: 1, rating: 3}, {item_code: SP001, quantity: 1, rating: 2}]</t>
  </si>
  <si>
    <t>[{item_code: SP001, quantity: 7, rating: 1}]</t>
  </si>
  <si>
    <t>[{item_code: PW002, quantity: 6, rating: 1}, {item_code: SP001, quantity: 1, rating: 3}]</t>
  </si>
  <si>
    <t>[{item_code: SP002, quantity: 7, rating: 4}]</t>
  </si>
  <si>
    <t>[{item_code: PP002, quantity: 5, rating: 4}]</t>
  </si>
  <si>
    <t>[{item_code: SW001, quantity: 2, rating: 4}, {item_code: PW001, quantity: 1, rating: 4}]</t>
  </si>
  <si>
    <t>[{item_code: SP001, quantity: 3, rating: 2}, {item_code: SW001, quantity: 1, rating: 1}]</t>
  </si>
  <si>
    <t>[{item_code: SW001, quantity: 5, rating: 2}, {item_code: PP002, quantity: 1, rating: 3}]</t>
  </si>
  <si>
    <t>[{item_code: PW002, quantity: 1, rating: 3}, {item_code: PP001, quantity: 1, rating: 3}, {item_code: PP002, quantity: 1, rating: 2}]</t>
  </si>
  <si>
    <t>[{item_code: PW003, quantity: 5, rating: 5}, {item_code: PP001, quantity: 1, rating: 1}]</t>
  </si>
  <si>
    <t>[{item_code: PW003, quantity: 1, rating: 3}, {item_code: PU001, quantity: 1, rating: 3}, {item_code: SW001, quantity: 4, rating: 2}]</t>
  </si>
  <si>
    <t>[{item_code: PW001, quantity: 1, rating: 5}, {item_code: PU001, quantity: 3, rating: 4}]</t>
  </si>
  <si>
    <t>[{item_code: PU001, quantity: 2, rating: 1}, {item_code: PP003, quantity: 1, rating: 3}]</t>
  </si>
  <si>
    <t>[{item_code: PP002, quantity: 2, rating: 4}, {item_code: PU001, quantity: 1, rating: 4}]</t>
  </si>
  <si>
    <t>[{item_code: PP001, quantity: 1, rating: 5}, {item_code: SP002, quantity: 1, rating: 5}]</t>
  </si>
  <si>
    <t>[{item_code: PW001, quantity: 1, rating: 4}, {item_code: PP003, quantity: 1, rating: 4}]</t>
  </si>
  <si>
    <t>[{item_code: PP002, quantity: 1, rating: 3}]</t>
  </si>
  <si>
    <t>[{item_code: SP002, quantity: 5, rating: 5}]</t>
  </si>
  <si>
    <t>[{item_code: SP001, quantity: 1, rating: 4}, {item_code: PW001, quantity: 1, rating: 1}]</t>
  </si>
  <si>
    <t>[{item_code: PP001, quantity: 1, rating: 5}]</t>
  </si>
  <si>
    <t>[{item_code: PP001, quantity: 1, rating: 5}, {item_code: PP002, quantity: 2, rating: 1}, {item_code: SP002, quantity: 1, rating: 3}]</t>
  </si>
  <si>
    <t>[{item_code: PW001, quantity: 7, rating: 2}]</t>
  </si>
  <si>
    <t>[{item_code: PW003, quantity: 5, rating: 3}, {item_code: PW003, quantity: 1, rating: 3}, {item_code: SP001, quantity: 1, rating: 4}]</t>
  </si>
  <si>
    <t>[{item_code: SP002, quantity: 6, rating: 3}]</t>
  </si>
  <si>
    <t>[{item_code: SP002, quantity: 1, rating: 4}]</t>
  </si>
  <si>
    <t>[{item_code: PP003, quantity: 2, rating: 2}]</t>
  </si>
  <si>
    <t>[{item_code: PW003, quantity: 2, rating: 2}, {item_code: PW002, quantity: 3, rating: 1}]</t>
  </si>
  <si>
    <t>[{item_code: PW002, quantity: 4, rating: 5}, {item_code: SP001, quantity: 1, rating: 1}]</t>
  </si>
  <si>
    <t>[{item_code: PP002, quantity: 1, rating: 1}, {item_code: SW001, quantity: 6, rating: 4}]</t>
  </si>
  <si>
    <t>[{item_code: PW003, quantity: 1, rating: 5}, {item_code: PP002, quantity: 2, rating: 1}]</t>
  </si>
  <si>
    <t>[{item_code: SW001, quantity: 2, rating: 2}, {item_code: PP002, quantity: 2, rating: 5}]</t>
  </si>
  <si>
    <t>[{item_code: SP002, quantity: 1, rating: 4}, {item_code: PW001, quantity: 4, rating: 3}, {item_code: PU001, quantity: 1, rating: 5}]</t>
  </si>
  <si>
    <t>[{item_code: PP001, quantity: 4, rating: 4}]</t>
  </si>
  <si>
    <t>[{item_code: PU001, quantity: 1, rating: 5}]</t>
  </si>
  <si>
    <t>[{item_code: PW003, quantity: 2, rating: 4}]</t>
  </si>
  <si>
    <t>[{item_code: SW001, quantity: 4, rating: 2}, {item_code: PW003, quantity: 3, rating: 1}]</t>
  </si>
  <si>
    <t>[{item_code: SP001, quantity: 2, rating: 4}]</t>
  </si>
  <si>
    <t>[{item_code: SW001, quantity: 1, rating: 2}]</t>
  </si>
  <si>
    <t>[{item_code: PU001, quantity: 1, rating: 1}, {item_code: PP002, quantity: 1, rating: 4}]</t>
  </si>
  <si>
    <t>[{item_code: PU001, quantity: 3, rating: 5}]</t>
  </si>
  <si>
    <t>[{item_code: PP002, quantity: 4, rating: 5}, {item_code: PW002, quantity: 1, rating: 3}, {item_code: PP002, quantity: 2, rating: 4}]</t>
  </si>
  <si>
    <t>[{item_code: PW002, quantity: 6, rating: 5}, {item_code: SP001, quantity: 1, rating: 3}]</t>
  </si>
  <si>
    <t>[{item_code: SP001, quantity: 2, rating: 2}]</t>
  </si>
  <si>
    <t>[{item_code: PW001, quantity: 2, rating: 3}]</t>
  </si>
  <si>
    <t>[{item_code: PW001, quantity: 1, rating: 1}, {item_code: PP001, quantity: 1, rating: 5}, {item_code: PW002, quantity: 3, rating: 4}]</t>
  </si>
  <si>
    <t>[{item_code: PP002, quantity: 2, rating: 3}, {item_code: PW001, quantity: 1, rating: 3}]</t>
  </si>
  <si>
    <t>[{item_code: PW002, quantity: 2, rating: 5}, {item_code: SP002, quantity: 3, rating: 1}]</t>
  </si>
  <si>
    <t>[{item_code: PP003, quantity: 3, rating: 3}]</t>
  </si>
  <si>
    <t>[{item_code: PU001, quantity: 1, rating: 3}, {item_code: PW002, quantity: 4, rating: 2}, {item_code: PU001, quantity: 1, rating: 4}]</t>
  </si>
  <si>
    <t>[{item_code: PP003, quantity: 2, rating: 1}, {item_code: SP001, quantity: 2, rating: 3}]</t>
  </si>
  <si>
    <t>[{item_code: SP002, quantity: 2, rating: 2}, {item_code: SW001, quantity: 2, rating: 2}, {item_code: SP001, quantity: 1, rating: 1}]</t>
  </si>
  <si>
    <t>[{item_code: PP001, quantity: 3, rating: 5}, {item_code: PW003, quantity: 4, rating: 1}]</t>
  </si>
  <si>
    <t>[{item_code: PW002, quantity: 2, rating: 4}, {item_code: SW001, quantity: 2, rating: 4}, {item_code: PW002, quantity: 2, rating: 2}]</t>
  </si>
  <si>
    <t>[{item_code: PP003, quantity: 2, rating: 4}, {item_code: PP001, quantity: 1, rating: 5}]</t>
  </si>
  <si>
    <t>[{item_code: SP002, quantity: 2, rating: 3}, {item_code: PW002, quantity: 1, rating: 3}]</t>
  </si>
  <si>
    <t>[{item_code: SP001, quantity: 1, rating: 2}]</t>
  </si>
  <si>
    <t>[{item_code: SP001, quantity: 1, rating: 1}, {item_code: PP002, quantity: 2, rating: 2}, {item_code: PP003, quantity: 1, rating: 2}]</t>
  </si>
  <si>
    <t>[{item_code: PP002, quantity: 3, rating: 5}, {item_code: PP003, quantity: 1, rating: 4}, {item_code: PU001, quantity: 1, rating: 3}]</t>
  </si>
  <si>
    <t>[{item_code: PW002, quantity: 2, rating: 4}, {item_code: PW001, quantity: 1, rating: 5}, {item_code: PU001, quantity: 1, rating: 1}]</t>
  </si>
  <si>
    <t>[{item_code: PW002, quantity: 1, rating: 4}, {item_code: PP001, quantity: 1, rating: 5}, {item_code: SW001, quantity: 1, rating: 5}]</t>
  </si>
  <si>
    <t>[{item_code: PU001, quantity: 1, rating: 5}, {item_code: PW002, quantity: 1, rating: 3}, {item_code: SW001, quantity: 5, rating: 3}]</t>
  </si>
  <si>
    <t>[{item_code: PW001, quantity: 3, rating: 3}, {item_code: PW002, quantity: 1, rating: 1}, {item_code: SW001, quantity: 3, rating: 1}]</t>
  </si>
  <si>
    <t>[{item_code: PP003, quantity: 4, rating: 5}, {item_code: PP001, quantity: 2, rating: 4}]</t>
  </si>
  <si>
    <t>[{item_code: SW001, quantity: 2, rating: 4}, {item_code: PP001, quantity: 1, rating: 5}]</t>
  </si>
  <si>
    <t>[{item_code: SP002, quantity: 1, rating: 3}, {item_code: PP002, quantity: 1, rating: 2}]</t>
  </si>
  <si>
    <t>[{item_code: PP003, quantity: 2, rating: 2}, {item_code: PP001, quantity: 2, rating: 4}]</t>
  </si>
  <si>
    <t>[{item_code: SP001, quantity: 3, rating: 1}]</t>
  </si>
  <si>
    <t>[{item_code: PP002, quantity: 5, rating: 5}, {item_code: PP003, quantity: 1, rating: 1}, {item_code: SP001, quantity: 1, rating: 5}]</t>
  </si>
  <si>
    <t>[{item_code: PW002, quantity: 1, rating: 3}, {item_code: PU001, quantity: 1, rating: 5}]</t>
  </si>
  <si>
    <t>[{item_code: PP003, quantity: 1, rating: 4}, {item_code: PW003, quantity: 2, rating: 1}, {item_code: SP001, quantity: 1, rating: 3}]</t>
  </si>
  <si>
    <t>[{item_code: PP001, quantity: 1, rating: 2}, {item_code: PU001, quantity: 6, rating: 2}]</t>
  </si>
  <si>
    <t>[{item_code: SP002, quantity: 2, rating: 3}, {item_code: PW003, quantity: 1, rating: 5}, {item_code: PW002, quantity: 2, rating: 2}]</t>
  </si>
  <si>
    <t>[{item_code: SP002, quantity: 3, rating: 5}, {item_code: PP001, quantity: 2, rating: 2}, {item_code: PP003, quantity: 1, rating: 2}]</t>
  </si>
  <si>
    <t>[{item_code: SW001, quantity: 1, rating: 4}]</t>
  </si>
  <si>
    <t>[{item_code: SP002, quantity: 1, rating: 3}]</t>
  </si>
  <si>
    <t>[{item_code: SP001, quantity: 3, rating: 2}, {item_code: PP001, quantity: 2, rating: 3}]</t>
  </si>
  <si>
    <t>[{item_code: PU001, quantity: 2, rating: 4}, {item_code: PW003, quantity: 2, rating: 2}]</t>
  </si>
  <si>
    <t>[{item_code: PU001, quantity: 4, rating: 5}, {item_code: SP002, quantity: 2, rating: 1}]</t>
  </si>
  <si>
    <t>[{item_code: PP003, quantity: 2, rating: 3}, {item_code: PW002, quantity: 3, rating: 1}]</t>
  </si>
  <si>
    <t>[{item_code: SP001, quantity: 4, rating: 2}, {item_code: PW002, quantity: 1, rating: 4}]</t>
  </si>
  <si>
    <t>[{item_code: SW001, quantity: 2, rating: 5}, {item_code: PP001, quantity: 1, rating: 3}, {item_code: SP001, quantity: 2, rating: 5}]</t>
  </si>
  <si>
    <t>[{item_code: PW002, quantity: 2, rating: 5}, {item_code: SW001, quantity: 1, rating: 5}]</t>
  </si>
  <si>
    <t>[{item_code: PW003, quantity: 5, rating: 2}]</t>
  </si>
  <si>
    <t>[{item_code: SP002, quantity: 2, rating: 3}, {item_code: PW002, quantity: 1, rating: 5}]</t>
  </si>
  <si>
    <t>[{item_code: PP001, quantity: 3, rating: 4}, {item_code: PW001, quantity: 1, rating: 4}]</t>
  </si>
  <si>
    <t>[{item_code: PP002, quantity: 1, rating: 4}, {item_code: PW001, quantity: 1, rating: 3}]</t>
  </si>
  <si>
    <t>[{item_code: SW001, quantity: 4, rating: 2}, {item_code: PW001, quantity: 1, rating: 3}]</t>
  </si>
  <si>
    <t>[{item_code: PP002, quantity: 4, rating: 4}, {item_code: SW001, quantity: 1, rating: 4}]</t>
  </si>
  <si>
    <t>[{item_code: PP002, quantity: 1, rating: 5}, {item_code: SP002, quantity: 4, rating: 4}, {item_code: PW002, quantity: 1, rating: 5}]</t>
  </si>
  <si>
    <t>[{item_code: PU001, quantity: 6, rating: 4}, {item_code: PW003, quantity: 1, rating: 4}]</t>
  </si>
  <si>
    <t>[{item_code: PW003, quantity: 1, rating: 4}, {item_code: PP002, quantity: 3, rating: 2}, {item_code: PP002, quantity: 1, rating: 2}]</t>
  </si>
  <si>
    <t>[{item_code: SP001, quantity: 2, rating: 4}, {item_code: PU001, quantity: 1, rating: 3}, {item_code: PP002, quantity: 4, rating: 5}]</t>
  </si>
  <si>
    <t>[{item_code: SP001, quantity: 6, rating: 4}]</t>
  </si>
  <si>
    <t>[{item_code: SP002, quantity: 1, rating: 1}, {item_code: PW002, quantity: 2, rating: 2}]</t>
  </si>
  <si>
    <t>[{item_code: PW002, quantity: 5, rating: 1}, {item_code: PP001, quantity: 2, rating: 2}]</t>
  </si>
  <si>
    <t>[{item_code: PU001, quantity: 6, rating: 5}, {item_code: PW002, quantity: 1, rating: 3}]</t>
  </si>
  <si>
    <t>[{item_code: PP001, quantity: 3, rating: 2}, {item_code: SP001, quantity: 1, rating: 4}]</t>
  </si>
  <si>
    <t>[{item_code: SP001, quantity: 3, rating: 5}, {item_code: SW001, quantity: 1, rating: 2}]</t>
  </si>
  <si>
    <t>[{item_code: PW001, quantity: 3, rating: 4}, {item_code: PW002, quantity: 2, rating: 4}, {item_code: PP002, quantity: 1, rating: 1}]</t>
  </si>
  <si>
    <t>[{item_code: PW001, quantity: 1, rating: 2}, {item_code: PP003, quantity: 1, rating: 4}]</t>
  </si>
  <si>
    <t>[{item_code: PP002, quantity: 1, rating: 4}, {item_code: PW001, quantity: 2, rating: 2}, {item_code: PU001, quantity: 2, rating: 4}]</t>
  </si>
  <si>
    <t>[{item_code: PW001, quantity: 1, rating: 5}, {item_code: PP003, quantity: 1, rating: 2}]</t>
  </si>
  <si>
    <t>[{item_code: PP003, quantity: 2, rating: 2}, {item_code: PP002, quantity: 1, rating: 3}]</t>
  </si>
  <si>
    <t>[{item_code: PW003, quantity: 7, rating: 3}]</t>
  </si>
  <si>
    <t>[{item_code: PU001, quantity: 1, rating: 4}, {item_code: PP002, quantity: 2, rating: 3}]</t>
  </si>
  <si>
    <t>[{item_code: PW003, quantity: 1, rating: 1}, {item_code: SP002, quantity: 1, rating: 1}, {item_code: PP002, quantity: 1, rating: 1}]</t>
  </si>
  <si>
    <t>[{item_code: PU001, quantity: 6, rating: 3}]</t>
  </si>
  <si>
    <t>[{item_code: PW002, quantity: 3, rating: 1}, {item_code: PP003, quantity: 2, rating: 5}]</t>
  </si>
  <si>
    <t>[{item_code: PP001, quantity: 3, rating: 3}, {item_code: PW003, quantity: 1, rating: 2}, {item_code: PW002, quantity: 1, rating: 5}]</t>
  </si>
  <si>
    <t>[{item_code: SP002, quantity: 1, rating: 4}, {item_code: PP002, quantity: 1, rating: 4}]</t>
  </si>
  <si>
    <t>[{item_code: PP003, quantity: 2, rating: 1}, {item_code: PU001, quantity: 4, rating: 4}]</t>
  </si>
  <si>
    <t>[{item_code: SP001, quantity: 3, rating: 4}, {item_code: PP003, quantity: 1, rating: 2}, {item_code: SP001, quantity: 2, rating: 2}]</t>
  </si>
  <si>
    <t>[{item_code: SP001, quantity: 5, rating: 2}, {item_code: SP002, quantity: 2, rating: 5}]</t>
  </si>
  <si>
    <t>[{item_code: PW002, quantity: 1, rating: 4}, {item_code: PP001, quantity: 1, rating: 3}]</t>
  </si>
  <si>
    <t>[{item_code: PP003, quantity: 5, rating: 4}, {item_code: PW003, quantity: 1, rating: 2}]</t>
  </si>
  <si>
    <t>[{item_code: PW003, quantity: 1, rating: 3}, {item_code: PW001, quantity: 4, rating: 4}, {item_code: PW002, quantity: 1, rating: 1}]</t>
  </si>
  <si>
    <t>[{item_code: PP002, quantity: 3, rating: 2}, {item_code: PW003, quantity: 1, rating: 3}]</t>
  </si>
  <si>
    <t>[{item_code: PW001, quantity: 3, rating: 4}, {item_code: PW002, quantity: 2, rating: 4}]</t>
  </si>
  <si>
    <t>[{item_code: PP003, quantity: 1, rating: 3}, {item_code: SP002, quantity: 6, rating: 5}]</t>
  </si>
  <si>
    <t>[{item_code: PP003, quantity: 2, rating: 1}]</t>
  </si>
  <si>
    <t>[{item_code: PP003, quantity: 3, rating: 2}, {item_code: PW002, quantity: 2, rating: 4}, {item_code: PW001, quantity: 1, rating: 5}]</t>
  </si>
  <si>
    <t>[{item_code: PP001, quantity: 1, rating: 4}]</t>
  </si>
  <si>
    <t>[{item_code: SP001, quantity: 3, rating: 4}]</t>
  </si>
  <si>
    <t>[{item_code: SP002, quantity: 5, rating: 2}, {item_code: PP002, quantity: 1, rating: 1}]</t>
  </si>
  <si>
    <t>[{item_code: SP002, quantity: 5, rating: 3}, {item_code: PW001, quantity: 1, rating: 1}, {item_code: SP001, quantity: 1, rating: 5}]</t>
  </si>
  <si>
    <t>[{item_code: PP001, quantity: 2, rating: 3}, {item_code: PP002, quantity: 2, rating: 4}, {item_code: SP001, quantity: 3, rating: 3}]</t>
  </si>
  <si>
    <t>[{item_code: PW002, quantity: 2, rating: 1}, {item_code: SW001, quantity: 1, rating: 5}, {item_code: SP001, quantity: 1, rating: 4}]</t>
  </si>
  <si>
    <t>[{item_code: PW001, quantity: 1, rating: 2}]</t>
  </si>
  <si>
    <t>[{item_code: PP002, quantity: 4, rating: 1}, {item_code: PW001, quantity: 2, rating: 5}]</t>
  </si>
  <si>
    <t>[{item_code: PW001, quantity: 1, rating: 1}, {item_code: PU001, quantity: 3, rating: 1}, {item_code: PW001, quantity: 1, rating: 4}]</t>
  </si>
  <si>
    <t>[{item_code: PP003, quantity: 2, rating: 2}, {item_code: PW001, quantity: 2, rating: 2}]</t>
  </si>
  <si>
    <t>[{item_code: SW001, quantity: 1, rating: 5}, {item_code: SP001, quantity: 1, rating: 4}, {item_code: PW001, quantity: 1, rating: 5}]</t>
  </si>
  <si>
    <t>[{item_code: SP002, quantity: 7, rating: 2}]</t>
  </si>
  <si>
    <t>[{item_code: PU001, quantity: 4, rating: 1}, {item_code: PW003, quantity: 1, rating: 3}]</t>
  </si>
  <si>
    <t>[{item_code: PW001, quantity: 2, rating: 2}]</t>
  </si>
  <si>
    <t>[{item_code: PU001, quantity: 4, rating: 4}, {item_code: SP002, quantity: 1, rating: 4}, {item_code: PP003, quantity: 1, rating: 2}]</t>
  </si>
  <si>
    <t>[{item_code: PW003, quantity: 3, rating: 4}, {item_code: PW002, quantity: 4, rating: 3}]</t>
  </si>
  <si>
    <t>[{item_code: PP003, quantity: 2, rating: 4}, {item_code: PW002, quantity: 3, rating: 3}]</t>
  </si>
  <si>
    <t>[{item_code: PP002, quantity: 1, rating: 4}, {item_code: SP001, quantity: 2, rating: 5}, {item_code: SP002, quantity: 3, rating: 5}]</t>
  </si>
  <si>
    <t>[{item_code: SW001, quantity: 1, rating: 4}, {item_code: PP002, quantity: 1, rating: 4}]</t>
  </si>
  <si>
    <t>[{item_code: SP001, quantity: 1, rating: 3}, {item_code: SP002, quantity: 1, rating: 3}]</t>
  </si>
  <si>
    <t>[{item_code: SP001, quantity: 3, rating: 5}, {item_code: PU001, quantity: 3, rating: 5}]</t>
  </si>
  <si>
    <t>[{item_code: PW002, quantity: 2, rating: 3}, {item_code: PW001, quantity: 2, rating: 2}, {item_code: SP001, quantity: 2, rating: 2}]</t>
  </si>
  <si>
    <t>[{item_code: PW003, quantity: 1, rating: 3}, {item_code: PP002, quantity: 5, rating: 2}]</t>
  </si>
  <si>
    <t>[{item_code: PW002, quantity: 1, rating: 5}]</t>
  </si>
  <si>
    <t>[{item_code: PP003, quantity: 4, rating: 3}]</t>
  </si>
  <si>
    <t>[{item_code: PP002, quantity: 3, rating: 5}, {item_code: SP002, quantity: 4, rating: 4}]</t>
  </si>
  <si>
    <t>[{item_code: PW003, quantity: 1, rating: 1}, {item_code: PW001, quantity: 2, rating: 3}, {item_code: PP001, quantity: 3, rating: 4}]</t>
  </si>
  <si>
    <t>[{item_code: PP003, quantity: 5, rating: 3}, {item_code: SW001, quantity: 1, rating: 3}]</t>
  </si>
  <si>
    <t>[{item_code: PP001, quantity: 4, rating: 2}, {item_code: SP002, quantity: 1, rating: 1}, {item_code: SW001, quantity: 2, rating: 2}]</t>
  </si>
  <si>
    <t>[{item_code: PW001, quantity: 3, rating: 2}, {item_code: PW003, quantity: 1, rating: 1}]</t>
  </si>
  <si>
    <t>[{item_code: PW002, quantity: 7, rating: 3}]</t>
  </si>
  <si>
    <t>[{item_code: SP002, quantity: 4, rating: 5}, {item_code: PP002, quantity: 3, rating: 1}]</t>
  </si>
  <si>
    <t>[{item_code: SW001, quantity: 3, rating: 3}, {item_code: SP002, quantity: 1, rating: 3}]</t>
  </si>
  <si>
    <t>[{item_code: PP002, quantity: 1, rating: 5}, {item_code: PP001, quantity: 1, rating: 2}, {item_code: PP002, quantity: 1, rating: 4}]</t>
  </si>
  <si>
    <t>[{item_code: PU001, quantity: 3, rating: 4}, {item_code: PP003, quantity: 1, rating: 5}]</t>
  </si>
  <si>
    <t>[{item_code: PP001, quantity: 6, rating: 1}, {item_code: PW003, quantity: 1, rating: 2}]</t>
  </si>
  <si>
    <t>[{item_code: PU001, quantity: 2, rating: 1}, {item_code: PW002, quantity: 3, rating: 4}]</t>
  </si>
  <si>
    <t>[{item_code: PP001, quantity: 4, rating: 2}]</t>
  </si>
  <si>
    <t>[{item_code: PP002, quantity: 1, rating: 5}, {item_code: SP002, quantity: 1, rating: 3}]</t>
  </si>
  <si>
    <t>[{item_code: PU001, quantity: 4, rating: 1}, {item_code: SP002, quantity: 2, rating: 5}, {item_code: PP003, quantity: 1, rating: 3}]</t>
  </si>
  <si>
    <t>[{item_code: SP002, quantity: 1, rating: 5}, {item_code: PP003, quantity: 1, rating: 2}, {item_code: PW001, quantity: 4, rating: 5}]</t>
  </si>
  <si>
    <t>[{item_code: PW002, quantity: 5, rating: 4}, {item_code: PP003, quantity: 1, rating: 1}]</t>
  </si>
  <si>
    <t>[{item_code: PP001, quantity: 5, rating: 2}]</t>
  </si>
  <si>
    <t>[{item_code: SW001, quantity: 7, rating: 4}]</t>
  </si>
  <si>
    <t>[{item_code: SW001, quantity: 3, rating: 4}, {item_code: PU001, quantity: 1, rating: 1}]</t>
  </si>
  <si>
    <t>[{item_code: PW003, quantity: 6, rating: 1}, {item_code: SP001, quantity: 1, rating: 5}]</t>
  </si>
  <si>
    <t>[{item_code: PP002, quantity: 2, rating: 1}, {item_code: SP001, quantity: 3, rating: 2}]</t>
  </si>
  <si>
    <t>[{item_code: SW001, quantity: 3, rating: 1}, {item_code: PW003, quantity: 1, rating: 4}, {item_code: PU001, quantity: 1, rating: 2}]</t>
  </si>
  <si>
    <t>[{item_code: PU001, quantity: 1, rating: 5}, {item_code: SW001, quantity: 1, rating: 1}, {item_code: PP003, quantity: 2, rating: 1}]</t>
  </si>
  <si>
    <t>[{item_code: SP002, quantity: 7, rating: 5}]</t>
  </si>
  <si>
    <t>[{item_code: SP001, quantity: 1, rating: 1}, {item_code: PW003, quantity: 1, rating: 2}, {item_code: PP002, quantity: 4, rating: 4}]</t>
  </si>
  <si>
    <t>[{item_code: SP002, quantity: 3, rating: 5}, {item_code: SP001, quantity: 2, rating: 3}]</t>
  </si>
  <si>
    <t>[{item_code: SP002, quantity: 3, rating: 2}, {item_code: SW001, quantity: 1, rating: 2}, {item_code: SW001, quantity: 2, rating: 2}]</t>
  </si>
  <si>
    <t>[{item_code: SW001, quantity: 1, rating: 4}, {item_code: PW001, quantity: 1, rating: 1}]</t>
  </si>
  <si>
    <t>[{item_code: PW003, quantity: 1, rating: 4}, {item_code: PW001, quantity: 3, rating: 2}]</t>
  </si>
  <si>
    <t>[{item_code: PW002, quantity: 1, rating: 5}, {item_code: PP003, quantity: 1, rating: 5}]</t>
  </si>
  <si>
    <t>[{item_code: PP002, quantity: 3, rating: 2}, {item_code: SP001, quantity: 1, rating: 3}]</t>
  </si>
  <si>
    <t>[{item_code: PU001, quantity: 1, rating: 5}, {item_code: PP001, quantity: 2, rating: 3}, {item_code: PP002, quantity: 3, rating: 1}]</t>
  </si>
  <si>
    <t>[{item_code: PW001, quantity: 4, rating: 4}]</t>
  </si>
  <si>
    <t>[{item_code: PP003, quantity: 6, rating: 3}]</t>
  </si>
  <si>
    <t>[{item_code: SP001, quantity: 4, rating: 2}, {item_code: PU001, quantity: 2, rating: 1}]</t>
  </si>
  <si>
    <t>[{item_code: SP001, quantity: 1, rating: 1}, {item_code: PW002, quantity: 2, rating: 1}, {item_code: PP001, quantity: 1, rating: 2}]</t>
  </si>
  <si>
    <t>[{item_code: PW002, quantity: 2, rating: 2}]</t>
  </si>
  <si>
    <t>[{item_code: PW002, quantity: 1, rating: 1}, {item_code: SP002, quantity: 1, rating: 1}]</t>
  </si>
  <si>
    <t>[{item_code: PW002, quantity: 3, rating: 5}, {item_code: SW001, quantity: 3, rating: 1}]</t>
  </si>
  <si>
    <t>[{item_code: PU001, quantity: 4, rating: 2}, {item_code: SP002, quantity: 1, rating: 4}, {item_code: PP003, quantity: 2, rating: 3}]</t>
  </si>
  <si>
    <t>[{item_code: PP003, quantity: 3, rating: 1}]</t>
  </si>
  <si>
    <t>[{item_code: SP002, quantity: 1, rating: 5}, {item_code: PW002, quantity: 2, rating: 2}]</t>
  </si>
  <si>
    <t>[{item_code: PW002, quantity: 2, rating: 1}, {item_code: PP003, quantity: 3, rating: 3}, {item_code: PW001, quantity: 1, rating: 3}]</t>
  </si>
  <si>
    <t>[{item_code: PP002, quantity: 1, rating: 5}, {item_code: PP003, quantity: 3, rating: 2}, {item_code: PW003, quantity: 1, rating: 3}]</t>
  </si>
  <si>
    <t>[{item_code: PW001, quantity: 1, rating: 2}, {item_code: SP001, quantity: 2, rating: 1}]</t>
  </si>
  <si>
    <t>[{item_code: SP002, quantity: 5, rating: 2}, {item_code: SW001, quantity: 1, rating: 2}]</t>
  </si>
  <si>
    <t>[{item_code: PP003, quantity: 2, rating: 3}, {item_code: PW001, quantity: 2, rating: 5}, {item_code: SP002, quantity: 1, rating: 4}]</t>
  </si>
  <si>
    <t>[{item_code: PW002, quantity: 2, rating: 1}, {item_code: PP003, quantity: 2, rating: 2}, {item_code: SP001, quantity: 2, rating: 3}]</t>
  </si>
  <si>
    <t>[{item_code: SW001, quantity: 3, rating: 1}, {item_code: PW003, quantity: 2, rating: 1}, {item_code: PW002, quantity: 1, rating: 2}]</t>
  </si>
  <si>
    <t>[{item_code: SP002, quantity: 1, rating: 4}, {item_code: PP003, quantity: 2, rating: 3}, {item_code: SP001, quantity: 2, rating: 3}]</t>
  </si>
  <si>
    <t>[{item_code: PW003, quantity: 1, rating: 5}, {item_code: PU001, quantity: 1, rating: 4}]</t>
  </si>
  <si>
    <t>[{item_code: SP002, quantity: 3, rating: 4}, {item_code: PP003, quantity: 1, rating: 2}]</t>
  </si>
  <si>
    <t>[{item_code: PP003, quantity: 1, rating: 1}, {item_code: PW001, quantity: 3, rating: 4}, {item_code: PP002, quantity: 1, rating: 3}]</t>
  </si>
  <si>
    <t>[{item_code: PP003, quantity: 2, rating: 5}, {item_code: PP002, quantity: 2, rating: 4}, {item_code: SW001, quantity: 1, rating: 5}]</t>
  </si>
  <si>
    <t>[{item_code: PW002, quantity: 5, rating: 4}]</t>
  </si>
  <si>
    <t>[{item_code: SW001, quantity: 3, rating: 1}, {item_code: SP002, quantity: 1, rating: 2}]</t>
  </si>
  <si>
    <t>[{item_code: SW001, quantity: 2, rating: 1}]</t>
  </si>
  <si>
    <t>[{item_code: PU001, quantity: 4, rating: 5}, {item_code: SP001, quantity: 1, rating: 4}, {item_code: SP002, quantity: 1, rating: 2}]</t>
  </si>
  <si>
    <t>[{item_code: PW003, quantity: 1, rating: 2}]</t>
  </si>
  <si>
    <t>[{item_code: PU001, quantity: 3, rating: 4}]</t>
  </si>
  <si>
    <t>[{item_code: PW002, quantity: 1, rating: 2}, {item_code: SW001, quantity: 4, rating: 5}, {item_code: SP002, quantity: 1, rating: 4}]</t>
  </si>
  <si>
    <t>[{item_code: PP001, quantity: 3, rating: 4}, {item_code: PP003, quantity: 2, rating: 4}]</t>
  </si>
  <si>
    <t>[{item_code: SP002, quantity: 3, rating: 5}, {item_code: PP003, quantity: 2, rating: 2}, {item_code: SP001, quantity: 1, rating: 1}]</t>
  </si>
  <si>
    <t>[{item_code: SP002, quantity: 1, rating: 3}, {item_code: PP002, quantity: 1, rating: 3}, {item_code: SP002, quantity: 2, rating: 2}]</t>
  </si>
  <si>
    <t>[{item_code: PW002, quantity: 2, rating: 1}, {item_code: PP003, quantity: 1, rating: 1}]</t>
  </si>
  <si>
    <t>[{item_code: PW001, quantity: 1, rating: 4}, {item_code: PP003, quantity: 3, rating: 4}]</t>
  </si>
  <si>
    <t>[{item_code: PP003, quantity: 4, rating: 4}, {item_code: SW001, quantity: 2, rating: 3}]</t>
  </si>
  <si>
    <t>[{item_code: PP001, quantity: 5, rating: 4}, {item_code: SP002, quantity: 1, rating: 4}]</t>
  </si>
  <si>
    <t>[{item_code: PU001, quantity: 2, rating: 4}, {item_code: SP001, quantity: 1, rating: 2}]</t>
  </si>
  <si>
    <t>[{item_code: SP002, quantity: 3, rating: 1}]</t>
  </si>
  <si>
    <t>[{item_code: PW001, quantity: 2, rating: 5}, {item_code: PU001, quantity: 5, rating: 5}]</t>
  </si>
  <si>
    <t>[{item_code: PU001, quantity: 4, rating: 2}, {item_code: PP002, quantity: 1, rating: 2}]</t>
  </si>
  <si>
    <t>[{item_code: PU001, quantity: 1, rating: 4}]</t>
  </si>
  <si>
    <t>[{item_code: PP003, quantity: 3, rating: 4}, {item_code: PP001, quantity: 2, rating: 5}]</t>
  </si>
  <si>
    <t>[{item_code: PW003, quantity: 3, rating: 4}, {item_code: SP001, quantity: 3, rating: 3}, {item_code: PW001, quantity: 1, rating: 2}]</t>
  </si>
  <si>
    <t>[{item_code: SP002, quantity: 1, rating: 3}, {item_code: SP001, quantity: 2, rating: 2}, {item_code: PW001, quantity: 3, rating: 4}]</t>
  </si>
  <si>
    <t>[{item_code: PW003, quantity: 4, rating: 2}, {item_code: PW002, quantity: 1, rating: 5}]</t>
  </si>
  <si>
    <t>[{item_code: PP003, quantity: 1, rating: 5}, {item_code: SP002, quantity: 1, rating: 4}]</t>
  </si>
  <si>
    <t>[{item_code: SP001, quantity: 2, rating: 3}]</t>
  </si>
  <si>
    <t>[{item_code: PP001, quantity: 4, rating: 2}, {item_code: SP002, quantity: 1, rating: 1}, {item_code: PW001, quantity: 2, rating: 1}]</t>
  </si>
  <si>
    <t>[{item_code: SW001, quantity: 6, rating: 4}, {item_code: SP002, quantity: 1, rating: 3}]</t>
  </si>
  <si>
    <t>[{item_code: SW001, quantity: 1, rating: 1}, {item_code: PW001, quantity: 2, rating: 3}, {item_code: PP002, quantity: 1, rating: 4}]</t>
  </si>
  <si>
    <t>[{item_code: PW001, quantity: 4, rating: 2}, {item_code: SP001, quantity: 3, rating: 2}]</t>
  </si>
  <si>
    <t>[{item_code: PP003, quantity: 2, rating: 2}, {item_code: PW001, quantity: 4, rating: 5}]</t>
  </si>
  <si>
    <t>[{item_code: PW002, quantity: 4, rating: 3}]</t>
  </si>
  <si>
    <t>[{item_code: SW001, quantity: 2, rating: 4}, {item_code: PP003, quantity: 3, rating: 4}, {item_code: SW001, quantity: 2, rating: 3}]</t>
  </si>
  <si>
    <t>[{item_code: SP002, quantity: 1, rating: 2}, {item_code: PW003, quantity: 1, rating: 5}]</t>
  </si>
  <si>
    <t>[{item_code: PW001, quantity: 2, rating: 5}, {item_code: SP002, quantity: 3, rating: 2}, {item_code: PW003, quantity: 2, rating: 4}]</t>
  </si>
  <si>
    <t>[{item_code: SP001, quantity: 4, rating: 5}]</t>
  </si>
  <si>
    <t>[{item_code: PP002, quantity: 4, rating: 1}, {item_code: PP001, quantity: 3, rating: 2}]</t>
  </si>
  <si>
    <t>[{item_code: PP001, quantity: 2, rating: 2}, {item_code: SP002, quantity: 1, rating: 3}]</t>
  </si>
  <si>
    <t>[{item_code: PW001, quantity: 2, rating: 5}, {item_code: SW001, quantity: 2, rating: 1}, {item_code: SP002, quantity: 3, rating: 5}]</t>
  </si>
  <si>
    <t>[{item_code: SP001, quantity: 7, rating: 4}]</t>
  </si>
  <si>
    <t>[{item_code: PP002, quantity: 3, rating: 3}, {item_code: PP002, quantity: 2, rating: 5}, {item_code: PW001, quantity: 2, rating: 2}]</t>
  </si>
  <si>
    <t>[{item_code: PW003, quantity: 3, rating: 2}, {item_code: PU001, quantity: 3, rating: 1}]</t>
  </si>
  <si>
    <t>[{item_code: PW003, quantity: 1, rating: 2}, {item_code: PP003, quantity: 4, rating: 1}, {item_code: SP002, quantity: 1, rating: 5}]</t>
  </si>
  <si>
    <t>[{item_code: SP002, quantity: 4, rating: 2}]</t>
  </si>
  <si>
    <t>[{item_code: PP003, quantity: 2, rating: 4}, {item_code: PW003, quantity: 1, rating: 2}, {item_code: PP003, quantity: 2, rating: 3}]</t>
  </si>
  <si>
    <t>[{item_code: PP003, quantity: 4, rating: 3}, {item_code: SP002, quantity: 1, rating: 4}]</t>
  </si>
  <si>
    <t>[{item_code: PP002, quantity: 1, rating: 1}, {item_code: PP001, quantity: 2, rating: 5}, {item_code: PW003, quantity: 3, rating: 5}]</t>
  </si>
  <si>
    <t>[{item_code: PP001, quantity: 3, rating: 3}, {item_code: PU001, quantity: 1, rating: 3}]</t>
  </si>
  <si>
    <t>[{item_code: PP003, quantity: 1, rating: 4}]</t>
  </si>
  <si>
    <t>[{item_code: PP002, quantity: 4, rating: 4}]</t>
  </si>
  <si>
    <t>[{item_code: PP003, quantity: 5, rating: 2}, {item_code: SP002, quantity: 1, rating: 4}]</t>
  </si>
  <si>
    <t>[{item_code: SP002, quantity: 5, rating: 1}, {item_code: SW001, quantity: 1, rating: 1}]</t>
  </si>
  <si>
    <t>[{item_code: PP002, quantity: 1, rating: 2}, {item_code: SP002, quantity: 3, rating: 3}]</t>
  </si>
  <si>
    <t>[{item_code: SP001, quantity: 2, rating: 1}, {item_code: SW001, quantity: 2, rating: 3}]</t>
  </si>
  <si>
    <t>[{item_code: PW001, quantity: 1, rating: 4}, {item_code: PU001, quantity: 1, rating: 4}, {item_code: PP001, quantity: 5, rating: 2}]</t>
  </si>
  <si>
    <t>[{item_code: PP002, quantity: 2, rating: 1}, {item_code: PP001, quantity: 1, rating: 5}]</t>
  </si>
  <si>
    <t>[{item_code: PU001, quantity: 4, rating: 2}, {item_code: SP001, quantity: 2, rating: 4}, {item_code: PW002, quantity: 1, rating: 1}]</t>
  </si>
  <si>
    <t>[{item_code: SP001, quantity: 1, rating: 1}, {item_code: SP002, quantity: 1, rating: 2}, {item_code: PU001, quantity: 4, rating: 1}]</t>
  </si>
  <si>
    <t>[{item_code: PP001, quantity: 2, rating: 4}, {item_code: SP001, quantity: 2, rating: 4}]</t>
  </si>
  <si>
    <t>[{item_code: PP002, quantity: 2, rating: 4}, {item_code: SP001, quantity: 1, rating: 4}, {item_code: SW001, quantity: 1, rating: 3}]</t>
  </si>
  <si>
    <t>[{item_code: PW002, quantity: 1, rating: 1}, {item_code: PP002, quantity: 2, rating: 4}, {item_code: SP002, quantity: 1, rating: 1}]</t>
  </si>
  <si>
    <t>[{item_code: PU001, quantity: 3, rating: 2}]</t>
  </si>
  <si>
    <t>[{item_code: PP003, quantity: 1, rating: 1}, {item_code: PP001, quantity: 1, rating: 4}, {item_code: PW003, quantity: 3, rating: 3}]</t>
  </si>
  <si>
    <t>[{item_code: PW003, quantity: 2, rating: 4}, {item_code: PW001, quantity: 1, rating: 3}, {item_code: SW001, quantity: 3, rating: 5}]</t>
  </si>
  <si>
    <t>[{item_code: PP002, quantity: 1, rating: 3}, {item_code: SP002, quantity: 4, rating: 5}, {item_code: PW003, quantity: 2, rating: 2}]</t>
  </si>
  <si>
    <t>[{item_code: PU001, quantity: 1, rating: 1}, {item_code: SW001, quantity: 3, rating: 1}]</t>
  </si>
  <si>
    <t>[{item_code: PP003, quantity: 2, rating: 2}, {item_code: SP002, quantity: 5, rating: 2}]</t>
  </si>
  <si>
    <t>[{item_code: PW003, quantity: 3, rating: 4}, {item_code: SP002, quantity: 1, rating: 3}]</t>
  </si>
  <si>
    <t>[{item_code: PP003, quantity: 1, rating: 5}, {item_code: PP002, quantity: 1, rating: 4}, {item_code: SP002, quantity: 5, rating: 3}]</t>
  </si>
  <si>
    <t>[{item_code: PW003, quantity: 3, rating: 2}, {item_code: PP003, quantity: 1, rating: 4}]</t>
  </si>
  <si>
    <t>[{item_code: PP001, quantity: 2, rating: 1}, {item_code: PW003, quantity: 1, rating: 1}, {item_code: PW002, quantity: 2, rating: 1}]</t>
  </si>
  <si>
    <t>[{item_code: PP001, quantity: 4, rating: 5}]</t>
  </si>
  <si>
    <t>[{item_code: PW002, quantity: 2, rating: 3}, {item_code: PP002, quantity: 1, rating: 5}]</t>
  </si>
  <si>
    <t>[{item_code: SW001, quantity: 1, rating: 5}, {item_code: SP001, quantity: 1, rating: 3}]</t>
  </si>
  <si>
    <t>[{item_code: SP002, quantity: 2, rating: 1}]</t>
  </si>
  <si>
    <t>[{item_code: PP001, quantity: 3, rating: 1}, {item_code: PW003, quantity: 1, rating: 4}]</t>
  </si>
  <si>
    <t>[{item_code: PP001, quantity: 5, rating: 4}]</t>
  </si>
  <si>
    <t>[{item_code: PP001, quantity: 4, rating: 1}, {item_code: PP002, quantity: 1, rating: 4}]</t>
  </si>
  <si>
    <t>[{item_code: PW001, quantity: 3, rating: 1}, {item_code: PU001, quantity: 4, rating: 1}]</t>
  </si>
  <si>
    <t>[{item_code: PW001, quantity: 1, rating: 2}, {item_code: PP003, quantity: 1, rating: 1}]</t>
  </si>
  <si>
    <t>[{item_code: SW001, quantity: 2, rating: 3}, {item_code: PW002, quantity: 4, rating: 1}]</t>
  </si>
  <si>
    <t>[{item_code: PP003, quantity: 3, rating: 3}, {item_code: PW002, quantity: 3, rating: 3}]</t>
  </si>
  <si>
    <t>[{item_code: SP001, quantity: 1, rating: 3}, {item_code: PW003, quantity: 4, rating: 4}]</t>
  </si>
  <si>
    <t>[{item_code: PP003, quantity: 5, rating: 2}, {item_code: SW001, quantity: 2, rating: 2}]</t>
  </si>
  <si>
    <t>[{item_code: PP003, quantity: 1, rating: 5}, {item_code: PW002, quantity: 2, rating: 3}, {item_code: PP001, quantity: 1, rating: 5}]</t>
  </si>
  <si>
    <t>[{item_code: SW001, quantity: 1, rating: 1}, {item_code: PW002, quantity: 1, rating: 1}, {item_code: PP003, quantity: 1, rating: 2}]</t>
  </si>
  <si>
    <t>[{item_code: PW002, quantity: 2, rating: 2}, {item_code: PP001, quantity: 3, rating: 4}]</t>
  </si>
  <si>
    <t>[{item_code: SP001, quantity: 2, rating: 4}, {item_code: PW001, quantity: 2, rating: 2}]</t>
  </si>
  <si>
    <t>[{item_code: PW003, quantity: 4, rating: 5}, {item_code: SW001, quantity: 3, rating: 1}]</t>
  </si>
  <si>
    <t>[{item_code: PW001, quantity: 2, rating: 2}, {item_code: PW003, quantity: 1, rating: 5}, {item_code: SW001, quantity: 1, rating: 4}]</t>
  </si>
  <si>
    <t>[{item_code: SP002, quantity: 5, rating: 5}, {item_code: SW001, quantity: 1, rating: 2}, {item_code: PP001, quantity: 1, rating: 5}]</t>
  </si>
  <si>
    <t>[{item_code: SP001, quantity: 1, rating: 1}]</t>
  </si>
  <si>
    <t>[{item_code: PP002, quantity: 1, rating: 3}, {item_code: SP001, quantity: 2, rating: 1}, {item_code: PW001, quantity: 2, rating: 2}]</t>
  </si>
  <si>
    <t>[{item_code: PU001, quantity: 6, rating: 4}, {item_code: PW002, quantity: 1, rating: 2}]</t>
  </si>
  <si>
    <t>[{item_code: PP002, quantity: 2, rating: 5}, {item_code: SP002, quantity: 4, rating: 1}]</t>
  </si>
  <si>
    <t>[{item_code: SP002, quantity: 1, rating: 3}, {item_code: SW001, quantity: 3, rating: 5}]</t>
  </si>
  <si>
    <t>[{item_code: PP001, quantity: 1, rating: 2}, {item_code: PP002, quantity: 1, rating: 1}, {item_code: SP002, quantity: 1, rating: 4}]</t>
  </si>
  <si>
    <t>[{item_code: SP001, quantity: 1, rating: 4}, {item_code: PP002, quantity: 1, rating: 2}]</t>
  </si>
  <si>
    <t>[{item_code: PP001, quantity: 3, rating: 4}, {item_code: SP001, quantity: 1, rating: 2}]</t>
  </si>
  <si>
    <t>[{item_code: SW001, quantity: 1, rating: 2}, {item_code: PW002, quantity: 1, rating: 1}]</t>
  </si>
  <si>
    <t>[{item_code: PP003, quantity: 1, rating: 4}, {item_code: SP001, quantity: 1, rating: 2}]</t>
  </si>
  <si>
    <t>[{item_code: PW003, quantity: 5, rating: 4}, {item_code: PP001, quantity: 1, rating: 3}]</t>
  </si>
  <si>
    <t>[{item_code: SW001, quantity: 1, rating: 3}, {item_code: PP003, quantity: 1, rating: 3}, {item_code: PW002, quantity: 2, rating: 2}]</t>
  </si>
  <si>
    <t>[{item_code: PW003, quantity: 4, rating: 3}, {item_code: PU001, quantity: 1, rating: 4}]</t>
  </si>
  <si>
    <t>[{item_code: PW003, quantity: 5, rating: 1}, {item_code: SP001, quantity: 1, rating: 4}]</t>
  </si>
  <si>
    <t>[{item_code: PP002, quantity: 4, rating: 3}]</t>
  </si>
  <si>
    <t>[{item_code: PP002, quantity: 1, rating: 1}, {item_code: SP002, quantity: 1, rating: 1}, {item_code: SP001, quantity: 1, rating: 1}]</t>
  </si>
  <si>
    <t>[{item_code: PP001, quantity: 1, rating: 3}, {item_code: PW003, quantity: 2, rating: 5}, {item_code: PU001, quantity: 2, rating: 2}]</t>
  </si>
  <si>
    <t>[{item_code: PW001, quantity: 1, rating: 3}, {item_code: SP002, quantity: 3, rating: 5}, {item_code: PW002, quantity: 3, rating: 4}]</t>
  </si>
  <si>
    <t>[{item_code: SP002, quantity: 4, rating: 1}, {item_code: PU001, quantity: 2, rating: 4}]</t>
  </si>
  <si>
    <t>[{item_code: PW002, quantity: 1, rating: 1}, {item_code: SP002, quantity: 1, rating: 1}, {item_code: SP001, quantity: 4, rating: 4}]</t>
  </si>
  <si>
    <t>[{item_code: PU001, quantity: 1, rating: 2}, {item_code: SP002, quantity: 5, rating: 4}]</t>
  </si>
  <si>
    <t>[{item_code: SW001, quantity: 3, rating: 3}, {item_code: SP001, quantity: 1, rating: 4}, {item_code: SP002, quantity: 1, rating: 4}]</t>
  </si>
  <si>
    <t>[{item_code: PP002, quantity: 2, rating: 5}, {item_code: PP003, quantity: 1, rating: 4}]</t>
  </si>
  <si>
    <t>[{item_code: PP001, quantity: 1, rating: 3}, {item_code: PU001, quantity: 6, rating: 4}]</t>
  </si>
  <si>
    <t>[{item_code: PP001, quantity: 3, rating: 1}, {item_code: PP002, quantity: 1, rating: 2}, {item_code: PW002, quantity: 1, rating: 1}]</t>
  </si>
  <si>
    <t>[{item_code: PP002, quantity: 1, rating: 1}, {item_code: PP003, quantity: 1, rating: 4}]</t>
  </si>
  <si>
    <t>[{item_code: PP003, quantity: 3, rating: 4}, {item_code: PP001, quantity: 1, rating: 4}, {item_code: PP001, quantity: 1, rating: 2}]</t>
  </si>
  <si>
    <t>[{item_code: PW002, quantity: 2, rating: 2}, {item_code: SW001, quantity: 1, rating: 1}, {item_code: PP001, quantity: 4, rating: 2}]</t>
  </si>
  <si>
    <t>[{item_code: SW001, quantity: 2, rating: 2}, {item_code: PW002, quantity: 4, rating: 1}]</t>
  </si>
  <si>
    <t>[{item_code: PU001, quantity: 4, rating: 3}, {item_code: PW002, quantity: 1, rating: 5}]</t>
  </si>
  <si>
    <t>[{item_code: PP001, quantity: 2, rating: 2}, {item_code: SP001, quantity: 1, rating: 5}]</t>
  </si>
  <si>
    <t>[{item_code: SP001, quantity: 1, rating: 4}, {item_code: PU001, quantity: 1, rating: 2}, {item_code: SP002, quantity: 1, rating: 2}]</t>
  </si>
  <si>
    <t>[{item_code: PU001, quantity: 3, rating: 1}, {item_code: SP002, quantity: 2, rating: 4}, {item_code: PW003, quantity: 1, rating: 5}]</t>
  </si>
  <si>
    <t>[{item_code: SP001, quantity: 2, rating: 5}, {item_code: PU001, quantity: 1, rating: 2}, {item_code: PW003, quantity: 2, rating: 4}]</t>
  </si>
  <si>
    <t>[{item_code: PW001, quantity: 1, rating: 1}, {item_code: PW001, quantity: 1, rating: 4}, {item_code: PW001, quantity: 1, rating: 2}]</t>
  </si>
  <si>
    <t>[{item_code: PW003, quantity: 4, rating: 3}, {item_code: PU001, quantity: 1, rating: 2}, {item_code: PW001, quantity: 2, rating: 5}]</t>
  </si>
  <si>
    <t>[{item_code: PP003, quantity: 2, rating: 3}]</t>
  </si>
  <si>
    <t>[{item_code: PU001, quantity: 1, rating: 5}, {item_code: PW002, quantity: 1, rating: 1}]</t>
  </si>
  <si>
    <t>[{item_code: PU001, quantity: 3, rating: 2}, {item_code: PW003, quantity: 1, rating: 5}, {item_code: PP002, quantity: 2, rating: 3}]</t>
  </si>
  <si>
    <t>[{item_code: PP003, quantity: 1, rating: 1}, {item_code: PP001, quantity: 4, rating: 1}]</t>
  </si>
  <si>
    <t>[{item_code: SP001, quantity: 1, rating: 5}, {item_code: PW001, quantity: 6, rating: 4}]</t>
  </si>
  <si>
    <t>[{item_code: PW001, quantity: 1, rating: 3}, {item_code: PP001, quantity: 3, rating: 1}, {item_code: SP001, quantity: 1, rating: 2}]</t>
  </si>
  <si>
    <t>[{item_code: PU001, quantity: 2, rating: 3}, {item_code: PW001, quantity: 2, rating: 4}, {item_code: PP002, quantity: 1, rating: 5}]</t>
  </si>
  <si>
    <t>[{item_code: PU001, quantity: 1, rating: 5}, {item_code: SP002, quantity: 2, rating: 2}, {item_code: PW003, quantity: 1, rating: 2}]</t>
  </si>
  <si>
    <t>[{item_code: PW001, quantity: 2, rating: 3}, {item_code: PW002, quantity: 2, rating: 3}]</t>
  </si>
  <si>
    <t>[{item_code: PU001, quantity: 3, rating: 4}, {item_code: PU001, quantity: 2, rating: 4}]</t>
  </si>
  <si>
    <t>[{item_code: PP003, quantity: 2, rating: 1}, {item_code: SP001, quantity: 1, rating: 2}, {item_code: PP003, quantity: 3, rating: 4}]</t>
  </si>
  <si>
    <t>[{item_code: PU001, quantity: 1, rating: 2}, {item_code: PP003, quantity: 3, rating: 3}, {item_code: SW001, quantity: 3, rating: 1}]</t>
  </si>
  <si>
    <t>[{item_code: PU001, quantity: 2, rating: 4}]</t>
  </si>
  <si>
    <t>[{item_code: PP001, quantity: 2, rating: 3}, {item_code: SW001, quantity: 2, rating: 5}]</t>
  </si>
  <si>
    <t>[{item_code: PP003, quantity: 2, rating: 5}, {item_code: PU001, quantity: 1, rating: 2}]</t>
  </si>
  <si>
    <t>[{item_code: PP002, quantity: 5, rating: 1}, {item_code: PP001, quantity: 1, rating: 5}, {item_code: PP003, quantity: 1, rating: 3}]</t>
  </si>
  <si>
    <t>[{item_code: SP001, quantity: 1, rating: 3}, {item_code: PP003, quantity: 1, rating: 1}, {item_code: SW001, quantity: 3, rating: 1}]</t>
  </si>
  <si>
    <t>[{item_code: PU001, quantity: 6, rating: 1}]</t>
  </si>
  <si>
    <t>[{item_code: PP001, quantity: 2, rating: 2}]</t>
  </si>
  <si>
    <t>[{item_code: PP002, quantity: 4, rating: 5}, {item_code: PW003, quantity: 1, rating: 4}, {item_code: PW003, quantity: 1, rating: 1}]</t>
  </si>
  <si>
    <t>[{item_code: SP002, quantity: 6, rating: 3}, {item_code: PW002, quantity: 1, rating: 4}]</t>
  </si>
  <si>
    <t>[{item_code: SW001, quantity: 4, rating: 1}]</t>
  </si>
  <si>
    <t>[{item_code: PW001, quantity: 1, rating: 2}, {item_code: PU001, quantity: 1, rating: 5}]</t>
  </si>
  <si>
    <t>[{item_code: PW002, quantity: 7, rating: 5}]</t>
  </si>
  <si>
    <t>[{item_code: PP001, quantity: 1, rating: 3}, {item_code: PU001, quantity: 2, rating: 5}, {item_code: PP002, quantity: 1, rating: 4}]</t>
  </si>
  <si>
    <t>[{item_code: SP001, quantity: 2, rating: 4}, {item_code: PP003, quantity: 1, rating: 3}, {item_code: SW001, quantity: 4, rating: 2}]</t>
  </si>
  <si>
    <t>[{item_code: PW003, quantity: 4, rating: 1}, {item_code: PP003, quantity: 2, rating: 4}]</t>
  </si>
  <si>
    <t>[{item_code: PU001, quantity: 1, rating: 5}, {item_code: SP001, quantity: 1, rating: 3}, {item_code: PP001, quantity: 1, rating: 1}]</t>
  </si>
  <si>
    <t>[{item_code: SP001, quantity: 7, rating: 2}]</t>
  </si>
  <si>
    <t>[{item_code: SW001, quantity: 1, rating: 1}, {item_code: PW003, quantity: 2, rating: 4}]</t>
  </si>
  <si>
    <t>[{item_code: PW003, quantity: 3, rating: 4}, {item_code: PP001, quantity: 1, rating: 1}, {item_code: PP003, quantity: 3, rating: 5}]</t>
  </si>
  <si>
    <t>[{item_code: PW003, quantity: 2, rating: 2}, {item_code: PW002, quantity: 1, rating: 5}, {item_code: SW001, quantity: 1, rating: 4}]</t>
  </si>
  <si>
    <t>[{item_code: PP003, quantity: 1, rating: 3}, {item_code: SP002, quantity: 1, rating: 4}, {item_code: PP002, quantity: 3, rating: 5}]</t>
  </si>
  <si>
    <t>[{item_code: SP001, quantity: 4, rating: 5}, {item_code: PP001, quantity: 1, rating: 5}]</t>
  </si>
  <si>
    <t>[{item_code: PU001, quantity: 2, rating: 5}, {item_code: PP001, quantity: 2, rating: 5}, {item_code: SW001, quantity: 2, rating: 1}]</t>
  </si>
  <si>
    <t>[{item_code: PP003, quantity: 1, rating: 1}, {item_code: PP002, quantity: 1, rating: 3}, {item_code: SP001, quantity: 2, rating: 4}]</t>
  </si>
  <si>
    <t>[{item_code: SP001, quantity: 2, rating: 4}, {item_code: PP002, quantity: 1, rating: 4}]</t>
  </si>
  <si>
    <t>[{item_code: PP003, quantity: 4, rating: 2}, {item_code: PW003, quantity: 1, rating: 5}, {item_code: SP002, quantity: 1, rating: 5}]</t>
  </si>
  <si>
    <t>[{item_code: SP001, quantity: 3, rating: 4}, {item_code: SP002, quantity: 2, rating: 3}]</t>
  </si>
  <si>
    <t>[{item_code: PP001, quantity: 1, rating: 4}, {item_code: PP002, quantity: 1, rating: 2}]</t>
  </si>
  <si>
    <t>[{item_code: PU001, quantity: 1, rating: 1}, {item_code: SP001, quantity: 1, rating: 2}, {item_code: SP002, quantity: 3, rating: 2}]</t>
  </si>
  <si>
    <t>[{item_code: SP001, quantity: 4, rating: 2}, {item_code: PW001, quantity: 3, rating: 4}]</t>
  </si>
  <si>
    <t>[{item_code: PW001, quantity: 4, rating: 4}, {item_code: PP001, quantity: 1, rating: 5}]</t>
  </si>
  <si>
    <t>[{item_code: PW003, quantity: 1, rating: 3}, {item_code: PU001, quantity: 2, rating: 5}, {item_code: PP003, quantity: 2, rating: 2}]</t>
  </si>
  <si>
    <t>[{item_code: SP001, quantity: 3, rating: 4}, {item_code: PU001, quantity: 3, rating: 3}]</t>
  </si>
  <si>
    <t>[{item_code: SP001, quantity: 3, rating: 1}, {item_code: SW001, quantity: 1, rating: 4}]</t>
  </si>
  <si>
    <t>[{item_code: PW003, quantity: 2, rating: 2}, {item_code: SP001, quantity: 2, rating: 5}]</t>
  </si>
  <si>
    <t>[{item_code: SP002, quantity: 3, rating: 2}, {item_code: SW001, quantity: 2, rating: 1}]</t>
  </si>
  <si>
    <t>[{item_code: PU001, quantity: 2, rating: 5}]</t>
  </si>
  <si>
    <t>[{item_code: SP001, quantity: 4, rating: 4}, {item_code: SP002, quantity: 1, rating: 5}, {item_code: PP003, quantity: 1, rating: 4}]</t>
  </si>
  <si>
    <t>[{item_code: SP001, quantity: 3, rating: 4}, {item_code: PP003, quantity: 1, rating: 2}, {item_code: PP003, quantity: 2, rating: 2}]</t>
  </si>
  <si>
    <t>[{item_code: PP003, quantity: 1, rating: 4}, {item_code: SP002, quantity: 4, rating: 5}, {item_code: PP003, quantity: 1, rating: 4}]</t>
  </si>
  <si>
    <t>[{item_code: PW001, quantity: 2, rating: 1}, {item_code: PP001, quantity: 1, rating: 1}, {item_code: SP001, quantity: 2, rating: 1}]</t>
  </si>
  <si>
    <t>[{item_code: SP001, quantity: 6, rating: 2}, {item_code: SP002, quantity: 1, rating: 2}]</t>
  </si>
  <si>
    <t>[{item_code: PW001, quantity: 6, rating: 2}]</t>
  </si>
  <si>
    <t>[{item_code: PW002, quantity: 6, rating: 2}, {item_code: SW001, quantity: 1, rating: 5}]</t>
  </si>
  <si>
    <t>[{item_code: PW002, quantity: 2, rating: 3}, {item_code: PW001, quantity: 1, rating: 5}]</t>
  </si>
  <si>
    <t>[{item_code: PW002, quantity: 1, rating: 3}, {item_code: PP003, quantity: 1, rating: 3}]</t>
  </si>
  <si>
    <t>[{item_code: PW001, quantity: 5, rating: 2}, {item_code: PU001, quantity: 2, rating: 5}]</t>
  </si>
  <si>
    <t>[{item_code: SP001, quantity: 5, rating: 3}, {item_code: PP003, quantity: 1, rating: 1}, {item_code: SW001, quantity: 1, rating: 3}]</t>
  </si>
  <si>
    <t>[{item_code: PP002, quantity: 1, rating: 4}, {item_code: PW002, quantity: 3, rating: 2}, {item_code: SW001, quantity: 2, rating: 5}]</t>
  </si>
  <si>
    <t>[{item_code: PP002, quantity: 1, rating: 1}, {item_code: SP002, quantity: 1, rating: 3}]</t>
  </si>
  <si>
    <t>[{item_code: PW003, quantity: 1, rating: 1}, {item_code: PP003, quantity: 4, rating: 3}, {item_code: PU001, quantity: 1, rating: 5}]</t>
  </si>
  <si>
    <t>[{item_code: PW002, quantity: 2, rating: 2}, {item_code: SP002, quantity: 2, rating: 3}, {item_code: PP001, quantity: 1, rating: 3}]</t>
  </si>
  <si>
    <t>[{item_code: PU001, quantity: 1, rating: 4}, {item_code: SP001, quantity: 2, rating: 1}]</t>
  </si>
  <si>
    <t>[{item_code: PW001, quantity: 4, rating: 4}, {item_code: PW002, quantity: 3, rating: 4}]</t>
  </si>
  <si>
    <t>[{item_code: PP003, quantity: 2, rating: 2}, {item_code: SW001, quantity: 3, rating: 3}, {item_code: PU001, quantity: 2, rating: 5}]</t>
  </si>
  <si>
    <t>[{item_code: SW001, quantity: 6, rating: 1}, {item_code: PW002, quantity: 1, rating: 2}]</t>
  </si>
  <si>
    <t>[{item_code: PP003, quantity: 1, rating: 5}, {item_code: PW001, quantity: 1, rating: 1}]</t>
  </si>
  <si>
    <t>[{item_code: SW001, quantity: 5, rating: 1}]</t>
  </si>
  <si>
    <t>[{item_code: SP002, quantity: 2, rating: 2}, {item_code: SP001, quantity: 1, rating: 5}, {item_code: SW001, quantity: 2, rating: 5}]</t>
  </si>
  <si>
    <t>[{item_code: PP002, quantity: 3, rating: 2}]</t>
  </si>
  <si>
    <t>[{item_code: PW002, quantity: 5, rating: 1}, {item_code: PP001, quantity: 1, rating: 1}]</t>
  </si>
  <si>
    <t>[{item_code: SW001, quantity: 4, rating: 5}, {item_code: PP003, quantity: 2, rating: 2}]</t>
  </si>
  <si>
    <t>[{item_code: PU001, quantity: 5, rating: 2}, {item_code: PW003, quantity: 2, rating: 5}]</t>
  </si>
  <si>
    <t>[{item_code: SW001, quantity: 4, rating: 4}, {item_code: PP003, quantity: 1, rating: 2}]</t>
  </si>
  <si>
    <t>[{item_code: PP002, quantity: 2, rating: 4}, {item_code: SP002, quantity: 2, rating: 2}, {item_code: SP001, quantity: 1, rating: 4}]</t>
  </si>
  <si>
    <t>[{item_code: SP001, quantity: 1, rating: 2}, {item_code: PW002, quantity: 1, rating: 5}, {item_code: SW001, quantity: 1, rating: 2}]</t>
  </si>
  <si>
    <t>[{item_code: PP001, quantity: 2, rating: 4}, {item_code: SP001, quantity: 1, rating: 2}]</t>
  </si>
  <si>
    <t>[{item_code: SP001, quantity: 2, rating: 5}]</t>
  </si>
  <si>
    <t>[{item_code: PP002, quantity: 6, rating: 3}, {item_code: PW003, quantity: 1, rating: 3}]</t>
  </si>
  <si>
    <t>[{item_code: PP001, quantity: 5, rating: 5}, {item_code: PW003, quantity: 1, rating: 2}]</t>
  </si>
  <si>
    <t>[{item_code: PW002, quantity: 1, rating: 3}, {item_code: SW001, quantity: 1, rating: 5}, {item_code: PP002, quantity: 1, rating: 5}]</t>
  </si>
  <si>
    <t>[{item_code: SP002, quantity: 5, rating: 4}]</t>
  </si>
  <si>
    <t>[{item_code: PW001, quantity: 6, rating: 5}, {item_code: PP002, quantity: 1, rating: 3}]</t>
  </si>
  <si>
    <t>[{item_code: PP003, quantity: 3, rating: 5}, {item_code: PP002, quantity: 3, rating: 3}]</t>
  </si>
  <si>
    <t>[{item_code: PU001, quantity: 2, rating: 5}, {item_code: SW001, quantity: 1, rating: 3}, {item_code: PP003, quantity: 3, rating: 2}]</t>
  </si>
  <si>
    <t>[{item_code: PW002, quantity: 3, rating: 3}, {item_code: PW001, quantity: 2, rating: 3}, {item_code: PP001, quantity: 1, rating: 3}]</t>
  </si>
  <si>
    <t>[{item_code: PP003, quantity: 2, rating: 2}, {item_code: PW003, quantity: 1, rating: 4}, {item_code: SW001, quantity: 3, rating: 5}]</t>
  </si>
  <si>
    <t>[{item_code: SW001, quantity: 6, rating: 4}]</t>
  </si>
  <si>
    <t>[{item_code: SP001, quantity: 5, rating: 5}, {item_code: PP003, quantity: 1, rating: 5}]</t>
  </si>
  <si>
    <t>[{item_code: PP003, quantity: 2, rating: 3}, {item_code: PU001, quantity: 1, rating: 1}]</t>
  </si>
  <si>
    <t>[{item_code: SP002, quantity: 1, rating: 3}, {item_code: PP002, quantity: 3, rating: 2}, {item_code: SW001, quantity: 1, rating: 1}]</t>
  </si>
  <si>
    <t>[{item_code: SP002, quantity: 2, rating: 5}, {item_code: PP002, quantity: 1, rating: 4}, {item_code: PP003, quantity: 2, rating: 4}]</t>
  </si>
  <si>
    <t>[{item_code: SW001, quantity: 5, rating: 4}, {item_code: SW001, quantity: 1, rating: 2}]</t>
  </si>
  <si>
    <t>[{item_code: SP001, quantity: 6, rating: 2}, {item_code: PP003, quantity: 1, rating: 1}]</t>
  </si>
  <si>
    <t>[{item_code: PU001, quantity: 4, rating: 3}, {item_code: PP001, quantity: 2, rating: 4}, {item_code: PW002, quantity: 1, rating: 2}]</t>
  </si>
  <si>
    <t>[{item_code: PP002, quantity: 4, rating: 5}, {item_code: PW001, quantity: 1, rating: 2}, {item_code: PP002, quantity: 1, rating: 3}]</t>
  </si>
  <si>
    <t>[{item_code: PP002, quantity: 1, rating: 4}, {item_code: SP001, quantity: 3, rating: 1}, {item_code: SP002, quantity: 2, rating: 4}]</t>
  </si>
  <si>
    <t>[{item_code: PP003, quantity: 3, rating: 3}, {item_code: PW002, quantity: 3, rating: 2}]</t>
  </si>
  <si>
    <t>[{item_code: PP001, quantity: 2, rating: 1}, {item_code: PW003, quantity: 1, rating: 4}, {item_code: SW001, quantity: 1, rating: 3}]</t>
  </si>
  <si>
    <t>[{item_code: PU001, quantity: 2, rating: 4}, {item_code: SW001, quantity: 2, rating: 1}, {item_code: PW001, quantity: 1, rating: 4}]</t>
  </si>
  <si>
    <t>[{item_code: SW001, quantity: 2, rating: 4}, {item_code: SP001, quantity: 3, rating: 4}, {item_code: PP002, quantity: 1, rating: 5}]</t>
  </si>
  <si>
    <t>[{item_code: PP003, quantity: 3, rating: 5}, {item_code: PW001, quantity: 1, rating: 4}, {item_code: PW002, quantity: 2, rating: 5}]</t>
  </si>
  <si>
    <t>[{item_code: SP002, quantity: 1, rating: 4}, {item_code: PW003, quantity: 3, rating: 5}]</t>
  </si>
  <si>
    <t>[{item_code: PP003, quantity: 5, rating: 3}]</t>
  </si>
  <si>
    <t>[{item_code: PU001, quantity: 4, rating: 3}, {item_code: PW002, quantity: 1, rating: 5}, {item_code: SW001, quantity: 1, rating: 4}]</t>
  </si>
  <si>
    <t>[{item_code: SP002, quantity: 5, rating: 2}, {item_code: PU001, quantity: 1, rating: 1}, {item_code: SW001, quantity: 1, rating: 3}]</t>
  </si>
  <si>
    <t>[{item_code: SW001, quantity: 2, rating: 3}, {item_code: SP001, quantity: 1, rating: 1}, {item_code: PU001, quantity: 2, rating: 5}]</t>
  </si>
  <si>
    <t>[{item_code: PP003, quantity: 6, rating: 1}, {item_code: PP001, quantity: 1, rating: 4}]</t>
  </si>
  <si>
    <t>[{item_code: SP002, quantity: 4, rating: 1}, {item_code: PW001, quantity: 1, rating: 5}]</t>
  </si>
  <si>
    <t>[{item_code: SW001, quantity: 2, rating: 4}, {item_code: SP002, quantity: 4, rating: 5}]</t>
  </si>
  <si>
    <t>[{item_code: PP003, quantity: 3, rating: 5}]</t>
  </si>
  <si>
    <t>[{item_code: PP002, quantity: 5, rating: 1}, {item_code: PW002, quantity: 1, rating: 5}]</t>
  </si>
  <si>
    <t>[{item_code: PP002, quantity: 1, rating: 1}, {item_code: PU001, quantity: 2, rating: 2}, {item_code: PW002, quantity: 2, rating: 4}]</t>
  </si>
  <si>
    <t>[{item_code: PP003, quantity: 2, rating: 2}, {item_code: PP002, quantity: 1, rating: 5}]</t>
  </si>
  <si>
    <t>[{item_code: SP002, quantity: 5, rating: 3}, {item_code: SW001, quantity: 1, rating: 1}]</t>
  </si>
  <si>
    <t>[{item_code: PP002, quantity: 1, rating: 4}, {item_code: PP003, quantity: 2, rating: 2}, {item_code: SP002, quantity: 2, rating: 1}]</t>
  </si>
  <si>
    <t>[{item_code: PP003, quantity: 1, rating: 1}, {item_code: SW001, quantity: 2, rating: 5}, {item_code: PU001, quantity: 1, rating: 1}]</t>
  </si>
  <si>
    <t>[{item_code: PW002, quantity: 1, rating: 2}, {item_code: PU001, quantity: 5, rating: 1}, {item_code: PP001, quantity: 1, rating: 2}]</t>
  </si>
  <si>
    <t>[{item_code: PU001, quantity: 2, rating: 4}, {item_code: PP001, quantity: 4, rating: 3}]</t>
  </si>
  <si>
    <t>[{item_code: SW001, quantity: 2, rating: 4}, {item_code: PW002, quantity: 1, rating: 4}]</t>
  </si>
  <si>
    <t>[{item_code: PW003, quantity: 1, rating: 4}, {item_code: PW002, quantity: 1, rating: 5}]</t>
  </si>
  <si>
    <t>[{item_code: SW001, quantity: 5, rating: 5}, {item_code: PP002, quantity: 1, rating: 3}]</t>
  </si>
  <si>
    <t>[{item_code: PW002, quantity: 2, rating: 3}, {item_code: PU001, quantity: 1, rating: 3}]</t>
  </si>
  <si>
    <t>[{item_code: SP001, quantity: 3, rating: 3}, {item_code: PW001, quantity: 2, rating: 5}, {item_code: PP001, quantity: 1, rating: 2}]</t>
  </si>
  <si>
    <t>Item</t>
  </si>
  <si>
    <t>Total Transaksi</t>
  </si>
  <si>
    <t>Jawa Tengah</t>
  </si>
  <si>
    <t>Banten</t>
  </si>
  <si>
    <t>Jawa Barat</t>
  </si>
  <si>
    <t>Jawa Timur</t>
  </si>
  <si>
    <t>Jabodetabek</t>
  </si>
  <si>
    <t>1. Mengisi data pada kolom OrderID dengan format = ORD-(Kode Marketplace)-(No)-(Tanggal Terjual dengan format dd/mm/yy)</t>
  </si>
  <si>
    <t>2. Merapihkan data item, quantity dan rating dari setiap transaksi</t>
  </si>
  <si>
    <t>3. Menghitung total quantity per transaksi dan total nilai transaksi</t>
  </si>
  <si>
    <t>4. Melakukan pemrosesan untuk melengkapi data sebelum melakukan analisa (perhitungan, lookup, dll.)</t>
  </si>
  <si>
    <t>`</t>
  </si>
  <si>
    <t>Data item, quantity dan rating barang dalam transaksi</t>
  </si>
  <si>
    <t>Total quantity barang dibeli</t>
  </si>
  <si>
    <t>Harga barang pembelian ke-3</t>
  </si>
  <si>
    <t>Kode barang pembelian ke-1</t>
  </si>
  <si>
    <t>Quantity barang pembelian ke-1</t>
  </si>
  <si>
    <t>Harga barang pembelian ke-1</t>
  </si>
  <si>
    <t>Kode barang pembelian ke-2</t>
  </si>
  <si>
    <t>Quantity barang pembelian ke-2</t>
  </si>
  <si>
    <t>Harga barang pembelian ke-2</t>
  </si>
  <si>
    <t>Kode barang pembelian ke-3</t>
  </si>
  <si>
    <t>Quantity barang pembelian ke-3</t>
  </si>
  <si>
    <t>Total nilai transaksi</t>
  </si>
  <si>
    <t>Provinsi asal pembeli</t>
  </si>
  <si>
    <t>Platform tempat terjualnya barang</t>
  </si>
  <si>
    <t>Kode diskon yang digunakan dalam transaksi</t>
  </si>
  <si>
    <t>Rating A</t>
  </si>
  <si>
    <t>Rating B</t>
  </si>
  <si>
    <t>Rating C</t>
  </si>
  <si>
    <t>Rating barang pembelian ke-1</t>
  </si>
  <si>
    <t>Rating barang pembelian ke-2</t>
  </si>
  <si>
    <t>Rating barang pembelian ke-3</t>
  </si>
  <si>
    <t>Ketentuan kode marketplace:</t>
  </si>
  <si>
    <t>5. Lakukan analisa terkait data transaksi untuk menghasilkan inisght penjualan, contoh:</t>
  </si>
  <si>
    <t>6. Untuk menampilkan insight tersebut, buatlah visualisasi data dalam bentuk Dashboard (minimal 4 chart + 1 slicer dan gunakan Pivot Table)</t>
  </si>
  <si>
    <t>7. Sajikan data dengan baik dan presentasikan tentang bagaimana cara mendapatkan insight dari data penjualan dalam 1 bulan ini dan apa saja yang akan dilakukan anda sebagai Brand Owner</t>
  </si>
  <si>
    <t>8. Anda bebas menambahkan parameter lain di "Main Data" seperti pada file contoh (contoh: Total margin produksi, Total Profit, Jumlah item per Tansaksi, dll.)</t>
  </si>
  <si>
    <t>ORD-BB-0001-05/04/23</t>
  </si>
  <si>
    <t>ORD-SP-0978-20/04/23</t>
  </si>
  <si>
    <t>:1(a)</t>
  </si>
  <si>
    <t>,1(a)</t>
  </si>
  <si>
    <t>:2(a)</t>
  </si>
  <si>
    <t>,2(a)</t>
  </si>
  <si>
    <t>:3(a)</t>
  </si>
  <si>
    <t>}(a)</t>
  </si>
  <si>
    <t>Laba</t>
  </si>
  <si>
    <t>Modal Barang A</t>
  </si>
  <si>
    <t>:1(b)</t>
  </si>
  <si>
    <t>,1(b)</t>
  </si>
  <si>
    <t>:2(b)</t>
  </si>
  <si>
    <t>,2(b)</t>
  </si>
  <si>
    <t>:3(b)</t>
  </si>
  <si>
    <t>}(b)</t>
  </si>
  <si>
    <t>Modal Barang B</t>
  </si>
  <si>
    <t>Jenis item</t>
  </si>
  <si>
    <t>TK</t>
  </si>
  <si>
    <t>SP</t>
  </si>
  <si>
    <t>BB</t>
  </si>
  <si>
    <t>BL</t>
  </si>
  <si>
    <t>Kode Marketplace</t>
  </si>
  <si>
    <t>Code_No</t>
  </si>
  <si>
    <t>Row Labels</t>
  </si>
  <si>
    <t>Grand Total</t>
  </si>
  <si>
    <t>Total Modal</t>
  </si>
  <si>
    <t>Potongan Diskon</t>
  </si>
  <si>
    <t>Harga Setelah Diskon</t>
  </si>
  <si>
    <t>Modal Barang C</t>
  </si>
  <si>
    <t>Sum of Total Qty</t>
  </si>
  <si>
    <t>:1c</t>
  </si>
  <si>
    <t>,1c</t>
  </si>
  <si>
    <t>:2c</t>
  </si>
  <si>
    <t>,2c</t>
  </si>
  <si>
    <t>:3c</t>
  </si>
  <si>
    <t>}c</t>
  </si>
  <si>
    <t>Sum of Total Modal</t>
  </si>
  <si>
    <t>Laba (Descount)</t>
  </si>
  <si>
    <t>Sum of Total Transaksi</t>
  </si>
  <si>
    <t>Sum of Laba (Descount)</t>
  </si>
  <si>
    <t>Tanggal Terjual</t>
  </si>
  <si>
    <t>Sum of Laba</t>
  </si>
  <si>
    <t>Sum of Potongan Diskon</t>
  </si>
  <si>
    <t>Sum of Rasio diskon</t>
  </si>
  <si>
    <t>Sum of Profit Margin on sales</t>
  </si>
  <si>
    <t>Sum of Return on equity</t>
  </si>
  <si>
    <t>Penjulan terbanyak</t>
  </si>
  <si>
    <t/>
  </si>
  <si>
    <t>Yogyakarta</t>
  </si>
  <si>
    <t>Qtr1</t>
  </si>
  <si>
    <t>Qtr2</t>
  </si>
  <si>
    <t>Qtr3</t>
  </si>
  <si>
    <t>Qtr4</t>
  </si>
  <si>
    <t>Jan</t>
  </si>
  <si>
    <t>Feb</t>
  </si>
  <si>
    <t>Mar</t>
  </si>
  <si>
    <t>Apr</t>
  </si>
  <si>
    <t>May</t>
  </si>
  <si>
    <t>Jun</t>
  </si>
  <si>
    <t>Jul</t>
  </si>
  <si>
    <t>Aug</t>
  </si>
  <si>
    <t>Sep</t>
  </si>
  <si>
    <t>Oct</t>
  </si>
  <si>
    <t>Nov</t>
  </si>
  <si>
    <t>Dec</t>
  </si>
  <si>
    <t>Jenis Item</t>
  </si>
  <si>
    <t>Nama Kelompok</t>
  </si>
  <si>
    <t>Maulana Yahya</t>
  </si>
  <si>
    <t>Muladi Ajisasmito</t>
  </si>
  <si>
    <t>Gayatri Apsarini Hisanah</t>
  </si>
  <si>
    <t>Ruly  Nurhendri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</si>
</sst>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Rp&quot;* #,##0_-;\-&quot;Rp&quot;* #,##0_-;_-&quot;Rp&quot;* &quot;-&quot;_-;_-@_-"/>
    <numFmt numFmtId="44" formatCode="_-&quot;Rp&quot;* #,##0.00_-;\-&quot;Rp&quot;* #,##0.00_-;_-&quot;Rp&quot;* &quot;-&quot;??_-;_-@_-"/>
    <numFmt numFmtId="164" formatCode="_(&quot;Rp&quot;* #,##0.00_);_(&quot;Rp&quot;* \(#,##0.00\);_(&quot;Rp&quot;* &quot;-&quot;??_);_(@_)"/>
    <numFmt numFmtId="165" formatCode="[$Rp]#,##0"/>
    <numFmt numFmtId="166" formatCode="_(\R\p* #,##0_);_(\R\p* \(#,##0\);_(\R\p* &quot;-&quot;_);_(@_)"/>
    <numFmt numFmtId="167" formatCode="_-[$Rp-421]* #,##0.00_-;\-[$Rp-421]* #,##0.00_-;_-[$Rp-421]* &quot;-&quot;??_-;_-@_-"/>
    <numFmt numFmtId="168" formatCode="_-[$Rp-421]* #,##0_-;\-[$Rp-421]* #,##0_-;_-[$Rp-421]* &quot;-&quot;??_-;_-@_-"/>
    <numFmt numFmtId="169" formatCode="[$-13809]dd/mm/yyyy;@"/>
  </numFmts>
  <fonts count="15" x14ac:knownFonts="1">
    <font>
      <sz val="10"/>
      <color rgb="FF000000"/>
      <name val="Arial"/>
      <scheme val="minor"/>
    </font>
    <font>
      <sz val="10"/>
      <color theme="1"/>
      <name val="Arial"/>
      <family val="2"/>
      <scheme val="minor"/>
    </font>
    <font>
      <b/>
      <sz val="10"/>
      <color rgb="FF000000"/>
      <name val="Arial"/>
      <family val="2"/>
    </font>
    <font>
      <sz val="10"/>
      <color theme="1"/>
      <name val="Arial"/>
      <family val="2"/>
    </font>
    <font>
      <sz val="11"/>
      <color rgb="FF000000"/>
      <name val="Calibri"/>
      <family val="2"/>
    </font>
    <font>
      <sz val="10"/>
      <color rgb="FF000000"/>
      <name val="Arial"/>
      <family val="2"/>
    </font>
    <font>
      <sz val="10"/>
      <color rgb="FF000000"/>
      <name val="Arial"/>
      <family val="2"/>
      <scheme val="minor"/>
    </font>
    <font>
      <b/>
      <sz val="11"/>
      <color theme="1"/>
      <name val="Arial"/>
      <family val="2"/>
      <scheme val="minor"/>
    </font>
    <font>
      <b/>
      <sz val="11"/>
      <color rgb="FF000000"/>
      <name val="Arial"/>
      <family val="2"/>
      <scheme val="minor"/>
    </font>
    <font>
      <sz val="10"/>
      <color rgb="FF000000"/>
      <name val="Arial"/>
      <family val="2"/>
      <scheme val="minor"/>
    </font>
    <font>
      <b/>
      <sz val="11"/>
      <color rgb="FF000000"/>
      <name val="Calibri"/>
      <family val="2"/>
    </font>
    <font>
      <b/>
      <sz val="10"/>
      <color theme="1"/>
      <name val="Arial"/>
      <family val="2"/>
      <scheme val="minor"/>
    </font>
    <font>
      <b/>
      <sz val="10"/>
      <color rgb="FF000000"/>
      <name val="Arial"/>
      <family val="2"/>
      <scheme val="minor"/>
    </font>
    <font>
      <sz val="10"/>
      <color rgb="FFFFF867"/>
      <name val="Arial"/>
      <family val="2"/>
      <scheme val="minor"/>
    </font>
    <font>
      <sz val="10"/>
      <color theme="1"/>
      <name val="Arial"/>
      <scheme val="minor"/>
    </font>
  </fonts>
  <fills count="13">
    <fill>
      <patternFill patternType="none"/>
    </fill>
    <fill>
      <patternFill patternType="gray125"/>
    </fill>
    <fill>
      <patternFill patternType="solid">
        <fgColor rgb="FFECECF1"/>
        <bgColor rgb="FFECECF1"/>
      </patternFill>
    </fill>
    <fill>
      <patternFill patternType="solid">
        <fgColor rgb="FFFFFFFF"/>
        <bgColor rgb="FFFFFFFF"/>
      </patternFill>
    </fill>
    <fill>
      <patternFill patternType="solid">
        <fgColor rgb="FFFFE599"/>
        <bgColor rgb="FFFFE599"/>
      </patternFill>
    </fill>
    <fill>
      <patternFill patternType="solid">
        <fgColor rgb="FFCCCCCC"/>
        <bgColor rgb="FFCCCCCC"/>
      </patternFill>
    </fill>
    <fill>
      <patternFill patternType="solid">
        <fgColor rgb="FFFFFF00"/>
        <bgColor rgb="FFECECF1"/>
      </patternFill>
    </fill>
    <fill>
      <patternFill patternType="solid">
        <fgColor rgb="FF92D050"/>
        <bgColor rgb="FFECECF1"/>
      </patternFill>
    </fill>
    <fill>
      <patternFill patternType="solid">
        <fgColor theme="5" tint="0.79998168889431442"/>
        <bgColor rgb="FFECECF1"/>
      </patternFill>
    </fill>
    <fill>
      <patternFill patternType="solid">
        <fgColor theme="4" tint="0.59999389629810485"/>
        <bgColor rgb="FFECECF1"/>
      </patternFill>
    </fill>
    <fill>
      <patternFill patternType="solid">
        <fgColor theme="4"/>
        <bgColor rgb="FFECECF1"/>
      </patternFill>
    </fill>
    <fill>
      <patternFill patternType="solid">
        <fgColor theme="0" tint="-4.9989318521683403E-2"/>
        <bgColor rgb="FFECECF1"/>
      </patternFill>
    </fill>
    <fill>
      <patternFill patternType="solid">
        <fgColor theme="2" tint="-4.9989318521683403E-2"/>
        <bgColor indexed="64"/>
      </patternFill>
    </fill>
  </fills>
  <borders count="5">
    <border>
      <left/>
      <right/>
      <top/>
      <bottom/>
      <diagonal/>
    </border>
    <border>
      <left style="thin">
        <color rgb="FFD9D9E3"/>
      </left>
      <right/>
      <top style="thin">
        <color rgb="FFD9D9E3"/>
      </top>
      <bottom style="thin">
        <color rgb="FFD9D9E3"/>
      </bottom>
      <diagonal/>
    </border>
    <border>
      <left style="thin">
        <color rgb="FFD9D9E3"/>
      </left>
      <right/>
      <top/>
      <bottom style="thin">
        <color rgb="FFD9D9E3"/>
      </bottom>
      <diagonal/>
    </border>
    <border>
      <left style="thin">
        <color rgb="FF000000"/>
      </left>
      <right style="thin">
        <color rgb="FF000000"/>
      </right>
      <top style="thin">
        <color rgb="FF000000"/>
      </top>
      <bottom style="thin">
        <color rgb="FF000000"/>
      </bottom>
      <diagonal/>
    </border>
    <border>
      <left/>
      <right/>
      <top/>
      <bottom style="thin">
        <color theme="4" tint="0.39997558519241921"/>
      </bottom>
      <diagonal/>
    </border>
  </borders>
  <cellStyleXfs count="5">
    <xf numFmtId="0" fontId="0" fillId="0" borderId="0"/>
    <xf numFmtId="9" fontId="9" fillId="0" borderId="0" applyFont="0" applyFill="0" applyBorder="0" applyAlignment="0" applyProtection="0"/>
    <xf numFmtId="0" fontId="6" fillId="0" borderId="0"/>
    <xf numFmtId="9" fontId="6" fillId="0" borderId="0" applyFont="0" applyFill="0" applyBorder="0" applyAlignment="0" applyProtection="0"/>
    <xf numFmtId="44" fontId="6" fillId="0" borderId="0" applyFont="0" applyFill="0" applyBorder="0" applyAlignment="0" applyProtection="0"/>
  </cellStyleXfs>
  <cellXfs count="59">
    <xf numFmtId="0" fontId="0" fillId="0" borderId="0" xfId="0"/>
    <xf numFmtId="0" fontId="1" fillId="0" borderId="0" xfId="0" applyFont="1"/>
    <xf numFmtId="0" fontId="3" fillId="3" borderId="2" xfId="0" applyFont="1" applyFill="1" applyBorder="1" applyAlignment="1">
      <alignment horizontal="left"/>
    </xf>
    <xf numFmtId="0" fontId="4" fillId="0" borderId="0" xfId="0" applyFont="1"/>
    <xf numFmtId="165" fontId="3" fillId="3" borderId="2" xfId="0" applyNumberFormat="1" applyFont="1" applyFill="1" applyBorder="1" applyAlignment="1">
      <alignment horizontal="left"/>
    </xf>
    <xf numFmtId="0" fontId="1" fillId="5" borderId="0" xfId="0" applyFont="1" applyFill="1"/>
    <xf numFmtId="164" fontId="1" fillId="5" borderId="0" xfId="0" applyNumberFormat="1" applyFont="1" applyFill="1"/>
    <xf numFmtId="0" fontId="1" fillId="5" borderId="3" xfId="0" applyFont="1" applyFill="1" applyBorder="1" applyAlignment="1">
      <alignment horizontal="center"/>
    </xf>
    <xf numFmtId="9" fontId="1" fillId="5" borderId="3" xfId="0" applyNumberFormat="1" applyFont="1" applyFill="1" applyBorder="1" applyAlignment="1">
      <alignment horizontal="center"/>
    </xf>
    <xf numFmtId="0" fontId="1" fillId="0" borderId="3" xfId="0" applyFont="1" applyBorder="1"/>
    <xf numFmtId="9" fontId="1" fillId="0" borderId="3" xfId="0" applyNumberFormat="1" applyFont="1" applyBorder="1"/>
    <xf numFmtId="0" fontId="6" fillId="0" borderId="0" xfId="0" applyFont="1"/>
    <xf numFmtId="1" fontId="3" fillId="3" borderId="2" xfId="0" applyNumberFormat="1" applyFont="1" applyFill="1" applyBorder="1" applyAlignment="1">
      <alignment horizontal="left"/>
    </xf>
    <xf numFmtId="0" fontId="7" fillId="0" borderId="0" xfId="0" applyFont="1"/>
    <xf numFmtId="0" fontId="8" fillId="0" borderId="0" xfId="0" applyFont="1"/>
    <xf numFmtId="14" fontId="0" fillId="0" borderId="0" xfId="0" applyNumberFormat="1"/>
    <xf numFmtId="9" fontId="3" fillId="3" borderId="2" xfId="1" applyFont="1" applyFill="1" applyBorder="1" applyAlignment="1">
      <alignment horizontal="left"/>
    </xf>
    <xf numFmtId="9" fontId="0" fillId="0" borderId="0" xfId="1" applyFont="1"/>
    <xf numFmtId="166" fontId="3" fillId="3" borderId="2" xfId="0" applyNumberFormat="1" applyFont="1" applyFill="1" applyBorder="1" applyAlignment="1">
      <alignment horizontal="left"/>
    </xf>
    <xf numFmtId="166" fontId="0" fillId="0" borderId="0" xfId="0" applyNumberFormat="1"/>
    <xf numFmtId="0" fontId="1" fillId="4" borderId="0" xfId="0" applyFont="1" applyFill="1" applyAlignment="1">
      <alignment horizontal="center"/>
    </xf>
    <xf numFmtId="0" fontId="10" fillId="0" borderId="0" xfId="0" applyFont="1"/>
    <xf numFmtId="44" fontId="1" fillId="4" borderId="0" xfId="2" applyNumberFormat="1" applyFont="1" applyFill="1"/>
    <xf numFmtId="44" fontId="1" fillId="0" borderId="0" xfId="0" applyNumberFormat="1" applyFont="1"/>
    <xf numFmtId="0" fontId="11" fillId="4" borderId="0" xfId="0" applyFont="1" applyFill="1" applyAlignment="1">
      <alignment horizontal="center"/>
    </xf>
    <xf numFmtId="166" fontId="12" fillId="0" borderId="0" xfId="0" applyNumberFormat="1" applyFont="1"/>
    <xf numFmtId="0" fontId="3" fillId="0" borderId="0" xfId="0" applyFont="1" applyAlignment="1">
      <alignment horizontal="left"/>
    </xf>
    <xf numFmtId="0" fontId="2" fillId="0" borderId="1" xfId="0" applyFont="1" applyBorder="1" applyAlignment="1">
      <alignment horizontal="center"/>
    </xf>
    <xf numFmtId="2" fontId="0" fillId="0" borderId="0" xfId="0" applyNumberFormat="1"/>
    <xf numFmtId="1" fontId="0" fillId="0" borderId="0" xfId="0" applyNumberFormat="1"/>
    <xf numFmtId="168" fontId="3" fillId="3" borderId="2" xfId="0" applyNumberFormat="1" applyFont="1" applyFill="1" applyBorder="1" applyAlignment="1">
      <alignment horizontal="left"/>
    </xf>
    <xf numFmtId="167" fontId="3" fillId="3" borderId="2" xfId="1" applyNumberFormat="1" applyFont="1" applyFill="1" applyBorder="1" applyAlignment="1">
      <alignment horizontal="left"/>
    </xf>
    <xf numFmtId="14" fontId="3" fillId="3" borderId="2" xfId="0" applyNumberFormat="1" applyFont="1" applyFill="1" applyBorder="1" applyAlignment="1">
      <alignment horizontal="left"/>
    </xf>
    <xf numFmtId="0" fontId="2" fillId="2" borderId="1" xfId="0" applyFont="1" applyFill="1" applyBorder="1" applyAlignment="1">
      <alignment horizontal="center"/>
    </xf>
    <xf numFmtId="0" fontId="2" fillId="6" borderId="1" xfId="0" applyFont="1" applyFill="1" applyBorder="1" applyAlignment="1">
      <alignment horizontal="center"/>
    </xf>
    <xf numFmtId="0" fontId="2" fillId="7" borderId="1" xfId="0" applyFont="1" applyFill="1" applyBorder="1" applyAlignment="1">
      <alignment horizontal="center"/>
    </xf>
    <xf numFmtId="0" fontId="2" fillId="11" borderId="1" xfId="0" applyFont="1" applyFill="1" applyBorder="1" applyAlignment="1">
      <alignment horizontal="center"/>
    </xf>
    <xf numFmtId="0" fontId="2" fillId="10" borderId="1" xfId="0" applyFont="1" applyFill="1" applyBorder="1" applyAlignment="1">
      <alignment horizontal="center"/>
    </xf>
    <xf numFmtId="0" fontId="2" fillId="8" borderId="1" xfId="0" applyFont="1" applyFill="1" applyBorder="1" applyAlignment="1">
      <alignment horizontal="center"/>
    </xf>
    <xf numFmtId="0" fontId="2" fillId="9" borderId="1" xfId="1" applyNumberFormat="1" applyFont="1" applyFill="1" applyBorder="1" applyAlignment="1">
      <alignment horizontal="center"/>
    </xf>
    <xf numFmtId="169" fontId="0" fillId="0" borderId="0" xfId="0" applyNumberFormat="1"/>
    <xf numFmtId="0" fontId="11" fillId="0" borderId="4" xfId="0" applyFont="1" applyBorder="1"/>
    <xf numFmtId="165" fontId="1" fillId="0" borderId="0" xfId="0" applyNumberFormat="1" applyFont="1"/>
    <xf numFmtId="166" fontId="1" fillId="0" borderId="0" xfId="0" applyNumberFormat="1" applyFont="1"/>
    <xf numFmtId="0" fontId="0" fillId="12" borderId="0" xfId="0" applyFill="1"/>
    <xf numFmtId="0" fontId="1" fillId="12" borderId="0" xfId="0" applyFont="1" applyFill="1"/>
    <xf numFmtId="0" fontId="13" fillId="12" borderId="0" xfId="0" applyFont="1" applyFill="1"/>
    <xf numFmtId="0" fontId="14" fillId="0" borderId="0" xfId="0" applyFont="1"/>
    <xf numFmtId="0" fontId="14" fillId="0" borderId="0" xfId="0" applyFont="1" applyAlignment="1">
      <alignment horizontal="left"/>
    </xf>
    <xf numFmtId="165" fontId="14" fillId="0" borderId="0" xfId="0" applyNumberFormat="1" applyFont="1"/>
    <xf numFmtId="14" fontId="14" fillId="0" borderId="0" xfId="0" applyNumberFormat="1" applyFont="1" applyAlignment="1">
      <alignment horizontal="left" indent="1"/>
    </xf>
    <xf numFmtId="167" fontId="14" fillId="0" borderId="0" xfId="0" applyNumberFormat="1" applyFont="1"/>
    <xf numFmtId="9" fontId="14" fillId="0" borderId="0" xfId="0" applyNumberFormat="1" applyFont="1"/>
    <xf numFmtId="9" fontId="14" fillId="0" borderId="0" xfId="0" applyNumberFormat="1" applyFont="1" applyAlignment="1">
      <alignment horizontal="left"/>
    </xf>
    <xf numFmtId="42" fontId="14" fillId="0" borderId="0" xfId="0" applyNumberFormat="1" applyFont="1"/>
    <xf numFmtId="10" fontId="14" fillId="0" borderId="0" xfId="0" applyNumberFormat="1" applyFont="1"/>
    <xf numFmtId="1" fontId="14" fillId="0" borderId="0" xfId="0" applyNumberFormat="1" applyFont="1"/>
    <xf numFmtId="0" fontId="1" fillId="4" borderId="0" xfId="0" applyFont="1" applyFill="1" applyAlignment="1">
      <alignment horizontal="center"/>
    </xf>
    <xf numFmtId="0" fontId="0" fillId="0" borderId="0" xfId="0"/>
  </cellXfs>
  <cellStyles count="5">
    <cellStyle name="Currency 2" xfId="4" xr:uid="{00000000-0005-0000-0000-000000000000}"/>
    <cellStyle name="Normal" xfId="0" builtinId="0"/>
    <cellStyle name="Normal 2" xfId="2" xr:uid="{00000000-0005-0000-0000-000002000000}"/>
    <cellStyle name="Per cent 2" xfId="3" xr:uid="{00000000-0005-0000-0000-000003000000}"/>
    <cellStyle name="Persen" xfId="1" builtinId="5"/>
  </cellStyles>
  <dxfs count="283">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3" formatCode="0%"/>
    </dxf>
    <dxf>
      <numFmt numFmtId="13" formatCode="0%"/>
    </dxf>
    <dxf>
      <numFmt numFmtId="13" formatCode="0%"/>
    </dxf>
    <dxf>
      <numFmt numFmtId="13" formatCode="0%"/>
    </dxf>
    <dxf>
      <numFmt numFmtId="13" formatCode="0%"/>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 formatCode="0"/>
    </dxf>
    <dxf>
      <numFmt numFmtId="1" formatCode="0"/>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3" formatCode="0%"/>
    </dxf>
    <dxf>
      <numFmt numFmtId="13" formatCode="0%"/>
    </dxf>
    <dxf>
      <numFmt numFmtId="13" formatCode="0%"/>
    </dxf>
    <dxf>
      <numFmt numFmtId="13" formatCode="0%"/>
    </dxf>
    <dxf>
      <numFmt numFmtId="13" formatCode="0%"/>
    </dxf>
    <dxf>
      <font>
        <color theme="1"/>
      </font>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3" formatCode="0%"/>
    </dxf>
    <dxf>
      <numFmt numFmtId="13" formatCode="0%"/>
    </dxf>
    <dxf>
      <numFmt numFmtId="13" formatCode="0%"/>
    </dxf>
    <dxf>
      <numFmt numFmtId="13" formatCode="0%"/>
    </dxf>
    <dxf>
      <numFmt numFmtId="13" formatCode="0%"/>
    </dxf>
    <dxf>
      <numFmt numFmtId="13" formatCode="0%"/>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2" formatCode="_-&quot;Rp&quot;* #,##0_-;\-&quot;Rp&quot;* #,##0_-;_-&quot;Rp&quot;* &quot;-&quot;_-;_-@_-"/>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3" formatCode="0%"/>
    </dxf>
    <dxf>
      <numFmt numFmtId="13" formatCode="0%"/>
    </dxf>
    <dxf>
      <numFmt numFmtId="13" formatCode="0%"/>
    </dxf>
    <dxf>
      <numFmt numFmtId="13" formatCode="0%"/>
    </dxf>
    <dxf>
      <numFmt numFmtId="13" formatCode="0%"/>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3" formatCode="0%"/>
    </dxf>
    <dxf>
      <numFmt numFmtId="13" formatCode="0%"/>
    </dxf>
    <dxf>
      <numFmt numFmtId="13" formatCode="0%"/>
    </dxf>
    <dxf>
      <numFmt numFmtId="14" formatCode="0.00%"/>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3" formatCode="0%"/>
    </dxf>
    <dxf>
      <numFmt numFmtId="13" formatCode="0%"/>
    </dxf>
    <dxf>
      <numFmt numFmtId="13" formatCode="0%"/>
    </dxf>
    <dxf>
      <numFmt numFmtId="13" formatCode="0%"/>
    </dxf>
    <dxf>
      <numFmt numFmtId="13" formatCode="0%"/>
    </dxf>
    <dxf>
      <numFmt numFmtId="13" formatCode="0%"/>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5" tint="-0.24994659260841701"/>
        </patternFill>
      </fill>
    </dxf>
  </dxfs>
  <tableStyles count="1" defaultTableStyle="TableStyleMedium2" defaultPivotStyle="PivotStyleLight16">
    <tableStyle name="Slicer Style 1" pivot="0" table="0" count="1" xr9:uid="{00000000-0011-0000-FFFF-FFFF00000000}">
      <tableStyleElement type="wholeTable" dxfId="282"/>
    </tableStyle>
  </tableStyles>
  <colors>
    <mruColors>
      <color rgb="FF5A5B6D"/>
      <color rgb="FFED5DED"/>
      <color rgb="FF2FB824"/>
      <color rgb="FFFF7733"/>
      <color rgb="FFFFF867"/>
      <color rgb="FF2C52B3"/>
      <color rgb="FFFB2F38"/>
      <color rgb="FF0000FF"/>
      <color rgb="FFFFFFFF"/>
      <color rgb="FF342C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microsoft.com/office/2007/relationships/slicerCache" Target="slicerCaches/slicerCache4.xml" /><Relationship Id="rId18" Type="http://schemas.openxmlformats.org/officeDocument/2006/relationships/sheetMetadata" Target="metadata.xml" /><Relationship Id="rId3" Type="http://schemas.openxmlformats.org/officeDocument/2006/relationships/worksheet" Target="worksheets/sheet3.xml" /><Relationship Id="rId7" Type="http://schemas.openxmlformats.org/officeDocument/2006/relationships/worksheet" Target="worksheets/sheet7.xml" /><Relationship Id="rId12" Type="http://schemas.microsoft.com/office/2007/relationships/slicerCache" Target="slicerCaches/slicerCache3.xml" /><Relationship Id="rId17" Type="http://schemas.openxmlformats.org/officeDocument/2006/relationships/sharedStrings" Target="sharedStrings.xml" /><Relationship Id="rId2" Type="http://schemas.openxmlformats.org/officeDocument/2006/relationships/worksheet" Target="worksheets/sheet2.xml" /><Relationship Id="rId16" Type="http://schemas.openxmlformats.org/officeDocument/2006/relationships/styles" Target="styles.xml" /><Relationship Id="rId1" Type="http://schemas.openxmlformats.org/officeDocument/2006/relationships/worksheet" Target="worksheets/sheet1.xml" /><Relationship Id="rId6" Type="http://schemas.openxmlformats.org/officeDocument/2006/relationships/worksheet" Target="worksheets/sheet6.xml" /><Relationship Id="rId11" Type="http://schemas.microsoft.com/office/2007/relationships/slicerCache" Target="slicerCaches/slicerCache2.xml" /><Relationship Id="rId5" Type="http://schemas.openxmlformats.org/officeDocument/2006/relationships/worksheet" Target="worksheets/sheet5.xml" /><Relationship Id="rId15" Type="http://schemas.openxmlformats.org/officeDocument/2006/relationships/theme" Target="theme/theme1.xml" /><Relationship Id="rId10" Type="http://schemas.microsoft.com/office/2007/relationships/slicerCache" Target="slicerCaches/slicerCache1.xml" /><Relationship Id="rId19"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pivotCacheDefinition" Target="pivotCache/pivotCacheDefinition1.xml" /><Relationship Id="rId14" Type="http://schemas.microsoft.com/office/2007/relationships/slicerCache" Target="slicerCaches/slicerCache5.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3.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4.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5.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6.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7.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_rels/chart8.xml.rels><?xml version="1.0" encoding="UTF-8" standalone="yes"?>
<Relationships xmlns="http://schemas.openxmlformats.org/package/2006/relationships"><Relationship Id="rId2" Type="http://schemas.microsoft.com/office/2011/relationships/chartColorStyle" Target="colors9.xml" /><Relationship Id="rId1" Type="http://schemas.microsoft.com/office/2011/relationships/chartStyle" Target="style9.xml" /></Relationships>
</file>

<file path=xl/charts/_rels/chartEx1.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[Tugas Kelompok Final_project_kelompok_A2_FINAL.xlsx]Pivot Table!Transaksi Perbulan</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Table'!$N$9</c:f>
              <c:strCache>
                <c:ptCount val="1"/>
                <c:pt idx="0">
                  <c:v>Sum of Total Qty</c:v>
                </c:pt>
              </c:strCache>
            </c:strRef>
          </c:tx>
          <c:spPr>
            <a:solidFill>
              <a:schemeClr val="accent1"/>
            </a:solidFill>
            <a:ln>
              <a:noFill/>
            </a:ln>
            <a:effectLst/>
          </c:spPr>
          <c:invertIfNegative val="0"/>
          <c:cat>
            <c:multiLvlStrRef>
              <c:f>'Pivot Table'!$M$10:$M$361</c:f>
              <c:multiLvlStrCache>
                <c:ptCount val="339"/>
                <c:lvl>
                  <c:pt idx="0">
                    <c:v>01/01/2024</c:v>
                  </c:pt>
                  <c:pt idx="1">
                    <c:v>02/01/2024</c:v>
                  </c:pt>
                  <c:pt idx="2">
                    <c:v>03/01/2024</c:v>
                  </c:pt>
                  <c:pt idx="3">
                    <c:v>04/01/2024</c:v>
                  </c:pt>
                  <c:pt idx="4">
                    <c:v>05/01/2024</c:v>
                  </c:pt>
                  <c:pt idx="5">
                    <c:v>06/01/2024</c:v>
                  </c:pt>
                  <c:pt idx="6">
                    <c:v>08/01/2024</c:v>
                  </c:pt>
                  <c:pt idx="7">
                    <c:v>09/01/2024</c:v>
                  </c:pt>
                  <c:pt idx="8">
                    <c:v>10/01/2024</c:v>
                  </c:pt>
                  <c:pt idx="9">
                    <c:v>11/01/2024</c:v>
                  </c:pt>
                  <c:pt idx="10">
                    <c:v>12/01/2024</c:v>
                  </c:pt>
                  <c:pt idx="11">
                    <c:v>14/01/2024</c:v>
                  </c:pt>
                  <c:pt idx="12">
                    <c:v>15/01/2024</c:v>
                  </c:pt>
                  <c:pt idx="13">
                    <c:v>16/01/2024</c:v>
                  </c:pt>
                  <c:pt idx="14">
                    <c:v>17/01/2024</c:v>
                  </c:pt>
                  <c:pt idx="15">
                    <c:v>18/01/2024</c:v>
                  </c:pt>
                  <c:pt idx="16">
                    <c:v>19/01/2024</c:v>
                  </c:pt>
                  <c:pt idx="17">
                    <c:v>21/01/2024</c:v>
                  </c:pt>
                  <c:pt idx="18">
                    <c:v>22/01/2024</c:v>
                  </c:pt>
                  <c:pt idx="19">
                    <c:v>23/01/2024</c:v>
                  </c:pt>
                  <c:pt idx="20">
                    <c:v>24/01/2024</c:v>
                  </c:pt>
                  <c:pt idx="21">
                    <c:v>25/01/2024</c:v>
                  </c:pt>
                  <c:pt idx="22">
                    <c:v>26/01/2024</c:v>
                  </c:pt>
                  <c:pt idx="23">
                    <c:v>28/01/2024</c:v>
                  </c:pt>
                  <c:pt idx="24">
                    <c:v>29/01/2024</c:v>
                  </c:pt>
                  <c:pt idx="25">
                    <c:v>30/01/2024</c:v>
                  </c:pt>
                  <c:pt idx="26">
                    <c:v>31/01/2024</c:v>
                  </c:pt>
                  <c:pt idx="27">
                    <c:v>01/02/2024</c:v>
                  </c:pt>
                  <c:pt idx="28">
                    <c:v>02/02/2024</c:v>
                  </c:pt>
                  <c:pt idx="29">
                    <c:v>03/02/2024</c:v>
                  </c:pt>
                  <c:pt idx="30">
                    <c:v>04/02/2024</c:v>
                  </c:pt>
                  <c:pt idx="31">
                    <c:v>05/02/2024</c:v>
                  </c:pt>
                  <c:pt idx="32">
                    <c:v>06/02/2024</c:v>
                  </c:pt>
                  <c:pt idx="33">
                    <c:v>07/02/2024</c:v>
                  </c:pt>
                  <c:pt idx="34">
                    <c:v>08/02/2024</c:v>
                  </c:pt>
                  <c:pt idx="35">
                    <c:v>09/02/2024</c:v>
                  </c:pt>
                  <c:pt idx="36">
                    <c:v>10/02/2024</c:v>
                  </c:pt>
                  <c:pt idx="37">
                    <c:v>11/02/2024</c:v>
                  </c:pt>
                  <c:pt idx="38">
                    <c:v>12/02/2024</c:v>
                  </c:pt>
                  <c:pt idx="39">
                    <c:v>13/02/2024</c:v>
                  </c:pt>
                  <c:pt idx="40">
                    <c:v>14/02/2024</c:v>
                  </c:pt>
                  <c:pt idx="41">
                    <c:v>16/02/2024</c:v>
                  </c:pt>
                  <c:pt idx="42">
                    <c:v>17/02/2024</c:v>
                  </c:pt>
                  <c:pt idx="43">
                    <c:v>18/02/2024</c:v>
                  </c:pt>
                  <c:pt idx="44">
                    <c:v>19/02/2024</c:v>
                  </c:pt>
                  <c:pt idx="45">
                    <c:v>20/02/2024</c:v>
                  </c:pt>
                  <c:pt idx="46">
                    <c:v>21/02/2024</c:v>
                  </c:pt>
                  <c:pt idx="47">
                    <c:v>22/02/2024</c:v>
                  </c:pt>
                  <c:pt idx="48">
                    <c:v>23/02/2024</c:v>
                  </c:pt>
                  <c:pt idx="49">
                    <c:v>24/02/2024</c:v>
                  </c:pt>
                  <c:pt idx="50">
                    <c:v>25/02/2024</c:v>
                  </c:pt>
                  <c:pt idx="51">
                    <c:v>26/02/2024</c:v>
                  </c:pt>
                  <c:pt idx="52">
                    <c:v>27/02/2024</c:v>
                  </c:pt>
                  <c:pt idx="53">
                    <c:v>28/02/2024</c:v>
                  </c:pt>
                  <c:pt idx="54">
                    <c:v>29/02/2024</c:v>
                  </c:pt>
                  <c:pt idx="55">
                    <c:v>01/03/2024</c:v>
                  </c:pt>
                  <c:pt idx="56">
                    <c:v>02/03/2024</c:v>
                  </c:pt>
                  <c:pt idx="57">
                    <c:v>03/03/2024</c:v>
                  </c:pt>
                  <c:pt idx="58">
                    <c:v>04/03/2024</c:v>
                  </c:pt>
                  <c:pt idx="59">
                    <c:v>05/03/2024</c:v>
                  </c:pt>
                  <c:pt idx="60">
                    <c:v>06/03/2024</c:v>
                  </c:pt>
                  <c:pt idx="61">
                    <c:v>07/03/2024</c:v>
                  </c:pt>
                  <c:pt idx="62">
                    <c:v>08/03/2024</c:v>
                  </c:pt>
                  <c:pt idx="63">
                    <c:v>09/03/2024</c:v>
                  </c:pt>
                  <c:pt idx="64">
                    <c:v>11/03/2024</c:v>
                  </c:pt>
                  <c:pt idx="65">
                    <c:v>12/03/2024</c:v>
                  </c:pt>
                  <c:pt idx="66">
                    <c:v>13/03/2024</c:v>
                  </c:pt>
                  <c:pt idx="67">
                    <c:v>14/03/2024</c:v>
                  </c:pt>
                  <c:pt idx="68">
                    <c:v>15/03/2024</c:v>
                  </c:pt>
                  <c:pt idx="69">
                    <c:v>16/03/2024</c:v>
                  </c:pt>
                  <c:pt idx="70">
                    <c:v>17/03/2024</c:v>
                  </c:pt>
                  <c:pt idx="71">
                    <c:v>19/03/2024</c:v>
                  </c:pt>
                  <c:pt idx="72">
                    <c:v>20/03/2024</c:v>
                  </c:pt>
                  <c:pt idx="73">
                    <c:v>21/03/2024</c:v>
                  </c:pt>
                  <c:pt idx="74">
                    <c:v>22/03/2024</c:v>
                  </c:pt>
                  <c:pt idx="75">
                    <c:v>23/03/2024</c:v>
                  </c:pt>
                  <c:pt idx="76">
                    <c:v>24/03/2024</c:v>
                  </c:pt>
                  <c:pt idx="77">
                    <c:v>25/03/2024</c:v>
                  </c:pt>
                  <c:pt idx="78">
                    <c:v>26/03/2024</c:v>
                  </c:pt>
                  <c:pt idx="79">
                    <c:v>27/03/2024</c:v>
                  </c:pt>
                  <c:pt idx="80">
                    <c:v>28/03/2024</c:v>
                  </c:pt>
                  <c:pt idx="81">
                    <c:v>29/03/2024</c:v>
                  </c:pt>
                  <c:pt idx="82">
                    <c:v>30/03/2024</c:v>
                  </c:pt>
                  <c:pt idx="83">
                    <c:v>31/03/2024</c:v>
                  </c:pt>
                  <c:pt idx="84">
                    <c:v>01/04/2024</c:v>
                  </c:pt>
                  <c:pt idx="85">
                    <c:v>02/04/2024</c:v>
                  </c:pt>
                  <c:pt idx="86">
                    <c:v>04/04/2024</c:v>
                  </c:pt>
                  <c:pt idx="87">
                    <c:v>06/04/2024</c:v>
                  </c:pt>
                  <c:pt idx="88">
                    <c:v>07/04/2024</c:v>
                  </c:pt>
                  <c:pt idx="89">
                    <c:v>08/04/2024</c:v>
                  </c:pt>
                  <c:pt idx="90">
                    <c:v>09/04/2024</c:v>
                  </c:pt>
                  <c:pt idx="91">
                    <c:v>10/04/2024</c:v>
                  </c:pt>
                  <c:pt idx="92">
                    <c:v>11/04/2024</c:v>
                  </c:pt>
                  <c:pt idx="93">
                    <c:v>12/04/2024</c:v>
                  </c:pt>
                  <c:pt idx="94">
                    <c:v>13/04/2024</c:v>
                  </c:pt>
                  <c:pt idx="95">
                    <c:v>14/04/2024</c:v>
                  </c:pt>
                  <c:pt idx="96">
                    <c:v>15/04/2024</c:v>
                  </c:pt>
                  <c:pt idx="97">
                    <c:v>16/04/2024</c:v>
                  </c:pt>
                  <c:pt idx="98">
                    <c:v>17/04/2024</c:v>
                  </c:pt>
                  <c:pt idx="99">
                    <c:v>18/04/2024</c:v>
                  </c:pt>
                  <c:pt idx="100">
                    <c:v>19/04/2024</c:v>
                  </c:pt>
                  <c:pt idx="101">
                    <c:v>20/04/2024</c:v>
                  </c:pt>
                  <c:pt idx="102">
                    <c:v>21/04/2024</c:v>
                  </c:pt>
                  <c:pt idx="103">
                    <c:v>22/04/2024</c:v>
                  </c:pt>
                  <c:pt idx="104">
                    <c:v>23/04/2024</c:v>
                  </c:pt>
                  <c:pt idx="105">
                    <c:v>24/04/2024</c:v>
                  </c:pt>
                  <c:pt idx="106">
                    <c:v>25/04/2024</c:v>
                  </c:pt>
                  <c:pt idx="107">
                    <c:v>26/04/2024</c:v>
                  </c:pt>
                  <c:pt idx="108">
                    <c:v>27/04/2024</c:v>
                  </c:pt>
                  <c:pt idx="109">
                    <c:v>28/04/2024</c:v>
                  </c:pt>
                  <c:pt idx="110">
                    <c:v>29/04/2024</c:v>
                  </c:pt>
                  <c:pt idx="111">
                    <c:v>30/04/2024</c:v>
                  </c:pt>
                  <c:pt idx="112">
                    <c:v>01/05/2024</c:v>
                  </c:pt>
                  <c:pt idx="113">
                    <c:v>02/05/2024</c:v>
                  </c:pt>
                  <c:pt idx="114">
                    <c:v>03/05/2024</c:v>
                  </c:pt>
                  <c:pt idx="115">
                    <c:v>04/05/2024</c:v>
                  </c:pt>
                  <c:pt idx="116">
                    <c:v>05/05/2024</c:v>
                  </c:pt>
                  <c:pt idx="117">
                    <c:v>06/05/2024</c:v>
                  </c:pt>
                  <c:pt idx="118">
                    <c:v>07/05/2024</c:v>
                  </c:pt>
                  <c:pt idx="119">
                    <c:v>08/05/2024</c:v>
                  </c:pt>
                  <c:pt idx="120">
                    <c:v>09/05/2024</c:v>
                  </c:pt>
                  <c:pt idx="121">
                    <c:v>10/05/2024</c:v>
                  </c:pt>
                  <c:pt idx="122">
                    <c:v>11/05/2024</c:v>
                  </c:pt>
                  <c:pt idx="123">
                    <c:v>12/05/2024</c:v>
                  </c:pt>
                  <c:pt idx="124">
                    <c:v>13/05/2024</c:v>
                  </c:pt>
                  <c:pt idx="125">
                    <c:v>14/05/2024</c:v>
                  </c:pt>
                  <c:pt idx="126">
                    <c:v>15/05/2024</c:v>
                  </c:pt>
                  <c:pt idx="127">
                    <c:v>16/05/2024</c:v>
                  </c:pt>
                  <c:pt idx="128">
                    <c:v>17/05/2024</c:v>
                  </c:pt>
                  <c:pt idx="129">
                    <c:v>18/05/2024</c:v>
                  </c:pt>
                  <c:pt idx="130">
                    <c:v>19/05/2024</c:v>
                  </c:pt>
                  <c:pt idx="131">
                    <c:v>20/05/2024</c:v>
                  </c:pt>
                  <c:pt idx="132">
                    <c:v>21/05/2024</c:v>
                  </c:pt>
                  <c:pt idx="133">
                    <c:v>22/05/2024</c:v>
                  </c:pt>
                  <c:pt idx="134">
                    <c:v>23/05/2024</c:v>
                  </c:pt>
                  <c:pt idx="135">
                    <c:v>24/05/2024</c:v>
                  </c:pt>
                  <c:pt idx="136">
                    <c:v>25/05/2024</c:v>
                  </c:pt>
                  <c:pt idx="137">
                    <c:v>26/05/2024</c:v>
                  </c:pt>
                  <c:pt idx="138">
                    <c:v>27/05/2024</c:v>
                  </c:pt>
                  <c:pt idx="139">
                    <c:v>28/05/2024</c:v>
                  </c:pt>
                  <c:pt idx="140">
                    <c:v>29/05/2024</c:v>
                  </c:pt>
                  <c:pt idx="141">
                    <c:v>30/05/2024</c:v>
                  </c:pt>
                  <c:pt idx="142">
                    <c:v>31/05/2024</c:v>
                  </c:pt>
                  <c:pt idx="143">
                    <c:v>01/06/2024</c:v>
                  </c:pt>
                  <c:pt idx="144">
                    <c:v>02/06/2024</c:v>
                  </c:pt>
                  <c:pt idx="145">
                    <c:v>03/06/2024</c:v>
                  </c:pt>
                  <c:pt idx="146">
                    <c:v>04/06/2024</c:v>
                  </c:pt>
                  <c:pt idx="147">
                    <c:v>05/06/2024</c:v>
                  </c:pt>
                  <c:pt idx="148">
                    <c:v>06/06/2024</c:v>
                  </c:pt>
                  <c:pt idx="149">
                    <c:v>07/06/2024</c:v>
                  </c:pt>
                  <c:pt idx="150">
                    <c:v>08/06/2024</c:v>
                  </c:pt>
                  <c:pt idx="151">
                    <c:v>09/06/2024</c:v>
                  </c:pt>
                  <c:pt idx="152">
                    <c:v>11/06/2024</c:v>
                  </c:pt>
                  <c:pt idx="153">
                    <c:v>12/06/2024</c:v>
                  </c:pt>
                  <c:pt idx="154">
                    <c:v>14/06/2024</c:v>
                  </c:pt>
                  <c:pt idx="155">
                    <c:v>15/06/2024</c:v>
                  </c:pt>
                  <c:pt idx="156">
                    <c:v>16/06/2024</c:v>
                  </c:pt>
                  <c:pt idx="157">
                    <c:v>17/06/2024</c:v>
                  </c:pt>
                  <c:pt idx="158">
                    <c:v>18/06/2024</c:v>
                  </c:pt>
                  <c:pt idx="159">
                    <c:v>19/06/2024</c:v>
                  </c:pt>
                  <c:pt idx="160">
                    <c:v>20/06/2024</c:v>
                  </c:pt>
                  <c:pt idx="161">
                    <c:v>21/06/2024</c:v>
                  </c:pt>
                  <c:pt idx="162">
                    <c:v>22/06/2024</c:v>
                  </c:pt>
                  <c:pt idx="163">
                    <c:v>23/06/2024</c:v>
                  </c:pt>
                  <c:pt idx="164">
                    <c:v>24/06/2024</c:v>
                  </c:pt>
                  <c:pt idx="165">
                    <c:v>25/06/2024</c:v>
                  </c:pt>
                  <c:pt idx="166">
                    <c:v>26/06/2024</c:v>
                  </c:pt>
                  <c:pt idx="167">
                    <c:v>27/06/2024</c:v>
                  </c:pt>
                  <c:pt idx="168">
                    <c:v>28/06/2024</c:v>
                  </c:pt>
                  <c:pt idx="169">
                    <c:v>29/06/2024</c:v>
                  </c:pt>
                  <c:pt idx="170">
                    <c:v>30/06/2024</c:v>
                  </c:pt>
                  <c:pt idx="171">
                    <c:v>01/07/2024</c:v>
                  </c:pt>
                  <c:pt idx="172">
                    <c:v>02/07/2024</c:v>
                  </c:pt>
                  <c:pt idx="173">
                    <c:v>03/07/2024</c:v>
                  </c:pt>
                  <c:pt idx="174">
                    <c:v>04/07/2024</c:v>
                  </c:pt>
                  <c:pt idx="175">
                    <c:v>05/07/2024</c:v>
                  </c:pt>
                  <c:pt idx="176">
                    <c:v>07/07/2024</c:v>
                  </c:pt>
                  <c:pt idx="177">
                    <c:v>08/07/2024</c:v>
                  </c:pt>
                  <c:pt idx="178">
                    <c:v>09/07/2024</c:v>
                  </c:pt>
                  <c:pt idx="179">
                    <c:v>10/07/2024</c:v>
                  </c:pt>
                  <c:pt idx="180">
                    <c:v>11/07/2024</c:v>
                  </c:pt>
                  <c:pt idx="181">
                    <c:v>12/07/2024</c:v>
                  </c:pt>
                  <c:pt idx="182">
                    <c:v>13/07/2024</c:v>
                  </c:pt>
                  <c:pt idx="183">
                    <c:v>15/07/2024</c:v>
                  </c:pt>
                  <c:pt idx="184">
                    <c:v>16/07/2024</c:v>
                  </c:pt>
                  <c:pt idx="185">
                    <c:v>17/07/2024</c:v>
                  </c:pt>
                  <c:pt idx="186">
                    <c:v>18/07/2024</c:v>
                  </c:pt>
                  <c:pt idx="187">
                    <c:v>19/07/2024</c:v>
                  </c:pt>
                  <c:pt idx="188">
                    <c:v>20/07/2024</c:v>
                  </c:pt>
                  <c:pt idx="189">
                    <c:v>21/07/2024</c:v>
                  </c:pt>
                  <c:pt idx="190">
                    <c:v>22/07/2024</c:v>
                  </c:pt>
                  <c:pt idx="191">
                    <c:v>23/07/2024</c:v>
                  </c:pt>
                  <c:pt idx="192">
                    <c:v>24/07/2024</c:v>
                  </c:pt>
                  <c:pt idx="193">
                    <c:v>25/07/2024</c:v>
                  </c:pt>
                  <c:pt idx="194">
                    <c:v>26/07/2024</c:v>
                  </c:pt>
                  <c:pt idx="195">
                    <c:v>27/07/2024</c:v>
                  </c:pt>
                  <c:pt idx="196">
                    <c:v>28/07/2024</c:v>
                  </c:pt>
                  <c:pt idx="197">
                    <c:v>29/07/2024</c:v>
                  </c:pt>
                  <c:pt idx="198">
                    <c:v>30/07/2024</c:v>
                  </c:pt>
                  <c:pt idx="199">
                    <c:v>31/07/2024</c:v>
                  </c:pt>
                  <c:pt idx="200">
                    <c:v>02/08/2024</c:v>
                  </c:pt>
                  <c:pt idx="201">
                    <c:v>03/08/2024</c:v>
                  </c:pt>
                  <c:pt idx="202">
                    <c:v>04/08/2024</c:v>
                  </c:pt>
                  <c:pt idx="203">
                    <c:v>05/08/2024</c:v>
                  </c:pt>
                  <c:pt idx="204">
                    <c:v>06/08/2024</c:v>
                  </c:pt>
                  <c:pt idx="205">
                    <c:v>07/08/2024</c:v>
                  </c:pt>
                  <c:pt idx="206">
                    <c:v>08/08/2024</c:v>
                  </c:pt>
                  <c:pt idx="207">
                    <c:v>09/08/2024</c:v>
                  </c:pt>
                  <c:pt idx="208">
                    <c:v>10/08/2024</c:v>
                  </c:pt>
                  <c:pt idx="209">
                    <c:v>11/08/2024</c:v>
                  </c:pt>
                  <c:pt idx="210">
                    <c:v>12/08/2024</c:v>
                  </c:pt>
                  <c:pt idx="211">
                    <c:v>13/08/2024</c:v>
                  </c:pt>
                  <c:pt idx="212">
                    <c:v>14/08/2024</c:v>
                  </c:pt>
                  <c:pt idx="213">
                    <c:v>15/08/2024</c:v>
                  </c:pt>
                  <c:pt idx="214">
                    <c:v>16/08/2024</c:v>
                  </c:pt>
                  <c:pt idx="215">
                    <c:v>17/08/2024</c:v>
                  </c:pt>
                  <c:pt idx="216">
                    <c:v>18/08/2024</c:v>
                  </c:pt>
                  <c:pt idx="217">
                    <c:v>19/08/2024</c:v>
                  </c:pt>
                  <c:pt idx="218">
                    <c:v>20/08/2024</c:v>
                  </c:pt>
                  <c:pt idx="219">
                    <c:v>21/08/2024</c:v>
                  </c:pt>
                  <c:pt idx="220">
                    <c:v>22/08/2024</c:v>
                  </c:pt>
                  <c:pt idx="221">
                    <c:v>23/08/2024</c:v>
                  </c:pt>
                  <c:pt idx="222">
                    <c:v>24/08/2024</c:v>
                  </c:pt>
                  <c:pt idx="223">
                    <c:v>25/08/2024</c:v>
                  </c:pt>
                  <c:pt idx="224">
                    <c:v>26/08/2024</c:v>
                  </c:pt>
                  <c:pt idx="225">
                    <c:v>27/08/2024</c:v>
                  </c:pt>
                  <c:pt idx="226">
                    <c:v>28/08/2024</c:v>
                  </c:pt>
                  <c:pt idx="227">
                    <c:v>29/08/2024</c:v>
                  </c:pt>
                  <c:pt idx="228">
                    <c:v>30/08/2024</c:v>
                  </c:pt>
                  <c:pt idx="229">
                    <c:v>31/08/2024</c:v>
                  </c:pt>
                  <c:pt idx="230">
                    <c:v>02/09/2024</c:v>
                  </c:pt>
                  <c:pt idx="231">
                    <c:v>03/09/2024</c:v>
                  </c:pt>
                  <c:pt idx="232">
                    <c:v>04/09/2024</c:v>
                  </c:pt>
                  <c:pt idx="233">
                    <c:v>05/09/2024</c:v>
                  </c:pt>
                  <c:pt idx="234">
                    <c:v>06/09/2024</c:v>
                  </c:pt>
                  <c:pt idx="235">
                    <c:v>07/09/2024</c:v>
                  </c:pt>
                  <c:pt idx="236">
                    <c:v>08/09/2024</c:v>
                  </c:pt>
                  <c:pt idx="237">
                    <c:v>09/09/2024</c:v>
                  </c:pt>
                  <c:pt idx="238">
                    <c:v>10/09/2024</c:v>
                  </c:pt>
                  <c:pt idx="239">
                    <c:v>11/09/2024</c:v>
                  </c:pt>
                  <c:pt idx="240">
                    <c:v>12/09/2024</c:v>
                  </c:pt>
                  <c:pt idx="241">
                    <c:v>13/09/2024</c:v>
                  </c:pt>
                  <c:pt idx="242">
                    <c:v>15/09/2024</c:v>
                  </c:pt>
                  <c:pt idx="243">
                    <c:v>16/09/2024</c:v>
                  </c:pt>
                  <c:pt idx="244">
                    <c:v>17/09/2024</c:v>
                  </c:pt>
                  <c:pt idx="245">
                    <c:v>19/09/2024</c:v>
                  </c:pt>
                  <c:pt idx="246">
                    <c:v>21/09/2024</c:v>
                  </c:pt>
                  <c:pt idx="247">
                    <c:v>22/09/2024</c:v>
                  </c:pt>
                  <c:pt idx="248">
                    <c:v>23/09/2024</c:v>
                  </c:pt>
                  <c:pt idx="249">
                    <c:v>24/09/2024</c:v>
                  </c:pt>
                  <c:pt idx="250">
                    <c:v>25/09/2024</c:v>
                  </c:pt>
                  <c:pt idx="251">
                    <c:v>26/09/2024</c:v>
                  </c:pt>
                  <c:pt idx="252">
                    <c:v>27/09/2024</c:v>
                  </c:pt>
                  <c:pt idx="253">
                    <c:v>28/09/2024</c:v>
                  </c:pt>
                  <c:pt idx="254">
                    <c:v>29/09/2024</c:v>
                  </c:pt>
                  <c:pt idx="255">
                    <c:v>30/09/2024</c:v>
                  </c:pt>
                  <c:pt idx="256">
                    <c:v>01/10/2024</c:v>
                  </c:pt>
                  <c:pt idx="257">
                    <c:v>02/10/2024</c:v>
                  </c:pt>
                  <c:pt idx="258">
                    <c:v>03/10/2024</c:v>
                  </c:pt>
                  <c:pt idx="259">
                    <c:v>04/10/2024</c:v>
                  </c:pt>
                  <c:pt idx="260">
                    <c:v>05/10/2024</c:v>
                  </c:pt>
                  <c:pt idx="261">
                    <c:v>07/10/2024</c:v>
                  </c:pt>
                  <c:pt idx="262">
                    <c:v>08/10/2024</c:v>
                  </c:pt>
                  <c:pt idx="263">
                    <c:v>09/10/2024</c:v>
                  </c:pt>
                  <c:pt idx="264">
                    <c:v>10/10/2024</c:v>
                  </c:pt>
                  <c:pt idx="265">
                    <c:v>12/10/2024</c:v>
                  </c:pt>
                  <c:pt idx="266">
                    <c:v>13/10/2024</c:v>
                  </c:pt>
                  <c:pt idx="267">
                    <c:v>14/10/2024</c:v>
                  </c:pt>
                  <c:pt idx="268">
                    <c:v>15/10/2024</c:v>
                  </c:pt>
                  <c:pt idx="269">
                    <c:v>16/10/2024</c:v>
                  </c:pt>
                  <c:pt idx="270">
                    <c:v>17/10/2024</c:v>
                  </c:pt>
                  <c:pt idx="271">
                    <c:v>18/10/2024</c:v>
                  </c:pt>
                  <c:pt idx="272">
                    <c:v>19/10/2024</c:v>
                  </c:pt>
                  <c:pt idx="273">
                    <c:v>20/10/2024</c:v>
                  </c:pt>
                  <c:pt idx="274">
                    <c:v>21/10/2024</c:v>
                  </c:pt>
                  <c:pt idx="275">
                    <c:v>22/10/2024</c:v>
                  </c:pt>
                  <c:pt idx="276">
                    <c:v>23/10/2024</c:v>
                  </c:pt>
                  <c:pt idx="277">
                    <c:v>24/10/2024</c:v>
                  </c:pt>
                  <c:pt idx="278">
                    <c:v>25/10/2024</c:v>
                  </c:pt>
                  <c:pt idx="279">
                    <c:v>26/10/2024</c:v>
                  </c:pt>
                  <c:pt idx="280">
                    <c:v>28/10/2024</c:v>
                  </c:pt>
                  <c:pt idx="281">
                    <c:v>29/10/2024</c:v>
                  </c:pt>
                  <c:pt idx="282">
                    <c:v>30/10/2024</c:v>
                  </c:pt>
                  <c:pt idx="283">
                    <c:v>31/10/2024</c:v>
                  </c:pt>
                  <c:pt idx="284">
                    <c:v>02/11/2024</c:v>
                  </c:pt>
                  <c:pt idx="285">
                    <c:v>04/11/2024</c:v>
                  </c:pt>
                  <c:pt idx="286">
                    <c:v>05/11/2024</c:v>
                  </c:pt>
                  <c:pt idx="287">
                    <c:v>06/11/2024</c:v>
                  </c:pt>
                  <c:pt idx="288">
                    <c:v>07/11/2024</c:v>
                  </c:pt>
                  <c:pt idx="289">
                    <c:v>09/11/2024</c:v>
                  </c:pt>
                  <c:pt idx="290">
                    <c:v>10/11/2024</c:v>
                  </c:pt>
                  <c:pt idx="291">
                    <c:v>11/11/2024</c:v>
                  </c:pt>
                  <c:pt idx="292">
                    <c:v>12/11/2024</c:v>
                  </c:pt>
                  <c:pt idx="293">
                    <c:v>13/11/2024</c:v>
                  </c:pt>
                  <c:pt idx="294">
                    <c:v>14/11/2024</c:v>
                  </c:pt>
                  <c:pt idx="295">
                    <c:v>15/11/2024</c:v>
                  </c:pt>
                  <c:pt idx="296">
                    <c:v>16/11/2024</c:v>
                  </c:pt>
                  <c:pt idx="297">
                    <c:v>17/11/2024</c:v>
                  </c:pt>
                  <c:pt idx="298">
                    <c:v>18/11/2024</c:v>
                  </c:pt>
                  <c:pt idx="299">
                    <c:v>19/11/2024</c:v>
                  </c:pt>
                  <c:pt idx="300">
                    <c:v>20/11/2024</c:v>
                  </c:pt>
                  <c:pt idx="301">
                    <c:v>21/11/2024</c:v>
                  </c:pt>
                  <c:pt idx="302">
                    <c:v>22/11/2024</c:v>
                  </c:pt>
                  <c:pt idx="303">
                    <c:v>23/11/2024</c:v>
                  </c:pt>
                  <c:pt idx="304">
                    <c:v>24/11/2024</c:v>
                  </c:pt>
                  <c:pt idx="305">
                    <c:v>25/11/2024</c:v>
                  </c:pt>
                  <c:pt idx="306">
                    <c:v>26/11/2024</c:v>
                  </c:pt>
                  <c:pt idx="307">
                    <c:v>27/11/2024</c:v>
                  </c:pt>
                  <c:pt idx="308">
                    <c:v>28/11/2024</c:v>
                  </c:pt>
                  <c:pt idx="309">
                    <c:v>29/11/2024</c:v>
                  </c:pt>
                  <c:pt idx="310">
                    <c:v>30/11/2024</c:v>
                  </c:pt>
                  <c:pt idx="311">
                    <c:v>01/12/2024</c:v>
                  </c:pt>
                  <c:pt idx="312">
                    <c:v>02/12/2024</c:v>
                  </c:pt>
                  <c:pt idx="313">
                    <c:v>03/12/2024</c:v>
                  </c:pt>
                  <c:pt idx="314">
                    <c:v>04/12/2024</c:v>
                  </c:pt>
                  <c:pt idx="315">
                    <c:v>05/12/2024</c:v>
                  </c:pt>
                  <c:pt idx="316">
                    <c:v>06/12/2024</c:v>
                  </c:pt>
                  <c:pt idx="317">
                    <c:v>07/12/2024</c:v>
                  </c:pt>
                  <c:pt idx="318">
                    <c:v>08/12/2024</c:v>
                  </c:pt>
                  <c:pt idx="319">
                    <c:v>09/12/2024</c:v>
                  </c:pt>
                  <c:pt idx="320">
                    <c:v>10/12/2024</c:v>
                  </c:pt>
                  <c:pt idx="321">
                    <c:v>12/12/2024</c:v>
                  </c:pt>
                  <c:pt idx="322">
                    <c:v>13/12/2024</c:v>
                  </c:pt>
                  <c:pt idx="323">
                    <c:v>15/12/2024</c:v>
                  </c:pt>
                  <c:pt idx="324">
                    <c:v>16/12/2024</c:v>
                  </c:pt>
                  <c:pt idx="325">
                    <c:v>17/12/2024</c:v>
                  </c:pt>
                  <c:pt idx="326">
                    <c:v>18/12/2024</c:v>
                  </c:pt>
                  <c:pt idx="327">
                    <c:v>19/12/2024</c:v>
                  </c:pt>
                  <c:pt idx="328">
                    <c:v>20/12/2024</c:v>
                  </c:pt>
                  <c:pt idx="329">
                    <c:v>21/12/2024</c:v>
                  </c:pt>
                  <c:pt idx="330">
                    <c:v>22/12/2024</c:v>
                  </c:pt>
                  <c:pt idx="331">
                    <c:v>24/12/2024</c:v>
                  </c:pt>
                  <c:pt idx="332">
                    <c:v>25/12/2024</c:v>
                  </c:pt>
                  <c:pt idx="333">
                    <c:v>26/12/2024</c:v>
                  </c:pt>
                  <c:pt idx="334">
                    <c:v>27/12/2024</c:v>
                  </c:pt>
                  <c:pt idx="335">
                    <c:v>28/12/2024</c:v>
                  </c:pt>
                  <c:pt idx="336">
                    <c:v>29/12/2024</c:v>
                  </c:pt>
                  <c:pt idx="337">
                    <c:v>30/12/2024</c:v>
                  </c:pt>
                  <c:pt idx="338">
                    <c:v>31/12/2024</c:v>
                  </c:pt>
                </c:lvl>
                <c:lvl>
                  <c:pt idx="0">
                    <c:v>Jan</c:v>
                  </c:pt>
                  <c:pt idx="27">
                    <c:v>Feb</c:v>
                  </c:pt>
                  <c:pt idx="55">
                    <c:v>Mar</c:v>
                  </c:pt>
                  <c:pt idx="84">
                    <c:v>Apr</c:v>
                  </c:pt>
                  <c:pt idx="112">
                    <c:v>May</c:v>
                  </c:pt>
                  <c:pt idx="143">
                    <c:v>Jun</c:v>
                  </c:pt>
                  <c:pt idx="171">
                    <c:v>Jul</c:v>
                  </c:pt>
                  <c:pt idx="200">
                    <c:v>Aug</c:v>
                  </c:pt>
                  <c:pt idx="230">
                    <c:v>Sep</c:v>
                  </c:pt>
                  <c:pt idx="256">
                    <c:v>Oct</c:v>
                  </c:pt>
                  <c:pt idx="284">
                    <c:v>Nov</c:v>
                  </c:pt>
                  <c:pt idx="311">
                    <c:v>Dec</c:v>
                  </c:pt>
                </c:lvl>
              </c:multiLvlStrCache>
            </c:multiLvlStrRef>
          </c:cat>
          <c:val>
            <c:numRef>
              <c:f>'Pivot Table'!$N$10:$N$361</c:f>
              <c:numCache>
                <c:formatCode>General</c:formatCode>
                <c:ptCount val="339"/>
                <c:pt idx="0">
                  <c:v>10</c:v>
                </c:pt>
                <c:pt idx="1">
                  <c:v>12</c:v>
                </c:pt>
                <c:pt idx="2">
                  <c:v>7</c:v>
                </c:pt>
                <c:pt idx="3">
                  <c:v>27</c:v>
                </c:pt>
                <c:pt idx="4">
                  <c:v>9</c:v>
                </c:pt>
                <c:pt idx="5">
                  <c:v>8</c:v>
                </c:pt>
                <c:pt idx="6">
                  <c:v>30</c:v>
                </c:pt>
                <c:pt idx="7">
                  <c:v>11</c:v>
                </c:pt>
                <c:pt idx="8">
                  <c:v>9</c:v>
                </c:pt>
                <c:pt idx="9">
                  <c:v>24</c:v>
                </c:pt>
                <c:pt idx="10">
                  <c:v>12</c:v>
                </c:pt>
                <c:pt idx="11">
                  <c:v>4</c:v>
                </c:pt>
                <c:pt idx="12">
                  <c:v>2</c:v>
                </c:pt>
                <c:pt idx="13">
                  <c:v>9</c:v>
                </c:pt>
                <c:pt idx="14">
                  <c:v>11</c:v>
                </c:pt>
                <c:pt idx="15">
                  <c:v>4</c:v>
                </c:pt>
                <c:pt idx="16">
                  <c:v>17</c:v>
                </c:pt>
                <c:pt idx="17">
                  <c:v>9</c:v>
                </c:pt>
                <c:pt idx="18">
                  <c:v>7</c:v>
                </c:pt>
                <c:pt idx="19">
                  <c:v>13</c:v>
                </c:pt>
                <c:pt idx="20">
                  <c:v>23</c:v>
                </c:pt>
                <c:pt idx="21">
                  <c:v>23</c:v>
                </c:pt>
                <c:pt idx="22">
                  <c:v>21</c:v>
                </c:pt>
                <c:pt idx="23">
                  <c:v>6</c:v>
                </c:pt>
                <c:pt idx="24">
                  <c:v>6</c:v>
                </c:pt>
                <c:pt idx="25">
                  <c:v>10</c:v>
                </c:pt>
                <c:pt idx="26">
                  <c:v>10</c:v>
                </c:pt>
                <c:pt idx="27">
                  <c:v>13</c:v>
                </c:pt>
                <c:pt idx="28">
                  <c:v>5</c:v>
                </c:pt>
                <c:pt idx="29">
                  <c:v>18</c:v>
                </c:pt>
                <c:pt idx="30">
                  <c:v>10</c:v>
                </c:pt>
                <c:pt idx="31">
                  <c:v>21</c:v>
                </c:pt>
                <c:pt idx="32">
                  <c:v>6</c:v>
                </c:pt>
                <c:pt idx="33">
                  <c:v>5</c:v>
                </c:pt>
                <c:pt idx="34">
                  <c:v>14</c:v>
                </c:pt>
                <c:pt idx="35">
                  <c:v>9</c:v>
                </c:pt>
                <c:pt idx="36">
                  <c:v>9</c:v>
                </c:pt>
                <c:pt idx="37">
                  <c:v>11</c:v>
                </c:pt>
                <c:pt idx="38">
                  <c:v>15</c:v>
                </c:pt>
                <c:pt idx="39">
                  <c:v>9</c:v>
                </c:pt>
                <c:pt idx="40">
                  <c:v>9</c:v>
                </c:pt>
                <c:pt idx="41">
                  <c:v>12</c:v>
                </c:pt>
                <c:pt idx="42">
                  <c:v>10</c:v>
                </c:pt>
                <c:pt idx="43">
                  <c:v>6</c:v>
                </c:pt>
                <c:pt idx="44">
                  <c:v>23</c:v>
                </c:pt>
                <c:pt idx="45">
                  <c:v>23</c:v>
                </c:pt>
                <c:pt idx="46">
                  <c:v>20</c:v>
                </c:pt>
                <c:pt idx="47">
                  <c:v>3</c:v>
                </c:pt>
                <c:pt idx="48">
                  <c:v>1</c:v>
                </c:pt>
                <c:pt idx="49">
                  <c:v>20</c:v>
                </c:pt>
                <c:pt idx="50">
                  <c:v>11</c:v>
                </c:pt>
                <c:pt idx="51">
                  <c:v>15</c:v>
                </c:pt>
                <c:pt idx="52">
                  <c:v>13</c:v>
                </c:pt>
                <c:pt idx="53">
                  <c:v>17</c:v>
                </c:pt>
                <c:pt idx="54">
                  <c:v>11</c:v>
                </c:pt>
                <c:pt idx="55">
                  <c:v>21</c:v>
                </c:pt>
                <c:pt idx="56">
                  <c:v>42</c:v>
                </c:pt>
                <c:pt idx="57">
                  <c:v>12</c:v>
                </c:pt>
                <c:pt idx="58">
                  <c:v>3</c:v>
                </c:pt>
                <c:pt idx="59">
                  <c:v>17</c:v>
                </c:pt>
                <c:pt idx="60">
                  <c:v>1</c:v>
                </c:pt>
                <c:pt idx="61">
                  <c:v>11</c:v>
                </c:pt>
                <c:pt idx="62">
                  <c:v>26</c:v>
                </c:pt>
                <c:pt idx="63">
                  <c:v>8</c:v>
                </c:pt>
                <c:pt idx="64">
                  <c:v>5</c:v>
                </c:pt>
                <c:pt idx="65">
                  <c:v>7</c:v>
                </c:pt>
                <c:pt idx="66">
                  <c:v>5</c:v>
                </c:pt>
                <c:pt idx="67">
                  <c:v>16</c:v>
                </c:pt>
                <c:pt idx="68">
                  <c:v>20</c:v>
                </c:pt>
                <c:pt idx="69">
                  <c:v>7</c:v>
                </c:pt>
                <c:pt idx="70">
                  <c:v>5</c:v>
                </c:pt>
                <c:pt idx="71">
                  <c:v>15</c:v>
                </c:pt>
                <c:pt idx="72">
                  <c:v>7</c:v>
                </c:pt>
                <c:pt idx="73">
                  <c:v>5</c:v>
                </c:pt>
                <c:pt idx="74">
                  <c:v>38</c:v>
                </c:pt>
                <c:pt idx="75">
                  <c:v>13</c:v>
                </c:pt>
                <c:pt idx="76">
                  <c:v>8</c:v>
                </c:pt>
                <c:pt idx="77">
                  <c:v>8</c:v>
                </c:pt>
                <c:pt idx="78">
                  <c:v>5</c:v>
                </c:pt>
                <c:pt idx="79">
                  <c:v>6</c:v>
                </c:pt>
                <c:pt idx="80">
                  <c:v>12</c:v>
                </c:pt>
                <c:pt idx="81">
                  <c:v>22</c:v>
                </c:pt>
                <c:pt idx="82">
                  <c:v>7</c:v>
                </c:pt>
                <c:pt idx="83">
                  <c:v>3</c:v>
                </c:pt>
                <c:pt idx="84">
                  <c:v>11</c:v>
                </c:pt>
                <c:pt idx="85">
                  <c:v>10</c:v>
                </c:pt>
                <c:pt idx="86">
                  <c:v>9</c:v>
                </c:pt>
                <c:pt idx="87">
                  <c:v>18</c:v>
                </c:pt>
                <c:pt idx="88">
                  <c:v>8</c:v>
                </c:pt>
                <c:pt idx="89">
                  <c:v>5</c:v>
                </c:pt>
                <c:pt idx="90">
                  <c:v>1</c:v>
                </c:pt>
                <c:pt idx="91">
                  <c:v>6</c:v>
                </c:pt>
                <c:pt idx="92">
                  <c:v>12</c:v>
                </c:pt>
                <c:pt idx="93">
                  <c:v>2</c:v>
                </c:pt>
                <c:pt idx="94">
                  <c:v>1</c:v>
                </c:pt>
                <c:pt idx="95">
                  <c:v>7</c:v>
                </c:pt>
                <c:pt idx="96">
                  <c:v>18</c:v>
                </c:pt>
                <c:pt idx="97">
                  <c:v>10</c:v>
                </c:pt>
                <c:pt idx="98">
                  <c:v>10</c:v>
                </c:pt>
                <c:pt idx="99">
                  <c:v>20</c:v>
                </c:pt>
                <c:pt idx="100">
                  <c:v>13</c:v>
                </c:pt>
                <c:pt idx="101">
                  <c:v>9</c:v>
                </c:pt>
                <c:pt idx="102">
                  <c:v>20</c:v>
                </c:pt>
                <c:pt idx="103">
                  <c:v>6</c:v>
                </c:pt>
                <c:pt idx="104">
                  <c:v>7</c:v>
                </c:pt>
                <c:pt idx="105">
                  <c:v>1</c:v>
                </c:pt>
                <c:pt idx="106">
                  <c:v>12</c:v>
                </c:pt>
                <c:pt idx="107">
                  <c:v>5</c:v>
                </c:pt>
                <c:pt idx="108">
                  <c:v>14</c:v>
                </c:pt>
                <c:pt idx="109">
                  <c:v>18</c:v>
                </c:pt>
                <c:pt idx="110">
                  <c:v>3</c:v>
                </c:pt>
                <c:pt idx="111">
                  <c:v>10</c:v>
                </c:pt>
                <c:pt idx="112">
                  <c:v>28</c:v>
                </c:pt>
                <c:pt idx="113">
                  <c:v>20</c:v>
                </c:pt>
                <c:pt idx="114">
                  <c:v>8</c:v>
                </c:pt>
                <c:pt idx="115">
                  <c:v>16</c:v>
                </c:pt>
                <c:pt idx="116">
                  <c:v>8</c:v>
                </c:pt>
                <c:pt idx="117">
                  <c:v>20</c:v>
                </c:pt>
                <c:pt idx="118">
                  <c:v>5</c:v>
                </c:pt>
                <c:pt idx="119">
                  <c:v>7</c:v>
                </c:pt>
                <c:pt idx="120">
                  <c:v>6</c:v>
                </c:pt>
                <c:pt idx="121">
                  <c:v>9</c:v>
                </c:pt>
                <c:pt idx="122">
                  <c:v>6</c:v>
                </c:pt>
                <c:pt idx="123">
                  <c:v>16</c:v>
                </c:pt>
                <c:pt idx="124">
                  <c:v>7</c:v>
                </c:pt>
                <c:pt idx="125">
                  <c:v>16</c:v>
                </c:pt>
                <c:pt idx="126">
                  <c:v>25</c:v>
                </c:pt>
                <c:pt idx="127">
                  <c:v>20</c:v>
                </c:pt>
                <c:pt idx="128">
                  <c:v>1</c:v>
                </c:pt>
                <c:pt idx="129">
                  <c:v>12</c:v>
                </c:pt>
                <c:pt idx="130">
                  <c:v>13</c:v>
                </c:pt>
                <c:pt idx="131">
                  <c:v>7</c:v>
                </c:pt>
                <c:pt idx="132">
                  <c:v>8</c:v>
                </c:pt>
                <c:pt idx="133">
                  <c:v>27</c:v>
                </c:pt>
                <c:pt idx="134">
                  <c:v>15</c:v>
                </c:pt>
                <c:pt idx="135">
                  <c:v>11</c:v>
                </c:pt>
                <c:pt idx="136">
                  <c:v>10</c:v>
                </c:pt>
                <c:pt idx="137">
                  <c:v>22</c:v>
                </c:pt>
                <c:pt idx="138">
                  <c:v>10</c:v>
                </c:pt>
                <c:pt idx="139">
                  <c:v>1</c:v>
                </c:pt>
                <c:pt idx="140">
                  <c:v>6</c:v>
                </c:pt>
                <c:pt idx="141">
                  <c:v>5</c:v>
                </c:pt>
                <c:pt idx="142">
                  <c:v>16</c:v>
                </c:pt>
                <c:pt idx="143">
                  <c:v>14</c:v>
                </c:pt>
                <c:pt idx="144">
                  <c:v>1</c:v>
                </c:pt>
                <c:pt idx="145">
                  <c:v>16</c:v>
                </c:pt>
                <c:pt idx="146">
                  <c:v>1</c:v>
                </c:pt>
                <c:pt idx="147">
                  <c:v>5</c:v>
                </c:pt>
                <c:pt idx="148">
                  <c:v>6</c:v>
                </c:pt>
                <c:pt idx="149">
                  <c:v>5</c:v>
                </c:pt>
                <c:pt idx="150">
                  <c:v>8</c:v>
                </c:pt>
                <c:pt idx="151">
                  <c:v>6</c:v>
                </c:pt>
                <c:pt idx="152">
                  <c:v>2</c:v>
                </c:pt>
                <c:pt idx="153">
                  <c:v>7</c:v>
                </c:pt>
                <c:pt idx="154">
                  <c:v>7</c:v>
                </c:pt>
                <c:pt idx="155">
                  <c:v>13</c:v>
                </c:pt>
                <c:pt idx="156">
                  <c:v>5</c:v>
                </c:pt>
                <c:pt idx="157">
                  <c:v>13</c:v>
                </c:pt>
                <c:pt idx="158">
                  <c:v>9</c:v>
                </c:pt>
                <c:pt idx="159">
                  <c:v>1</c:v>
                </c:pt>
                <c:pt idx="160">
                  <c:v>17</c:v>
                </c:pt>
                <c:pt idx="161">
                  <c:v>11</c:v>
                </c:pt>
                <c:pt idx="162">
                  <c:v>13</c:v>
                </c:pt>
                <c:pt idx="163">
                  <c:v>14</c:v>
                </c:pt>
                <c:pt idx="164">
                  <c:v>14</c:v>
                </c:pt>
                <c:pt idx="165">
                  <c:v>10</c:v>
                </c:pt>
                <c:pt idx="166">
                  <c:v>7</c:v>
                </c:pt>
                <c:pt idx="167">
                  <c:v>2</c:v>
                </c:pt>
                <c:pt idx="168">
                  <c:v>9</c:v>
                </c:pt>
                <c:pt idx="169">
                  <c:v>15</c:v>
                </c:pt>
                <c:pt idx="170">
                  <c:v>10</c:v>
                </c:pt>
                <c:pt idx="171">
                  <c:v>27</c:v>
                </c:pt>
                <c:pt idx="172">
                  <c:v>12</c:v>
                </c:pt>
                <c:pt idx="173">
                  <c:v>9</c:v>
                </c:pt>
                <c:pt idx="174">
                  <c:v>26</c:v>
                </c:pt>
                <c:pt idx="175">
                  <c:v>21</c:v>
                </c:pt>
                <c:pt idx="176">
                  <c:v>6</c:v>
                </c:pt>
                <c:pt idx="177">
                  <c:v>1</c:v>
                </c:pt>
                <c:pt idx="178">
                  <c:v>3</c:v>
                </c:pt>
                <c:pt idx="179">
                  <c:v>4</c:v>
                </c:pt>
                <c:pt idx="180">
                  <c:v>14</c:v>
                </c:pt>
                <c:pt idx="181">
                  <c:v>18</c:v>
                </c:pt>
                <c:pt idx="182">
                  <c:v>7</c:v>
                </c:pt>
                <c:pt idx="183">
                  <c:v>10</c:v>
                </c:pt>
                <c:pt idx="184">
                  <c:v>18</c:v>
                </c:pt>
                <c:pt idx="185">
                  <c:v>29</c:v>
                </c:pt>
                <c:pt idx="186">
                  <c:v>29</c:v>
                </c:pt>
                <c:pt idx="187">
                  <c:v>4</c:v>
                </c:pt>
                <c:pt idx="188">
                  <c:v>18</c:v>
                </c:pt>
                <c:pt idx="189">
                  <c:v>22</c:v>
                </c:pt>
                <c:pt idx="190">
                  <c:v>10</c:v>
                </c:pt>
                <c:pt idx="191">
                  <c:v>22</c:v>
                </c:pt>
                <c:pt idx="192">
                  <c:v>11</c:v>
                </c:pt>
                <c:pt idx="193">
                  <c:v>5</c:v>
                </c:pt>
                <c:pt idx="194">
                  <c:v>27</c:v>
                </c:pt>
                <c:pt idx="195">
                  <c:v>20</c:v>
                </c:pt>
                <c:pt idx="196">
                  <c:v>6</c:v>
                </c:pt>
                <c:pt idx="197">
                  <c:v>7</c:v>
                </c:pt>
                <c:pt idx="198">
                  <c:v>6</c:v>
                </c:pt>
                <c:pt idx="199">
                  <c:v>11</c:v>
                </c:pt>
                <c:pt idx="200">
                  <c:v>10</c:v>
                </c:pt>
                <c:pt idx="201">
                  <c:v>5</c:v>
                </c:pt>
                <c:pt idx="202">
                  <c:v>17</c:v>
                </c:pt>
                <c:pt idx="203">
                  <c:v>20</c:v>
                </c:pt>
                <c:pt idx="204">
                  <c:v>13</c:v>
                </c:pt>
                <c:pt idx="205">
                  <c:v>9</c:v>
                </c:pt>
                <c:pt idx="206">
                  <c:v>19</c:v>
                </c:pt>
                <c:pt idx="207">
                  <c:v>25</c:v>
                </c:pt>
                <c:pt idx="208">
                  <c:v>3</c:v>
                </c:pt>
                <c:pt idx="209">
                  <c:v>12</c:v>
                </c:pt>
                <c:pt idx="210">
                  <c:v>7</c:v>
                </c:pt>
                <c:pt idx="211">
                  <c:v>1</c:v>
                </c:pt>
                <c:pt idx="212">
                  <c:v>5</c:v>
                </c:pt>
                <c:pt idx="213">
                  <c:v>24</c:v>
                </c:pt>
                <c:pt idx="214">
                  <c:v>10</c:v>
                </c:pt>
                <c:pt idx="215">
                  <c:v>7</c:v>
                </c:pt>
                <c:pt idx="216">
                  <c:v>15</c:v>
                </c:pt>
                <c:pt idx="217">
                  <c:v>18</c:v>
                </c:pt>
                <c:pt idx="218">
                  <c:v>12</c:v>
                </c:pt>
                <c:pt idx="219">
                  <c:v>20</c:v>
                </c:pt>
                <c:pt idx="220">
                  <c:v>16</c:v>
                </c:pt>
                <c:pt idx="221">
                  <c:v>23</c:v>
                </c:pt>
                <c:pt idx="222">
                  <c:v>2</c:v>
                </c:pt>
                <c:pt idx="223">
                  <c:v>17</c:v>
                </c:pt>
                <c:pt idx="224">
                  <c:v>21</c:v>
                </c:pt>
                <c:pt idx="225">
                  <c:v>4</c:v>
                </c:pt>
                <c:pt idx="226">
                  <c:v>17</c:v>
                </c:pt>
                <c:pt idx="227">
                  <c:v>5</c:v>
                </c:pt>
                <c:pt idx="228">
                  <c:v>15</c:v>
                </c:pt>
                <c:pt idx="229">
                  <c:v>21</c:v>
                </c:pt>
                <c:pt idx="230">
                  <c:v>7</c:v>
                </c:pt>
                <c:pt idx="231">
                  <c:v>11</c:v>
                </c:pt>
                <c:pt idx="232">
                  <c:v>15</c:v>
                </c:pt>
                <c:pt idx="233">
                  <c:v>7</c:v>
                </c:pt>
                <c:pt idx="234">
                  <c:v>24</c:v>
                </c:pt>
                <c:pt idx="235">
                  <c:v>5</c:v>
                </c:pt>
                <c:pt idx="236">
                  <c:v>21</c:v>
                </c:pt>
                <c:pt idx="237">
                  <c:v>18</c:v>
                </c:pt>
                <c:pt idx="238">
                  <c:v>14</c:v>
                </c:pt>
                <c:pt idx="239">
                  <c:v>22</c:v>
                </c:pt>
                <c:pt idx="240">
                  <c:v>14</c:v>
                </c:pt>
                <c:pt idx="241">
                  <c:v>21</c:v>
                </c:pt>
                <c:pt idx="242">
                  <c:v>5</c:v>
                </c:pt>
                <c:pt idx="243">
                  <c:v>7</c:v>
                </c:pt>
                <c:pt idx="244">
                  <c:v>17</c:v>
                </c:pt>
                <c:pt idx="245">
                  <c:v>4</c:v>
                </c:pt>
                <c:pt idx="246">
                  <c:v>2</c:v>
                </c:pt>
                <c:pt idx="247">
                  <c:v>22</c:v>
                </c:pt>
                <c:pt idx="248">
                  <c:v>9</c:v>
                </c:pt>
                <c:pt idx="249">
                  <c:v>20</c:v>
                </c:pt>
                <c:pt idx="250">
                  <c:v>19</c:v>
                </c:pt>
                <c:pt idx="251">
                  <c:v>6</c:v>
                </c:pt>
                <c:pt idx="252">
                  <c:v>33</c:v>
                </c:pt>
                <c:pt idx="253">
                  <c:v>4</c:v>
                </c:pt>
                <c:pt idx="254">
                  <c:v>6</c:v>
                </c:pt>
                <c:pt idx="255">
                  <c:v>15</c:v>
                </c:pt>
                <c:pt idx="256">
                  <c:v>24</c:v>
                </c:pt>
                <c:pt idx="257">
                  <c:v>27</c:v>
                </c:pt>
                <c:pt idx="258">
                  <c:v>5</c:v>
                </c:pt>
                <c:pt idx="259">
                  <c:v>15</c:v>
                </c:pt>
                <c:pt idx="260">
                  <c:v>25</c:v>
                </c:pt>
                <c:pt idx="261">
                  <c:v>18</c:v>
                </c:pt>
                <c:pt idx="262">
                  <c:v>13</c:v>
                </c:pt>
                <c:pt idx="263">
                  <c:v>6</c:v>
                </c:pt>
                <c:pt idx="264">
                  <c:v>14</c:v>
                </c:pt>
                <c:pt idx="265">
                  <c:v>11</c:v>
                </c:pt>
                <c:pt idx="266">
                  <c:v>13</c:v>
                </c:pt>
                <c:pt idx="267">
                  <c:v>9</c:v>
                </c:pt>
                <c:pt idx="268">
                  <c:v>14</c:v>
                </c:pt>
                <c:pt idx="269">
                  <c:v>6</c:v>
                </c:pt>
                <c:pt idx="270">
                  <c:v>12</c:v>
                </c:pt>
                <c:pt idx="271">
                  <c:v>10</c:v>
                </c:pt>
                <c:pt idx="272">
                  <c:v>5</c:v>
                </c:pt>
                <c:pt idx="273">
                  <c:v>9</c:v>
                </c:pt>
                <c:pt idx="274">
                  <c:v>20</c:v>
                </c:pt>
                <c:pt idx="275">
                  <c:v>7</c:v>
                </c:pt>
                <c:pt idx="276">
                  <c:v>11</c:v>
                </c:pt>
                <c:pt idx="277">
                  <c:v>12</c:v>
                </c:pt>
                <c:pt idx="278">
                  <c:v>9</c:v>
                </c:pt>
                <c:pt idx="279">
                  <c:v>19</c:v>
                </c:pt>
                <c:pt idx="280">
                  <c:v>17</c:v>
                </c:pt>
                <c:pt idx="281">
                  <c:v>21</c:v>
                </c:pt>
                <c:pt idx="282">
                  <c:v>10</c:v>
                </c:pt>
                <c:pt idx="283">
                  <c:v>7</c:v>
                </c:pt>
                <c:pt idx="284">
                  <c:v>2</c:v>
                </c:pt>
                <c:pt idx="285">
                  <c:v>9</c:v>
                </c:pt>
                <c:pt idx="286">
                  <c:v>4</c:v>
                </c:pt>
                <c:pt idx="287">
                  <c:v>3</c:v>
                </c:pt>
                <c:pt idx="288">
                  <c:v>7</c:v>
                </c:pt>
                <c:pt idx="289">
                  <c:v>3</c:v>
                </c:pt>
                <c:pt idx="290">
                  <c:v>5</c:v>
                </c:pt>
                <c:pt idx="291">
                  <c:v>9</c:v>
                </c:pt>
                <c:pt idx="292">
                  <c:v>6</c:v>
                </c:pt>
                <c:pt idx="293">
                  <c:v>9</c:v>
                </c:pt>
                <c:pt idx="294">
                  <c:v>13</c:v>
                </c:pt>
                <c:pt idx="295">
                  <c:v>5</c:v>
                </c:pt>
                <c:pt idx="296">
                  <c:v>8</c:v>
                </c:pt>
                <c:pt idx="297">
                  <c:v>4</c:v>
                </c:pt>
                <c:pt idx="298">
                  <c:v>29</c:v>
                </c:pt>
                <c:pt idx="299">
                  <c:v>12</c:v>
                </c:pt>
                <c:pt idx="300">
                  <c:v>6</c:v>
                </c:pt>
                <c:pt idx="301">
                  <c:v>11</c:v>
                </c:pt>
                <c:pt idx="302">
                  <c:v>3</c:v>
                </c:pt>
                <c:pt idx="303">
                  <c:v>13</c:v>
                </c:pt>
                <c:pt idx="304">
                  <c:v>2</c:v>
                </c:pt>
                <c:pt idx="305">
                  <c:v>18</c:v>
                </c:pt>
                <c:pt idx="306">
                  <c:v>5</c:v>
                </c:pt>
                <c:pt idx="307">
                  <c:v>13</c:v>
                </c:pt>
                <c:pt idx="308">
                  <c:v>12</c:v>
                </c:pt>
                <c:pt idx="309">
                  <c:v>17</c:v>
                </c:pt>
                <c:pt idx="310">
                  <c:v>11</c:v>
                </c:pt>
                <c:pt idx="311">
                  <c:v>31</c:v>
                </c:pt>
                <c:pt idx="312">
                  <c:v>7</c:v>
                </c:pt>
                <c:pt idx="313">
                  <c:v>15</c:v>
                </c:pt>
                <c:pt idx="314">
                  <c:v>12</c:v>
                </c:pt>
                <c:pt idx="315">
                  <c:v>4</c:v>
                </c:pt>
                <c:pt idx="316">
                  <c:v>8</c:v>
                </c:pt>
                <c:pt idx="317">
                  <c:v>13</c:v>
                </c:pt>
                <c:pt idx="318">
                  <c:v>16</c:v>
                </c:pt>
                <c:pt idx="319">
                  <c:v>8</c:v>
                </c:pt>
                <c:pt idx="320">
                  <c:v>35</c:v>
                </c:pt>
                <c:pt idx="321">
                  <c:v>15</c:v>
                </c:pt>
                <c:pt idx="322">
                  <c:v>16</c:v>
                </c:pt>
                <c:pt idx="323">
                  <c:v>18</c:v>
                </c:pt>
                <c:pt idx="324">
                  <c:v>10</c:v>
                </c:pt>
                <c:pt idx="325">
                  <c:v>45</c:v>
                </c:pt>
                <c:pt idx="326">
                  <c:v>8</c:v>
                </c:pt>
                <c:pt idx="327">
                  <c:v>17</c:v>
                </c:pt>
                <c:pt idx="328">
                  <c:v>9</c:v>
                </c:pt>
                <c:pt idx="329">
                  <c:v>9</c:v>
                </c:pt>
                <c:pt idx="330">
                  <c:v>13</c:v>
                </c:pt>
                <c:pt idx="331">
                  <c:v>9</c:v>
                </c:pt>
                <c:pt idx="332">
                  <c:v>12</c:v>
                </c:pt>
                <c:pt idx="333">
                  <c:v>6</c:v>
                </c:pt>
                <c:pt idx="334">
                  <c:v>5</c:v>
                </c:pt>
                <c:pt idx="335">
                  <c:v>21</c:v>
                </c:pt>
                <c:pt idx="336">
                  <c:v>4</c:v>
                </c:pt>
                <c:pt idx="337">
                  <c:v>36</c:v>
                </c:pt>
                <c:pt idx="338">
                  <c:v>10</c:v>
                </c:pt>
              </c:numCache>
            </c:numRef>
          </c:val>
          <c:extLst>
            <c:ext xmlns:c16="http://schemas.microsoft.com/office/drawing/2014/chart" uri="{C3380CC4-5D6E-409C-BE32-E72D297353CC}">
              <c16:uniqueId val="{00000000-7BF2-4F89-96A6-1604BF8DF16D}"/>
            </c:ext>
          </c:extLst>
        </c:ser>
        <c:ser>
          <c:idx val="1"/>
          <c:order val="1"/>
          <c:tx>
            <c:strRef>
              <c:f>'Pivot Table'!$O$9</c:f>
              <c:strCache>
                <c:ptCount val="1"/>
                <c:pt idx="0">
                  <c:v>Sum of Total Transaksi</c:v>
                </c:pt>
              </c:strCache>
            </c:strRef>
          </c:tx>
          <c:spPr>
            <a:solidFill>
              <a:schemeClr val="accent2"/>
            </a:solidFill>
            <a:ln>
              <a:noFill/>
            </a:ln>
            <a:effectLst/>
          </c:spPr>
          <c:invertIfNegative val="0"/>
          <c:cat>
            <c:multiLvlStrRef>
              <c:f>'Pivot Table'!$M$10:$M$361</c:f>
              <c:multiLvlStrCache>
                <c:ptCount val="339"/>
                <c:lvl>
                  <c:pt idx="0">
                    <c:v>01/01/2024</c:v>
                  </c:pt>
                  <c:pt idx="1">
                    <c:v>02/01/2024</c:v>
                  </c:pt>
                  <c:pt idx="2">
                    <c:v>03/01/2024</c:v>
                  </c:pt>
                  <c:pt idx="3">
                    <c:v>04/01/2024</c:v>
                  </c:pt>
                  <c:pt idx="4">
                    <c:v>05/01/2024</c:v>
                  </c:pt>
                  <c:pt idx="5">
                    <c:v>06/01/2024</c:v>
                  </c:pt>
                  <c:pt idx="6">
                    <c:v>08/01/2024</c:v>
                  </c:pt>
                  <c:pt idx="7">
                    <c:v>09/01/2024</c:v>
                  </c:pt>
                  <c:pt idx="8">
                    <c:v>10/01/2024</c:v>
                  </c:pt>
                  <c:pt idx="9">
                    <c:v>11/01/2024</c:v>
                  </c:pt>
                  <c:pt idx="10">
                    <c:v>12/01/2024</c:v>
                  </c:pt>
                  <c:pt idx="11">
                    <c:v>14/01/2024</c:v>
                  </c:pt>
                  <c:pt idx="12">
                    <c:v>15/01/2024</c:v>
                  </c:pt>
                  <c:pt idx="13">
                    <c:v>16/01/2024</c:v>
                  </c:pt>
                  <c:pt idx="14">
                    <c:v>17/01/2024</c:v>
                  </c:pt>
                  <c:pt idx="15">
                    <c:v>18/01/2024</c:v>
                  </c:pt>
                  <c:pt idx="16">
                    <c:v>19/01/2024</c:v>
                  </c:pt>
                  <c:pt idx="17">
                    <c:v>21/01/2024</c:v>
                  </c:pt>
                  <c:pt idx="18">
                    <c:v>22/01/2024</c:v>
                  </c:pt>
                  <c:pt idx="19">
                    <c:v>23/01/2024</c:v>
                  </c:pt>
                  <c:pt idx="20">
                    <c:v>24/01/2024</c:v>
                  </c:pt>
                  <c:pt idx="21">
                    <c:v>25/01/2024</c:v>
                  </c:pt>
                  <c:pt idx="22">
                    <c:v>26/01/2024</c:v>
                  </c:pt>
                  <c:pt idx="23">
                    <c:v>28/01/2024</c:v>
                  </c:pt>
                  <c:pt idx="24">
                    <c:v>29/01/2024</c:v>
                  </c:pt>
                  <c:pt idx="25">
                    <c:v>30/01/2024</c:v>
                  </c:pt>
                  <c:pt idx="26">
                    <c:v>31/01/2024</c:v>
                  </c:pt>
                  <c:pt idx="27">
                    <c:v>01/02/2024</c:v>
                  </c:pt>
                  <c:pt idx="28">
                    <c:v>02/02/2024</c:v>
                  </c:pt>
                  <c:pt idx="29">
                    <c:v>03/02/2024</c:v>
                  </c:pt>
                  <c:pt idx="30">
                    <c:v>04/02/2024</c:v>
                  </c:pt>
                  <c:pt idx="31">
                    <c:v>05/02/2024</c:v>
                  </c:pt>
                  <c:pt idx="32">
                    <c:v>06/02/2024</c:v>
                  </c:pt>
                  <c:pt idx="33">
                    <c:v>07/02/2024</c:v>
                  </c:pt>
                  <c:pt idx="34">
                    <c:v>08/02/2024</c:v>
                  </c:pt>
                  <c:pt idx="35">
                    <c:v>09/02/2024</c:v>
                  </c:pt>
                  <c:pt idx="36">
                    <c:v>10/02/2024</c:v>
                  </c:pt>
                  <c:pt idx="37">
                    <c:v>11/02/2024</c:v>
                  </c:pt>
                  <c:pt idx="38">
                    <c:v>12/02/2024</c:v>
                  </c:pt>
                  <c:pt idx="39">
                    <c:v>13/02/2024</c:v>
                  </c:pt>
                  <c:pt idx="40">
                    <c:v>14/02/2024</c:v>
                  </c:pt>
                  <c:pt idx="41">
                    <c:v>16/02/2024</c:v>
                  </c:pt>
                  <c:pt idx="42">
                    <c:v>17/02/2024</c:v>
                  </c:pt>
                  <c:pt idx="43">
                    <c:v>18/02/2024</c:v>
                  </c:pt>
                  <c:pt idx="44">
                    <c:v>19/02/2024</c:v>
                  </c:pt>
                  <c:pt idx="45">
                    <c:v>20/02/2024</c:v>
                  </c:pt>
                  <c:pt idx="46">
                    <c:v>21/02/2024</c:v>
                  </c:pt>
                  <c:pt idx="47">
                    <c:v>22/02/2024</c:v>
                  </c:pt>
                  <c:pt idx="48">
                    <c:v>23/02/2024</c:v>
                  </c:pt>
                  <c:pt idx="49">
                    <c:v>24/02/2024</c:v>
                  </c:pt>
                  <c:pt idx="50">
                    <c:v>25/02/2024</c:v>
                  </c:pt>
                  <c:pt idx="51">
                    <c:v>26/02/2024</c:v>
                  </c:pt>
                  <c:pt idx="52">
                    <c:v>27/02/2024</c:v>
                  </c:pt>
                  <c:pt idx="53">
                    <c:v>28/02/2024</c:v>
                  </c:pt>
                  <c:pt idx="54">
                    <c:v>29/02/2024</c:v>
                  </c:pt>
                  <c:pt idx="55">
                    <c:v>01/03/2024</c:v>
                  </c:pt>
                  <c:pt idx="56">
                    <c:v>02/03/2024</c:v>
                  </c:pt>
                  <c:pt idx="57">
                    <c:v>03/03/2024</c:v>
                  </c:pt>
                  <c:pt idx="58">
                    <c:v>04/03/2024</c:v>
                  </c:pt>
                  <c:pt idx="59">
                    <c:v>05/03/2024</c:v>
                  </c:pt>
                  <c:pt idx="60">
                    <c:v>06/03/2024</c:v>
                  </c:pt>
                  <c:pt idx="61">
                    <c:v>07/03/2024</c:v>
                  </c:pt>
                  <c:pt idx="62">
                    <c:v>08/03/2024</c:v>
                  </c:pt>
                  <c:pt idx="63">
                    <c:v>09/03/2024</c:v>
                  </c:pt>
                  <c:pt idx="64">
                    <c:v>11/03/2024</c:v>
                  </c:pt>
                  <c:pt idx="65">
                    <c:v>12/03/2024</c:v>
                  </c:pt>
                  <c:pt idx="66">
                    <c:v>13/03/2024</c:v>
                  </c:pt>
                  <c:pt idx="67">
                    <c:v>14/03/2024</c:v>
                  </c:pt>
                  <c:pt idx="68">
                    <c:v>15/03/2024</c:v>
                  </c:pt>
                  <c:pt idx="69">
                    <c:v>16/03/2024</c:v>
                  </c:pt>
                  <c:pt idx="70">
                    <c:v>17/03/2024</c:v>
                  </c:pt>
                  <c:pt idx="71">
                    <c:v>19/03/2024</c:v>
                  </c:pt>
                  <c:pt idx="72">
                    <c:v>20/03/2024</c:v>
                  </c:pt>
                  <c:pt idx="73">
                    <c:v>21/03/2024</c:v>
                  </c:pt>
                  <c:pt idx="74">
                    <c:v>22/03/2024</c:v>
                  </c:pt>
                  <c:pt idx="75">
                    <c:v>23/03/2024</c:v>
                  </c:pt>
                  <c:pt idx="76">
                    <c:v>24/03/2024</c:v>
                  </c:pt>
                  <c:pt idx="77">
                    <c:v>25/03/2024</c:v>
                  </c:pt>
                  <c:pt idx="78">
                    <c:v>26/03/2024</c:v>
                  </c:pt>
                  <c:pt idx="79">
                    <c:v>27/03/2024</c:v>
                  </c:pt>
                  <c:pt idx="80">
                    <c:v>28/03/2024</c:v>
                  </c:pt>
                  <c:pt idx="81">
                    <c:v>29/03/2024</c:v>
                  </c:pt>
                  <c:pt idx="82">
                    <c:v>30/03/2024</c:v>
                  </c:pt>
                  <c:pt idx="83">
                    <c:v>31/03/2024</c:v>
                  </c:pt>
                  <c:pt idx="84">
                    <c:v>01/04/2024</c:v>
                  </c:pt>
                  <c:pt idx="85">
                    <c:v>02/04/2024</c:v>
                  </c:pt>
                  <c:pt idx="86">
                    <c:v>04/04/2024</c:v>
                  </c:pt>
                  <c:pt idx="87">
                    <c:v>06/04/2024</c:v>
                  </c:pt>
                  <c:pt idx="88">
                    <c:v>07/04/2024</c:v>
                  </c:pt>
                  <c:pt idx="89">
                    <c:v>08/04/2024</c:v>
                  </c:pt>
                  <c:pt idx="90">
                    <c:v>09/04/2024</c:v>
                  </c:pt>
                  <c:pt idx="91">
                    <c:v>10/04/2024</c:v>
                  </c:pt>
                  <c:pt idx="92">
                    <c:v>11/04/2024</c:v>
                  </c:pt>
                  <c:pt idx="93">
                    <c:v>12/04/2024</c:v>
                  </c:pt>
                  <c:pt idx="94">
                    <c:v>13/04/2024</c:v>
                  </c:pt>
                  <c:pt idx="95">
                    <c:v>14/04/2024</c:v>
                  </c:pt>
                  <c:pt idx="96">
                    <c:v>15/04/2024</c:v>
                  </c:pt>
                  <c:pt idx="97">
                    <c:v>16/04/2024</c:v>
                  </c:pt>
                  <c:pt idx="98">
                    <c:v>17/04/2024</c:v>
                  </c:pt>
                  <c:pt idx="99">
                    <c:v>18/04/2024</c:v>
                  </c:pt>
                  <c:pt idx="100">
                    <c:v>19/04/2024</c:v>
                  </c:pt>
                  <c:pt idx="101">
                    <c:v>20/04/2024</c:v>
                  </c:pt>
                  <c:pt idx="102">
                    <c:v>21/04/2024</c:v>
                  </c:pt>
                  <c:pt idx="103">
                    <c:v>22/04/2024</c:v>
                  </c:pt>
                  <c:pt idx="104">
                    <c:v>23/04/2024</c:v>
                  </c:pt>
                  <c:pt idx="105">
                    <c:v>24/04/2024</c:v>
                  </c:pt>
                  <c:pt idx="106">
                    <c:v>25/04/2024</c:v>
                  </c:pt>
                  <c:pt idx="107">
                    <c:v>26/04/2024</c:v>
                  </c:pt>
                  <c:pt idx="108">
                    <c:v>27/04/2024</c:v>
                  </c:pt>
                  <c:pt idx="109">
                    <c:v>28/04/2024</c:v>
                  </c:pt>
                  <c:pt idx="110">
                    <c:v>29/04/2024</c:v>
                  </c:pt>
                  <c:pt idx="111">
                    <c:v>30/04/2024</c:v>
                  </c:pt>
                  <c:pt idx="112">
                    <c:v>01/05/2024</c:v>
                  </c:pt>
                  <c:pt idx="113">
                    <c:v>02/05/2024</c:v>
                  </c:pt>
                  <c:pt idx="114">
                    <c:v>03/05/2024</c:v>
                  </c:pt>
                  <c:pt idx="115">
                    <c:v>04/05/2024</c:v>
                  </c:pt>
                  <c:pt idx="116">
                    <c:v>05/05/2024</c:v>
                  </c:pt>
                  <c:pt idx="117">
                    <c:v>06/05/2024</c:v>
                  </c:pt>
                  <c:pt idx="118">
                    <c:v>07/05/2024</c:v>
                  </c:pt>
                  <c:pt idx="119">
                    <c:v>08/05/2024</c:v>
                  </c:pt>
                  <c:pt idx="120">
                    <c:v>09/05/2024</c:v>
                  </c:pt>
                  <c:pt idx="121">
                    <c:v>10/05/2024</c:v>
                  </c:pt>
                  <c:pt idx="122">
                    <c:v>11/05/2024</c:v>
                  </c:pt>
                  <c:pt idx="123">
                    <c:v>12/05/2024</c:v>
                  </c:pt>
                  <c:pt idx="124">
                    <c:v>13/05/2024</c:v>
                  </c:pt>
                  <c:pt idx="125">
                    <c:v>14/05/2024</c:v>
                  </c:pt>
                  <c:pt idx="126">
                    <c:v>15/05/2024</c:v>
                  </c:pt>
                  <c:pt idx="127">
                    <c:v>16/05/2024</c:v>
                  </c:pt>
                  <c:pt idx="128">
                    <c:v>17/05/2024</c:v>
                  </c:pt>
                  <c:pt idx="129">
                    <c:v>18/05/2024</c:v>
                  </c:pt>
                  <c:pt idx="130">
                    <c:v>19/05/2024</c:v>
                  </c:pt>
                  <c:pt idx="131">
                    <c:v>20/05/2024</c:v>
                  </c:pt>
                  <c:pt idx="132">
                    <c:v>21/05/2024</c:v>
                  </c:pt>
                  <c:pt idx="133">
                    <c:v>22/05/2024</c:v>
                  </c:pt>
                  <c:pt idx="134">
                    <c:v>23/05/2024</c:v>
                  </c:pt>
                  <c:pt idx="135">
                    <c:v>24/05/2024</c:v>
                  </c:pt>
                  <c:pt idx="136">
                    <c:v>25/05/2024</c:v>
                  </c:pt>
                  <c:pt idx="137">
                    <c:v>26/05/2024</c:v>
                  </c:pt>
                  <c:pt idx="138">
                    <c:v>27/05/2024</c:v>
                  </c:pt>
                  <c:pt idx="139">
                    <c:v>28/05/2024</c:v>
                  </c:pt>
                  <c:pt idx="140">
                    <c:v>29/05/2024</c:v>
                  </c:pt>
                  <c:pt idx="141">
                    <c:v>30/05/2024</c:v>
                  </c:pt>
                  <c:pt idx="142">
                    <c:v>31/05/2024</c:v>
                  </c:pt>
                  <c:pt idx="143">
                    <c:v>01/06/2024</c:v>
                  </c:pt>
                  <c:pt idx="144">
                    <c:v>02/06/2024</c:v>
                  </c:pt>
                  <c:pt idx="145">
                    <c:v>03/06/2024</c:v>
                  </c:pt>
                  <c:pt idx="146">
                    <c:v>04/06/2024</c:v>
                  </c:pt>
                  <c:pt idx="147">
                    <c:v>05/06/2024</c:v>
                  </c:pt>
                  <c:pt idx="148">
                    <c:v>06/06/2024</c:v>
                  </c:pt>
                  <c:pt idx="149">
                    <c:v>07/06/2024</c:v>
                  </c:pt>
                  <c:pt idx="150">
                    <c:v>08/06/2024</c:v>
                  </c:pt>
                  <c:pt idx="151">
                    <c:v>09/06/2024</c:v>
                  </c:pt>
                  <c:pt idx="152">
                    <c:v>11/06/2024</c:v>
                  </c:pt>
                  <c:pt idx="153">
                    <c:v>12/06/2024</c:v>
                  </c:pt>
                  <c:pt idx="154">
                    <c:v>14/06/2024</c:v>
                  </c:pt>
                  <c:pt idx="155">
                    <c:v>15/06/2024</c:v>
                  </c:pt>
                  <c:pt idx="156">
                    <c:v>16/06/2024</c:v>
                  </c:pt>
                  <c:pt idx="157">
                    <c:v>17/06/2024</c:v>
                  </c:pt>
                  <c:pt idx="158">
                    <c:v>18/06/2024</c:v>
                  </c:pt>
                  <c:pt idx="159">
                    <c:v>19/06/2024</c:v>
                  </c:pt>
                  <c:pt idx="160">
                    <c:v>20/06/2024</c:v>
                  </c:pt>
                  <c:pt idx="161">
                    <c:v>21/06/2024</c:v>
                  </c:pt>
                  <c:pt idx="162">
                    <c:v>22/06/2024</c:v>
                  </c:pt>
                  <c:pt idx="163">
                    <c:v>23/06/2024</c:v>
                  </c:pt>
                  <c:pt idx="164">
                    <c:v>24/06/2024</c:v>
                  </c:pt>
                  <c:pt idx="165">
                    <c:v>25/06/2024</c:v>
                  </c:pt>
                  <c:pt idx="166">
                    <c:v>26/06/2024</c:v>
                  </c:pt>
                  <c:pt idx="167">
                    <c:v>27/06/2024</c:v>
                  </c:pt>
                  <c:pt idx="168">
                    <c:v>28/06/2024</c:v>
                  </c:pt>
                  <c:pt idx="169">
                    <c:v>29/06/2024</c:v>
                  </c:pt>
                  <c:pt idx="170">
                    <c:v>30/06/2024</c:v>
                  </c:pt>
                  <c:pt idx="171">
                    <c:v>01/07/2024</c:v>
                  </c:pt>
                  <c:pt idx="172">
                    <c:v>02/07/2024</c:v>
                  </c:pt>
                  <c:pt idx="173">
                    <c:v>03/07/2024</c:v>
                  </c:pt>
                  <c:pt idx="174">
                    <c:v>04/07/2024</c:v>
                  </c:pt>
                  <c:pt idx="175">
                    <c:v>05/07/2024</c:v>
                  </c:pt>
                  <c:pt idx="176">
                    <c:v>07/07/2024</c:v>
                  </c:pt>
                  <c:pt idx="177">
                    <c:v>08/07/2024</c:v>
                  </c:pt>
                  <c:pt idx="178">
                    <c:v>09/07/2024</c:v>
                  </c:pt>
                  <c:pt idx="179">
                    <c:v>10/07/2024</c:v>
                  </c:pt>
                  <c:pt idx="180">
                    <c:v>11/07/2024</c:v>
                  </c:pt>
                  <c:pt idx="181">
                    <c:v>12/07/2024</c:v>
                  </c:pt>
                  <c:pt idx="182">
                    <c:v>13/07/2024</c:v>
                  </c:pt>
                  <c:pt idx="183">
                    <c:v>15/07/2024</c:v>
                  </c:pt>
                  <c:pt idx="184">
                    <c:v>16/07/2024</c:v>
                  </c:pt>
                  <c:pt idx="185">
                    <c:v>17/07/2024</c:v>
                  </c:pt>
                  <c:pt idx="186">
                    <c:v>18/07/2024</c:v>
                  </c:pt>
                  <c:pt idx="187">
                    <c:v>19/07/2024</c:v>
                  </c:pt>
                  <c:pt idx="188">
                    <c:v>20/07/2024</c:v>
                  </c:pt>
                  <c:pt idx="189">
                    <c:v>21/07/2024</c:v>
                  </c:pt>
                  <c:pt idx="190">
                    <c:v>22/07/2024</c:v>
                  </c:pt>
                  <c:pt idx="191">
                    <c:v>23/07/2024</c:v>
                  </c:pt>
                  <c:pt idx="192">
                    <c:v>24/07/2024</c:v>
                  </c:pt>
                  <c:pt idx="193">
                    <c:v>25/07/2024</c:v>
                  </c:pt>
                  <c:pt idx="194">
                    <c:v>26/07/2024</c:v>
                  </c:pt>
                  <c:pt idx="195">
                    <c:v>27/07/2024</c:v>
                  </c:pt>
                  <c:pt idx="196">
                    <c:v>28/07/2024</c:v>
                  </c:pt>
                  <c:pt idx="197">
                    <c:v>29/07/2024</c:v>
                  </c:pt>
                  <c:pt idx="198">
                    <c:v>30/07/2024</c:v>
                  </c:pt>
                  <c:pt idx="199">
                    <c:v>31/07/2024</c:v>
                  </c:pt>
                  <c:pt idx="200">
                    <c:v>02/08/2024</c:v>
                  </c:pt>
                  <c:pt idx="201">
                    <c:v>03/08/2024</c:v>
                  </c:pt>
                  <c:pt idx="202">
                    <c:v>04/08/2024</c:v>
                  </c:pt>
                  <c:pt idx="203">
                    <c:v>05/08/2024</c:v>
                  </c:pt>
                  <c:pt idx="204">
                    <c:v>06/08/2024</c:v>
                  </c:pt>
                  <c:pt idx="205">
                    <c:v>07/08/2024</c:v>
                  </c:pt>
                  <c:pt idx="206">
                    <c:v>08/08/2024</c:v>
                  </c:pt>
                  <c:pt idx="207">
                    <c:v>09/08/2024</c:v>
                  </c:pt>
                  <c:pt idx="208">
                    <c:v>10/08/2024</c:v>
                  </c:pt>
                  <c:pt idx="209">
                    <c:v>11/08/2024</c:v>
                  </c:pt>
                  <c:pt idx="210">
                    <c:v>12/08/2024</c:v>
                  </c:pt>
                  <c:pt idx="211">
                    <c:v>13/08/2024</c:v>
                  </c:pt>
                  <c:pt idx="212">
                    <c:v>14/08/2024</c:v>
                  </c:pt>
                  <c:pt idx="213">
                    <c:v>15/08/2024</c:v>
                  </c:pt>
                  <c:pt idx="214">
                    <c:v>16/08/2024</c:v>
                  </c:pt>
                  <c:pt idx="215">
                    <c:v>17/08/2024</c:v>
                  </c:pt>
                  <c:pt idx="216">
                    <c:v>18/08/2024</c:v>
                  </c:pt>
                  <c:pt idx="217">
                    <c:v>19/08/2024</c:v>
                  </c:pt>
                  <c:pt idx="218">
                    <c:v>20/08/2024</c:v>
                  </c:pt>
                  <c:pt idx="219">
                    <c:v>21/08/2024</c:v>
                  </c:pt>
                  <c:pt idx="220">
                    <c:v>22/08/2024</c:v>
                  </c:pt>
                  <c:pt idx="221">
                    <c:v>23/08/2024</c:v>
                  </c:pt>
                  <c:pt idx="222">
                    <c:v>24/08/2024</c:v>
                  </c:pt>
                  <c:pt idx="223">
                    <c:v>25/08/2024</c:v>
                  </c:pt>
                  <c:pt idx="224">
                    <c:v>26/08/2024</c:v>
                  </c:pt>
                  <c:pt idx="225">
                    <c:v>27/08/2024</c:v>
                  </c:pt>
                  <c:pt idx="226">
                    <c:v>28/08/2024</c:v>
                  </c:pt>
                  <c:pt idx="227">
                    <c:v>29/08/2024</c:v>
                  </c:pt>
                  <c:pt idx="228">
                    <c:v>30/08/2024</c:v>
                  </c:pt>
                  <c:pt idx="229">
                    <c:v>31/08/2024</c:v>
                  </c:pt>
                  <c:pt idx="230">
                    <c:v>02/09/2024</c:v>
                  </c:pt>
                  <c:pt idx="231">
                    <c:v>03/09/2024</c:v>
                  </c:pt>
                  <c:pt idx="232">
                    <c:v>04/09/2024</c:v>
                  </c:pt>
                  <c:pt idx="233">
                    <c:v>05/09/2024</c:v>
                  </c:pt>
                  <c:pt idx="234">
                    <c:v>06/09/2024</c:v>
                  </c:pt>
                  <c:pt idx="235">
                    <c:v>07/09/2024</c:v>
                  </c:pt>
                  <c:pt idx="236">
                    <c:v>08/09/2024</c:v>
                  </c:pt>
                  <c:pt idx="237">
                    <c:v>09/09/2024</c:v>
                  </c:pt>
                  <c:pt idx="238">
                    <c:v>10/09/2024</c:v>
                  </c:pt>
                  <c:pt idx="239">
                    <c:v>11/09/2024</c:v>
                  </c:pt>
                  <c:pt idx="240">
                    <c:v>12/09/2024</c:v>
                  </c:pt>
                  <c:pt idx="241">
                    <c:v>13/09/2024</c:v>
                  </c:pt>
                  <c:pt idx="242">
                    <c:v>15/09/2024</c:v>
                  </c:pt>
                  <c:pt idx="243">
                    <c:v>16/09/2024</c:v>
                  </c:pt>
                  <c:pt idx="244">
                    <c:v>17/09/2024</c:v>
                  </c:pt>
                  <c:pt idx="245">
                    <c:v>19/09/2024</c:v>
                  </c:pt>
                  <c:pt idx="246">
                    <c:v>21/09/2024</c:v>
                  </c:pt>
                  <c:pt idx="247">
                    <c:v>22/09/2024</c:v>
                  </c:pt>
                  <c:pt idx="248">
                    <c:v>23/09/2024</c:v>
                  </c:pt>
                  <c:pt idx="249">
                    <c:v>24/09/2024</c:v>
                  </c:pt>
                  <c:pt idx="250">
                    <c:v>25/09/2024</c:v>
                  </c:pt>
                  <c:pt idx="251">
                    <c:v>26/09/2024</c:v>
                  </c:pt>
                  <c:pt idx="252">
                    <c:v>27/09/2024</c:v>
                  </c:pt>
                  <c:pt idx="253">
                    <c:v>28/09/2024</c:v>
                  </c:pt>
                  <c:pt idx="254">
                    <c:v>29/09/2024</c:v>
                  </c:pt>
                  <c:pt idx="255">
                    <c:v>30/09/2024</c:v>
                  </c:pt>
                  <c:pt idx="256">
                    <c:v>01/10/2024</c:v>
                  </c:pt>
                  <c:pt idx="257">
                    <c:v>02/10/2024</c:v>
                  </c:pt>
                  <c:pt idx="258">
                    <c:v>03/10/2024</c:v>
                  </c:pt>
                  <c:pt idx="259">
                    <c:v>04/10/2024</c:v>
                  </c:pt>
                  <c:pt idx="260">
                    <c:v>05/10/2024</c:v>
                  </c:pt>
                  <c:pt idx="261">
                    <c:v>07/10/2024</c:v>
                  </c:pt>
                  <c:pt idx="262">
                    <c:v>08/10/2024</c:v>
                  </c:pt>
                  <c:pt idx="263">
                    <c:v>09/10/2024</c:v>
                  </c:pt>
                  <c:pt idx="264">
                    <c:v>10/10/2024</c:v>
                  </c:pt>
                  <c:pt idx="265">
                    <c:v>12/10/2024</c:v>
                  </c:pt>
                  <c:pt idx="266">
                    <c:v>13/10/2024</c:v>
                  </c:pt>
                  <c:pt idx="267">
                    <c:v>14/10/2024</c:v>
                  </c:pt>
                  <c:pt idx="268">
                    <c:v>15/10/2024</c:v>
                  </c:pt>
                  <c:pt idx="269">
                    <c:v>16/10/2024</c:v>
                  </c:pt>
                  <c:pt idx="270">
                    <c:v>17/10/2024</c:v>
                  </c:pt>
                  <c:pt idx="271">
                    <c:v>18/10/2024</c:v>
                  </c:pt>
                  <c:pt idx="272">
                    <c:v>19/10/2024</c:v>
                  </c:pt>
                  <c:pt idx="273">
                    <c:v>20/10/2024</c:v>
                  </c:pt>
                  <c:pt idx="274">
                    <c:v>21/10/2024</c:v>
                  </c:pt>
                  <c:pt idx="275">
                    <c:v>22/10/2024</c:v>
                  </c:pt>
                  <c:pt idx="276">
                    <c:v>23/10/2024</c:v>
                  </c:pt>
                  <c:pt idx="277">
                    <c:v>24/10/2024</c:v>
                  </c:pt>
                  <c:pt idx="278">
                    <c:v>25/10/2024</c:v>
                  </c:pt>
                  <c:pt idx="279">
                    <c:v>26/10/2024</c:v>
                  </c:pt>
                  <c:pt idx="280">
                    <c:v>28/10/2024</c:v>
                  </c:pt>
                  <c:pt idx="281">
                    <c:v>29/10/2024</c:v>
                  </c:pt>
                  <c:pt idx="282">
                    <c:v>30/10/2024</c:v>
                  </c:pt>
                  <c:pt idx="283">
                    <c:v>31/10/2024</c:v>
                  </c:pt>
                  <c:pt idx="284">
                    <c:v>02/11/2024</c:v>
                  </c:pt>
                  <c:pt idx="285">
                    <c:v>04/11/2024</c:v>
                  </c:pt>
                  <c:pt idx="286">
                    <c:v>05/11/2024</c:v>
                  </c:pt>
                  <c:pt idx="287">
                    <c:v>06/11/2024</c:v>
                  </c:pt>
                  <c:pt idx="288">
                    <c:v>07/11/2024</c:v>
                  </c:pt>
                  <c:pt idx="289">
                    <c:v>09/11/2024</c:v>
                  </c:pt>
                  <c:pt idx="290">
                    <c:v>10/11/2024</c:v>
                  </c:pt>
                  <c:pt idx="291">
                    <c:v>11/11/2024</c:v>
                  </c:pt>
                  <c:pt idx="292">
                    <c:v>12/11/2024</c:v>
                  </c:pt>
                  <c:pt idx="293">
                    <c:v>13/11/2024</c:v>
                  </c:pt>
                  <c:pt idx="294">
                    <c:v>14/11/2024</c:v>
                  </c:pt>
                  <c:pt idx="295">
                    <c:v>15/11/2024</c:v>
                  </c:pt>
                  <c:pt idx="296">
                    <c:v>16/11/2024</c:v>
                  </c:pt>
                  <c:pt idx="297">
                    <c:v>17/11/2024</c:v>
                  </c:pt>
                  <c:pt idx="298">
                    <c:v>18/11/2024</c:v>
                  </c:pt>
                  <c:pt idx="299">
                    <c:v>19/11/2024</c:v>
                  </c:pt>
                  <c:pt idx="300">
                    <c:v>20/11/2024</c:v>
                  </c:pt>
                  <c:pt idx="301">
                    <c:v>21/11/2024</c:v>
                  </c:pt>
                  <c:pt idx="302">
                    <c:v>22/11/2024</c:v>
                  </c:pt>
                  <c:pt idx="303">
                    <c:v>23/11/2024</c:v>
                  </c:pt>
                  <c:pt idx="304">
                    <c:v>24/11/2024</c:v>
                  </c:pt>
                  <c:pt idx="305">
                    <c:v>25/11/2024</c:v>
                  </c:pt>
                  <c:pt idx="306">
                    <c:v>26/11/2024</c:v>
                  </c:pt>
                  <c:pt idx="307">
                    <c:v>27/11/2024</c:v>
                  </c:pt>
                  <c:pt idx="308">
                    <c:v>28/11/2024</c:v>
                  </c:pt>
                  <c:pt idx="309">
                    <c:v>29/11/2024</c:v>
                  </c:pt>
                  <c:pt idx="310">
                    <c:v>30/11/2024</c:v>
                  </c:pt>
                  <c:pt idx="311">
                    <c:v>01/12/2024</c:v>
                  </c:pt>
                  <c:pt idx="312">
                    <c:v>02/12/2024</c:v>
                  </c:pt>
                  <c:pt idx="313">
                    <c:v>03/12/2024</c:v>
                  </c:pt>
                  <c:pt idx="314">
                    <c:v>04/12/2024</c:v>
                  </c:pt>
                  <c:pt idx="315">
                    <c:v>05/12/2024</c:v>
                  </c:pt>
                  <c:pt idx="316">
                    <c:v>06/12/2024</c:v>
                  </c:pt>
                  <c:pt idx="317">
                    <c:v>07/12/2024</c:v>
                  </c:pt>
                  <c:pt idx="318">
                    <c:v>08/12/2024</c:v>
                  </c:pt>
                  <c:pt idx="319">
                    <c:v>09/12/2024</c:v>
                  </c:pt>
                  <c:pt idx="320">
                    <c:v>10/12/2024</c:v>
                  </c:pt>
                  <c:pt idx="321">
                    <c:v>12/12/2024</c:v>
                  </c:pt>
                  <c:pt idx="322">
                    <c:v>13/12/2024</c:v>
                  </c:pt>
                  <c:pt idx="323">
                    <c:v>15/12/2024</c:v>
                  </c:pt>
                  <c:pt idx="324">
                    <c:v>16/12/2024</c:v>
                  </c:pt>
                  <c:pt idx="325">
                    <c:v>17/12/2024</c:v>
                  </c:pt>
                  <c:pt idx="326">
                    <c:v>18/12/2024</c:v>
                  </c:pt>
                  <c:pt idx="327">
                    <c:v>19/12/2024</c:v>
                  </c:pt>
                  <c:pt idx="328">
                    <c:v>20/12/2024</c:v>
                  </c:pt>
                  <c:pt idx="329">
                    <c:v>21/12/2024</c:v>
                  </c:pt>
                  <c:pt idx="330">
                    <c:v>22/12/2024</c:v>
                  </c:pt>
                  <c:pt idx="331">
                    <c:v>24/12/2024</c:v>
                  </c:pt>
                  <c:pt idx="332">
                    <c:v>25/12/2024</c:v>
                  </c:pt>
                  <c:pt idx="333">
                    <c:v>26/12/2024</c:v>
                  </c:pt>
                  <c:pt idx="334">
                    <c:v>27/12/2024</c:v>
                  </c:pt>
                  <c:pt idx="335">
                    <c:v>28/12/2024</c:v>
                  </c:pt>
                  <c:pt idx="336">
                    <c:v>29/12/2024</c:v>
                  </c:pt>
                  <c:pt idx="337">
                    <c:v>30/12/2024</c:v>
                  </c:pt>
                  <c:pt idx="338">
                    <c:v>31/12/2024</c:v>
                  </c:pt>
                </c:lvl>
                <c:lvl>
                  <c:pt idx="0">
                    <c:v>Jan</c:v>
                  </c:pt>
                  <c:pt idx="27">
                    <c:v>Feb</c:v>
                  </c:pt>
                  <c:pt idx="55">
                    <c:v>Mar</c:v>
                  </c:pt>
                  <c:pt idx="84">
                    <c:v>Apr</c:v>
                  </c:pt>
                  <c:pt idx="112">
                    <c:v>May</c:v>
                  </c:pt>
                  <c:pt idx="143">
                    <c:v>Jun</c:v>
                  </c:pt>
                  <c:pt idx="171">
                    <c:v>Jul</c:v>
                  </c:pt>
                  <c:pt idx="200">
                    <c:v>Aug</c:v>
                  </c:pt>
                  <c:pt idx="230">
                    <c:v>Sep</c:v>
                  </c:pt>
                  <c:pt idx="256">
                    <c:v>Oct</c:v>
                  </c:pt>
                  <c:pt idx="284">
                    <c:v>Nov</c:v>
                  </c:pt>
                  <c:pt idx="311">
                    <c:v>Dec</c:v>
                  </c:pt>
                </c:lvl>
              </c:multiLvlStrCache>
            </c:multiLvlStrRef>
          </c:cat>
          <c:val>
            <c:numRef>
              <c:f>'Pivot Table'!$O$10:$O$361</c:f>
              <c:numCache>
                <c:formatCode>[$Rp]#,##0</c:formatCode>
                <c:ptCount val="339"/>
                <c:pt idx="0">
                  <c:v>1055000</c:v>
                </c:pt>
                <c:pt idx="1">
                  <c:v>1105000</c:v>
                </c:pt>
                <c:pt idx="2">
                  <c:v>720000</c:v>
                </c:pt>
                <c:pt idx="3">
                  <c:v>3820000</c:v>
                </c:pt>
                <c:pt idx="4">
                  <c:v>1510000</c:v>
                </c:pt>
                <c:pt idx="5">
                  <c:v>1150000</c:v>
                </c:pt>
                <c:pt idx="6">
                  <c:v>4470000</c:v>
                </c:pt>
                <c:pt idx="7">
                  <c:v>1570000</c:v>
                </c:pt>
                <c:pt idx="8">
                  <c:v>1435000</c:v>
                </c:pt>
                <c:pt idx="9">
                  <c:v>4180000</c:v>
                </c:pt>
                <c:pt idx="10">
                  <c:v>1040000</c:v>
                </c:pt>
                <c:pt idx="11">
                  <c:v>525000</c:v>
                </c:pt>
                <c:pt idx="12">
                  <c:v>360000</c:v>
                </c:pt>
                <c:pt idx="13">
                  <c:v>1040000</c:v>
                </c:pt>
                <c:pt idx="14">
                  <c:v>1610000</c:v>
                </c:pt>
                <c:pt idx="15">
                  <c:v>560000</c:v>
                </c:pt>
                <c:pt idx="16">
                  <c:v>2055000</c:v>
                </c:pt>
                <c:pt idx="17">
                  <c:v>1020000</c:v>
                </c:pt>
                <c:pt idx="18">
                  <c:v>950000</c:v>
                </c:pt>
                <c:pt idx="19">
                  <c:v>2570000</c:v>
                </c:pt>
                <c:pt idx="20">
                  <c:v>3150000</c:v>
                </c:pt>
                <c:pt idx="21">
                  <c:v>4565000</c:v>
                </c:pt>
                <c:pt idx="22">
                  <c:v>2945000</c:v>
                </c:pt>
                <c:pt idx="23">
                  <c:v>930000</c:v>
                </c:pt>
                <c:pt idx="24">
                  <c:v>800000</c:v>
                </c:pt>
                <c:pt idx="25">
                  <c:v>1285000</c:v>
                </c:pt>
                <c:pt idx="26">
                  <c:v>1395000</c:v>
                </c:pt>
                <c:pt idx="27">
                  <c:v>1990000</c:v>
                </c:pt>
                <c:pt idx="28">
                  <c:v>460000</c:v>
                </c:pt>
                <c:pt idx="29">
                  <c:v>2880000</c:v>
                </c:pt>
                <c:pt idx="30">
                  <c:v>880000</c:v>
                </c:pt>
                <c:pt idx="31">
                  <c:v>4465000</c:v>
                </c:pt>
                <c:pt idx="32">
                  <c:v>800000</c:v>
                </c:pt>
                <c:pt idx="33">
                  <c:v>695000</c:v>
                </c:pt>
                <c:pt idx="34">
                  <c:v>2380000</c:v>
                </c:pt>
                <c:pt idx="35">
                  <c:v>1555000</c:v>
                </c:pt>
                <c:pt idx="36">
                  <c:v>1800000</c:v>
                </c:pt>
                <c:pt idx="37">
                  <c:v>1940000</c:v>
                </c:pt>
                <c:pt idx="38">
                  <c:v>2120000</c:v>
                </c:pt>
                <c:pt idx="39">
                  <c:v>1740000</c:v>
                </c:pt>
                <c:pt idx="40">
                  <c:v>1785000</c:v>
                </c:pt>
                <c:pt idx="41">
                  <c:v>1810000</c:v>
                </c:pt>
                <c:pt idx="42">
                  <c:v>1890000</c:v>
                </c:pt>
                <c:pt idx="43">
                  <c:v>1050000</c:v>
                </c:pt>
                <c:pt idx="44">
                  <c:v>3485000</c:v>
                </c:pt>
                <c:pt idx="45">
                  <c:v>3510000</c:v>
                </c:pt>
                <c:pt idx="46">
                  <c:v>2780000</c:v>
                </c:pt>
                <c:pt idx="47">
                  <c:v>460000</c:v>
                </c:pt>
                <c:pt idx="48">
                  <c:v>150000</c:v>
                </c:pt>
                <c:pt idx="49">
                  <c:v>2340000</c:v>
                </c:pt>
                <c:pt idx="50">
                  <c:v>2290000</c:v>
                </c:pt>
                <c:pt idx="51">
                  <c:v>2000000</c:v>
                </c:pt>
                <c:pt idx="52">
                  <c:v>2075000</c:v>
                </c:pt>
                <c:pt idx="53">
                  <c:v>2320000</c:v>
                </c:pt>
                <c:pt idx="54">
                  <c:v>1825000</c:v>
                </c:pt>
                <c:pt idx="55">
                  <c:v>3315000</c:v>
                </c:pt>
                <c:pt idx="56">
                  <c:v>5630000</c:v>
                </c:pt>
                <c:pt idx="57">
                  <c:v>2500000</c:v>
                </c:pt>
                <c:pt idx="58">
                  <c:v>460000</c:v>
                </c:pt>
                <c:pt idx="59">
                  <c:v>2720000</c:v>
                </c:pt>
                <c:pt idx="60">
                  <c:v>150000</c:v>
                </c:pt>
                <c:pt idx="61">
                  <c:v>1200000</c:v>
                </c:pt>
                <c:pt idx="62">
                  <c:v>3705000</c:v>
                </c:pt>
                <c:pt idx="63">
                  <c:v>1600000</c:v>
                </c:pt>
                <c:pt idx="64">
                  <c:v>360000</c:v>
                </c:pt>
                <c:pt idx="65">
                  <c:v>960000</c:v>
                </c:pt>
                <c:pt idx="66">
                  <c:v>780000</c:v>
                </c:pt>
                <c:pt idx="67">
                  <c:v>2490000</c:v>
                </c:pt>
                <c:pt idx="68">
                  <c:v>4035000</c:v>
                </c:pt>
                <c:pt idx="69">
                  <c:v>1000000</c:v>
                </c:pt>
                <c:pt idx="70">
                  <c:v>970000</c:v>
                </c:pt>
                <c:pt idx="71">
                  <c:v>1720000</c:v>
                </c:pt>
                <c:pt idx="72">
                  <c:v>1390000</c:v>
                </c:pt>
                <c:pt idx="73">
                  <c:v>990000</c:v>
                </c:pt>
                <c:pt idx="74">
                  <c:v>4520000</c:v>
                </c:pt>
                <c:pt idx="75">
                  <c:v>1310000</c:v>
                </c:pt>
                <c:pt idx="76">
                  <c:v>1280000</c:v>
                </c:pt>
                <c:pt idx="77">
                  <c:v>1600000</c:v>
                </c:pt>
                <c:pt idx="78">
                  <c:v>1220000</c:v>
                </c:pt>
                <c:pt idx="79">
                  <c:v>765000</c:v>
                </c:pt>
                <c:pt idx="80">
                  <c:v>1355000</c:v>
                </c:pt>
                <c:pt idx="81">
                  <c:v>2440000</c:v>
                </c:pt>
                <c:pt idx="82">
                  <c:v>580000</c:v>
                </c:pt>
                <c:pt idx="83">
                  <c:v>425000</c:v>
                </c:pt>
                <c:pt idx="84">
                  <c:v>2010000</c:v>
                </c:pt>
                <c:pt idx="85">
                  <c:v>980000</c:v>
                </c:pt>
                <c:pt idx="86">
                  <c:v>1100000</c:v>
                </c:pt>
                <c:pt idx="87">
                  <c:v>2760000</c:v>
                </c:pt>
                <c:pt idx="88">
                  <c:v>1360000</c:v>
                </c:pt>
                <c:pt idx="89">
                  <c:v>890000</c:v>
                </c:pt>
                <c:pt idx="90">
                  <c:v>125000</c:v>
                </c:pt>
                <c:pt idx="91">
                  <c:v>925000</c:v>
                </c:pt>
                <c:pt idx="92">
                  <c:v>1885000</c:v>
                </c:pt>
                <c:pt idx="93">
                  <c:v>300000</c:v>
                </c:pt>
                <c:pt idx="94">
                  <c:v>80000</c:v>
                </c:pt>
                <c:pt idx="95">
                  <c:v>1070000</c:v>
                </c:pt>
                <c:pt idx="96">
                  <c:v>2645000</c:v>
                </c:pt>
                <c:pt idx="97">
                  <c:v>1370000</c:v>
                </c:pt>
                <c:pt idx="98">
                  <c:v>1940000</c:v>
                </c:pt>
                <c:pt idx="99">
                  <c:v>3050000</c:v>
                </c:pt>
                <c:pt idx="100">
                  <c:v>1985000</c:v>
                </c:pt>
                <c:pt idx="101">
                  <c:v>1025000</c:v>
                </c:pt>
                <c:pt idx="102">
                  <c:v>2735000</c:v>
                </c:pt>
                <c:pt idx="103">
                  <c:v>850000</c:v>
                </c:pt>
                <c:pt idx="104">
                  <c:v>1070000</c:v>
                </c:pt>
                <c:pt idx="105">
                  <c:v>60000</c:v>
                </c:pt>
                <c:pt idx="106">
                  <c:v>1390000</c:v>
                </c:pt>
                <c:pt idx="107">
                  <c:v>625000</c:v>
                </c:pt>
                <c:pt idx="108">
                  <c:v>1920000</c:v>
                </c:pt>
                <c:pt idx="109">
                  <c:v>2700000</c:v>
                </c:pt>
                <c:pt idx="110">
                  <c:v>750000</c:v>
                </c:pt>
                <c:pt idx="111">
                  <c:v>2175000</c:v>
                </c:pt>
                <c:pt idx="112">
                  <c:v>3465000</c:v>
                </c:pt>
                <c:pt idx="113">
                  <c:v>2995000</c:v>
                </c:pt>
                <c:pt idx="114">
                  <c:v>710000</c:v>
                </c:pt>
                <c:pt idx="115">
                  <c:v>2330000</c:v>
                </c:pt>
                <c:pt idx="116">
                  <c:v>780000</c:v>
                </c:pt>
                <c:pt idx="117">
                  <c:v>3430000</c:v>
                </c:pt>
                <c:pt idx="118">
                  <c:v>600000</c:v>
                </c:pt>
                <c:pt idx="119">
                  <c:v>875000</c:v>
                </c:pt>
                <c:pt idx="120">
                  <c:v>1080000</c:v>
                </c:pt>
                <c:pt idx="121">
                  <c:v>1100000</c:v>
                </c:pt>
                <c:pt idx="122">
                  <c:v>1000000</c:v>
                </c:pt>
                <c:pt idx="123">
                  <c:v>2025000</c:v>
                </c:pt>
                <c:pt idx="124">
                  <c:v>870000</c:v>
                </c:pt>
                <c:pt idx="125">
                  <c:v>2390000</c:v>
                </c:pt>
                <c:pt idx="126">
                  <c:v>3140000</c:v>
                </c:pt>
                <c:pt idx="127">
                  <c:v>3245000</c:v>
                </c:pt>
                <c:pt idx="128">
                  <c:v>120000</c:v>
                </c:pt>
                <c:pt idx="129">
                  <c:v>1990000</c:v>
                </c:pt>
                <c:pt idx="130">
                  <c:v>1960000</c:v>
                </c:pt>
                <c:pt idx="131">
                  <c:v>1035000</c:v>
                </c:pt>
                <c:pt idx="132">
                  <c:v>960000</c:v>
                </c:pt>
                <c:pt idx="133">
                  <c:v>4730000</c:v>
                </c:pt>
                <c:pt idx="134">
                  <c:v>1770000</c:v>
                </c:pt>
                <c:pt idx="135">
                  <c:v>1710000</c:v>
                </c:pt>
                <c:pt idx="136">
                  <c:v>1110000</c:v>
                </c:pt>
                <c:pt idx="137">
                  <c:v>3320000</c:v>
                </c:pt>
                <c:pt idx="138">
                  <c:v>1760000</c:v>
                </c:pt>
                <c:pt idx="139">
                  <c:v>300000</c:v>
                </c:pt>
                <c:pt idx="140">
                  <c:v>530000</c:v>
                </c:pt>
                <c:pt idx="141">
                  <c:v>720000</c:v>
                </c:pt>
                <c:pt idx="142">
                  <c:v>1850000</c:v>
                </c:pt>
                <c:pt idx="143">
                  <c:v>2780000</c:v>
                </c:pt>
                <c:pt idx="144">
                  <c:v>160000</c:v>
                </c:pt>
                <c:pt idx="145">
                  <c:v>2315000</c:v>
                </c:pt>
                <c:pt idx="146">
                  <c:v>80000</c:v>
                </c:pt>
                <c:pt idx="147">
                  <c:v>680000</c:v>
                </c:pt>
                <c:pt idx="148">
                  <c:v>700000</c:v>
                </c:pt>
                <c:pt idx="149">
                  <c:v>600000</c:v>
                </c:pt>
                <c:pt idx="150">
                  <c:v>990000</c:v>
                </c:pt>
                <c:pt idx="151">
                  <c:v>1260000</c:v>
                </c:pt>
                <c:pt idx="152">
                  <c:v>275000</c:v>
                </c:pt>
                <c:pt idx="153">
                  <c:v>975000</c:v>
                </c:pt>
                <c:pt idx="154">
                  <c:v>1100000</c:v>
                </c:pt>
                <c:pt idx="155">
                  <c:v>1795000</c:v>
                </c:pt>
                <c:pt idx="156">
                  <c:v>400000</c:v>
                </c:pt>
                <c:pt idx="157">
                  <c:v>1930000</c:v>
                </c:pt>
                <c:pt idx="158">
                  <c:v>1155000</c:v>
                </c:pt>
                <c:pt idx="159">
                  <c:v>300000</c:v>
                </c:pt>
                <c:pt idx="160">
                  <c:v>2540000</c:v>
                </c:pt>
                <c:pt idx="161">
                  <c:v>1565000</c:v>
                </c:pt>
                <c:pt idx="162">
                  <c:v>2195000</c:v>
                </c:pt>
                <c:pt idx="163">
                  <c:v>2120000</c:v>
                </c:pt>
                <c:pt idx="164">
                  <c:v>2210000</c:v>
                </c:pt>
                <c:pt idx="165">
                  <c:v>1520000</c:v>
                </c:pt>
                <c:pt idx="166">
                  <c:v>1050000</c:v>
                </c:pt>
                <c:pt idx="167">
                  <c:v>275000</c:v>
                </c:pt>
                <c:pt idx="168">
                  <c:v>1260000</c:v>
                </c:pt>
                <c:pt idx="169">
                  <c:v>1995000</c:v>
                </c:pt>
                <c:pt idx="170">
                  <c:v>1115000</c:v>
                </c:pt>
                <c:pt idx="171">
                  <c:v>4610000</c:v>
                </c:pt>
                <c:pt idx="172">
                  <c:v>1550000</c:v>
                </c:pt>
                <c:pt idx="173">
                  <c:v>1310000</c:v>
                </c:pt>
                <c:pt idx="174">
                  <c:v>3975000</c:v>
                </c:pt>
                <c:pt idx="175">
                  <c:v>2645000</c:v>
                </c:pt>
                <c:pt idx="176">
                  <c:v>860000</c:v>
                </c:pt>
                <c:pt idx="177">
                  <c:v>80000</c:v>
                </c:pt>
                <c:pt idx="178">
                  <c:v>500000</c:v>
                </c:pt>
                <c:pt idx="179">
                  <c:v>750000</c:v>
                </c:pt>
                <c:pt idx="180">
                  <c:v>2355000</c:v>
                </c:pt>
                <c:pt idx="181">
                  <c:v>2345000</c:v>
                </c:pt>
                <c:pt idx="182">
                  <c:v>970000</c:v>
                </c:pt>
                <c:pt idx="183">
                  <c:v>1570000</c:v>
                </c:pt>
                <c:pt idx="184">
                  <c:v>2425000</c:v>
                </c:pt>
                <c:pt idx="185">
                  <c:v>4265000</c:v>
                </c:pt>
                <c:pt idx="186">
                  <c:v>4560000</c:v>
                </c:pt>
                <c:pt idx="187">
                  <c:v>540000</c:v>
                </c:pt>
                <c:pt idx="188">
                  <c:v>2530000</c:v>
                </c:pt>
                <c:pt idx="189">
                  <c:v>4430000</c:v>
                </c:pt>
                <c:pt idx="190">
                  <c:v>1475000</c:v>
                </c:pt>
                <c:pt idx="191">
                  <c:v>2900000</c:v>
                </c:pt>
                <c:pt idx="192">
                  <c:v>1240000</c:v>
                </c:pt>
                <c:pt idx="193">
                  <c:v>580000</c:v>
                </c:pt>
                <c:pt idx="194">
                  <c:v>5030000</c:v>
                </c:pt>
                <c:pt idx="195">
                  <c:v>3175000</c:v>
                </c:pt>
                <c:pt idx="196">
                  <c:v>830000</c:v>
                </c:pt>
                <c:pt idx="197">
                  <c:v>850000</c:v>
                </c:pt>
                <c:pt idx="198">
                  <c:v>790000</c:v>
                </c:pt>
                <c:pt idx="199">
                  <c:v>1560000</c:v>
                </c:pt>
                <c:pt idx="200">
                  <c:v>1450000</c:v>
                </c:pt>
                <c:pt idx="201">
                  <c:v>360000</c:v>
                </c:pt>
                <c:pt idx="202">
                  <c:v>3215000</c:v>
                </c:pt>
                <c:pt idx="203">
                  <c:v>3480000</c:v>
                </c:pt>
                <c:pt idx="204">
                  <c:v>1850000</c:v>
                </c:pt>
                <c:pt idx="205">
                  <c:v>1215000</c:v>
                </c:pt>
                <c:pt idx="206">
                  <c:v>2520000</c:v>
                </c:pt>
                <c:pt idx="207">
                  <c:v>3370000</c:v>
                </c:pt>
                <c:pt idx="208">
                  <c:v>400000</c:v>
                </c:pt>
                <c:pt idx="209">
                  <c:v>1720000</c:v>
                </c:pt>
                <c:pt idx="210">
                  <c:v>1000000</c:v>
                </c:pt>
                <c:pt idx="211">
                  <c:v>150000</c:v>
                </c:pt>
                <c:pt idx="212">
                  <c:v>830000</c:v>
                </c:pt>
                <c:pt idx="213">
                  <c:v>2545000</c:v>
                </c:pt>
                <c:pt idx="214">
                  <c:v>1760000</c:v>
                </c:pt>
                <c:pt idx="215">
                  <c:v>1160000</c:v>
                </c:pt>
                <c:pt idx="216">
                  <c:v>2090000</c:v>
                </c:pt>
                <c:pt idx="217">
                  <c:v>2470000</c:v>
                </c:pt>
                <c:pt idx="218">
                  <c:v>1840000</c:v>
                </c:pt>
                <c:pt idx="219">
                  <c:v>2070000</c:v>
                </c:pt>
                <c:pt idx="220">
                  <c:v>2360000</c:v>
                </c:pt>
                <c:pt idx="221">
                  <c:v>3800000</c:v>
                </c:pt>
                <c:pt idx="222">
                  <c:v>350000</c:v>
                </c:pt>
                <c:pt idx="223">
                  <c:v>2265000</c:v>
                </c:pt>
                <c:pt idx="224">
                  <c:v>2505000</c:v>
                </c:pt>
                <c:pt idx="225">
                  <c:v>800000</c:v>
                </c:pt>
                <c:pt idx="226">
                  <c:v>2475000</c:v>
                </c:pt>
                <c:pt idx="227">
                  <c:v>610000</c:v>
                </c:pt>
                <c:pt idx="228">
                  <c:v>2400000</c:v>
                </c:pt>
                <c:pt idx="229">
                  <c:v>2840000</c:v>
                </c:pt>
                <c:pt idx="230">
                  <c:v>720000</c:v>
                </c:pt>
                <c:pt idx="231">
                  <c:v>2010000</c:v>
                </c:pt>
                <c:pt idx="232">
                  <c:v>1775000</c:v>
                </c:pt>
                <c:pt idx="233">
                  <c:v>1050000</c:v>
                </c:pt>
                <c:pt idx="234">
                  <c:v>3405000</c:v>
                </c:pt>
                <c:pt idx="235">
                  <c:v>680000</c:v>
                </c:pt>
                <c:pt idx="236">
                  <c:v>5730000</c:v>
                </c:pt>
                <c:pt idx="237">
                  <c:v>3395000</c:v>
                </c:pt>
                <c:pt idx="238">
                  <c:v>1640000</c:v>
                </c:pt>
                <c:pt idx="239">
                  <c:v>3670000</c:v>
                </c:pt>
                <c:pt idx="240">
                  <c:v>3535000</c:v>
                </c:pt>
                <c:pt idx="241">
                  <c:v>3970000</c:v>
                </c:pt>
                <c:pt idx="242">
                  <c:v>910000</c:v>
                </c:pt>
                <c:pt idx="243">
                  <c:v>660000</c:v>
                </c:pt>
                <c:pt idx="244">
                  <c:v>2510000</c:v>
                </c:pt>
                <c:pt idx="245">
                  <c:v>980000</c:v>
                </c:pt>
                <c:pt idx="246">
                  <c:v>120000</c:v>
                </c:pt>
                <c:pt idx="247">
                  <c:v>3335000</c:v>
                </c:pt>
                <c:pt idx="248">
                  <c:v>1310000</c:v>
                </c:pt>
                <c:pt idx="249">
                  <c:v>3335000</c:v>
                </c:pt>
                <c:pt idx="250">
                  <c:v>3190000</c:v>
                </c:pt>
                <c:pt idx="251">
                  <c:v>1050000</c:v>
                </c:pt>
                <c:pt idx="252">
                  <c:v>3835000</c:v>
                </c:pt>
                <c:pt idx="253">
                  <c:v>320000</c:v>
                </c:pt>
                <c:pt idx="254">
                  <c:v>1385000</c:v>
                </c:pt>
                <c:pt idx="255">
                  <c:v>1965000</c:v>
                </c:pt>
                <c:pt idx="256">
                  <c:v>3940000</c:v>
                </c:pt>
                <c:pt idx="257">
                  <c:v>3640000</c:v>
                </c:pt>
                <c:pt idx="258">
                  <c:v>750000</c:v>
                </c:pt>
                <c:pt idx="259">
                  <c:v>1660000</c:v>
                </c:pt>
                <c:pt idx="260">
                  <c:v>3945000</c:v>
                </c:pt>
                <c:pt idx="261">
                  <c:v>2265000</c:v>
                </c:pt>
                <c:pt idx="262">
                  <c:v>1550000</c:v>
                </c:pt>
                <c:pt idx="263">
                  <c:v>1140000</c:v>
                </c:pt>
                <c:pt idx="264">
                  <c:v>1705000</c:v>
                </c:pt>
                <c:pt idx="265">
                  <c:v>950000</c:v>
                </c:pt>
                <c:pt idx="266">
                  <c:v>1860000</c:v>
                </c:pt>
                <c:pt idx="267">
                  <c:v>1270000</c:v>
                </c:pt>
                <c:pt idx="268">
                  <c:v>1735000</c:v>
                </c:pt>
                <c:pt idx="269">
                  <c:v>830000</c:v>
                </c:pt>
                <c:pt idx="270">
                  <c:v>1470000</c:v>
                </c:pt>
                <c:pt idx="271">
                  <c:v>1130000</c:v>
                </c:pt>
                <c:pt idx="272">
                  <c:v>830000</c:v>
                </c:pt>
                <c:pt idx="273">
                  <c:v>1095000</c:v>
                </c:pt>
                <c:pt idx="274">
                  <c:v>2780000</c:v>
                </c:pt>
                <c:pt idx="275">
                  <c:v>960000</c:v>
                </c:pt>
                <c:pt idx="276">
                  <c:v>1735000</c:v>
                </c:pt>
                <c:pt idx="277">
                  <c:v>2850000</c:v>
                </c:pt>
                <c:pt idx="278">
                  <c:v>1510000</c:v>
                </c:pt>
                <c:pt idx="279">
                  <c:v>3820000</c:v>
                </c:pt>
                <c:pt idx="280">
                  <c:v>2035000</c:v>
                </c:pt>
                <c:pt idx="281">
                  <c:v>3420000</c:v>
                </c:pt>
                <c:pt idx="282">
                  <c:v>1620000</c:v>
                </c:pt>
                <c:pt idx="283">
                  <c:v>1180000</c:v>
                </c:pt>
                <c:pt idx="284">
                  <c:v>300000</c:v>
                </c:pt>
                <c:pt idx="285">
                  <c:v>890000</c:v>
                </c:pt>
                <c:pt idx="286">
                  <c:v>600000</c:v>
                </c:pt>
                <c:pt idx="287">
                  <c:v>620000</c:v>
                </c:pt>
                <c:pt idx="288">
                  <c:v>1660000</c:v>
                </c:pt>
                <c:pt idx="289">
                  <c:v>450000</c:v>
                </c:pt>
                <c:pt idx="290">
                  <c:v>400000</c:v>
                </c:pt>
                <c:pt idx="291">
                  <c:v>1290000</c:v>
                </c:pt>
                <c:pt idx="292">
                  <c:v>840000</c:v>
                </c:pt>
                <c:pt idx="293">
                  <c:v>1055000</c:v>
                </c:pt>
                <c:pt idx="294">
                  <c:v>2200000</c:v>
                </c:pt>
                <c:pt idx="295">
                  <c:v>750000</c:v>
                </c:pt>
                <c:pt idx="296">
                  <c:v>1530000</c:v>
                </c:pt>
                <c:pt idx="297">
                  <c:v>630000</c:v>
                </c:pt>
                <c:pt idx="298">
                  <c:v>3945000</c:v>
                </c:pt>
                <c:pt idx="299">
                  <c:v>1945000</c:v>
                </c:pt>
                <c:pt idx="300">
                  <c:v>670000</c:v>
                </c:pt>
                <c:pt idx="301">
                  <c:v>1810000</c:v>
                </c:pt>
                <c:pt idx="302">
                  <c:v>310000</c:v>
                </c:pt>
                <c:pt idx="303">
                  <c:v>2145000</c:v>
                </c:pt>
                <c:pt idx="304">
                  <c:v>160000</c:v>
                </c:pt>
                <c:pt idx="305">
                  <c:v>2250000</c:v>
                </c:pt>
                <c:pt idx="306">
                  <c:v>800000</c:v>
                </c:pt>
                <c:pt idx="307">
                  <c:v>1880000</c:v>
                </c:pt>
                <c:pt idx="308">
                  <c:v>1675000</c:v>
                </c:pt>
                <c:pt idx="309">
                  <c:v>2550000</c:v>
                </c:pt>
                <c:pt idx="310">
                  <c:v>1440000</c:v>
                </c:pt>
                <c:pt idx="311">
                  <c:v>4095000</c:v>
                </c:pt>
                <c:pt idx="312">
                  <c:v>1125000</c:v>
                </c:pt>
                <c:pt idx="313">
                  <c:v>1960000</c:v>
                </c:pt>
                <c:pt idx="314">
                  <c:v>1785000</c:v>
                </c:pt>
                <c:pt idx="315">
                  <c:v>750000</c:v>
                </c:pt>
                <c:pt idx="316">
                  <c:v>1160000</c:v>
                </c:pt>
                <c:pt idx="317">
                  <c:v>1840000</c:v>
                </c:pt>
                <c:pt idx="318">
                  <c:v>2235000</c:v>
                </c:pt>
                <c:pt idx="319">
                  <c:v>1015000</c:v>
                </c:pt>
                <c:pt idx="320">
                  <c:v>5480000</c:v>
                </c:pt>
                <c:pt idx="321">
                  <c:v>2030000</c:v>
                </c:pt>
                <c:pt idx="322">
                  <c:v>2825000</c:v>
                </c:pt>
                <c:pt idx="323">
                  <c:v>2720000</c:v>
                </c:pt>
                <c:pt idx="324">
                  <c:v>1660000</c:v>
                </c:pt>
                <c:pt idx="325">
                  <c:v>7750000</c:v>
                </c:pt>
                <c:pt idx="326">
                  <c:v>1245000</c:v>
                </c:pt>
                <c:pt idx="327">
                  <c:v>3660000</c:v>
                </c:pt>
                <c:pt idx="328">
                  <c:v>1310000</c:v>
                </c:pt>
                <c:pt idx="329">
                  <c:v>1360000</c:v>
                </c:pt>
                <c:pt idx="330">
                  <c:v>2070000</c:v>
                </c:pt>
                <c:pt idx="331">
                  <c:v>1465000</c:v>
                </c:pt>
                <c:pt idx="332">
                  <c:v>1720000</c:v>
                </c:pt>
                <c:pt idx="333">
                  <c:v>900000</c:v>
                </c:pt>
                <c:pt idx="334">
                  <c:v>735000</c:v>
                </c:pt>
                <c:pt idx="335">
                  <c:v>3275000</c:v>
                </c:pt>
                <c:pt idx="336">
                  <c:v>600000</c:v>
                </c:pt>
                <c:pt idx="337">
                  <c:v>5020000</c:v>
                </c:pt>
                <c:pt idx="338">
                  <c:v>2330000</c:v>
                </c:pt>
              </c:numCache>
            </c:numRef>
          </c:val>
          <c:extLst>
            <c:ext xmlns:c16="http://schemas.microsoft.com/office/drawing/2014/chart" uri="{C3380CC4-5D6E-409C-BE32-E72D297353CC}">
              <c16:uniqueId val="{00000001-7BF2-4F89-96A6-1604BF8DF16D}"/>
            </c:ext>
          </c:extLst>
        </c:ser>
        <c:dLbls>
          <c:showLegendKey val="0"/>
          <c:showVal val="0"/>
          <c:showCatName val="0"/>
          <c:showSerName val="0"/>
          <c:showPercent val="0"/>
          <c:showBubbleSize val="0"/>
        </c:dLbls>
        <c:gapWidth val="219"/>
        <c:overlap val="-27"/>
        <c:axId val="554685567"/>
        <c:axId val="554691807"/>
      </c:barChart>
      <c:catAx>
        <c:axId val="55468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554691807"/>
        <c:crosses val="autoZero"/>
        <c:auto val="1"/>
        <c:lblAlgn val="ctr"/>
        <c:lblOffset val="100"/>
        <c:noMultiLvlLbl val="0"/>
      </c:catAx>
      <c:valAx>
        <c:axId val="554691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55468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[Tugas Kelompok Final_project_kelompok_A2_FINAL.xlsx]Pivot Table!Pejualan Tertinggi (Qty)</c:name>
    <c:fmtId val="20"/>
  </c:pivotSource>
  <c:chart>
    <c:title>
      <c:tx>
        <c:rich>
          <a:bodyPr rot="0" spcFirstLastPara="1" vertOverflow="ellipsis" vert="horz" wrap="square" anchor="ctr" anchorCtr="1"/>
          <a:lstStyle/>
          <a:p>
            <a:pPr>
              <a:defRPr sz="2000" b="0" i="0" u="none" strike="noStrike" kern="1200" spc="0" baseline="0">
                <a:solidFill>
                  <a:srgbClr val="FFF867"/>
                </a:solidFill>
                <a:latin typeface="+mn-lt"/>
                <a:ea typeface="+mn-ea"/>
                <a:cs typeface="+mn-cs"/>
              </a:defRPr>
            </a:pPr>
            <a:r>
              <a:rPr lang="en-ID" sz="2000" b="1">
                <a:solidFill>
                  <a:srgbClr val="FFF867"/>
                </a:solidFill>
                <a:latin typeface="Aptos Display" panose="020B0004020202020204" pitchFamily="34" charset="0"/>
              </a:rPr>
              <a:t>Penjualan Berdasarkan Item</a:t>
            </a:r>
          </a:p>
        </c:rich>
      </c:tx>
      <c:overlay val="0"/>
      <c:spPr>
        <a:noFill/>
        <a:ln>
          <a:noFill/>
        </a:ln>
        <a:effectLst/>
      </c:spPr>
      <c:txPr>
        <a:bodyPr rot="0" spcFirstLastPara="1" vertOverflow="ellipsis" vert="horz" wrap="square" anchor="ctr" anchorCtr="1"/>
        <a:lstStyle/>
        <a:p>
          <a:pPr>
            <a:defRPr sz="2000" b="0" i="0" u="none" strike="noStrike" kern="1200" spc="0" baseline="0">
              <a:solidFill>
                <a:srgbClr val="FFF867"/>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867"/>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A5B6D"/>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Aptos Display" panose="020B0004020202020204" pitchFamily="34" charset="0"/>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Table'!$B$43</c:f>
              <c:strCache>
                <c:ptCount val="1"/>
                <c:pt idx="0">
                  <c:v>Total</c:v>
                </c:pt>
              </c:strCache>
            </c:strRef>
          </c:tx>
          <c:spPr>
            <a:solidFill>
              <a:srgbClr val="5A5B6D"/>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Aptos Display" panose="020B0004020202020204" pitchFamily="34" charset="0"/>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Table'!$A$44:$A$47</c:f>
              <c:strCache>
                <c:ptCount val="3"/>
                <c:pt idx="0">
                  <c:v>Jaket Hoodie</c:v>
                </c:pt>
                <c:pt idx="1">
                  <c:v>Jaket Jeans</c:v>
                </c:pt>
                <c:pt idx="2">
                  <c:v>Sneakers</c:v>
                </c:pt>
              </c:strCache>
            </c:strRef>
          </c:cat>
          <c:val>
            <c:numRef>
              <c:f>'Pivot Table'!$B$44:$B$47</c:f>
              <c:numCache>
                <c:formatCode>[$Rp]#,##0</c:formatCode>
                <c:ptCount val="3"/>
                <c:pt idx="0">
                  <c:v>64260000</c:v>
                </c:pt>
                <c:pt idx="1">
                  <c:v>75140000</c:v>
                </c:pt>
                <c:pt idx="2">
                  <c:v>100340000</c:v>
                </c:pt>
              </c:numCache>
            </c:numRef>
          </c:val>
          <c:extLst>
            <c:ext xmlns:c16="http://schemas.microsoft.com/office/drawing/2014/chart" uri="{C3380CC4-5D6E-409C-BE32-E72D297353CC}">
              <c16:uniqueId val="{00000000-152A-4DF8-B611-1C5C529A5C0F}"/>
            </c:ext>
          </c:extLst>
        </c:ser>
        <c:dLbls>
          <c:dLblPos val="outEnd"/>
          <c:showLegendKey val="0"/>
          <c:showVal val="1"/>
          <c:showCatName val="0"/>
          <c:showSerName val="0"/>
          <c:showPercent val="0"/>
          <c:showBubbleSize val="0"/>
        </c:dLbls>
        <c:gapWidth val="219"/>
        <c:overlap val="-27"/>
        <c:axId val="306871007"/>
        <c:axId val="306844607"/>
      </c:barChart>
      <c:catAx>
        <c:axId val="30687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FFF867"/>
                </a:solidFill>
                <a:latin typeface="Aptos" panose="020B0004020202020204" pitchFamily="34" charset="0"/>
                <a:ea typeface="+mn-ea"/>
                <a:cs typeface="+mn-cs"/>
              </a:defRPr>
            </a:pPr>
            <a:endParaRPr lang="id-ID"/>
          </a:p>
        </c:txPr>
        <c:crossAx val="306844607"/>
        <c:crosses val="autoZero"/>
        <c:auto val="1"/>
        <c:lblAlgn val="ctr"/>
        <c:lblOffset val="100"/>
        <c:noMultiLvlLbl val="0"/>
      </c:catAx>
      <c:valAx>
        <c:axId val="306844607"/>
        <c:scaling>
          <c:orientation val="minMax"/>
        </c:scaling>
        <c:delete val="1"/>
        <c:axPos val="l"/>
        <c:numFmt formatCode="[$Rp]#,##0" sourceLinked="1"/>
        <c:majorTickMark val="none"/>
        <c:minorTickMark val="none"/>
        <c:tickLblPos val="nextTo"/>
        <c:crossAx val="306871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lumMod val="15000"/>
          <a:lumOff val="85000"/>
        </a:schemeClr>
      </a:solidFill>
      <a:round/>
    </a:ln>
    <a:effectLst/>
  </c:spPr>
  <c:txPr>
    <a:bodyPr/>
    <a:lstStyle/>
    <a:p>
      <a:pPr>
        <a:defRPr>
          <a:solidFill>
            <a:srgbClr val="FFF867"/>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[Tugas Kelompok Final_project_kelompok_A2_FINAL.xlsx]Pivot Table!Total Transaksi Perwilayah (Sum)</c:name>
    <c:fmtId val="4"/>
  </c:pivotSource>
  <c:chart>
    <c:title>
      <c:tx>
        <c:rich>
          <a:bodyPr rot="0" spcFirstLastPara="1" vertOverflow="ellipsis" vert="horz" wrap="square" anchor="ctr" anchorCtr="1"/>
          <a:lstStyle/>
          <a:p>
            <a:pPr>
              <a:defRPr sz="2000" b="1" i="0" u="none" strike="noStrike" kern="1200" spc="0" baseline="0">
                <a:solidFill>
                  <a:srgbClr val="FFF867"/>
                </a:solidFill>
                <a:latin typeface="Aptos Display" panose="020B0004020202020204" pitchFamily="34" charset="0"/>
                <a:ea typeface="+mn-ea"/>
                <a:cs typeface="+mn-cs"/>
              </a:defRPr>
            </a:pPr>
            <a:r>
              <a:rPr lang="en-US" sz="2000" b="1">
                <a:latin typeface="Aptos Display" panose="020B0004020202020204" pitchFamily="34" charset="0"/>
              </a:rPr>
              <a:t>Penjualan</a:t>
            </a:r>
            <a:r>
              <a:rPr lang="en-US" sz="2000" b="1" baseline="0">
                <a:latin typeface="Aptos Display" panose="020B0004020202020204" pitchFamily="34" charset="0"/>
              </a:rPr>
              <a:t> Berdasarkan Wilayah</a:t>
            </a:r>
            <a:endParaRPr lang="en-US" sz="2000" b="1">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FFF867"/>
              </a:solidFill>
              <a:latin typeface="Aptos Display" panose="020B0004020202020204" pitchFamily="34" charset="0"/>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5B6D"/>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Aptos" panose="020B0004020202020204" pitchFamily="34" charset="0"/>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867"/>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Table'!$F$13</c:f>
              <c:strCache>
                <c:ptCount val="1"/>
                <c:pt idx="0">
                  <c:v>Total</c:v>
                </c:pt>
              </c:strCache>
            </c:strRef>
          </c:tx>
          <c:spPr>
            <a:solidFill>
              <a:srgbClr val="5A5B6D"/>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Aptos" panose="020B0004020202020204" pitchFamily="34" charset="0"/>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Table'!$E$14:$E$20</c:f>
              <c:strCache>
                <c:ptCount val="6"/>
                <c:pt idx="0">
                  <c:v>Jawa Barat</c:v>
                </c:pt>
                <c:pt idx="1">
                  <c:v>Banten</c:v>
                </c:pt>
                <c:pt idx="2">
                  <c:v>Jawa Tengah</c:v>
                </c:pt>
                <c:pt idx="3">
                  <c:v>Jawa Timur</c:v>
                </c:pt>
                <c:pt idx="4">
                  <c:v>Yogyakarta</c:v>
                </c:pt>
                <c:pt idx="5">
                  <c:v>Jabodetabek</c:v>
                </c:pt>
              </c:strCache>
            </c:strRef>
          </c:cat>
          <c:val>
            <c:numRef>
              <c:f>'Pivot Table'!$F$14:$F$20</c:f>
              <c:numCache>
                <c:formatCode>[$Rp]#,##0</c:formatCode>
                <c:ptCount val="6"/>
                <c:pt idx="0">
                  <c:v>37200000</c:v>
                </c:pt>
                <c:pt idx="1">
                  <c:v>61395000</c:v>
                </c:pt>
                <c:pt idx="2">
                  <c:v>92640000</c:v>
                </c:pt>
                <c:pt idx="3">
                  <c:v>92725000</c:v>
                </c:pt>
                <c:pt idx="4">
                  <c:v>107150000</c:v>
                </c:pt>
                <c:pt idx="5">
                  <c:v>216340000</c:v>
                </c:pt>
              </c:numCache>
            </c:numRef>
          </c:val>
          <c:extLst>
            <c:ext xmlns:c16="http://schemas.microsoft.com/office/drawing/2014/chart" uri="{C3380CC4-5D6E-409C-BE32-E72D297353CC}">
              <c16:uniqueId val="{00000000-C0CB-4751-80E8-E4477756CC9C}"/>
            </c:ext>
          </c:extLst>
        </c:ser>
        <c:dLbls>
          <c:dLblPos val="outEnd"/>
          <c:showLegendKey val="0"/>
          <c:showVal val="1"/>
          <c:showCatName val="0"/>
          <c:showSerName val="0"/>
          <c:showPercent val="0"/>
          <c:showBubbleSize val="0"/>
        </c:dLbls>
        <c:gapWidth val="219"/>
        <c:overlap val="-27"/>
        <c:axId val="170382415"/>
        <c:axId val="170391535"/>
      </c:barChart>
      <c:catAx>
        <c:axId val="17038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FFF867"/>
                </a:solidFill>
                <a:latin typeface="Aptos" panose="020B0004020202020204" pitchFamily="34" charset="0"/>
                <a:ea typeface="+mn-ea"/>
                <a:cs typeface="+mn-cs"/>
              </a:defRPr>
            </a:pPr>
            <a:endParaRPr lang="id-ID"/>
          </a:p>
        </c:txPr>
        <c:crossAx val="170391535"/>
        <c:crosses val="autoZero"/>
        <c:auto val="1"/>
        <c:lblAlgn val="ctr"/>
        <c:lblOffset val="100"/>
        <c:noMultiLvlLbl val="0"/>
      </c:catAx>
      <c:valAx>
        <c:axId val="170391535"/>
        <c:scaling>
          <c:orientation val="minMax"/>
        </c:scaling>
        <c:delete val="1"/>
        <c:axPos val="l"/>
        <c:numFmt formatCode="[$Rp]#,##0" sourceLinked="1"/>
        <c:majorTickMark val="none"/>
        <c:minorTickMark val="none"/>
        <c:tickLblPos val="nextTo"/>
        <c:crossAx val="170382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lumMod val="15000"/>
          <a:lumOff val="85000"/>
        </a:schemeClr>
      </a:solidFill>
      <a:round/>
    </a:ln>
    <a:effectLst/>
  </c:spPr>
  <c:txPr>
    <a:bodyPr/>
    <a:lstStyle/>
    <a:p>
      <a:pPr>
        <a:defRPr>
          <a:solidFill>
            <a:srgbClr val="FFF867"/>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[Tugas Kelompok Final_project_kelompok_A2_FINAL.xlsx]Pivot Table!penghasilan perkuartal</c:name>
    <c:fmtId val="40"/>
  </c:pivotSource>
  <c:chart>
    <c:title>
      <c:tx>
        <c:rich>
          <a:bodyPr rot="0" spcFirstLastPara="1" vertOverflow="ellipsis" vert="horz" wrap="square" anchor="ctr" anchorCtr="1"/>
          <a:lstStyle/>
          <a:p>
            <a:pPr>
              <a:defRPr sz="1400" b="0" i="0" u="none" strike="noStrike" kern="1200" spc="0" baseline="0">
                <a:solidFill>
                  <a:srgbClr val="FFF867"/>
                </a:solidFill>
                <a:latin typeface="+mn-lt"/>
                <a:ea typeface="+mn-ea"/>
                <a:cs typeface="+mn-cs"/>
              </a:defRPr>
            </a:pPr>
            <a:r>
              <a:rPr lang="en-US" sz="2000" b="1">
                <a:solidFill>
                  <a:srgbClr val="5A5B6D"/>
                </a:solidFill>
                <a:latin typeface="Aptos Display" panose="020B0004020202020204" pitchFamily="34" charset="0"/>
              </a:rPr>
              <a:t>Laba bersih</a:t>
            </a:r>
            <a:r>
              <a:rPr lang="en-US" sz="2000" b="1">
                <a:solidFill>
                  <a:schemeClr val="accent1">
                    <a:lumMod val="75000"/>
                  </a:schemeClr>
                </a:solidFill>
                <a:latin typeface="Aptos Display" panose="020B0004020202020204" pitchFamily="34" charset="0"/>
              </a:rPr>
              <a:t>/</a:t>
            </a:r>
            <a:r>
              <a:rPr lang="en-US" sz="2000" b="1">
                <a:solidFill>
                  <a:srgbClr val="FFFF00"/>
                </a:solidFill>
                <a:latin typeface="Aptos Display" panose="020B0004020202020204" pitchFamily="34" charset="0"/>
              </a:rPr>
              <a:t>Laba</a:t>
            </a:r>
            <a:r>
              <a:rPr lang="en-US" sz="2000" b="1" baseline="0">
                <a:solidFill>
                  <a:srgbClr val="FFFF00"/>
                </a:solidFill>
                <a:latin typeface="Aptos Display" panose="020B0004020202020204" pitchFamily="34" charset="0"/>
              </a:rPr>
              <a:t> Kotor</a:t>
            </a:r>
            <a:endParaRPr lang="en-US" sz="2000" b="1">
              <a:solidFill>
                <a:srgbClr val="FFFF00"/>
              </a:solidFill>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867"/>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5A5B6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ptos Display" panose="020B0004020202020204" pitchFamily="34" charset="0"/>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solidFill>
              <a:srgbClr val="FFF86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Display" panose="020B0004020202020204" pitchFamily="34" charset="0"/>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Table'!$C$114</c:f>
              <c:strCache>
                <c:ptCount val="1"/>
                <c:pt idx="0">
                  <c:v>Sum of Laba (Descount)</c:v>
                </c:pt>
              </c:strCache>
            </c:strRef>
          </c:tx>
          <c:spPr>
            <a:ln w="38100" cap="rnd">
              <a:solidFill>
                <a:srgbClr val="5A5B6D"/>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ptos Display" panose="020B0004020202020204" pitchFamily="34" charset="0"/>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Table'!$B$115:$B$119</c:f>
              <c:strCache>
                <c:ptCount val="4"/>
                <c:pt idx="0">
                  <c:v>Qtr1</c:v>
                </c:pt>
                <c:pt idx="1">
                  <c:v>Qtr2</c:v>
                </c:pt>
                <c:pt idx="2">
                  <c:v>Qtr3</c:v>
                </c:pt>
                <c:pt idx="3">
                  <c:v>Qtr4</c:v>
                </c:pt>
              </c:strCache>
            </c:strRef>
          </c:cat>
          <c:val>
            <c:numRef>
              <c:f>'Pivot Table'!$C$115:$C$119</c:f>
              <c:numCache>
                <c:formatCode>_-[$Rp-421]* #,##0.00_-;\-[$Rp-421]* #,##0.00_-;_-[$Rp-421]* "-"??_-;_-@_-</c:formatCode>
                <c:ptCount val="4"/>
                <c:pt idx="0">
                  <c:v>72143250</c:v>
                </c:pt>
                <c:pt idx="1">
                  <c:v>59551500</c:v>
                </c:pt>
                <c:pt idx="2">
                  <c:v>81473250</c:v>
                </c:pt>
                <c:pt idx="3">
                  <c:v>71007250</c:v>
                </c:pt>
              </c:numCache>
            </c:numRef>
          </c:val>
          <c:smooth val="0"/>
          <c:extLst>
            <c:ext xmlns:c16="http://schemas.microsoft.com/office/drawing/2014/chart" uri="{C3380CC4-5D6E-409C-BE32-E72D297353CC}">
              <c16:uniqueId val="{00000000-E7C2-4F1B-B0B7-783B4DD5A754}"/>
            </c:ext>
          </c:extLst>
        </c:ser>
        <c:ser>
          <c:idx val="1"/>
          <c:order val="1"/>
          <c:tx>
            <c:strRef>
              <c:f>'Pivot Table'!$D$114</c:f>
              <c:strCache>
                <c:ptCount val="1"/>
                <c:pt idx="0">
                  <c:v>Sum of Laba</c:v>
                </c:pt>
              </c:strCache>
            </c:strRef>
          </c:tx>
          <c:spPr>
            <a:ln w="38100" cap="rnd">
              <a:solidFill>
                <a:srgbClr val="FFF867"/>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Display" panose="020B0004020202020204" pitchFamily="34" charset="0"/>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Table'!$B$115:$B$119</c:f>
              <c:strCache>
                <c:ptCount val="4"/>
                <c:pt idx="0">
                  <c:v>Qtr1</c:v>
                </c:pt>
                <c:pt idx="1">
                  <c:v>Qtr2</c:v>
                </c:pt>
                <c:pt idx="2">
                  <c:v>Qtr3</c:v>
                </c:pt>
                <c:pt idx="3">
                  <c:v>Qtr4</c:v>
                </c:pt>
              </c:strCache>
            </c:strRef>
          </c:cat>
          <c:val>
            <c:numRef>
              <c:f>'Pivot Table'!$D$115:$D$119</c:f>
              <c:numCache>
                <c:formatCode>_-[$Rp-421]* #,##0.00_-;\-[$Rp-421]* #,##0.00_-;_-[$Rp-421]* "-"??_-;_-@_-</c:formatCode>
                <c:ptCount val="4"/>
                <c:pt idx="0">
                  <c:v>89615000</c:v>
                </c:pt>
                <c:pt idx="1">
                  <c:v>75010000</c:v>
                </c:pt>
                <c:pt idx="2">
                  <c:v>102240000</c:v>
                </c:pt>
                <c:pt idx="3">
                  <c:v>89055000</c:v>
                </c:pt>
              </c:numCache>
            </c:numRef>
          </c:val>
          <c:smooth val="0"/>
          <c:extLst>
            <c:ext xmlns:c16="http://schemas.microsoft.com/office/drawing/2014/chart" uri="{C3380CC4-5D6E-409C-BE32-E72D297353CC}">
              <c16:uniqueId val="{00000001-E7C2-4F1B-B0B7-783B4DD5A754}"/>
            </c:ext>
          </c:extLst>
        </c:ser>
        <c:dLbls>
          <c:showLegendKey val="0"/>
          <c:showVal val="1"/>
          <c:showCatName val="0"/>
          <c:showSerName val="0"/>
          <c:showPercent val="0"/>
          <c:showBubbleSize val="0"/>
        </c:dLbls>
        <c:smooth val="0"/>
        <c:axId val="306854207"/>
        <c:axId val="306854687"/>
      </c:lineChart>
      <c:catAx>
        <c:axId val="30685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867"/>
                </a:solidFill>
                <a:latin typeface="+mn-lt"/>
                <a:ea typeface="+mn-ea"/>
                <a:cs typeface="+mn-cs"/>
              </a:defRPr>
            </a:pPr>
            <a:endParaRPr lang="id-ID"/>
          </a:p>
        </c:txPr>
        <c:crossAx val="306854687"/>
        <c:crosses val="autoZero"/>
        <c:auto val="1"/>
        <c:lblAlgn val="ctr"/>
        <c:lblOffset val="100"/>
        <c:noMultiLvlLbl val="0"/>
      </c:catAx>
      <c:valAx>
        <c:axId val="306854687"/>
        <c:scaling>
          <c:orientation val="minMax"/>
        </c:scaling>
        <c:delete val="1"/>
        <c:axPos val="l"/>
        <c:numFmt formatCode="_-[$Rp-421]* #,##0.00_-;\-[$Rp-421]* #,##0.00_-;_-[$Rp-421]* &quot;-&quot;??_-;_-@_-" sourceLinked="1"/>
        <c:majorTickMark val="none"/>
        <c:minorTickMark val="none"/>
        <c:tickLblPos val="nextTo"/>
        <c:crossAx val="306854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lumMod val="15000"/>
          <a:lumOff val="85000"/>
        </a:schemeClr>
      </a:solidFill>
      <a:round/>
    </a:ln>
    <a:effectLst/>
  </c:spPr>
  <c:txPr>
    <a:bodyPr/>
    <a:lstStyle/>
    <a:p>
      <a:pPr>
        <a:defRPr>
          <a:solidFill>
            <a:srgbClr val="FFF867"/>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[Tugas Kelompok Final_project_kelompok_A2_FINAL.xlsx]Pivot Table!Rasio modal kerja</c:name>
    <c:fmtId val="14"/>
  </c:pivotSource>
  <c:chart>
    <c:title>
      <c:tx>
        <c:rich>
          <a:bodyPr rot="0" spcFirstLastPara="1" vertOverflow="ellipsis" vert="horz" wrap="square" anchor="ctr" anchorCtr="1"/>
          <a:lstStyle/>
          <a:p>
            <a:pPr>
              <a:defRPr sz="1400" b="0" i="0" u="none" strike="noStrike" kern="1200" spc="0" baseline="0">
                <a:solidFill>
                  <a:srgbClr val="FFF867"/>
                </a:solidFill>
                <a:latin typeface="+mn-lt"/>
                <a:ea typeface="+mn-ea"/>
                <a:cs typeface="+mn-cs"/>
              </a:defRPr>
            </a:pPr>
            <a:r>
              <a:rPr lang="en-US" sz="2000" b="1">
                <a:latin typeface="Aptos Display" panose="020B0004020202020204" pitchFamily="34" charset="0"/>
              </a:rPr>
              <a:t>Return</a:t>
            </a:r>
            <a:r>
              <a:rPr lang="en-US" sz="2000" b="1" baseline="0">
                <a:latin typeface="Aptos Display" panose="020B0004020202020204" pitchFamily="34" charset="0"/>
              </a:rPr>
              <a:t> On Equity</a:t>
            </a:r>
            <a:endParaRPr lang="en-US" sz="2000" b="1">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867"/>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bg2"/>
                  </a:solidFill>
                  <a:latin typeface="Aptos Display" panose="020B0004020202020204" pitchFamily="34" charset="0"/>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067640922351568E-2"/>
          <c:y val="0.15224801849522074"/>
          <c:w val="0.89788743424266682"/>
          <c:h val="0.72594409024031392"/>
        </c:manualLayout>
      </c:layout>
      <c:lineChart>
        <c:grouping val="standard"/>
        <c:varyColors val="0"/>
        <c:ser>
          <c:idx val="0"/>
          <c:order val="0"/>
          <c:tx>
            <c:strRef>
              <c:f>'Pivot Table'!$C$123</c:f>
              <c:strCache>
                <c:ptCount val="1"/>
                <c:pt idx="0">
                  <c:v>Total</c:v>
                </c:pt>
              </c:strCache>
            </c:strRef>
          </c:tx>
          <c:spPr>
            <a:ln w="38100" cap="rnd">
              <a:solidFill>
                <a:srgbClr val="FFFF00"/>
              </a:solidFill>
              <a:round/>
            </a:ln>
            <a:effectLst/>
          </c:spPr>
          <c:marker>
            <c:symbol val="none"/>
          </c:marker>
          <c:dLbls>
            <c:spPr>
              <a:noFill/>
              <a:ln>
                <a:noFill/>
              </a:ln>
              <a:effectLst/>
            </c:spPr>
            <c:txPr>
              <a:bodyPr rot="0" spcFirstLastPara="1" vertOverflow="ellipsis" vert="horz" wrap="square" anchor="ctr" anchorCtr="1"/>
              <a:lstStyle/>
              <a:p>
                <a:pPr>
                  <a:defRPr sz="1600" b="1" i="0" u="none" strike="noStrike" kern="1200" baseline="0">
                    <a:solidFill>
                      <a:schemeClr val="bg2"/>
                    </a:solidFill>
                    <a:latin typeface="Aptos Display" panose="020B0004020202020204" pitchFamily="34" charset="0"/>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Table'!$B$124:$B$128</c:f>
              <c:strCache>
                <c:ptCount val="4"/>
                <c:pt idx="0">
                  <c:v>Qtr1</c:v>
                </c:pt>
                <c:pt idx="1">
                  <c:v>Qtr2</c:v>
                </c:pt>
                <c:pt idx="2">
                  <c:v>Qtr3</c:v>
                </c:pt>
                <c:pt idx="3">
                  <c:v>Qtr4</c:v>
                </c:pt>
              </c:strCache>
            </c:strRef>
          </c:cat>
          <c:val>
            <c:numRef>
              <c:f>'Pivot Table'!$C$124:$C$128</c:f>
              <c:numCache>
                <c:formatCode>0%</c:formatCode>
                <c:ptCount val="4"/>
                <c:pt idx="0">
                  <c:v>1.1425013856995803</c:v>
                </c:pt>
                <c:pt idx="1">
                  <c:v>1.1027034533839459</c:v>
                </c:pt>
                <c:pt idx="2">
                  <c:v>1.1500211729832734</c:v>
                </c:pt>
                <c:pt idx="3">
                  <c:v>1.1176084048162429</c:v>
                </c:pt>
              </c:numCache>
            </c:numRef>
          </c:val>
          <c:smooth val="0"/>
          <c:extLst>
            <c:ext xmlns:c16="http://schemas.microsoft.com/office/drawing/2014/chart" uri="{C3380CC4-5D6E-409C-BE32-E72D297353CC}">
              <c16:uniqueId val="{00000000-C214-4968-A633-0F2B41263FAF}"/>
            </c:ext>
          </c:extLst>
        </c:ser>
        <c:dLbls>
          <c:showLegendKey val="0"/>
          <c:showVal val="1"/>
          <c:showCatName val="0"/>
          <c:showSerName val="0"/>
          <c:showPercent val="0"/>
          <c:showBubbleSize val="0"/>
        </c:dLbls>
        <c:smooth val="0"/>
        <c:axId val="306811487"/>
        <c:axId val="306819647"/>
      </c:lineChart>
      <c:catAx>
        <c:axId val="30681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FFF867"/>
                </a:solidFill>
                <a:latin typeface="Aptos Display" panose="020B0004020202020204" pitchFamily="34" charset="0"/>
                <a:ea typeface="+mn-ea"/>
                <a:cs typeface="+mn-cs"/>
              </a:defRPr>
            </a:pPr>
            <a:endParaRPr lang="id-ID"/>
          </a:p>
        </c:txPr>
        <c:crossAx val="306819647"/>
        <c:crosses val="autoZero"/>
        <c:auto val="1"/>
        <c:lblAlgn val="ctr"/>
        <c:lblOffset val="100"/>
        <c:noMultiLvlLbl val="0"/>
      </c:catAx>
      <c:valAx>
        <c:axId val="3068196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FFF867"/>
                </a:solidFill>
                <a:latin typeface="+mn-lt"/>
                <a:ea typeface="+mn-ea"/>
                <a:cs typeface="+mn-cs"/>
              </a:defRPr>
            </a:pPr>
            <a:endParaRPr lang="id-ID"/>
          </a:p>
        </c:txPr>
        <c:crossAx val="306811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lumMod val="15000"/>
          <a:lumOff val="85000"/>
        </a:schemeClr>
      </a:solidFill>
      <a:round/>
    </a:ln>
    <a:effectLst/>
  </c:spPr>
  <c:txPr>
    <a:bodyPr/>
    <a:lstStyle/>
    <a:p>
      <a:pPr>
        <a:defRPr>
          <a:solidFill>
            <a:srgbClr val="FFF867"/>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[Tugas Kelompok Final_project_kelompok_A2_FINAL.xlsx]Pivot Table!Rasio diskon</c:name>
    <c:fmtId val="25"/>
  </c:pivotSource>
  <c:chart>
    <c:title>
      <c:tx>
        <c:rich>
          <a:bodyPr rot="0" spcFirstLastPara="1" vertOverflow="ellipsis" vert="horz" wrap="square" anchor="ctr" anchorCtr="1"/>
          <a:lstStyle/>
          <a:p>
            <a:pPr>
              <a:defRPr sz="2000" b="1" i="0" u="none" strike="noStrike" kern="1200" spc="0" baseline="0">
                <a:solidFill>
                  <a:srgbClr val="FFF867"/>
                </a:solidFill>
                <a:latin typeface="Aptos Display" panose="020B0004020202020204" pitchFamily="34" charset="0"/>
                <a:ea typeface="+mn-ea"/>
                <a:cs typeface="+mn-cs"/>
              </a:defRPr>
            </a:pPr>
            <a:r>
              <a:rPr lang="en-US" sz="2000"/>
              <a:t>Rasio Diskon</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FFF867"/>
              </a:solidFill>
              <a:latin typeface="Aptos Display" panose="020B0004020202020204" pitchFamily="34" charset="0"/>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5B6D"/>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rgbClr val="FFF867"/>
                  </a:solidFill>
                  <a:latin typeface="Aptos Display" panose="020B0004020202020204" pitchFamily="34" charset="0"/>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694575735365852E-2"/>
          <c:y val="0.18126883573947916"/>
          <c:w val="0.87986089238845144"/>
          <c:h val="0.73111111111111116"/>
        </c:manualLayout>
      </c:layout>
      <c:barChart>
        <c:barDir val="col"/>
        <c:grouping val="clustered"/>
        <c:varyColors val="0"/>
        <c:ser>
          <c:idx val="0"/>
          <c:order val="0"/>
          <c:tx>
            <c:strRef>
              <c:f>'Pivot Table'!$F$129</c:f>
              <c:strCache>
                <c:ptCount val="1"/>
                <c:pt idx="0">
                  <c:v>Total</c:v>
                </c:pt>
              </c:strCache>
            </c:strRef>
          </c:tx>
          <c:spPr>
            <a:solidFill>
              <a:srgbClr val="5A5B6D"/>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rgbClr val="FFF867"/>
                    </a:solidFill>
                    <a:latin typeface="Aptos Display" panose="020B0004020202020204" pitchFamily="34" charset="0"/>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Table'!$E$130:$E$134</c:f>
              <c:strCache>
                <c:ptCount val="4"/>
                <c:pt idx="0">
                  <c:v>Qtr1</c:v>
                </c:pt>
                <c:pt idx="1">
                  <c:v>Qtr2</c:v>
                </c:pt>
                <c:pt idx="2">
                  <c:v>Qtr3</c:v>
                </c:pt>
                <c:pt idx="3">
                  <c:v>Qtr4</c:v>
                </c:pt>
              </c:strCache>
            </c:strRef>
          </c:cat>
          <c:val>
            <c:numRef>
              <c:f>'Pivot Table'!$F$130:$F$134</c:f>
              <c:numCache>
                <c:formatCode>0%</c:formatCode>
                <c:ptCount val="4"/>
                <c:pt idx="0">
                  <c:v>0.1949645706633934</c:v>
                </c:pt>
                <c:pt idx="1">
                  <c:v>0.20608585521930409</c:v>
                </c:pt>
                <c:pt idx="2">
                  <c:v>0.20311766431924883</c:v>
                </c:pt>
                <c:pt idx="3">
                  <c:v>0.20265846948514962</c:v>
                </c:pt>
              </c:numCache>
            </c:numRef>
          </c:val>
          <c:extLst>
            <c:ext xmlns:c16="http://schemas.microsoft.com/office/drawing/2014/chart" uri="{C3380CC4-5D6E-409C-BE32-E72D297353CC}">
              <c16:uniqueId val="{00000000-EF0A-4692-83C3-C70A7D5B6CBB}"/>
            </c:ext>
          </c:extLst>
        </c:ser>
        <c:dLbls>
          <c:dLblPos val="outEnd"/>
          <c:showLegendKey val="0"/>
          <c:showVal val="1"/>
          <c:showCatName val="0"/>
          <c:showSerName val="0"/>
          <c:showPercent val="0"/>
          <c:showBubbleSize val="0"/>
        </c:dLbls>
        <c:gapWidth val="219"/>
        <c:overlap val="-27"/>
        <c:axId val="170415055"/>
        <c:axId val="170425615"/>
      </c:barChart>
      <c:catAx>
        <c:axId val="17041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FFF867"/>
                </a:solidFill>
                <a:latin typeface="Aptos Display" panose="020B0004020202020204" pitchFamily="34" charset="0"/>
                <a:ea typeface="+mn-ea"/>
                <a:cs typeface="+mn-cs"/>
              </a:defRPr>
            </a:pPr>
            <a:endParaRPr lang="id-ID"/>
          </a:p>
        </c:txPr>
        <c:crossAx val="170425615"/>
        <c:crosses val="autoZero"/>
        <c:auto val="1"/>
        <c:lblAlgn val="ctr"/>
        <c:lblOffset val="100"/>
        <c:noMultiLvlLbl val="0"/>
      </c:catAx>
      <c:valAx>
        <c:axId val="1704256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FFF867"/>
                </a:solidFill>
                <a:latin typeface="Aptos Display" panose="020B0004020202020204" pitchFamily="34" charset="0"/>
                <a:ea typeface="+mn-ea"/>
                <a:cs typeface="+mn-cs"/>
              </a:defRPr>
            </a:pPr>
            <a:endParaRPr lang="id-ID"/>
          </a:p>
        </c:txPr>
        <c:crossAx val="170415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lumMod val="15000"/>
          <a:lumOff val="85000"/>
        </a:schemeClr>
      </a:solidFill>
      <a:round/>
    </a:ln>
    <a:effectLst/>
  </c:spPr>
  <c:txPr>
    <a:bodyPr/>
    <a:lstStyle/>
    <a:p>
      <a:pPr>
        <a:defRPr sz="1200" b="1">
          <a:solidFill>
            <a:srgbClr val="FFF867"/>
          </a:solidFill>
          <a:latin typeface="Aptos Display" panose="020B0004020202020204" pitchFamily="34" charset="0"/>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[Tugas Kelompok Final_project_kelompok_A2_FINAL.xlsx]Pivot Table!Rasio keuntungan</c:name>
    <c:fmtId val="20"/>
  </c:pivotSource>
  <c:chart>
    <c:title>
      <c:tx>
        <c:rich>
          <a:bodyPr rot="0" spcFirstLastPara="1" vertOverflow="ellipsis" vert="horz" wrap="square" anchor="ctr" anchorCtr="1"/>
          <a:lstStyle/>
          <a:p>
            <a:pPr>
              <a:defRPr sz="1400" b="0" i="0" u="none" strike="noStrike" kern="1200" spc="0" baseline="0">
                <a:solidFill>
                  <a:srgbClr val="FFF867"/>
                </a:solidFill>
                <a:latin typeface="+mn-lt"/>
                <a:ea typeface="+mn-ea"/>
                <a:cs typeface="+mn-cs"/>
              </a:defRPr>
            </a:pPr>
            <a:r>
              <a:rPr lang="en-US" sz="2000" b="1">
                <a:latin typeface="Aptos Display" panose="020B0004020202020204" pitchFamily="34" charset="0"/>
              </a:rPr>
              <a:t>Profit</a:t>
            </a:r>
            <a:r>
              <a:rPr lang="en-US" sz="2000" b="1" baseline="0">
                <a:latin typeface="Aptos Display" panose="020B0004020202020204" pitchFamily="34" charset="0"/>
              </a:rPr>
              <a:t> Margin</a:t>
            </a:r>
            <a:endParaRPr lang="en-US" sz="2000" b="1">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867"/>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Aptos Display" panose="020B0004020202020204" pitchFamily="34" charset="0"/>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573853227229142E-2"/>
          <c:y val="0.16563408515126216"/>
          <c:w val="0.8950153527403184"/>
          <c:h val="0.74750583554894212"/>
        </c:manualLayout>
      </c:layout>
      <c:lineChart>
        <c:grouping val="standard"/>
        <c:varyColors val="0"/>
        <c:ser>
          <c:idx val="0"/>
          <c:order val="0"/>
          <c:tx>
            <c:strRef>
              <c:f>'Pivot Table'!$I$114</c:f>
              <c:strCache>
                <c:ptCount val="1"/>
                <c:pt idx="0">
                  <c:v>Total</c:v>
                </c:pt>
              </c:strCache>
            </c:strRef>
          </c:tx>
          <c:spPr>
            <a:ln w="38100" cap="rnd">
              <a:solidFill>
                <a:schemeClr val="accent3">
                  <a:lumMod val="60000"/>
                  <a:lumOff val="40000"/>
                </a:schemeClr>
              </a:solidFill>
              <a:round/>
            </a:ln>
            <a:effectLst/>
          </c:spPr>
          <c:marker>
            <c:symbol val="none"/>
          </c:marker>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Aptos Display" panose="020B0004020202020204" pitchFamily="34" charset="0"/>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Table'!$H$115:$H$119</c:f>
              <c:strCache>
                <c:ptCount val="4"/>
                <c:pt idx="0">
                  <c:v>Qtr1</c:v>
                </c:pt>
                <c:pt idx="1">
                  <c:v>Qtr2</c:v>
                </c:pt>
                <c:pt idx="2">
                  <c:v>Qtr3</c:v>
                </c:pt>
                <c:pt idx="3">
                  <c:v>Qtr4</c:v>
                </c:pt>
              </c:strCache>
            </c:strRef>
          </c:cat>
          <c:val>
            <c:numRef>
              <c:f>'Pivot Table'!$I$115:$I$119</c:f>
              <c:numCache>
                <c:formatCode>0%</c:formatCode>
                <c:ptCount val="4"/>
                <c:pt idx="0">
                  <c:v>0.47226531814611156</c:v>
                </c:pt>
                <c:pt idx="1">
                  <c:v>0.46158586210905711</c:v>
                </c:pt>
                <c:pt idx="2">
                  <c:v>0.47071236675621803</c:v>
                </c:pt>
                <c:pt idx="3">
                  <c:v>0.46534668064748674</c:v>
                </c:pt>
              </c:numCache>
            </c:numRef>
          </c:val>
          <c:smooth val="0"/>
          <c:extLst>
            <c:ext xmlns:c16="http://schemas.microsoft.com/office/drawing/2014/chart" uri="{C3380CC4-5D6E-409C-BE32-E72D297353CC}">
              <c16:uniqueId val="{00000000-1600-47A9-B2CA-54FF9D6FE6BB}"/>
            </c:ext>
          </c:extLst>
        </c:ser>
        <c:dLbls>
          <c:showLegendKey val="0"/>
          <c:showVal val="1"/>
          <c:showCatName val="0"/>
          <c:showSerName val="0"/>
          <c:showPercent val="0"/>
          <c:showBubbleSize val="0"/>
        </c:dLbls>
        <c:smooth val="0"/>
        <c:axId val="306822527"/>
        <c:axId val="306824447"/>
      </c:lineChart>
      <c:catAx>
        <c:axId val="30682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FFF867"/>
                </a:solidFill>
                <a:latin typeface="Aptos Display" panose="020B0004020202020204" pitchFamily="34" charset="0"/>
                <a:ea typeface="+mn-ea"/>
                <a:cs typeface="+mn-cs"/>
              </a:defRPr>
            </a:pPr>
            <a:endParaRPr lang="id-ID"/>
          </a:p>
        </c:txPr>
        <c:crossAx val="306824447"/>
        <c:crosses val="autoZero"/>
        <c:auto val="1"/>
        <c:lblAlgn val="ctr"/>
        <c:lblOffset val="100"/>
        <c:noMultiLvlLbl val="0"/>
      </c:catAx>
      <c:valAx>
        <c:axId val="3068244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F867"/>
                </a:solidFill>
                <a:latin typeface="+mn-lt"/>
                <a:ea typeface="+mn-ea"/>
                <a:cs typeface="+mn-cs"/>
              </a:defRPr>
            </a:pPr>
            <a:endParaRPr lang="id-ID"/>
          </a:p>
        </c:txPr>
        <c:crossAx val="306822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lumMod val="15000"/>
          <a:lumOff val="85000"/>
        </a:schemeClr>
      </a:solidFill>
      <a:round/>
    </a:ln>
    <a:effectLst/>
  </c:spPr>
  <c:txPr>
    <a:bodyPr/>
    <a:lstStyle/>
    <a:p>
      <a:pPr>
        <a:defRPr>
          <a:solidFill>
            <a:srgbClr val="FFF867"/>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[Tugas Kelompok Final_project_kelompok_A2_FINAL.xlsx]Pivot Table!Modal Perkuartal</c:name>
    <c:fmtId val="19"/>
  </c:pivotSource>
  <c:chart>
    <c:title>
      <c:tx>
        <c:rich>
          <a:bodyPr rot="0" spcFirstLastPara="1" vertOverflow="ellipsis" vert="horz" wrap="square" anchor="ctr" anchorCtr="1"/>
          <a:lstStyle/>
          <a:p>
            <a:pPr>
              <a:defRPr sz="2000" b="1" i="0" u="none" strike="noStrike" kern="1200" spc="0" baseline="0">
                <a:solidFill>
                  <a:srgbClr val="FFF867"/>
                </a:solidFill>
                <a:latin typeface="Aptos Display" panose="020B0004020202020204" pitchFamily="34" charset="0"/>
                <a:ea typeface="+mn-ea"/>
                <a:cs typeface="+mn-cs"/>
              </a:defRPr>
            </a:pPr>
            <a:r>
              <a:rPr lang="en-US" sz="2000" b="1">
                <a:latin typeface="Aptos Display" panose="020B0004020202020204" pitchFamily="34" charset="0"/>
              </a:rPr>
              <a:t>Modal </a:t>
            </a:r>
          </a:p>
        </c:rich>
      </c:tx>
      <c:layout>
        <c:manualLayout>
          <c:xMode val="edge"/>
          <c:yMode val="edge"/>
          <c:x val="0.45683945608264248"/>
          <c:y val="5.255069171952504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rgbClr val="FFF867"/>
              </a:solidFill>
              <a:latin typeface="Aptos Display" panose="020B0004020202020204" pitchFamily="34" charset="0"/>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52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867"/>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C52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867"/>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A5B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Display" panose="020B0004020202020204" pitchFamily="34" charset="0"/>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Table'!$D$149</c:f>
              <c:strCache>
                <c:ptCount val="1"/>
                <c:pt idx="0">
                  <c:v>Total</c:v>
                </c:pt>
              </c:strCache>
            </c:strRef>
          </c:tx>
          <c:spPr>
            <a:solidFill>
              <a:srgbClr val="5A5B6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Display" panose="020B0004020202020204" pitchFamily="34" charset="0"/>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Table'!$C$150:$C$154</c:f>
              <c:strCache>
                <c:ptCount val="4"/>
                <c:pt idx="0">
                  <c:v>Qtr1</c:v>
                </c:pt>
                <c:pt idx="1">
                  <c:v>Qtr2</c:v>
                </c:pt>
                <c:pt idx="2">
                  <c:v>Qtr3</c:v>
                </c:pt>
                <c:pt idx="3">
                  <c:v>Qtr4</c:v>
                </c:pt>
              </c:strCache>
            </c:strRef>
          </c:cat>
          <c:val>
            <c:numRef>
              <c:f>'Pivot Table'!$D$150:$D$154</c:f>
              <c:numCache>
                <c:formatCode>_("Rp"* #,##0_);_("Rp"* \(#,##0\);_("Rp"* "-"_);_(@_)</c:formatCode>
                <c:ptCount val="4"/>
                <c:pt idx="0">
                  <c:v>63145000</c:v>
                </c:pt>
                <c:pt idx="1">
                  <c:v>54005000</c:v>
                </c:pt>
                <c:pt idx="2">
                  <c:v>70845000</c:v>
                </c:pt>
                <c:pt idx="3">
                  <c:v>63535000</c:v>
                </c:pt>
              </c:numCache>
            </c:numRef>
          </c:val>
          <c:extLst>
            <c:ext xmlns:c16="http://schemas.microsoft.com/office/drawing/2014/chart" uri="{C3380CC4-5D6E-409C-BE32-E72D297353CC}">
              <c16:uniqueId val="{00000000-AD69-4D0C-8D0E-470243D9CC62}"/>
            </c:ext>
          </c:extLst>
        </c:ser>
        <c:dLbls>
          <c:dLblPos val="outEnd"/>
          <c:showLegendKey val="0"/>
          <c:showVal val="1"/>
          <c:showCatName val="0"/>
          <c:showSerName val="0"/>
          <c:showPercent val="0"/>
          <c:showBubbleSize val="0"/>
        </c:dLbls>
        <c:gapWidth val="219"/>
        <c:overlap val="-27"/>
        <c:axId val="170394895"/>
        <c:axId val="170400175"/>
      </c:barChart>
      <c:catAx>
        <c:axId val="17039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FFF867"/>
                </a:solidFill>
                <a:latin typeface="+mn-lt"/>
                <a:ea typeface="+mn-ea"/>
                <a:cs typeface="+mn-cs"/>
              </a:defRPr>
            </a:pPr>
            <a:endParaRPr lang="id-ID"/>
          </a:p>
        </c:txPr>
        <c:crossAx val="170400175"/>
        <c:crosses val="autoZero"/>
        <c:auto val="1"/>
        <c:lblAlgn val="ctr"/>
        <c:lblOffset val="100"/>
        <c:noMultiLvlLbl val="0"/>
      </c:catAx>
      <c:valAx>
        <c:axId val="170400175"/>
        <c:scaling>
          <c:orientation val="minMax"/>
        </c:scaling>
        <c:delete val="1"/>
        <c:axPos val="l"/>
        <c:numFmt formatCode="_(&quot;Rp&quot;* #,##0_);_(&quot;Rp&quot;* \(#,##0\);_(&quot;Rp&quot;* &quot;-&quot;_);_(@_)" sourceLinked="1"/>
        <c:majorTickMark val="none"/>
        <c:minorTickMark val="none"/>
        <c:tickLblPos val="nextTo"/>
        <c:crossAx val="170394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lumMod val="15000"/>
          <a:lumOff val="85000"/>
        </a:schemeClr>
      </a:solidFill>
      <a:round/>
    </a:ln>
    <a:effectLst/>
  </c:spPr>
  <c:txPr>
    <a:bodyPr/>
    <a:lstStyle/>
    <a:p>
      <a:pPr>
        <a:defRPr>
          <a:solidFill>
            <a:srgbClr val="FFF867"/>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_xlchart.v1.1</cx:f>
      </cx:numDim>
    </cx:data>
  </cx:chartData>
  <cx:chart>
    <cx:title pos="t" align="ctr" overlay="0">
      <cx:tx>
        <cx:txData>
          <cx:v>Top Marketplace</cx:v>
        </cx:txData>
      </cx:tx>
      <cx:txPr>
        <a:bodyPr vertOverflow="overflow" horzOverflow="overflow" wrap="square" lIns="0" tIns="0" rIns="0" bIns="0"/>
        <a:lstStyle/>
        <a:p>
          <a:pPr algn="ctr" rtl="0">
            <a:defRPr sz="1400" b="0" i="0">
              <a:solidFill>
                <a:srgbClr val="FFF867"/>
              </a:solidFill>
              <a:latin typeface="Arial" panose="020B0604020202020204" pitchFamily="34" charset="0"/>
              <a:ea typeface="Arial" panose="020B0604020202020204" pitchFamily="34" charset="0"/>
              <a:cs typeface="Arial" panose="020B0604020202020204" pitchFamily="34" charset="0"/>
            </a:defRPr>
          </a:pPr>
          <a:r>
            <a:rPr lang="en-ID" b="1">
              <a:solidFill>
                <a:srgbClr val="FFF867"/>
              </a:solidFill>
              <a:latin typeface="Aptos Display" panose="020B0004020202020204" pitchFamily="34" charset="0"/>
            </a:rPr>
            <a:t>Top Marketplace</a:t>
          </a:r>
        </a:p>
      </cx:txPr>
    </cx:title>
    <cx:plotArea>
      <cx:plotAreaRegion>
        <cx:series layoutId="treemap" uniqueId="{CFCA6EDD-A271-46A6-839F-5C03D8E6D513}">
          <cx:tx>
            <cx:txData>
              <cx:f>_xlchart.v1.0</cx:f>
              <cx:v>BliBli Bukalapak Shopee Tokopedia</cx:v>
            </cx:txData>
          </cx:tx>
          <cx:spPr>
            <a:solidFill>
              <a:schemeClr val="accent1">
                <a:lumMod val="60000"/>
                <a:lumOff val="40000"/>
              </a:schemeClr>
            </a:solidFill>
          </cx:spPr>
          <cx:dataPt idx="1">
            <cx:spPr>
              <a:solidFill>
                <a:srgbClr val="ED5DED"/>
              </a:solidFill>
            </cx:spPr>
          </cx:dataPt>
          <cx:dataPt idx="2">
            <cx:spPr>
              <a:solidFill>
                <a:srgbClr val="FF7733"/>
              </a:solidFill>
            </cx:spPr>
          </cx:dataPt>
          <cx:dataPt idx="3">
            <cx:spPr>
              <a:solidFill>
                <a:srgbClr val="2FB824"/>
              </a:solidFill>
            </cx:spPr>
          </cx:dataPt>
          <cx:dataLabels pos="inEnd">
            <cx:txPr>
              <a:bodyPr vertOverflow="overflow" horzOverflow="overflow" wrap="square" lIns="0" tIns="0" rIns="0" bIns="0"/>
              <a:lstStyle/>
              <a:p>
                <a:pPr algn="ctr" rtl="0">
                  <a:defRPr sz="1600" b="1" i="0">
                    <a:solidFill>
                      <a:schemeClr val="bg1"/>
                    </a:solidFill>
                    <a:latin typeface="Aptos Display" panose="020B0004020202020204" pitchFamily="34" charset="0"/>
                    <a:ea typeface="Aptos Display" panose="020B0004020202020204" pitchFamily="34" charset="0"/>
                    <a:cs typeface="Aptos Display" panose="020B0004020202020204" pitchFamily="34" charset="0"/>
                  </a:defRPr>
                </a:pPr>
                <a:endParaRPr lang="en-ID" sz="1600" b="1">
                  <a:solidFill>
                    <a:schemeClr val="bg1"/>
                  </a:solidFill>
                  <a:latin typeface="Aptos Display" panose="020B0004020202020204" pitchFamily="34" charset="0"/>
                </a:endParaRPr>
              </a:p>
            </cx:txPr>
            <cx:visibility seriesName="0" categoryName="1" value="0"/>
          </cx:dataLabels>
          <cx:dataId val="0"/>
          <cx:layoutPr>
            <cx:parentLabelLayout val="overlapping"/>
          </cx:layoutPr>
        </cx:series>
      </cx:plotAreaRegion>
    </cx:plotArea>
  </cx:chart>
  <cx:spPr>
    <a:solidFill>
      <a:schemeClr val="accent1"/>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 /></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 /><Relationship Id="rId3" Type="http://schemas.openxmlformats.org/officeDocument/2006/relationships/chart" Target="../charts/chart3.xml" /><Relationship Id="rId7" Type="http://schemas.openxmlformats.org/officeDocument/2006/relationships/chart" Target="../charts/chart7.xml" /><Relationship Id="rId2" Type="http://schemas.openxmlformats.org/officeDocument/2006/relationships/chart" Target="../charts/chart2.xml" /><Relationship Id="rId1" Type="http://schemas.microsoft.com/office/2014/relationships/chartEx" Target="../charts/chartEx1.xml" /><Relationship Id="rId6" Type="http://schemas.openxmlformats.org/officeDocument/2006/relationships/chart" Target="../charts/chart6.xml" /><Relationship Id="rId5" Type="http://schemas.openxmlformats.org/officeDocument/2006/relationships/chart" Target="../charts/chart5.xml" /><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dr:twoCellAnchor>
    <xdr:from>
      <xdr:col>5</xdr:col>
      <xdr:colOff>200025</xdr:colOff>
      <xdr:row>350</xdr:row>
      <xdr:rowOff>123825</xdr:rowOff>
    </xdr:from>
    <xdr:to>
      <xdr:col>8</xdr:col>
      <xdr:colOff>990600</xdr:colOff>
      <xdr:row>367</xdr:row>
      <xdr:rowOff>114300</xdr:rowOff>
    </xdr:to>
    <xdr:graphicFrame macro="">
      <xdr:nvGraphicFramePr>
        <xdr:cNvPr id="3" name="Chart 2">
          <a:extLst>
            <a:ext uri="{FF2B5EF4-FFF2-40B4-BE49-F238E27FC236}">
              <a16:creationId xmlns:a16="http://schemas.microsoft.com/office/drawing/2014/main" id="{A2251C47-CA09-ADB2-6E83-BB28E756F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387911</xdr:colOff>
      <xdr:row>31</xdr:row>
      <xdr:rowOff>153299</xdr:rowOff>
    </xdr:from>
    <xdr:to>
      <xdr:col>14</xdr:col>
      <xdr:colOff>61139</xdr:colOff>
      <xdr:row>50</xdr:row>
      <xdr:rowOff>43492</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B6C466AE-51D1-485A-95DB-7B317985A2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id-ID" sz="1100"/>
                <a:t>Bagan ini tidak tersedia dalam versi Excel Anda.
Mengedit bentuk ini atau menyimpan buku kerja ini ke dalam format file yang berbeda akan merusak bagan secara permanen.</a:t>
              </a:r>
            </a:p>
          </xdr:txBody>
        </xdr:sp>
      </mc:Fallback>
    </mc:AlternateContent>
    <xdr:clientData/>
  </xdr:twoCellAnchor>
  <xdr:twoCellAnchor editAs="oneCell">
    <xdr:from>
      <xdr:col>0</xdr:col>
      <xdr:colOff>231775</xdr:colOff>
      <xdr:row>12</xdr:row>
      <xdr:rowOff>64060</xdr:rowOff>
    </xdr:from>
    <xdr:to>
      <xdr:col>4</xdr:col>
      <xdr:colOff>112346</xdr:colOff>
      <xdr:row>23</xdr:row>
      <xdr:rowOff>8304</xdr:rowOff>
    </xdr:to>
    <mc:AlternateContent xmlns:mc="http://schemas.openxmlformats.org/markup-compatibility/2006" xmlns:a14="http://schemas.microsoft.com/office/drawing/2010/main">
      <mc:Choice Requires="a14">
        <xdr:graphicFrame macro="">
          <xdr:nvGraphicFramePr>
            <xdr:cNvPr id="30" name="Months (Tanggal terjual) 1">
              <a:extLst>
                <a:ext uri="{FF2B5EF4-FFF2-40B4-BE49-F238E27FC236}">
                  <a16:creationId xmlns:a16="http://schemas.microsoft.com/office/drawing/2014/main" id="{0E694DF3-DA32-40CF-9E11-F3AAF5AA9930}"/>
                </a:ext>
              </a:extLst>
            </xdr:cNvPr>
            <xdr:cNvGraphicFramePr/>
          </xdr:nvGraphicFramePr>
          <xdr:xfrm>
            <a:off x="0" y="0"/>
            <a:ext cx="0" cy="0"/>
          </xdr:xfrm>
          <a:graphic>
            <a:graphicData uri="http://schemas.microsoft.com/office/drawing/2010/slicer">
              <sle:slicer xmlns:sle="http://schemas.microsoft.com/office/drawing/2010/slicer" name="Months (Tanggal terjual) 1"/>
            </a:graphicData>
          </a:graphic>
        </xdr:graphicFrame>
      </mc:Choice>
      <mc:Fallback xmlns="">
        <xdr:sp macro="" textlink="">
          <xdr:nvSpPr>
            <xdr:cNvPr id="0" name=""/>
            <xdr:cNvSpPr>
              <a:spLocks noTextEdit="1"/>
            </xdr:cNvSpPr>
          </xdr:nvSpPr>
          <xdr:spPr>
            <a:xfrm>
              <a:off x="231775" y="2045260"/>
              <a:ext cx="2318971" cy="176034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375215</xdr:colOff>
      <xdr:row>12</xdr:row>
      <xdr:rowOff>58233</xdr:rowOff>
    </xdr:from>
    <xdr:to>
      <xdr:col>15</xdr:col>
      <xdr:colOff>241300</xdr:colOff>
      <xdr:row>30</xdr:row>
      <xdr:rowOff>119038</xdr:rowOff>
    </xdr:to>
    <xdr:graphicFrame macro="">
      <xdr:nvGraphicFramePr>
        <xdr:cNvPr id="36" name="Chart 35">
          <a:extLst>
            <a:ext uri="{FF2B5EF4-FFF2-40B4-BE49-F238E27FC236}">
              <a16:creationId xmlns:a16="http://schemas.microsoft.com/office/drawing/2014/main" id="{4602C2E1-984F-4060-A9E7-15CE990E5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364330</xdr:colOff>
      <xdr:row>51</xdr:row>
      <xdr:rowOff>67466</xdr:rowOff>
    </xdr:from>
    <xdr:to>
      <xdr:col>19</xdr:col>
      <xdr:colOff>596900</xdr:colOff>
      <xdr:row>69</xdr:row>
      <xdr:rowOff>137634</xdr:rowOff>
    </xdr:to>
    <xdr:graphicFrame macro="">
      <xdr:nvGraphicFramePr>
        <xdr:cNvPr id="40" name="Chart 39">
          <a:extLst>
            <a:ext uri="{FF2B5EF4-FFF2-40B4-BE49-F238E27FC236}">
              <a16:creationId xmlns:a16="http://schemas.microsoft.com/office/drawing/2014/main" id="{6C3E7D89-985E-4036-A366-69FCF0E9F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245408</xdr:colOff>
      <xdr:row>31</xdr:row>
      <xdr:rowOff>136151</xdr:rowOff>
    </xdr:from>
    <xdr:to>
      <xdr:col>26</xdr:col>
      <xdr:colOff>205969</xdr:colOff>
      <xdr:row>49</xdr:row>
      <xdr:rowOff>143807</xdr:rowOff>
    </xdr:to>
    <xdr:graphicFrame macro="">
      <xdr:nvGraphicFramePr>
        <xdr:cNvPr id="42" name="Chart 41">
          <a:extLst>
            <a:ext uri="{FF2B5EF4-FFF2-40B4-BE49-F238E27FC236}">
              <a16:creationId xmlns:a16="http://schemas.microsoft.com/office/drawing/2014/main" id="{193A7B92-6D16-41D5-BA37-E7E628DDA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400342</xdr:colOff>
      <xdr:row>12</xdr:row>
      <xdr:rowOff>63754</xdr:rowOff>
    </xdr:from>
    <xdr:to>
      <xdr:col>25</xdr:col>
      <xdr:colOff>357243</xdr:colOff>
      <xdr:row>30</xdr:row>
      <xdr:rowOff>133923</xdr:rowOff>
    </xdr:to>
    <xdr:graphicFrame macro="">
      <xdr:nvGraphicFramePr>
        <xdr:cNvPr id="58" name="Chart 57">
          <a:extLst>
            <a:ext uri="{FF2B5EF4-FFF2-40B4-BE49-F238E27FC236}">
              <a16:creationId xmlns:a16="http://schemas.microsoft.com/office/drawing/2014/main" id="{0AD4DC9B-0EAA-410B-A708-E578F1C96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366242</xdr:colOff>
      <xdr:row>31</xdr:row>
      <xdr:rowOff>128567</xdr:rowOff>
    </xdr:from>
    <xdr:to>
      <xdr:col>34</xdr:col>
      <xdr:colOff>368299</xdr:colOff>
      <xdr:row>50</xdr:row>
      <xdr:rowOff>33636</xdr:rowOff>
    </xdr:to>
    <xdr:graphicFrame macro="">
      <xdr:nvGraphicFramePr>
        <xdr:cNvPr id="60" name="Chart 59">
          <a:extLst>
            <a:ext uri="{FF2B5EF4-FFF2-40B4-BE49-F238E27FC236}">
              <a16:creationId xmlns:a16="http://schemas.microsoft.com/office/drawing/2014/main" id="{38869316-6C9B-42CE-8047-F29FCCEB0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492370</xdr:colOff>
      <xdr:row>12</xdr:row>
      <xdr:rowOff>52715</xdr:rowOff>
    </xdr:from>
    <xdr:to>
      <xdr:col>34</xdr:col>
      <xdr:colOff>397178</xdr:colOff>
      <xdr:row>30</xdr:row>
      <xdr:rowOff>122884</xdr:rowOff>
    </xdr:to>
    <xdr:graphicFrame macro="">
      <xdr:nvGraphicFramePr>
        <xdr:cNvPr id="62" name="Chart 61">
          <a:extLst>
            <a:ext uri="{FF2B5EF4-FFF2-40B4-BE49-F238E27FC236}">
              <a16:creationId xmlns:a16="http://schemas.microsoft.com/office/drawing/2014/main" id="{150C9F8C-C12A-4851-90FB-426389909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225221</xdr:colOff>
      <xdr:row>23</xdr:row>
      <xdr:rowOff>120291</xdr:rowOff>
    </xdr:from>
    <xdr:to>
      <xdr:col>4</xdr:col>
      <xdr:colOff>97691</xdr:colOff>
      <xdr:row>32</xdr:row>
      <xdr:rowOff>15631</xdr:rowOff>
    </xdr:to>
    <mc:AlternateContent xmlns:mc="http://schemas.openxmlformats.org/markup-compatibility/2006" xmlns:a14="http://schemas.microsoft.com/office/drawing/2010/main">
      <mc:Choice Requires="a14">
        <xdr:graphicFrame macro="">
          <xdr:nvGraphicFramePr>
            <xdr:cNvPr id="64" name="Quarters (Tanggal terjual) 1">
              <a:extLst>
                <a:ext uri="{FF2B5EF4-FFF2-40B4-BE49-F238E27FC236}">
                  <a16:creationId xmlns:a16="http://schemas.microsoft.com/office/drawing/2014/main" id="{C4905EAF-0DB2-4014-80B3-099088FA57C2}"/>
                </a:ext>
              </a:extLst>
            </xdr:cNvPr>
            <xdr:cNvGraphicFramePr/>
          </xdr:nvGraphicFramePr>
          <xdr:xfrm>
            <a:off x="0" y="0"/>
            <a:ext cx="0" cy="0"/>
          </xdr:xfrm>
          <a:graphic>
            <a:graphicData uri="http://schemas.microsoft.com/office/drawing/2010/slicer">
              <sle:slicer xmlns:sle="http://schemas.microsoft.com/office/drawing/2010/slicer" name="Quarters (Tanggal terjual) 1"/>
            </a:graphicData>
          </a:graphic>
        </xdr:graphicFrame>
      </mc:Choice>
      <mc:Fallback xmlns="">
        <xdr:sp macro="" textlink="">
          <xdr:nvSpPr>
            <xdr:cNvPr id="0" name=""/>
            <xdr:cNvSpPr>
              <a:spLocks noTextEdit="1"/>
            </xdr:cNvSpPr>
          </xdr:nvSpPr>
          <xdr:spPr>
            <a:xfrm>
              <a:off x="225221" y="3917591"/>
              <a:ext cx="2310870" cy="138124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228668</xdr:colOff>
      <xdr:row>32</xdr:row>
      <xdr:rowOff>107505</xdr:rowOff>
    </xdr:from>
    <xdr:to>
      <xdr:col>4</xdr:col>
      <xdr:colOff>83038</xdr:colOff>
      <xdr:row>39</xdr:row>
      <xdr:rowOff>158650</xdr:rowOff>
    </xdr:to>
    <mc:AlternateContent xmlns:mc="http://schemas.openxmlformats.org/markup-compatibility/2006" xmlns:a14="http://schemas.microsoft.com/office/drawing/2010/main">
      <mc:Choice Requires="a14">
        <xdr:graphicFrame macro="">
          <xdr:nvGraphicFramePr>
            <xdr:cNvPr id="67" name="Marketplace 1">
              <a:extLst>
                <a:ext uri="{FF2B5EF4-FFF2-40B4-BE49-F238E27FC236}">
                  <a16:creationId xmlns:a16="http://schemas.microsoft.com/office/drawing/2014/main" id="{9845BDEE-3702-4FF6-9C52-0030C7B2B508}"/>
                </a:ext>
              </a:extLst>
            </xdr:cNvPr>
            <xdr:cNvGraphicFramePr/>
          </xdr:nvGraphicFramePr>
          <xdr:xfrm>
            <a:off x="0" y="0"/>
            <a:ext cx="0" cy="0"/>
          </xdr:xfrm>
          <a:graphic>
            <a:graphicData uri="http://schemas.microsoft.com/office/drawing/2010/slicer">
              <sle:slicer xmlns:sle="http://schemas.microsoft.com/office/drawing/2010/slicer" name="Marketplace 1"/>
            </a:graphicData>
          </a:graphic>
        </xdr:graphicFrame>
      </mc:Choice>
      <mc:Fallback xmlns="">
        <xdr:sp macro="" textlink="">
          <xdr:nvSpPr>
            <xdr:cNvPr id="0" name=""/>
            <xdr:cNvSpPr>
              <a:spLocks noTextEdit="1"/>
            </xdr:cNvSpPr>
          </xdr:nvSpPr>
          <xdr:spPr>
            <a:xfrm>
              <a:off x="228668" y="5390705"/>
              <a:ext cx="2292770" cy="120684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241300</xdr:colOff>
      <xdr:row>52</xdr:row>
      <xdr:rowOff>112185</xdr:rowOff>
    </xdr:from>
    <xdr:to>
      <xdr:col>4</xdr:col>
      <xdr:colOff>38344</xdr:colOff>
      <xdr:row>70</xdr:row>
      <xdr:rowOff>0</xdr:rowOff>
    </xdr:to>
    <mc:AlternateContent xmlns:mc="http://schemas.openxmlformats.org/markup-compatibility/2006" xmlns:a14="http://schemas.microsoft.com/office/drawing/2010/main">
      <mc:Choice Requires="a14">
        <xdr:graphicFrame macro="">
          <xdr:nvGraphicFramePr>
            <xdr:cNvPr id="69" name="Jenis item 1">
              <a:extLst>
                <a:ext uri="{FF2B5EF4-FFF2-40B4-BE49-F238E27FC236}">
                  <a16:creationId xmlns:a16="http://schemas.microsoft.com/office/drawing/2014/main" id="{F8FE6F8F-1F10-4DB5-9B23-03F1F742B31B}"/>
                </a:ext>
              </a:extLst>
            </xdr:cNvPr>
            <xdr:cNvGraphicFramePr/>
          </xdr:nvGraphicFramePr>
          <xdr:xfrm>
            <a:off x="0" y="0"/>
            <a:ext cx="0" cy="0"/>
          </xdr:xfrm>
          <a:graphic>
            <a:graphicData uri="http://schemas.microsoft.com/office/drawing/2010/slicer">
              <sle:slicer xmlns:sle="http://schemas.microsoft.com/office/drawing/2010/slicer" name="Jenis item 1"/>
            </a:graphicData>
          </a:graphic>
        </xdr:graphicFrame>
      </mc:Choice>
      <mc:Fallback xmlns="">
        <xdr:sp macro="" textlink="">
          <xdr:nvSpPr>
            <xdr:cNvPr id="0" name=""/>
            <xdr:cNvSpPr>
              <a:spLocks noTextEdit="1"/>
            </xdr:cNvSpPr>
          </xdr:nvSpPr>
          <xdr:spPr>
            <a:xfrm>
              <a:off x="241300" y="8697385"/>
              <a:ext cx="2235444" cy="285961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228457</xdr:colOff>
      <xdr:row>40</xdr:row>
      <xdr:rowOff>110768</xdr:rowOff>
    </xdr:from>
    <xdr:to>
      <xdr:col>4</xdr:col>
      <xdr:colOff>53729</xdr:colOff>
      <xdr:row>51</xdr:row>
      <xdr:rowOff>146537</xdr:rowOff>
    </xdr:to>
    <mc:AlternateContent xmlns:mc="http://schemas.openxmlformats.org/markup-compatibility/2006" xmlns:a14="http://schemas.microsoft.com/office/drawing/2010/main">
      <mc:Choice Requires="a14">
        <xdr:graphicFrame macro="">
          <xdr:nvGraphicFramePr>
            <xdr:cNvPr id="71" name="Lokasi pembeli 1">
              <a:extLst>
                <a:ext uri="{FF2B5EF4-FFF2-40B4-BE49-F238E27FC236}">
                  <a16:creationId xmlns:a16="http://schemas.microsoft.com/office/drawing/2014/main" id="{41084D72-E158-4D39-81A6-C84AEAE7C736}"/>
                </a:ext>
              </a:extLst>
            </xdr:cNvPr>
            <xdr:cNvGraphicFramePr/>
          </xdr:nvGraphicFramePr>
          <xdr:xfrm>
            <a:off x="0" y="0"/>
            <a:ext cx="0" cy="0"/>
          </xdr:xfrm>
          <a:graphic>
            <a:graphicData uri="http://schemas.microsoft.com/office/drawing/2010/slicer">
              <sle:slicer xmlns:sle="http://schemas.microsoft.com/office/drawing/2010/slicer" name="Lokasi pembeli 1"/>
            </a:graphicData>
          </a:graphic>
        </xdr:graphicFrame>
      </mc:Choice>
      <mc:Fallback xmlns="">
        <xdr:sp macro="" textlink="">
          <xdr:nvSpPr>
            <xdr:cNvPr id="0" name=""/>
            <xdr:cNvSpPr>
              <a:spLocks noTextEdit="1"/>
            </xdr:cNvSpPr>
          </xdr:nvSpPr>
          <xdr:spPr>
            <a:xfrm>
              <a:off x="228457" y="6714768"/>
              <a:ext cx="2263672" cy="185186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7</xdr:col>
      <xdr:colOff>117230</xdr:colOff>
      <xdr:row>3</xdr:row>
      <xdr:rowOff>14120</xdr:rowOff>
    </xdr:from>
    <xdr:ext cx="2505808" cy="380999"/>
    <xdr:sp macro="" textlink="">
      <xdr:nvSpPr>
        <xdr:cNvPr id="6" name="TextBox 5">
          <a:extLst>
            <a:ext uri="{FF2B5EF4-FFF2-40B4-BE49-F238E27FC236}">
              <a16:creationId xmlns:a16="http://schemas.microsoft.com/office/drawing/2014/main" id="{CBD917D4-7594-3ECD-256F-F2637987E071}"/>
            </a:ext>
          </a:extLst>
        </xdr:cNvPr>
        <xdr:cNvSpPr txBox="1"/>
      </xdr:nvSpPr>
      <xdr:spPr>
        <a:xfrm>
          <a:off x="4364674" y="500953"/>
          <a:ext cx="2505808" cy="380999"/>
        </a:xfrm>
        <a:prstGeom prst="rect">
          <a:avLst/>
        </a:prstGeom>
        <a:solidFill>
          <a:srgbClr val="5A5B6D"/>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D" sz="1800" b="1" kern="1200">
              <a:solidFill>
                <a:srgbClr val="FFF867"/>
              </a:solidFill>
              <a:latin typeface="Aptos Display" panose="020B0004020202020204" pitchFamily="34" charset="0"/>
            </a:rPr>
            <a:t>Total Penjualan</a:t>
          </a:r>
        </a:p>
      </xdr:txBody>
    </xdr:sp>
    <xdr:clientData/>
  </xdr:oneCellAnchor>
  <xdr:oneCellAnchor>
    <xdr:from>
      <xdr:col>11</xdr:col>
      <xdr:colOff>385558</xdr:colOff>
      <xdr:row>3</xdr:row>
      <xdr:rowOff>16172</xdr:rowOff>
    </xdr:from>
    <xdr:ext cx="2505808" cy="380999"/>
    <xdr:sp macro="" textlink="">
      <xdr:nvSpPr>
        <xdr:cNvPr id="12" name="TextBox 11">
          <a:extLst>
            <a:ext uri="{FF2B5EF4-FFF2-40B4-BE49-F238E27FC236}">
              <a16:creationId xmlns:a16="http://schemas.microsoft.com/office/drawing/2014/main" id="{4E383382-F68A-4C13-9DE8-A98D29041AB3}"/>
            </a:ext>
          </a:extLst>
        </xdr:cNvPr>
        <xdr:cNvSpPr txBox="1"/>
      </xdr:nvSpPr>
      <xdr:spPr>
        <a:xfrm>
          <a:off x="7060114" y="503005"/>
          <a:ext cx="2505808" cy="380999"/>
        </a:xfrm>
        <a:prstGeom prst="rect">
          <a:avLst/>
        </a:prstGeom>
        <a:solidFill>
          <a:srgbClr val="5A5B6D"/>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D" sz="1800" b="1" kern="1200">
              <a:solidFill>
                <a:srgbClr val="FFF867"/>
              </a:solidFill>
              <a:latin typeface="Aptos Display" panose="020B0004020202020204" pitchFamily="34" charset="0"/>
            </a:rPr>
            <a:t>Total Transaksi</a:t>
          </a:r>
        </a:p>
      </xdr:txBody>
    </xdr:sp>
    <xdr:clientData/>
  </xdr:oneCellAnchor>
  <xdr:oneCellAnchor>
    <xdr:from>
      <xdr:col>16</xdr:col>
      <xdr:colOff>20841</xdr:colOff>
      <xdr:row>3</xdr:row>
      <xdr:rowOff>12483</xdr:rowOff>
    </xdr:from>
    <xdr:ext cx="2505808" cy="380999"/>
    <xdr:sp macro="" textlink="">
      <xdr:nvSpPr>
        <xdr:cNvPr id="18" name="TextBox 17">
          <a:extLst>
            <a:ext uri="{FF2B5EF4-FFF2-40B4-BE49-F238E27FC236}">
              <a16:creationId xmlns:a16="http://schemas.microsoft.com/office/drawing/2014/main" id="{66FE7861-9A6F-4C10-9B33-7F8CB9B847C1}"/>
            </a:ext>
          </a:extLst>
        </xdr:cNvPr>
        <xdr:cNvSpPr txBox="1"/>
      </xdr:nvSpPr>
      <xdr:spPr>
        <a:xfrm>
          <a:off x="9729285" y="499316"/>
          <a:ext cx="2505808" cy="380999"/>
        </a:xfrm>
        <a:prstGeom prst="rect">
          <a:avLst/>
        </a:prstGeom>
        <a:solidFill>
          <a:srgbClr val="5A5B6D"/>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D" sz="1800" b="1" kern="1200">
              <a:solidFill>
                <a:srgbClr val="FFF867"/>
              </a:solidFill>
              <a:latin typeface="Aptos Display" panose="020B0004020202020204" pitchFamily="34" charset="0"/>
            </a:rPr>
            <a:t>Total Laba</a:t>
          </a:r>
          <a:r>
            <a:rPr lang="en-ID" sz="1800" b="1" kern="1200" baseline="0">
              <a:solidFill>
                <a:srgbClr val="FFF867"/>
              </a:solidFill>
              <a:latin typeface="Aptos Display" panose="020B0004020202020204" pitchFamily="34" charset="0"/>
            </a:rPr>
            <a:t> Bersih</a:t>
          </a:r>
          <a:endParaRPr lang="en-ID" sz="1800" b="1" kern="1200">
            <a:solidFill>
              <a:srgbClr val="FFF867"/>
            </a:solidFill>
            <a:latin typeface="Aptos Display" panose="020B0004020202020204" pitchFamily="34" charset="0"/>
          </a:endParaRPr>
        </a:p>
      </xdr:txBody>
    </xdr:sp>
    <xdr:clientData/>
  </xdr:oneCellAnchor>
  <xdr:oneCellAnchor>
    <xdr:from>
      <xdr:col>20</xdr:col>
      <xdr:colOff>250636</xdr:colOff>
      <xdr:row>3</xdr:row>
      <xdr:rowOff>12268</xdr:rowOff>
    </xdr:from>
    <xdr:ext cx="2505808" cy="380999"/>
    <xdr:sp macro="" textlink="">
      <xdr:nvSpPr>
        <xdr:cNvPr id="24" name="TextBox 23">
          <a:extLst>
            <a:ext uri="{FF2B5EF4-FFF2-40B4-BE49-F238E27FC236}">
              <a16:creationId xmlns:a16="http://schemas.microsoft.com/office/drawing/2014/main" id="{77D751BF-9BFE-47D6-B59D-940124BFA276}"/>
            </a:ext>
          </a:extLst>
        </xdr:cNvPr>
        <xdr:cNvSpPr txBox="1"/>
      </xdr:nvSpPr>
      <xdr:spPr>
        <a:xfrm>
          <a:off x="12386192" y="499101"/>
          <a:ext cx="2505808" cy="380999"/>
        </a:xfrm>
        <a:prstGeom prst="rect">
          <a:avLst/>
        </a:prstGeom>
        <a:solidFill>
          <a:srgbClr val="5A5B6D"/>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D" sz="1800" b="1" kern="1200">
              <a:solidFill>
                <a:srgbClr val="FFF867"/>
              </a:solidFill>
              <a:latin typeface="Aptos Display" panose="020B0004020202020204" pitchFamily="34" charset="0"/>
            </a:rPr>
            <a:t>Total Laba</a:t>
          </a:r>
          <a:r>
            <a:rPr lang="en-ID" sz="1800" b="1" kern="1200" baseline="0">
              <a:solidFill>
                <a:srgbClr val="FFF867"/>
              </a:solidFill>
              <a:latin typeface="Aptos Display" panose="020B0004020202020204" pitchFamily="34" charset="0"/>
            </a:rPr>
            <a:t> Kotor</a:t>
          </a:r>
          <a:endParaRPr lang="en-ID" sz="1800" b="1" kern="1200">
            <a:solidFill>
              <a:srgbClr val="FFF867"/>
            </a:solidFill>
            <a:latin typeface="Aptos Display" panose="020B0004020202020204" pitchFamily="34" charset="0"/>
          </a:endParaRPr>
        </a:p>
      </xdr:txBody>
    </xdr:sp>
    <xdr:clientData/>
  </xdr:oneCellAnchor>
  <xdr:oneCellAnchor>
    <xdr:from>
      <xdr:col>24</xdr:col>
      <xdr:colOff>494539</xdr:colOff>
      <xdr:row>3</xdr:row>
      <xdr:rowOff>14712</xdr:rowOff>
    </xdr:from>
    <xdr:ext cx="2505808" cy="380999"/>
    <xdr:sp macro="" textlink="">
      <xdr:nvSpPr>
        <xdr:cNvPr id="29" name="TextBox 28">
          <a:extLst>
            <a:ext uri="{FF2B5EF4-FFF2-40B4-BE49-F238E27FC236}">
              <a16:creationId xmlns:a16="http://schemas.microsoft.com/office/drawing/2014/main" id="{F950D011-0198-4CF8-9C77-B042CDA1428B}"/>
            </a:ext>
          </a:extLst>
        </xdr:cNvPr>
        <xdr:cNvSpPr txBox="1"/>
      </xdr:nvSpPr>
      <xdr:spPr>
        <a:xfrm>
          <a:off x="15057206" y="501545"/>
          <a:ext cx="2505808" cy="380999"/>
        </a:xfrm>
        <a:prstGeom prst="rect">
          <a:avLst/>
        </a:prstGeom>
        <a:solidFill>
          <a:srgbClr val="5A5B6D"/>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D" sz="1800" b="1" kern="1200">
              <a:solidFill>
                <a:srgbClr val="FFF867"/>
              </a:solidFill>
              <a:latin typeface="Aptos Display" panose="020B0004020202020204" pitchFamily="34" charset="0"/>
            </a:rPr>
            <a:t>Total Modal</a:t>
          </a:r>
        </a:p>
      </xdr:txBody>
    </xdr:sp>
    <xdr:clientData/>
  </xdr:oneCellAnchor>
  <xdr:oneCellAnchor>
    <xdr:from>
      <xdr:col>3</xdr:col>
      <xdr:colOff>351692</xdr:colOff>
      <xdr:row>12</xdr:row>
      <xdr:rowOff>87923</xdr:rowOff>
    </xdr:from>
    <xdr:ext cx="184731" cy="254557"/>
    <xdr:sp macro="" textlink="">
      <xdr:nvSpPr>
        <xdr:cNvPr id="45" name="TextBox 44">
          <a:extLst>
            <a:ext uri="{FF2B5EF4-FFF2-40B4-BE49-F238E27FC236}">
              <a16:creationId xmlns:a16="http://schemas.microsoft.com/office/drawing/2014/main" id="{843DD702-0D9A-73FF-E4F8-4C9C8852C0BD}"/>
            </a:ext>
          </a:extLst>
        </xdr:cNvPr>
        <xdr:cNvSpPr txBox="1"/>
      </xdr:nvSpPr>
      <xdr:spPr>
        <a:xfrm>
          <a:off x="2198077" y="2022231"/>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kern="1200"/>
        </a:p>
      </xdr:txBody>
    </xdr:sp>
    <xdr:clientData/>
  </xdr:oneCellAnchor>
  <xdr:oneCellAnchor>
    <xdr:from>
      <xdr:col>43</xdr:col>
      <xdr:colOff>586154</xdr:colOff>
      <xdr:row>29</xdr:row>
      <xdr:rowOff>43961</xdr:rowOff>
    </xdr:from>
    <xdr:ext cx="184731" cy="254557"/>
    <xdr:sp macro="" textlink="">
      <xdr:nvSpPr>
        <xdr:cNvPr id="53" name="TextBox 52">
          <a:extLst>
            <a:ext uri="{FF2B5EF4-FFF2-40B4-BE49-F238E27FC236}">
              <a16:creationId xmlns:a16="http://schemas.microsoft.com/office/drawing/2014/main" id="{1F95B6C9-0909-B3A8-F2B2-E0527DC062FE}"/>
            </a:ext>
          </a:extLst>
        </xdr:cNvPr>
        <xdr:cNvSpPr txBox="1"/>
      </xdr:nvSpPr>
      <xdr:spPr>
        <a:xfrm>
          <a:off x="27051000" y="4718538"/>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kern="1200"/>
        </a:p>
      </xdr:txBody>
    </xdr:sp>
    <xdr:clientData/>
  </xdr:oneCellAnchor>
  <xdr:oneCellAnchor>
    <xdr:from>
      <xdr:col>0</xdr:col>
      <xdr:colOff>247160</xdr:colOff>
      <xdr:row>1</xdr:row>
      <xdr:rowOff>81086</xdr:rowOff>
    </xdr:from>
    <xdr:ext cx="3816839" cy="1392114"/>
    <xdr:sp macro="" textlink="">
      <xdr:nvSpPr>
        <xdr:cNvPr id="2" name="TextBox 1">
          <a:extLst>
            <a:ext uri="{FF2B5EF4-FFF2-40B4-BE49-F238E27FC236}">
              <a16:creationId xmlns:a16="http://schemas.microsoft.com/office/drawing/2014/main" id="{4565CECE-AAE5-4E3C-8CDA-3B6F64B476D6}"/>
            </a:ext>
          </a:extLst>
        </xdr:cNvPr>
        <xdr:cNvSpPr txBox="1"/>
      </xdr:nvSpPr>
      <xdr:spPr>
        <a:xfrm>
          <a:off x="247160" y="246186"/>
          <a:ext cx="3816839" cy="1392114"/>
        </a:xfrm>
        <a:prstGeom prst="rect">
          <a:avLst/>
        </a:prstGeom>
        <a:solidFill>
          <a:srgbClr val="5A5B6D"/>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D" sz="2000" b="1" kern="1200">
              <a:solidFill>
                <a:srgbClr val="FFF867"/>
              </a:solidFill>
              <a:latin typeface="Aptos Display" panose="020B0004020202020204" pitchFamily="34" charset="0"/>
            </a:rPr>
            <a:t>KELOMPOK</a:t>
          </a:r>
          <a:r>
            <a:rPr lang="en-ID" sz="2000" b="1" kern="1200" baseline="0">
              <a:solidFill>
                <a:srgbClr val="FFF867"/>
              </a:solidFill>
              <a:latin typeface="Aptos Display" panose="020B0004020202020204" pitchFamily="34" charset="0"/>
            </a:rPr>
            <a:t> A2</a:t>
          </a:r>
          <a:br>
            <a:rPr lang="en-ID" sz="2000" b="1" kern="1200" baseline="0">
              <a:solidFill>
                <a:srgbClr val="FFF867"/>
              </a:solidFill>
              <a:latin typeface="Aptos Display" panose="020B0004020202020204" pitchFamily="34" charset="0"/>
            </a:rPr>
          </a:br>
          <a:r>
            <a:rPr lang="en-ID" sz="2000" b="1" kern="1200" baseline="0">
              <a:solidFill>
                <a:srgbClr val="FFF867"/>
              </a:solidFill>
              <a:latin typeface="Aptos Display" panose="020B0004020202020204" pitchFamily="34" charset="0"/>
            </a:rPr>
            <a:t>ONLINE STORE FASHION DASHBOARD 2024</a:t>
          </a:r>
        </a:p>
      </xdr:txBody>
    </xdr:sp>
    <xdr:clientData/>
  </xdr:oneCellAnchor>
  <xdr:twoCellAnchor>
    <xdr:from>
      <xdr:col>20</xdr:col>
      <xdr:colOff>406400</xdr:colOff>
      <xdr:row>51</xdr:row>
      <xdr:rowOff>25400</xdr:rowOff>
    </xdr:from>
    <xdr:to>
      <xdr:col>34</xdr:col>
      <xdr:colOff>369341</xdr:colOff>
      <xdr:row>69</xdr:row>
      <xdr:rowOff>95569</xdr:rowOff>
    </xdr:to>
    <xdr:graphicFrame macro="">
      <xdr:nvGraphicFramePr>
        <xdr:cNvPr id="3" name="Chart 2">
          <a:extLst>
            <a:ext uri="{FF2B5EF4-FFF2-40B4-BE49-F238E27FC236}">
              <a16:creationId xmlns:a16="http://schemas.microsoft.com/office/drawing/2014/main" id="{1B250BFD-C634-4D5E-B410-4B4249D29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29</xdr:col>
      <xdr:colOff>131882</xdr:colOff>
      <xdr:row>3</xdr:row>
      <xdr:rowOff>14712</xdr:rowOff>
    </xdr:from>
    <xdr:ext cx="2505808" cy="380999"/>
    <xdr:sp macro="" textlink="">
      <xdr:nvSpPr>
        <xdr:cNvPr id="4" name="TextBox 3">
          <a:extLst>
            <a:ext uri="{FF2B5EF4-FFF2-40B4-BE49-F238E27FC236}">
              <a16:creationId xmlns:a16="http://schemas.microsoft.com/office/drawing/2014/main" id="{FEC328E9-A744-40E0-9D4D-40652A988925}"/>
            </a:ext>
          </a:extLst>
        </xdr:cNvPr>
        <xdr:cNvSpPr txBox="1"/>
      </xdr:nvSpPr>
      <xdr:spPr>
        <a:xfrm>
          <a:off x="17728438" y="501545"/>
          <a:ext cx="2505808" cy="380999"/>
        </a:xfrm>
        <a:prstGeom prst="rect">
          <a:avLst/>
        </a:prstGeom>
        <a:solidFill>
          <a:srgbClr val="5A5B6D"/>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D" sz="1800" b="1" kern="1200">
              <a:solidFill>
                <a:srgbClr val="FFF867"/>
              </a:solidFill>
              <a:latin typeface="Aptos Display" panose="020B0004020202020204" pitchFamily="34" charset="0"/>
            </a:rPr>
            <a:t>Total Diskon</a:t>
          </a:r>
        </a:p>
      </xdr:txBody>
    </xdr:sp>
    <xdr:clientData/>
  </xdr:oneCellAnchor>
  <xdr:oneCellAnchor>
    <xdr:from>
      <xdr:col>7</xdr:col>
      <xdr:colOff>132861</xdr:colOff>
      <xdr:row>6</xdr:row>
      <xdr:rowOff>33110</xdr:rowOff>
    </xdr:from>
    <xdr:ext cx="2505808" cy="380999"/>
    <xdr:sp macro="" textlink="'Pivot Table'!$E$2">
      <xdr:nvSpPr>
        <xdr:cNvPr id="5" name="TextBox 4">
          <a:extLst>
            <a:ext uri="{FF2B5EF4-FFF2-40B4-BE49-F238E27FC236}">
              <a16:creationId xmlns:a16="http://schemas.microsoft.com/office/drawing/2014/main" id="{2CC1ECCF-B0F1-41F5-8859-4AC137E2BBE0}"/>
            </a:ext>
          </a:extLst>
        </xdr:cNvPr>
        <xdr:cNvSpPr txBox="1"/>
      </xdr:nvSpPr>
      <xdr:spPr>
        <a:xfrm>
          <a:off x="4380305" y="1006777"/>
          <a:ext cx="2505808" cy="38099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E5D47B86-483F-4954-9D09-8F1346A4C487}" type="TxLink">
            <a:rPr lang="en-US" sz="2000" b="1" i="0" u="none" strike="noStrike" kern="1200">
              <a:solidFill>
                <a:schemeClr val="accent1"/>
              </a:solidFill>
              <a:latin typeface="Aptos Display" panose="020B0004020202020204" pitchFamily="34" charset="0"/>
              <a:cs typeface="Arial"/>
            </a:rPr>
            <a:pPr algn="ctr"/>
            <a:t>Rp607.450.000</a:t>
          </a:fld>
          <a:endParaRPr lang="en-ID" sz="4400" b="1" kern="1200">
            <a:solidFill>
              <a:schemeClr val="accent1"/>
            </a:solidFill>
            <a:latin typeface="Aptos Display" panose="020B0004020202020204" pitchFamily="34" charset="0"/>
          </a:endParaRPr>
        </a:p>
      </xdr:txBody>
    </xdr:sp>
    <xdr:clientData/>
  </xdr:oneCellAnchor>
  <xdr:oneCellAnchor>
    <xdr:from>
      <xdr:col>11</xdr:col>
      <xdr:colOff>395327</xdr:colOff>
      <xdr:row>6</xdr:row>
      <xdr:rowOff>38756</xdr:rowOff>
    </xdr:from>
    <xdr:ext cx="2505808" cy="380999"/>
    <xdr:sp macro="" textlink="'Pivot Table'!$A$2">
      <xdr:nvSpPr>
        <xdr:cNvPr id="11" name="TextBox 10">
          <a:extLst>
            <a:ext uri="{FF2B5EF4-FFF2-40B4-BE49-F238E27FC236}">
              <a16:creationId xmlns:a16="http://schemas.microsoft.com/office/drawing/2014/main" id="{FDEBA177-F64B-459C-9976-0B61E445EBC3}"/>
            </a:ext>
          </a:extLst>
        </xdr:cNvPr>
        <xdr:cNvSpPr txBox="1"/>
      </xdr:nvSpPr>
      <xdr:spPr>
        <a:xfrm>
          <a:off x="7069883" y="1012423"/>
          <a:ext cx="2505808" cy="38099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C7FDB37-C421-4442-9129-5DC37A4636A3}" type="TxLink">
            <a:rPr lang="en-US" sz="1800" b="1" i="0" u="none" strike="noStrike" kern="1200">
              <a:solidFill>
                <a:schemeClr val="accent1"/>
              </a:solidFill>
              <a:latin typeface="Aptos Display" panose="020B0004020202020204" pitchFamily="34" charset="0"/>
              <a:cs typeface="Arial"/>
            </a:rPr>
            <a:pPr algn="ctr"/>
            <a:t>4080</a:t>
          </a:fld>
          <a:endParaRPr lang="en-ID" sz="8000" b="1" kern="1200">
            <a:solidFill>
              <a:schemeClr val="accent1"/>
            </a:solidFill>
            <a:latin typeface="Aptos Display" panose="020B0004020202020204" pitchFamily="34" charset="0"/>
          </a:endParaRPr>
        </a:p>
      </xdr:txBody>
    </xdr:sp>
    <xdr:clientData/>
  </xdr:oneCellAnchor>
  <xdr:oneCellAnchor>
    <xdr:from>
      <xdr:col>16</xdr:col>
      <xdr:colOff>22785</xdr:colOff>
      <xdr:row>6</xdr:row>
      <xdr:rowOff>35936</xdr:rowOff>
    </xdr:from>
    <xdr:ext cx="2505808" cy="380999"/>
    <xdr:sp macro="" textlink="'Pivot Table'!$C$41">
      <xdr:nvSpPr>
        <xdr:cNvPr id="13" name="TextBox 12">
          <a:extLst>
            <a:ext uri="{FF2B5EF4-FFF2-40B4-BE49-F238E27FC236}">
              <a16:creationId xmlns:a16="http://schemas.microsoft.com/office/drawing/2014/main" id="{AF61A86E-ED2F-474F-B0FC-0FC737374E13}"/>
            </a:ext>
          </a:extLst>
        </xdr:cNvPr>
        <xdr:cNvSpPr txBox="1"/>
      </xdr:nvSpPr>
      <xdr:spPr>
        <a:xfrm>
          <a:off x="9731229" y="1009603"/>
          <a:ext cx="2505808" cy="38099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6A33E2B-F8D7-47C2-A9F3-2F2E4E21208B}" type="TxLink">
            <a:rPr lang="en-US" sz="1800" b="1" i="0" u="none" strike="noStrike" kern="1200">
              <a:solidFill>
                <a:schemeClr val="accent1"/>
              </a:solidFill>
              <a:latin typeface="Aptos Display" panose="020B0004020202020204" pitchFamily="34" charset="0"/>
              <a:cs typeface="Arial"/>
            </a:rPr>
            <a:pPr algn="ctr"/>
            <a:t> Rp284.175.250,00 </a:t>
          </a:fld>
          <a:endParaRPr lang="en-US" sz="2400" b="1" kern="1200">
            <a:solidFill>
              <a:schemeClr val="accent1"/>
            </a:solidFill>
            <a:latin typeface="Aptos Display" panose="020B0004020202020204" pitchFamily="34" charset="0"/>
          </a:endParaRPr>
        </a:p>
      </xdr:txBody>
    </xdr:sp>
    <xdr:clientData/>
  </xdr:oneCellAnchor>
  <xdr:oneCellAnchor>
    <xdr:from>
      <xdr:col>20</xdr:col>
      <xdr:colOff>258442</xdr:colOff>
      <xdr:row>6</xdr:row>
      <xdr:rowOff>34524</xdr:rowOff>
    </xdr:from>
    <xdr:ext cx="2505808" cy="380999"/>
    <xdr:sp macro="" textlink="'Pivot Table'!$B$41">
      <xdr:nvSpPr>
        <xdr:cNvPr id="16" name="TextBox 15">
          <a:extLst>
            <a:ext uri="{FF2B5EF4-FFF2-40B4-BE49-F238E27FC236}">
              <a16:creationId xmlns:a16="http://schemas.microsoft.com/office/drawing/2014/main" id="{EA87001A-CACF-4EE6-B342-E89E34BB5F97}"/>
            </a:ext>
          </a:extLst>
        </xdr:cNvPr>
        <xdr:cNvSpPr txBox="1"/>
      </xdr:nvSpPr>
      <xdr:spPr>
        <a:xfrm>
          <a:off x="12393998" y="1008191"/>
          <a:ext cx="2505808" cy="38099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326B120-356C-46ED-BA21-4343CFF12BDE}" type="TxLink">
            <a:rPr lang="en-US" sz="1800" b="1" i="0" u="none" strike="noStrike" kern="1200">
              <a:solidFill>
                <a:schemeClr val="accent1"/>
              </a:solidFill>
              <a:latin typeface="Aptos Display" panose="020B0004020202020204" pitchFamily="34" charset="0"/>
              <a:cs typeface="Arial"/>
            </a:rPr>
            <a:pPr algn="ctr"/>
            <a:t> Rp355.920.000,00 </a:t>
          </a:fld>
          <a:endParaRPr lang="en-US" sz="2400" b="1" kern="1200">
            <a:solidFill>
              <a:schemeClr val="accent1"/>
            </a:solidFill>
            <a:latin typeface="Aptos Display" panose="020B0004020202020204" pitchFamily="34" charset="0"/>
          </a:endParaRPr>
        </a:p>
      </xdr:txBody>
    </xdr:sp>
    <xdr:clientData/>
  </xdr:oneCellAnchor>
  <xdr:oneCellAnchor>
    <xdr:from>
      <xdr:col>24</xdr:col>
      <xdr:colOff>498338</xdr:colOff>
      <xdr:row>6</xdr:row>
      <xdr:rowOff>35936</xdr:rowOff>
    </xdr:from>
    <xdr:ext cx="2505808" cy="380999"/>
    <xdr:sp macro="" textlink="'Pivot Table'!$D$2">
      <xdr:nvSpPr>
        <xdr:cNvPr id="20" name="TextBox 19">
          <a:extLst>
            <a:ext uri="{FF2B5EF4-FFF2-40B4-BE49-F238E27FC236}">
              <a16:creationId xmlns:a16="http://schemas.microsoft.com/office/drawing/2014/main" id="{6DAF00F4-4F38-49C1-AFF8-A1DDAC3E3610}"/>
            </a:ext>
          </a:extLst>
        </xdr:cNvPr>
        <xdr:cNvSpPr txBox="1"/>
      </xdr:nvSpPr>
      <xdr:spPr>
        <a:xfrm>
          <a:off x="15061005" y="1009603"/>
          <a:ext cx="2505808" cy="38099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D3502CD-3F1C-4F9C-8C94-BCE023A022A0}" type="TxLink">
            <a:rPr lang="en-US" sz="1800" b="1" i="0" u="none" strike="noStrike" kern="1200">
              <a:solidFill>
                <a:schemeClr val="accent1"/>
              </a:solidFill>
              <a:latin typeface="Aptos Display" panose="020B0004020202020204" pitchFamily="34" charset="0"/>
              <a:cs typeface="Arial"/>
            </a:rPr>
            <a:pPr algn="ctr"/>
            <a:t>Rp251.530.000</a:t>
          </a:fld>
          <a:endParaRPr lang="en-US" sz="2400" b="1" kern="1200">
            <a:solidFill>
              <a:schemeClr val="accent1"/>
            </a:solidFill>
            <a:latin typeface="Aptos Display" panose="020B0004020202020204" pitchFamily="34" charset="0"/>
          </a:endParaRPr>
        </a:p>
      </xdr:txBody>
    </xdr:sp>
    <xdr:clientData/>
  </xdr:oneCellAnchor>
  <xdr:oneCellAnchor>
    <xdr:from>
      <xdr:col>29</xdr:col>
      <xdr:colOff>142728</xdr:colOff>
      <xdr:row>6</xdr:row>
      <xdr:rowOff>33112</xdr:rowOff>
    </xdr:from>
    <xdr:ext cx="2505808" cy="380999"/>
    <xdr:sp macro="" textlink="'Pivot Table'!$D$41">
      <xdr:nvSpPr>
        <xdr:cNvPr id="23" name="TextBox 22">
          <a:extLst>
            <a:ext uri="{FF2B5EF4-FFF2-40B4-BE49-F238E27FC236}">
              <a16:creationId xmlns:a16="http://schemas.microsoft.com/office/drawing/2014/main" id="{5E126419-F843-4A78-9548-5C12F28D8947}"/>
            </a:ext>
          </a:extLst>
        </xdr:cNvPr>
        <xdr:cNvSpPr txBox="1"/>
      </xdr:nvSpPr>
      <xdr:spPr>
        <a:xfrm>
          <a:off x="17739284" y="1006779"/>
          <a:ext cx="2505808" cy="38099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4C5E5207-E836-42D1-8CD2-DC7602D842FC}" type="TxLink">
            <a:rPr lang="en-US" sz="1800" b="1" i="0" u="none" strike="noStrike" kern="1200">
              <a:solidFill>
                <a:schemeClr val="accent1"/>
              </a:solidFill>
              <a:latin typeface="Aptos Display" panose="020B0004020202020204" pitchFamily="34" charset="0"/>
              <a:cs typeface="Arial"/>
            </a:rPr>
            <a:pPr algn="ctr"/>
            <a:t> Rp71.744.750,00 </a:t>
          </a:fld>
          <a:endParaRPr lang="en-US" sz="2400" b="1" kern="1200">
            <a:solidFill>
              <a:schemeClr val="accent1"/>
            </a:solidFill>
            <a:latin typeface="Aptos Display" panose="020B0004020202020204"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xlFile://Root/Users/pakuy/AppData/Local/Microsoft/Windows/INetCache/IE/KO2KFJUH/Final_project_kelompok_A2_FINAL%5b1%5d.xlsx%5d.xlsx%5d.xlsx%5d.xlsx" TargetMode="External" /><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ladi Ajisasmito" refreshedDate="45667.439295601849" createdVersion="8" refreshedVersion="8" minRefreshableVersion="3" recordCount="1000" xr:uid="{AD582D97-5D91-44F2-9DA0-EA93B6765BD1}">
  <cacheSource type="worksheet">
    <worksheetSource ref="A2:AM1002" sheet=".xlsx].xlsx].xlsx].xlsx]Main Data" r:id="rId2"/>
  </cacheSource>
  <cacheFields count="44">
    <cacheField name="No" numFmtId="0">
      <sharedItems containsSemiMixedTypes="0" containsString="0" containsNumber="1" containsInteger="1" minValue="1" maxValue="1000"/>
    </cacheField>
    <cacheField name="Code_No" numFmtId="0">
      <sharedItems/>
    </cacheField>
    <cacheField name="OrderID" numFmtId="0">
      <sharedItems/>
    </cacheField>
    <cacheField name="Item" numFmtId="0">
      <sharedItems/>
    </cacheField>
    <cacheField name="Item A" numFmtId="0">
      <sharedItems/>
    </cacheField>
    <cacheField name="Jenis item" numFmtId="0">
      <sharedItems count="10">
        <s v="Kaos Polo"/>
        <s v="Sandal Slip On"/>
        <s v="Dress"/>
        <s v="Kaftan"/>
        <s v="Blouse"/>
        <s v="Celana Pendek"/>
        <s v="Jaket Jeans"/>
        <s v="Jaket Hoodie"/>
        <s v="Flat Shoes"/>
        <s v="Sneakers"/>
      </sharedItems>
    </cacheField>
    <cacheField name="Kategori" numFmtId="0">
      <sharedItems/>
    </cacheField>
    <cacheField name="Qty A" numFmtId="0">
      <sharedItems/>
    </cacheField>
    <cacheField name="Rating A" numFmtId="0">
      <sharedItems/>
    </cacheField>
    <cacheField name="Harga Barang A" numFmtId="166">
      <sharedItems containsSemiMixedTypes="0" containsString="0" containsNumber="1" containsInteger="1" minValue="60000" maxValue="300000"/>
    </cacheField>
    <cacheField name="Modal Barang A" numFmtId="166">
      <sharedItems containsSemiMixedTypes="0" containsString="0" containsNumber="1" containsInteger="1" minValue="25000" maxValue="100000"/>
    </cacheField>
    <cacheField name="Item B" numFmtId="0">
      <sharedItems/>
    </cacheField>
    <cacheField name="Jenis Item2" numFmtId="0">
      <sharedItems/>
    </cacheField>
    <cacheField name="Kategori2" numFmtId="0">
      <sharedItems/>
    </cacheField>
    <cacheField name="Qty B" numFmtId="0">
      <sharedItems containsMixedTypes="1" containsNumber="1" containsInteger="1" minValue="0" maxValue="0"/>
    </cacheField>
    <cacheField name="Rating B" numFmtId="0">
      <sharedItems/>
    </cacheField>
    <cacheField name="Harga Barang B" numFmtId="166">
      <sharedItems containsSemiMixedTypes="0" containsString="0" containsNumber="1" containsInteger="1" minValue="0" maxValue="300000"/>
    </cacheField>
    <cacheField name="Modal Barang B" numFmtId="166">
      <sharedItems containsSemiMixedTypes="0" containsString="0" containsNumber="1" containsInteger="1" minValue="0" maxValue="100000"/>
    </cacheField>
    <cacheField name="Item C" numFmtId="0">
      <sharedItems/>
    </cacheField>
    <cacheField name="Jenis Item3" numFmtId="0">
      <sharedItems/>
    </cacheField>
    <cacheField name="Kategori3" numFmtId="0">
      <sharedItems/>
    </cacheField>
    <cacheField name="Qty C" numFmtId="0">
      <sharedItems containsMixedTypes="1" containsNumber="1" containsInteger="1" minValue="0" maxValue="0"/>
    </cacheField>
    <cacheField name="Rating C" numFmtId="2">
      <sharedItems/>
    </cacheField>
    <cacheField name="Harga Barang C" numFmtId="166">
      <sharedItems containsSemiMixedTypes="0" containsString="0" containsNumber="1" containsInteger="1" minValue="0" maxValue="300000"/>
    </cacheField>
    <cacheField name="Modal Barang C" numFmtId="168">
      <sharedItems containsSemiMixedTypes="0" containsString="0" containsNumber="1" containsInteger="1" minValue="0" maxValue="100000"/>
    </cacheField>
    <cacheField name="Total Qty" numFmtId="0">
      <sharedItems containsSemiMixedTypes="0" containsString="0" containsNumber="1" containsInteger="1" minValue="1" maxValue="7"/>
    </cacheField>
    <cacheField name="Total Transaksi" numFmtId="165">
      <sharedItems containsSemiMixedTypes="0" containsString="0" containsNumber="1" containsInteger="1" minValue="60000" maxValue="2100000"/>
    </cacheField>
    <cacheField name="Total Modal" numFmtId="165">
      <sharedItems containsSemiMixedTypes="0" containsString="0" containsNumber="1" containsInteger="1" minValue="25000" maxValue="700000"/>
    </cacheField>
    <cacheField name="Kode diskon" numFmtId="165">
      <sharedItems/>
    </cacheField>
    <cacheField name="Diskon" numFmtId="9">
      <sharedItems containsSemiMixedTypes="0" containsString="0" containsNumber="1" minValue="0" maxValue="0.2"/>
    </cacheField>
    <cacheField name="Potongan Diskon" numFmtId="167">
      <sharedItems containsSemiMixedTypes="0" containsString="0" containsNumber="1" containsInteger="1" minValue="0" maxValue="420000"/>
    </cacheField>
    <cacheField name="Harga Setelah Diskon" numFmtId="167">
      <sharedItems containsSemiMixedTypes="0" containsString="0" containsNumber="1" containsInteger="1" minValue="48000" maxValue="1860000"/>
    </cacheField>
    <cacheField name="Laba" numFmtId="167">
      <sharedItems containsSemiMixedTypes="0" containsString="0" containsNumber="1" containsInteger="1" minValue="35000" maxValue="1400000"/>
    </cacheField>
    <cacheField name="Laba (Descount)" numFmtId="167">
      <sharedItems containsSemiMixedTypes="0" containsString="0" containsNumber="1" containsInteger="1" minValue="23000" maxValue="1235000"/>
    </cacheField>
    <cacheField name="Jenis promo" numFmtId="165">
      <sharedItems/>
    </cacheField>
    <cacheField name="Marketplace" numFmtId="165">
      <sharedItems count="4">
        <s v="Shopee"/>
        <s v="Tokopedia"/>
        <s v="Bukalapak"/>
        <s v="BliBli"/>
      </sharedItems>
    </cacheField>
    <cacheField name="Kode Marketplace" numFmtId="165">
      <sharedItems/>
    </cacheField>
    <cacheField name="Lokasi pembeli" numFmtId="165">
      <sharedItems count="7">
        <s v="Banten"/>
        <s v="Jawa Tengah"/>
        <s v="Jawa Timur"/>
        <s v="Jabodetabek"/>
        <s v="Yogyakarta"/>
        <s v="Jawa Barat"/>
        <s v="DI Yogyakarta" u="1"/>
      </sharedItems>
    </cacheField>
    <cacheField name="Tanggal Terjual" numFmtId="169">
      <sharedItems containsSemiMixedTypes="0" containsNonDate="0" containsDate="1" containsString="0" minDate="2023-04-01T00:00:00" maxDate="2025-12-26T00:00:00" count="1000">
        <d v="2024-01-01T00:00:00"/>
        <d v="2024-01-02T00:00:00"/>
        <d v="2024-01-03T00:00:00"/>
        <d v="2024-01-04T00:00:00"/>
        <d v="2024-01-05T00:00:00"/>
        <d v="2024-01-06T00:00:00"/>
        <d v="2024-01-08T00:00:00"/>
        <d v="2024-01-09T00:00:00"/>
        <d v="2024-01-10T00:00:00"/>
        <d v="2024-01-11T00:00:00"/>
        <d v="2024-01-12T00:00:00"/>
        <d v="2024-01-14T00:00:00"/>
        <d v="2024-01-15T00:00:00"/>
        <d v="2024-01-16T00:00:00"/>
        <d v="2024-01-17T00:00:00"/>
        <d v="2024-01-18T00:00:00"/>
        <d v="2024-01-19T00:00:00"/>
        <d v="2024-01-21T00:00:00"/>
        <d v="2024-01-22T00:00:00"/>
        <d v="2024-01-23T00:00:00"/>
        <d v="2024-01-24T00:00:00"/>
        <d v="2024-01-25T00:00:00"/>
        <d v="2024-01-26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1T00:00:00"/>
        <d v="2024-03-12T00:00:00"/>
        <d v="2024-03-13T00:00:00"/>
        <d v="2024-03-14T00:00:00"/>
        <d v="2024-03-15T00:00:00"/>
        <d v="2024-03-16T00:00:00"/>
        <d v="2024-03-17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4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1T00:00:00"/>
        <d v="2024-06-12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7T00:00:00"/>
        <d v="2024-07-08T00:00:00"/>
        <d v="2024-07-09T00:00:00"/>
        <d v="2024-07-10T00:00:00"/>
        <d v="2024-07-11T00:00:00"/>
        <d v="2024-07-12T00:00:00"/>
        <d v="2024-07-13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2T00:00:00"/>
        <d v="2024-09-03T00:00:00"/>
        <d v="2024-09-04T00:00:00"/>
        <d v="2024-09-05T00:00:00"/>
        <d v="2024-09-06T00:00:00"/>
        <d v="2024-09-07T00:00:00"/>
        <d v="2024-09-08T00:00:00"/>
        <d v="2024-09-09T00:00:00"/>
        <d v="2024-09-10T00:00:00"/>
        <d v="2024-09-11T00:00:00"/>
        <d v="2024-09-12T00:00:00"/>
        <d v="2024-09-13T00:00:00"/>
        <d v="2024-09-15T00:00:00"/>
        <d v="2024-09-16T00:00:00"/>
        <d v="2024-09-17T00:00:00"/>
        <d v="2024-09-19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7T00:00:00"/>
        <d v="2024-10-08T00:00:00"/>
        <d v="2024-10-09T00:00:00"/>
        <d v="2024-10-10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8T00:00:00"/>
        <d v="2024-10-29T00:00:00"/>
        <d v="2024-10-30T00:00:00"/>
        <d v="2024-10-31T00:00:00"/>
        <d v="2024-11-02T00:00:00"/>
        <d v="2024-11-04T00:00:00"/>
        <d v="2024-11-05T00:00:00"/>
        <d v="2024-11-06T00:00:00"/>
        <d v="2024-11-07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2T00:00:00"/>
        <d v="2024-12-13T00:00:00"/>
        <d v="2024-12-15T00:00:00"/>
        <d v="2024-12-16T00:00:00"/>
        <d v="2024-12-17T00:00:00"/>
        <d v="2024-12-18T00:00:00"/>
        <d v="2024-12-19T00:00:00"/>
        <d v="2024-12-20T00:00:00"/>
        <d v="2024-12-21T00:00:00"/>
        <d v="2024-12-22T00:00:00"/>
        <d v="2024-12-24T00:00:00"/>
        <d v="2024-12-25T00:00:00"/>
        <d v="2024-12-26T00:00:00"/>
        <d v="2024-12-27T00:00:00"/>
        <d v="2024-12-28T00:00:00"/>
        <d v="2024-12-29T00:00:00"/>
        <d v="2024-12-30T00:00:00"/>
        <d v="2024-12-31T00:00:00"/>
        <d v="2023-04-01T00:00:00" u="1"/>
        <d v="2023-04-02T00:00:00" u="1"/>
        <d v="2023-04-03T00:00:00" u="1"/>
        <d v="2023-04-04T00:00:00" u="1"/>
        <d v="2023-04-05T00:00:00" u="1"/>
        <d v="2023-04-06T00:00:00" u="1"/>
        <d v="2023-04-07T00:00:00" u="1"/>
        <d v="2023-04-08T00:00:00" u="1"/>
        <d v="2023-04-09T00:00:00" u="1"/>
        <d v="2023-04-10T00:00:00" u="1"/>
        <d v="2023-04-11T00:00:00" u="1"/>
        <d v="2023-04-12T00:00:00" u="1"/>
        <d v="2023-04-13T00:00:00" u="1"/>
        <d v="2023-04-14T00:00:00" u="1"/>
        <d v="2023-04-15T00:00:00" u="1"/>
        <d v="2023-04-16T00:00:00" u="1"/>
        <d v="2023-04-17T00:00:00" u="1"/>
        <d v="2023-04-18T00:00:00" u="1"/>
        <d v="2023-04-19T00:00:00" u="1"/>
        <d v="2023-04-20T00:00:00" u="1"/>
        <d v="2023-04-21T00:00:00" u="1"/>
        <d v="2023-04-22T00:00:00" u="1"/>
        <d v="2023-04-23T00:00:00" u="1"/>
        <d v="2023-04-24T00:00:00" u="1"/>
        <d v="2023-04-25T00:00:00" u="1"/>
        <d v="2023-04-26T00:00:00" u="1"/>
        <d v="2023-04-27T00:00:00" u="1"/>
        <d v="2023-04-28T00:00:00" u="1"/>
        <d v="2023-04-29T00:00:00" u="1"/>
        <d v="2023-04-30T00:00:00" u="1"/>
        <d v="2023-05-01T00:00:00" u="1"/>
        <d v="2023-05-02T00:00:00" u="1"/>
        <d v="2023-05-03T00:00:00" u="1"/>
        <d v="2023-05-04T00:00:00" u="1"/>
        <d v="2023-05-05T00:00:00" u="1"/>
        <d v="2023-05-06T00:00:00" u="1"/>
        <d v="2023-05-07T00:00:00" u="1"/>
        <d v="2023-05-08T00:00:00" u="1"/>
        <d v="2023-05-09T00:00:00" u="1"/>
        <d v="2023-05-10T00:00:00" u="1"/>
        <d v="2023-05-11T00:00:00" u="1"/>
        <d v="2023-05-12T00:00:00" u="1"/>
        <d v="2023-05-13T00:00:00" u="1"/>
        <d v="2023-05-14T00:00:00" u="1"/>
        <d v="2023-05-15T00:00:00" u="1"/>
        <d v="2023-05-16T00:00:00" u="1"/>
        <d v="2023-05-17T00:00:00" u="1"/>
        <d v="2023-05-18T00:00:00" u="1"/>
        <d v="2023-05-19T00:00:00" u="1"/>
        <d v="2023-05-20T00:00:00" u="1"/>
        <d v="2023-05-21T00:00:00" u="1"/>
        <d v="2023-05-22T00:00:00" u="1"/>
        <d v="2023-05-23T00:00:00" u="1"/>
        <d v="2023-05-24T00:00:00" u="1"/>
        <d v="2023-05-25T00:00:00" u="1"/>
        <d v="2023-05-26T00:00:00" u="1"/>
        <d v="2023-05-27T00:00:00" u="1"/>
        <d v="2023-05-28T00:00:00" u="1"/>
        <d v="2023-05-29T00:00:00" u="1"/>
        <d v="2023-05-30T00:00:00" u="1"/>
        <d v="2023-05-31T00:00:00" u="1"/>
        <d v="2023-06-01T00:00:00" u="1"/>
        <d v="2023-06-02T00:00:00" u="1"/>
        <d v="2023-06-03T00:00:00" u="1"/>
        <d v="2023-06-04T00:00:00" u="1"/>
        <d v="2023-06-05T00:00:00" u="1"/>
        <d v="2023-06-06T00:00:00" u="1"/>
        <d v="2023-06-07T00:00:00" u="1"/>
        <d v="2023-06-08T00:00:00" u="1"/>
        <d v="2023-06-09T00:00:00" u="1"/>
        <d v="2023-06-10T00:00:00" u="1"/>
        <d v="2023-06-11T00:00:00" u="1"/>
        <d v="2023-06-12T00:00:00" u="1"/>
        <d v="2023-06-13T00:00:00" u="1"/>
        <d v="2023-06-14T00:00:00" u="1"/>
        <d v="2023-06-15T00:00:00" u="1"/>
        <d v="2023-06-16T00:00:00" u="1"/>
        <d v="2023-06-17T00:00:00" u="1"/>
        <d v="2023-06-18T00:00:00" u="1"/>
        <d v="2023-06-19T00:00:00" u="1"/>
        <d v="2023-06-20T00:00:00" u="1"/>
        <d v="2023-06-21T00:00:00" u="1"/>
        <d v="2023-06-22T00:00:00" u="1"/>
        <d v="2023-06-23T00:00:00" u="1"/>
        <d v="2023-06-24T00:00:00" u="1"/>
        <d v="2023-06-25T00:00:00" u="1"/>
        <d v="2023-06-26T00:00:00" u="1"/>
        <d v="2023-06-27T00:00:00" u="1"/>
        <d v="2023-06-28T00:00:00" u="1"/>
        <d v="2023-06-29T00:00:00" u="1"/>
        <d v="2023-06-30T00:00:00" u="1"/>
        <d v="2023-07-01T00:00:00" u="1"/>
        <d v="2023-07-02T00:00:00" u="1"/>
        <d v="2023-07-03T00:00:00" u="1"/>
        <d v="2023-07-04T00:00:00" u="1"/>
        <d v="2023-07-05T00:00:00" u="1"/>
        <d v="2023-07-06T00:00:00" u="1"/>
        <d v="2023-07-07T00:00:00" u="1"/>
        <d v="2023-07-08T00:00:00" u="1"/>
        <d v="2023-07-09T00:00:00" u="1"/>
        <d v="2023-07-10T00:00:00" u="1"/>
        <d v="2023-07-11T00:00:00" u="1"/>
        <d v="2023-07-12T00:00:00" u="1"/>
        <d v="2023-07-13T00:00:00" u="1"/>
        <d v="2023-07-14T00:00:00" u="1"/>
        <d v="2023-07-15T00:00:00" u="1"/>
        <d v="2023-07-16T00:00:00" u="1"/>
        <d v="2023-07-17T00:00:00" u="1"/>
        <d v="2023-07-18T00:00:00" u="1"/>
        <d v="2023-07-19T00:00:00" u="1"/>
        <d v="2023-07-20T00:00:00" u="1"/>
        <d v="2023-07-21T00:00:00" u="1"/>
        <d v="2023-07-22T00:00:00" u="1"/>
        <d v="2023-07-23T00:00:00" u="1"/>
        <d v="2023-07-24T00:00:00" u="1"/>
        <d v="2023-07-25T00:00:00" u="1"/>
        <d v="2023-07-26T00:00:00" u="1"/>
        <d v="2023-07-27T00:00:00" u="1"/>
        <d v="2023-07-28T00:00:00" u="1"/>
        <d v="2023-07-29T00:00:00" u="1"/>
        <d v="2023-07-30T00:00:00" u="1"/>
        <d v="2023-07-31T00:00:00" u="1"/>
        <d v="2023-08-01T00:00:00" u="1"/>
        <d v="2023-08-02T00:00:00" u="1"/>
        <d v="2023-08-03T00:00:00" u="1"/>
        <d v="2023-08-04T00:00:00" u="1"/>
        <d v="2023-08-05T00:00:00" u="1"/>
        <d v="2023-08-06T00:00:00" u="1"/>
        <d v="2023-08-07T00:00:00" u="1"/>
        <d v="2023-08-08T00:00:00" u="1"/>
        <d v="2023-08-09T00:00:00" u="1"/>
        <d v="2023-08-10T00:00:00" u="1"/>
        <d v="2023-08-11T00:00:00" u="1"/>
        <d v="2023-08-12T00:00:00" u="1"/>
        <d v="2023-08-13T00:00:00" u="1"/>
        <d v="2023-08-14T00:00:00" u="1"/>
        <d v="2023-08-15T00:00:00" u="1"/>
        <d v="2023-08-16T00:00:00" u="1"/>
        <d v="2023-08-17T00:00:00" u="1"/>
        <d v="2023-08-18T00:00:00" u="1"/>
        <d v="2023-08-19T00:00:00" u="1"/>
        <d v="2023-08-20T00:00:00" u="1"/>
        <d v="2023-08-21T00:00:00" u="1"/>
        <d v="2023-08-22T00:00:00" u="1"/>
        <d v="2023-08-23T00:00:00" u="1"/>
        <d v="2023-08-24T00:00:00" u="1"/>
        <d v="2023-08-25T00:00:00" u="1"/>
        <d v="2023-08-26T00:00:00" u="1"/>
        <d v="2023-08-27T00:00:00" u="1"/>
        <d v="2023-08-28T00:00:00" u="1"/>
        <d v="2023-08-29T00:00:00" u="1"/>
        <d v="2023-08-30T00:00:00" u="1"/>
        <d v="2023-08-31T00:00:00" u="1"/>
        <d v="2023-09-01T00:00:00" u="1"/>
        <d v="2023-09-02T00:00:00" u="1"/>
        <d v="2023-09-03T00:00:00" u="1"/>
        <d v="2023-09-04T00:00:00" u="1"/>
        <d v="2023-09-05T00:00:00" u="1"/>
        <d v="2023-09-06T00:00:00" u="1"/>
        <d v="2023-09-07T00:00:00" u="1"/>
        <d v="2023-09-08T00:00:00" u="1"/>
        <d v="2023-09-09T00:00:00" u="1"/>
        <d v="2023-09-10T00:00:00" u="1"/>
        <d v="2023-09-11T00:00:00" u="1"/>
        <d v="2023-09-12T00:00:00" u="1"/>
        <d v="2023-09-13T00:00:00" u="1"/>
        <d v="2023-09-14T00:00:00" u="1"/>
        <d v="2023-09-15T00:00:00" u="1"/>
        <d v="2023-09-16T00:00:00" u="1"/>
        <d v="2023-09-17T00:00:00" u="1"/>
        <d v="2023-09-18T00:00:00" u="1"/>
        <d v="2023-09-19T00:00:00" u="1"/>
        <d v="2023-09-20T00:00:00" u="1"/>
        <d v="2023-09-21T00:00:00" u="1"/>
        <d v="2023-09-22T00:00:00" u="1"/>
        <d v="2023-09-23T00:00:00" u="1"/>
        <d v="2023-09-24T00:00:00" u="1"/>
        <d v="2023-09-25T00:00:00" u="1"/>
        <d v="2023-09-26T00:00:00" u="1"/>
        <d v="2023-09-27T00:00:00" u="1"/>
        <d v="2023-09-28T00:00:00" u="1"/>
        <d v="2023-09-29T00:00:00" u="1"/>
        <d v="2023-09-30T00:00:00" u="1"/>
        <d v="2023-10-01T00:00:00" u="1"/>
        <d v="2023-10-02T00:00:00" u="1"/>
        <d v="2023-10-03T00:00:00" u="1"/>
        <d v="2023-10-04T00:00:00" u="1"/>
        <d v="2023-10-05T00:00:00" u="1"/>
        <d v="2023-10-06T00:00:00" u="1"/>
        <d v="2023-10-07T00:00:00" u="1"/>
        <d v="2023-10-08T00:00:00" u="1"/>
        <d v="2023-10-09T00:00:00" u="1"/>
        <d v="2023-10-10T00:00:00" u="1"/>
        <d v="2023-10-11T00:00:00" u="1"/>
        <d v="2023-10-12T00:00:00" u="1"/>
        <d v="2023-10-13T00:00:00" u="1"/>
        <d v="2023-10-14T00:00:00" u="1"/>
        <d v="2023-10-15T00:00:00" u="1"/>
        <d v="2023-10-16T00:00:00" u="1"/>
        <d v="2023-10-17T00:00:00" u="1"/>
        <d v="2023-10-18T00:00:00" u="1"/>
        <d v="2023-10-19T00:00:00" u="1"/>
        <d v="2023-10-20T00:00:00" u="1"/>
        <d v="2023-10-21T00:00:00" u="1"/>
        <d v="2023-10-22T00:00:00" u="1"/>
        <d v="2023-10-23T00:00:00" u="1"/>
        <d v="2023-10-24T00:00:00" u="1"/>
        <d v="2023-10-25T00:00:00" u="1"/>
        <d v="2023-10-26T00:00:00" u="1"/>
        <d v="2023-10-27T00:00:00" u="1"/>
        <d v="2023-10-28T00:00:00" u="1"/>
        <d v="2023-10-29T00:00:00" u="1"/>
        <d v="2023-10-30T00:00:00" u="1"/>
        <d v="2023-10-31T00:00:00" u="1"/>
        <d v="2023-11-01T00:00:00" u="1"/>
        <d v="2023-11-02T00:00:00" u="1"/>
        <d v="2023-11-03T00:00:00" u="1"/>
        <d v="2023-11-04T00:00:00" u="1"/>
        <d v="2023-11-05T00:00:00" u="1"/>
        <d v="2023-11-06T00:00:00" u="1"/>
        <d v="2023-11-07T00:00:00" u="1"/>
        <d v="2023-11-08T00:00:00" u="1"/>
        <d v="2023-11-09T00:00:00" u="1"/>
        <d v="2023-11-10T00:00:00" u="1"/>
        <d v="2023-11-11T00:00:00" u="1"/>
        <d v="2023-11-12T00:00:00" u="1"/>
        <d v="2023-11-13T00:00:00" u="1"/>
        <d v="2023-11-14T00:00:00" u="1"/>
        <d v="2023-11-15T00:00:00" u="1"/>
        <d v="2023-11-16T00:00:00" u="1"/>
        <d v="2023-11-17T00:00:00" u="1"/>
        <d v="2023-11-18T00:00:00" u="1"/>
        <d v="2023-11-19T00:00:00" u="1"/>
        <d v="2023-11-20T00:00:00" u="1"/>
        <d v="2023-11-21T00:00:00" u="1"/>
        <d v="2023-11-22T00:00:00" u="1"/>
        <d v="2023-11-23T00:00:00" u="1"/>
        <d v="2023-11-24T00:00:00" u="1"/>
        <d v="2023-11-25T00:00:00" u="1"/>
        <d v="2023-11-26T00:00:00" u="1"/>
        <d v="2023-11-27T00:00:00" u="1"/>
        <d v="2023-11-28T00:00:00" u="1"/>
        <d v="2023-11-29T00:00:00" u="1"/>
        <d v="2023-11-30T00:00:00" u="1"/>
        <d v="2023-12-01T00:00:00" u="1"/>
        <d v="2023-12-02T00:00:00" u="1"/>
        <d v="2023-12-03T00:00:00" u="1"/>
        <d v="2023-12-04T00:00:00" u="1"/>
        <d v="2023-12-05T00:00:00" u="1"/>
        <d v="2023-12-06T00:00:00" u="1"/>
        <d v="2023-12-07T00:00:00" u="1"/>
        <d v="2023-12-08T00:00:00" u="1"/>
        <d v="2023-12-09T00:00:00" u="1"/>
        <d v="2023-12-10T00:00:00" u="1"/>
        <d v="2023-12-11T00:00:00" u="1"/>
        <d v="2023-12-12T00:00:00" u="1"/>
        <d v="2023-12-13T00:00:00" u="1"/>
        <d v="2023-12-14T00:00:00" u="1"/>
        <d v="2023-12-15T00:00:00" u="1"/>
        <d v="2023-12-16T00:00:00" u="1"/>
        <d v="2023-12-17T00:00:00" u="1"/>
        <d v="2023-12-18T00:00:00" u="1"/>
        <d v="2023-12-19T00:00:00" u="1"/>
        <d v="2023-12-20T00:00:00" u="1"/>
        <d v="2023-12-21T00:00:00" u="1"/>
        <d v="2023-12-22T00:00:00" u="1"/>
        <d v="2023-12-23T00:00:00" u="1"/>
        <d v="2023-12-24T00:00:00" u="1"/>
        <d v="2023-12-25T00:00:00" u="1"/>
        <d v="2023-12-26T00:00:00" u="1"/>
        <d v="2023-12-27T00:00:00" u="1"/>
        <d v="2023-12-28T00:00:00" u="1"/>
        <d v="2023-12-29T00:00:00" u="1"/>
        <d v="2023-12-30T00:00:00" u="1"/>
        <d v="2023-12-31T00:00:00" u="1"/>
        <d v="2024-01-07T00:00:00" u="1"/>
        <d v="2024-01-13T00:00:00" u="1"/>
        <d v="2024-01-20T00:00:00" u="1"/>
        <d v="2024-01-27T00:00:00" u="1"/>
        <d v="2024-02-15T00:00:00" u="1"/>
        <d v="2024-03-10T00:00:00" u="1"/>
        <d v="2024-03-18T00:00:00" u="1"/>
        <d v="2024-04-03T00:00:00" u="1"/>
        <d v="2024-04-05T00:00:00" u="1"/>
        <d v="2024-06-10T00:00:00" u="1"/>
        <d v="2024-06-13T00:00:00" u="1"/>
        <d v="2024-07-06T00:00:00" u="1"/>
        <d v="2024-07-14T00:00:00" u="1"/>
        <d v="2024-08-01T00:00:00" u="1"/>
        <d v="2024-09-01T00:00:00" u="1"/>
        <d v="2024-09-14T00:00:00" u="1"/>
        <d v="2024-09-18T00:00:00" u="1"/>
        <d v="2024-09-20T00:00:00" u="1"/>
        <d v="2024-10-06T00:00:00" u="1"/>
        <d v="2024-10-11T00:00:00" u="1"/>
        <d v="2024-10-27T00:00:00" u="1"/>
        <d v="2024-11-01T00:00:00" u="1"/>
        <d v="2024-11-03T00:00:00" u="1"/>
        <d v="2024-11-08T00:00:00" u="1"/>
        <d v="2024-12-11T00:00:00" u="1"/>
        <d v="2024-12-14T00:00:00" u="1"/>
        <d v="2024-12-23T00:00:00" u="1"/>
        <d v="2025-01-01T00:00:00" u="1"/>
        <d v="2025-01-02T00:00:00" u="1"/>
        <d v="2025-01-03T00:00:00" u="1"/>
        <d v="2025-01-04T00:00:00" u="1"/>
        <d v="2025-01-05T00:00:00" u="1"/>
        <d v="2025-01-06T00:00:00" u="1"/>
        <d v="2025-01-07T00:00:00" u="1"/>
        <d v="2025-01-08T00:00:00" u="1"/>
        <d v="2025-01-09T00:00:00" u="1"/>
        <d v="2025-01-10T00:00:00" u="1"/>
        <d v="2025-01-11T00:00:00" u="1"/>
        <d v="2025-01-12T00:00:00" u="1"/>
        <d v="2025-01-13T00:00:00" u="1"/>
        <d v="2025-01-14T00:00:00" u="1"/>
        <d v="2025-01-15T00:00:00" u="1"/>
        <d v="2025-01-16T00:00:00" u="1"/>
        <d v="2025-01-17T00:00:00" u="1"/>
        <d v="2025-01-18T00:00:00" u="1"/>
        <d v="2025-01-19T00:00:00" u="1"/>
        <d v="2025-01-20T00:00:00" u="1"/>
        <d v="2025-01-21T00:00:00" u="1"/>
        <d v="2025-01-22T00:00:00" u="1"/>
        <d v="2025-01-23T00:00:00" u="1"/>
        <d v="2025-01-24T00:00:00" u="1"/>
        <d v="2025-01-25T00:00:00" u="1"/>
        <d v="2025-01-26T00:00:00" u="1"/>
        <d v="2025-01-27T00:00:00" u="1"/>
        <d v="2025-01-28T00:00:00" u="1"/>
        <d v="2025-01-29T00:00:00" u="1"/>
        <d v="2025-01-30T00:00:00" u="1"/>
        <d v="2025-01-31T00:00:00" u="1"/>
        <d v="2025-02-01T00:00:00" u="1"/>
        <d v="2025-02-02T00:00:00" u="1"/>
        <d v="2025-02-03T00:00:00" u="1"/>
        <d v="2025-02-04T00:00:00" u="1"/>
        <d v="2025-02-05T00:00:00" u="1"/>
        <d v="2025-02-06T00:00:00" u="1"/>
        <d v="2025-02-07T00:00:00" u="1"/>
        <d v="2025-02-08T00:00:00" u="1"/>
        <d v="2025-02-09T00:00:00" u="1"/>
        <d v="2025-02-10T00:00:00" u="1"/>
        <d v="2025-02-11T00:00:00" u="1"/>
        <d v="2025-02-12T00:00:00" u="1"/>
        <d v="2025-02-13T00:00:00" u="1"/>
        <d v="2025-02-14T00:00:00" u="1"/>
        <d v="2025-02-15T00:00:00" u="1"/>
        <d v="2025-02-16T00:00:00" u="1"/>
        <d v="2025-02-17T00:00:00" u="1"/>
        <d v="2025-02-18T00:00:00" u="1"/>
        <d v="2025-02-19T00:00:00" u="1"/>
        <d v="2025-02-20T00:00:00" u="1"/>
        <d v="2025-02-21T00:00:00" u="1"/>
        <d v="2025-02-22T00:00:00" u="1"/>
        <d v="2025-02-23T00:00:00" u="1"/>
        <d v="2025-02-24T00:00:00" u="1"/>
        <d v="2025-02-25T00:00:00" u="1"/>
        <d v="2025-02-26T00:00:00" u="1"/>
        <d v="2025-02-27T00:00:00" u="1"/>
        <d v="2025-02-28T00:00:00" u="1"/>
        <d v="2025-03-01T00:00:00" u="1"/>
        <d v="2025-03-02T00:00:00" u="1"/>
        <d v="2025-03-03T00:00:00" u="1"/>
        <d v="2025-03-04T00:00:00" u="1"/>
        <d v="2025-03-05T00:00:00" u="1"/>
        <d v="2025-03-06T00:00:00" u="1"/>
        <d v="2025-03-07T00:00:00" u="1"/>
        <d v="2025-03-08T00:00:00" u="1"/>
        <d v="2025-03-09T00:00:00" u="1"/>
        <d v="2025-03-10T00:00:00" u="1"/>
        <d v="2025-03-11T00:00:00" u="1"/>
        <d v="2025-03-12T00:00:00" u="1"/>
        <d v="2025-03-13T00:00:00" u="1"/>
        <d v="2025-03-14T00:00:00" u="1"/>
        <d v="2025-03-15T00:00:00" u="1"/>
        <d v="2025-03-16T00:00:00" u="1"/>
        <d v="2025-03-17T00:00:00" u="1"/>
        <d v="2025-03-18T00:00:00" u="1"/>
        <d v="2025-03-19T00:00:00" u="1"/>
        <d v="2025-03-20T00:00:00" u="1"/>
        <d v="2025-03-21T00:00:00" u="1"/>
        <d v="2025-03-22T00:00:00" u="1"/>
        <d v="2025-03-23T00:00:00" u="1"/>
        <d v="2025-03-24T00:00:00" u="1"/>
        <d v="2025-03-25T00:00:00" u="1"/>
        <d v="2025-03-26T00:00:00" u="1"/>
        <d v="2025-03-27T00:00:00" u="1"/>
        <d v="2025-03-28T00:00:00" u="1"/>
        <d v="2025-03-29T00:00:00" u="1"/>
        <d v="2025-03-30T00:00:00" u="1"/>
        <d v="2025-03-31T00:00:00" u="1"/>
        <d v="2025-04-01T00:00:00" u="1"/>
        <d v="2025-04-02T00:00:00" u="1"/>
        <d v="2025-04-03T00:00:00" u="1"/>
        <d v="2025-04-04T00:00:00" u="1"/>
        <d v="2025-04-05T00:00:00" u="1"/>
        <d v="2025-04-06T00:00:00" u="1"/>
        <d v="2025-04-07T00:00:00" u="1"/>
        <d v="2025-04-08T00:00:00" u="1"/>
        <d v="2025-04-09T00:00:00" u="1"/>
        <d v="2025-04-10T00:00:00" u="1"/>
        <d v="2025-04-11T00:00:00" u="1"/>
        <d v="2025-04-12T00:00:00" u="1"/>
        <d v="2025-04-13T00:00:00" u="1"/>
        <d v="2025-04-14T00:00:00" u="1"/>
        <d v="2025-04-15T00:00:00" u="1"/>
        <d v="2025-04-16T00:00:00" u="1"/>
        <d v="2025-04-17T00:00:00" u="1"/>
        <d v="2025-04-18T00:00:00" u="1"/>
        <d v="2025-04-19T00:00:00" u="1"/>
        <d v="2025-04-20T00:00:00" u="1"/>
        <d v="2025-04-21T00:00:00" u="1"/>
        <d v="2025-04-22T00:00:00" u="1"/>
        <d v="2025-04-23T00:00:00" u="1"/>
        <d v="2025-04-24T00:00:00" u="1"/>
        <d v="2025-04-25T00:00:00" u="1"/>
        <d v="2025-04-26T00:00:00" u="1"/>
        <d v="2025-04-27T00:00:00" u="1"/>
        <d v="2025-04-28T00:00:00" u="1"/>
        <d v="2025-04-29T00:00:00" u="1"/>
        <d v="2025-04-30T00:00:00" u="1"/>
        <d v="2025-05-01T00:00:00" u="1"/>
        <d v="2025-05-02T00:00:00" u="1"/>
        <d v="2025-05-03T00:00:00" u="1"/>
        <d v="2025-05-04T00:00:00" u="1"/>
        <d v="2025-05-05T00:00:00" u="1"/>
        <d v="2025-05-06T00:00:00" u="1"/>
        <d v="2025-05-07T00:00:00" u="1"/>
        <d v="2025-05-08T00:00:00" u="1"/>
        <d v="2025-05-09T00:00:00" u="1"/>
        <d v="2025-05-10T00:00:00" u="1"/>
        <d v="2025-05-11T00:00:00" u="1"/>
        <d v="2025-05-12T00:00:00" u="1"/>
        <d v="2025-05-13T00:00:00" u="1"/>
        <d v="2025-05-14T00:00:00" u="1"/>
        <d v="2025-05-15T00:00:00" u="1"/>
        <d v="2025-05-16T00:00:00" u="1"/>
        <d v="2025-05-17T00:00:00" u="1"/>
        <d v="2025-05-18T00:00:00" u="1"/>
        <d v="2025-05-19T00:00:00" u="1"/>
        <d v="2025-05-20T00:00:00" u="1"/>
        <d v="2025-05-21T00:00:00" u="1"/>
        <d v="2025-05-22T00:00:00" u="1"/>
        <d v="2025-05-23T00:00:00" u="1"/>
        <d v="2025-05-24T00:00:00" u="1"/>
        <d v="2025-05-25T00:00:00" u="1"/>
        <d v="2025-05-26T00:00:00" u="1"/>
        <d v="2025-05-27T00:00:00" u="1"/>
        <d v="2025-05-28T00:00:00" u="1"/>
        <d v="2025-05-29T00:00:00" u="1"/>
        <d v="2025-05-30T00:00:00" u="1"/>
        <d v="2025-05-31T00:00:00" u="1"/>
        <d v="2025-06-01T00:00:00" u="1"/>
        <d v="2025-06-02T00:00:00" u="1"/>
        <d v="2025-06-03T00:00:00" u="1"/>
        <d v="2025-06-04T00:00:00" u="1"/>
        <d v="2025-06-05T00:00:00" u="1"/>
        <d v="2025-06-06T00:00:00" u="1"/>
        <d v="2025-06-07T00:00:00" u="1"/>
        <d v="2025-06-08T00:00:00" u="1"/>
        <d v="2025-06-09T00:00:00" u="1"/>
        <d v="2025-06-10T00:00:00" u="1"/>
        <d v="2025-06-11T00:00:00" u="1"/>
        <d v="2025-06-12T00:00:00" u="1"/>
        <d v="2025-06-13T00:00:00" u="1"/>
        <d v="2025-06-14T00:00:00" u="1"/>
        <d v="2025-06-15T00:00:00" u="1"/>
        <d v="2025-06-16T00:00:00" u="1"/>
        <d v="2025-06-17T00:00:00" u="1"/>
        <d v="2025-06-18T00:00:00" u="1"/>
        <d v="2025-06-19T00:00:00" u="1"/>
        <d v="2025-06-20T00:00:00" u="1"/>
        <d v="2025-06-21T00:00:00" u="1"/>
        <d v="2025-06-22T00:00:00" u="1"/>
        <d v="2025-06-23T00:00:00" u="1"/>
        <d v="2025-06-24T00:00:00" u="1"/>
        <d v="2025-06-25T00:00:00" u="1"/>
        <d v="2025-06-26T00:00:00" u="1"/>
        <d v="2025-06-27T00:00:00" u="1"/>
        <d v="2025-06-28T00:00:00" u="1"/>
        <d v="2025-06-29T00:00:00" u="1"/>
        <d v="2025-06-30T00:00:00" u="1"/>
        <d v="2025-07-01T00:00:00" u="1"/>
        <d v="2025-07-02T00:00:00" u="1"/>
        <d v="2025-07-03T00:00:00" u="1"/>
        <d v="2025-07-04T00:00:00" u="1"/>
        <d v="2025-07-05T00:00:00" u="1"/>
        <d v="2025-07-06T00:00:00" u="1"/>
        <d v="2025-07-07T00:00:00" u="1"/>
        <d v="2025-07-08T00:00:00" u="1"/>
        <d v="2025-07-09T00:00:00" u="1"/>
        <d v="2025-07-10T00:00:00" u="1"/>
        <d v="2025-07-11T00:00:00" u="1"/>
        <d v="2025-07-12T00:00:00" u="1"/>
        <d v="2025-07-13T00:00:00" u="1"/>
        <d v="2025-07-14T00:00:00" u="1"/>
        <d v="2025-07-15T00:00:00" u="1"/>
        <d v="2025-07-16T00:00:00" u="1"/>
        <d v="2025-07-17T00:00:00" u="1"/>
        <d v="2025-07-18T00:00:00" u="1"/>
        <d v="2025-07-19T00:00:00" u="1"/>
        <d v="2025-07-20T00:00:00" u="1"/>
        <d v="2025-07-21T00:00:00" u="1"/>
        <d v="2025-07-22T00:00:00" u="1"/>
        <d v="2025-07-23T00:00:00" u="1"/>
        <d v="2025-07-24T00:00:00" u="1"/>
        <d v="2025-07-25T00:00:00" u="1"/>
        <d v="2025-07-26T00:00:00" u="1"/>
        <d v="2025-07-27T00:00:00" u="1"/>
        <d v="2025-07-28T00:00:00" u="1"/>
        <d v="2025-07-29T00:00:00" u="1"/>
        <d v="2025-07-30T00:00:00" u="1"/>
        <d v="2025-07-31T00:00:00" u="1"/>
        <d v="2025-08-01T00:00:00" u="1"/>
        <d v="2025-08-02T00:00:00" u="1"/>
        <d v="2025-08-03T00:00:00" u="1"/>
        <d v="2025-08-04T00:00:00" u="1"/>
        <d v="2025-08-05T00:00:00" u="1"/>
        <d v="2025-08-06T00:00:00" u="1"/>
        <d v="2025-08-07T00:00:00" u="1"/>
        <d v="2025-08-08T00:00:00" u="1"/>
        <d v="2025-08-09T00:00:00" u="1"/>
        <d v="2025-08-10T00:00:00" u="1"/>
        <d v="2025-08-11T00:00:00" u="1"/>
        <d v="2025-08-12T00:00:00" u="1"/>
        <d v="2025-08-13T00:00:00" u="1"/>
        <d v="2025-08-14T00:00:00" u="1"/>
        <d v="2025-08-15T00:00:00" u="1"/>
        <d v="2025-08-16T00:00:00" u="1"/>
        <d v="2025-08-17T00:00:00" u="1"/>
        <d v="2025-08-18T00:00:00" u="1"/>
        <d v="2025-08-19T00:00:00" u="1"/>
        <d v="2025-08-20T00:00:00" u="1"/>
        <d v="2025-08-21T00:00:00" u="1"/>
        <d v="2025-08-22T00:00:00" u="1"/>
        <d v="2025-08-23T00:00:00" u="1"/>
        <d v="2025-08-24T00:00:00" u="1"/>
        <d v="2025-08-25T00:00:00" u="1"/>
        <d v="2025-08-26T00:00:00" u="1"/>
        <d v="2025-08-27T00:00:00" u="1"/>
        <d v="2025-08-28T00:00:00" u="1"/>
        <d v="2025-08-29T00:00:00" u="1"/>
        <d v="2025-08-30T00:00:00" u="1"/>
        <d v="2025-08-31T00:00:00" u="1"/>
        <d v="2025-09-01T00:00:00" u="1"/>
        <d v="2025-09-02T00:00:00" u="1"/>
        <d v="2025-09-03T00:00:00" u="1"/>
        <d v="2025-09-04T00:00:00" u="1"/>
        <d v="2025-09-05T00:00:00" u="1"/>
        <d v="2025-09-06T00:00:00" u="1"/>
        <d v="2025-09-07T00:00:00" u="1"/>
        <d v="2025-09-08T00:00:00" u="1"/>
        <d v="2025-09-09T00:00:00" u="1"/>
        <d v="2025-09-10T00:00:00" u="1"/>
        <d v="2025-09-11T00:00:00" u="1"/>
        <d v="2025-09-12T00:00:00" u="1"/>
        <d v="2025-09-13T00:00:00" u="1"/>
        <d v="2025-09-14T00:00:00" u="1"/>
        <d v="2025-09-15T00:00:00" u="1"/>
        <d v="2025-09-16T00:00:00" u="1"/>
        <d v="2025-09-17T00:00:00" u="1"/>
        <d v="2025-09-18T00:00:00" u="1"/>
        <d v="2025-09-19T00:00:00" u="1"/>
        <d v="2025-09-20T00:00:00" u="1"/>
        <d v="2025-09-21T00:00:00" u="1"/>
        <d v="2025-09-22T00:00:00" u="1"/>
        <d v="2025-09-23T00:00:00" u="1"/>
        <d v="2025-09-24T00:00:00" u="1"/>
        <d v="2025-09-25T00:00:00" u="1"/>
        <d v="2025-09-26T00:00:00" u="1"/>
        <d v="2025-09-27T00:00:00" u="1"/>
        <d v="2025-09-28T00:00:00" u="1"/>
        <d v="2025-09-29T00:00:00" u="1"/>
        <d v="2025-09-30T00:00:00" u="1"/>
        <d v="2025-10-01T00:00:00" u="1"/>
        <d v="2025-10-02T00:00:00" u="1"/>
        <d v="2025-10-03T00:00:00" u="1"/>
        <d v="2025-10-04T00:00:00" u="1"/>
        <d v="2025-10-05T00:00:00" u="1"/>
        <d v="2025-10-06T00:00:00" u="1"/>
        <d v="2025-10-07T00:00:00" u="1"/>
        <d v="2025-10-08T00:00:00" u="1"/>
        <d v="2025-10-09T00:00:00" u="1"/>
        <d v="2025-10-10T00:00:00" u="1"/>
        <d v="2025-10-11T00:00:00" u="1"/>
        <d v="2025-10-12T00:00:00" u="1"/>
        <d v="2025-10-13T00:00:00" u="1"/>
        <d v="2025-10-14T00:00:00" u="1"/>
        <d v="2025-10-15T00:00:00" u="1"/>
        <d v="2025-10-16T00:00:00" u="1"/>
        <d v="2025-10-17T00:00:00" u="1"/>
        <d v="2025-10-18T00:00:00" u="1"/>
        <d v="2025-10-19T00:00:00" u="1"/>
        <d v="2025-10-20T00:00:00" u="1"/>
        <d v="2025-10-21T00:00:00" u="1"/>
        <d v="2025-10-22T00:00:00" u="1"/>
        <d v="2025-10-23T00:00:00" u="1"/>
        <d v="2025-10-24T00:00:00" u="1"/>
        <d v="2025-10-25T00:00:00" u="1"/>
        <d v="2025-10-26T00:00:00" u="1"/>
        <d v="2025-10-27T00:00:00" u="1"/>
        <d v="2025-10-28T00:00:00" u="1"/>
        <d v="2025-10-29T00:00:00" u="1"/>
        <d v="2025-10-30T00:00:00" u="1"/>
        <d v="2025-10-31T00:00:00" u="1"/>
        <d v="2025-11-01T00:00:00" u="1"/>
        <d v="2025-11-02T00:00:00" u="1"/>
        <d v="2025-11-03T00:00:00" u="1"/>
        <d v="2025-11-04T00:00:00" u="1"/>
        <d v="2025-11-05T00:00:00" u="1"/>
        <d v="2025-11-06T00:00:00" u="1"/>
        <d v="2025-11-07T00:00:00" u="1"/>
        <d v="2025-11-08T00:00:00" u="1"/>
        <d v="2025-11-09T00:00:00" u="1"/>
        <d v="2025-11-10T00:00:00" u="1"/>
        <d v="2025-11-11T00:00:00" u="1"/>
        <d v="2025-11-12T00:00:00" u="1"/>
        <d v="2025-11-13T00:00:00" u="1"/>
        <d v="2025-11-14T00:00:00" u="1"/>
        <d v="2025-11-15T00:00:00" u="1"/>
        <d v="2025-11-16T00:00:00" u="1"/>
        <d v="2025-11-17T00:00:00" u="1"/>
        <d v="2025-11-18T00:00:00" u="1"/>
        <d v="2025-11-19T00:00:00" u="1"/>
        <d v="2025-11-20T00:00:00" u="1"/>
        <d v="2025-11-21T00:00:00" u="1"/>
        <d v="2025-11-22T00:00:00" u="1"/>
        <d v="2025-11-23T00:00:00" u="1"/>
        <d v="2025-11-24T00:00:00" u="1"/>
        <d v="2025-11-25T00:00:00" u="1"/>
        <d v="2025-11-26T00:00:00" u="1"/>
        <d v="2025-11-27T00:00:00" u="1"/>
        <d v="2025-11-28T00:00:00" u="1"/>
        <d v="2025-11-29T00:00:00" u="1"/>
        <d v="2025-11-30T00:00:00" u="1"/>
        <d v="2025-12-01T00:00:00" u="1"/>
        <d v="2025-12-02T00:00:00" u="1"/>
        <d v="2025-12-03T00:00:00" u="1"/>
        <d v="2025-12-04T00:00:00" u="1"/>
        <d v="2025-12-05T00:00:00" u="1"/>
        <d v="2025-12-06T00:00:00" u="1"/>
        <d v="2025-12-07T00:00:00" u="1"/>
        <d v="2025-12-08T00:00:00" u="1"/>
        <d v="2025-12-09T00:00:00" u="1"/>
        <d v="2025-12-10T00:00:00" u="1"/>
        <d v="2025-12-11T00:00:00" u="1"/>
        <d v="2025-12-12T00:00:00" u="1"/>
        <d v="2025-12-13T00:00:00" u="1"/>
        <d v="2025-12-14T00:00:00" u="1"/>
        <d v="2025-12-15T00:00:00" u="1"/>
        <d v="2025-12-16T00:00:00" u="1"/>
        <d v="2025-12-17T00:00:00" u="1"/>
        <d v="2025-12-18T00:00:00" u="1"/>
        <d v="2025-12-19T00:00:00" u="1"/>
        <d v="2025-12-20T00:00:00" u="1"/>
        <d v="2025-12-21T00:00:00" u="1"/>
        <d v="2025-12-22T00:00:00" u="1"/>
        <d v="2025-12-23T00:00:00" u="1"/>
        <d v="2025-12-24T00:00:00" u="1"/>
        <d v="2025-12-25T00:00:00" u="1"/>
      </sharedItems>
      <fieldGroup par="40"/>
    </cacheField>
    <cacheField name="Months (Tanggal terjual)" numFmtId="0" databaseField="0">
      <fieldGroup base="38">
        <rangePr groupBy="months" startDate="2024-01-01T00:00:00" endDate="2025-01-01T00:00:00"/>
        <groupItems count="14">
          <s v="&lt;1/1/2024"/>
          <s v="Jan"/>
          <s v="Feb"/>
          <s v="Mar"/>
          <s v="Apr"/>
          <s v="May"/>
          <s v="Jun"/>
          <s v="Jul"/>
          <s v="Aug"/>
          <s v="Sep"/>
          <s v="Oct"/>
          <s v="Nov"/>
          <s v="Dec"/>
          <s v="&gt;1/1/2025"/>
        </groupItems>
      </fieldGroup>
    </cacheField>
    <cacheField name="Quarters (Tanggal terjual)" numFmtId="0" databaseField="0">
      <fieldGroup base="38">
        <rangePr groupBy="quarters" startDate="2024-01-01T00:00:00" endDate="2025-01-01T00:00:00"/>
        <groupItems count="6">
          <s v="&lt;1/1/2024"/>
          <s v="Qtr1"/>
          <s v="Qtr2"/>
          <s v="Qtr3"/>
          <s v="Qtr4"/>
          <s v="&gt;1/1/2025"/>
        </groupItems>
      </fieldGroup>
    </cacheField>
    <cacheField name="Rasio diskon" numFmtId="0" formula="'Potongan Diskon'/Laba" databaseField="0"/>
    <cacheField name="Profit Margin on sales" numFmtId="0" formula="'Laba (Descount)'/'Total Transaksi'" databaseField="0"/>
    <cacheField name="Return on equity" numFmtId="0" formula="'Laba (Descount)'/'Total Modal'" databaseField="0"/>
  </cacheFields>
  <extLst>
    <ext xmlns:x14="http://schemas.microsoft.com/office/spreadsheetml/2009/9/main" uri="{725AE2AE-9491-48be-B2B4-4EB974FC3084}">
      <x14:pivotCacheDefinition pivotCacheId="1279055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46"/>
    <s v="0246"/>
    <s v="ORD-SP-0246-01/01/24"/>
    <s v="[{item_code: PP001, quantity: 2, rating: 3}, {item_code: PW002, quantity: 1, rating: 4}]"/>
    <s v="PP001"/>
    <x v="0"/>
    <s v="Pakaian Pria"/>
    <s v="2"/>
    <s v="3"/>
    <n v="80000"/>
    <n v="30000"/>
    <s v="PW002"/>
    <s v="Blouse"/>
    <s v="Pakaian Wanita"/>
    <s v="1"/>
    <s v="4"/>
    <n v="125000"/>
    <n v="50000"/>
    <s v="-"/>
    <s v="-"/>
    <s v="-"/>
    <n v="0"/>
    <s v="-"/>
    <n v="0"/>
    <n v="0"/>
    <n v="3"/>
    <n v="285000"/>
    <n v="110000"/>
    <s v="DISC15"/>
    <n v="0.15"/>
    <n v="42750"/>
    <n v="242250"/>
    <n v="175000"/>
    <n v="132250"/>
    <s v="Promo 4.4"/>
    <x v="0"/>
    <s v="SP"/>
    <x v="0"/>
    <x v="0"/>
  </r>
  <r>
    <n v="405"/>
    <s v="0405"/>
    <s v="ORD-SP-0405-01/01/24"/>
    <s v="[{item_code: PP001, quantity: 4, rating: 5}, {item_code: PW003, quantity: 1, rating: 2}, {item_code: PW002, quantity: 2, rating: 1}]"/>
    <s v="PP001"/>
    <x v="0"/>
    <s v="Pakaian Pria"/>
    <s v="4"/>
    <s v="5"/>
    <n v="80000"/>
    <n v="30000"/>
    <s v="PW003"/>
    <s v="Kaftan"/>
    <s v="Pakaian Wanita"/>
    <s v="1"/>
    <s v="2"/>
    <n v="200000"/>
    <n v="100000"/>
    <s v="PW002"/>
    <s v="Blouse"/>
    <s v="Pakaian Wanita"/>
    <s v="2"/>
    <s v="1"/>
    <n v="125000"/>
    <n v="50000"/>
    <n v="7"/>
    <n v="770000"/>
    <n v="320000"/>
    <s v="DISC20"/>
    <n v="0.2"/>
    <n v="154000"/>
    <n v="616000"/>
    <n v="450000"/>
    <n v="296000"/>
    <s v="Promo Lebaran"/>
    <x v="0"/>
    <s v="SP"/>
    <x v="1"/>
    <x v="0"/>
  </r>
  <r>
    <n v="610"/>
    <s v="0610"/>
    <s v="ORD-TK-0610-02/01/24"/>
    <s v="[{item_code: PP001, quantity: 6, rating: 1}, {item_code: PW003, quantity: 1, rating: 2}]"/>
    <s v="PP001"/>
    <x v="0"/>
    <s v="Pakaian Pria"/>
    <s v="6"/>
    <s v="1"/>
    <n v="80000"/>
    <n v="30000"/>
    <s v="PW003"/>
    <s v="Kaftan"/>
    <s v="Pakaian Wanita"/>
    <s v="1"/>
    <s v="2"/>
    <n v="200000"/>
    <n v="100000"/>
    <s v="-"/>
    <s v="-"/>
    <s v="-"/>
    <n v="0"/>
    <s v="-"/>
    <n v="0"/>
    <n v="0"/>
    <n v="7"/>
    <n v="680000"/>
    <n v="280000"/>
    <s v="-"/>
    <n v="0"/>
    <n v="0"/>
    <n v="680000"/>
    <n v="400000"/>
    <n v="400000"/>
    <s v="-"/>
    <x v="1"/>
    <s v="TK"/>
    <x v="2"/>
    <x v="1"/>
  </r>
  <r>
    <n v="820"/>
    <s v="0820"/>
    <s v="ORD-BL-0820-02/01/24"/>
    <s v="[{item_code: PP001, quantity: 3, rating: 1}, {item_code: PP002, quantity: 1, rating: 2}, {item_code: PW002, quantity: 1, rating: 1}]"/>
    <s v="PP001"/>
    <x v="0"/>
    <s v="Pakaian Pria"/>
    <s v="3"/>
    <s v="1"/>
    <n v="80000"/>
    <n v="30000"/>
    <s v="PP002"/>
    <s v="Celana Pendek"/>
    <s v="Pakaian Pria"/>
    <s v="1"/>
    <s v="2"/>
    <n v="60000"/>
    <n v="25000"/>
    <s v="PW002"/>
    <s v="Blouse"/>
    <s v="Pakaian Wanita"/>
    <s v="1"/>
    <s v="1"/>
    <n v="125000"/>
    <n v="50000"/>
    <n v="5"/>
    <n v="425000"/>
    <n v="165000"/>
    <s v="BUKALEBAR"/>
    <n v="0.15"/>
    <n v="63750"/>
    <n v="361250"/>
    <n v="260000"/>
    <n v="196250"/>
    <s v="Promo Lebaran"/>
    <x v="2"/>
    <s v="BL"/>
    <x v="3"/>
    <x v="1"/>
  </r>
  <r>
    <n v="143"/>
    <s v="0143"/>
    <s v="ORD-SP-0143-03/01/24"/>
    <s v="[{item_code: SP002, quantity: 2, rating: 5}, {item_code: PP002, quantity: 3, rating: 5}]"/>
    <s v="SP002"/>
    <x v="1"/>
    <s v="Sepatu Pria"/>
    <s v="2"/>
    <s v="5"/>
    <n v="120000"/>
    <n v="60000"/>
    <s v="PP002"/>
    <s v="Celana Pendek"/>
    <s v="Pakaian Pria"/>
    <s v="3"/>
    <s v="5"/>
    <n v="60000"/>
    <n v="25000"/>
    <s v="-"/>
    <s v="-"/>
    <s v="-"/>
    <n v="0"/>
    <s v="-"/>
    <n v="0"/>
    <n v="0"/>
    <n v="5"/>
    <n v="420000"/>
    <n v="195000"/>
    <s v="DISC20"/>
    <n v="0.2"/>
    <n v="84000"/>
    <n v="336000"/>
    <n v="225000"/>
    <n v="141000"/>
    <s v="Promo Lebaran"/>
    <x v="0"/>
    <s v="SP"/>
    <x v="3"/>
    <x v="2"/>
  </r>
  <r>
    <n v="192"/>
    <s v="0192"/>
    <s v="ORD-BB-0192-03/01/24"/>
    <s v="[{item_code: PW001, quantity: 1, rating: 2}, {item_code: SW001, quantity: 1, rating: 3}]"/>
    <s v="PW001"/>
    <x v="2"/>
    <s v="Pakaian Wanita"/>
    <s v="1"/>
    <s v="2"/>
    <n v="150000"/>
    <n v="55000"/>
    <s v="SW001"/>
    <s v="Flat Shoes"/>
    <s v="Sepatu Wanita"/>
    <s v="1"/>
    <s v="3"/>
    <n v="150000"/>
    <n v="70000"/>
    <s v="-"/>
    <s v="-"/>
    <s v="-"/>
    <n v="0"/>
    <s v="-"/>
    <n v="0"/>
    <n v="0"/>
    <n v="2"/>
    <n v="300000"/>
    <n v="125000"/>
    <s v="BELI44"/>
    <n v="0.15"/>
    <n v="45000"/>
    <n v="255000"/>
    <n v="175000"/>
    <n v="130000"/>
    <s v="Promo 4.4"/>
    <x v="3"/>
    <s v="BB"/>
    <x v="3"/>
    <x v="2"/>
  </r>
  <r>
    <n v="40"/>
    <s v="0040"/>
    <s v="ORD-TK-0040-04/01/24"/>
    <s v="[{item_code: PW003, quantity: 2, rating: 5}, {item_code: PP002, quantity: 3, rating: 3}, {item_code: PP001, quantity: 2, rating: 3}]"/>
    <s v="PW003"/>
    <x v="3"/>
    <s v="Pakaian Wanita"/>
    <s v="2"/>
    <s v="5"/>
    <n v="200000"/>
    <n v="100000"/>
    <s v="PP002"/>
    <s v="Celana Pendek"/>
    <s v="Pakaian Pria"/>
    <s v="3"/>
    <s v="3"/>
    <n v="60000"/>
    <n v="25000"/>
    <s v="PP001"/>
    <s v="Kaos Polo"/>
    <s v="Pakaian Pria"/>
    <s v="2"/>
    <s v="3"/>
    <n v="80000"/>
    <n v="30000"/>
    <n v="7"/>
    <n v="740000"/>
    <n v="335000"/>
    <s v="-"/>
    <n v="0"/>
    <n v="0"/>
    <n v="740000"/>
    <n v="405000"/>
    <n v="405000"/>
    <s v="-"/>
    <x v="1"/>
    <s v="TK"/>
    <x v="3"/>
    <x v="3"/>
  </r>
  <r>
    <n v="69"/>
    <s v="0069"/>
    <s v="ORD-TK-0069-04/01/24"/>
    <s v="[{item_code: PW002, quantity: 4, rating: 5}, {item_code: PP003, quantity: 3, rating: 1}]"/>
    <s v="PW002"/>
    <x v="4"/>
    <s v="Pakaian Wanita"/>
    <s v="4"/>
    <s v="5"/>
    <n v="125000"/>
    <n v="50000"/>
    <s v="PP003"/>
    <s v="Jaket Jeans"/>
    <s v="Pakaian Pria"/>
    <s v="3"/>
    <s v="1"/>
    <n v="150000"/>
    <n v="70000"/>
    <s v="-"/>
    <s v="-"/>
    <s v="-"/>
    <n v="0"/>
    <s v="-"/>
    <n v="0"/>
    <n v="0"/>
    <n v="7"/>
    <n v="950000"/>
    <n v="410000"/>
    <s v="LEBAR10"/>
    <n v="0.1"/>
    <n v="95000"/>
    <n v="855000"/>
    <n v="540000"/>
    <n v="445000"/>
    <s v="Promo Lebaran"/>
    <x v="1"/>
    <s v="TK"/>
    <x v="1"/>
    <x v="3"/>
  </r>
  <r>
    <n v="317"/>
    <s v="0317"/>
    <s v="ORD-SP-0317-04/01/24"/>
    <s v="[{item_code: PP001, quantity: 6, rating: 1}]"/>
    <s v="PP001"/>
    <x v="0"/>
    <s v="Pakaian Pria"/>
    <s v="6"/>
    <s v="1"/>
    <n v="80000"/>
    <n v="30000"/>
    <s v="-"/>
    <s v="-"/>
    <s v="-"/>
    <n v="0"/>
    <s v="-"/>
    <n v="0"/>
    <n v="0"/>
    <s v="-"/>
    <s v="-"/>
    <s v="-"/>
    <n v="0"/>
    <s v="-"/>
    <n v="0"/>
    <n v="0"/>
    <n v="6"/>
    <n v="480000"/>
    <n v="180000"/>
    <s v="DISC20"/>
    <n v="0.2"/>
    <n v="96000"/>
    <n v="384000"/>
    <n v="300000"/>
    <n v="204000"/>
    <s v="Promo Lebaran"/>
    <x v="0"/>
    <s v="SP"/>
    <x v="2"/>
    <x v="3"/>
  </r>
  <r>
    <n v="691"/>
    <s v="0691"/>
    <s v="ORD-SP-0691-04/01/24"/>
    <s v="[{item_code: PW003, quantity: 3, rating: 4}, {item_code: SP001, quantity: 3, rating: 3}, {item_code: PW001, quantity: 1, rating: 2}]"/>
    <s v="PW003"/>
    <x v="3"/>
    <s v="Pakaian Wanita"/>
    <s v="3"/>
    <s v="4"/>
    <n v="200000"/>
    <n v="100000"/>
    <s v="SP001"/>
    <s v="Sneakers"/>
    <s v="Sepatu Pria"/>
    <s v="3"/>
    <s v="3"/>
    <n v="300000"/>
    <n v="100000"/>
    <s v="PW001"/>
    <s v="Dress"/>
    <s v="Pakaian Wanita"/>
    <s v="1"/>
    <s v="2"/>
    <n v="150000"/>
    <n v="55000"/>
    <n v="7"/>
    <n v="1650000"/>
    <n v="655000"/>
    <s v="DISC15"/>
    <n v="0.15"/>
    <n v="247500"/>
    <n v="1402500"/>
    <n v="995000"/>
    <n v="747500"/>
    <s v="Promo 4.4"/>
    <x v="0"/>
    <s v="SP"/>
    <x v="1"/>
    <x v="3"/>
  </r>
  <r>
    <n v="305"/>
    <s v="0305"/>
    <s v="ORD-SP-0305-05/01/24"/>
    <s v="[{item_code: PP002, quantity: 1, rating: 2}, {item_code: PW003, quantity: 4, rating: 3}]"/>
    <s v="PP002"/>
    <x v="5"/>
    <s v="Pakaian Pria"/>
    <s v="1"/>
    <s v="2"/>
    <n v="60000"/>
    <n v="25000"/>
    <s v="PW003"/>
    <s v="Kaftan"/>
    <s v="Pakaian Wanita"/>
    <s v="4"/>
    <s v="3"/>
    <n v="200000"/>
    <n v="100000"/>
    <s v="-"/>
    <s v="-"/>
    <s v="-"/>
    <n v="0"/>
    <s v="-"/>
    <n v="0"/>
    <n v="0"/>
    <n v="5"/>
    <n v="860000"/>
    <n v="425000"/>
    <s v="DISC10"/>
    <n v="0.1"/>
    <n v="86000"/>
    <n v="774000"/>
    <n v="435000"/>
    <n v="349000"/>
    <s v="Promo 4.4"/>
    <x v="0"/>
    <s v="SP"/>
    <x v="2"/>
    <x v="4"/>
  </r>
  <r>
    <n v="632"/>
    <s v="0632"/>
    <s v="ORD-SP-0632-05/01/24"/>
    <s v="[{item_code: PW003, quantity: 1, rating: 4}, {item_code: PW001, quantity: 3, rating: 2}]"/>
    <s v="PW003"/>
    <x v="3"/>
    <s v="Pakaian Wanita"/>
    <s v="1"/>
    <s v="4"/>
    <n v="200000"/>
    <n v="100000"/>
    <s v="PW001"/>
    <s v="Dress"/>
    <s v="Pakaian Wanita"/>
    <s v="3"/>
    <s v="2"/>
    <n v="150000"/>
    <n v="55000"/>
    <s v="-"/>
    <s v="-"/>
    <s v="-"/>
    <n v="0"/>
    <s v="-"/>
    <n v="0"/>
    <n v="0"/>
    <n v="4"/>
    <n v="650000"/>
    <n v="265000"/>
    <s v="DISC20"/>
    <n v="0.2"/>
    <n v="130000"/>
    <n v="520000"/>
    <n v="385000"/>
    <n v="255000"/>
    <s v="Promo Lebaran"/>
    <x v="0"/>
    <s v="SP"/>
    <x v="3"/>
    <x v="4"/>
  </r>
  <r>
    <n v="279"/>
    <s v="0279"/>
    <s v="ORD-SP-0279-06/01/24"/>
    <s v="[{item_code: PP003, quantity: 1, rating: 5}]"/>
    <s v="PP003"/>
    <x v="6"/>
    <s v="Pakaian Pria"/>
    <s v="1"/>
    <s v="5"/>
    <n v="150000"/>
    <n v="70000"/>
    <s v="-"/>
    <s v="-"/>
    <s v="-"/>
    <n v="0"/>
    <s v="-"/>
    <n v="0"/>
    <n v="0"/>
    <s v="-"/>
    <s v="-"/>
    <s v="-"/>
    <n v="0"/>
    <s v="-"/>
    <n v="0"/>
    <n v="0"/>
    <n v="1"/>
    <n v="150000"/>
    <n v="70000"/>
    <s v="DISC15"/>
    <n v="0.15"/>
    <n v="22500"/>
    <n v="127500"/>
    <n v="80000"/>
    <n v="57500"/>
    <s v="Promo 4.4"/>
    <x v="0"/>
    <s v="SP"/>
    <x v="2"/>
    <x v="5"/>
  </r>
  <r>
    <n v="367"/>
    <s v="0367"/>
    <s v="ORD-TK-0367-06/01/24"/>
    <s v="[{item_code: PP003, quantity: 4, rating: 5}, {item_code: SP002, quantity: 2, rating: 4}]"/>
    <s v="PP003"/>
    <x v="6"/>
    <s v="Pakaian Pria"/>
    <s v="4"/>
    <s v="5"/>
    <n v="150000"/>
    <n v="70000"/>
    <s v="SP002"/>
    <s v="Sandal Slip On"/>
    <s v="Sepatu Pria"/>
    <s v="2"/>
    <s v="4"/>
    <n v="120000"/>
    <n v="60000"/>
    <s v="-"/>
    <s v="-"/>
    <s v="-"/>
    <n v="0"/>
    <s v="-"/>
    <n v="0"/>
    <n v="0"/>
    <n v="6"/>
    <n v="840000"/>
    <n v="400000"/>
    <s v="-"/>
    <n v="0"/>
    <n v="0"/>
    <n v="840000"/>
    <n v="440000"/>
    <n v="440000"/>
    <s v="-"/>
    <x v="1"/>
    <s v="TK"/>
    <x v="3"/>
    <x v="5"/>
  </r>
  <r>
    <n v="511"/>
    <s v="0511"/>
    <s v="ORD-BL-0511-06/01/24"/>
    <s v="[{item_code: PU001, quantity: 1, rating: 5}]"/>
    <s v="PU001"/>
    <x v="7"/>
    <s v="Pakaian Unisex"/>
    <s v="1"/>
    <s v="5"/>
    <n v="160000"/>
    <n v="60000"/>
    <s v="-"/>
    <s v="-"/>
    <s v="-"/>
    <n v="0"/>
    <s v="-"/>
    <n v="0"/>
    <n v="0"/>
    <s v="-"/>
    <s v="-"/>
    <s v="-"/>
    <n v="0"/>
    <s v="-"/>
    <n v="0"/>
    <n v="0"/>
    <n v="1"/>
    <n v="160000"/>
    <n v="60000"/>
    <s v="BUKALEBAR"/>
    <n v="0.15"/>
    <n v="24000"/>
    <n v="136000"/>
    <n v="100000"/>
    <n v="76000"/>
    <s v="Promo Lebaran"/>
    <x v="2"/>
    <s v="BL"/>
    <x v="1"/>
    <x v="5"/>
  </r>
  <r>
    <n v="422"/>
    <s v="0422"/>
    <s v="ORD-SP-0422-08/01/24"/>
    <s v="[{item_code: PP003, quantity: 1, rating: 3}, {item_code: PP002, quantity: 5, rating: 2}]"/>
    <s v="PP003"/>
    <x v="6"/>
    <s v="Pakaian Pria"/>
    <s v="1"/>
    <s v="3"/>
    <n v="150000"/>
    <n v="70000"/>
    <s v="PP002"/>
    <s v="Celana Pendek"/>
    <s v="Pakaian Pria"/>
    <s v="5"/>
    <s v="2"/>
    <n v="60000"/>
    <n v="25000"/>
    <s v="-"/>
    <s v="-"/>
    <s v="-"/>
    <n v="0"/>
    <s v="-"/>
    <n v="0"/>
    <n v="0"/>
    <n v="6"/>
    <n v="450000"/>
    <n v="195000"/>
    <s v="-"/>
    <n v="0"/>
    <n v="0"/>
    <n v="450000"/>
    <n v="255000"/>
    <n v="255000"/>
    <s v="-"/>
    <x v="0"/>
    <s v="SP"/>
    <x v="1"/>
    <x v="6"/>
  </r>
  <r>
    <n v="499"/>
    <s v="0499"/>
    <s v="ORD-TK-0499-08/01/24"/>
    <s v="[{item_code: SW001, quantity: 2, rating: 4}, {item_code: PP001, quantity: 1, rating: 5}]"/>
    <s v="SW001"/>
    <x v="8"/>
    <s v="Sepatu Wanita"/>
    <s v="2"/>
    <s v="4"/>
    <n v="150000"/>
    <n v="70000"/>
    <s v="PP001"/>
    <s v="Kaos Polo"/>
    <s v="Pakaian Pria"/>
    <s v="1"/>
    <s v="5"/>
    <n v="80000"/>
    <n v="30000"/>
    <s v="-"/>
    <s v="-"/>
    <s v="-"/>
    <n v="0"/>
    <s v="-"/>
    <n v="0"/>
    <n v="0"/>
    <n v="3"/>
    <n v="380000"/>
    <n v="170000"/>
    <s v="DISCAPRIL"/>
    <n v="0.1"/>
    <n v="38000"/>
    <n v="342000"/>
    <n v="210000"/>
    <n v="172000"/>
    <s v="Promo 4.4"/>
    <x v="1"/>
    <s v="TK"/>
    <x v="0"/>
    <x v="6"/>
  </r>
  <r>
    <n v="648"/>
    <s v="0648"/>
    <s v="ORD-BL-0648-08/01/24"/>
    <s v="[{item_code: PW002, quantity: 3, rating: 5}, {item_code: SW001, quantity: 3, rating: 1}]"/>
    <s v="PW002"/>
    <x v="4"/>
    <s v="Pakaian Wanita"/>
    <s v="3"/>
    <s v="5"/>
    <n v="125000"/>
    <n v="50000"/>
    <s v="SW001"/>
    <s v="Flat Shoes"/>
    <s v="Sepatu Wanita"/>
    <s v="3"/>
    <s v="1"/>
    <n v="150000"/>
    <n v="70000"/>
    <s v="-"/>
    <s v="-"/>
    <s v="-"/>
    <n v="0"/>
    <s v="-"/>
    <n v="0"/>
    <n v="0"/>
    <n v="6"/>
    <n v="825000"/>
    <n v="360000"/>
    <s v="BUKALEBAR"/>
    <n v="0.15"/>
    <n v="123750"/>
    <n v="701250"/>
    <n v="465000"/>
    <n v="341250"/>
    <s v="Promo Lebaran"/>
    <x v="2"/>
    <s v="BL"/>
    <x v="2"/>
    <x v="6"/>
  </r>
  <r>
    <n v="826"/>
    <s v="0826"/>
    <s v="ORD-BL-0826-08/01/24"/>
    <s v="[{item_code: PU001, quantity: 4, rating: 3}, {item_code: PW002, quantity: 1, rating: 5}]"/>
    <s v="PU001"/>
    <x v="7"/>
    <s v="Pakaian Unisex"/>
    <s v="4"/>
    <s v="3"/>
    <n v="160000"/>
    <n v="60000"/>
    <s v="PW002"/>
    <s v="Blouse"/>
    <s v="Pakaian Wanita"/>
    <s v="1"/>
    <s v="5"/>
    <n v="125000"/>
    <n v="50000"/>
    <s v="-"/>
    <s v="-"/>
    <s v="-"/>
    <n v="0"/>
    <s v="-"/>
    <n v="0"/>
    <n v="0"/>
    <n v="5"/>
    <n v="765000"/>
    <n v="290000"/>
    <s v="BUKALEBAR"/>
    <n v="0.15"/>
    <n v="114750"/>
    <n v="650250"/>
    <n v="475000"/>
    <n v="360250"/>
    <s v="Promo Lebaran"/>
    <x v="2"/>
    <s v="BL"/>
    <x v="3"/>
    <x v="6"/>
  </r>
  <r>
    <n v="894"/>
    <s v="0894"/>
    <s v="ORD-BL-0894-08/01/24"/>
    <s v="[{item_code: SP001, quantity: 4, rating: 2}, {item_code: PW001, quantity: 3, rating: 4}]"/>
    <s v="SP001"/>
    <x v="9"/>
    <s v="Sepatu Pria"/>
    <s v="4"/>
    <s v="2"/>
    <n v="300000"/>
    <n v="100000"/>
    <s v="PW001"/>
    <s v="Dress"/>
    <s v="Pakaian Wanita"/>
    <s v="3"/>
    <s v="4"/>
    <n v="150000"/>
    <n v="55000"/>
    <s v="-"/>
    <s v="-"/>
    <s v="-"/>
    <n v="0"/>
    <s v="-"/>
    <n v="0"/>
    <n v="0"/>
    <n v="7"/>
    <n v="1650000"/>
    <n v="565000"/>
    <s v="BUKALEBAR"/>
    <n v="0.15"/>
    <n v="247500"/>
    <n v="1402500"/>
    <n v="1085000"/>
    <n v="837500"/>
    <s v="Promo Lebaran"/>
    <x v="2"/>
    <s v="BL"/>
    <x v="0"/>
    <x v="6"/>
  </r>
  <r>
    <n v="913"/>
    <s v="0913"/>
    <s v="ORD-BL-0913-08/01/24"/>
    <s v="[{item_code: PW002, quantity: 2, rating: 3}, {item_code: PW001, quantity: 1, rating: 5}]"/>
    <s v="PW002"/>
    <x v="4"/>
    <s v="Pakaian Wanita"/>
    <s v="2"/>
    <s v="3"/>
    <n v="125000"/>
    <n v="50000"/>
    <s v="PW001"/>
    <s v="Dress"/>
    <s v="Pakaian Wanita"/>
    <s v="1"/>
    <s v="5"/>
    <n v="150000"/>
    <n v="55000"/>
    <s v="-"/>
    <s v="-"/>
    <s v="-"/>
    <n v="0"/>
    <s v="-"/>
    <n v="0"/>
    <n v="0"/>
    <n v="3"/>
    <n v="400000"/>
    <n v="155000"/>
    <s v="BUKALEBAR"/>
    <n v="0.15"/>
    <n v="60000"/>
    <n v="340000"/>
    <n v="245000"/>
    <n v="185000"/>
    <s v="Promo Lebaran"/>
    <x v="2"/>
    <s v="BL"/>
    <x v="2"/>
    <x v="6"/>
  </r>
  <r>
    <n v="715"/>
    <s v="0715"/>
    <s v="ORD-SP-0715-09/01/24"/>
    <s v="[{item_code: PW001, quantity: 2, rating: 5}, {item_code: SW001, quantity: 2, rating: 1}, {item_code: SP002, quantity: 3, rating: 5}]"/>
    <s v="PW001"/>
    <x v="2"/>
    <s v="Pakaian Wanita"/>
    <s v="2"/>
    <s v="5"/>
    <n v="150000"/>
    <n v="55000"/>
    <s v="SW001"/>
    <s v="Flat Shoes"/>
    <s v="Sepatu Wanita"/>
    <s v="2"/>
    <s v="1"/>
    <n v="150000"/>
    <n v="70000"/>
    <s v="SP002"/>
    <s v="Sandal Slip On"/>
    <s v="Sepatu Pria"/>
    <s v="3"/>
    <s v="5"/>
    <n v="120000"/>
    <n v="60000"/>
    <n v="7"/>
    <n v="960000"/>
    <n v="430000"/>
    <s v="DISC20"/>
    <n v="0.2"/>
    <n v="192000"/>
    <n v="768000"/>
    <n v="530000"/>
    <n v="338000"/>
    <s v="Promo Lebaran"/>
    <x v="0"/>
    <s v="SP"/>
    <x v="3"/>
    <x v="7"/>
  </r>
  <r>
    <n v="750"/>
    <s v="0750"/>
    <s v="ORD-SP-0750-09/01/24"/>
    <s v="[{item_code: PU001, quantity: 1, rating: 1}, {item_code: SW001, quantity: 3, rating: 1}]"/>
    <s v="PU001"/>
    <x v="7"/>
    <s v="Pakaian Unisex"/>
    <s v="1"/>
    <s v="1"/>
    <n v="160000"/>
    <n v="60000"/>
    <s v="SW001"/>
    <s v="Flat Shoes"/>
    <s v="Sepatu Wanita"/>
    <s v="3"/>
    <s v="1"/>
    <n v="150000"/>
    <n v="70000"/>
    <s v="-"/>
    <s v="-"/>
    <s v="-"/>
    <n v="0"/>
    <s v="-"/>
    <n v="0"/>
    <n v="0"/>
    <n v="4"/>
    <n v="610000"/>
    <n v="270000"/>
    <s v="DISC20"/>
    <n v="0.2"/>
    <n v="122000"/>
    <n v="488000"/>
    <n v="340000"/>
    <n v="218000"/>
    <s v="Promo Lebaran"/>
    <x v="0"/>
    <s v="SP"/>
    <x v="3"/>
    <x v="7"/>
  </r>
  <r>
    <n v="314"/>
    <s v="0314"/>
    <s v="ORD-SP-0314-10/01/24"/>
    <s v="[{item_code: PW002, quantity: 3, rating: 2}]"/>
    <s v="PW002"/>
    <x v="4"/>
    <s v="Pakaian Wanita"/>
    <s v="3"/>
    <s v="2"/>
    <n v="125000"/>
    <n v="50000"/>
    <s v="-"/>
    <s v="-"/>
    <s v="-"/>
    <n v="0"/>
    <s v="-"/>
    <n v="0"/>
    <n v="0"/>
    <s v="-"/>
    <s v="-"/>
    <s v="-"/>
    <n v="0"/>
    <s v="-"/>
    <n v="0"/>
    <n v="0"/>
    <n v="3"/>
    <n v="375000"/>
    <n v="150000"/>
    <s v="DISC10"/>
    <n v="0.1"/>
    <n v="37500"/>
    <n v="337500"/>
    <n v="225000"/>
    <n v="187500"/>
    <s v="Promo 4.4"/>
    <x v="0"/>
    <s v="SP"/>
    <x v="3"/>
    <x v="8"/>
  </r>
  <r>
    <n v="739"/>
    <s v="0739"/>
    <s v="ORD-TK-0739-10/01/24"/>
    <s v="[{item_code: SP001, quantity: 1, rating: 1}, {item_code: SP002, quantity: 1, rating: 2}, {item_code: PU001, quantity: 4, rating: 1}]"/>
    <s v="SP001"/>
    <x v="9"/>
    <s v="Sepatu Pria"/>
    <s v="1"/>
    <s v="1"/>
    <n v="300000"/>
    <n v="100000"/>
    <s v="SP002"/>
    <s v="Sandal Slip On"/>
    <s v="Sepatu Pria"/>
    <s v="1"/>
    <s v="2"/>
    <n v="120000"/>
    <n v="60000"/>
    <s v="PU001"/>
    <s v="Jaket Hoodie"/>
    <s v="Pakaian Unisex"/>
    <s v="4"/>
    <s v="1"/>
    <n v="160000"/>
    <n v="60000"/>
    <n v="6"/>
    <n v="1060000"/>
    <n v="400000"/>
    <s v="DISCAPRIL"/>
    <n v="0.1"/>
    <n v="106000"/>
    <n v="954000"/>
    <n v="660000"/>
    <n v="554000"/>
    <s v="Promo 4.4"/>
    <x v="1"/>
    <s v="TK"/>
    <x v="3"/>
    <x v="8"/>
  </r>
  <r>
    <n v="556"/>
    <s v="0556"/>
    <s v="ORD-BB-0556-11/01/24"/>
    <s v="[{item_code: SP001, quantity: 5, rating: 2}, {item_code: SP002, quantity: 2, rating: 5}]"/>
    <s v="SP001"/>
    <x v="9"/>
    <s v="Sepatu Pria"/>
    <s v="5"/>
    <s v="2"/>
    <n v="300000"/>
    <n v="100000"/>
    <s v="SP002"/>
    <s v="Sandal Slip On"/>
    <s v="Sepatu Pria"/>
    <s v="2"/>
    <s v="5"/>
    <n v="120000"/>
    <n v="60000"/>
    <s v="-"/>
    <s v="-"/>
    <s v="-"/>
    <n v="0"/>
    <s v="-"/>
    <n v="0"/>
    <n v="0"/>
    <n v="7"/>
    <n v="1740000"/>
    <n v="620000"/>
    <s v="BELI44"/>
    <n v="0.15"/>
    <n v="261000"/>
    <n v="1479000"/>
    <n v="1120000"/>
    <n v="859000"/>
    <s v="Promo 4.4"/>
    <x v="3"/>
    <s v="BB"/>
    <x v="0"/>
    <x v="9"/>
  </r>
  <r>
    <n v="711"/>
    <s v="0711"/>
    <s v="ORD-TK-0711-11/01/24"/>
    <s v="[{item_code: PW001, quantity: 2, rating: 5}, {item_code: SP002, quantity: 3, rating: 2}, {item_code: PW003, quantity: 2, rating: 4}]"/>
    <s v="PW001"/>
    <x v="2"/>
    <s v="Pakaian Wanita"/>
    <s v="2"/>
    <s v="5"/>
    <n v="150000"/>
    <n v="55000"/>
    <s v="SP002"/>
    <s v="Sandal Slip On"/>
    <s v="Sepatu Pria"/>
    <s v="3"/>
    <s v="2"/>
    <n v="120000"/>
    <n v="60000"/>
    <s v="PW003"/>
    <s v="Kaftan"/>
    <s v="Pakaian Wanita"/>
    <s v="2"/>
    <s v="4"/>
    <n v="200000"/>
    <n v="100000"/>
    <n v="7"/>
    <n v="1060000"/>
    <n v="490000"/>
    <s v="LEBAR10"/>
    <n v="0.1"/>
    <n v="106000"/>
    <n v="954000"/>
    <n v="570000"/>
    <n v="464000"/>
    <s v="Promo Lebaran"/>
    <x v="1"/>
    <s v="TK"/>
    <x v="1"/>
    <x v="9"/>
  </r>
  <r>
    <n v="919"/>
    <s v="0919"/>
    <s v="ORD-SP-0919-11/01/24"/>
    <s v="[{item_code: PP003, quantity: 5, rating: 5}]"/>
    <s v="PP003"/>
    <x v="6"/>
    <s v="Pakaian Pria"/>
    <s v="5"/>
    <s v="5"/>
    <n v="150000"/>
    <n v="70000"/>
    <s v="-"/>
    <s v="-"/>
    <s v="-"/>
    <n v="0"/>
    <s v="-"/>
    <n v="0"/>
    <n v="0"/>
    <s v="-"/>
    <s v="-"/>
    <s v="-"/>
    <n v="0"/>
    <s v="-"/>
    <n v="0"/>
    <n v="0"/>
    <n v="5"/>
    <n v="750000"/>
    <n v="350000"/>
    <s v="-"/>
    <n v="0"/>
    <n v="0"/>
    <n v="750000"/>
    <n v="400000"/>
    <n v="400000"/>
    <s v="-"/>
    <x v="0"/>
    <s v="SP"/>
    <x v="4"/>
    <x v="9"/>
  </r>
  <r>
    <n v="984"/>
    <s v="0984"/>
    <s v="ORD-SP-0984-11/01/24"/>
    <s v="[{item_code: PP002, quantity: 1, rating: 1}, {item_code: PU001, quantity: 2, rating: 2}, {item_code: PW002, quantity: 2, rating: 4}]"/>
    <s v="PP002"/>
    <x v="5"/>
    <s v="Pakaian Pria"/>
    <s v="1"/>
    <s v="1"/>
    <n v="60000"/>
    <n v="25000"/>
    <s v="PU001"/>
    <s v="Jaket Hoodie"/>
    <s v="Pakaian Unisex"/>
    <s v="2"/>
    <s v="2"/>
    <n v="160000"/>
    <n v="60000"/>
    <s v="PW002"/>
    <s v="Blouse"/>
    <s v="Pakaian Wanita"/>
    <s v="2"/>
    <s v="4"/>
    <n v="125000"/>
    <n v="50000"/>
    <n v="5"/>
    <n v="630000"/>
    <n v="245000"/>
    <s v="DISC15"/>
    <n v="0.15"/>
    <n v="94500"/>
    <n v="535500"/>
    <n v="385000"/>
    <n v="290500"/>
    <s v="Promo 4.4"/>
    <x v="0"/>
    <s v="SP"/>
    <x v="4"/>
    <x v="9"/>
  </r>
  <r>
    <n v="429"/>
    <s v="0429"/>
    <s v="ORD-TK-0429-12/01/24"/>
    <s v="[{item_code: PP002, quantity: 5, rating: 4}]"/>
    <s v="PP002"/>
    <x v="5"/>
    <s v="Pakaian Pria"/>
    <s v="5"/>
    <s v="4"/>
    <n v="60000"/>
    <n v="25000"/>
    <s v="-"/>
    <s v="-"/>
    <s v="-"/>
    <n v="0"/>
    <s v="-"/>
    <n v="0"/>
    <n v="0"/>
    <s v="-"/>
    <s v="-"/>
    <s v="-"/>
    <n v="0"/>
    <s v="-"/>
    <n v="0"/>
    <n v="0"/>
    <n v="5"/>
    <n v="300000"/>
    <n v="125000"/>
    <s v="DISCAPRIL"/>
    <n v="0.1"/>
    <n v="30000"/>
    <n v="270000"/>
    <n v="175000"/>
    <n v="145000"/>
    <s v="Promo 4.4"/>
    <x v="1"/>
    <s v="TK"/>
    <x v="5"/>
    <x v="10"/>
  </r>
  <r>
    <n v="699"/>
    <s v="0699"/>
    <s v="ORD-TK-0699-12/01/24"/>
    <s v="[{item_code: PP001, quantity: 4, rating: 2}, {item_code: SP002, quantity: 1, rating: 1}, {item_code: PW001, quantity: 2, rating: 1}]"/>
    <s v="PP001"/>
    <x v="0"/>
    <s v="Pakaian Pria"/>
    <s v="4"/>
    <s v="2"/>
    <n v="80000"/>
    <n v="30000"/>
    <s v="SP002"/>
    <s v="Sandal Slip On"/>
    <s v="Sepatu Pria"/>
    <s v="1"/>
    <s v="1"/>
    <n v="120000"/>
    <n v="60000"/>
    <s v="PW001"/>
    <s v="Dress"/>
    <s v="Pakaian Wanita"/>
    <s v="2"/>
    <s v="1"/>
    <n v="150000"/>
    <n v="55000"/>
    <n v="7"/>
    <n v="740000"/>
    <n v="290000"/>
    <s v="LEBAR10"/>
    <n v="0.1"/>
    <n v="74000"/>
    <n v="666000"/>
    <n v="450000"/>
    <n v="376000"/>
    <s v="Promo Lebaran"/>
    <x v="1"/>
    <s v="TK"/>
    <x v="2"/>
    <x v="10"/>
  </r>
  <r>
    <n v="373"/>
    <s v="0373"/>
    <s v="ORD-TK-0373-14/01/24"/>
    <s v="[{item_code: PW002, quantity: 1, rating: 4}, {item_code: PU001, quantity: 2, rating: 3}]"/>
    <s v="PW002"/>
    <x v="4"/>
    <s v="Pakaian Wanita"/>
    <s v="1"/>
    <s v="4"/>
    <n v="125000"/>
    <n v="50000"/>
    <s v="PU001"/>
    <s v="Jaket Hoodie"/>
    <s v="Pakaian Unisex"/>
    <s v="2"/>
    <s v="3"/>
    <n v="160000"/>
    <n v="60000"/>
    <s v="-"/>
    <s v="-"/>
    <s v="-"/>
    <n v="0"/>
    <s v="-"/>
    <n v="0"/>
    <n v="0"/>
    <n v="3"/>
    <n v="445000"/>
    <n v="170000"/>
    <s v="-"/>
    <n v="0"/>
    <n v="0"/>
    <n v="445000"/>
    <n v="275000"/>
    <n v="275000"/>
    <s v="-"/>
    <x v="1"/>
    <s v="TK"/>
    <x v="3"/>
    <x v="11"/>
  </r>
  <r>
    <n v="703"/>
    <s v="0703"/>
    <s v="ORD-TK-0703-14/01/24"/>
    <s v="[{item_code: PP001, quantity: 1, rating: 2}]"/>
    <s v="PP001"/>
    <x v="0"/>
    <s v="Pakaian Pria"/>
    <s v="1"/>
    <s v="2"/>
    <n v="80000"/>
    <n v="30000"/>
    <s v="-"/>
    <s v="-"/>
    <s v="-"/>
    <n v="0"/>
    <s v="-"/>
    <n v="0"/>
    <n v="0"/>
    <s v="-"/>
    <s v="-"/>
    <s v="-"/>
    <n v="0"/>
    <s v="-"/>
    <n v="0"/>
    <n v="0"/>
    <n v="1"/>
    <n v="80000"/>
    <n v="30000"/>
    <s v="DISCAPRIL"/>
    <n v="0.1"/>
    <n v="8000"/>
    <n v="72000"/>
    <n v="50000"/>
    <n v="42000"/>
    <s v="Promo 4.4"/>
    <x v="1"/>
    <s v="TK"/>
    <x v="1"/>
    <x v="11"/>
  </r>
  <r>
    <n v="795"/>
    <s v="0795"/>
    <s v="ORD-BB-0795-15/01/24"/>
    <s v="[{item_code: SP001, quantity: 1, rating: 4}, {item_code: PP002, quantity: 1, rating: 2}]"/>
    <s v="SP001"/>
    <x v="9"/>
    <s v="Sepatu Pria"/>
    <s v="1"/>
    <s v="4"/>
    <n v="300000"/>
    <n v="100000"/>
    <s v="PP002"/>
    <s v="Celana Pendek"/>
    <s v="Pakaian Pria"/>
    <s v="1"/>
    <s v="2"/>
    <n v="60000"/>
    <n v="25000"/>
    <s v="-"/>
    <s v="-"/>
    <s v="-"/>
    <n v="0"/>
    <s v="-"/>
    <n v="0"/>
    <n v="0"/>
    <n v="2"/>
    <n v="360000"/>
    <n v="125000"/>
    <s v="BELI44"/>
    <n v="0.15"/>
    <n v="54000"/>
    <n v="306000"/>
    <n v="235000"/>
    <n v="181000"/>
    <s v="Promo 4.4"/>
    <x v="3"/>
    <s v="BB"/>
    <x v="3"/>
    <x v="12"/>
  </r>
  <r>
    <n v="177"/>
    <s v="0177"/>
    <s v="ORD-SP-0177-16/01/24"/>
    <s v="[{item_code: PP002, quantity: 1, rating: 3}, {item_code: SP001, quantity: 1, rating: 4}, {item_code: PW003, quantity: 1, rating: 2}]"/>
    <s v="PP002"/>
    <x v="5"/>
    <s v="Pakaian Pria"/>
    <s v="1"/>
    <s v="3"/>
    <n v="60000"/>
    <n v="25000"/>
    <s v="SP001"/>
    <s v="Sneakers"/>
    <s v="Sepatu Pria"/>
    <s v="1"/>
    <s v="4"/>
    <n v="300000"/>
    <n v="100000"/>
    <s v="PW003"/>
    <s v="Kaftan"/>
    <s v="Pakaian Wanita"/>
    <s v="1"/>
    <s v="2"/>
    <n v="200000"/>
    <n v="100000"/>
    <n v="3"/>
    <n v="560000"/>
    <n v="225000"/>
    <s v="DISC20"/>
    <n v="0.2"/>
    <n v="112000"/>
    <n v="448000"/>
    <n v="335000"/>
    <n v="223000"/>
    <s v="Promo Lebaran"/>
    <x v="0"/>
    <s v="SP"/>
    <x v="2"/>
    <x v="13"/>
  </r>
  <r>
    <n v="240"/>
    <s v="0240"/>
    <s v="ORD-BB-0240-16/01/24"/>
    <s v="[{item_code: PP001, quantity: 6, rating: 4}]"/>
    <s v="PP001"/>
    <x v="0"/>
    <s v="Pakaian Pria"/>
    <s v="6"/>
    <s v="4"/>
    <n v="80000"/>
    <n v="30000"/>
    <s v="-"/>
    <s v="-"/>
    <s v="-"/>
    <n v="0"/>
    <s v="-"/>
    <n v="0"/>
    <n v="0"/>
    <s v="-"/>
    <s v="-"/>
    <s v="-"/>
    <n v="0"/>
    <s v="-"/>
    <n v="0"/>
    <n v="0"/>
    <n v="6"/>
    <n v="480000"/>
    <n v="180000"/>
    <s v="BELI44"/>
    <n v="0.15"/>
    <n v="72000"/>
    <n v="408000"/>
    <n v="300000"/>
    <n v="228000"/>
    <s v="Promo 4.4"/>
    <x v="3"/>
    <s v="BB"/>
    <x v="1"/>
    <x v="13"/>
  </r>
  <r>
    <n v="71"/>
    <s v="0071"/>
    <s v="ORD-SP-0071-17/01/24"/>
    <s v="[{item_code: PW001, quantity: 4, rating: 2}, {item_code: PP003, quantity: 1, rating: 3}]"/>
    <s v="PW001"/>
    <x v="2"/>
    <s v="Pakaian Wanita"/>
    <s v="4"/>
    <s v="2"/>
    <n v="150000"/>
    <n v="55000"/>
    <s v="PP003"/>
    <s v="Jaket Jeans"/>
    <s v="Pakaian Pria"/>
    <s v="1"/>
    <s v="3"/>
    <n v="150000"/>
    <n v="70000"/>
    <s v="-"/>
    <s v="-"/>
    <s v="-"/>
    <n v="0"/>
    <s v="-"/>
    <n v="0"/>
    <n v="0"/>
    <n v="5"/>
    <n v="750000"/>
    <n v="290000"/>
    <s v="DISC10"/>
    <n v="0.1"/>
    <n v="75000"/>
    <n v="675000"/>
    <n v="460000"/>
    <n v="385000"/>
    <s v="Promo 4.4"/>
    <x v="0"/>
    <s v="SP"/>
    <x v="1"/>
    <x v="14"/>
  </r>
  <r>
    <n v="487"/>
    <s v="0487"/>
    <s v="ORD-BB-0487-17/01/24"/>
    <s v="[{item_code: PP003, quantity: 2, rating: 4}, {item_code: PP001, quantity: 1, rating: 5}]"/>
    <s v="PP003"/>
    <x v="6"/>
    <s v="Pakaian Pria"/>
    <s v="2"/>
    <s v="4"/>
    <n v="150000"/>
    <n v="70000"/>
    <s v="PP001"/>
    <s v="Kaos Polo"/>
    <s v="Pakaian Pria"/>
    <s v="1"/>
    <s v="5"/>
    <n v="80000"/>
    <n v="30000"/>
    <s v="-"/>
    <s v="-"/>
    <s v="-"/>
    <n v="0"/>
    <s v="-"/>
    <n v="0"/>
    <n v="0"/>
    <n v="3"/>
    <n v="380000"/>
    <n v="170000"/>
    <s v="BELI44"/>
    <n v="0.15"/>
    <n v="57000"/>
    <n v="323000"/>
    <n v="210000"/>
    <n v="153000"/>
    <s v="Promo 4.4"/>
    <x v="3"/>
    <s v="BB"/>
    <x v="4"/>
    <x v="14"/>
  </r>
  <r>
    <n v="743"/>
    <s v="0743"/>
    <s v="ORD-BL-0743-17/01/24"/>
    <s v="[{item_code: PU001, quantity: 3, rating: 2}]"/>
    <s v="PU001"/>
    <x v="7"/>
    <s v="Pakaian Unisex"/>
    <s v="3"/>
    <s v="2"/>
    <n v="160000"/>
    <n v="60000"/>
    <s v="-"/>
    <s v="-"/>
    <s v="-"/>
    <n v="0"/>
    <s v="-"/>
    <n v="0"/>
    <n v="0"/>
    <s v="-"/>
    <s v="-"/>
    <s v="-"/>
    <n v="0"/>
    <s v="-"/>
    <n v="0"/>
    <n v="0"/>
    <n v="3"/>
    <n v="480000"/>
    <n v="180000"/>
    <s v="BUKALEBAR"/>
    <n v="0.15"/>
    <n v="72000"/>
    <n v="408000"/>
    <n v="300000"/>
    <n v="228000"/>
    <s v="Promo Lebaran"/>
    <x v="2"/>
    <s v="BL"/>
    <x v="1"/>
    <x v="14"/>
  </r>
  <r>
    <n v="184"/>
    <s v="0184"/>
    <s v="ORD-TK-0184-18/01/24"/>
    <s v="[{item_code: SP002, quantity: 2, rating: 2}, {item_code: PU001, quantity: 2, rating: 2}]"/>
    <s v="SP002"/>
    <x v="1"/>
    <s v="Sepatu Pria"/>
    <s v="2"/>
    <s v="2"/>
    <n v="120000"/>
    <n v="60000"/>
    <s v="PU001"/>
    <s v="Jaket Hoodie"/>
    <s v="Pakaian Unisex"/>
    <s v="2"/>
    <s v="2"/>
    <n v="160000"/>
    <n v="60000"/>
    <s v="-"/>
    <s v="-"/>
    <s v="-"/>
    <n v="0"/>
    <s v="-"/>
    <n v="0"/>
    <n v="0"/>
    <n v="4"/>
    <n v="560000"/>
    <n v="240000"/>
    <s v="LEBAR10"/>
    <n v="0.1"/>
    <n v="56000"/>
    <n v="504000"/>
    <n v="320000"/>
    <n v="264000"/>
    <s v="Promo Lebaran"/>
    <x v="1"/>
    <s v="TK"/>
    <x v="3"/>
    <x v="15"/>
  </r>
  <r>
    <n v="112"/>
    <s v="0112"/>
    <s v="ORD-TK-0112-19/01/24"/>
    <s v="[{item_code: SW001, quantity: 1, rating: 2}, {item_code: SP001, quantity: 1, rating: 2}, {item_code: SW001, quantity: 2, rating: 5}]"/>
    <s v="SW001"/>
    <x v="8"/>
    <s v="Sepatu Wanita"/>
    <s v="1"/>
    <s v="2"/>
    <n v="150000"/>
    <n v="70000"/>
    <s v="SP001"/>
    <s v="Sneakers"/>
    <s v="Sepatu Pria"/>
    <s v="1"/>
    <s v="2"/>
    <n v="300000"/>
    <n v="100000"/>
    <s v="SW001"/>
    <s v="Flat Shoes"/>
    <s v="Sepatu Wanita"/>
    <s v="2"/>
    <s v="5"/>
    <n v="150000"/>
    <n v="70000"/>
    <n v="4"/>
    <n v="750000"/>
    <n v="310000"/>
    <s v="LEBAR10"/>
    <n v="0.1"/>
    <n v="75000"/>
    <n v="675000"/>
    <n v="440000"/>
    <n v="365000"/>
    <s v="Promo Lebaran"/>
    <x v="1"/>
    <s v="TK"/>
    <x v="1"/>
    <x v="16"/>
  </r>
  <r>
    <n v="307"/>
    <s v="0307"/>
    <s v="ORD-BB-0307-19/01/24"/>
    <s v="[{item_code: PP001, quantity: 2, rating: 5}, {item_code: PU001, quantity: 2, rating: 2}]"/>
    <s v="PP001"/>
    <x v="0"/>
    <s v="Pakaian Pria"/>
    <s v="2"/>
    <s v="5"/>
    <n v="80000"/>
    <n v="30000"/>
    <s v="PU001"/>
    <s v="Jaket Hoodie"/>
    <s v="Pakaian Unisex"/>
    <s v="2"/>
    <s v="2"/>
    <n v="160000"/>
    <n v="60000"/>
    <s v="-"/>
    <s v="-"/>
    <s v="-"/>
    <n v="0"/>
    <s v="-"/>
    <n v="0"/>
    <n v="0"/>
    <n v="4"/>
    <n v="480000"/>
    <n v="180000"/>
    <s v="BELI44"/>
    <n v="0.15"/>
    <n v="72000"/>
    <n v="408000"/>
    <n v="300000"/>
    <n v="228000"/>
    <s v="Promo 4.4"/>
    <x v="3"/>
    <s v="BB"/>
    <x v="3"/>
    <x v="16"/>
  </r>
  <r>
    <n v="460"/>
    <s v="0460"/>
    <s v="ORD-SP-0460-19/01/24"/>
    <s v="[{item_code: PP001, quantity: 4, rating: 4}]"/>
    <s v="PP001"/>
    <x v="0"/>
    <s v="Pakaian Pria"/>
    <s v="4"/>
    <s v="4"/>
    <n v="80000"/>
    <n v="30000"/>
    <s v="-"/>
    <s v="-"/>
    <s v="-"/>
    <n v="0"/>
    <s v="-"/>
    <n v="0"/>
    <n v="0"/>
    <s v="-"/>
    <s v="-"/>
    <s v="-"/>
    <n v="0"/>
    <s v="-"/>
    <n v="0"/>
    <n v="0"/>
    <n v="4"/>
    <n v="320000"/>
    <n v="120000"/>
    <s v="DISC10"/>
    <n v="0.1"/>
    <n v="32000"/>
    <n v="288000"/>
    <n v="200000"/>
    <n v="168000"/>
    <s v="Promo 4.4"/>
    <x v="0"/>
    <s v="SP"/>
    <x v="1"/>
    <x v="16"/>
  </r>
  <r>
    <n v="560"/>
    <s v="0560"/>
    <s v="ORD-SP-0560-19/01/24"/>
    <s v="[{item_code: PP002, quantity: 3, rating: 2}, {item_code: PW003, quantity: 1, rating: 3}]"/>
    <s v="PP002"/>
    <x v="5"/>
    <s v="Pakaian Pria"/>
    <s v="3"/>
    <s v="2"/>
    <n v="60000"/>
    <n v="25000"/>
    <s v="PW003"/>
    <s v="Kaftan"/>
    <s v="Pakaian Wanita"/>
    <s v="1"/>
    <s v="3"/>
    <n v="200000"/>
    <n v="100000"/>
    <s v="-"/>
    <s v="-"/>
    <s v="-"/>
    <n v="0"/>
    <s v="-"/>
    <n v="0"/>
    <n v="0"/>
    <n v="4"/>
    <n v="380000"/>
    <n v="175000"/>
    <s v="DISC15"/>
    <n v="0.15"/>
    <n v="57000"/>
    <n v="323000"/>
    <n v="205000"/>
    <n v="148000"/>
    <s v="Promo 4.4"/>
    <x v="0"/>
    <s v="SP"/>
    <x v="3"/>
    <x v="16"/>
  </r>
  <r>
    <n v="720"/>
    <s v="0720"/>
    <s v="ORD-TK-0720-19/01/24"/>
    <s v="[{item_code: PW002, quantity: 1, rating: 4}]"/>
    <s v="PW002"/>
    <x v="4"/>
    <s v="Pakaian Wanita"/>
    <s v="1"/>
    <s v="4"/>
    <n v="125000"/>
    <n v="50000"/>
    <s v="-"/>
    <s v="-"/>
    <s v="-"/>
    <n v="0"/>
    <s v="-"/>
    <n v="0"/>
    <n v="0"/>
    <s v="-"/>
    <s v="-"/>
    <s v="-"/>
    <n v="0"/>
    <s v="-"/>
    <n v="0"/>
    <n v="0"/>
    <n v="1"/>
    <n v="125000"/>
    <n v="50000"/>
    <s v="DISCAPRIL"/>
    <n v="0.1"/>
    <n v="12500"/>
    <n v="112500"/>
    <n v="75000"/>
    <n v="62500"/>
    <s v="Promo 4.4"/>
    <x v="1"/>
    <s v="TK"/>
    <x v="0"/>
    <x v="16"/>
  </r>
  <r>
    <n v="311"/>
    <s v="0311"/>
    <s v="ORD-SP-0311-21/01/24"/>
    <s v="[{item_code: PP002, quantity: 3, rating: 2}, {item_code: SP002, quantity: 2, rating: 1}, {item_code: PW001, quantity: 2, rating: 4}]"/>
    <s v="PP002"/>
    <x v="5"/>
    <s v="Pakaian Pria"/>
    <s v="3"/>
    <s v="2"/>
    <n v="60000"/>
    <n v="25000"/>
    <s v="SP002"/>
    <s v="Sandal Slip On"/>
    <s v="Sepatu Pria"/>
    <s v="2"/>
    <s v="1"/>
    <n v="120000"/>
    <n v="60000"/>
    <s v="PW001"/>
    <s v="Dress"/>
    <s v="Pakaian Wanita"/>
    <s v="2"/>
    <s v="4"/>
    <n v="150000"/>
    <n v="55000"/>
    <n v="7"/>
    <n v="720000"/>
    <n v="305000"/>
    <s v="DISC10"/>
    <n v="0.1"/>
    <n v="72000"/>
    <n v="648000"/>
    <n v="415000"/>
    <n v="343000"/>
    <s v="Promo 4.4"/>
    <x v="0"/>
    <s v="SP"/>
    <x v="4"/>
    <x v="17"/>
  </r>
  <r>
    <n v="631"/>
    <s v="0631"/>
    <s v="ORD-TK-0631-21/01/24"/>
    <s v="[{item_code: SW001, quantity: 1, rating: 4}, {item_code: PW001, quantity: 1, rating: 1}]"/>
    <s v="SW001"/>
    <x v="8"/>
    <s v="Sepatu Wanita"/>
    <s v="1"/>
    <s v="4"/>
    <n v="150000"/>
    <n v="70000"/>
    <s v="PW001"/>
    <s v="Dress"/>
    <s v="Pakaian Wanita"/>
    <s v="1"/>
    <s v="1"/>
    <n v="150000"/>
    <n v="55000"/>
    <s v="-"/>
    <s v="-"/>
    <s v="-"/>
    <n v="0"/>
    <s v="-"/>
    <n v="0"/>
    <n v="0"/>
    <n v="2"/>
    <n v="300000"/>
    <n v="125000"/>
    <s v="DISCAPRIL"/>
    <n v="0.1"/>
    <n v="30000"/>
    <n v="270000"/>
    <n v="175000"/>
    <n v="145000"/>
    <s v="Promo 4.4"/>
    <x v="1"/>
    <s v="TK"/>
    <x v="5"/>
    <x v="17"/>
  </r>
  <r>
    <n v="768"/>
    <s v="0768"/>
    <s v="ORD-SP-0768-22/01/24"/>
    <s v="[{item_code: SW001, quantity: 2, rating: 3}, {item_code: PW002, quantity: 4, rating: 1}]"/>
    <s v="SW001"/>
    <x v="8"/>
    <s v="Sepatu Wanita"/>
    <s v="2"/>
    <s v="3"/>
    <n v="150000"/>
    <n v="70000"/>
    <s v="PW002"/>
    <s v="Blouse"/>
    <s v="Pakaian Wanita"/>
    <s v="4"/>
    <s v="1"/>
    <n v="125000"/>
    <n v="50000"/>
    <s v="-"/>
    <s v="-"/>
    <s v="-"/>
    <n v="0"/>
    <s v="-"/>
    <n v="0"/>
    <n v="0"/>
    <n v="6"/>
    <n v="800000"/>
    <n v="340000"/>
    <s v="DISC15"/>
    <n v="0.15"/>
    <n v="120000"/>
    <n v="680000"/>
    <n v="460000"/>
    <n v="340000"/>
    <s v="Promo 4.4"/>
    <x v="0"/>
    <s v="SP"/>
    <x v="2"/>
    <x v="18"/>
  </r>
  <r>
    <n v="836"/>
    <s v="0836"/>
    <s v="ORD-SP-0836-22/01/24"/>
    <s v="[{item_code: SW001, quantity: 1, rating: 5}]"/>
    <s v="SW001"/>
    <x v="8"/>
    <s v="Sepatu Wanita"/>
    <s v="1"/>
    <s v="5"/>
    <n v="150000"/>
    <n v="70000"/>
    <s v="-"/>
    <s v="-"/>
    <s v="-"/>
    <n v="0"/>
    <s v="-"/>
    <n v="0"/>
    <n v="0"/>
    <s v="-"/>
    <s v="-"/>
    <s v="-"/>
    <n v="0"/>
    <s v="-"/>
    <n v="0"/>
    <n v="0"/>
    <n v="1"/>
    <n v="150000"/>
    <n v="70000"/>
    <s v="DISC15"/>
    <n v="0.15"/>
    <n v="22500"/>
    <n v="127500"/>
    <n v="80000"/>
    <n v="57500"/>
    <s v="Promo 4.4"/>
    <x v="0"/>
    <s v="SP"/>
    <x v="3"/>
    <x v="18"/>
  </r>
  <r>
    <n v="45"/>
    <s v="0045"/>
    <s v="ORD-BL-0045-23/01/24"/>
    <s v="[{item_code: PW002, quantity: 2, rating: 3}]"/>
    <s v="PW002"/>
    <x v="4"/>
    <s v="Pakaian Wanita"/>
    <s v="2"/>
    <s v="3"/>
    <n v="125000"/>
    <n v="50000"/>
    <s v="-"/>
    <s v="-"/>
    <s v="-"/>
    <n v="0"/>
    <s v="-"/>
    <n v="0"/>
    <n v="0"/>
    <s v="-"/>
    <s v="-"/>
    <s v="-"/>
    <n v="0"/>
    <s v="-"/>
    <n v="0"/>
    <n v="0"/>
    <n v="2"/>
    <n v="250000"/>
    <n v="100000"/>
    <s v="BUKALEBAR"/>
    <n v="0.15"/>
    <n v="37500"/>
    <n v="212500"/>
    <n v="150000"/>
    <n v="112500"/>
    <s v="Promo Lebaran"/>
    <x v="2"/>
    <s v="BL"/>
    <x v="3"/>
    <x v="19"/>
  </r>
  <r>
    <n v="148"/>
    <s v="0148"/>
    <s v="ORD-SP-0148-23/01/24"/>
    <s v="[{item_code: SW001, quantity: 2, rating: 5}]"/>
    <s v="SW001"/>
    <x v="8"/>
    <s v="Sepatu Wanita"/>
    <s v="2"/>
    <s v="5"/>
    <n v="150000"/>
    <n v="70000"/>
    <s v="-"/>
    <s v="-"/>
    <s v="-"/>
    <n v="0"/>
    <s v="-"/>
    <n v="0"/>
    <n v="0"/>
    <s v="-"/>
    <s v="-"/>
    <s v="-"/>
    <n v="0"/>
    <s v="-"/>
    <n v="0"/>
    <n v="0"/>
    <n v="2"/>
    <n v="300000"/>
    <n v="140000"/>
    <s v="DISC10"/>
    <n v="0.1"/>
    <n v="30000"/>
    <n v="270000"/>
    <n v="160000"/>
    <n v="130000"/>
    <s v="Promo 4.4"/>
    <x v="0"/>
    <s v="SP"/>
    <x v="2"/>
    <x v="19"/>
  </r>
  <r>
    <n v="812"/>
    <s v="0812"/>
    <s v="ORD-BB-0812-23/01/24"/>
    <s v="[{item_code: PW002, quantity: 1, rating: 1}, {item_code: SP002, quantity: 1, rating: 1}, {item_code: SP001, quantity: 4, rating: 4}]"/>
    <s v="PW002"/>
    <x v="4"/>
    <s v="Pakaian Wanita"/>
    <s v="1"/>
    <s v="1"/>
    <n v="125000"/>
    <n v="50000"/>
    <s v="SP002"/>
    <s v="Sandal Slip On"/>
    <s v="Sepatu Pria"/>
    <s v="1"/>
    <s v="1"/>
    <n v="120000"/>
    <n v="60000"/>
    <s v="SP001"/>
    <s v="Sneakers"/>
    <s v="Sepatu Pria"/>
    <s v="4"/>
    <s v="4"/>
    <n v="300000"/>
    <n v="100000"/>
    <n v="6"/>
    <n v="1445000"/>
    <n v="510000"/>
    <s v="BELI44"/>
    <n v="0.15"/>
    <n v="216750"/>
    <n v="1228250"/>
    <n v="935000"/>
    <n v="718250"/>
    <s v="Promo 4.4"/>
    <x v="3"/>
    <s v="BB"/>
    <x v="2"/>
    <x v="19"/>
  </r>
  <r>
    <n v="938"/>
    <s v="0938"/>
    <s v="ORD-TK-0938-23/01/24"/>
    <s v="[{item_code: SP001, quantity: 1, rating: 2}, {item_code: PW002, quantity: 1, rating: 5}, {item_code: SW001, quantity: 1, rating: 2}]"/>
    <s v="SP001"/>
    <x v="9"/>
    <s v="Sepatu Pria"/>
    <s v="1"/>
    <s v="2"/>
    <n v="300000"/>
    <n v="100000"/>
    <s v="PW002"/>
    <s v="Blouse"/>
    <s v="Pakaian Wanita"/>
    <s v="1"/>
    <s v="5"/>
    <n v="125000"/>
    <n v="50000"/>
    <s v="SW001"/>
    <s v="Flat Shoes"/>
    <s v="Sepatu Wanita"/>
    <s v="1"/>
    <s v="2"/>
    <n v="150000"/>
    <n v="70000"/>
    <n v="3"/>
    <n v="575000"/>
    <n v="220000"/>
    <s v="DISCAPRIL"/>
    <n v="0.1"/>
    <n v="57500"/>
    <n v="517500"/>
    <n v="355000"/>
    <n v="297500"/>
    <s v="Promo 4.4"/>
    <x v="1"/>
    <s v="TK"/>
    <x v="2"/>
    <x v="19"/>
  </r>
  <r>
    <n v="558"/>
    <s v="0558"/>
    <s v="ORD-SP-0558-24/01/24"/>
    <s v="[{item_code: PP003, quantity: 5, rating: 4}, {item_code: PW003, quantity: 1, rating: 2}]"/>
    <s v="PP003"/>
    <x v="6"/>
    <s v="Pakaian Pria"/>
    <s v="5"/>
    <s v="4"/>
    <n v="150000"/>
    <n v="70000"/>
    <s v="PW003"/>
    <s v="Kaftan"/>
    <s v="Pakaian Wanita"/>
    <s v="1"/>
    <s v="2"/>
    <n v="200000"/>
    <n v="100000"/>
    <s v="-"/>
    <s v="-"/>
    <s v="-"/>
    <n v="0"/>
    <s v="-"/>
    <n v="0"/>
    <n v="0"/>
    <n v="6"/>
    <n v="950000"/>
    <n v="450000"/>
    <s v="DISC20"/>
    <n v="0.2"/>
    <n v="190000"/>
    <n v="760000"/>
    <n v="500000"/>
    <n v="310000"/>
    <s v="Promo Lebaran"/>
    <x v="0"/>
    <s v="SP"/>
    <x v="0"/>
    <x v="20"/>
  </r>
  <r>
    <n v="573"/>
    <s v="0573"/>
    <s v="ORD-SP-0573-24/01/24"/>
    <s v="[{item_code: PW002, quantity: 2, rating: 1}, {item_code: SW001, quantity: 1, rating: 5}, {item_code: SP001, quantity: 1, rating: 4}]"/>
    <s v="PW002"/>
    <x v="4"/>
    <s v="Pakaian Wanita"/>
    <s v="2"/>
    <s v="1"/>
    <n v="125000"/>
    <n v="50000"/>
    <s v="SW001"/>
    <s v="Flat Shoes"/>
    <s v="Sepatu Wanita"/>
    <s v="1"/>
    <s v="5"/>
    <n v="150000"/>
    <n v="70000"/>
    <s v="SP001"/>
    <s v="Sneakers"/>
    <s v="Sepatu Pria"/>
    <s v="1"/>
    <s v="4"/>
    <n v="300000"/>
    <n v="100000"/>
    <n v="4"/>
    <n v="700000"/>
    <n v="270000"/>
    <s v="DISC15"/>
    <n v="0.15"/>
    <n v="105000"/>
    <n v="595000"/>
    <n v="430000"/>
    <n v="325000"/>
    <s v="Promo 4.4"/>
    <x v="0"/>
    <s v="SP"/>
    <x v="5"/>
    <x v="20"/>
  </r>
  <r>
    <n v="706"/>
    <s v="0706"/>
    <s v="ORD-TK-0706-24/01/24"/>
    <s v="[{item_code: PP003, quantity: 2, rating: 2}, {item_code: PW001, quantity: 4, rating: 5}]"/>
    <s v="PP003"/>
    <x v="6"/>
    <s v="Pakaian Pria"/>
    <s v="2"/>
    <s v="2"/>
    <n v="150000"/>
    <n v="70000"/>
    <s v="PW001"/>
    <s v="Dress"/>
    <s v="Pakaian Wanita"/>
    <s v="4"/>
    <s v="5"/>
    <n v="150000"/>
    <n v="55000"/>
    <s v="-"/>
    <s v="-"/>
    <s v="-"/>
    <n v="0"/>
    <s v="-"/>
    <n v="0"/>
    <n v="0"/>
    <n v="6"/>
    <n v="900000"/>
    <n v="360000"/>
    <s v="DISCAPRIL"/>
    <n v="0.1"/>
    <n v="90000"/>
    <n v="810000"/>
    <n v="540000"/>
    <n v="450000"/>
    <s v="Promo 4.4"/>
    <x v="1"/>
    <s v="TK"/>
    <x v="2"/>
    <x v="20"/>
  </r>
  <r>
    <n v="717"/>
    <s v="0717"/>
    <s v="ORD-TK-0717-24/01/24"/>
    <s v="[{item_code: PP002, quantity: 3, rating: 3}, {item_code: PP002, quantity: 2, rating: 5}, {item_code: PW001, quantity: 2, rating: 2}]"/>
    <s v="PP002"/>
    <x v="5"/>
    <s v="Pakaian Pria"/>
    <s v="3"/>
    <s v="3"/>
    <n v="60000"/>
    <n v="25000"/>
    <s v="PP002"/>
    <s v="Celana Pendek"/>
    <s v="Pakaian Pria"/>
    <s v="2"/>
    <s v="5"/>
    <n v="60000"/>
    <n v="25000"/>
    <s v="PW001"/>
    <s v="Dress"/>
    <s v="Pakaian Wanita"/>
    <s v="2"/>
    <s v="2"/>
    <n v="150000"/>
    <n v="55000"/>
    <n v="7"/>
    <n v="600000"/>
    <n v="235000"/>
    <s v="DISCAPRIL"/>
    <n v="0.1"/>
    <n v="60000"/>
    <n v="540000"/>
    <n v="365000"/>
    <n v="305000"/>
    <s v="Promo 4.4"/>
    <x v="1"/>
    <s v="TK"/>
    <x v="3"/>
    <x v="20"/>
  </r>
  <r>
    <n v="67"/>
    <s v="0067"/>
    <s v="ORD-SP-0067-25/01/24"/>
    <s v="[{item_code: SP001, quantity: 3, rating: 1}, {item_code: PP002, quantity: 1, rating: 1}, {item_code: SW001, quantity: 2, rating: 3}]"/>
    <s v="SP001"/>
    <x v="9"/>
    <s v="Sepatu Pria"/>
    <s v="3"/>
    <s v="1"/>
    <n v="300000"/>
    <n v="100000"/>
    <s v="PP002"/>
    <s v="Celana Pendek"/>
    <s v="Pakaian Pria"/>
    <s v="1"/>
    <s v="1"/>
    <n v="60000"/>
    <n v="25000"/>
    <s v="SW001"/>
    <s v="Flat Shoes"/>
    <s v="Sepatu Wanita"/>
    <s v="2"/>
    <s v="3"/>
    <n v="150000"/>
    <n v="70000"/>
    <n v="6"/>
    <n v="1260000"/>
    <n v="465000"/>
    <s v="DISC20"/>
    <n v="0.2"/>
    <n v="252000"/>
    <n v="1008000"/>
    <n v="795000"/>
    <n v="543000"/>
    <s v="Promo Lebaran"/>
    <x v="0"/>
    <s v="SP"/>
    <x v="3"/>
    <x v="21"/>
  </r>
  <r>
    <n v="413"/>
    <s v="0413"/>
    <s v="ORD-SP-0413-25/01/24"/>
    <s v="[{item_code: SP001, quantity: 5, rating: 1}]"/>
    <s v="SP001"/>
    <x v="9"/>
    <s v="Sepatu Pria"/>
    <s v="5"/>
    <s v="1"/>
    <n v="300000"/>
    <n v="100000"/>
    <s v="-"/>
    <s v="-"/>
    <s v="-"/>
    <n v="0"/>
    <s v="-"/>
    <n v="0"/>
    <n v="0"/>
    <s v="-"/>
    <s v="-"/>
    <s v="-"/>
    <n v="0"/>
    <s v="-"/>
    <n v="0"/>
    <n v="0"/>
    <n v="5"/>
    <n v="1500000"/>
    <n v="500000"/>
    <s v="DISC10"/>
    <n v="0.1"/>
    <n v="150000"/>
    <n v="1350000"/>
    <n v="1000000"/>
    <n v="850000"/>
    <s v="Promo 4.4"/>
    <x v="0"/>
    <s v="SP"/>
    <x v="2"/>
    <x v="21"/>
  </r>
  <r>
    <n v="810"/>
    <s v="0810"/>
    <s v="ORD-SP-0810-25/01/24"/>
    <s v="[{item_code: PW001, quantity: 1, rating: 3}, {item_code: SP002, quantity: 3, rating: 5}, {item_code: PW002, quantity: 3, rating: 4}]"/>
    <s v="PW001"/>
    <x v="2"/>
    <s v="Pakaian Wanita"/>
    <s v="1"/>
    <s v="3"/>
    <n v="150000"/>
    <n v="55000"/>
    <s v="SP002"/>
    <s v="Sandal Slip On"/>
    <s v="Sepatu Pria"/>
    <s v="3"/>
    <s v="5"/>
    <n v="120000"/>
    <n v="60000"/>
    <s v="PW002"/>
    <s v="Blouse"/>
    <s v="Pakaian Wanita"/>
    <s v="3"/>
    <s v="4"/>
    <n v="125000"/>
    <n v="50000"/>
    <n v="7"/>
    <n v="885000"/>
    <n v="385000"/>
    <s v="DISC20"/>
    <n v="0.2"/>
    <n v="177000"/>
    <n v="708000"/>
    <n v="500000"/>
    <n v="323000"/>
    <s v="Promo Lebaran"/>
    <x v="0"/>
    <s v="SP"/>
    <x v="2"/>
    <x v="21"/>
  </r>
  <r>
    <n v="976"/>
    <s v="0976"/>
    <s v="ORD-SP-0976-25/01/24"/>
    <s v="[{item_code: SW001, quantity: 2, rating: 3}, {item_code: SP001, quantity: 1, rating: 1}, {item_code: PU001, quantity: 2, rating: 5}]"/>
    <s v="SW001"/>
    <x v="8"/>
    <s v="Sepatu Wanita"/>
    <s v="2"/>
    <s v="3"/>
    <n v="150000"/>
    <n v="70000"/>
    <s v="SP001"/>
    <s v="Sneakers"/>
    <s v="Sepatu Pria"/>
    <s v="1"/>
    <s v="1"/>
    <n v="300000"/>
    <n v="100000"/>
    <s v="PU001"/>
    <s v="Jaket Hoodie"/>
    <s v="Pakaian Unisex"/>
    <s v="2"/>
    <s v="5"/>
    <n v="160000"/>
    <n v="60000"/>
    <n v="5"/>
    <n v="920000"/>
    <n v="360000"/>
    <s v="DISC20"/>
    <n v="0.2"/>
    <n v="184000"/>
    <n v="736000"/>
    <n v="560000"/>
    <n v="376000"/>
    <s v="Promo Lebaran"/>
    <x v="0"/>
    <s v="SP"/>
    <x v="3"/>
    <x v="21"/>
  </r>
  <r>
    <n v="188"/>
    <s v="0188"/>
    <s v="ORD-SP-0188-26/01/24"/>
    <s v="[{item_code: PP002, quantity: 5, rating: 1}, {item_code: PW001, quantity: 1, rating: 5}]"/>
    <s v="PP002"/>
    <x v="5"/>
    <s v="Pakaian Pria"/>
    <s v="5"/>
    <s v="1"/>
    <n v="60000"/>
    <n v="25000"/>
    <s v="PW001"/>
    <s v="Dress"/>
    <s v="Pakaian Wanita"/>
    <s v="1"/>
    <s v="5"/>
    <n v="150000"/>
    <n v="55000"/>
    <s v="-"/>
    <s v="-"/>
    <s v="-"/>
    <n v="0"/>
    <s v="-"/>
    <n v="0"/>
    <n v="0"/>
    <n v="6"/>
    <n v="450000"/>
    <n v="180000"/>
    <s v="DISC20"/>
    <n v="0.2"/>
    <n v="90000"/>
    <n v="360000"/>
    <n v="270000"/>
    <n v="180000"/>
    <s v="Promo Lebaran"/>
    <x v="0"/>
    <s v="SP"/>
    <x v="3"/>
    <x v="22"/>
  </r>
  <r>
    <n v="337"/>
    <s v="0337"/>
    <s v="ORD-SP-0337-26/01/24"/>
    <s v="[{item_code: PW002, quantity: 1, rating: 3}]"/>
    <s v="PW002"/>
    <x v="4"/>
    <s v="Pakaian Wanita"/>
    <s v="1"/>
    <s v="3"/>
    <n v="125000"/>
    <n v="50000"/>
    <s v="-"/>
    <s v="-"/>
    <s v="-"/>
    <n v="0"/>
    <s v="-"/>
    <n v="0"/>
    <n v="0"/>
    <s v="-"/>
    <s v="-"/>
    <s v="-"/>
    <n v="0"/>
    <s v="-"/>
    <n v="0"/>
    <n v="0"/>
    <n v="1"/>
    <n v="125000"/>
    <n v="50000"/>
    <s v="DISC10"/>
    <n v="0.1"/>
    <n v="12500"/>
    <n v="112500"/>
    <n v="75000"/>
    <n v="62500"/>
    <s v="Promo 4.4"/>
    <x v="0"/>
    <s v="SP"/>
    <x v="0"/>
    <x v="22"/>
  </r>
  <r>
    <n v="410"/>
    <s v="0410"/>
    <s v="ORD-SP-0410-26/01/24"/>
    <s v="[{item_code: SW001, quantity: 1, rating: 1}]"/>
    <s v="SW001"/>
    <x v="8"/>
    <s v="Sepatu Wanita"/>
    <s v="1"/>
    <s v="1"/>
    <n v="150000"/>
    <n v="70000"/>
    <s v="-"/>
    <s v="-"/>
    <s v="-"/>
    <n v="0"/>
    <s v="-"/>
    <n v="0"/>
    <n v="0"/>
    <s v="-"/>
    <s v="-"/>
    <s v="-"/>
    <n v="0"/>
    <s v="-"/>
    <n v="0"/>
    <n v="0"/>
    <n v="1"/>
    <n v="150000"/>
    <n v="70000"/>
    <s v="DISC20"/>
    <n v="0.2"/>
    <n v="30000"/>
    <n v="120000"/>
    <n v="80000"/>
    <n v="50000"/>
    <s v="Promo Lebaran"/>
    <x v="0"/>
    <s v="SP"/>
    <x v="1"/>
    <x v="22"/>
  </r>
  <r>
    <n v="458"/>
    <s v="0458"/>
    <s v="ORD-BB-0458-26/01/24"/>
    <s v="[{item_code: SW001, quantity: 2, rating: 2}, {item_code: PP002, quantity: 2, rating: 5}]"/>
    <s v="SW001"/>
    <x v="8"/>
    <s v="Sepatu Wanita"/>
    <s v="2"/>
    <s v="2"/>
    <n v="150000"/>
    <n v="70000"/>
    <s v="PP002"/>
    <s v="Celana Pendek"/>
    <s v="Pakaian Pria"/>
    <s v="2"/>
    <s v="5"/>
    <n v="60000"/>
    <n v="25000"/>
    <s v="-"/>
    <s v="-"/>
    <s v="-"/>
    <n v="0"/>
    <s v="-"/>
    <n v="0"/>
    <n v="0"/>
    <n v="4"/>
    <n v="420000"/>
    <n v="190000"/>
    <s v="BELI44"/>
    <n v="0.15"/>
    <n v="63000"/>
    <n v="357000"/>
    <n v="230000"/>
    <n v="167000"/>
    <s v="Promo 4.4"/>
    <x v="3"/>
    <s v="BB"/>
    <x v="0"/>
    <x v="22"/>
  </r>
  <r>
    <n v="545"/>
    <s v="0545"/>
    <s v="ORD-TK-0545-26/01/24"/>
    <s v="[{item_code: PW003, quantity: 7, rating: 3}]"/>
    <s v="PW003"/>
    <x v="3"/>
    <s v="Pakaian Wanita"/>
    <s v="7"/>
    <s v="3"/>
    <n v="200000"/>
    <n v="100000"/>
    <s v="-"/>
    <s v="-"/>
    <s v="-"/>
    <n v="0"/>
    <s v="-"/>
    <n v="0"/>
    <n v="0"/>
    <s v="-"/>
    <s v="-"/>
    <s v="-"/>
    <n v="0"/>
    <s v="-"/>
    <n v="0"/>
    <n v="0"/>
    <n v="7"/>
    <n v="1400000"/>
    <n v="700000"/>
    <s v="DISCAPRIL"/>
    <n v="0.1"/>
    <n v="140000"/>
    <n v="1260000"/>
    <n v="700000"/>
    <n v="560000"/>
    <s v="Promo 4.4"/>
    <x v="1"/>
    <s v="TK"/>
    <x v="3"/>
    <x v="22"/>
  </r>
  <r>
    <n v="617"/>
    <s v="0617"/>
    <s v="ORD-TK-0617-26/01/24"/>
    <s v="[{item_code: PW003, quantity: 2, rating: 4}]"/>
    <s v="PW003"/>
    <x v="3"/>
    <s v="Pakaian Wanita"/>
    <s v="2"/>
    <s v="4"/>
    <n v="200000"/>
    <n v="100000"/>
    <s v="-"/>
    <s v="-"/>
    <s v="-"/>
    <n v="0"/>
    <s v="-"/>
    <n v="0"/>
    <n v="0"/>
    <s v="-"/>
    <s v="-"/>
    <s v="-"/>
    <n v="0"/>
    <s v="-"/>
    <n v="0"/>
    <n v="0"/>
    <n v="2"/>
    <n v="400000"/>
    <n v="200000"/>
    <s v="-"/>
    <n v="0"/>
    <n v="0"/>
    <n v="400000"/>
    <n v="200000"/>
    <n v="200000"/>
    <s v="-"/>
    <x v="1"/>
    <s v="TK"/>
    <x v="1"/>
    <x v="22"/>
  </r>
  <r>
    <n v="259"/>
    <s v="0259"/>
    <s v="ORD-SP-0259-28/01/24"/>
    <s v="[{item_code: PU001, quantity: 2, rating: 2}]"/>
    <s v="PU001"/>
    <x v="7"/>
    <s v="Pakaian Unisex"/>
    <s v="2"/>
    <s v="2"/>
    <n v="160000"/>
    <n v="60000"/>
    <s v="-"/>
    <s v="-"/>
    <s v="-"/>
    <n v="0"/>
    <s v="-"/>
    <n v="0"/>
    <n v="0"/>
    <s v="-"/>
    <s v="-"/>
    <s v="-"/>
    <n v="0"/>
    <s v="-"/>
    <n v="0"/>
    <n v="0"/>
    <n v="2"/>
    <n v="320000"/>
    <n v="120000"/>
    <s v="-"/>
    <n v="0"/>
    <n v="0"/>
    <n v="320000"/>
    <n v="200000"/>
    <n v="200000"/>
    <s v="-"/>
    <x v="0"/>
    <s v="SP"/>
    <x v="5"/>
    <x v="23"/>
  </r>
  <r>
    <n v="989"/>
    <s v="0989"/>
    <s v="ORD-SP-0989-28/01/24"/>
    <s v="[{item_code: PP003, quantity: 1, rating: 1}, {item_code: SW001, quantity: 2, rating: 5}, {item_code: PU001, quantity: 1, rating: 1}]"/>
    <s v="PP003"/>
    <x v="6"/>
    <s v="Pakaian Pria"/>
    <s v="1"/>
    <s v="1"/>
    <n v="150000"/>
    <n v="70000"/>
    <s v="SW001"/>
    <s v="Flat Shoes"/>
    <s v="Sepatu Wanita"/>
    <s v="2"/>
    <s v="5"/>
    <n v="150000"/>
    <n v="70000"/>
    <s v="PU001"/>
    <s v="Jaket Hoodie"/>
    <s v="Pakaian Unisex"/>
    <s v="1"/>
    <s v="1"/>
    <n v="160000"/>
    <n v="60000"/>
    <n v="4"/>
    <n v="610000"/>
    <n v="270000"/>
    <s v="-"/>
    <n v="0"/>
    <n v="0"/>
    <n v="610000"/>
    <n v="340000"/>
    <n v="340000"/>
    <s v="-"/>
    <x v="0"/>
    <s v="SP"/>
    <x v="0"/>
    <x v="23"/>
  </r>
  <r>
    <n v="811"/>
    <s v="0811"/>
    <s v="ORD-SP-0811-29/01/24"/>
    <s v="[{item_code: SP002, quantity: 4, rating: 1}, {item_code: PU001, quantity: 2, rating: 4}]"/>
    <s v="SP002"/>
    <x v="1"/>
    <s v="Sepatu Pria"/>
    <s v="4"/>
    <s v="1"/>
    <n v="120000"/>
    <n v="60000"/>
    <s v="PU001"/>
    <s v="Jaket Hoodie"/>
    <s v="Pakaian Unisex"/>
    <s v="2"/>
    <s v="4"/>
    <n v="160000"/>
    <n v="60000"/>
    <s v="-"/>
    <s v="-"/>
    <s v="-"/>
    <n v="0"/>
    <s v="-"/>
    <n v="0"/>
    <n v="0"/>
    <n v="6"/>
    <n v="800000"/>
    <n v="360000"/>
    <s v="DISC10"/>
    <n v="0.1"/>
    <n v="80000"/>
    <n v="720000"/>
    <n v="440000"/>
    <n v="360000"/>
    <s v="Promo 4.4"/>
    <x v="0"/>
    <s v="SP"/>
    <x v="3"/>
    <x v="24"/>
  </r>
  <r>
    <n v="433"/>
    <s v="0433"/>
    <s v="ORD-SP-0433-30/01/24"/>
    <s v="[{item_code: PW002, quantity: 1, rating: 3}, {item_code: PP001, quantity: 1, rating: 3}, {item_code: PP002, quantity: 1, rating: 2}]"/>
    <s v="PW002"/>
    <x v="4"/>
    <s v="Pakaian Wanita"/>
    <s v="1"/>
    <s v="3"/>
    <n v="125000"/>
    <n v="50000"/>
    <s v="PP001"/>
    <s v="Kaos Polo"/>
    <s v="Pakaian Pria"/>
    <s v="1"/>
    <s v="3"/>
    <n v="80000"/>
    <n v="30000"/>
    <s v="PP002"/>
    <s v="Celana Pendek"/>
    <s v="Pakaian Pria"/>
    <s v="1"/>
    <s v="2"/>
    <n v="60000"/>
    <n v="25000"/>
    <n v="3"/>
    <n v="265000"/>
    <n v="105000"/>
    <s v="-"/>
    <n v="0"/>
    <n v="0"/>
    <n v="265000"/>
    <n v="160000"/>
    <n v="160000"/>
    <s v="-"/>
    <x v="0"/>
    <s v="SP"/>
    <x v="3"/>
    <x v="25"/>
  </r>
  <r>
    <n v="700"/>
    <s v="0700"/>
    <s v="ORD-SP-0700-30/01/24"/>
    <s v="[{item_code: SW001, quantity: 6, rating: 4}, {item_code: SP002, quantity: 1, rating: 3}]"/>
    <s v="SW001"/>
    <x v="8"/>
    <s v="Sepatu Wanita"/>
    <s v="6"/>
    <s v="4"/>
    <n v="150000"/>
    <n v="70000"/>
    <s v="SP002"/>
    <s v="Sandal Slip On"/>
    <s v="Sepatu Pria"/>
    <s v="1"/>
    <s v="3"/>
    <n v="120000"/>
    <n v="60000"/>
    <s v="-"/>
    <s v="-"/>
    <s v="-"/>
    <n v="0"/>
    <s v="-"/>
    <n v="0"/>
    <n v="0"/>
    <n v="7"/>
    <n v="1020000"/>
    <n v="480000"/>
    <s v="DISC10"/>
    <n v="0.1"/>
    <n v="102000"/>
    <n v="918000"/>
    <n v="540000"/>
    <n v="438000"/>
    <s v="Promo 4.4"/>
    <x v="0"/>
    <s v="SP"/>
    <x v="4"/>
    <x v="25"/>
  </r>
  <r>
    <n v="23"/>
    <s v="0023"/>
    <s v="ORD-SP-0023-31/01/24"/>
    <s v="[{item_code: PW002, quantity: 3, rating: 2}, {item_code: SP002, quantity: 1, rating: 5}]"/>
    <s v="PW002"/>
    <x v="4"/>
    <s v="Pakaian Wanita"/>
    <s v="3"/>
    <s v="2"/>
    <n v="125000"/>
    <n v="50000"/>
    <s v="SP002"/>
    <s v="Sandal Slip On"/>
    <s v="Sepatu Pria"/>
    <s v="1"/>
    <s v="5"/>
    <n v="120000"/>
    <n v="60000"/>
    <s v="-"/>
    <s v="-"/>
    <s v="-"/>
    <n v="0"/>
    <s v="-"/>
    <n v="0"/>
    <n v="0"/>
    <n v="4"/>
    <n v="495000"/>
    <n v="210000"/>
    <s v="DISC20"/>
    <n v="0.2"/>
    <n v="99000"/>
    <n v="396000"/>
    <n v="285000"/>
    <n v="186000"/>
    <s v="Promo Lebaran"/>
    <x v="0"/>
    <s v="SP"/>
    <x v="4"/>
    <x v="26"/>
  </r>
  <r>
    <n v="135"/>
    <s v="0135"/>
    <s v="ORD-BL-0135-31/01/24"/>
    <s v="[{item_code: PP002, quantity: 2, rating: 3}, {item_code: PU001, quantity: 2, rating: 3}, {item_code: SP001, quantity: 1, rating: 5}]"/>
    <s v="PP002"/>
    <x v="5"/>
    <s v="Pakaian Pria"/>
    <s v="2"/>
    <s v="3"/>
    <n v="60000"/>
    <n v="25000"/>
    <s v="PU001"/>
    <s v="Jaket Hoodie"/>
    <s v="Pakaian Unisex"/>
    <s v="2"/>
    <s v="3"/>
    <n v="160000"/>
    <n v="60000"/>
    <s v="SP001"/>
    <s v="Sneakers"/>
    <s v="Sepatu Pria"/>
    <s v="1"/>
    <s v="5"/>
    <n v="300000"/>
    <n v="100000"/>
    <n v="5"/>
    <n v="740000"/>
    <n v="270000"/>
    <s v="-"/>
    <n v="0"/>
    <n v="0"/>
    <n v="740000"/>
    <n v="470000"/>
    <n v="470000"/>
    <s v="-"/>
    <x v="2"/>
    <s v="BL"/>
    <x v="3"/>
    <x v="26"/>
  </r>
  <r>
    <n v="144"/>
    <s v="0144"/>
    <s v="ORD-BL-0144-31/01/24"/>
    <s v="[{item_code: PU001, quantity: 1, rating: 1}]"/>
    <s v="PU001"/>
    <x v="7"/>
    <s v="Pakaian Unisex"/>
    <s v="1"/>
    <s v="1"/>
    <n v="160000"/>
    <n v="60000"/>
    <s v="-"/>
    <s v="-"/>
    <s v="-"/>
    <n v="0"/>
    <s v="-"/>
    <n v="0"/>
    <n v="0"/>
    <s v="-"/>
    <s v="-"/>
    <s v="-"/>
    <n v="0"/>
    <s v="-"/>
    <n v="0"/>
    <n v="0"/>
    <n v="1"/>
    <n v="160000"/>
    <n v="60000"/>
    <s v="BUKALEBAR"/>
    <n v="0.15"/>
    <n v="24000"/>
    <n v="136000"/>
    <n v="100000"/>
    <n v="76000"/>
    <s v="Promo Lebaran"/>
    <x v="2"/>
    <s v="BL"/>
    <x v="1"/>
    <x v="26"/>
  </r>
  <r>
    <n v="451"/>
    <s v="0451"/>
    <s v="ORD-BL-0451-01/02/24"/>
    <s v="[{item_code: SP002, quantity: 1, rating: 4}]"/>
    <s v="SP002"/>
    <x v="1"/>
    <s v="Sepatu Pria"/>
    <s v="1"/>
    <s v="4"/>
    <n v="120000"/>
    <n v="60000"/>
    <s v="-"/>
    <s v="-"/>
    <s v="-"/>
    <n v="0"/>
    <s v="-"/>
    <n v="0"/>
    <n v="0"/>
    <s v="-"/>
    <s v="-"/>
    <s v="-"/>
    <n v="0"/>
    <s v="-"/>
    <n v="0"/>
    <n v="0"/>
    <n v="1"/>
    <n v="120000"/>
    <n v="60000"/>
    <s v="BUKALEBAR"/>
    <n v="0.15"/>
    <n v="18000"/>
    <n v="102000"/>
    <n v="60000"/>
    <n v="42000"/>
    <s v="Promo Lebaran"/>
    <x v="2"/>
    <s v="BL"/>
    <x v="3"/>
    <x v="27"/>
  </r>
  <r>
    <n v="506"/>
    <s v="0506"/>
    <s v="ORD-SP-0506-01/02/24"/>
    <s v="[{item_code: PP003, quantity: 1, rating: 4}, {item_code: PW003, quantity: 2, rating: 1}, {item_code: SP001, quantity: 1, rating: 3}]"/>
    <s v="PP003"/>
    <x v="6"/>
    <s v="Pakaian Pria"/>
    <s v="1"/>
    <s v="4"/>
    <n v="150000"/>
    <n v="70000"/>
    <s v="PW003"/>
    <s v="Kaftan"/>
    <s v="Pakaian Wanita"/>
    <s v="2"/>
    <s v="1"/>
    <n v="200000"/>
    <n v="100000"/>
    <s v="SP001"/>
    <s v="Sneakers"/>
    <s v="Sepatu Pria"/>
    <s v="1"/>
    <s v="3"/>
    <n v="300000"/>
    <n v="100000"/>
    <n v="4"/>
    <n v="850000"/>
    <n v="370000"/>
    <s v="DISC10"/>
    <n v="0.1"/>
    <n v="85000"/>
    <n v="765000"/>
    <n v="480000"/>
    <n v="395000"/>
    <s v="Promo 4.4"/>
    <x v="0"/>
    <s v="SP"/>
    <x v="1"/>
    <x v="27"/>
  </r>
  <r>
    <n v="698"/>
    <s v="0698"/>
    <s v="ORD-BL-0698-01/02/24"/>
    <s v="[{item_code: PP002, quantity: 2, rating: 5}]"/>
    <s v="PP002"/>
    <x v="5"/>
    <s v="Pakaian Pria"/>
    <s v="2"/>
    <s v="5"/>
    <n v="60000"/>
    <n v="25000"/>
    <s v="-"/>
    <s v="-"/>
    <s v="-"/>
    <n v="0"/>
    <s v="-"/>
    <n v="0"/>
    <n v="0"/>
    <s v="-"/>
    <s v="-"/>
    <s v="-"/>
    <n v="0"/>
    <s v="-"/>
    <n v="0"/>
    <n v="0"/>
    <n v="2"/>
    <n v="120000"/>
    <n v="50000"/>
    <s v="BUKALEBAR"/>
    <n v="0.15"/>
    <n v="18000"/>
    <n v="102000"/>
    <n v="70000"/>
    <n v="52000"/>
    <s v="Promo Lebaran"/>
    <x v="2"/>
    <s v="BL"/>
    <x v="2"/>
    <x v="27"/>
  </r>
  <r>
    <n v="952"/>
    <s v="0952"/>
    <s v="ORD-SP-0952-01/02/24"/>
    <s v="[{item_code: SW001, quantity: 6, rating: 4}]"/>
    <s v="SW001"/>
    <x v="8"/>
    <s v="Sepatu Wanita"/>
    <s v="6"/>
    <s v="4"/>
    <n v="150000"/>
    <n v="70000"/>
    <s v="-"/>
    <s v="-"/>
    <s v="-"/>
    <n v="0"/>
    <s v="-"/>
    <n v="0"/>
    <n v="0"/>
    <s v="-"/>
    <s v="-"/>
    <s v="-"/>
    <n v="0"/>
    <s v="-"/>
    <n v="0"/>
    <n v="0"/>
    <n v="6"/>
    <n v="900000"/>
    <n v="420000"/>
    <s v="DISC10"/>
    <n v="0.1"/>
    <n v="90000"/>
    <n v="810000"/>
    <n v="480000"/>
    <n v="390000"/>
    <s v="Promo 4.4"/>
    <x v="0"/>
    <s v="SP"/>
    <x v="2"/>
    <x v="27"/>
  </r>
  <r>
    <n v="5"/>
    <s v="0005"/>
    <s v="ORD-TK-0005-02/02/24"/>
    <s v="[{item_code: PP002, quantity: 2, rating: 3}, {item_code: PP002, quantity: 1, rating: 2}]"/>
    <s v="PP002"/>
    <x v="5"/>
    <s v="Pakaian Pria"/>
    <s v="2"/>
    <s v="3"/>
    <n v="60000"/>
    <n v="25000"/>
    <s v="PP002"/>
    <s v="Celana Pendek"/>
    <s v="Pakaian Pria"/>
    <s v="1"/>
    <s v="2"/>
    <n v="60000"/>
    <n v="25000"/>
    <s v="-"/>
    <s v="-"/>
    <s v="-"/>
    <n v="0"/>
    <s v="-"/>
    <n v="0"/>
    <n v="0"/>
    <n v="3"/>
    <n v="180000"/>
    <n v="75000"/>
    <s v="LEBAR10"/>
    <n v="0.1"/>
    <n v="18000"/>
    <n v="162000"/>
    <n v="105000"/>
    <n v="87000"/>
    <s v="Promo Lebaran"/>
    <x v="1"/>
    <s v="TK"/>
    <x v="5"/>
    <x v="28"/>
  </r>
  <r>
    <n v="353"/>
    <s v="0353"/>
    <s v="ORD-BL-0353-02/02/24"/>
    <s v="[{item_code: PU001, quantity: 1, rating: 3}, {item_code: SP002, quantity: 1, rating: 1}]"/>
    <s v="PU001"/>
    <x v="7"/>
    <s v="Pakaian Unisex"/>
    <s v="1"/>
    <s v="3"/>
    <n v="160000"/>
    <n v="60000"/>
    <s v="SP002"/>
    <s v="Sandal Slip On"/>
    <s v="Sepatu Pria"/>
    <s v="1"/>
    <s v="1"/>
    <n v="120000"/>
    <n v="60000"/>
    <s v="-"/>
    <s v="-"/>
    <s v="-"/>
    <n v="0"/>
    <s v="-"/>
    <n v="0"/>
    <n v="0"/>
    <n v="2"/>
    <n v="280000"/>
    <n v="120000"/>
    <s v="BUKALEBAR"/>
    <n v="0.15"/>
    <n v="42000"/>
    <n v="238000"/>
    <n v="160000"/>
    <n v="118000"/>
    <s v="Promo Lebaran"/>
    <x v="2"/>
    <s v="BL"/>
    <x v="3"/>
    <x v="28"/>
  </r>
  <r>
    <n v="383"/>
    <s v="0383"/>
    <s v="ORD-SP-0383-03/02/24"/>
    <s v="[{item_code: PP003, quantity: 4, rating: 4}, {item_code: PU001, quantity: 1, rating: 4}, {item_code: PP003, quantity: 2, rating: 4}]"/>
    <s v="PP003"/>
    <x v="6"/>
    <s v="Pakaian Pria"/>
    <s v="4"/>
    <s v="4"/>
    <n v="150000"/>
    <n v="70000"/>
    <s v="PU001"/>
    <s v="Jaket Hoodie"/>
    <s v="Pakaian Unisex"/>
    <s v="1"/>
    <s v="4"/>
    <n v="160000"/>
    <n v="60000"/>
    <s v="PP003"/>
    <s v="Jaket Jeans"/>
    <s v="Pakaian Pria"/>
    <s v="2"/>
    <s v="4"/>
    <n v="150000"/>
    <n v="70000"/>
    <n v="7"/>
    <n v="1060000"/>
    <n v="480000"/>
    <s v="DISC15"/>
    <n v="0.15"/>
    <n v="159000"/>
    <n v="901000"/>
    <n v="580000"/>
    <n v="421000"/>
    <s v="Promo 4.4"/>
    <x v="0"/>
    <s v="SP"/>
    <x v="5"/>
    <x v="29"/>
  </r>
  <r>
    <n v="395"/>
    <s v="0395"/>
    <s v="ORD-TK-0395-03/02/24"/>
    <s v="[{item_code: SP001, quantity: 1, rating: 3}]"/>
    <s v="SP001"/>
    <x v="9"/>
    <s v="Sepatu Pria"/>
    <s v="1"/>
    <s v="3"/>
    <n v="300000"/>
    <n v="100000"/>
    <s v="-"/>
    <s v="-"/>
    <s v="-"/>
    <n v="0"/>
    <s v="-"/>
    <n v="0"/>
    <n v="0"/>
    <s v="-"/>
    <s v="-"/>
    <s v="-"/>
    <n v="0"/>
    <s v="-"/>
    <n v="0"/>
    <n v="0"/>
    <n v="1"/>
    <n v="300000"/>
    <n v="100000"/>
    <s v="LEBAR10"/>
    <n v="0.1"/>
    <n v="30000"/>
    <n v="270000"/>
    <n v="200000"/>
    <n v="170000"/>
    <s v="Promo Lebaran"/>
    <x v="1"/>
    <s v="TK"/>
    <x v="0"/>
    <x v="29"/>
  </r>
  <r>
    <n v="681"/>
    <s v="0681"/>
    <s v="ORD-BL-0681-03/02/24"/>
    <s v="[{item_code: PW001, quantity: 1, rating: 4}, {item_code: PP003, quantity: 3, rating: 4}]"/>
    <s v="PW001"/>
    <x v="2"/>
    <s v="Pakaian Wanita"/>
    <s v="1"/>
    <s v="4"/>
    <n v="150000"/>
    <n v="55000"/>
    <s v="PP003"/>
    <s v="Jaket Jeans"/>
    <s v="Pakaian Pria"/>
    <s v="3"/>
    <s v="4"/>
    <n v="150000"/>
    <n v="70000"/>
    <s v="-"/>
    <s v="-"/>
    <s v="-"/>
    <n v="0"/>
    <s v="-"/>
    <n v="0"/>
    <n v="0"/>
    <n v="4"/>
    <n v="600000"/>
    <n v="265000"/>
    <s v="BUKALEBAR"/>
    <n v="0.15"/>
    <n v="90000"/>
    <n v="510000"/>
    <n v="335000"/>
    <n v="245000"/>
    <s v="Promo Lebaran"/>
    <x v="2"/>
    <s v="BL"/>
    <x v="3"/>
    <x v="29"/>
  </r>
  <r>
    <n v="830"/>
    <s v="0830"/>
    <s v="ORD-BB-0830-03/02/24"/>
    <s v="[{item_code: PU001, quantity: 3, rating: 1}, {item_code: SP002, quantity: 2, rating: 4}, {item_code: PW003, quantity: 1, rating: 5}]"/>
    <s v="PU001"/>
    <x v="7"/>
    <s v="Pakaian Unisex"/>
    <s v="3"/>
    <s v="1"/>
    <n v="160000"/>
    <n v="60000"/>
    <s v="SP002"/>
    <s v="Sandal Slip On"/>
    <s v="Sepatu Pria"/>
    <s v="2"/>
    <s v="4"/>
    <n v="120000"/>
    <n v="60000"/>
    <s v="PW003"/>
    <s v="Kaftan"/>
    <s v="Pakaian Wanita"/>
    <s v="1"/>
    <s v="5"/>
    <n v="200000"/>
    <n v="100000"/>
    <n v="6"/>
    <n v="920000"/>
    <n v="400000"/>
    <s v="-"/>
    <n v="0"/>
    <n v="0"/>
    <n v="920000"/>
    <n v="520000"/>
    <n v="520000"/>
    <s v="-"/>
    <x v="3"/>
    <s v="BB"/>
    <x v="5"/>
    <x v="29"/>
  </r>
  <r>
    <n v="729"/>
    <s v="0729"/>
    <s v="ORD-BB-0729-04/02/24"/>
    <s v="[{item_code: PP002, quantity: 4, rating: 4}]"/>
    <s v="PP002"/>
    <x v="5"/>
    <s v="Pakaian Pria"/>
    <s v="4"/>
    <s v="4"/>
    <n v="60000"/>
    <n v="25000"/>
    <s v="-"/>
    <s v="-"/>
    <s v="-"/>
    <n v="0"/>
    <s v="-"/>
    <n v="0"/>
    <n v="0"/>
    <s v="-"/>
    <s v="-"/>
    <s v="-"/>
    <n v="0"/>
    <s v="-"/>
    <n v="0"/>
    <n v="0"/>
    <n v="4"/>
    <n v="240000"/>
    <n v="100000"/>
    <s v="-"/>
    <n v="0"/>
    <n v="0"/>
    <n v="240000"/>
    <n v="140000"/>
    <n v="140000"/>
    <s v="-"/>
    <x v="3"/>
    <s v="BB"/>
    <x v="1"/>
    <x v="30"/>
  </r>
  <r>
    <n v="991"/>
    <s v="0991"/>
    <s v="ORD-SP-0991-04/02/24"/>
    <s v="[{item_code: PU001, quantity: 2, rating: 4}, {item_code: PP001, quantity: 4, rating: 3}]"/>
    <s v="PU001"/>
    <x v="7"/>
    <s v="Pakaian Unisex"/>
    <s v="2"/>
    <s v="4"/>
    <n v="160000"/>
    <n v="60000"/>
    <s v="PP001"/>
    <s v="Kaos Polo"/>
    <s v="Pakaian Pria"/>
    <s v="4"/>
    <s v="3"/>
    <n v="80000"/>
    <n v="30000"/>
    <s v="-"/>
    <s v="-"/>
    <s v="-"/>
    <n v="0"/>
    <s v="-"/>
    <n v="0"/>
    <n v="0"/>
    <n v="6"/>
    <n v="640000"/>
    <n v="240000"/>
    <s v="DISC10"/>
    <n v="0.1"/>
    <n v="64000"/>
    <n v="576000"/>
    <n v="400000"/>
    <n v="336000"/>
    <s v="Promo 4.4"/>
    <x v="0"/>
    <s v="SP"/>
    <x v="2"/>
    <x v="30"/>
  </r>
  <r>
    <n v="73"/>
    <s v="0073"/>
    <s v="ORD-BL-0073-05/02/24"/>
    <s v="[{item_code: SW001, quantity: 1, rating: 3}, {item_code: SP001, quantity: 2, rating: 2}, {item_code: PW002, quantity: 3, rating: 4}]"/>
    <s v="SW001"/>
    <x v="8"/>
    <s v="Sepatu Wanita"/>
    <s v="1"/>
    <s v="3"/>
    <n v="150000"/>
    <n v="70000"/>
    <s v="SP001"/>
    <s v="Sneakers"/>
    <s v="Sepatu Pria"/>
    <s v="2"/>
    <s v="2"/>
    <n v="300000"/>
    <n v="100000"/>
    <s v="PW002"/>
    <s v="Blouse"/>
    <s v="Pakaian Wanita"/>
    <s v="3"/>
    <s v="4"/>
    <n v="125000"/>
    <n v="50000"/>
    <n v="6"/>
    <n v="1125000"/>
    <n v="420000"/>
    <s v="BUKALEBAR"/>
    <n v="0.15"/>
    <n v="168750"/>
    <n v="956250"/>
    <n v="705000"/>
    <n v="536250"/>
    <s v="Promo Lebaran"/>
    <x v="2"/>
    <s v="BL"/>
    <x v="3"/>
    <x v="31"/>
  </r>
  <r>
    <n v="202"/>
    <s v="0202"/>
    <s v="ORD-SP-0202-05/02/24"/>
    <s v="[{item_code: PP001, quantity: 1, rating: 3}, {item_code: SP001, quantity: 1, rating: 2}, {item_code: PW003, quantity: 1, rating: 1}]"/>
    <s v="PP001"/>
    <x v="0"/>
    <s v="Pakaian Pria"/>
    <s v="1"/>
    <s v="3"/>
    <n v="80000"/>
    <n v="30000"/>
    <s v="SP001"/>
    <s v="Sneakers"/>
    <s v="Sepatu Pria"/>
    <s v="1"/>
    <s v="2"/>
    <n v="300000"/>
    <n v="100000"/>
    <s v="PW003"/>
    <s v="Kaftan"/>
    <s v="Pakaian Wanita"/>
    <s v="1"/>
    <s v="1"/>
    <n v="200000"/>
    <n v="100000"/>
    <n v="3"/>
    <n v="580000"/>
    <n v="230000"/>
    <s v="DISC15"/>
    <n v="0.15"/>
    <n v="87000"/>
    <n v="493000"/>
    <n v="350000"/>
    <n v="263000"/>
    <s v="Promo 4.4"/>
    <x v="0"/>
    <s v="SP"/>
    <x v="2"/>
    <x v="31"/>
  </r>
  <r>
    <n v="416"/>
    <s v="0416"/>
    <s v="ORD-BB-0416-05/02/24"/>
    <s v="[{item_code: PU001, quantity: 6, rating: 5}]"/>
    <s v="PU001"/>
    <x v="7"/>
    <s v="Pakaian Unisex"/>
    <s v="6"/>
    <s v="5"/>
    <n v="160000"/>
    <n v="60000"/>
    <s v="-"/>
    <s v="-"/>
    <s v="-"/>
    <n v="0"/>
    <s v="-"/>
    <n v="0"/>
    <n v="0"/>
    <s v="-"/>
    <s v="-"/>
    <s v="-"/>
    <n v="0"/>
    <s v="-"/>
    <n v="0"/>
    <n v="0"/>
    <n v="6"/>
    <n v="960000"/>
    <n v="360000"/>
    <s v="BELI44"/>
    <n v="0.15"/>
    <n v="144000"/>
    <n v="816000"/>
    <n v="600000"/>
    <n v="456000"/>
    <s v="Promo 4.4"/>
    <x v="3"/>
    <s v="BB"/>
    <x v="1"/>
    <x v="31"/>
  </r>
  <r>
    <n v="531"/>
    <s v="0531"/>
    <s v="ORD-TK-0531-05/02/24"/>
    <s v="[{item_code: SP001, quantity: 6, rating: 4}]"/>
    <s v="SP001"/>
    <x v="9"/>
    <s v="Sepatu Pria"/>
    <s v="6"/>
    <s v="4"/>
    <n v="300000"/>
    <n v="100000"/>
    <s v="-"/>
    <s v="-"/>
    <s v="-"/>
    <n v="0"/>
    <s v="-"/>
    <n v="0"/>
    <n v="0"/>
    <s v="-"/>
    <s v="-"/>
    <s v="-"/>
    <n v="0"/>
    <s v="-"/>
    <n v="0"/>
    <n v="0"/>
    <n v="6"/>
    <n v="1800000"/>
    <n v="600000"/>
    <s v="-"/>
    <n v="0"/>
    <n v="0"/>
    <n v="1800000"/>
    <n v="1200000"/>
    <n v="1200000"/>
    <s v="-"/>
    <x v="1"/>
    <s v="TK"/>
    <x v="3"/>
    <x v="31"/>
  </r>
  <r>
    <n v="151"/>
    <s v="0151"/>
    <s v="ORD-BL-0151-06/02/24"/>
    <s v="[{item_code: SW001, quantity: 4, rating: 2}, {item_code: PP001, quantity: 1, rating: 5}]"/>
    <s v="SW001"/>
    <x v="8"/>
    <s v="Sepatu Wanita"/>
    <s v="4"/>
    <s v="2"/>
    <n v="150000"/>
    <n v="70000"/>
    <s v="PP001"/>
    <s v="Kaos Polo"/>
    <s v="Pakaian Pria"/>
    <s v="1"/>
    <s v="5"/>
    <n v="80000"/>
    <n v="30000"/>
    <s v="-"/>
    <s v="-"/>
    <s v="-"/>
    <n v="0"/>
    <s v="-"/>
    <n v="0"/>
    <n v="0"/>
    <n v="5"/>
    <n v="680000"/>
    <n v="310000"/>
    <s v="BUKALEBAR"/>
    <n v="0.15"/>
    <n v="102000"/>
    <n v="578000"/>
    <n v="370000"/>
    <n v="268000"/>
    <s v="Promo Lebaran"/>
    <x v="2"/>
    <s v="BL"/>
    <x v="2"/>
    <x v="32"/>
  </r>
  <r>
    <n v="634"/>
    <s v="0634"/>
    <s v="ORD-TK-0634-06/02/24"/>
    <s v="[{item_code: SP002, quantity: 1, rating: 5}]"/>
    <s v="SP002"/>
    <x v="1"/>
    <s v="Sepatu Pria"/>
    <s v="1"/>
    <s v="5"/>
    <n v="120000"/>
    <n v="60000"/>
    <s v="-"/>
    <s v="-"/>
    <s v="-"/>
    <n v="0"/>
    <s v="-"/>
    <n v="0"/>
    <n v="0"/>
    <s v="-"/>
    <s v="-"/>
    <s v="-"/>
    <n v="0"/>
    <s v="-"/>
    <n v="0"/>
    <n v="0"/>
    <n v="1"/>
    <n v="120000"/>
    <n v="60000"/>
    <s v="DISCAPRIL"/>
    <n v="0.1"/>
    <n v="12000"/>
    <n v="108000"/>
    <n v="60000"/>
    <n v="48000"/>
    <s v="Promo 4.4"/>
    <x v="1"/>
    <s v="TK"/>
    <x v="4"/>
    <x v="32"/>
  </r>
  <r>
    <n v="331"/>
    <s v="0331"/>
    <s v="ORD-SP-0331-07/02/24"/>
    <s v="[{item_code: PW002, quantity: 1, rating: 4}, {item_code: SP002, quantity: 1, rating: 1}, {item_code: SW001, quantity: 2, rating: 2}]"/>
    <s v="PW002"/>
    <x v="4"/>
    <s v="Pakaian Wanita"/>
    <s v="1"/>
    <s v="4"/>
    <n v="125000"/>
    <n v="50000"/>
    <s v="SP002"/>
    <s v="Sandal Slip On"/>
    <s v="Sepatu Pria"/>
    <s v="1"/>
    <s v="1"/>
    <n v="120000"/>
    <n v="60000"/>
    <s v="SW001"/>
    <s v="Flat Shoes"/>
    <s v="Sepatu Wanita"/>
    <s v="2"/>
    <s v="2"/>
    <n v="150000"/>
    <n v="70000"/>
    <n v="4"/>
    <n v="545000"/>
    <n v="250000"/>
    <s v="-"/>
    <n v="0"/>
    <n v="0"/>
    <n v="545000"/>
    <n v="295000"/>
    <n v="295000"/>
    <s v="-"/>
    <x v="0"/>
    <s v="SP"/>
    <x v="4"/>
    <x v="33"/>
  </r>
  <r>
    <n v="671"/>
    <s v="0671"/>
    <s v="ORD-TK-0671-07/02/24"/>
    <s v="[{item_code: PP003, quantity: 1, rating: 1}]"/>
    <s v="PP003"/>
    <x v="6"/>
    <s v="Pakaian Pria"/>
    <s v="1"/>
    <s v="1"/>
    <n v="150000"/>
    <n v="70000"/>
    <s v="-"/>
    <s v="-"/>
    <s v="-"/>
    <n v="0"/>
    <s v="-"/>
    <n v="0"/>
    <n v="0"/>
    <s v="-"/>
    <s v="-"/>
    <s v="-"/>
    <n v="0"/>
    <s v="-"/>
    <n v="0"/>
    <n v="0"/>
    <n v="1"/>
    <n v="150000"/>
    <n v="70000"/>
    <s v="DISCAPRIL"/>
    <n v="0.1"/>
    <n v="15000"/>
    <n v="135000"/>
    <n v="80000"/>
    <n v="65000"/>
    <s v="Promo 4.4"/>
    <x v="1"/>
    <s v="TK"/>
    <x v="2"/>
    <x v="33"/>
  </r>
  <r>
    <n v="266"/>
    <s v="0266"/>
    <s v="ORD-SP-0266-08/02/24"/>
    <s v="[{item_code: SP001, quantity: 2, rating: 1}]"/>
    <s v="SP001"/>
    <x v="9"/>
    <s v="Sepatu Pria"/>
    <s v="2"/>
    <s v="1"/>
    <n v="300000"/>
    <n v="100000"/>
    <s v="-"/>
    <s v="-"/>
    <s v="-"/>
    <n v="0"/>
    <s v="-"/>
    <n v="0"/>
    <n v="0"/>
    <s v="-"/>
    <s v="-"/>
    <s v="-"/>
    <n v="0"/>
    <s v="-"/>
    <n v="0"/>
    <n v="0"/>
    <n v="2"/>
    <n v="600000"/>
    <n v="200000"/>
    <s v="DISC20"/>
    <n v="0.2"/>
    <n v="120000"/>
    <n v="480000"/>
    <n v="400000"/>
    <n v="280000"/>
    <s v="Promo Lebaran"/>
    <x v="0"/>
    <s v="SP"/>
    <x v="4"/>
    <x v="34"/>
  </r>
  <r>
    <n v="329"/>
    <s v="0329"/>
    <s v="ORD-SP-0329-08/02/24"/>
    <s v="[{item_code: PW002, quantity: 2, rating: 2}, {item_code: PU001, quantity: 1, rating: 3}, {item_code: PP001, quantity: 1, rating: 5}]"/>
    <s v="PW002"/>
    <x v="4"/>
    <s v="Pakaian Wanita"/>
    <s v="2"/>
    <s v="2"/>
    <n v="125000"/>
    <n v="50000"/>
    <s v="PU001"/>
    <s v="Jaket Hoodie"/>
    <s v="Pakaian Unisex"/>
    <s v="1"/>
    <s v="3"/>
    <n v="160000"/>
    <n v="60000"/>
    <s v="PP001"/>
    <s v="Kaos Polo"/>
    <s v="Pakaian Pria"/>
    <s v="1"/>
    <s v="5"/>
    <n v="80000"/>
    <n v="30000"/>
    <n v="4"/>
    <n v="490000"/>
    <n v="190000"/>
    <s v="DISC10"/>
    <n v="0.1"/>
    <n v="49000"/>
    <n v="441000"/>
    <n v="300000"/>
    <n v="251000"/>
    <s v="Promo 4.4"/>
    <x v="0"/>
    <s v="SP"/>
    <x v="2"/>
    <x v="34"/>
  </r>
  <r>
    <n v="481"/>
    <s v="0481"/>
    <s v="ORD-BB-0481-08/02/24"/>
    <s v="[{item_code: SP002, quantity: 2, rating: 2}, {item_code: SW001, quantity: 2, rating: 2}, {item_code: SP001, quantity: 1, rating: 1}]"/>
    <s v="SP002"/>
    <x v="1"/>
    <s v="Sepatu Pria"/>
    <s v="2"/>
    <s v="2"/>
    <n v="120000"/>
    <n v="60000"/>
    <s v="SW001"/>
    <s v="Flat Shoes"/>
    <s v="Sepatu Wanita"/>
    <s v="2"/>
    <s v="2"/>
    <n v="150000"/>
    <n v="70000"/>
    <s v="SP001"/>
    <s v="Sneakers"/>
    <s v="Sepatu Pria"/>
    <s v="1"/>
    <s v="1"/>
    <n v="300000"/>
    <n v="100000"/>
    <n v="5"/>
    <n v="840000"/>
    <n v="360000"/>
    <s v="BELI44"/>
    <n v="0.15"/>
    <n v="126000"/>
    <n v="714000"/>
    <n v="480000"/>
    <n v="354000"/>
    <s v="Promo 4.4"/>
    <x v="3"/>
    <s v="BB"/>
    <x v="3"/>
    <x v="34"/>
  </r>
  <r>
    <n v="832"/>
    <s v="0832"/>
    <s v="ORD-BL-0832-08/02/24"/>
    <s v="[{item_code: PW001, quantity: 1, rating: 1}, {item_code: PW001, quantity: 1, rating: 4}, {item_code: PW001, quantity: 1, rating: 2}]"/>
    <s v="PW001"/>
    <x v="2"/>
    <s v="Pakaian Wanita"/>
    <s v="1"/>
    <s v="1"/>
    <n v="150000"/>
    <n v="55000"/>
    <s v="PW001"/>
    <s v="Dress"/>
    <s v="Pakaian Wanita"/>
    <s v="1"/>
    <s v="4"/>
    <n v="150000"/>
    <n v="55000"/>
    <s v="PW001"/>
    <s v="Dress"/>
    <s v="Pakaian Wanita"/>
    <s v="1"/>
    <s v="2"/>
    <n v="150000"/>
    <n v="55000"/>
    <n v="3"/>
    <n v="450000"/>
    <n v="165000"/>
    <s v="BUKALEBAR"/>
    <n v="0.15"/>
    <n v="67500"/>
    <n v="382500"/>
    <n v="285000"/>
    <n v="217500"/>
    <s v="Promo Lebaran"/>
    <x v="2"/>
    <s v="BL"/>
    <x v="3"/>
    <x v="34"/>
  </r>
  <r>
    <n v="274"/>
    <s v="0274"/>
    <s v="ORD-SP-0274-09/02/24"/>
    <s v="[{item_code: PW003, quantity: 4, rating: 4}]"/>
    <s v="PW003"/>
    <x v="3"/>
    <s v="Pakaian Wanita"/>
    <s v="4"/>
    <s v="4"/>
    <n v="200000"/>
    <n v="100000"/>
    <s v="-"/>
    <s v="-"/>
    <s v="-"/>
    <n v="0"/>
    <s v="-"/>
    <n v="0"/>
    <n v="0"/>
    <s v="-"/>
    <s v="-"/>
    <s v="-"/>
    <n v="0"/>
    <s v="-"/>
    <n v="0"/>
    <n v="0"/>
    <n v="4"/>
    <n v="800000"/>
    <n v="400000"/>
    <s v="DISC20"/>
    <n v="0.2"/>
    <n v="160000"/>
    <n v="640000"/>
    <n v="400000"/>
    <n v="240000"/>
    <s v="Promo Lebaran"/>
    <x v="0"/>
    <s v="SP"/>
    <x v="3"/>
    <x v="35"/>
  </r>
  <r>
    <n v="396"/>
    <s v="0396"/>
    <s v="ORD-SP-0396-09/02/24"/>
    <s v="[{item_code: PW001, quantity: 1, rating: 3}, {item_code: PW002, quantity: 1, rating: 3}, {item_code: PU001, quantity: 3, rating: 3}]"/>
    <s v="PW001"/>
    <x v="2"/>
    <s v="Pakaian Wanita"/>
    <s v="1"/>
    <s v="3"/>
    <n v="150000"/>
    <n v="55000"/>
    <s v="PW002"/>
    <s v="Blouse"/>
    <s v="Pakaian Wanita"/>
    <s v="1"/>
    <s v="3"/>
    <n v="125000"/>
    <n v="50000"/>
    <s v="PU001"/>
    <s v="Jaket Hoodie"/>
    <s v="Pakaian Unisex"/>
    <s v="3"/>
    <s v="3"/>
    <n v="160000"/>
    <n v="60000"/>
    <n v="5"/>
    <n v="755000"/>
    <n v="285000"/>
    <s v="DISC15"/>
    <n v="0.15"/>
    <n v="113250"/>
    <n v="641750"/>
    <n v="470000"/>
    <n v="356750"/>
    <s v="Promo 4.4"/>
    <x v="0"/>
    <s v="SP"/>
    <x v="0"/>
    <x v="35"/>
  </r>
  <r>
    <n v="449"/>
    <s v="0449"/>
    <s v="ORD-SP-0449-10/02/24"/>
    <s v="[{item_code: PW003, quantity: 5, rating: 3}, {item_code: PW003, quantity: 1, rating: 3}, {item_code: SP001, quantity: 1, rating: 4}]"/>
    <s v="PW003"/>
    <x v="3"/>
    <s v="Pakaian Wanita"/>
    <s v="5"/>
    <s v="3"/>
    <n v="200000"/>
    <n v="100000"/>
    <s v="PW003"/>
    <s v="Kaftan"/>
    <s v="Pakaian Wanita"/>
    <s v="1"/>
    <s v="3"/>
    <n v="200000"/>
    <n v="100000"/>
    <s v="SP001"/>
    <s v="Sneakers"/>
    <s v="Sepatu Pria"/>
    <s v="1"/>
    <s v="4"/>
    <n v="300000"/>
    <n v="100000"/>
    <n v="7"/>
    <n v="1500000"/>
    <n v="700000"/>
    <s v="DISC20"/>
    <n v="0.2"/>
    <n v="300000"/>
    <n v="1200000"/>
    <n v="800000"/>
    <n v="500000"/>
    <s v="Promo Lebaran"/>
    <x v="0"/>
    <s v="SP"/>
    <x v="1"/>
    <x v="36"/>
  </r>
  <r>
    <n v="710"/>
    <s v="0710"/>
    <s v="ORD-SP-0710-10/02/24"/>
    <s v="[{item_code: PP003, quantity: 2, rating: 4}]"/>
    <s v="PP003"/>
    <x v="6"/>
    <s v="Pakaian Pria"/>
    <s v="2"/>
    <s v="4"/>
    <n v="150000"/>
    <n v="70000"/>
    <s v="-"/>
    <s v="-"/>
    <s v="-"/>
    <n v="0"/>
    <s v="-"/>
    <n v="0"/>
    <n v="0"/>
    <s v="-"/>
    <s v="-"/>
    <s v="-"/>
    <n v="0"/>
    <s v="-"/>
    <n v="0"/>
    <n v="0"/>
    <n v="2"/>
    <n v="300000"/>
    <n v="140000"/>
    <s v="DISC20"/>
    <n v="0.2"/>
    <n v="60000"/>
    <n v="240000"/>
    <n v="160000"/>
    <n v="100000"/>
    <s v="Promo Lebaran"/>
    <x v="0"/>
    <s v="SP"/>
    <x v="3"/>
    <x v="36"/>
  </r>
  <r>
    <n v="235"/>
    <s v="0235"/>
    <s v="ORD-TK-0235-11/02/24"/>
    <s v="[{item_code: SP001, quantity: 3, rating: 4}, {item_code: PW001, quantity: 1, rating: 1}, {item_code: PP001, quantity: 1, rating: 5}]"/>
    <s v="SP001"/>
    <x v="9"/>
    <s v="Sepatu Pria"/>
    <s v="3"/>
    <s v="4"/>
    <n v="300000"/>
    <n v="100000"/>
    <s v="PW001"/>
    <s v="Dress"/>
    <s v="Pakaian Wanita"/>
    <s v="1"/>
    <s v="1"/>
    <n v="150000"/>
    <n v="55000"/>
    <s v="PP001"/>
    <s v="Kaos Polo"/>
    <s v="Pakaian Pria"/>
    <s v="1"/>
    <s v="5"/>
    <n v="80000"/>
    <n v="30000"/>
    <n v="5"/>
    <n v="1130000"/>
    <n v="385000"/>
    <s v="LEBAR10"/>
    <n v="0.1"/>
    <n v="113000"/>
    <n v="1017000"/>
    <n v="745000"/>
    <n v="632000"/>
    <s v="Promo Lebaran"/>
    <x v="1"/>
    <s v="TK"/>
    <x v="4"/>
    <x v="37"/>
  </r>
  <r>
    <n v="397"/>
    <s v="0397"/>
    <s v="ORD-SP-0397-11/02/24"/>
    <s v="[{item_code: SP002, quantity: 3, rating: 2}, {item_code: PP003, quantity: 3, rating: 3}]"/>
    <s v="SP002"/>
    <x v="1"/>
    <s v="Sepatu Pria"/>
    <s v="3"/>
    <s v="2"/>
    <n v="120000"/>
    <n v="60000"/>
    <s v="PP003"/>
    <s v="Jaket Jeans"/>
    <s v="Pakaian Pria"/>
    <s v="3"/>
    <s v="3"/>
    <n v="150000"/>
    <n v="70000"/>
    <s v="-"/>
    <s v="-"/>
    <s v="-"/>
    <n v="0"/>
    <s v="-"/>
    <n v="0"/>
    <n v="0"/>
    <n v="6"/>
    <n v="810000"/>
    <n v="390000"/>
    <s v="DISC15"/>
    <n v="0.15"/>
    <n v="121500"/>
    <n v="688500"/>
    <n v="420000"/>
    <n v="298500"/>
    <s v="Promo 4.4"/>
    <x v="0"/>
    <s v="SP"/>
    <x v="4"/>
    <x v="37"/>
  </r>
  <r>
    <n v="773"/>
    <s v="0773"/>
    <s v="ORD-SP-0773-12/02/24"/>
    <s v="[{item_code: PP003, quantity: 5, rating: 2}, {item_code: SW001, quantity: 2, rating: 2}]"/>
    <s v="PP003"/>
    <x v="6"/>
    <s v="Pakaian Pria"/>
    <s v="5"/>
    <s v="2"/>
    <n v="150000"/>
    <n v="70000"/>
    <s v="SW001"/>
    <s v="Flat Shoes"/>
    <s v="Sepatu Wanita"/>
    <s v="2"/>
    <s v="2"/>
    <n v="150000"/>
    <n v="70000"/>
    <s v="-"/>
    <s v="-"/>
    <s v="-"/>
    <n v="0"/>
    <s v="-"/>
    <n v="0"/>
    <n v="0"/>
    <n v="7"/>
    <n v="1050000"/>
    <n v="490000"/>
    <s v="DISC20"/>
    <n v="0.2"/>
    <n v="210000"/>
    <n v="840000"/>
    <n v="560000"/>
    <n v="350000"/>
    <s v="Promo Lebaran"/>
    <x v="0"/>
    <s v="SP"/>
    <x v="3"/>
    <x v="38"/>
  </r>
  <r>
    <n v="801"/>
    <s v="0801"/>
    <s v="ORD-TK-0801-12/02/24"/>
    <s v="[{item_code: SW001, quantity: 1, rating: 3}, {item_code: PP003, quantity: 1, rating: 3}, {item_code: PW002, quantity: 2, rating: 2}]"/>
    <s v="SW001"/>
    <x v="8"/>
    <s v="Sepatu Wanita"/>
    <s v="1"/>
    <s v="3"/>
    <n v="150000"/>
    <n v="70000"/>
    <s v="PP003"/>
    <s v="Jaket Jeans"/>
    <s v="Pakaian Pria"/>
    <s v="1"/>
    <s v="3"/>
    <n v="150000"/>
    <n v="70000"/>
    <s v="PW002"/>
    <s v="Blouse"/>
    <s v="Pakaian Wanita"/>
    <s v="2"/>
    <s v="2"/>
    <n v="125000"/>
    <n v="50000"/>
    <n v="4"/>
    <n v="550000"/>
    <n v="240000"/>
    <s v="LEBAR10"/>
    <n v="0.1"/>
    <n v="55000"/>
    <n v="495000"/>
    <n v="310000"/>
    <n v="255000"/>
    <s v="Promo Lebaran"/>
    <x v="1"/>
    <s v="TK"/>
    <x v="4"/>
    <x v="38"/>
  </r>
  <r>
    <n v="877"/>
    <s v="0877"/>
    <s v="ORD-SP-0877-12/02/24"/>
    <s v="[{item_code: PP002, quantity: 1, rating: 1}]"/>
    <s v="PP002"/>
    <x v="5"/>
    <s v="Pakaian Pria"/>
    <s v="1"/>
    <s v="1"/>
    <n v="60000"/>
    <n v="25000"/>
    <s v="-"/>
    <s v="-"/>
    <s v="-"/>
    <n v="0"/>
    <s v="-"/>
    <n v="0"/>
    <n v="0"/>
    <s v="-"/>
    <s v="-"/>
    <s v="-"/>
    <n v="0"/>
    <s v="-"/>
    <n v="0"/>
    <n v="0"/>
    <n v="1"/>
    <n v="60000"/>
    <n v="25000"/>
    <s v="-"/>
    <n v="0"/>
    <n v="0"/>
    <n v="60000"/>
    <n v="35000"/>
    <n v="35000"/>
    <s v="-"/>
    <x v="0"/>
    <s v="SP"/>
    <x v="3"/>
    <x v="38"/>
  </r>
  <r>
    <n v="939"/>
    <s v="0939"/>
    <s v="ORD-BL-0939-12/02/24"/>
    <s v="[{item_code: PP001, quantity: 2, rating: 4}, {item_code: SP001, quantity: 1, rating: 2}]"/>
    <s v="PP001"/>
    <x v="0"/>
    <s v="Pakaian Pria"/>
    <s v="2"/>
    <s v="4"/>
    <n v="80000"/>
    <n v="30000"/>
    <s v="SP001"/>
    <s v="Sneakers"/>
    <s v="Sepatu Pria"/>
    <s v="1"/>
    <s v="2"/>
    <n v="300000"/>
    <n v="100000"/>
    <s v="-"/>
    <s v="-"/>
    <s v="-"/>
    <n v="0"/>
    <s v="-"/>
    <n v="0"/>
    <n v="0"/>
    <n v="3"/>
    <n v="460000"/>
    <n v="160000"/>
    <s v="-"/>
    <n v="0"/>
    <n v="0"/>
    <n v="460000"/>
    <n v="300000"/>
    <n v="300000"/>
    <s v="-"/>
    <x v="2"/>
    <s v="BL"/>
    <x v="4"/>
    <x v="38"/>
  </r>
  <r>
    <n v="265"/>
    <s v="0265"/>
    <s v="ORD-BL-0265-13/02/24"/>
    <s v="[{item_code: PP001, quantity: 3, rating: 5}]"/>
    <s v="PP001"/>
    <x v="0"/>
    <s v="Pakaian Pria"/>
    <s v="3"/>
    <s v="5"/>
    <n v="80000"/>
    <n v="30000"/>
    <s v="-"/>
    <s v="-"/>
    <s v="-"/>
    <n v="0"/>
    <s v="-"/>
    <n v="0"/>
    <n v="0"/>
    <s v="-"/>
    <s v="-"/>
    <s v="-"/>
    <n v="0"/>
    <s v="-"/>
    <n v="0"/>
    <n v="0"/>
    <n v="3"/>
    <n v="240000"/>
    <n v="90000"/>
    <s v="BUKALEBAR"/>
    <n v="0.15"/>
    <n v="36000"/>
    <n v="204000"/>
    <n v="150000"/>
    <n v="114000"/>
    <s v="Promo Lebaran"/>
    <x v="2"/>
    <s v="BL"/>
    <x v="3"/>
    <x v="39"/>
  </r>
  <r>
    <n v="382"/>
    <s v="0382"/>
    <s v="ORD-TK-0382-13/02/24"/>
    <s v="[{item_code: SP001, quantity: 4, rating: 2}, {item_code: PP003, quantity: 2, rating: 5}]"/>
    <s v="SP001"/>
    <x v="9"/>
    <s v="Sepatu Pria"/>
    <s v="4"/>
    <s v="2"/>
    <n v="300000"/>
    <n v="100000"/>
    <s v="PP003"/>
    <s v="Jaket Jeans"/>
    <s v="Pakaian Pria"/>
    <s v="2"/>
    <s v="5"/>
    <n v="150000"/>
    <n v="70000"/>
    <s v="-"/>
    <s v="-"/>
    <s v="-"/>
    <n v="0"/>
    <s v="-"/>
    <n v="0"/>
    <n v="0"/>
    <n v="6"/>
    <n v="1500000"/>
    <n v="540000"/>
    <s v="-"/>
    <n v="0"/>
    <n v="0"/>
    <n v="1500000"/>
    <n v="960000"/>
    <n v="960000"/>
    <s v="-"/>
    <x v="1"/>
    <s v="TK"/>
    <x v="3"/>
    <x v="39"/>
  </r>
  <r>
    <n v="66"/>
    <s v="0066"/>
    <s v="ORD-TK-0066-14/02/24"/>
    <s v="[{item_code: PW002, quantity: 1, rating: 2}, {item_code: SP001, quantity: 2, rating: 1}, {item_code: PP001, quantity: 1, rating: 5}]"/>
    <s v="PW002"/>
    <x v="4"/>
    <s v="Pakaian Wanita"/>
    <s v="1"/>
    <s v="2"/>
    <n v="125000"/>
    <n v="50000"/>
    <s v="SP001"/>
    <s v="Sneakers"/>
    <s v="Sepatu Pria"/>
    <s v="2"/>
    <s v="1"/>
    <n v="300000"/>
    <n v="100000"/>
    <s v="PP001"/>
    <s v="Kaos Polo"/>
    <s v="Pakaian Pria"/>
    <s v="1"/>
    <s v="5"/>
    <n v="80000"/>
    <n v="30000"/>
    <n v="4"/>
    <n v="805000"/>
    <n v="280000"/>
    <s v="DISCAPRIL"/>
    <n v="0.1"/>
    <n v="80500"/>
    <n v="724500"/>
    <n v="525000"/>
    <n v="444500"/>
    <s v="Promo 4.4"/>
    <x v="1"/>
    <s v="TK"/>
    <x v="3"/>
    <x v="40"/>
  </r>
  <r>
    <n v="908"/>
    <s v="0908"/>
    <s v="ORD-SP-0908-14/02/24"/>
    <s v="[{item_code: PW001, quantity: 2, rating: 1}, {item_code: PP001, quantity: 1, rating: 1}, {item_code: SP001, quantity: 2, rating: 1}]"/>
    <s v="PW001"/>
    <x v="2"/>
    <s v="Pakaian Wanita"/>
    <s v="2"/>
    <s v="1"/>
    <n v="150000"/>
    <n v="55000"/>
    <s v="PP001"/>
    <s v="Kaos Polo"/>
    <s v="Pakaian Pria"/>
    <s v="1"/>
    <s v="1"/>
    <n v="80000"/>
    <n v="30000"/>
    <s v="SP001"/>
    <s v="Sneakers"/>
    <s v="Sepatu Pria"/>
    <s v="2"/>
    <s v="1"/>
    <n v="300000"/>
    <n v="100000"/>
    <n v="5"/>
    <n v="980000"/>
    <n v="340000"/>
    <s v="-"/>
    <n v="0"/>
    <n v="0"/>
    <n v="980000"/>
    <n v="640000"/>
    <n v="640000"/>
    <s v="-"/>
    <x v="0"/>
    <s v="SP"/>
    <x v="3"/>
    <x v="40"/>
  </r>
  <r>
    <n v="401"/>
    <s v="0401"/>
    <s v="ORD-SP-0401-16/02/24"/>
    <s v="[{item_code: PP003, quantity: 1, rating: 2}]"/>
    <s v="PP003"/>
    <x v="6"/>
    <s v="Pakaian Pria"/>
    <s v="1"/>
    <s v="2"/>
    <n v="150000"/>
    <n v="70000"/>
    <s v="-"/>
    <s v="-"/>
    <s v="-"/>
    <n v="0"/>
    <s v="-"/>
    <n v="0"/>
    <n v="0"/>
    <s v="-"/>
    <s v="-"/>
    <s v="-"/>
    <n v="0"/>
    <s v="-"/>
    <n v="0"/>
    <n v="0"/>
    <n v="1"/>
    <n v="150000"/>
    <n v="70000"/>
    <s v="DISC10"/>
    <n v="0.1"/>
    <n v="15000"/>
    <n v="135000"/>
    <n v="80000"/>
    <n v="65000"/>
    <s v="Promo 4.4"/>
    <x v="0"/>
    <s v="SP"/>
    <x v="1"/>
    <x v="41"/>
  </r>
  <r>
    <n v="749"/>
    <s v="0749"/>
    <s v="ORD-BB-0749-16/02/24"/>
    <s v="[{item_code: PP002, quantity: 1, rating: 3}, {item_code: SP002, quantity: 4, rating: 5}, {item_code: PW003, quantity: 2, rating: 2}]"/>
    <s v="PP002"/>
    <x v="5"/>
    <s v="Pakaian Pria"/>
    <s v="1"/>
    <s v="3"/>
    <n v="60000"/>
    <n v="25000"/>
    <s v="SP002"/>
    <s v="Sandal Slip On"/>
    <s v="Sepatu Pria"/>
    <s v="4"/>
    <s v="5"/>
    <n v="120000"/>
    <n v="60000"/>
    <s v="PW003"/>
    <s v="Kaftan"/>
    <s v="Pakaian Wanita"/>
    <s v="2"/>
    <s v="2"/>
    <n v="200000"/>
    <n v="100000"/>
    <n v="7"/>
    <n v="940000"/>
    <n v="465000"/>
    <s v="-"/>
    <n v="0"/>
    <n v="0"/>
    <n v="940000"/>
    <n v="475000"/>
    <n v="475000"/>
    <s v="-"/>
    <x v="3"/>
    <s v="BB"/>
    <x v="2"/>
    <x v="41"/>
  </r>
  <r>
    <n v="970"/>
    <s v="0970"/>
    <s v="ORD-SP-0970-16/02/24"/>
    <s v="[{item_code: SP002, quantity: 1, rating: 4}, {item_code: PW003, quantity: 3, rating: 5}]"/>
    <s v="SP002"/>
    <x v="1"/>
    <s v="Sepatu Pria"/>
    <s v="1"/>
    <s v="4"/>
    <n v="120000"/>
    <n v="60000"/>
    <s v="PW003"/>
    <s v="Kaftan"/>
    <s v="Pakaian Wanita"/>
    <s v="3"/>
    <s v="5"/>
    <n v="200000"/>
    <n v="100000"/>
    <s v="-"/>
    <s v="-"/>
    <s v="-"/>
    <n v="0"/>
    <s v="-"/>
    <n v="0"/>
    <n v="0"/>
    <n v="4"/>
    <n v="720000"/>
    <n v="360000"/>
    <s v="DISC10"/>
    <n v="0.1"/>
    <n v="72000"/>
    <n v="648000"/>
    <n v="360000"/>
    <n v="288000"/>
    <s v="Promo 4.4"/>
    <x v="0"/>
    <s v="SP"/>
    <x v="2"/>
    <x v="41"/>
  </r>
  <r>
    <n v="42"/>
    <s v="0042"/>
    <s v="ORD-BB-0042-17/02/24"/>
    <s v="[{item_code: PP003, quantity: 1, rating: 5}]"/>
    <s v="PP003"/>
    <x v="6"/>
    <s v="Pakaian Pria"/>
    <s v="1"/>
    <s v="5"/>
    <n v="150000"/>
    <n v="70000"/>
    <s v="-"/>
    <s v="-"/>
    <s v="-"/>
    <n v="0"/>
    <s v="-"/>
    <n v="0"/>
    <n v="0"/>
    <s v="-"/>
    <s v="-"/>
    <s v="-"/>
    <n v="0"/>
    <s v="-"/>
    <n v="0"/>
    <n v="0"/>
    <n v="1"/>
    <n v="150000"/>
    <n v="70000"/>
    <s v="-"/>
    <n v="0"/>
    <n v="0"/>
    <n v="150000"/>
    <n v="80000"/>
    <n v="80000"/>
    <s v="-"/>
    <x v="3"/>
    <s v="BB"/>
    <x v="0"/>
    <x v="42"/>
  </r>
  <r>
    <n v="398"/>
    <s v="0398"/>
    <s v="ORD-SP-0398-17/02/24"/>
    <s v="[{item_code: PP001, quantity: 2, rating: 3}, {item_code: PP002, quantity: 1, rating: 2}]"/>
    <s v="PP001"/>
    <x v="0"/>
    <s v="Pakaian Pria"/>
    <s v="2"/>
    <s v="3"/>
    <n v="80000"/>
    <n v="30000"/>
    <s v="PP002"/>
    <s v="Celana Pendek"/>
    <s v="Pakaian Pria"/>
    <s v="1"/>
    <s v="2"/>
    <n v="60000"/>
    <n v="25000"/>
    <s v="-"/>
    <s v="-"/>
    <s v="-"/>
    <n v="0"/>
    <s v="-"/>
    <n v="0"/>
    <n v="0"/>
    <n v="3"/>
    <n v="220000"/>
    <n v="85000"/>
    <s v="DISC10"/>
    <n v="0.1"/>
    <n v="22000"/>
    <n v="198000"/>
    <n v="135000"/>
    <n v="113000"/>
    <s v="Promo 4.4"/>
    <x v="0"/>
    <s v="SP"/>
    <x v="4"/>
    <x v="42"/>
  </r>
  <r>
    <n v="644"/>
    <s v="0644"/>
    <s v="ORD-TK-0644-17/02/24"/>
    <s v="[{item_code: SP001, quantity: 4, rating: 2}, {item_code: PU001, quantity: 2, rating: 1}]"/>
    <s v="SP001"/>
    <x v="9"/>
    <s v="Sepatu Pria"/>
    <s v="4"/>
    <s v="2"/>
    <n v="300000"/>
    <n v="100000"/>
    <s v="PU001"/>
    <s v="Jaket Hoodie"/>
    <s v="Pakaian Unisex"/>
    <s v="2"/>
    <s v="1"/>
    <n v="160000"/>
    <n v="60000"/>
    <s v="-"/>
    <s v="-"/>
    <s v="-"/>
    <n v="0"/>
    <s v="-"/>
    <n v="0"/>
    <n v="0"/>
    <n v="6"/>
    <n v="1520000"/>
    <n v="520000"/>
    <s v="LEBAR10"/>
    <n v="0.1"/>
    <n v="152000"/>
    <n v="1368000"/>
    <n v="1000000"/>
    <n v="848000"/>
    <s v="Promo Lebaran"/>
    <x v="1"/>
    <s v="TK"/>
    <x v="4"/>
    <x v="42"/>
  </r>
  <r>
    <n v="403"/>
    <s v="0403"/>
    <s v="ORD-SP-0403-18/02/24"/>
    <s v="[{item_code: PW003, quantity: 3, rating: 3}, {item_code: PW001, quantity: 3, rating: 2}]"/>
    <s v="PW003"/>
    <x v="3"/>
    <s v="Pakaian Wanita"/>
    <s v="3"/>
    <s v="3"/>
    <n v="200000"/>
    <n v="100000"/>
    <s v="PW001"/>
    <s v="Dress"/>
    <s v="Pakaian Wanita"/>
    <s v="3"/>
    <s v="2"/>
    <n v="150000"/>
    <n v="55000"/>
    <s v="-"/>
    <s v="-"/>
    <s v="-"/>
    <n v="0"/>
    <s v="-"/>
    <n v="0"/>
    <n v="0"/>
    <n v="6"/>
    <n v="1050000"/>
    <n v="465000"/>
    <s v="DISC15"/>
    <n v="0.15"/>
    <n v="157500"/>
    <n v="892500"/>
    <n v="585000"/>
    <n v="427500"/>
    <s v="Promo 4.4"/>
    <x v="0"/>
    <s v="SP"/>
    <x v="3"/>
    <x v="43"/>
  </r>
  <r>
    <n v="60"/>
    <s v="0060"/>
    <s v="ORD-SP-0060-19/02/24"/>
    <s v="[{item_code: SW001, quantity: 5, rating: 5}]"/>
    <s v="SW001"/>
    <x v="8"/>
    <s v="Sepatu Wanita"/>
    <s v="5"/>
    <s v="5"/>
    <n v="150000"/>
    <n v="70000"/>
    <s v="-"/>
    <s v="-"/>
    <s v="-"/>
    <n v="0"/>
    <s v="-"/>
    <n v="0"/>
    <n v="0"/>
    <s v="-"/>
    <s v="-"/>
    <s v="-"/>
    <n v="0"/>
    <s v="-"/>
    <n v="0"/>
    <n v="0"/>
    <n v="5"/>
    <n v="750000"/>
    <n v="350000"/>
    <s v="DISC15"/>
    <n v="0.15"/>
    <n v="112500"/>
    <n v="637500"/>
    <n v="400000"/>
    <n v="287500"/>
    <s v="Promo 4.4"/>
    <x v="0"/>
    <s v="SP"/>
    <x v="2"/>
    <x v="44"/>
  </r>
  <r>
    <n v="419"/>
    <s v="0419"/>
    <s v="ORD-BL-0419-19/02/24"/>
    <s v="[{item_code: PW002, quantity: 1, rating: 1}]"/>
    <s v="PW002"/>
    <x v="4"/>
    <s v="Pakaian Wanita"/>
    <s v="1"/>
    <s v="1"/>
    <n v="125000"/>
    <n v="50000"/>
    <s v="-"/>
    <s v="-"/>
    <s v="-"/>
    <n v="0"/>
    <s v="-"/>
    <n v="0"/>
    <n v="0"/>
    <s v="-"/>
    <s v="-"/>
    <s v="-"/>
    <n v="0"/>
    <s v="-"/>
    <n v="0"/>
    <n v="0"/>
    <n v="1"/>
    <n v="125000"/>
    <n v="50000"/>
    <s v="BUKALEBAR"/>
    <n v="0.15"/>
    <n v="18750"/>
    <n v="106250"/>
    <n v="75000"/>
    <n v="56250"/>
    <s v="Promo Lebaran"/>
    <x v="2"/>
    <s v="BL"/>
    <x v="3"/>
    <x v="44"/>
  </r>
  <r>
    <n v="474"/>
    <s v="0474"/>
    <s v="ORD-TK-0474-19/02/24"/>
    <s v="[{item_code: PW001, quantity: 1, rating: 1}, {item_code: PP001, quantity: 1, rating: 5}, {item_code: PW002, quantity: 3, rating: 4}]"/>
    <s v="PW001"/>
    <x v="2"/>
    <s v="Pakaian Wanita"/>
    <s v="1"/>
    <s v="1"/>
    <n v="150000"/>
    <n v="55000"/>
    <s v="PP001"/>
    <s v="Kaos Polo"/>
    <s v="Pakaian Pria"/>
    <s v="1"/>
    <s v="5"/>
    <n v="80000"/>
    <n v="30000"/>
    <s v="PW002"/>
    <s v="Blouse"/>
    <s v="Pakaian Wanita"/>
    <s v="3"/>
    <s v="4"/>
    <n v="125000"/>
    <n v="50000"/>
    <n v="5"/>
    <n v="605000"/>
    <n v="235000"/>
    <s v="LEBAR10"/>
    <n v="0.1"/>
    <n v="60500"/>
    <n v="544500"/>
    <n v="370000"/>
    <n v="309500"/>
    <s v="Promo Lebaran"/>
    <x v="1"/>
    <s v="TK"/>
    <x v="3"/>
    <x v="44"/>
  </r>
  <r>
    <n v="693"/>
    <s v="0693"/>
    <s v="ORD-SP-0693-19/02/24"/>
    <s v="[{item_code: PW003, quantity: 4, rating: 2}, {item_code: PW002, quantity: 1, rating: 5}]"/>
    <s v="PW003"/>
    <x v="3"/>
    <s v="Pakaian Wanita"/>
    <s v="4"/>
    <s v="2"/>
    <n v="200000"/>
    <n v="100000"/>
    <s v="PW002"/>
    <s v="Blouse"/>
    <s v="Pakaian Wanita"/>
    <s v="1"/>
    <s v="5"/>
    <n v="125000"/>
    <n v="50000"/>
    <s v="-"/>
    <s v="-"/>
    <s v="-"/>
    <n v="0"/>
    <s v="-"/>
    <n v="0"/>
    <n v="0"/>
    <n v="5"/>
    <n v="925000"/>
    <n v="450000"/>
    <s v="DISC15"/>
    <n v="0.15"/>
    <n v="138750"/>
    <n v="786250"/>
    <n v="475000"/>
    <n v="336250"/>
    <s v="Promo 4.4"/>
    <x v="0"/>
    <s v="SP"/>
    <x v="5"/>
    <x v="44"/>
  </r>
  <r>
    <n v="862"/>
    <s v="0862"/>
    <s v="ORD-BB-0862-19/02/24"/>
    <s v="[{item_code: SP002, quantity: 1, rating: 5}]"/>
    <s v="SP002"/>
    <x v="1"/>
    <s v="Sepatu Pria"/>
    <s v="1"/>
    <s v="5"/>
    <n v="120000"/>
    <n v="60000"/>
    <s v="-"/>
    <s v="-"/>
    <s v="-"/>
    <n v="0"/>
    <s v="-"/>
    <n v="0"/>
    <n v="0"/>
    <s v="-"/>
    <s v="-"/>
    <s v="-"/>
    <n v="0"/>
    <s v="-"/>
    <n v="0"/>
    <n v="0"/>
    <n v="1"/>
    <n v="120000"/>
    <n v="60000"/>
    <s v="-"/>
    <n v="0"/>
    <n v="0"/>
    <n v="120000"/>
    <n v="60000"/>
    <n v="60000"/>
    <s v="-"/>
    <x v="3"/>
    <s v="BB"/>
    <x v="2"/>
    <x v="44"/>
  </r>
  <r>
    <n v="922"/>
    <s v="0922"/>
    <s v="ORD-SP-0922-19/02/24"/>
    <s v="[{item_code: PW003, quantity: 1, rating: 1}, {item_code: PP003, quantity: 4, rating: 3}, {item_code: PU001, quantity: 1, rating: 5}]"/>
    <s v="PW003"/>
    <x v="3"/>
    <s v="Pakaian Wanita"/>
    <s v="1"/>
    <s v="1"/>
    <n v="200000"/>
    <n v="100000"/>
    <s v="PP003"/>
    <s v="Jaket Jeans"/>
    <s v="Pakaian Pria"/>
    <s v="4"/>
    <s v="3"/>
    <n v="150000"/>
    <n v="70000"/>
    <s v="PU001"/>
    <s v="Jaket Hoodie"/>
    <s v="Pakaian Unisex"/>
    <s v="1"/>
    <s v="5"/>
    <n v="160000"/>
    <n v="60000"/>
    <n v="6"/>
    <n v="960000"/>
    <n v="440000"/>
    <s v="DISC10"/>
    <n v="0.1"/>
    <n v="96000"/>
    <n v="864000"/>
    <n v="520000"/>
    <n v="424000"/>
    <s v="Promo 4.4"/>
    <x v="0"/>
    <s v="SP"/>
    <x v="2"/>
    <x v="44"/>
  </r>
  <r>
    <n v="223"/>
    <s v="0223"/>
    <s v="ORD-TK-0223-20/02/24"/>
    <s v="[{item_code: PW003, quantity: 5, rating: 3}]"/>
    <s v="PW003"/>
    <x v="3"/>
    <s v="Pakaian Wanita"/>
    <s v="5"/>
    <s v="3"/>
    <n v="200000"/>
    <n v="100000"/>
    <s v="-"/>
    <s v="-"/>
    <s v="-"/>
    <n v="0"/>
    <s v="-"/>
    <n v="0"/>
    <n v="0"/>
    <s v="-"/>
    <s v="-"/>
    <s v="-"/>
    <n v="0"/>
    <s v="-"/>
    <n v="0"/>
    <n v="0"/>
    <n v="5"/>
    <n v="1000000"/>
    <n v="500000"/>
    <s v="DISCAPRIL"/>
    <n v="0.1"/>
    <n v="100000"/>
    <n v="900000"/>
    <n v="500000"/>
    <n v="400000"/>
    <s v="Promo 4.4"/>
    <x v="1"/>
    <s v="TK"/>
    <x v="3"/>
    <x v="45"/>
  </r>
  <r>
    <n v="425"/>
    <s v="0425"/>
    <s v="ORD-SP-0425-20/02/24"/>
    <s v="[{item_code: PW002, quantity: 6, rating: 1}, {item_code: SP001, quantity: 1, rating: 3}]"/>
    <s v="PW002"/>
    <x v="4"/>
    <s v="Pakaian Wanita"/>
    <s v="6"/>
    <s v="1"/>
    <n v="125000"/>
    <n v="50000"/>
    <s v="SP001"/>
    <s v="Sneakers"/>
    <s v="Sepatu Pria"/>
    <s v="1"/>
    <s v="3"/>
    <n v="300000"/>
    <n v="100000"/>
    <s v="-"/>
    <s v="-"/>
    <s v="-"/>
    <n v="0"/>
    <s v="-"/>
    <n v="0"/>
    <n v="0"/>
    <n v="7"/>
    <n v="1050000"/>
    <n v="400000"/>
    <s v="DISC20"/>
    <n v="0.2"/>
    <n v="210000"/>
    <n v="840000"/>
    <n v="650000"/>
    <n v="440000"/>
    <s v="Promo Lebaran"/>
    <x v="0"/>
    <s v="SP"/>
    <x v="2"/>
    <x v="45"/>
  </r>
  <r>
    <n v="568"/>
    <s v="0568"/>
    <s v="ORD-TK-0568-20/02/24"/>
    <s v="[{item_code: SP002, quantity: 5, rating: 2}, {item_code: PP002, quantity: 1, rating: 1}]"/>
    <s v="SP002"/>
    <x v="1"/>
    <s v="Sepatu Pria"/>
    <s v="5"/>
    <s v="2"/>
    <n v="120000"/>
    <n v="60000"/>
    <s v="PP002"/>
    <s v="Celana Pendek"/>
    <s v="Pakaian Pria"/>
    <s v="1"/>
    <s v="1"/>
    <n v="60000"/>
    <n v="25000"/>
    <s v="-"/>
    <s v="-"/>
    <s v="-"/>
    <n v="0"/>
    <s v="-"/>
    <n v="0"/>
    <n v="0"/>
    <n v="6"/>
    <n v="660000"/>
    <n v="325000"/>
    <s v="LEBAR10"/>
    <n v="0.1"/>
    <n v="66000"/>
    <n v="594000"/>
    <n v="335000"/>
    <n v="269000"/>
    <s v="Promo Lebaran"/>
    <x v="1"/>
    <s v="TK"/>
    <x v="0"/>
    <x v="45"/>
  </r>
  <r>
    <n v="848"/>
    <s v="0848"/>
    <s v="ORD-TK-0848-20/02/24"/>
    <s v="[{item_code: PU001, quantity: 3, rating: 4}, {item_code: PU001, quantity: 2, rating: 4}]"/>
    <s v="PU001"/>
    <x v="7"/>
    <s v="Pakaian Unisex"/>
    <s v="3"/>
    <s v="4"/>
    <n v="160000"/>
    <n v="60000"/>
    <s v="PU001"/>
    <s v="Jaket Hoodie"/>
    <s v="Pakaian Unisex"/>
    <s v="2"/>
    <s v="4"/>
    <n v="160000"/>
    <n v="60000"/>
    <s v="-"/>
    <s v="-"/>
    <s v="-"/>
    <n v="0"/>
    <s v="-"/>
    <n v="0"/>
    <n v="0"/>
    <n v="5"/>
    <n v="800000"/>
    <n v="300000"/>
    <s v="LEBAR10"/>
    <n v="0.1"/>
    <n v="80000"/>
    <n v="720000"/>
    <n v="500000"/>
    <n v="420000"/>
    <s v="Promo Lebaran"/>
    <x v="1"/>
    <s v="TK"/>
    <x v="4"/>
    <x v="45"/>
  </r>
  <r>
    <n v="31"/>
    <s v="0031"/>
    <s v="ORD-SP-0031-21/02/24"/>
    <s v="[{item_code: PU001, quantity: 2, rating: 3}, {item_code: PW001, quantity: 4, rating: 3}]"/>
    <s v="PU001"/>
    <x v="7"/>
    <s v="Pakaian Unisex"/>
    <s v="2"/>
    <s v="3"/>
    <n v="160000"/>
    <n v="60000"/>
    <s v="PW001"/>
    <s v="Dress"/>
    <s v="Pakaian Wanita"/>
    <s v="4"/>
    <s v="3"/>
    <n v="150000"/>
    <n v="55000"/>
    <s v="-"/>
    <s v="-"/>
    <s v="-"/>
    <n v="0"/>
    <s v="-"/>
    <n v="0"/>
    <n v="0"/>
    <n v="6"/>
    <n v="920000"/>
    <n v="340000"/>
    <s v="DISC15"/>
    <n v="0.15"/>
    <n v="138000"/>
    <n v="782000"/>
    <n v="580000"/>
    <n v="442000"/>
    <s v="Promo 4.4"/>
    <x v="0"/>
    <s v="SP"/>
    <x v="2"/>
    <x v="46"/>
  </r>
  <r>
    <n v="343"/>
    <s v="0343"/>
    <s v="ORD-TK-0343-21/02/24"/>
    <s v="[{item_code: PW001, quantity: 4, rating: 5}, {item_code: PW003, quantity: 3, rating: 2}]"/>
    <s v="PW001"/>
    <x v="2"/>
    <s v="Pakaian Wanita"/>
    <s v="4"/>
    <s v="5"/>
    <n v="150000"/>
    <n v="55000"/>
    <s v="PW003"/>
    <s v="Kaftan"/>
    <s v="Pakaian Wanita"/>
    <s v="3"/>
    <s v="2"/>
    <n v="200000"/>
    <n v="100000"/>
    <s v="-"/>
    <s v="-"/>
    <s v="-"/>
    <n v="0"/>
    <s v="-"/>
    <n v="0"/>
    <n v="0"/>
    <n v="7"/>
    <n v="1200000"/>
    <n v="520000"/>
    <s v="-"/>
    <n v="0"/>
    <n v="0"/>
    <n v="1200000"/>
    <n v="680000"/>
    <n v="680000"/>
    <s v="-"/>
    <x v="1"/>
    <s v="TK"/>
    <x v="5"/>
    <x v="46"/>
  </r>
  <r>
    <n v="599"/>
    <s v="0599"/>
    <s v="ORD-SP-0599-21/02/24"/>
    <s v="[{item_code: PP002, quantity: 3, rating: 5}, {item_code: SP002, quantity: 4, rating: 4}]"/>
    <s v="PP002"/>
    <x v="5"/>
    <s v="Pakaian Pria"/>
    <s v="3"/>
    <s v="5"/>
    <n v="60000"/>
    <n v="25000"/>
    <s v="SP002"/>
    <s v="Sandal Slip On"/>
    <s v="Sepatu Pria"/>
    <s v="4"/>
    <s v="4"/>
    <n v="120000"/>
    <n v="60000"/>
    <s v="-"/>
    <s v="-"/>
    <s v="-"/>
    <n v="0"/>
    <s v="-"/>
    <n v="0"/>
    <n v="0"/>
    <n v="7"/>
    <n v="660000"/>
    <n v="315000"/>
    <s v="-"/>
    <n v="0"/>
    <n v="0"/>
    <n v="660000"/>
    <n v="345000"/>
    <n v="345000"/>
    <s v="-"/>
    <x v="0"/>
    <s v="SP"/>
    <x v="2"/>
    <x v="46"/>
  </r>
  <r>
    <n v="828"/>
    <s v="0828"/>
    <s v="ORD-BL-0828-22/02/24"/>
    <s v="[{item_code: PP001, quantity: 2, rating: 2}, {item_code: SP001, quantity: 1, rating: 5}]"/>
    <s v="PP001"/>
    <x v="0"/>
    <s v="Pakaian Pria"/>
    <s v="2"/>
    <s v="2"/>
    <n v="80000"/>
    <n v="30000"/>
    <s v="SP001"/>
    <s v="Sneakers"/>
    <s v="Sepatu Pria"/>
    <s v="1"/>
    <s v="5"/>
    <n v="300000"/>
    <n v="100000"/>
    <s v="-"/>
    <s v="-"/>
    <s v="-"/>
    <n v="0"/>
    <s v="-"/>
    <n v="0"/>
    <n v="0"/>
    <n v="3"/>
    <n v="460000"/>
    <n v="160000"/>
    <s v="-"/>
    <n v="0"/>
    <n v="0"/>
    <n v="460000"/>
    <n v="300000"/>
    <n v="300000"/>
    <s v="-"/>
    <x v="2"/>
    <s v="BL"/>
    <x v="3"/>
    <x v="47"/>
  </r>
  <r>
    <n v="876"/>
    <s v="0876"/>
    <s v="ORD-SP-0876-23/02/24"/>
    <s v="[{item_code: PW001, quantity: 1, rating: 2}]"/>
    <s v="PW001"/>
    <x v="2"/>
    <s v="Pakaian Wanita"/>
    <s v="1"/>
    <s v="2"/>
    <n v="150000"/>
    <n v="55000"/>
    <s v="-"/>
    <s v="-"/>
    <s v="-"/>
    <n v="0"/>
    <s v="-"/>
    <n v="0"/>
    <n v="0"/>
    <s v="-"/>
    <s v="-"/>
    <s v="-"/>
    <n v="0"/>
    <s v="-"/>
    <n v="0"/>
    <n v="0"/>
    <n v="1"/>
    <n v="150000"/>
    <n v="55000"/>
    <s v="DISC15"/>
    <n v="0.15"/>
    <n v="22500"/>
    <n v="127500"/>
    <n v="95000"/>
    <n v="72500"/>
    <s v="Promo 4.4"/>
    <x v="0"/>
    <s v="SP"/>
    <x v="2"/>
    <x v="48"/>
  </r>
  <r>
    <n v="486"/>
    <s v="0486"/>
    <s v="ORD-SP-0486-24/02/24"/>
    <s v="[{item_code: PW002, quantity: 2, rating: 4}, {item_code: SW001, quantity: 2, rating: 4}, {item_code: PW002, quantity: 2, rating: 2}]"/>
    <s v="PW002"/>
    <x v="4"/>
    <s v="Pakaian Wanita"/>
    <s v="2"/>
    <s v="4"/>
    <n v="125000"/>
    <n v="50000"/>
    <s v="SW001"/>
    <s v="Flat Shoes"/>
    <s v="Sepatu Wanita"/>
    <s v="2"/>
    <s v="4"/>
    <n v="150000"/>
    <n v="70000"/>
    <s v="PW002"/>
    <s v="Blouse"/>
    <s v="Pakaian Wanita"/>
    <s v="2"/>
    <s v="2"/>
    <n v="125000"/>
    <n v="50000"/>
    <n v="6"/>
    <n v="800000"/>
    <n v="340000"/>
    <s v="-"/>
    <n v="0"/>
    <n v="0"/>
    <n v="800000"/>
    <n v="460000"/>
    <n v="460000"/>
    <s v="-"/>
    <x v="0"/>
    <s v="SP"/>
    <x v="0"/>
    <x v="49"/>
  </r>
  <r>
    <n v="579"/>
    <s v="0579"/>
    <s v="ORD-BL-0579-24/02/24"/>
    <s v="[{item_code: PP002, quantity: 1, rating: 1}]"/>
    <s v="PP002"/>
    <x v="5"/>
    <s v="Pakaian Pria"/>
    <s v="1"/>
    <s v="1"/>
    <n v="60000"/>
    <n v="25000"/>
    <s v="-"/>
    <s v="-"/>
    <s v="-"/>
    <n v="0"/>
    <s v="-"/>
    <n v="0"/>
    <n v="0"/>
    <s v="-"/>
    <s v="-"/>
    <s v="-"/>
    <n v="0"/>
    <s v="-"/>
    <n v="0"/>
    <n v="0"/>
    <n v="1"/>
    <n v="60000"/>
    <n v="25000"/>
    <s v="BUKALEBAR"/>
    <n v="0.15"/>
    <n v="9000"/>
    <n v="51000"/>
    <n v="35000"/>
    <n v="26000"/>
    <s v="Promo Lebaran"/>
    <x v="2"/>
    <s v="BL"/>
    <x v="1"/>
    <x v="49"/>
  </r>
  <r>
    <n v="679"/>
    <s v="0679"/>
    <s v="ORD-BL-0679-24/02/24"/>
    <s v="[{item_code: SP002, quantity: 1, rating: 3}, {item_code: PP002, quantity: 1, rating: 3}, {item_code: SP002, quantity: 2, rating: 2}]"/>
    <s v="SP002"/>
    <x v="1"/>
    <s v="Sepatu Pria"/>
    <s v="1"/>
    <s v="3"/>
    <n v="120000"/>
    <n v="60000"/>
    <s v="PP002"/>
    <s v="Celana Pendek"/>
    <s v="Pakaian Pria"/>
    <s v="1"/>
    <s v="3"/>
    <n v="60000"/>
    <n v="25000"/>
    <s v="SP002"/>
    <s v="Sandal Slip On"/>
    <s v="Sepatu Pria"/>
    <s v="2"/>
    <s v="2"/>
    <n v="120000"/>
    <n v="60000"/>
    <n v="4"/>
    <n v="420000"/>
    <n v="205000"/>
    <s v="-"/>
    <n v="0"/>
    <n v="0"/>
    <n v="420000"/>
    <n v="215000"/>
    <n v="215000"/>
    <s v="-"/>
    <x v="2"/>
    <s v="BL"/>
    <x v="3"/>
    <x v="49"/>
  </r>
  <r>
    <n v="727"/>
    <s v="0727"/>
    <s v="ORD-SP-0727-24/02/24"/>
    <s v="[{item_code: PP001, quantity: 3, rating: 3}, {item_code: PU001, quantity: 1, rating: 3}]"/>
    <s v="PP001"/>
    <x v="0"/>
    <s v="Pakaian Pria"/>
    <s v="3"/>
    <s v="3"/>
    <n v="80000"/>
    <n v="30000"/>
    <s v="PU001"/>
    <s v="Jaket Hoodie"/>
    <s v="Pakaian Unisex"/>
    <s v="1"/>
    <s v="3"/>
    <n v="160000"/>
    <n v="60000"/>
    <s v="-"/>
    <s v="-"/>
    <s v="-"/>
    <n v="0"/>
    <s v="-"/>
    <n v="0"/>
    <n v="0"/>
    <n v="4"/>
    <n v="400000"/>
    <n v="150000"/>
    <s v="-"/>
    <n v="0"/>
    <n v="0"/>
    <n v="400000"/>
    <n v="250000"/>
    <n v="250000"/>
    <s v="-"/>
    <x v="0"/>
    <s v="SP"/>
    <x v="2"/>
    <x v="49"/>
  </r>
  <r>
    <n v="902"/>
    <s v="0902"/>
    <s v="ORD-SP-0902-24/02/24"/>
    <s v="[{item_code: SP002, quantity: 3, rating: 2}, {item_code: SW001, quantity: 2, rating: 1}]"/>
    <s v="SP002"/>
    <x v="1"/>
    <s v="Sepatu Pria"/>
    <s v="3"/>
    <s v="2"/>
    <n v="120000"/>
    <n v="60000"/>
    <s v="SW001"/>
    <s v="Flat Shoes"/>
    <s v="Sepatu Wanita"/>
    <s v="2"/>
    <s v="1"/>
    <n v="150000"/>
    <n v="70000"/>
    <s v="-"/>
    <s v="-"/>
    <s v="-"/>
    <n v="0"/>
    <s v="-"/>
    <n v="0"/>
    <n v="0"/>
    <n v="5"/>
    <n v="660000"/>
    <n v="320000"/>
    <s v="DISC10"/>
    <n v="0.1"/>
    <n v="66000"/>
    <n v="594000"/>
    <n v="340000"/>
    <n v="274000"/>
    <s v="Promo 4.4"/>
    <x v="0"/>
    <s v="SP"/>
    <x v="1"/>
    <x v="49"/>
  </r>
  <r>
    <n v="22"/>
    <s v="0022"/>
    <s v="ORD-SP-0022-25/02/24"/>
    <s v="[{item_code: PU001, quantity: 1, rating: 1}, {item_code: PW001, quantity: 3, rating: 1}]"/>
    <s v="PU001"/>
    <x v="7"/>
    <s v="Pakaian Unisex"/>
    <s v="1"/>
    <s v="1"/>
    <n v="160000"/>
    <n v="60000"/>
    <s v="PW001"/>
    <s v="Dress"/>
    <s v="Pakaian Wanita"/>
    <s v="3"/>
    <s v="1"/>
    <n v="150000"/>
    <n v="55000"/>
    <s v="-"/>
    <s v="-"/>
    <s v="-"/>
    <n v="0"/>
    <s v="-"/>
    <n v="0"/>
    <n v="0"/>
    <n v="4"/>
    <n v="610000"/>
    <n v="225000"/>
    <s v="DISC20"/>
    <n v="0.2"/>
    <n v="122000"/>
    <n v="488000"/>
    <n v="385000"/>
    <n v="263000"/>
    <s v="Promo Lebaran"/>
    <x v="0"/>
    <s v="SP"/>
    <x v="5"/>
    <x v="50"/>
  </r>
  <r>
    <n v="211"/>
    <s v="0211"/>
    <s v="ORD-TK-0211-25/02/24"/>
    <s v="[{item_code: SP001, quantity: 4, rating: 1}, {item_code: PU001, quantity: 3, rating: 4}]"/>
    <s v="SP001"/>
    <x v="9"/>
    <s v="Sepatu Pria"/>
    <s v="4"/>
    <s v="1"/>
    <n v="300000"/>
    <n v="100000"/>
    <s v="PU001"/>
    <s v="Jaket Hoodie"/>
    <s v="Pakaian Unisex"/>
    <s v="3"/>
    <s v="4"/>
    <n v="160000"/>
    <n v="60000"/>
    <s v="-"/>
    <s v="-"/>
    <s v="-"/>
    <n v="0"/>
    <s v="-"/>
    <n v="0"/>
    <n v="0"/>
    <n v="7"/>
    <n v="1680000"/>
    <n v="580000"/>
    <s v="-"/>
    <n v="0"/>
    <n v="0"/>
    <n v="1680000"/>
    <n v="1100000"/>
    <n v="1100000"/>
    <s v="-"/>
    <x v="1"/>
    <s v="TK"/>
    <x v="3"/>
    <x v="50"/>
  </r>
  <r>
    <n v="777"/>
    <s v="0777"/>
    <s v="ORD-TK-0777-26/02/24"/>
    <s v="[{item_code: PW002, quantity: 2, rating: 2}, {item_code: PP001, quantity: 3, rating: 4}]"/>
    <s v="PW002"/>
    <x v="4"/>
    <s v="Pakaian Wanita"/>
    <s v="2"/>
    <s v="2"/>
    <n v="125000"/>
    <n v="50000"/>
    <s v="PP001"/>
    <s v="Kaos Polo"/>
    <s v="Pakaian Pria"/>
    <s v="3"/>
    <s v="4"/>
    <n v="80000"/>
    <n v="30000"/>
    <s v="-"/>
    <s v="-"/>
    <s v="-"/>
    <n v="0"/>
    <s v="-"/>
    <n v="0"/>
    <n v="0"/>
    <n v="5"/>
    <n v="490000"/>
    <n v="190000"/>
    <s v="DISCAPRIL"/>
    <n v="0.1"/>
    <n v="49000"/>
    <n v="441000"/>
    <n v="300000"/>
    <n v="251000"/>
    <s v="Promo 4.4"/>
    <x v="1"/>
    <s v="TK"/>
    <x v="3"/>
    <x v="51"/>
  </r>
  <r>
    <n v="850"/>
    <s v="0850"/>
    <s v="ORD-TK-0850-26/02/24"/>
    <s v="[{item_code: PP003, quantity: 2, rating: 1}, {item_code: SP001, quantity: 1, rating: 2}, {item_code: PP003, quantity: 3, rating: 4}]"/>
    <s v="PP003"/>
    <x v="6"/>
    <s v="Pakaian Pria"/>
    <s v="2"/>
    <s v="1"/>
    <n v="150000"/>
    <n v="70000"/>
    <s v="SP001"/>
    <s v="Sneakers"/>
    <s v="Sepatu Pria"/>
    <s v="1"/>
    <s v="2"/>
    <n v="300000"/>
    <n v="100000"/>
    <s v="PP003"/>
    <s v="Jaket Jeans"/>
    <s v="Pakaian Pria"/>
    <s v="3"/>
    <s v="4"/>
    <n v="150000"/>
    <n v="70000"/>
    <n v="6"/>
    <n v="1050000"/>
    <n v="450000"/>
    <s v="-"/>
    <n v="0"/>
    <n v="0"/>
    <n v="1050000"/>
    <n v="600000"/>
    <n v="600000"/>
    <s v="-"/>
    <x v="1"/>
    <s v="TK"/>
    <x v="1"/>
    <x v="51"/>
  </r>
  <r>
    <n v="855"/>
    <s v="0855"/>
    <s v="ORD-BB-0855-26/02/24"/>
    <s v="[{item_code: PP001, quantity: 2, rating: 3}, {item_code: SW001, quantity: 2, rating: 5}]"/>
    <s v="PP001"/>
    <x v="0"/>
    <s v="Pakaian Pria"/>
    <s v="2"/>
    <s v="3"/>
    <n v="80000"/>
    <n v="30000"/>
    <s v="SW001"/>
    <s v="Flat Shoes"/>
    <s v="Sepatu Wanita"/>
    <s v="2"/>
    <s v="5"/>
    <n v="150000"/>
    <n v="70000"/>
    <s v="-"/>
    <s v="-"/>
    <s v="-"/>
    <n v="0"/>
    <s v="-"/>
    <n v="0"/>
    <n v="0"/>
    <n v="4"/>
    <n v="460000"/>
    <n v="200000"/>
    <s v="BELI44"/>
    <n v="0.15"/>
    <n v="69000"/>
    <n v="391000"/>
    <n v="260000"/>
    <n v="191000"/>
    <s v="Promo 4.4"/>
    <x v="3"/>
    <s v="BB"/>
    <x v="3"/>
    <x v="51"/>
  </r>
  <r>
    <n v="124"/>
    <s v="0124"/>
    <s v="ORD-SP-0124-27/02/24"/>
    <s v="[{item_code: PW003, quantity: 2, rating: 5}, {item_code: PP003, quantity: 2, rating: 2}]"/>
    <s v="PW003"/>
    <x v="3"/>
    <s v="Pakaian Wanita"/>
    <s v="2"/>
    <s v="5"/>
    <n v="200000"/>
    <n v="100000"/>
    <s v="PP003"/>
    <s v="Jaket Jeans"/>
    <s v="Pakaian Pria"/>
    <s v="2"/>
    <s v="2"/>
    <n v="150000"/>
    <n v="70000"/>
    <s v="-"/>
    <s v="-"/>
    <s v="-"/>
    <n v="0"/>
    <s v="-"/>
    <n v="0"/>
    <n v="0"/>
    <n v="4"/>
    <n v="700000"/>
    <n v="340000"/>
    <s v="DISC15"/>
    <n v="0.15"/>
    <n v="105000"/>
    <n v="595000"/>
    <n v="360000"/>
    <n v="255000"/>
    <s v="Promo 4.4"/>
    <x v="0"/>
    <s v="SP"/>
    <x v="1"/>
    <x v="52"/>
  </r>
  <r>
    <n v="414"/>
    <s v="0414"/>
    <s v="ORD-BL-0414-27/02/24"/>
    <s v="[{item_code: PU001, quantity: 2, rating: 4}, {item_code: PP001, quantity: 1, rating: 1}]"/>
    <s v="PU001"/>
    <x v="7"/>
    <s v="Pakaian Unisex"/>
    <s v="2"/>
    <s v="4"/>
    <n v="160000"/>
    <n v="60000"/>
    <s v="PP001"/>
    <s v="Kaos Polo"/>
    <s v="Pakaian Pria"/>
    <s v="1"/>
    <s v="1"/>
    <n v="80000"/>
    <n v="30000"/>
    <s v="-"/>
    <s v="-"/>
    <s v="-"/>
    <n v="0"/>
    <s v="-"/>
    <n v="0"/>
    <n v="0"/>
    <n v="3"/>
    <n v="400000"/>
    <n v="150000"/>
    <s v="BUKALEBAR"/>
    <n v="0.15"/>
    <n v="60000"/>
    <n v="340000"/>
    <n v="250000"/>
    <n v="190000"/>
    <s v="Promo Lebaran"/>
    <x v="2"/>
    <s v="BL"/>
    <x v="2"/>
    <x v="52"/>
  </r>
  <r>
    <n v="660"/>
    <s v="0660"/>
    <s v="ORD-BL-0660-27/02/24"/>
    <s v="[{item_code: SW001, quantity: 3, rating: 1}, {item_code: PW003, quantity: 2, rating: 1}, {item_code: PW002, quantity: 1, rating: 2}]"/>
    <s v="SW001"/>
    <x v="8"/>
    <s v="Sepatu Wanita"/>
    <s v="3"/>
    <s v="1"/>
    <n v="150000"/>
    <n v="70000"/>
    <s v="PW003"/>
    <s v="Kaftan"/>
    <s v="Pakaian Wanita"/>
    <s v="2"/>
    <s v="1"/>
    <n v="200000"/>
    <n v="100000"/>
    <s v="PW002"/>
    <s v="Blouse"/>
    <s v="Pakaian Wanita"/>
    <s v="1"/>
    <s v="2"/>
    <n v="125000"/>
    <n v="50000"/>
    <n v="6"/>
    <n v="975000"/>
    <n v="460000"/>
    <s v="-"/>
    <n v="0"/>
    <n v="0"/>
    <n v="975000"/>
    <n v="515000"/>
    <n v="515000"/>
    <s v="-"/>
    <x v="2"/>
    <s v="BL"/>
    <x v="1"/>
    <x v="52"/>
  </r>
  <r>
    <n v="83"/>
    <s v="0083"/>
    <s v="ORD-SP-0083-28/02/24"/>
    <s v="[{item_code: PW003, quantity: 1, rating: 3}]"/>
    <s v="PW003"/>
    <x v="3"/>
    <s v="Pakaian Wanita"/>
    <s v="1"/>
    <s v="3"/>
    <n v="200000"/>
    <n v="100000"/>
    <s v="-"/>
    <s v="-"/>
    <s v="-"/>
    <n v="0"/>
    <s v="-"/>
    <n v="0"/>
    <n v="0"/>
    <s v="-"/>
    <s v="-"/>
    <s v="-"/>
    <n v="0"/>
    <s v="-"/>
    <n v="0"/>
    <n v="0"/>
    <n v="1"/>
    <n v="200000"/>
    <n v="100000"/>
    <s v="DISC15"/>
    <n v="0.15"/>
    <n v="30000"/>
    <n v="170000"/>
    <n v="100000"/>
    <n v="70000"/>
    <s v="Promo 4.4"/>
    <x v="0"/>
    <s v="SP"/>
    <x v="3"/>
    <x v="53"/>
  </r>
  <r>
    <n v="156"/>
    <s v="0156"/>
    <s v="ORD-SP-0156-28/02/24"/>
    <s v="[{item_code: PP001, quantity: 1, rating: 2}, {item_code: PP003, quantity: 2, rating: 5}, {item_code: PW001, quantity: 1, rating: 2}]"/>
    <s v="PP001"/>
    <x v="0"/>
    <s v="Pakaian Pria"/>
    <s v="1"/>
    <s v="2"/>
    <n v="80000"/>
    <n v="30000"/>
    <s v="PP003"/>
    <s v="Jaket Jeans"/>
    <s v="Pakaian Pria"/>
    <s v="2"/>
    <s v="5"/>
    <n v="150000"/>
    <n v="70000"/>
    <s v="PW001"/>
    <s v="Dress"/>
    <s v="Pakaian Wanita"/>
    <s v="1"/>
    <s v="2"/>
    <n v="150000"/>
    <n v="55000"/>
    <n v="4"/>
    <n v="530000"/>
    <n v="225000"/>
    <s v="DISC15"/>
    <n v="0.15"/>
    <n v="79500"/>
    <n v="450500"/>
    <n v="305000"/>
    <n v="225500"/>
    <s v="Promo 4.4"/>
    <x v="0"/>
    <s v="SP"/>
    <x v="1"/>
    <x v="53"/>
  </r>
  <r>
    <n v="300"/>
    <s v="0300"/>
    <s v="ORD-SP-0300-28/02/24"/>
    <s v="[{item_code: PW001, quantity: 1, rating: 3}, {item_code: SP002, quantity: 2, rating: 4}, {item_code: PP002, quantity: 1, rating: 4}]"/>
    <s v="PW001"/>
    <x v="2"/>
    <s v="Pakaian Wanita"/>
    <s v="1"/>
    <s v="3"/>
    <n v="150000"/>
    <n v="55000"/>
    <s v="SP002"/>
    <s v="Sandal Slip On"/>
    <s v="Sepatu Pria"/>
    <s v="2"/>
    <s v="4"/>
    <n v="120000"/>
    <n v="60000"/>
    <s v="PP002"/>
    <s v="Celana Pendek"/>
    <s v="Pakaian Pria"/>
    <s v="1"/>
    <s v="4"/>
    <n v="60000"/>
    <n v="25000"/>
    <n v="4"/>
    <n v="450000"/>
    <n v="200000"/>
    <s v="DISC15"/>
    <n v="0.15"/>
    <n v="67500"/>
    <n v="382500"/>
    <n v="250000"/>
    <n v="182500"/>
    <s v="Promo 4.4"/>
    <x v="0"/>
    <s v="SP"/>
    <x v="3"/>
    <x v="53"/>
  </r>
  <r>
    <n v="756"/>
    <s v="0756"/>
    <s v="ORD-BL-0756-28/02/24"/>
    <s v="[{item_code: PU001, quantity: 1, rating: 4}]"/>
    <s v="PU001"/>
    <x v="7"/>
    <s v="Pakaian Unisex"/>
    <s v="1"/>
    <s v="4"/>
    <n v="160000"/>
    <n v="60000"/>
    <s v="-"/>
    <s v="-"/>
    <s v="-"/>
    <n v="0"/>
    <s v="-"/>
    <n v="0"/>
    <n v="0"/>
    <s v="-"/>
    <s v="-"/>
    <s v="-"/>
    <n v="0"/>
    <s v="-"/>
    <n v="0"/>
    <n v="0"/>
    <n v="1"/>
    <n v="160000"/>
    <n v="60000"/>
    <s v="BUKALEBAR"/>
    <n v="0.15"/>
    <n v="24000"/>
    <n v="136000"/>
    <n v="100000"/>
    <n v="76000"/>
    <s v="Promo Lebaran"/>
    <x v="2"/>
    <s v="BL"/>
    <x v="4"/>
    <x v="53"/>
  </r>
  <r>
    <n v="977"/>
    <s v="0977"/>
    <s v="ORD-TK-0977-28/02/24"/>
    <s v="[{item_code: PP003, quantity: 6, rating: 1}, {item_code: PP001, quantity: 1, rating: 4}]"/>
    <s v="PP003"/>
    <x v="6"/>
    <s v="Pakaian Pria"/>
    <s v="6"/>
    <s v="1"/>
    <n v="150000"/>
    <n v="70000"/>
    <s v="PP001"/>
    <s v="Kaos Polo"/>
    <s v="Pakaian Pria"/>
    <s v="1"/>
    <s v="4"/>
    <n v="80000"/>
    <n v="30000"/>
    <s v="-"/>
    <s v="-"/>
    <s v="-"/>
    <n v="0"/>
    <s v="-"/>
    <n v="0"/>
    <n v="0"/>
    <n v="7"/>
    <n v="980000"/>
    <n v="450000"/>
    <s v="LEBAR10"/>
    <n v="0.1"/>
    <n v="98000"/>
    <n v="882000"/>
    <n v="530000"/>
    <n v="432000"/>
    <s v="Promo Lebaran"/>
    <x v="1"/>
    <s v="TK"/>
    <x v="1"/>
    <x v="53"/>
  </r>
  <r>
    <n v="588"/>
    <s v="0588"/>
    <s v="ORD-BB-0588-29/02/24"/>
    <s v="[{item_code: SW001, quantity: 4, rating: 4}]"/>
    <s v="SW001"/>
    <x v="8"/>
    <s v="Sepatu Wanita"/>
    <s v="4"/>
    <s v="4"/>
    <n v="150000"/>
    <n v="70000"/>
    <s v="-"/>
    <s v="-"/>
    <s v="-"/>
    <n v="0"/>
    <s v="-"/>
    <n v="0"/>
    <n v="0"/>
    <s v="-"/>
    <s v="-"/>
    <s v="-"/>
    <n v="0"/>
    <s v="-"/>
    <n v="0"/>
    <n v="0"/>
    <n v="4"/>
    <n v="600000"/>
    <n v="280000"/>
    <s v="BELI44"/>
    <n v="0.15"/>
    <n v="90000"/>
    <n v="510000"/>
    <n v="320000"/>
    <n v="230000"/>
    <s v="Promo 4.4"/>
    <x v="3"/>
    <s v="BB"/>
    <x v="5"/>
    <x v="54"/>
  </r>
  <r>
    <n v="776"/>
    <s v="0776"/>
    <s v="ORD-SP-0776-29/02/24"/>
    <s v="[{item_code: SW001, quantity: 1, rating: 1}, {item_code: PW002, quantity: 1, rating: 1}, {item_code: PP003, quantity: 1, rating: 2}]"/>
    <s v="SW001"/>
    <x v="8"/>
    <s v="Sepatu Wanita"/>
    <s v="1"/>
    <s v="1"/>
    <n v="150000"/>
    <n v="70000"/>
    <s v="PW002"/>
    <s v="Blouse"/>
    <s v="Pakaian Wanita"/>
    <s v="1"/>
    <s v="1"/>
    <n v="125000"/>
    <n v="50000"/>
    <s v="PP003"/>
    <s v="Jaket Jeans"/>
    <s v="Pakaian Pria"/>
    <s v="1"/>
    <s v="2"/>
    <n v="150000"/>
    <n v="70000"/>
    <n v="3"/>
    <n v="425000"/>
    <n v="190000"/>
    <s v="DISC10"/>
    <n v="0.1"/>
    <n v="42500"/>
    <n v="382500"/>
    <n v="235000"/>
    <n v="192500"/>
    <s v="Promo 4.4"/>
    <x v="0"/>
    <s v="SP"/>
    <x v="4"/>
    <x v="54"/>
  </r>
  <r>
    <n v="781"/>
    <s v="0781"/>
    <s v="ORD-SP-0781-29/02/24"/>
    <s v="[{item_code: PW003, quantity: 4, rating: 3}]"/>
    <s v="PW003"/>
    <x v="3"/>
    <s v="Pakaian Wanita"/>
    <s v="4"/>
    <s v="3"/>
    <n v="200000"/>
    <n v="100000"/>
    <s v="-"/>
    <s v="-"/>
    <s v="-"/>
    <n v="0"/>
    <s v="-"/>
    <n v="0"/>
    <n v="0"/>
    <s v="-"/>
    <s v="-"/>
    <s v="-"/>
    <n v="0"/>
    <s v="-"/>
    <n v="0"/>
    <n v="0"/>
    <n v="4"/>
    <n v="800000"/>
    <n v="400000"/>
    <s v="-"/>
    <n v="0"/>
    <n v="0"/>
    <n v="800000"/>
    <n v="400000"/>
    <n v="400000"/>
    <s v="-"/>
    <x v="0"/>
    <s v="SP"/>
    <x v="1"/>
    <x v="54"/>
  </r>
  <r>
    <n v="229"/>
    <s v="0229"/>
    <s v="ORD-SP-0229-01/03/24"/>
    <s v="[{item_code: PP002, quantity: 2, rating: 1}, {item_code: SP001, quantity: 2, rating: 1}, {item_code: SP002, quantity: 1, rating: 1}]"/>
    <s v="PP002"/>
    <x v="5"/>
    <s v="Pakaian Pria"/>
    <s v="2"/>
    <s v="1"/>
    <n v="60000"/>
    <n v="25000"/>
    <s v="SP001"/>
    <s v="Sneakers"/>
    <s v="Sepatu Pria"/>
    <s v="2"/>
    <s v="1"/>
    <n v="300000"/>
    <n v="100000"/>
    <s v="SP002"/>
    <s v="Sandal Slip On"/>
    <s v="Sepatu Pria"/>
    <s v="1"/>
    <s v="1"/>
    <n v="120000"/>
    <n v="60000"/>
    <n v="5"/>
    <n v="840000"/>
    <n v="310000"/>
    <s v="DISC20"/>
    <n v="0.2"/>
    <n v="168000"/>
    <n v="672000"/>
    <n v="530000"/>
    <n v="362000"/>
    <s v="Promo Lebaran"/>
    <x v="0"/>
    <s v="SP"/>
    <x v="1"/>
    <x v="55"/>
  </r>
  <r>
    <n v="288"/>
    <s v="0288"/>
    <s v="ORD-SP-0288-01/03/24"/>
    <s v="[{item_code: PW003, quantity: 2, rating: 2}, {item_code: PP003, quantity: 1, rating: 4}]"/>
    <s v="PW003"/>
    <x v="3"/>
    <s v="Pakaian Wanita"/>
    <s v="2"/>
    <s v="2"/>
    <n v="200000"/>
    <n v="100000"/>
    <s v="PP003"/>
    <s v="Jaket Jeans"/>
    <s v="Pakaian Pria"/>
    <s v="1"/>
    <s v="4"/>
    <n v="150000"/>
    <n v="70000"/>
    <s v="-"/>
    <s v="-"/>
    <s v="-"/>
    <n v="0"/>
    <s v="-"/>
    <n v="0"/>
    <n v="0"/>
    <n v="3"/>
    <n v="550000"/>
    <n v="270000"/>
    <s v="DISC10"/>
    <n v="0.1"/>
    <n v="55000"/>
    <n v="495000"/>
    <n v="280000"/>
    <n v="225000"/>
    <s v="Promo 4.4"/>
    <x v="0"/>
    <s v="SP"/>
    <x v="2"/>
    <x v="55"/>
  </r>
  <r>
    <n v="621"/>
    <s v="0621"/>
    <s v="ORD-SP-0621-01/03/24"/>
    <s v="[{item_code: SW001, quantity: 7, rating: 4}]"/>
    <s v="SW001"/>
    <x v="8"/>
    <s v="Sepatu Wanita"/>
    <s v="7"/>
    <s v="4"/>
    <n v="150000"/>
    <n v="70000"/>
    <s v="-"/>
    <s v="-"/>
    <s v="-"/>
    <n v="0"/>
    <s v="-"/>
    <n v="0"/>
    <n v="0"/>
    <s v="-"/>
    <s v="-"/>
    <s v="-"/>
    <n v="0"/>
    <s v="-"/>
    <n v="0"/>
    <n v="0"/>
    <n v="7"/>
    <n v="1050000"/>
    <n v="490000"/>
    <s v="DISC15"/>
    <n v="0.15"/>
    <n v="157500"/>
    <n v="892500"/>
    <n v="560000"/>
    <n v="402500"/>
    <s v="Promo 4.4"/>
    <x v="0"/>
    <s v="SP"/>
    <x v="4"/>
    <x v="55"/>
  </r>
  <r>
    <n v="633"/>
    <s v="0633"/>
    <s v="ORD-BL-0633-01/03/24"/>
    <s v="[{item_code: PW002, quantity: 1, rating: 5}, {item_code: PP003, quantity: 1, rating: 5}]"/>
    <s v="PW002"/>
    <x v="4"/>
    <s v="Pakaian Wanita"/>
    <s v="1"/>
    <s v="5"/>
    <n v="125000"/>
    <n v="50000"/>
    <s v="PP003"/>
    <s v="Jaket Jeans"/>
    <s v="Pakaian Pria"/>
    <s v="1"/>
    <s v="5"/>
    <n v="150000"/>
    <n v="70000"/>
    <s v="-"/>
    <s v="-"/>
    <s v="-"/>
    <n v="0"/>
    <s v="-"/>
    <n v="0"/>
    <n v="0"/>
    <n v="2"/>
    <n v="275000"/>
    <n v="120000"/>
    <s v="-"/>
    <n v="0"/>
    <n v="0"/>
    <n v="275000"/>
    <n v="155000"/>
    <n v="155000"/>
    <s v="-"/>
    <x v="2"/>
    <s v="BL"/>
    <x v="2"/>
    <x v="55"/>
  </r>
  <r>
    <n v="654"/>
    <s v="0654"/>
    <s v="ORD-SP-0654-01/03/24"/>
    <s v="[{item_code: SW001, quantity: 1, rating: 2}]"/>
    <s v="SW001"/>
    <x v="8"/>
    <s v="Sepatu Wanita"/>
    <s v="1"/>
    <s v="2"/>
    <n v="150000"/>
    <n v="70000"/>
    <s v="-"/>
    <s v="-"/>
    <s v="-"/>
    <n v="0"/>
    <s v="-"/>
    <n v="0"/>
    <n v="0"/>
    <s v="-"/>
    <s v="-"/>
    <s v="-"/>
    <n v="0"/>
    <s v="-"/>
    <n v="0"/>
    <n v="0"/>
    <n v="1"/>
    <n v="150000"/>
    <n v="70000"/>
    <s v="DISC20"/>
    <n v="0.2"/>
    <n v="30000"/>
    <n v="120000"/>
    <n v="80000"/>
    <n v="50000"/>
    <s v="Promo Lebaran"/>
    <x v="0"/>
    <s v="SP"/>
    <x v="3"/>
    <x v="55"/>
  </r>
  <r>
    <n v="982"/>
    <s v="0982"/>
    <s v="ORD-BB-0982-01/03/24"/>
    <s v="[{item_code: PP003, quantity: 3, rating: 5}]"/>
    <s v="PP003"/>
    <x v="6"/>
    <s v="Pakaian Pria"/>
    <s v="3"/>
    <s v="5"/>
    <n v="150000"/>
    <n v="70000"/>
    <s v="-"/>
    <s v="-"/>
    <s v="-"/>
    <n v="0"/>
    <s v="-"/>
    <n v="0"/>
    <n v="0"/>
    <s v="-"/>
    <s v="-"/>
    <s v="-"/>
    <n v="0"/>
    <s v="-"/>
    <n v="0"/>
    <n v="0"/>
    <n v="3"/>
    <n v="450000"/>
    <n v="210000"/>
    <s v="BELI44"/>
    <n v="0.15"/>
    <n v="67500"/>
    <n v="382500"/>
    <n v="240000"/>
    <n v="172500"/>
    <s v="Promo 4.4"/>
    <x v="3"/>
    <s v="BB"/>
    <x v="1"/>
    <x v="55"/>
  </r>
  <r>
    <n v="88"/>
    <s v="0088"/>
    <s v="ORD-BL-0088-02/03/24"/>
    <s v="[{item_code: SW001, quantity: 2, rating: 3}, {item_code: PW001, quantity: 3, rating: 1}]"/>
    <s v="SW001"/>
    <x v="8"/>
    <s v="Sepatu Wanita"/>
    <s v="2"/>
    <s v="3"/>
    <n v="150000"/>
    <n v="70000"/>
    <s v="PW001"/>
    <s v="Dress"/>
    <s v="Pakaian Wanita"/>
    <s v="3"/>
    <s v="1"/>
    <n v="150000"/>
    <n v="55000"/>
    <s v="-"/>
    <s v="-"/>
    <s v="-"/>
    <n v="0"/>
    <s v="-"/>
    <n v="0"/>
    <n v="0"/>
    <n v="5"/>
    <n v="750000"/>
    <n v="305000"/>
    <s v="BUKALEBAR"/>
    <n v="0.15"/>
    <n v="112500"/>
    <n v="637500"/>
    <n v="445000"/>
    <n v="332500"/>
    <s v="Promo Lebaran"/>
    <x v="2"/>
    <s v="BL"/>
    <x v="3"/>
    <x v="56"/>
  </r>
  <r>
    <n v="129"/>
    <s v="0129"/>
    <s v="ORD-BB-0129-02/03/24"/>
    <s v="[{item_code: PP001, quantity: 3, rating: 2}]"/>
    <s v="PP001"/>
    <x v="0"/>
    <s v="Pakaian Pria"/>
    <s v="3"/>
    <s v="2"/>
    <n v="80000"/>
    <n v="30000"/>
    <s v="-"/>
    <s v="-"/>
    <s v="-"/>
    <n v="0"/>
    <s v="-"/>
    <n v="0"/>
    <n v="0"/>
    <s v="-"/>
    <s v="-"/>
    <s v="-"/>
    <n v="0"/>
    <s v="-"/>
    <n v="0"/>
    <n v="0"/>
    <n v="3"/>
    <n v="240000"/>
    <n v="90000"/>
    <s v="BELI44"/>
    <n v="0.15"/>
    <n v="36000"/>
    <n v="204000"/>
    <n v="150000"/>
    <n v="114000"/>
    <s v="Promo 4.4"/>
    <x v="3"/>
    <s v="BB"/>
    <x v="3"/>
    <x v="56"/>
  </r>
  <r>
    <n v="146"/>
    <s v="0146"/>
    <s v="ORD-TK-0146-02/03/24"/>
    <s v="[{item_code: PW002, quantity: 6, rating: 1}, {item_code: PW003, quantity: 1, rating: 3}]"/>
    <s v="PW002"/>
    <x v="4"/>
    <s v="Pakaian Wanita"/>
    <s v="6"/>
    <s v="1"/>
    <n v="125000"/>
    <n v="50000"/>
    <s v="PW003"/>
    <s v="Kaftan"/>
    <s v="Pakaian Wanita"/>
    <s v="1"/>
    <s v="3"/>
    <n v="200000"/>
    <n v="100000"/>
    <s v="-"/>
    <s v="-"/>
    <s v="-"/>
    <n v="0"/>
    <s v="-"/>
    <n v="0"/>
    <n v="0"/>
    <n v="7"/>
    <n v="950000"/>
    <n v="400000"/>
    <s v="LEBAR10"/>
    <n v="0.1"/>
    <n v="95000"/>
    <n v="855000"/>
    <n v="550000"/>
    <n v="455000"/>
    <s v="Promo Lebaran"/>
    <x v="1"/>
    <s v="TK"/>
    <x v="3"/>
    <x v="56"/>
  </r>
  <r>
    <n v="171"/>
    <s v="0171"/>
    <s v="ORD-SP-0171-02/03/24"/>
    <s v="[{item_code: PP002, quantity: 3, rating: 1}, {item_code: SP002, quantity: 1, rating: 2}, {item_code: PW003, quantity: 2, rating: 1}]"/>
    <s v="PP002"/>
    <x v="5"/>
    <s v="Pakaian Pria"/>
    <s v="3"/>
    <s v="1"/>
    <n v="60000"/>
    <n v="25000"/>
    <s v="SP002"/>
    <s v="Sandal Slip On"/>
    <s v="Sepatu Pria"/>
    <s v="1"/>
    <s v="2"/>
    <n v="120000"/>
    <n v="60000"/>
    <s v="PW003"/>
    <s v="Kaftan"/>
    <s v="Pakaian Wanita"/>
    <s v="2"/>
    <s v="1"/>
    <n v="200000"/>
    <n v="100000"/>
    <n v="6"/>
    <n v="700000"/>
    <n v="335000"/>
    <s v="-"/>
    <n v="0"/>
    <n v="0"/>
    <n v="700000"/>
    <n v="365000"/>
    <n v="365000"/>
    <s v="-"/>
    <x v="0"/>
    <s v="SP"/>
    <x v="0"/>
    <x v="56"/>
  </r>
  <r>
    <n v="178"/>
    <s v="0178"/>
    <s v="ORD-SP-0178-02/03/24"/>
    <s v="[{item_code: PU001, quantity: 1, rating: 3}, {item_code: SP002, quantity: 1, rating: 5}]"/>
    <s v="PU001"/>
    <x v="7"/>
    <s v="Pakaian Unisex"/>
    <s v="1"/>
    <s v="3"/>
    <n v="160000"/>
    <n v="60000"/>
    <s v="SP002"/>
    <s v="Sandal Slip On"/>
    <s v="Sepatu Pria"/>
    <s v="1"/>
    <s v="5"/>
    <n v="120000"/>
    <n v="60000"/>
    <s v="-"/>
    <s v="-"/>
    <s v="-"/>
    <n v="0"/>
    <s v="-"/>
    <n v="0"/>
    <n v="0"/>
    <n v="2"/>
    <n v="280000"/>
    <n v="120000"/>
    <s v="DISC10"/>
    <n v="0.1"/>
    <n v="28000"/>
    <n v="252000"/>
    <n v="160000"/>
    <n v="132000"/>
    <s v="Promo 4.4"/>
    <x v="0"/>
    <s v="SP"/>
    <x v="1"/>
    <x v="56"/>
  </r>
  <r>
    <n v="209"/>
    <s v="0209"/>
    <s v="ORD-SP-0209-02/03/24"/>
    <s v="[{item_code: PW003, quantity: 1, rating: 4}, {item_code: SW001, quantity: 1, rating: 4}]"/>
    <s v="PW003"/>
    <x v="3"/>
    <s v="Pakaian Wanita"/>
    <s v="1"/>
    <s v="4"/>
    <n v="200000"/>
    <n v="100000"/>
    <s v="SW001"/>
    <s v="Flat Shoes"/>
    <s v="Sepatu Wanita"/>
    <s v="1"/>
    <s v="4"/>
    <n v="150000"/>
    <n v="70000"/>
    <s v="-"/>
    <s v="-"/>
    <s v="-"/>
    <n v="0"/>
    <s v="-"/>
    <n v="0"/>
    <n v="0"/>
    <n v="2"/>
    <n v="350000"/>
    <n v="170000"/>
    <s v="DISC15"/>
    <n v="0.15"/>
    <n v="52500"/>
    <n v="297500"/>
    <n v="180000"/>
    <n v="127500"/>
    <s v="Promo 4.4"/>
    <x v="0"/>
    <s v="SP"/>
    <x v="3"/>
    <x v="56"/>
  </r>
  <r>
    <n v="258"/>
    <s v="0258"/>
    <s v="ORD-SP-0258-02/03/24"/>
    <s v="[{item_code: SW001, quantity: 1, rating: 1}]"/>
    <s v="SW001"/>
    <x v="8"/>
    <s v="Sepatu Wanita"/>
    <s v="1"/>
    <s v="1"/>
    <n v="150000"/>
    <n v="70000"/>
    <s v="-"/>
    <s v="-"/>
    <s v="-"/>
    <n v="0"/>
    <s v="-"/>
    <n v="0"/>
    <n v="0"/>
    <s v="-"/>
    <s v="-"/>
    <s v="-"/>
    <n v="0"/>
    <s v="-"/>
    <n v="0"/>
    <n v="0"/>
    <n v="1"/>
    <n v="150000"/>
    <n v="70000"/>
    <s v="DISC20"/>
    <n v="0.2"/>
    <n v="30000"/>
    <n v="120000"/>
    <n v="80000"/>
    <n v="50000"/>
    <s v="Promo Lebaran"/>
    <x v="0"/>
    <s v="SP"/>
    <x v="1"/>
    <x v="56"/>
  </r>
  <r>
    <n v="436"/>
    <s v="0436"/>
    <s v="ORD-SP-0436-02/03/24"/>
    <s v="[{item_code: PW001, quantity: 1, rating: 5}, {item_code: PU001, quantity: 3, rating: 4}]"/>
    <s v="PW001"/>
    <x v="2"/>
    <s v="Pakaian Wanita"/>
    <s v="1"/>
    <s v="5"/>
    <n v="150000"/>
    <n v="55000"/>
    <s v="PU001"/>
    <s v="Jaket Hoodie"/>
    <s v="Pakaian Unisex"/>
    <s v="3"/>
    <s v="4"/>
    <n v="160000"/>
    <n v="60000"/>
    <s v="-"/>
    <s v="-"/>
    <s v="-"/>
    <n v="0"/>
    <s v="-"/>
    <n v="0"/>
    <n v="0"/>
    <n v="4"/>
    <n v="630000"/>
    <n v="235000"/>
    <s v="DISC10"/>
    <n v="0.1"/>
    <n v="63000"/>
    <n v="567000"/>
    <n v="395000"/>
    <n v="332000"/>
    <s v="Promo 4.4"/>
    <x v="0"/>
    <s v="SP"/>
    <x v="1"/>
    <x v="56"/>
  </r>
  <r>
    <n v="476"/>
    <s v="0476"/>
    <s v="ORD-BB-0476-02/03/24"/>
    <s v="[{item_code: PW002, quantity: 2, rating: 5}, {item_code: SP002, quantity: 3, rating: 1}]"/>
    <s v="PW002"/>
    <x v="4"/>
    <s v="Pakaian Wanita"/>
    <s v="2"/>
    <s v="5"/>
    <n v="125000"/>
    <n v="50000"/>
    <s v="SP002"/>
    <s v="Sandal Slip On"/>
    <s v="Sepatu Pria"/>
    <s v="3"/>
    <s v="1"/>
    <n v="120000"/>
    <n v="60000"/>
    <s v="-"/>
    <s v="-"/>
    <s v="-"/>
    <n v="0"/>
    <s v="-"/>
    <n v="0"/>
    <n v="0"/>
    <n v="5"/>
    <n v="610000"/>
    <n v="280000"/>
    <s v="BELI44"/>
    <n v="0.15"/>
    <n v="91500"/>
    <n v="518500"/>
    <n v="330000"/>
    <n v="238500"/>
    <s v="Promo 4.4"/>
    <x v="3"/>
    <s v="BB"/>
    <x v="3"/>
    <x v="56"/>
  </r>
  <r>
    <n v="630"/>
    <s v="0630"/>
    <s v="ORD-SP-0630-02/03/24"/>
    <s v="[{item_code: SP002, quantity: 3, rating: 2}, {item_code: SW001, quantity: 1, rating: 2}, {item_code: SW001, quantity: 2, rating: 2}]"/>
    <s v="SP002"/>
    <x v="1"/>
    <s v="Sepatu Pria"/>
    <s v="3"/>
    <s v="2"/>
    <n v="120000"/>
    <n v="60000"/>
    <s v="SW001"/>
    <s v="Flat Shoes"/>
    <s v="Sepatu Wanita"/>
    <s v="1"/>
    <s v="2"/>
    <n v="150000"/>
    <n v="70000"/>
    <s v="SW001"/>
    <s v="Flat Shoes"/>
    <s v="Sepatu Wanita"/>
    <s v="2"/>
    <s v="2"/>
    <n v="150000"/>
    <n v="70000"/>
    <n v="6"/>
    <n v="810000"/>
    <n v="390000"/>
    <s v="DISC20"/>
    <n v="0.2"/>
    <n v="162000"/>
    <n v="648000"/>
    <n v="420000"/>
    <n v="258000"/>
    <s v="Promo Lebaran"/>
    <x v="0"/>
    <s v="SP"/>
    <x v="3"/>
    <x v="56"/>
  </r>
  <r>
    <n v="689"/>
    <s v="0689"/>
    <s v="ORD-BB-0689-02/03/24"/>
    <s v="[{item_code: PU001, quantity: 1, rating: 4}]"/>
    <s v="PU001"/>
    <x v="7"/>
    <s v="Pakaian Unisex"/>
    <s v="1"/>
    <s v="4"/>
    <n v="160000"/>
    <n v="60000"/>
    <s v="-"/>
    <s v="-"/>
    <s v="-"/>
    <n v="0"/>
    <s v="-"/>
    <n v="0"/>
    <n v="0"/>
    <s v="-"/>
    <s v="-"/>
    <s v="-"/>
    <n v="0"/>
    <s v="-"/>
    <n v="0"/>
    <n v="0"/>
    <n v="1"/>
    <n v="160000"/>
    <n v="60000"/>
    <s v="-"/>
    <n v="0"/>
    <n v="0"/>
    <n v="160000"/>
    <n v="100000"/>
    <n v="100000"/>
    <s v="-"/>
    <x v="3"/>
    <s v="BB"/>
    <x v="2"/>
    <x v="56"/>
  </r>
  <r>
    <n v="338"/>
    <s v="0338"/>
    <s v="ORD-TK-0338-03/03/24"/>
    <s v="[{item_code: SW001, quantity: 1, rating: 3}]"/>
    <s v="SW001"/>
    <x v="8"/>
    <s v="Sepatu Wanita"/>
    <s v="1"/>
    <s v="3"/>
    <n v="150000"/>
    <n v="70000"/>
    <s v="-"/>
    <s v="-"/>
    <s v="-"/>
    <n v="0"/>
    <s v="-"/>
    <n v="0"/>
    <n v="0"/>
    <s v="-"/>
    <s v="-"/>
    <s v="-"/>
    <n v="0"/>
    <s v="-"/>
    <n v="0"/>
    <n v="0"/>
    <n v="1"/>
    <n v="150000"/>
    <n v="70000"/>
    <s v="LEBAR10"/>
    <n v="0.1"/>
    <n v="15000"/>
    <n v="135000"/>
    <n v="80000"/>
    <n v="65000"/>
    <s v="Promo Lebaran"/>
    <x v="1"/>
    <s v="TK"/>
    <x v="2"/>
    <x v="57"/>
  </r>
  <r>
    <n v="555"/>
    <s v="0555"/>
    <s v="ORD-SP-0555-03/03/24"/>
    <s v="[{item_code: SP001, quantity: 3, rating: 4}, {item_code: PP003, quantity: 1, rating: 2}, {item_code: SP001, quantity: 2, rating: 2}]"/>
    <s v="SP001"/>
    <x v="9"/>
    <s v="Sepatu Pria"/>
    <s v="3"/>
    <s v="4"/>
    <n v="300000"/>
    <n v="100000"/>
    <s v="PP003"/>
    <s v="Jaket Jeans"/>
    <s v="Pakaian Pria"/>
    <s v="1"/>
    <s v="2"/>
    <n v="150000"/>
    <n v="70000"/>
    <s v="SP001"/>
    <s v="Sneakers"/>
    <s v="Sepatu Pria"/>
    <s v="2"/>
    <s v="2"/>
    <n v="300000"/>
    <n v="100000"/>
    <n v="6"/>
    <n v="1650000"/>
    <n v="570000"/>
    <s v="DISC10"/>
    <n v="0.1"/>
    <n v="165000"/>
    <n v="1485000"/>
    <n v="1080000"/>
    <n v="915000"/>
    <s v="Promo 4.4"/>
    <x v="0"/>
    <s v="SP"/>
    <x v="2"/>
    <x v="57"/>
  </r>
  <r>
    <n v="688"/>
    <s v="0688"/>
    <s v="ORD-SP-0688-03/03/24"/>
    <s v="[{item_code: PU001, quantity: 4, rating: 2}, {item_code: PP002, quantity: 1, rating: 2}]"/>
    <s v="PU001"/>
    <x v="7"/>
    <s v="Pakaian Unisex"/>
    <s v="4"/>
    <s v="2"/>
    <n v="160000"/>
    <n v="60000"/>
    <s v="PP002"/>
    <s v="Celana Pendek"/>
    <s v="Pakaian Pria"/>
    <s v="1"/>
    <s v="2"/>
    <n v="60000"/>
    <n v="25000"/>
    <s v="-"/>
    <s v="-"/>
    <s v="-"/>
    <n v="0"/>
    <s v="-"/>
    <n v="0"/>
    <n v="0"/>
    <n v="5"/>
    <n v="700000"/>
    <n v="265000"/>
    <s v="DISC20"/>
    <n v="0.2"/>
    <n v="140000"/>
    <n v="560000"/>
    <n v="435000"/>
    <n v="295000"/>
    <s v="Promo Lebaran"/>
    <x v="0"/>
    <s v="SP"/>
    <x v="2"/>
    <x v="57"/>
  </r>
  <r>
    <n v="328"/>
    <s v="0328"/>
    <s v="ORD-BB-0328-04/03/24"/>
    <s v="[{item_code: PU001, quantity: 1, rating: 1}]"/>
    <s v="PU001"/>
    <x v="7"/>
    <s v="Pakaian Unisex"/>
    <s v="1"/>
    <s v="1"/>
    <n v="160000"/>
    <n v="60000"/>
    <s v="-"/>
    <s v="-"/>
    <s v="-"/>
    <n v="0"/>
    <s v="-"/>
    <n v="0"/>
    <n v="0"/>
    <s v="-"/>
    <s v="-"/>
    <s v="-"/>
    <n v="0"/>
    <s v="-"/>
    <n v="0"/>
    <n v="0"/>
    <n v="1"/>
    <n v="160000"/>
    <n v="60000"/>
    <s v="BELI44"/>
    <n v="0.15"/>
    <n v="24000"/>
    <n v="136000"/>
    <n v="100000"/>
    <n v="76000"/>
    <s v="Promo 4.4"/>
    <x v="3"/>
    <s v="BB"/>
    <x v="3"/>
    <x v="58"/>
  </r>
  <r>
    <n v="564"/>
    <s v="0564"/>
    <s v="ORD-BB-0564-04/03/24"/>
    <s v="[{item_code: PP003, quantity: 2, rating: 1}]"/>
    <s v="PP003"/>
    <x v="6"/>
    <s v="Pakaian Pria"/>
    <s v="2"/>
    <s v="1"/>
    <n v="150000"/>
    <n v="70000"/>
    <s v="-"/>
    <s v="-"/>
    <s v="-"/>
    <n v="0"/>
    <s v="-"/>
    <n v="0"/>
    <n v="0"/>
    <s v="-"/>
    <s v="-"/>
    <s v="-"/>
    <n v="0"/>
    <s v="-"/>
    <n v="0"/>
    <n v="0"/>
    <n v="2"/>
    <n v="300000"/>
    <n v="140000"/>
    <s v="BELI44"/>
    <n v="0.15"/>
    <n v="45000"/>
    <n v="255000"/>
    <n v="160000"/>
    <n v="115000"/>
    <s v="Promo 4.4"/>
    <x v="3"/>
    <s v="BB"/>
    <x v="1"/>
    <x v="58"/>
  </r>
  <r>
    <n v="26"/>
    <s v="0026"/>
    <s v="ORD-BL-0026-05/03/24"/>
    <s v="[{item_code: PP003, quantity: 2, rating: 3}, {item_code: PW001, quantity: 3, rating: 1}]"/>
    <s v="PP003"/>
    <x v="6"/>
    <s v="Pakaian Pria"/>
    <s v="2"/>
    <s v="3"/>
    <n v="150000"/>
    <n v="70000"/>
    <s v="PW001"/>
    <s v="Dress"/>
    <s v="Pakaian Wanita"/>
    <s v="3"/>
    <s v="1"/>
    <n v="150000"/>
    <n v="55000"/>
    <s v="-"/>
    <s v="-"/>
    <s v="-"/>
    <n v="0"/>
    <s v="-"/>
    <n v="0"/>
    <n v="0"/>
    <n v="5"/>
    <n v="750000"/>
    <n v="305000"/>
    <s v="BUKALEBAR"/>
    <n v="0.15"/>
    <n v="112500"/>
    <n v="637500"/>
    <n v="445000"/>
    <n v="332500"/>
    <s v="Promo Lebaran"/>
    <x v="2"/>
    <s v="BL"/>
    <x v="3"/>
    <x v="59"/>
  </r>
  <r>
    <n v="326"/>
    <s v="0326"/>
    <s v="ORD-TK-0326-05/03/24"/>
    <s v="[{item_code: SP001, quantity: 1, rating: 5}]"/>
    <s v="SP001"/>
    <x v="9"/>
    <s v="Sepatu Pria"/>
    <s v="1"/>
    <s v="5"/>
    <n v="300000"/>
    <n v="100000"/>
    <s v="-"/>
    <s v="-"/>
    <s v="-"/>
    <n v="0"/>
    <s v="-"/>
    <n v="0"/>
    <n v="0"/>
    <s v="-"/>
    <s v="-"/>
    <s v="-"/>
    <n v="0"/>
    <s v="-"/>
    <n v="0"/>
    <n v="0"/>
    <n v="1"/>
    <n v="300000"/>
    <n v="100000"/>
    <s v="-"/>
    <n v="0"/>
    <n v="0"/>
    <n v="300000"/>
    <n v="200000"/>
    <n v="200000"/>
    <s v="-"/>
    <x v="1"/>
    <s v="TK"/>
    <x v="4"/>
    <x v="59"/>
  </r>
  <r>
    <n v="404"/>
    <s v="0404"/>
    <s v="ORD-BB-0404-05/03/24"/>
    <s v="[{item_code: SW001, quantity: 1, rating: 3}]"/>
    <s v="SW001"/>
    <x v="8"/>
    <s v="Sepatu Wanita"/>
    <s v="1"/>
    <s v="3"/>
    <n v="150000"/>
    <n v="70000"/>
    <s v="-"/>
    <s v="-"/>
    <s v="-"/>
    <n v="0"/>
    <s v="-"/>
    <n v="0"/>
    <n v="0"/>
    <s v="-"/>
    <s v="-"/>
    <s v="-"/>
    <n v="0"/>
    <s v="-"/>
    <n v="0"/>
    <n v="0"/>
    <n v="1"/>
    <n v="150000"/>
    <n v="70000"/>
    <s v="BELI44"/>
    <n v="0.15"/>
    <n v="22500"/>
    <n v="127500"/>
    <n v="80000"/>
    <n v="57500"/>
    <s v="Promo 4.4"/>
    <x v="3"/>
    <s v="BB"/>
    <x v="2"/>
    <x v="59"/>
  </r>
  <r>
    <n v="507"/>
    <s v="0507"/>
    <s v="ORD-SP-0507-05/03/24"/>
    <s v="[{item_code: PP001, quantity: 1, rating: 2}, {item_code: PU001, quantity: 6, rating: 2}]"/>
    <s v="PP001"/>
    <x v="0"/>
    <s v="Pakaian Pria"/>
    <s v="1"/>
    <s v="2"/>
    <n v="80000"/>
    <n v="30000"/>
    <s v="PU001"/>
    <s v="Jaket Hoodie"/>
    <s v="Pakaian Unisex"/>
    <s v="6"/>
    <s v="2"/>
    <n v="160000"/>
    <n v="60000"/>
    <s v="-"/>
    <s v="-"/>
    <s v="-"/>
    <n v="0"/>
    <s v="-"/>
    <n v="0"/>
    <n v="0"/>
    <n v="7"/>
    <n v="1040000"/>
    <n v="390000"/>
    <s v="DISC20"/>
    <n v="0.2"/>
    <n v="208000"/>
    <n v="832000"/>
    <n v="650000"/>
    <n v="442000"/>
    <s v="Promo Lebaran"/>
    <x v="0"/>
    <s v="SP"/>
    <x v="3"/>
    <x v="59"/>
  </r>
  <r>
    <n v="807"/>
    <s v="0807"/>
    <s v="ORD-SP-0807-05/03/24"/>
    <s v="[{item_code: PU001, quantity: 3, rating: 1}]"/>
    <s v="PU001"/>
    <x v="7"/>
    <s v="Pakaian Unisex"/>
    <s v="3"/>
    <s v="1"/>
    <n v="160000"/>
    <n v="60000"/>
    <s v="-"/>
    <s v="-"/>
    <s v="-"/>
    <n v="0"/>
    <s v="-"/>
    <n v="0"/>
    <n v="0"/>
    <s v="-"/>
    <s v="-"/>
    <s v="-"/>
    <n v="0"/>
    <s v="-"/>
    <n v="0"/>
    <n v="0"/>
    <n v="3"/>
    <n v="480000"/>
    <n v="180000"/>
    <s v="DISC20"/>
    <n v="0.2"/>
    <n v="96000"/>
    <n v="384000"/>
    <n v="300000"/>
    <n v="204000"/>
    <s v="Promo Lebaran"/>
    <x v="0"/>
    <s v="SP"/>
    <x v="5"/>
    <x v="59"/>
  </r>
  <r>
    <n v="280"/>
    <s v="0280"/>
    <s v="ORD-SP-0280-06/03/24"/>
    <s v="[{item_code: PP003, quantity: 1, rating: 5}]"/>
    <s v="PP003"/>
    <x v="6"/>
    <s v="Pakaian Pria"/>
    <s v="1"/>
    <s v="5"/>
    <n v="150000"/>
    <n v="70000"/>
    <s v="-"/>
    <s v="-"/>
    <s v="-"/>
    <n v="0"/>
    <s v="-"/>
    <n v="0"/>
    <n v="0"/>
    <s v="-"/>
    <s v="-"/>
    <s v="-"/>
    <n v="0"/>
    <s v="-"/>
    <n v="0"/>
    <n v="0"/>
    <n v="1"/>
    <n v="150000"/>
    <n v="70000"/>
    <s v="DISC15"/>
    <n v="0.15"/>
    <n v="22500"/>
    <n v="127500"/>
    <n v="80000"/>
    <n v="57500"/>
    <s v="Promo 4.4"/>
    <x v="0"/>
    <s v="SP"/>
    <x v="2"/>
    <x v="60"/>
  </r>
  <r>
    <n v="270"/>
    <s v="0270"/>
    <s v="ORD-BL-0270-07/03/24"/>
    <s v="[{item_code: PU001, quantity: 1, rating: 5}, {item_code: PP001, quantity: 1, rating: 1}]"/>
    <s v="PU001"/>
    <x v="7"/>
    <s v="Pakaian Unisex"/>
    <s v="1"/>
    <s v="5"/>
    <n v="160000"/>
    <n v="60000"/>
    <s v="PP001"/>
    <s v="Kaos Polo"/>
    <s v="Pakaian Pria"/>
    <s v="1"/>
    <s v="1"/>
    <n v="80000"/>
    <n v="30000"/>
    <s v="-"/>
    <s v="-"/>
    <s v="-"/>
    <n v="0"/>
    <s v="-"/>
    <n v="0"/>
    <n v="0"/>
    <n v="2"/>
    <n v="240000"/>
    <n v="90000"/>
    <s v="BUKALEBAR"/>
    <n v="0.15"/>
    <n v="36000"/>
    <n v="204000"/>
    <n v="150000"/>
    <n v="114000"/>
    <s v="Promo Lebaran"/>
    <x v="2"/>
    <s v="BL"/>
    <x v="3"/>
    <x v="61"/>
  </r>
  <r>
    <n v="302"/>
    <s v="0302"/>
    <s v="ORD-BL-0302-07/03/24"/>
    <s v="[{item_code: PP002, quantity: 1, rating: 2}]"/>
    <s v="PP002"/>
    <x v="5"/>
    <s v="Pakaian Pria"/>
    <s v="1"/>
    <s v="2"/>
    <n v="60000"/>
    <n v="25000"/>
    <s v="-"/>
    <s v="-"/>
    <s v="-"/>
    <n v="0"/>
    <s v="-"/>
    <n v="0"/>
    <n v="0"/>
    <s v="-"/>
    <s v="-"/>
    <s v="-"/>
    <n v="0"/>
    <s v="-"/>
    <n v="0"/>
    <n v="0"/>
    <n v="1"/>
    <n v="60000"/>
    <n v="25000"/>
    <s v="BUKALEBAR"/>
    <n v="0.15"/>
    <n v="9000"/>
    <n v="51000"/>
    <n v="35000"/>
    <n v="26000"/>
    <s v="Promo Lebaran"/>
    <x v="2"/>
    <s v="BL"/>
    <x v="4"/>
    <x v="61"/>
  </r>
  <r>
    <n v="381"/>
    <s v="0381"/>
    <s v="ORD-TK-0381-07/03/24"/>
    <s v="[{item_code: SW001, quantity: 1, rating: 3}, {item_code: PP002, quantity: 2, rating: 3}]"/>
    <s v="SW001"/>
    <x v="8"/>
    <s v="Sepatu Wanita"/>
    <s v="1"/>
    <s v="3"/>
    <n v="150000"/>
    <n v="70000"/>
    <s v="PP002"/>
    <s v="Celana Pendek"/>
    <s v="Pakaian Pria"/>
    <s v="2"/>
    <s v="3"/>
    <n v="60000"/>
    <n v="25000"/>
    <s v="-"/>
    <s v="-"/>
    <s v="-"/>
    <n v="0"/>
    <s v="-"/>
    <n v="0"/>
    <n v="0"/>
    <n v="3"/>
    <n v="270000"/>
    <n v="120000"/>
    <s v="-"/>
    <n v="0"/>
    <n v="0"/>
    <n v="270000"/>
    <n v="150000"/>
    <n v="150000"/>
    <s v="-"/>
    <x v="1"/>
    <s v="TK"/>
    <x v="2"/>
    <x v="61"/>
  </r>
  <r>
    <n v="607"/>
    <s v="0607"/>
    <s v="ORD-SP-0607-07/03/24"/>
    <s v="[{item_code: SW001, quantity: 3, rating: 3}, {item_code: SP002, quantity: 1, rating: 3}]"/>
    <s v="SW001"/>
    <x v="8"/>
    <s v="Sepatu Wanita"/>
    <s v="3"/>
    <s v="3"/>
    <n v="150000"/>
    <n v="70000"/>
    <s v="SP002"/>
    <s v="Sandal Slip On"/>
    <s v="Sepatu Pria"/>
    <s v="1"/>
    <s v="3"/>
    <n v="120000"/>
    <n v="60000"/>
    <s v="-"/>
    <s v="-"/>
    <s v="-"/>
    <n v="0"/>
    <s v="-"/>
    <n v="0"/>
    <n v="0"/>
    <n v="4"/>
    <n v="570000"/>
    <n v="270000"/>
    <s v="DISC10"/>
    <n v="0.1"/>
    <n v="57000"/>
    <n v="513000"/>
    <n v="300000"/>
    <n v="243000"/>
    <s v="Promo 4.4"/>
    <x v="0"/>
    <s v="SP"/>
    <x v="3"/>
    <x v="61"/>
  </r>
  <r>
    <n v="867"/>
    <s v="0867"/>
    <s v="ORD-TK-0867-07/03/24"/>
    <s v="[{item_code: PP002, quantity: 1, rating: 5}]"/>
    <s v="PP002"/>
    <x v="5"/>
    <s v="Pakaian Pria"/>
    <s v="1"/>
    <s v="5"/>
    <n v="60000"/>
    <n v="25000"/>
    <s v="-"/>
    <s v="-"/>
    <s v="-"/>
    <n v="0"/>
    <s v="-"/>
    <n v="0"/>
    <n v="0"/>
    <s v="-"/>
    <s v="-"/>
    <s v="-"/>
    <n v="0"/>
    <s v="-"/>
    <n v="0"/>
    <n v="0"/>
    <n v="1"/>
    <n v="60000"/>
    <n v="25000"/>
    <s v="DISCAPRIL"/>
    <n v="0.1"/>
    <n v="6000"/>
    <n v="54000"/>
    <n v="35000"/>
    <n v="29000"/>
    <s v="Promo 4.4"/>
    <x v="1"/>
    <s v="TK"/>
    <x v="5"/>
    <x v="61"/>
  </r>
  <r>
    <n v="7"/>
    <s v="0007"/>
    <s v="ORD-BB-0007-08/03/24"/>
    <s v="[{item_code: PU001, quantity: 4, rating: 4}]"/>
    <s v="PU001"/>
    <x v="7"/>
    <s v="Pakaian Unisex"/>
    <s v="4"/>
    <s v="4"/>
    <n v="160000"/>
    <n v="60000"/>
    <s v="-"/>
    <s v="-"/>
    <s v="-"/>
    <n v="0"/>
    <s v="-"/>
    <n v="0"/>
    <n v="0"/>
    <s v="-"/>
    <s v="-"/>
    <s v="-"/>
    <n v="0"/>
    <s v="-"/>
    <n v="0"/>
    <n v="0"/>
    <n v="4"/>
    <n v="640000"/>
    <n v="240000"/>
    <s v="BELI44"/>
    <n v="0.15"/>
    <n v="96000"/>
    <n v="544000"/>
    <n v="400000"/>
    <n v="304000"/>
    <s v="Promo 4.4"/>
    <x v="3"/>
    <s v="BB"/>
    <x v="2"/>
    <x v="62"/>
  </r>
  <r>
    <n v="36"/>
    <s v="0036"/>
    <s v="ORD-BL-0036-08/03/24"/>
    <s v="[{item_code: PW002, quantity: 1, rating: 1}, {item_code: SW001, quantity: 1, rating: 5}]"/>
    <s v="PW002"/>
    <x v="4"/>
    <s v="Pakaian Wanita"/>
    <s v="1"/>
    <s v="1"/>
    <n v="125000"/>
    <n v="50000"/>
    <s v="SW001"/>
    <s v="Flat Shoes"/>
    <s v="Sepatu Wanita"/>
    <s v="1"/>
    <s v="5"/>
    <n v="150000"/>
    <n v="70000"/>
    <s v="-"/>
    <s v="-"/>
    <s v="-"/>
    <n v="0"/>
    <s v="-"/>
    <n v="0"/>
    <n v="0"/>
    <n v="2"/>
    <n v="275000"/>
    <n v="120000"/>
    <s v="-"/>
    <n v="0"/>
    <n v="0"/>
    <n v="275000"/>
    <n v="155000"/>
    <n v="155000"/>
    <s v="-"/>
    <x v="2"/>
    <s v="BL"/>
    <x v="2"/>
    <x v="62"/>
  </r>
  <r>
    <n v="333"/>
    <s v="0333"/>
    <s v="ORD-BL-0333-08/03/24"/>
    <s v="[{item_code: SP002, quantity: 1, rating: 2}, {item_code: SW001, quantity: 3, rating: 1}]"/>
    <s v="SP002"/>
    <x v="1"/>
    <s v="Sepatu Pria"/>
    <s v="1"/>
    <s v="2"/>
    <n v="120000"/>
    <n v="60000"/>
    <s v="SW001"/>
    <s v="Flat Shoes"/>
    <s v="Sepatu Wanita"/>
    <s v="3"/>
    <s v="1"/>
    <n v="150000"/>
    <n v="70000"/>
    <s v="-"/>
    <s v="-"/>
    <s v="-"/>
    <n v="0"/>
    <s v="-"/>
    <n v="0"/>
    <n v="0"/>
    <n v="4"/>
    <n v="570000"/>
    <n v="270000"/>
    <s v="BUKALEBAR"/>
    <n v="0.15"/>
    <n v="85500"/>
    <n v="484500"/>
    <n v="300000"/>
    <n v="214500"/>
    <s v="Promo Lebaran"/>
    <x v="2"/>
    <s v="BL"/>
    <x v="3"/>
    <x v="62"/>
  </r>
  <r>
    <n v="362"/>
    <s v="0362"/>
    <s v="ORD-BL-0362-08/03/24"/>
    <s v="[{item_code: SP002, quantity: 3, rating: 5}, {item_code: PW003, quantity: 1, rating: 5}]"/>
    <s v="SP002"/>
    <x v="1"/>
    <s v="Sepatu Pria"/>
    <s v="3"/>
    <s v="5"/>
    <n v="120000"/>
    <n v="60000"/>
    <s v="PW003"/>
    <s v="Kaftan"/>
    <s v="Pakaian Wanita"/>
    <s v="1"/>
    <s v="5"/>
    <n v="200000"/>
    <n v="100000"/>
    <s v="-"/>
    <s v="-"/>
    <s v="-"/>
    <n v="0"/>
    <s v="-"/>
    <n v="0"/>
    <n v="0"/>
    <n v="4"/>
    <n v="560000"/>
    <n v="280000"/>
    <s v="BUKALEBAR"/>
    <n v="0.15"/>
    <n v="84000"/>
    <n v="476000"/>
    <n v="280000"/>
    <n v="196000"/>
    <s v="Promo Lebaran"/>
    <x v="2"/>
    <s v="BL"/>
    <x v="2"/>
    <x v="62"/>
  </r>
  <r>
    <n v="540"/>
    <s v="0540"/>
    <s v="ORD-BL-0540-08/03/24"/>
    <s v="[{item_code: PW001, quantity: 3, rating: 4}, {item_code: PW002, quantity: 2, rating: 4}, {item_code: PP002, quantity: 1, rating: 1}]"/>
    <s v="PW001"/>
    <x v="2"/>
    <s v="Pakaian Wanita"/>
    <s v="3"/>
    <s v="4"/>
    <n v="150000"/>
    <n v="55000"/>
    <s v="PW002"/>
    <s v="Blouse"/>
    <s v="Pakaian Wanita"/>
    <s v="2"/>
    <s v="4"/>
    <n v="125000"/>
    <n v="50000"/>
    <s v="PP002"/>
    <s v="Celana Pendek"/>
    <s v="Pakaian Pria"/>
    <s v="1"/>
    <s v="1"/>
    <n v="60000"/>
    <n v="25000"/>
    <n v="6"/>
    <n v="760000"/>
    <n v="290000"/>
    <s v="BUKALEBAR"/>
    <n v="0.15"/>
    <n v="114000"/>
    <n v="646000"/>
    <n v="470000"/>
    <n v="356000"/>
    <s v="Promo Lebaran"/>
    <x v="2"/>
    <s v="BL"/>
    <x v="1"/>
    <x v="62"/>
  </r>
  <r>
    <n v="682"/>
    <s v="0682"/>
    <s v="ORD-SP-0682-08/03/24"/>
    <s v="[{item_code: PP003, quantity: 4, rating: 4}, {item_code: SW001, quantity: 2, rating: 3}]"/>
    <s v="PP003"/>
    <x v="6"/>
    <s v="Pakaian Pria"/>
    <s v="4"/>
    <s v="4"/>
    <n v="150000"/>
    <n v="70000"/>
    <s v="SW001"/>
    <s v="Flat Shoes"/>
    <s v="Sepatu Wanita"/>
    <s v="2"/>
    <s v="3"/>
    <n v="150000"/>
    <n v="70000"/>
    <s v="-"/>
    <s v="-"/>
    <s v="-"/>
    <n v="0"/>
    <s v="-"/>
    <n v="0"/>
    <n v="0"/>
    <n v="6"/>
    <n v="900000"/>
    <n v="420000"/>
    <s v="DISC10"/>
    <n v="0.1"/>
    <n v="90000"/>
    <n v="810000"/>
    <n v="480000"/>
    <n v="390000"/>
    <s v="Promo 4.4"/>
    <x v="0"/>
    <s v="SP"/>
    <x v="0"/>
    <x v="62"/>
  </r>
  <r>
    <n v="354"/>
    <s v="0354"/>
    <s v="ORD-TK-0354-09/03/24"/>
    <s v="[{item_code: SP001, quantity: 3, rating: 3}, {item_code: PW001, quantity: 1, rating: 1}, {item_code: SW001, quantity: 1, rating: 1}]"/>
    <s v="SP001"/>
    <x v="9"/>
    <s v="Sepatu Pria"/>
    <s v="3"/>
    <s v="3"/>
    <n v="300000"/>
    <n v="100000"/>
    <s v="PW001"/>
    <s v="Dress"/>
    <s v="Pakaian Wanita"/>
    <s v="1"/>
    <s v="1"/>
    <n v="150000"/>
    <n v="55000"/>
    <s v="SW001"/>
    <s v="Flat Shoes"/>
    <s v="Sepatu Wanita"/>
    <s v="1"/>
    <s v="1"/>
    <n v="150000"/>
    <n v="70000"/>
    <n v="5"/>
    <n v="1200000"/>
    <n v="425000"/>
    <s v="DISCAPRIL"/>
    <n v="0.1"/>
    <n v="120000"/>
    <n v="1080000"/>
    <n v="775000"/>
    <n v="655000"/>
    <s v="Promo 4.4"/>
    <x v="1"/>
    <s v="TK"/>
    <x v="3"/>
    <x v="63"/>
  </r>
  <r>
    <n v="365"/>
    <s v="0365"/>
    <s v="ORD-SP-0365-09/03/24"/>
    <s v="[{item_code: PW002, quantity: 2, rating: 2}, {item_code: PW001, quantity: 1, rating: 1}]"/>
    <s v="PW002"/>
    <x v="4"/>
    <s v="Pakaian Wanita"/>
    <s v="2"/>
    <s v="2"/>
    <n v="125000"/>
    <n v="50000"/>
    <s v="PW001"/>
    <s v="Dress"/>
    <s v="Pakaian Wanita"/>
    <s v="1"/>
    <s v="1"/>
    <n v="150000"/>
    <n v="55000"/>
    <s v="-"/>
    <s v="-"/>
    <s v="-"/>
    <n v="0"/>
    <s v="-"/>
    <n v="0"/>
    <n v="0"/>
    <n v="3"/>
    <n v="400000"/>
    <n v="155000"/>
    <s v="-"/>
    <n v="0"/>
    <n v="0"/>
    <n v="400000"/>
    <n v="245000"/>
    <n v="245000"/>
    <s v="-"/>
    <x v="0"/>
    <s v="SP"/>
    <x v="0"/>
    <x v="63"/>
  </r>
  <r>
    <n v="14"/>
    <s v="0014"/>
    <s v="ORD-SP-0014-11/03/24"/>
    <s v="[{item_code: PP001, quantity: 1, rating: 2}, {item_code: PP002, quantity: 1, rating: 2}, {item_code: PP001, quantity: 1, rating: 5}]"/>
    <s v="PP001"/>
    <x v="0"/>
    <s v="Pakaian Pria"/>
    <s v="1"/>
    <s v="2"/>
    <n v="80000"/>
    <n v="30000"/>
    <s v="PP002"/>
    <s v="Celana Pendek"/>
    <s v="Pakaian Pria"/>
    <s v="1"/>
    <s v="2"/>
    <n v="60000"/>
    <n v="25000"/>
    <s v="PP001"/>
    <s v="Kaos Polo"/>
    <s v="Pakaian Pria"/>
    <s v="1"/>
    <s v="5"/>
    <n v="80000"/>
    <n v="30000"/>
    <n v="3"/>
    <n v="220000"/>
    <n v="85000"/>
    <s v="DISC15"/>
    <n v="0.15"/>
    <n v="33000"/>
    <n v="187000"/>
    <n v="135000"/>
    <n v="102000"/>
    <s v="Promo 4.4"/>
    <x v="0"/>
    <s v="SP"/>
    <x v="4"/>
    <x v="64"/>
  </r>
  <r>
    <n v="214"/>
    <s v="0214"/>
    <s v="ORD-SP-0214-11/03/24"/>
    <s v="[{item_code: PP002, quantity: 1, rating: 1}]"/>
    <s v="PP002"/>
    <x v="5"/>
    <s v="Pakaian Pria"/>
    <s v="1"/>
    <s v="1"/>
    <n v="60000"/>
    <n v="25000"/>
    <s v="-"/>
    <s v="-"/>
    <s v="-"/>
    <n v="0"/>
    <s v="-"/>
    <n v="0"/>
    <n v="0"/>
    <s v="-"/>
    <s v="-"/>
    <s v="-"/>
    <n v="0"/>
    <s v="-"/>
    <n v="0"/>
    <n v="0"/>
    <n v="1"/>
    <n v="60000"/>
    <n v="25000"/>
    <s v="DISC20"/>
    <n v="0.2"/>
    <n v="12000"/>
    <n v="48000"/>
    <n v="35000"/>
    <n v="23000"/>
    <s v="Promo Lebaran"/>
    <x v="0"/>
    <s v="SP"/>
    <x v="4"/>
    <x v="64"/>
  </r>
  <r>
    <n v="484"/>
    <s v="0484"/>
    <s v="ORD-TK-0484-11/03/24"/>
    <s v="[{item_code: PP001, quantity: 1, rating: 3}]"/>
    <s v="PP001"/>
    <x v="0"/>
    <s v="Pakaian Pria"/>
    <s v="1"/>
    <s v="3"/>
    <n v="80000"/>
    <n v="30000"/>
    <s v="-"/>
    <s v="-"/>
    <s v="-"/>
    <n v="0"/>
    <s v="-"/>
    <n v="0"/>
    <n v="0"/>
    <s v="-"/>
    <s v="-"/>
    <s v="-"/>
    <n v="0"/>
    <s v="-"/>
    <n v="0"/>
    <n v="0"/>
    <n v="1"/>
    <n v="80000"/>
    <n v="30000"/>
    <s v="DISCAPRIL"/>
    <n v="0.1"/>
    <n v="8000"/>
    <n v="72000"/>
    <n v="50000"/>
    <n v="42000"/>
    <s v="Promo 4.4"/>
    <x v="1"/>
    <s v="TK"/>
    <x v="3"/>
    <x v="64"/>
  </r>
  <r>
    <n v="252"/>
    <s v="0252"/>
    <s v="ORD-TK-0252-12/03/24"/>
    <s v="[{item_code: SP002, quantity: 2, rating: 4}, {item_code: PU001, quantity: 3, rating: 2}, {item_code: SP002, quantity: 2, rating: 1}]"/>
    <s v="SP002"/>
    <x v="1"/>
    <s v="Sepatu Pria"/>
    <s v="2"/>
    <s v="4"/>
    <n v="120000"/>
    <n v="60000"/>
    <s v="PU001"/>
    <s v="Jaket Hoodie"/>
    <s v="Pakaian Unisex"/>
    <s v="3"/>
    <s v="2"/>
    <n v="160000"/>
    <n v="60000"/>
    <s v="SP002"/>
    <s v="Sandal Slip On"/>
    <s v="Sepatu Pria"/>
    <s v="2"/>
    <s v="1"/>
    <n v="120000"/>
    <n v="60000"/>
    <n v="7"/>
    <n v="960000"/>
    <n v="420000"/>
    <s v="LEBAR10"/>
    <n v="0.1"/>
    <n v="96000"/>
    <n v="864000"/>
    <n v="540000"/>
    <n v="444000"/>
    <s v="Promo Lebaran"/>
    <x v="1"/>
    <s v="TK"/>
    <x v="3"/>
    <x v="65"/>
  </r>
  <r>
    <n v="577"/>
    <s v="0577"/>
    <s v="ORD-SP-0577-13/03/24"/>
    <s v="[{item_code: PW001, quantity: 1, rating: 1}, {item_code: PU001, quantity: 3, rating: 1}, {item_code: PW001, quantity: 1, rating: 4}]"/>
    <s v="PW001"/>
    <x v="2"/>
    <s v="Pakaian Wanita"/>
    <s v="1"/>
    <s v="1"/>
    <n v="150000"/>
    <n v="55000"/>
    <s v="PU001"/>
    <s v="Jaket Hoodie"/>
    <s v="Pakaian Unisex"/>
    <s v="3"/>
    <s v="1"/>
    <n v="160000"/>
    <n v="60000"/>
    <s v="PW001"/>
    <s v="Dress"/>
    <s v="Pakaian Wanita"/>
    <s v="1"/>
    <s v="4"/>
    <n v="150000"/>
    <n v="55000"/>
    <n v="5"/>
    <n v="780000"/>
    <n v="290000"/>
    <s v="DISC15"/>
    <n v="0.15"/>
    <n v="117000"/>
    <n v="663000"/>
    <n v="490000"/>
    <n v="373000"/>
    <s v="Promo 4.4"/>
    <x v="0"/>
    <s v="SP"/>
    <x v="4"/>
    <x v="66"/>
  </r>
  <r>
    <n v="308"/>
    <s v="0308"/>
    <s v="ORD-TK-0308-14/03/24"/>
    <s v="[{item_code: PP001, quantity: 5, rating: 4}, {item_code: SP001, quantity: 2, rating: 3}]"/>
    <s v="PP001"/>
    <x v="0"/>
    <s v="Pakaian Pria"/>
    <s v="5"/>
    <s v="4"/>
    <n v="80000"/>
    <n v="30000"/>
    <s v="SP001"/>
    <s v="Sneakers"/>
    <s v="Sepatu Pria"/>
    <s v="2"/>
    <s v="3"/>
    <n v="300000"/>
    <n v="100000"/>
    <s v="-"/>
    <s v="-"/>
    <s v="-"/>
    <n v="0"/>
    <s v="-"/>
    <n v="0"/>
    <n v="0"/>
    <n v="7"/>
    <n v="1000000"/>
    <n v="350000"/>
    <s v="LEBAR10"/>
    <n v="0.1"/>
    <n v="100000"/>
    <n v="900000"/>
    <n v="650000"/>
    <n v="550000"/>
    <s v="Promo Lebaran"/>
    <x v="1"/>
    <s v="TK"/>
    <x v="5"/>
    <x v="67"/>
  </r>
  <r>
    <n v="465"/>
    <s v="0465"/>
    <s v="ORD-BL-0465-14/03/24"/>
    <s v="[{item_code: SW001, quantity: 1, rating: 2}]"/>
    <s v="SW001"/>
    <x v="8"/>
    <s v="Sepatu Wanita"/>
    <s v="1"/>
    <s v="2"/>
    <n v="150000"/>
    <n v="70000"/>
    <s v="-"/>
    <s v="-"/>
    <s v="-"/>
    <n v="0"/>
    <s v="-"/>
    <n v="0"/>
    <n v="0"/>
    <s v="-"/>
    <s v="-"/>
    <s v="-"/>
    <n v="0"/>
    <s v="-"/>
    <n v="0"/>
    <n v="0"/>
    <n v="1"/>
    <n v="150000"/>
    <n v="70000"/>
    <s v="BUKALEBAR"/>
    <n v="0.15"/>
    <n v="22500"/>
    <n v="127500"/>
    <n v="80000"/>
    <n v="57500"/>
    <s v="Promo Lebaran"/>
    <x v="2"/>
    <s v="BL"/>
    <x v="3"/>
    <x v="67"/>
  </r>
  <r>
    <n v="472"/>
    <s v="0472"/>
    <s v="ORD-SP-0472-14/03/24"/>
    <s v="[{item_code: SP001, quantity: 2, rating: 2}]"/>
    <s v="SP001"/>
    <x v="9"/>
    <s v="Sepatu Pria"/>
    <s v="2"/>
    <s v="2"/>
    <n v="300000"/>
    <n v="100000"/>
    <s v="-"/>
    <s v="-"/>
    <s v="-"/>
    <n v="0"/>
    <s v="-"/>
    <n v="0"/>
    <n v="0"/>
    <s v="-"/>
    <s v="-"/>
    <s v="-"/>
    <n v="0"/>
    <s v="-"/>
    <n v="0"/>
    <n v="0"/>
    <n v="2"/>
    <n v="600000"/>
    <n v="200000"/>
    <s v="DISC10"/>
    <n v="0.1"/>
    <n v="60000"/>
    <n v="540000"/>
    <n v="400000"/>
    <n v="340000"/>
    <s v="Promo 4.4"/>
    <x v="0"/>
    <s v="SP"/>
    <x v="2"/>
    <x v="67"/>
  </r>
  <r>
    <n v="628"/>
    <s v="0628"/>
    <s v="ORD-SP-0628-14/03/24"/>
    <s v="[{item_code: SP001, quantity: 1, rating: 1}, {item_code: PW003, quantity: 1, rating: 2}, {item_code: PP002, quantity: 4, rating: 4}]"/>
    <s v="SP001"/>
    <x v="9"/>
    <s v="Sepatu Pria"/>
    <s v="1"/>
    <s v="1"/>
    <n v="300000"/>
    <n v="100000"/>
    <s v="PW003"/>
    <s v="Kaftan"/>
    <s v="Pakaian Wanita"/>
    <s v="1"/>
    <s v="2"/>
    <n v="200000"/>
    <n v="100000"/>
    <s v="PP002"/>
    <s v="Celana Pendek"/>
    <s v="Pakaian Pria"/>
    <s v="4"/>
    <s v="4"/>
    <n v="60000"/>
    <n v="25000"/>
    <n v="6"/>
    <n v="740000"/>
    <n v="300000"/>
    <s v="DISC20"/>
    <n v="0.2"/>
    <n v="148000"/>
    <n v="592000"/>
    <n v="440000"/>
    <n v="292000"/>
    <s v="Promo Lebaran"/>
    <x v="0"/>
    <s v="SP"/>
    <x v="3"/>
    <x v="67"/>
  </r>
  <r>
    <n v="126"/>
    <s v="0126"/>
    <s v="ORD-TK-0126-15/03/24"/>
    <s v="[{item_code: PW003, quantity: 4, rating: 5}, {item_code: SW001, quantity: 1, rating: 2}, {item_code: PW002, quantity: 2, rating: 5}]"/>
    <s v="PW003"/>
    <x v="3"/>
    <s v="Pakaian Wanita"/>
    <s v="4"/>
    <s v="5"/>
    <n v="200000"/>
    <n v="100000"/>
    <s v="SW001"/>
    <s v="Flat Shoes"/>
    <s v="Sepatu Wanita"/>
    <s v="1"/>
    <s v="2"/>
    <n v="150000"/>
    <n v="70000"/>
    <s v="PW002"/>
    <s v="Blouse"/>
    <s v="Pakaian Wanita"/>
    <s v="2"/>
    <s v="5"/>
    <n v="125000"/>
    <n v="50000"/>
    <n v="7"/>
    <n v="1200000"/>
    <n v="570000"/>
    <s v="LEBAR10"/>
    <n v="0.1"/>
    <n v="120000"/>
    <n v="1080000"/>
    <n v="630000"/>
    <n v="510000"/>
    <s v="Promo Lebaran"/>
    <x v="1"/>
    <s v="TK"/>
    <x v="5"/>
    <x v="68"/>
  </r>
  <r>
    <n v="132"/>
    <s v="0132"/>
    <s v="ORD-SP-0132-15/03/24"/>
    <s v="[{item_code: PP003, quantity: 5, rating: 5}, {item_code: PW002, quantity: 1, rating: 1}]"/>
    <s v="PP003"/>
    <x v="6"/>
    <s v="Pakaian Pria"/>
    <s v="5"/>
    <s v="5"/>
    <n v="150000"/>
    <n v="70000"/>
    <s v="PW002"/>
    <s v="Blouse"/>
    <s v="Pakaian Wanita"/>
    <s v="1"/>
    <s v="1"/>
    <n v="125000"/>
    <n v="50000"/>
    <s v="-"/>
    <s v="-"/>
    <s v="-"/>
    <n v="0"/>
    <s v="-"/>
    <n v="0"/>
    <n v="0"/>
    <n v="6"/>
    <n v="875000"/>
    <n v="400000"/>
    <s v="DISC20"/>
    <n v="0.2"/>
    <n v="175000"/>
    <n v="700000"/>
    <n v="475000"/>
    <n v="300000"/>
    <s v="Promo Lebaran"/>
    <x v="0"/>
    <s v="SP"/>
    <x v="3"/>
    <x v="68"/>
  </r>
  <r>
    <n v="334"/>
    <s v="0334"/>
    <s v="ORD-TK-0334-15/03/24"/>
    <s v="[{item_code: SP001, quantity: 6, rating: 4}, {item_code: PU001, quantity: 1, rating: 4}]"/>
    <s v="SP001"/>
    <x v="9"/>
    <s v="Sepatu Pria"/>
    <s v="6"/>
    <s v="4"/>
    <n v="300000"/>
    <n v="100000"/>
    <s v="PU001"/>
    <s v="Jaket Hoodie"/>
    <s v="Pakaian Unisex"/>
    <s v="1"/>
    <s v="4"/>
    <n v="160000"/>
    <n v="60000"/>
    <s v="-"/>
    <s v="-"/>
    <s v="-"/>
    <n v="0"/>
    <s v="-"/>
    <n v="0"/>
    <n v="0"/>
    <n v="7"/>
    <n v="1960000"/>
    <n v="660000"/>
    <s v="DISCAPRIL"/>
    <n v="0.1"/>
    <n v="196000"/>
    <n v="1764000"/>
    <n v="1300000"/>
    <n v="1104000"/>
    <s v="Promo 4.4"/>
    <x v="1"/>
    <s v="TK"/>
    <x v="3"/>
    <x v="68"/>
  </r>
  <r>
    <n v="263"/>
    <s v="0263"/>
    <s v="ORD-TK-0263-16/03/24"/>
    <s v="[{item_code: PP003, quantity: 1, rating: 3}, {item_code: SW001, quantity: 3, rating: 3}]"/>
    <s v="PP003"/>
    <x v="6"/>
    <s v="Pakaian Pria"/>
    <s v="1"/>
    <s v="3"/>
    <n v="150000"/>
    <n v="70000"/>
    <s v="SW001"/>
    <s v="Flat Shoes"/>
    <s v="Sepatu Wanita"/>
    <s v="3"/>
    <s v="3"/>
    <n v="150000"/>
    <n v="70000"/>
    <s v="-"/>
    <s v="-"/>
    <s v="-"/>
    <n v="0"/>
    <s v="-"/>
    <n v="0"/>
    <n v="0"/>
    <n v="4"/>
    <n v="600000"/>
    <n v="280000"/>
    <s v="-"/>
    <n v="0"/>
    <n v="0"/>
    <n v="600000"/>
    <n v="320000"/>
    <n v="320000"/>
    <s v="-"/>
    <x v="1"/>
    <s v="TK"/>
    <x v="4"/>
    <x v="69"/>
  </r>
  <r>
    <n v="592"/>
    <s v="0592"/>
    <s v="ORD-BL-0592-16/03/24"/>
    <s v="[{item_code: PP001, quantity: 1, rating: 1}]"/>
    <s v="PP001"/>
    <x v="0"/>
    <s v="Pakaian Pria"/>
    <s v="1"/>
    <s v="1"/>
    <n v="80000"/>
    <n v="30000"/>
    <s v="-"/>
    <s v="-"/>
    <s v="-"/>
    <n v="0"/>
    <s v="-"/>
    <n v="0"/>
    <n v="0"/>
    <s v="-"/>
    <s v="-"/>
    <s v="-"/>
    <n v="0"/>
    <s v="-"/>
    <n v="0"/>
    <n v="0"/>
    <n v="1"/>
    <n v="80000"/>
    <n v="30000"/>
    <s v="BUKALEBAR"/>
    <n v="0.15"/>
    <n v="12000"/>
    <n v="68000"/>
    <n v="50000"/>
    <n v="38000"/>
    <s v="Promo Lebaran"/>
    <x v="2"/>
    <s v="BL"/>
    <x v="4"/>
    <x v="69"/>
  </r>
  <r>
    <n v="973"/>
    <s v="0973"/>
    <s v="ORD-BL-0973-16/03/24"/>
    <s v="[{item_code: PU001, quantity: 2, rating: 3}]"/>
    <s v="PU001"/>
    <x v="7"/>
    <s v="Pakaian Unisex"/>
    <s v="2"/>
    <s v="3"/>
    <n v="160000"/>
    <n v="60000"/>
    <s v="-"/>
    <s v="-"/>
    <s v="-"/>
    <n v="0"/>
    <s v="-"/>
    <n v="0"/>
    <n v="0"/>
    <s v="-"/>
    <s v="-"/>
    <s v="-"/>
    <n v="0"/>
    <s v="-"/>
    <n v="0"/>
    <n v="0"/>
    <n v="2"/>
    <n v="320000"/>
    <n v="120000"/>
    <s v="BUKALEBAR"/>
    <n v="0.15"/>
    <n v="48000"/>
    <n v="272000"/>
    <n v="200000"/>
    <n v="152000"/>
    <s v="Promo Lebaran"/>
    <x v="2"/>
    <s v="BL"/>
    <x v="2"/>
    <x v="69"/>
  </r>
  <r>
    <n v="21"/>
    <s v="0021"/>
    <s v="ORD-SP-0021-17/03/24"/>
    <s v="[{item_code: PW002, quantity: 2, rating: 5}, {item_code: SP002, quantity: 1, rating: 2}]"/>
    <s v="PW002"/>
    <x v="4"/>
    <s v="Pakaian Wanita"/>
    <s v="2"/>
    <s v="5"/>
    <n v="125000"/>
    <n v="50000"/>
    <s v="SP002"/>
    <s v="Sandal Slip On"/>
    <s v="Sepatu Pria"/>
    <s v="1"/>
    <s v="2"/>
    <n v="120000"/>
    <n v="60000"/>
    <s v="-"/>
    <s v="-"/>
    <s v="-"/>
    <n v="0"/>
    <s v="-"/>
    <n v="0"/>
    <n v="0"/>
    <n v="3"/>
    <n v="370000"/>
    <n v="160000"/>
    <s v="DISC10"/>
    <n v="0.1"/>
    <n v="37000"/>
    <n v="333000"/>
    <n v="210000"/>
    <n v="173000"/>
    <s v="Promo 4.4"/>
    <x v="0"/>
    <s v="SP"/>
    <x v="3"/>
    <x v="70"/>
  </r>
  <r>
    <n v="55"/>
    <s v="0055"/>
    <s v="ORD-SP-0055-17/03/24"/>
    <s v="[{item_code: SP001, quantity: 2, rating: 1}]"/>
    <s v="SP001"/>
    <x v="9"/>
    <s v="Sepatu Pria"/>
    <s v="2"/>
    <s v="1"/>
    <n v="300000"/>
    <n v="100000"/>
    <s v="-"/>
    <s v="-"/>
    <s v="-"/>
    <n v="0"/>
    <s v="-"/>
    <n v="0"/>
    <n v="0"/>
    <s v="-"/>
    <s v="-"/>
    <s v="-"/>
    <n v="0"/>
    <s v="-"/>
    <n v="0"/>
    <n v="0"/>
    <n v="2"/>
    <n v="600000"/>
    <n v="200000"/>
    <s v="DISC10"/>
    <n v="0.1"/>
    <n v="60000"/>
    <n v="540000"/>
    <n v="400000"/>
    <n v="340000"/>
    <s v="Promo 4.4"/>
    <x v="0"/>
    <s v="SP"/>
    <x v="3"/>
    <x v="70"/>
  </r>
  <r>
    <n v="323"/>
    <s v="0323"/>
    <s v="ORD-TK-0323-19/03/24"/>
    <s v="[{item_code: PU001, quantity: 3, rating: 1}]"/>
    <s v="PU001"/>
    <x v="7"/>
    <s v="Pakaian Unisex"/>
    <s v="3"/>
    <s v="1"/>
    <n v="160000"/>
    <n v="60000"/>
    <s v="-"/>
    <s v="-"/>
    <s v="-"/>
    <n v="0"/>
    <s v="-"/>
    <n v="0"/>
    <n v="0"/>
    <s v="-"/>
    <s v="-"/>
    <s v="-"/>
    <n v="0"/>
    <s v="-"/>
    <n v="0"/>
    <n v="0"/>
    <n v="3"/>
    <n v="480000"/>
    <n v="180000"/>
    <s v="LEBAR10"/>
    <n v="0.1"/>
    <n v="48000"/>
    <n v="432000"/>
    <n v="300000"/>
    <n v="252000"/>
    <s v="Promo Lebaran"/>
    <x v="1"/>
    <s v="TK"/>
    <x v="3"/>
    <x v="71"/>
  </r>
  <r>
    <n v="601"/>
    <s v="0601"/>
    <s v="ORD-SP-0601-19/03/24"/>
    <s v="[{item_code: PW003, quantity: 1, rating: 1}, {item_code: PW001, quantity: 2, rating: 3}, {item_code: PP001, quantity: 3, rating: 4}]"/>
    <s v="PW003"/>
    <x v="3"/>
    <s v="Pakaian Wanita"/>
    <s v="1"/>
    <s v="1"/>
    <n v="200000"/>
    <n v="100000"/>
    <s v="PW001"/>
    <s v="Dress"/>
    <s v="Pakaian Wanita"/>
    <s v="2"/>
    <s v="3"/>
    <n v="150000"/>
    <n v="55000"/>
    <s v="PP001"/>
    <s v="Kaos Polo"/>
    <s v="Pakaian Pria"/>
    <s v="3"/>
    <s v="4"/>
    <n v="80000"/>
    <n v="30000"/>
    <n v="6"/>
    <n v="740000"/>
    <n v="300000"/>
    <s v="DISC20"/>
    <n v="0.2"/>
    <n v="148000"/>
    <n v="592000"/>
    <n v="440000"/>
    <n v="292000"/>
    <s v="Promo Lebaran"/>
    <x v="0"/>
    <s v="SP"/>
    <x v="3"/>
    <x v="71"/>
  </r>
  <r>
    <n v="637"/>
    <s v="0637"/>
    <s v="ORD-BB-0637-19/03/24"/>
    <s v="[{item_code: PU001, quantity: 1, rating: 5}, {item_code: PP001, quantity: 2, rating: 3}, {item_code: PP002, quantity: 3, rating: 1}]"/>
    <s v="PU001"/>
    <x v="7"/>
    <s v="Pakaian Unisex"/>
    <s v="1"/>
    <s v="5"/>
    <n v="160000"/>
    <n v="60000"/>
    <s v="PP001"/>
    <s v="Kaos Polo"/>
    <s v="Pakaian Pria"/>
    <s v="2"/>
    <s v="3"/>
    <n v="80000"/>
    <n v="30000"/>
    <s v="PP002"/>
    <s v="Celana Pendek"/>
    <s v="Pakaian Pria"/>
    <s v="3"/>
    <s v="1"/>
    <n v="60000"/>
    <n v="25000"/>
    <n v="6"/>
    <n v="500000"/>
    <n v="195000"/>
    <s v="BELI44"/>
    <n v="0.15"/>
    <n v="75000"/>
    <n v="425000"/>
    <n v="305000"/>
    <n v="230000"/>
    <s v="Promo 4.4"/>
    <x v="3"/>
    <s v="BB"/>
    <x v="1"/>
    <x v="71"/>
  </r>
  <r>
    <n v="53"/>
    <s v="0053"/>
    <s v="ORD-BB-0053-20/03/24"/>
    <s v="[{item_code: SP001, quantity: 2, rating: 1}, {item_code: PU001, quantity: 1, rating: 1}]"/>
    <s v="SP001"/>
    <x v="9"/>
    <s v="Sepatu Pria"/>
    <s v="2"/>
    <s v="1"/>
    <n v="300000"/>
    <n v="100000"/>
    <s v="PU001"/>
    <s v="Jaket Hoodie"/>
    <s v="Pakaian Unisex"/>
    <s v="1"/>
    <s v="1"/>
    <n v="160000"/>
    <n v="60000"/>
    <s v="-"/>
    <s v="-"/>
    <s v="-"/>
    <n v="0"/>
    <s v="-"/>
    <n v="0"/>
    <n v="0"/>
    <n v="3"/>
    <n v="760000"/>
    <n v="260000"/>
    <s v="BELI44"/>
    <n v="0.15"/>
    <n v="114000"/>
    <n v="646000"/>
    <n v="500000"/>
    <n v="386000"/>
    <s v="Promo 4.4"/>
    <x v="3"/>
    <s v="BB"/>
    <x v="3"/>
    <x v="72"/>
  </r>
  <r>
    <n v="609"/>
    <s v="0609"/>
    <s v="ORD-TK-0609-20/03/24"/>
    <s v="[{item_code: PU001, quantity: 3, rating: 4}, {item_code: PP003, quantity: 1, rating: 5}]"/>
    <s v="PU001"/>
    <x v="7"/>
    <s v="Pakaian Unisex"/>
    <s v="3"/>
    <s v="4"/>
    <n v="160000"/>
    <n v="60000"/>
    <s v="PP003"/>
    <s v="Jaket Jeans"/>
    <s v="Pakaian Pria"/>
    <s v="1"/>
    <s v="5"/>
    <n v="150000"/>
    <n v="70000"/>
    <s v="-"/>
    <s v="-"/>
    <s v="-"/>
    <n v="0"/>
    <s v="-"/>
    <n v="0"/>
    <n v="0"/>
    <n v="4"/>
    <n v="630000"/>
    <n v="250000"/>
    <s v="DISCAPRIL"/>
    <n v="0.1"/>
    <n v="63000"/>
    <n v="567000"/>
    <n v="380000"/>
    <n v="317000"/>
    <s v="Promo 4.4"/>
    <x v="1"/>
    <s v="TK"/>
    <x v="3"/>
    <x v="72"/>
  </r>
  <r>
    <n v="121"/>
    <s v="0121"/>
    <s v="ORD-TK-0121-21/03/24"/>
    <s v="[{item_code: SP001, quantity: 2, rating: 3}, {item_code: SW001, quantity: 1, rating: 2}]"/>
    <s v="SP001"/>
    <x v="9"/>
    <s v="Sepatu Pria"/>
    <s v="2"/>
    <s v="3"/>
    <n v="300000"/>
    <n v="100000"/>
    <s v="SW001"/>
    <s v="Flat Shoes"/>
    <s v="Sepatu Wanita"/>
    <s v="1"/>
    <s v="2"/>
    <n v="150000"/>
    <n v="70000"/>
    <s v="-"/>
    <s v="-"/>
    <s v="-"/>
    <n v="0"/>
    <s v="-"/>
    <n v="0"/>
    <n v="0"/>
    <n v="3"/>
    <n v="750000"/>
    <n v="270000"/>
    <s v="LEBAR10"/>
    <n v="0.1"/>
    <n v="75000"/>
    <n v="675000"/>
    <n v="480000"/>
    <n v="405000"/>
    <s v="Promo Lebaran"/>
    <x v="1"/>
    <s v="TK"/>
    <x v="3"/>
    <x v="73"/>
  </r>
  <r>
    <n v="789"/>
    <s v="0789"/>
    <s v="ORD-BB-0789-21/03/24"/>
    <s v="[{item_code: SP002, quantity: 2, rating: 2}]"/>
    <s v="SP002"/>
    <x v="1"/>
    <s v="Sepatu Pria"/>
    <s v="2"/>
    <s v="2"/>
    <n v="120000"/>
    <n v="60000"/>
    <s v="-"/>
    <s v="-"/>
    <s v="-"/>
    <n v="0"/>
    <s v="-"/>
    <n v="0"/>
    <n v="0"/>
    <s v="-"/>
    <s v="-"/>
    <s v="-"/>
    <n v="0"/>
    <s v="-"/>
    <n v="0"/>
    <n v="0"/>
    <n v="2"/>
    <n v="240000"/>
    <n v="120000"/>
    <s v="BELI44"/>
    <n v="0.15"/>
    <n v="36000"/>
    <n v="204000"/>
    <n v="120000"/>
    <n v="84000"/>
    <s v="Promo 4.4"/>
    <x v="3"/>
    <s v="BB"/>
    <x v="1"/>
    <x v="73"/>
  </r>
  <r>
    <n v="175"/>
    <s v="0175"/>
    <s v="ORD-BB-0175-22/03/24"/>
    <s v="[{item_code: PP002, quantity: 2, rating: 4}]"/>
    <s v="PP002"/>
    <x v="5"/>
    <s v="Pakaian Pria"/>
    <s v="2"/>
    <s v="4"/>
    <n v="60000"/>
    <n v="25000"/>
    <s v="-"/>
    <s v="-"/>
    <s v="-"/>
    <n v="0"/>
    <s v="-"/>
    <n v="0"/>
    <n v="0"/>
    <s v="-"/>
    <s v="-"/>
    <s v="-"/>
    <n v="0"/>
    <s v="-"/>
    <n v="0"/>
    <n v="0"/>
    <n v="2"/>
    <n v="120000"/>
    <n v="50000"/>
    <s v="BELI44"/>
    <n v="0.15"/>
    <n v="18000"/>
    <n v="102000"/>
    <n v="70000"/>
    <n v="52000"/>
    <s v="Promo 4.4"/>
    <x v="3"/>
    <s v="BB"/>
    <x v="4"/>
    <x v="74"/>
  </r>
  <r>
    <n v="301"/>
    <s v="0301"/>
    <s v="ORD-SP-0301-22/03/24"/>
    <s v="[{item_code: PP003, quantity: 3, rating: 4}, {item_code: PP002, quantity: 4, rating: 4}]"/>
    <s v="PP003"/>
    <x v="6"/>
    <s v="Pakaian Pria"/>
    <s v="3"/>
    <s v="4"/>
    <n v="150000"/>
    <n v="70000"/>
    <s v="PP002"/>
    <s v="Celana Pendek"/>
    <s v="Pakaian Pria"/>
    <s v="4"/>
    <s v="4"/>
    <n v="60000"/>
    <n v="25000"/>
    <s v="-"/>
    <s v="-"/>
    <s v="-"/>
    <n v="0"/>
    <s v="-"/>
    <n v="0"/>
    <n v="0"/>
    <n v="7"/>
    <n v="690000"/>
    <n v="310000"/>
    <s v="DISC10"/>
    <n v="0.1"/>
    <n v="69000"/>
    <n v="621000"/>
    <n v="380000"/>
    <n v="311000"/>
    <s v="Promo 4.4"/>
    <x v="0"/>
    <s v="SP"/>
    <x v="5"/>
    <x v="74"/>
  </r>
  <r>
    <n v="674"/>
    <s v="0674"/>
    <s v="ORD-SP-0674-22/03/24"/>
    <s v="[{item_code: PU001, quantity: 3, rating: 4}]"/>
    <s v="PU001"/>
    <x v="7"/>
    <s v="Pakaian Unisex"/>
    <s v="3"/>
    <s v="4"/>
    <n v="160000"/>
    <n v="60000"/>
    <s v="-"/>
    <s v="-"/>
    <s v="-"/>
    <n v="0"/>
    <s v="-"/>
    <n v="0"/>
    <n v="0"/>
    <s v="-"/>
    <s v="-"/>
    <s v="-"/>
    <n v="0"/>
    <s v="-"/>
    <n v="0"/>
    <n v="0"/>
    <n v="3"/>
    <n v="480000"/>
    <n v="180000"/>
    <s v="DISC15"/>
    <n v="0.15"/>
    <n v="72000"/>
    <n v="408000"/>
    <n v="300000"/>
    <n v="228000"/>
    <s v="Promo 4.4"/>
    <x v="0"/>
    <s v="SP"/>
    <x v="5"/>
    <x v="74"/>
  </r>
  <r>
    <n v="754"/>
    <s v="0754"/>
    <s v="ORD-SP-0754-22/03/24"/>
    <s v="[{item_code: PP003, quantity: 1, rating: 5}, {item_code: PP002, quantity: 1, rating: 4}, {item_code: SP002, quantity: 5, rating: 3}]"/>
    <s v="PP003"/>
    <x v="6"/>
    <s v="Pakaian Pria"/>
    <s v="1"/>
    <s v="5"/>
    <n v="150000"/>
    <n v="70000"/>
    <s v="PP002"/>
    <s v="Celana Pendek"/>
    <s v="Pakaian Pria"/>
    <s v="1"/>
    <s v="4"/>
    <n v="60000"/>
    <n v="25000"/>
    <s v="SP002"/>
    <s v="Sandal Slip On"/>
    <s v="Sepatu Pria"/>
    <s v="5"/>
    <s v="3"/>
    <n v="120000"/>
    <n v="60000"/>
    <n v="7"/>
    <n v="810000"/>
    <n v="395000"/>
    <s v="DISC15"/>
    <n v="0.15"/>
    <n v="121500"/>
    <n v="688500"/>
    <n v="415000"/>
    <n v="293500"/>
    <s v="Promo 4.4"/>
    <x v="0"/>
    <s v="SP"/>
    <x v="4"/>
    <x v="74"/>
  </r>
  <r>
    <n v="837"/>
    <s v="0837"/>
    <s v="ORD-TK-0837-22/03/24"/>
    <s v="[{item_code: SP002, quantity: 7, rating: 4}]"/>
    <s v="SP002"/>
    <x v="1"/>
    <s v="Sepatu Pria"/>
    <s v="7"/>
    <s v="4"/>
    <n v="120000"/>
    <n v="60000"/>
    <s v="-"/>
    <s v="-"/>
    <s v="-"/>
    <n v="0"/>
    <s v="-"/>
    <n v="0"/>
    <n v="0"/>
    <s v="-"/>
    <s v="-"/>
    <s v="-"/>
    <n v="0"/>
    <s v="-"/>
    <n v="0"/>
    <n v="0"/>
    <n v="7"/>
    <n v="840000"/>
    <n v="420000"/>
    <s v="DISCAPRIL"/>
    <n v="0.1"/>
    <n v="84000"/>
    <n v="756000"/>
    <n v="420000"/>
    <n v="336000"/>
    <s v="Promo 4.4"/>
    <x v="1"/>
    <s v="TK"/>
    <x v="3"/>
    <x v="74"/>
  </r>
  <r>
    <n v="845"/>
    <s v="0845"/>
    <s v="ORD-BB-0845-22/03/24"/>
    <s v="[{item_code: PU001, quantity: 2, rating: 3}, {item_code: PW001, quantity: 2, rating: 4}, {item_code: PP002, quantity: 1, rating: 5}]"/>
    <s v="PU001"/>
    <x v="7"/>
    <s v="Pakaian Unisex"/>
    <s v="2"/>
    <s v="3"/>
    <n v="160000"/>
    <n v="60000"/>
    <s v="PW001"/>
    <s v="Dress"/>
    <s v="Pakaian Wanita"/>
    <s v="2"/>
    <s v="4"/>
    <n v="150000"/>
    <n v="55000"/>
    <s v="PP002"/>
    <s v="Celana Pendek"/>
    <s v="Pakaian Pria"/>
    <s v="1"/>
    <s v="5"/>
    <n v="60000"/>
    <n v="25000"/>
    <n v="5"/>
    <n v="680000"/>
    <n v="255000"/>
    <s v="BELI44"/>
    <n v="0.15"/>
    <n v="102000"/>
    <n v="578000"/>
    <n v="425000"/>
    <n v="323000"/>
    <s v="Promo 4.4"/>
    <x v="3"/>
    <s v="BB"/>
    <x v="1"/>
    <x v="74"/>
  </r>
  <r>
    <n v="912"/>
    <s v="0912"/>
    <s v="ORD-TK-0912-22/03/24"/>
    <s v="[{item_code: PW002, quantity: 6, rating: 2}, {item_code: SW001, quantity: 1, rating: 5}]"/>
    <s v="PW002"/>
    <x v="4"/>
    <s v="Pakaian Wanita"/>
    <s v="6"/>
    <s v="2"/>
    <n v="125000"/>
    <n v="50000"/>
    <s v="SW001"/>
    <s v="Flat Shoes"/>
    <s v="Sepatu Wanita"/>
    <s v="1"/>
    <s v="5"/>
    <n v="150000"/>
    <n v="70000"/>
    <s v="-"/>
    <s v="-"/>
    <s v="-"/>
    <n v="0"/>
    <s v="-"/>
    <n v="0"/>
    <n v="0"/>
    <n v="7"/>
    <n v="900000"/>
    <n v="370000"/>
    <s v="LEBAR10"/>
    <n v="0.1"/>
    <n v="90000"/>
    <n v="810000"/>
    <n v="530000"/>
    <n v="440000"/>
    <s v="Promo Lebaran"/>
    <x v="1"/>
    <s v="TK"/>
    <x v="2"/>
    <x v="74"/>
  </r>
  <r>
    <n v="10"/>
    <s v="0010"/>
    <s v="ORD-SP-0010-23/03/24"/>
    <s v="[{item_code: PP002, quantity: 3, rating: 4}, {item_code: PP001, quantity: 2, rating: 5}]"/>
    <s v="PP002"/>
    <x v="5"/>
    <s v="Pakaian Pria"/>
    <s v="3"/>
    <s v="4"/>
    <n v="60000"/>
    <n v="25000"/>
    <s v="PP001"/>
    <s v="Kaos Polo"/>
    <s v="Pakaian Pria"/>
    <s v="2"/>
    <s v="5"/>
    <n v="80000"/>
    <n v="30000"/>
    <s v="-"/>
    <s v="-"/>
    <s v="-"/>
    <n v="0"/>
    <s v="-"/>
    <n v="0"/>
    <n v="0"/>
    <n v="5"/>
    <n v="340000"/>
    <n v="135000"/>
    <s v="DISC15"/>
    <n v="0.15"/>
    <n v="51000"/>
    <n v="289000"/>
    <n v="205000"/>
    <n v="154000"/>
    <s v="Promo 4.4"/>
    <x v="0"/>
    <s v="SP"/>
    <x v="1"/>
    <x v="75"/>
  </r>
  <r>
    <n v="29"/>
    <s v="0029"/>
    <s v="ORD-SP-0029-23/03/24"/>
    <s v="[{item_code: PW003, quantity: 1, rating: 1}]"/>
    <s v="PW003"/>
    <x v="3"/>
    <s v="Pakaian Wanita"/>
    <s v="1"/>
    <s v="1"/>
    <n v="200000"/>
    <n v="100000"/>
    <s v="-"/>
    <s v="-"/>
    <s v="-"/>
    <n v="0"/>
    <s v="-"/>
    <n v="0"/>
    <n v="0"/>
    <s v="-"/>
    <s v="-"/>
    <s v="-"/>
    <n v="0"/>
    <s v="-"/>
    <n v="0"/>
    <n v="0"/>
    <n v="1"/>
    <n v="200000"/>
    <n v="100000"/>
    <s v="DISC20"/>
    <n v="0.2"/>
    <n v="40000"/>
    <n v="160000"/>
    <n v="100000"/>
    <n v="60000"/>
    <s v="Promo Lebaran"/>
    <x v="0"/>
    <s v="SP"/>
    <x v="3"/>
    <x v="75"/>
  </r>
  <r>
    <n v="379"/>
    <s v="0379"/>
    <s v="ORD-SP-0379-23/03/24"/>
    <s v="[{item_code: SW001, quantity: 1, rating: 3}, {item_code: PP002, quantity: 2, rating: 1}, {item_code: PW002, quantity: 4, rating: 4}]"/>
    <s v="SW001"/>
    <x v="8"/>
    <s v="Sepatu Wanita"/>
    <s v="1"/>
    <s v="3"/>
    <n v="150000"/>
    <n v="70000"/>
    <s v="PP002"/>
    <s v="Celana Pendek"/>
    <s v="Pakaian Pria"/>
    <s v="2"/>
    <s v="1"/>
    <n v="60000"/>
    <n v="25000"/>
    <s v="PW002"/>
    <s v="Blouse"/>
    <s v="Pakaian Wanita"/>
    <s v="4"/>
    <s v="4"/>
    <n v="125000"/>
    <n v="50000"/>
    <n v="7"/>
    <n v="770000"/>
    <n v="320000"/>
    <s v="DISC20"/>
    <n v="0.2"/>
    <n v="154000"/>
    <n v="616000"/>
    <n v="450000"/>
    <n v="296000"/>
    <s v="Promo Lebaran"/>
    <x v="0"/>
    <s v="SP"/>
    <x v="1"/>
    <x v="75"/>
  </r>
  <r>
    <n v="141"/>
    <s v="0141"/>
    <s v="ORD-BB-0141-24/03/24"/>
    <s v="[{item_code: PU001, quantity: 2, rating: 1}, {item_code: SW001, quantity: 1, rating: 2}]"/>
    <s v="PU001"/>
    <x v="7"/>
    <s v="Pakaian Unisex"/>
    <s v="2"/>
    <s v="1"/>
    <n v="160000"/>
    <n v="60000"/>
    <s v="SW001"/>
    <s v="Flat Shoes"/>
    <s v="Sepatu Wanita"/>
    <s v="1"/>
    <s v="2"/>
    <n v="150000"/>
    <n v="70000"/>
    <s v="-"/>
    <s v="-"/>
    <s v="-"/>
    <n v="0"/>
    <s v="-"/>
    <n v="0"/>
    <n v="0"/>
    <n v="3"/>
    <n v="470000"/>
    <n v="190000"/>
    <s v="BELI44"/>
    <n v="0.15"/>
    <n v="70500"/>
    <n v="399500"/>
    <n v="280000"/>
    <n v="209500"/>
    <s v="Promo 4.4"/>
    <x v="3"/>
    <s v="BB"/>
    <x v="2"/>
    <x v="76"/>
  </r>
  <r>
    <n v="600"/>
    <s v="0600"/>
    <s v="ORD-TK-0600-24/03/24"/>
    <s v="[{item_code: PP002, quantity: 1, rating: 1}]"/>
    <s v="PP002"/>
    <x v="5"/>
    <s v="Pakaian Pria"/>
    <s v="1"/>
    <s v="1"/>
    <n v="60000"/>
    <n v="25000"/>
    <s v="-"/>
    <s v="-"/>
    <s v="-"/>
    <n v="0"/>
    <s v="-"/>
    <n v="0"/>
    <n v="0"/>
    <s v="-"/>
    <s v="-"/>
    <s v="-"/>
    <n v="0"/>
    <s v="-"/>
    <n v="0"/>
    <n v="0"/>
    <n v="1"/>
    <n v="60000"/>
    <n v="25000"/>
    <s v="DISCAPRIL"/>
    <n v="0.1"/>
    <n v="6000"/>
    <n v="54000"/>
    <n v="35000"/>
    <n v="29000"/>
    <s v="Promo 4.4"/>
    <x v="1"/>
    <s v="TK"/>
    <x v="3"/>
    <x v="76"/>
  </r>
  <r>
    <n v="757"/>
    <s v="0757"/>
    <s v="ORD-BB-0757-24/03/24"/>
    <s v="[{item_code: PW003, quantity: 3, rating: 2}, {item_code: PP003, quantity: 1, rating: 4}]"/>
    <s v="PW003"/>
    <x v="3"/>
    <s v="Pakaian Wanita"/>
    <s v="3"/>
    <s v="2"/>
    <n v="200000"/>
    <n v="100000"/>
    <s v="PP003"/>
    <s v="Jaket Jeans"/>
    <s v="Pakaian Pria"/>
    <s v="1"/>
    <s v="4"/>
    <n v="150000"/>
    <n v="70000"/>
    <s v="-"/>
    <s v="-"/>
    <s v="-"/>
    <n v="0"/>
    <s v="-"/>
    <n v="0"/>
    <n v="0"/>
    <n v="4"/>
    <n v="750000"/>
    <n v="370000"/>
    <s v="BELI44"/>
    <n v="0.15"/>
    <n v="112500"/>
    <n v="637500"/>
    <n v="380000"/>
    <n v="267500"/>
    <s v="Promo 4.4"/>
    <x v="3"/>
    <s v="BB"/>
    <x v="3"/>
    <x v="76"/>
  </r>
  <r>
    <n v="174"/>
    <s v="0174"/>
    <s v="ORD-SP-0174-25/03/24"/>
    <s v="[{item_code: PU001, quantity: 1, rating: 2}]"/>
    <s v="PU001"/>
    <x v="7"/>
    <s v="Pakaian Unisex"/>
    <s v="1"/>
    <s v="2"/>
    <n v="160000"/>
    <n v="60000"/>
    <s v="-"/>
    <s v="-"/>
    <s v="-"/>
    <n v="0"/>
    <s v="-"/>
    <n v="0"/>
    <n v="0"/>
    <s v="-"/>
    <s v="-"/>
    <s v="-"/>
    <n v="0"/>
    <s v="-"/>
    <n v="0"/>
    <n v="0"/>
    <n v="1"/>
    <n v="160000"/>
    <n v="60000"/>
    <s v="DISC20"/>
    <n v="0.2"/>
    <n v="32000"/>
    <n v="128000"/>
    <n v="100000"/>
    <n v="68000"/>
    <s v="Promo Lebaran"/>
    <x v="0"/>
    <s v="SP"/>
    <x v="3"/>
    <x v="77"/>
  </r>
  <r>
    <n v="242"/>
    <s v="0242"/>
    <s v="ORD-SP-0242-25/03/24"/>
    <s v="[{item_code: PP001, quantity: 3, rating: 5}]"/>
    <s v="PP001"/>
    <x v="0"/>
    <s v="Pakaian Pria"/>
    <s v="3"/>
    <s v="5"/>
    <n v="80000"/>
    <n v="30000"/>
    <s v="-"/>
    <s v="-"/>
    <s v="-"/>
    <n v="0"/>
    <s v="-"/>
    <n v="0"/>
    <n v="0"/>
    <s v="-"/>
    <s v="-"/>
    <s v="-"/>
    <n v="0"/>
    <s v="-"/>
    <n v="0"/>
    <n v="0"/>
    <n v="3"/>
    <n v="240000"/>
    <n v="90000"/>
    <s v="-"/>
    <n v="0"/>
    <n v="0"/>
    <n v="240000"/>
    <n v="150000"/>
    <n v="150000"/>
    <s v="-"/>
    <x v="0"/>
    <s v="SP"/>
    <x v="3"/>
    <x v="77"/>
  </r>
  <r>
    <n v="712"/>
    <s v="0712"/>
    <s v="ORD-BB-0712-25/03/24"/>
    <s v="[{item_code: SP001, quantity: 4, rating: 5}]"/>
    <s v="SP001"/>
    <x v="9"/>
    <s v="Sepatu Pria"/>
    <s v="4"/>
    <s v="5"/>
    <n v="300000"/>
    <n v="100000"/>
    <s v="-"/>
    <s v="-"/>
    <s v="-"/>
    <n v="0"/>
    <s v="-"/>
    <n v="0"/>
    <n v="0"/>
    <s v="-"/>
    <s v="-"/>
    <s v="-"/>
    <n v="0"/>
    <s v="-"/>
    <n v="0"/>
    <n v="0"/>
    <n v="4"/>
    <n v="1200000"/>
    <n v="400000"/>
    <s v="BELI44"/>
    <n v="0.15"/>
    <n v="180000"/>
    <n v="1020000"/>
    <n v="800000"/>
    <n v="620000"/>
    <s v="Promo 4.4"/>
    <x v="3"/>
    <s v="BB"/>
    <x v="3"/>
    <x v="77"/>
  </r>
  <r>
    <n v="114"/>
    <s v="0114"/>
    <s v="ORD-TK-0114-26/03/24"/>
    <s v="[{item_code: PU001, quantity: 2, rating: 3}]"/>
    <s v="PU001"/>
    <x v="7"/>
    <s v="Pakaian Unisex"/>
    <s v="2"/>
    <s v="3"/>
    <n v="160000"/>
    <n v="60000"/>
    <s v="-"/>
    <s v="-"/>
    <s v="-"/>
    <n v="0"/>
    <s v="-"/>
    <n v="0"/>
    <n v="0"/>
    <s v="-"/>
    <s v="-"/>
    <s v="-"/>
    <n v="0"/>
    <s v="-"/>
    <n v="0"/>
    <n v="0"/>
    <n v="2"/>
    <n v="320000"/>
    <n v="120000"/>
    <s v="DISCAPRIL"/>
    <n v="0.1"/>
    <n v="32000"/>
    <n v="288000"/>
    <n v="200000"/>
    <n v="168000"/>
    <s v="Promo 4.4"/>
    <x v="1"/>
    <s v="TK"/>
    <x v="1"/>
    <x v="78"/>
  </r>
  <r>
    <n v="503"/>
    <s v="0503"/>
    <s v="ORD-BL-0503-26/03/24"/>
    <s v="[{item_code: SP001, quantity: 3, rating: 1}]"/>
    <s v="SP001"/>
    <x v="9"/>
    <s v="Sepatu Pria"/>
    <s v="3"/>
    <s v="1"/>
    <n v="300000"/>
    <n v="100000"/>
    <s v="-"/>
    <s v="-"/>
    <s v="-"/>
    <n v="0"/>
    <s v="-"/>
    <n v="0"/>
    <n v="0"/>
    <s v="-"/>
    <s v="-"/>
    <s v="-"/>
    <n v="0"/>
    <s v="-"/>
    <n v="0"/>
    <n v="0"/>
    <n v="3"/>
    <n v="900000"/>
    <n v="300000"/>
    <s v="BUKALEBAR"/>
    <n v="0.15"/>
    <n v="135000"/>
    <n v="765000"/>
    <n v="600000"/>
    <n v="465000"/>
    <s v="Promo Lebaran"/>
    <x v="2"/>
    <s v="BL"/>
    <x v="3"/>
    <x v="78"/>
  </r>
  <r>
    <n v="68"/>
    <s v="0068"/>
    <s v="ORD-SP-0068-27/03/24"/>
    <s v="[{item_code: PW002, quantity: 2, rating: 3}]"/>
    <s v="PW002"/>
    <x v="4"/>
    <s v="Pakaian Wanita"/>
    <s v="2"/>
    <s v="3"/>
    <n v="125000"/>
    <n v="50000"/>
    <s v="-"/>
    <s v="-"/>
    <s v="-"/>
    <n v="0"/>
    <s v="-"/>
    <n v="0"/>
    <n v="0"/>
    <s v="-"/>
    <s v="-"/>
    <s v="-"/>
    <n v="0"/>
    <s v="-"/>
    <n v="0"/>
    <n v="0"/>
    <n v="2"/>
    <n v="250000"/>
    <n v="100000"/>
    <s v="DISC15"/>
    <n v="0.15"/>
    <n v="37500"/>
    <n v="212500"/>
    <n v="150000"/>
    <n v="112500"/>
    <s v="Promo 4.4"/>
    <x v="0"/>
    <s v="SP"/>
    <x v="2"/>
    <x v="79"/>
  </r>
  <r>
    <n v="521"/>
    <s v="0521"/>
    <s v="ORD-SP-0521-27/03/24"/>
    <s v="[{item_code: SP002, quantity: 2, rating: 3}, {item_code: PW002, quantity: 1, rating: 5}]"/>
    <s v="SP002"/>
    <x v="1"/>
    <s v="Sepatu Pria"/>
    <s v="2"/>
    <s v="3"/>
    <n v="120000"/>
    <n v="60000"/>
    <s v="PW002"/>
    <s v="Blouse"/>
    <s v="Pakaian Wanita"/>
    <s v="1"/>
    <s v="5"/>
    <n v="125000"/>
    <n v="50000"/>
    <s v="-"/>
    <s v="-"/>
    <s v="-"/>
    <n v="0"/>
    <s v="-"/>
    <n v="0"/>
    <n v="0"/>
    <n v="3"/>
    <n v="365000"/>
    <n v="170000"/>
    <s v="DISC10"/>
    <n v="0.1"/>
    <n v="36500"/>
    <n v="328500"/>
    <n v="195000"/>
    <n v="158500"/>
    <s v="Promo 4.4"/>
    <x v="0"/>
    <s v="SP"/>
    <x v="2"/>
    <x v="79"/>
  </r>
  <r>
    <n v="981"/>
    <s v="0981"/>
    <s v="ORD-SP-0981-27/03/24"/>
    <s v="[{item_code: PW001, quantity: 1, rating: 4}]"/>
    <s v="PW001"/>
    <x v="2"/>
    <s v="Pakaian Wanita"/>
    <s v="1"/>
    <s v="4"/>
    <n v="150000"/>
    <n v="55000"/>
    <s v="-"/>
    <s v="-"/>
    <s v="-"/>
    <n v="0"/>
    <s v="-"/>
    <n v="0"/>
    <n v="0"/>
    <s v="-"/>
    <s v="-"/>
    <s v="-"/>
    <n v="0"/>
    <s v="-"/>
    <n v="0"/>
    <n v="0"/>
    <n v="1"/>
    <n v="150000"/>
    <n v="55000"/>
    <s v="DISC10"/>
    <n v="0.1"/>
    <n v="15000"/>
    <n v="135000"/>
    <n v="95000"/>
    <n v="80000"/>
    <s v="Promo 4.4"/>
    <x v="0"/>
    <s v="SP"/>
    <x v="2"/>
    <x v="79"/>
  </r>
  <r>
    <n v="125"/>
    <s v="0125"/>
    <s v="ORD-SP-0125-28/03/24"/>
    <s v="[{item_code: SP001, quantity: 1, rating: 5}, {item_code: SW001, quantity: 1, rating: 4}]"/>
    <s v="SP001"/>
    <x v="9"/>
    <s v="Sepatu Pria"/>
    <s v="1"/>
    <s v="5"/>
    <n v="300000"/>
    <n v="100000"/>
    <s v="SW001"/>
    <s v="Flat Shoes"/>
    <s v="Sepatu Wanita"/>
    <s v="1"/>
    <s v="4"/>
    <n v="150000"/>
    <n v="70000"/>
    <s v="-"/>
    <s v="-"/>
    <s v="-"/>
    <n v="0"/>
    <s v="-"/>
    <n v="0"/>
    <n v="0"/>
    <n v="2"/>
    <n v="450000"/>
    <n v="170000"/>
    <s v="DISC10"/>
    <n v="0.1"/>
    <n v="45000"/>
    <n v="405000"/>
    <n v="280000"/>
    <n v="235000"/>
    <s v="Promo 4.4"/>
    <x v="0"/>
    <s v="SP"/>
    <x v="3"/>
    <x v="80"/>
  </r>
  <r>
    <n v="802"/>
    <s v="0802"/>
    <s v="ORD-BB-0802-28/03/24"/>
    <s v="[{item_code: PW002, quantity: 3, rating: 2}]"/>
    <s v="PW002"/>
    <x v="4"/>
    <s v="Pakaian Wanita"/>
    <s v="3"/>
    <s v="2"/>
    <n v="125000"/>
    <n v="50000"/>
    <s v="-"/>
    <s v="-"/>
    <s v="-"/>
    <n v="0"/>
    <s v="-"/>
    <n v="0"/>
    <n v="0"/>
    <s v="-"/>
    <s v="-"/>
    <s v="-"/>
    <n v="0"/>
    <s v="-"/>
    <n v="0"/>
    <n v="0"/>
    <n v="3"/>
    <n v="375000"/>
    <n v="150000"/>
    <s v="-"/>
    <n v="0"/>
    <n v="0"/>
    <n v="375000"/>
    <n v="225000"/>
    <n v="225000"/>
    <s v="-"/>
    <x v="3"/>
    <s v="BB"/>
    <x v="3"/>
    <x v="80"/>
  </r>
  <r>
    <n v="857"/>
    <s v="0857"/>
    <s v="ORD-TK-0857-28/03/24"/>
    <s v="[{item_code: PP002, quantity: 5, rating: 1}, {item_code: PP001, quantity: 1, rating: 5}, {item_code: PP003, quantity: 1, rating: 3}]"/>
    <s v="PP002"/>
    <x v="5"/>
    <s v="Pakaian Pria"/>
    <s v="5"/>
    <s v="1"/>
    <n v="60000"/>
    <n v="25000"/>
    <s v="PP001"/>
    <s v="Kaos Polo"/>
    <s v="Pakaian Pria"/>
    <s v="1"/>
    <s v="5"/>
    <n v="80000"/>
    <n v="30000"/>
    <s v="PP003"/>
    <s v="Jaket Jeans"/>
    <s v="Pakaian Pria"/>
    <s v="1"/>
    <s v="3"/>
    <n v="150000"/>
    <n v="70000"/>
    <n v="7"/>
    <n v="530000"/>
    <n v="225000"/>
    <s v="LEBAR10"/>
    <n v="0.1"/>
    <n v="53000"/>
    <n v="477000"/>
    <n v="305000"/>
    <n v="252000"/>
    <s v="Promo Lebaran"/>
    <x v="1"/>
    <s v="TK"/>
    <x v="3"/>
    <x v="80"/>
  </r>
  <r>
    <n v="108"/>
    <s v="0108"/>
    <s v="ORD-BB-0108-29/03/24"/>
    <s v="[{item_code: PU001, quantity: 7, rating: 4}]"/>
    <s v="PU001"/>
    <x v="7"/>
    <s v="Pakaian Unisex"/>
    <s v="7"/>
    <s v="4"/>
    <n v="160000"/>
    <n v="60000"/>
    <s v="-"/>
    <s v="-"/>
    <s v="-"/>
    <n v="0"/>
    <s v="-"/>
    <n v="0"/>
    <n v="0"/>
    <s v="-"/>
    <s v="-"/>
    <s v="-"/>
    <n v="0"/>
    <s v="-"/>
    <n v="0"/>
    <n v="0"/>
    <n v="7"/>
    <n v="1120000"/>
    <n v="420000"/>
    <s v="BELI44"/>
    <n v="0.15"/>
    <n v="168000"/>
    <n v="952000"/>
    <n v="700000"/>
    <n v="532000"/>
    <s v="Promo 4.4"/>
    <x v="3"/>
    <s v="BB"/>
    <x v="3"/>
    <x v="81"/>
  </r>
  <r>
    <n v="313"/>
    <s v="0313"/>
    <s v="ORD-TK-0313-29/03/24"/>
    <s v="[{item_code: SP002, quantity: 4, rating: 5}]"/>
    <s v="SP002"/>
    <x v="1"/>
    <s v="Sepatu Pria"/>
    <s v="4"/>
    <s v="5"/>
    <n v="120000"/>
    <n v="60000"/>
    <s v="-"/>
    <s v="-"/>
    <s v="-"/>
    <n v="0"/>
    <s v="-"/>
    <n v="0"/>
    <n v="0"/>
    <s v="-"/>
    <s v="-"/>
    <s v="-"/>
    <n v="0"/>
    <s v="-"/>
    <n v="0"/>
    <n v="0"/>
    <n v="4"/>
    <n v="480000"/>
    <n v="240000"/>
    <s v="LEBAR10"/>
    <n v="0.1"/>
    <n v="48000"/>
    <n v="432000"/>
    <n v="240000"/>
    <n v="192000"/>
    <s v="Promo Lebaran"/>
    <x v="1"/>
    <s v="TK"/>
    <x v="2"/>
    <x v="81"/>
  </r>
  <r>
    <n v="445"/>
    <s v="0445"/>
    <s v="ORD-BB-0445-29/03/24"/>
    <s v="[{item_code: PP001, quantity: 1, rating: 5}]"/>
    <s v="PP001"/>
    <x v="0"/>
    <s v="Pakaian Pria"/>
    <s v="1"/>
    <s v="5"/>
    <n v="80000"/>
    <n v="30000"/>
    <s v="-"/>
    <s v="-"/>
    <s v="-"/>
    <n v="0"/>
    <s v="-"/>
    <n v="0"/>
    <n v="0"/>
    <s v="-"/>
    <s v="-"/>
    <s v="-"/>
    <n v="0"/>
    <s v="-"/>
    <n v="0"/>
    <n v="0"/>
    <n v="1"/>
    <n v="80000"/>
    <n v="30000"/>
    <s v="BELI44"/>
    <n v="0.15"/>
    <n v="12000"/>
    <n v="68000"/>
    <n v="50000"/>
    <n v="38000"/>
    <s v="Promo 4.4"/>
    <x v="3"/>
    <s v="BB"/>
    <x v="5"/>
    <x v="81"/>
  </r>
  <r>
    <n v="608"/>
    <s v="0608"/>
    <s v="ORD-BL-0608-29/03/24"/>
    <s v="[{item_code: PP002, quantity: 1, rating: 5}, {item_code: PP001, quantity: 1, rating: 2}, {item_code: PP002, quantity: 1, rating: 4}]"/>
    <s v="PP002"/>
    <x v="5"/>
    <s v="Pakaian Pria"/>
    <s v="1"/>
    <s v="5"/>
    <n v="60000"/>
    <n v="25000"/>
    <s v="PP001"/>
    <s v="Kaos Polo"/>
    <s v="Pakaian Pria"/>
    <s v="1"/>
    <s v="2"/>
    <n v="80000"/>
    <n v="30000"/>
    <s v="PP002"/>
    <s v="Celana Pendek"/>
    <s v="Pakaian Pria"/>
    <s v="1"/>
    <s v="4"/>
    <n v="60000"/>
    <n v="25000"/>
    <n v="3"/>
    <n v="200000"/>
    <n v="80000"/>
    <s v="BUKALEBAR"/>
    <n v="0.15"/>
    <n v="30000"/>
    <n v="170000"/>
    <n v="120000"/>
    <n v="90000"/>
    <s v="Promo Lebaran"/>
    <x v="2"/>
    <s v="BL"/>
    <x v="2"/>
    <x v="81"/>
  </r>
  <r>
    <n v="941"/>
    <s v="0941"/>
    <s v="ORD-TK-0941-29/03/24"/>
    <s v="[{item_code: PP002, quantity: 6, rating: 3}, {item_code: PW003, quantity: 1, rating: 3}]"/>
    <s v="PP002"/>
    <x v="5"/>
    <s v="Pakaian Pria"/>
    <s v="6"/>
    <s v="3"/>
    <n v="60000"/>
    <n v="25000"/>
    <s v="PW003"/>
    <s v="Kaftan"/>
    <s v="Pakaian Wanita"/>
    <s v="1"/>
    <s v="3"/>
    <n v="200000"/>
    <n v="100000"/>
    <s v="-"/>
    <s v="-"/>
    <s v="-"/>
    <n v="0"/>
    <s v="-"/>
    <n v="0"/>
    <n v="0"/>
    <n v="7"/>
    <n v="560000"/>
    <n v="250000"/>
    <s v="-"/>
    <n v="0"/>
    <n v="0"/>
    <n v="560000"/>
    <n v="310000"/>
    <n v="310000"/>
    <s v="-"/>
    <x v="1"/>
    <s v="TK"/>
    <x v="1"/>
    <x v="81"/>
  </r>
  <r>
    <n v="77"/>
    <s v="0077"/>
    <s v="ORD-TK-0077-30/03/24"/>
    <s v="[{item_code: PP002, quantity: 5, rating: 5}, {item_code: PW003, quantity: 1, rating: 4}, {item_code: PP001, quantity: 1, rating: 3}]"/>
    <s v="PP002"/>
    <x v="5"/>
    <s v="Pakaian Pria"/>
    <s v="5"/>
    <s v="5"/>
    <n v="60000"/>
    <n v="25000"/>
    <s v="PW003"/>
    <s v="Kaftan"/>
    <s v="Pakaian Wanita"/>
    <s v="1"/>
    <s v="4"/>
    <n v="200000"/>
    <n v="100000"/>
    <s v="PP001"/>
    <s v="Kaos Polo"/>
    <s v="Pakaian Pria"/>
    <s v="1"/>
    <s v="3"/>
    <n v="80000"/>
    <n v="30000"/>
    <n v="7"/>
    <n v="580000"/>
    <n v="255000"/>
    <s v="LEBAR10"/>
    <n v="0.1"/>
    <n v="58000"/>
    <n v="522000"/>
    <n v="325000"/>
    <n v="267000"/>
    <s v="Promo Lebaran"/>
    <x v="1"/>
    <s v="TK"/>
    <x v="4"/>
    <x v="82"/>
  </r>
  <r>
    <n v="335"/>
    <s v="0335"/>
    <s v="ORD-SP-0335-31/03/24"/>
    <s v="[{item_code: PP003, quantity: 2, rating: 2}, {item_code: PW002, quantity: 1, rating: 2}]"/>
    <s v="PP003"/>
    <x v="6"/>
    <s v="Pakaian Pria"/>
    <s v="2"/>
    <s v="2"/>
    <n v="150000"/>
    <n v="70000"/>
    <s v="PW002"/>
    <s v="Blouse"/>
    <s v="Pakaian Wanita"/>
    <s v="1"/>
    <s v="2"/>
    <n v="125000"/>
    <n v="50000"/>
    <s v="-"/>
    <s v="-"/>
    <s v="-"/>
    <n v="0"/>
    <s v="-"/>
    <n v="0"/>
    <n v="0"/>
    <n v="3"/>
    <n v="425000"/>
    <n v="190000"/>
    <s v="DISC20"/>
    <n v="0.2"/>
    <n v="85000"/>
    <n v="340000"/>
    <n v="235000"/>
    <n v="150000"/>
    <s v="Promo Lebaran"/>
    <x v="0"/>
    <s v="SP"/>
    <x v="2"/>
    <x v="83"/>
  </r>
  <r>
    <n v="623"/>
    <s v="0623"/>
    <s v="ORD-SP-0623-01/04/24"/>
    <s v="[{item_code: PW003, quantity: 6, rating: 1}, {item_code: SP001, quantity: 1, rating: 5}]"/>
    <s v="PW003"/>
    <x v="3"/>
    <s v="Pakaian Wanita"/>
    <s v="6"/>
    <s v="1"/>
    <n v="200000"/>
    <n v="100000"/>
    <s v="SP001"/>
    <s v="Sneakers"/>
    <s v="Sepatu Pria"/>
    <s v="1"/>
    <s v="5"/>
    <n v="300000"/>
    <n v="100000"/>
    <s v="-"/>
    <s v="-"/>
    <s v="-"/>
    <n v="0"/>
    <s v="-"/>
    <n v="0"/>
    <n v="0"/>
    <n v="7"/>
    <n v="1500000"/>
    <n v="700000"/>
    <s v="DISC15"/>
    <n v="0.15"/>
    <n v="225000"/>
    <n v="1275000"/>
    <n v="800000"/>
    <n v="575000"/>
    <s v="Promo 4.4"/>
    <x v="0"/>
    <s v="SP"/>
    <x v="3"/>
    <x v="84"/>
  </r>
  <r>
    <n v="663"/>
    <s v="0663"/>
    <s v="ORD-TK-0663-01/04/24"/>
    <s v="[{item_code: SP002, quantity: 3, rating: 4}, {item_code: PP003, quantity: 1, rating: 2}]"/>
    <s v="SP002"/>
    <x v="1"/>
    <s v="Sepatu Pria"/>
    <s v="3"/>
    <s v="4"/>
    <n v="120000"/>
    <n v="60000"/>
    <s v="PP003"/>
    <s v="Jaket Jeans"/>
    <s v="Pakaian Pria"/>
    <s v="1"/>
    <s v="2"/>
    <n v="150000"/>
    <n v="70000"/>
    <s v="-"/>
    <s v="-"/>
    <s v="-"/>
    <n v="0"/>
    <s v="-"/>
    <n v="0"/>
    <n v="0"/>
    <n v="4"/>
    <n v="510000"/>
    <n v="250000"/>
    <s v="LEBAR10"/>
    <n v="0.1"/>
    <n v="51000"/>
    <n v="459000"/>
    <n v="260000"/>
    <n v="209000"/>
    <s v="Promo Lebaran"/>
    <x v="1"/>
    <s v="TK"/>
    <x v="3"/>
    <x v="84"/>
  </r>
  <r>
    <n v="57"/>
    <s v="0057"/>
    <s v="ORD-SP-0057-02/04/24"/>
    <s v="[{item_code: SW001, quantity: 2, rating: 2}]"/>
    <s v="SW001"/>
    <x v="8"/>
    <s v="Sepatu Wanita"/>
    <s v="2"/>
    <s v="2"/>
    <n v="150000"/>
    <n v="70000"/>
    <s v="-"/>
    <s v="-"/>
    <s v="-"/>
    <n v="0"/>
    <s v="-"/>
    <n v="0"/>
    <n v="0"/>
    <s v="-"/>
    <s v="-"/>
    <s v="-"/>
    <n v="0"/>
    <s v="-"/>
    <n v="0"/>
    <n v="0"/>
    <n v="2"/>
    <n v="300000"/>
    <n v="140000"/>
    <s v="DISC10"/>
    <n v="0.1"/>
    <n v="30000"/>
    <n v="270000"/>
    <n v="160000"/>
    <n v="130000"/>
    <s v="Promo 4.4"/>
    <x v="0"/>
    <s v="SP"/>
    <x v="0"/>
    <x v="85"/>
  </r>
  <r>
    <n v="278"/>
    <s v="0278"/>
    <s v="ORD-BL-0278-02/04/24"/>
    <s v="[{item_code: PP002, quantity: 5, rating: 3}, {item_code: PP001, quantity: 1, rating: 1}]"/>
    <s v="PP002"/>
    <x v="5"/>
    <s v="Pakaian Pria"/>
    <s v="5"/>
    <s v="3"/>
    <n v="60000"/>
    <n v="25000"/>
    <s v="PP001"/>
    <s v="Kaos Polo"/>
    <s v="Pakaian Pria"/>
    <s v="1"/>
    <s v="1"/>
    <n v="80000"/>
    <n v="30000"/>
    <s v="-"/>
    <s v="-"/>
    <s v="-"/>
    <n v="0"/>
    <s v="-"/>
    <n v="0"/>
    <n v="0"/>
    <n v="6"/>
    <n v="380000"/>
    <n v="155000"/>
    <s v="BUKALEBAR"/>
    <n v="0.15"/>
    <n v="57000"/>
    <n v="323000"/>
    <n v="225000"/>
    <n v="168000"/>
    <s v="Promo Lebaran"/>
    <x v="2"/>
    <s v="BL"/>
    <x v="3"/>
    <x v="85"/>
  </r>
  <r>
    <n v="529"/>
    <s v="0529"/>
    <s v="ORD-SP-0529-02/04/24"/>
    <s v="[{item_code: PP003, quantity: 2, rating: 4}]"/>
    <s v="PP003"/>
    <x v="6"/>
    <s v="Pakaian Pria"/>
    <s v="2"/>
    <s v="4"/>
    <n v="150000"/>
    <n v="70000"/>
    <s v="-"/>
    <s v="-"/>
    <s v="-"/>
    <n v="0"/>
    <s v="-"/>
    <n v="0"/>
    <n v="0"/>
    <s v="-"/>
    <s v="-"/>
    <s v="-"/>
    <n v="0"/>
    <s v="-"/>
    <n v="0"/>
    <n v="0"/>
    <n v="2"/>
    <n v="300000"/>
    <n v="140000"/>
    <s v="DISC15"/>
    <n v="0.15"/>
    <n v="45000"/>
    <n v="255000"/>
    <n v="160000"/>
    <n v="115000"/>
    <s v="Promo 4.4"/>
    <x v="0"/>
    <s v="SP"/>
    <x v="0"/>
    <x v="85"/>
  </r>
  <r>
    <n v="120"/>
    <s v="0120"/>
    <s v="ORD-BL-0120-04/04/24"/>
    <s v="[{item_code: PU001, quantity: 2, rating: 1}, {item_code: PW001, quantity: 2, rating: 5}, {item_code: SP002, quantity: 3, rating: 3}]"/>
    <s v="PU001"/>
    <x v="7"/>
    <s v="Pakaian Unisex"/>
    <s v="2"/>
    <s v="1"/>
    <n v="160000"/>
    <n v="60000"/>
    <s v="PW001"/>
    <s v="Dress"/>
    <s v="Pakaian Wanita"/>
    <s v="2"/>
    <s v="5"/>
    <n v="150000"/>
    <n v="55000"/>
    <s v="SP002"/>
    <s v="Sandal Slip On"/>
    <s v="Sepatu Pria"/>
    <s v="3"/>
    <s v="3"/>
    <n v="120000"/>
    <n v="60000"/>
    <n v="7"/>
    <n v="980000"/>
    <n v="410000"/>
    <s v="BUKALEBAR"/>
    <n v="0.15"/>
    <n v="147000"/>
    <n v="833000"/>
    <n v="570000"/>
    <n v="423000"/>
    <s v="Promo Lebaran"/>
    <x v="2"/>
    <s v="BL"/>
    <x v="1"/>
    <x v="86"/>
  </r>
  <r>
    <n v="385"/>
    <s v="0385"/>
    <s v="ORD-SP-0385-04/04/24"/>
    <s v="[{item_code: PP002, quantity: 2, rating: 1}]"/>
    <s v="PP002"/>
    <x v="5"/>
    <s v="Pakaian Pria"/>
    <s v="2"/>
    <s v="1"/>
    <n v="60000"/>
    <n v="25000"/>
    <s v="-"/>
    <s v="-"/>
    <s v="-"/>
    <n v="0"/>
    <s v="-"/>
    <n v="0"/>
    <n v="0"/>
    <s v="-"/>
    <s v="-"/>
    <s v="-"/>
    <n v="0"/>
    <s v="-"/>
    <n v="0"/>
    <n v="0"/>
    <n v="2"/>
    <n v="120000"/>
    <n v="50000"/>
    <s v="-"/>
    <n v="0"/>
    <n v="0"/>
    <n v="120000"/>
    <n v="70000"/>
    <n v="70000"/>
    <s v="-"/>
    <x v="0"/>
    <s v="SP"/>
    <x v="5"/>
    <x v="86"/>
  </r>
  <r>
    <n v="107"/>
    <s v="0107"/>
    <s v="ORD-BL-0107-06/04/24"/>
    <s v="[{item_code: PW001, quantity: 1, rating: 5}, {item_code: PU001, quantity: 1, rating: 3}]"/>
    <s v="PW001"/>
    <x v="2"/>
    <s v="Pakaian Wanita"/>
    <s v="1"/>
    <s v="5"/>
    <n v="150000"/>
    <n v="55000"/>
    <s v="PU001"/>
    <s v="Jaket Hoodie"/>
    <s v="Pakaian Unisex"/>
    <s v="1"/>
    <s v="3"/>
    <n v="160000"/>
    <n v="60000"/>
    <s v="-"/>
    <s v="-"/>
    <s v="-"/>
    <n v="0"/>
    <s v="-"/>
    <n v="0"/>
    <n v="0"/>
    <n v="2"/>
    <n v="310000"/>
    <n v="115000"/>
    <s v="BUKALEBAR"/>
    <n v="0.15"/>
    <n v="46500"/>
    <n v="263500"/>
    <n v="195000"/>
    <n v="148500"/>
    <s v="Promo Lebaran"/>
    <x v="2"/>
    <s v="BL"/>
    <x v="5"/>
    <x v="87"/>
  </r>
  <r>
    <n v="218"/>
    <s v="0218"/>
    <s v="ORD-SP-0218-06/04/24"/>
    <s v="[{item_code: SP002, quantity: 3, rating: 1}, {item_code: PP002, quantity: 2, rating: 4}]"/>
    <s v="SP002"/>
    <x v="1"/>
    <s v="Sepatu Pria"/>
    <s v="3"/>
    <s v="1"/>
    <n v="120000"/>
    <n v="60000"/>
    <s v="PP002"/>
    <s v="Celana Pendek"/>
    <s v="Pakaian Pria"/>
    <s v="2"/>
    <s v="4"/>
    <n v="60000"/>
    <n v="25000"/>
    <s v="-"/>
    <s v="-"/>
    <s v="-"/>
    <n v="0"/>
    <s v="-"/>
    <n v="0"/>
    <n v="0"/>
    <n v="5"/>
    <n v="480000"/>
    <n v="230000"/>
    <s v="DISC15"/>
    <n v="0.15"/>
    <n v="72000"/>
    <n v="408000"/>
    <n v="250000"/>
    <n v="178000"/>
    <s v="Promo 4.4"/>
    <x v="0"/>
    <s v="SP"/>
    <x v="2"/>
    <x v="87"/>
  </r>
  <r>
    <n v="253"/>
    <s v="0253"/>
    <s v="ORD-TK-0253-06/04/24"/>
    <s v="[{item_code: SP001, quantity: 4, rating: 1}, {item_code: SP002, quantity: 2, rating: 5}]"/>
    <s v="SP001"/>
    <x v="9"/>
    <s v="Sepatu Pria"/>
    <s v="4"/>
    <s v="1"/>
    <n v="300000"/>
    <n v="100000"/>
    <s v="SP002"/>
    <s v="Sandal Slip On"/>
    <s v="Sepatu Pria"/>
    <s v="2"/>
    <s v="5"/>
    <n v="120000"/>
    <n v="60000"/>
    <s v="-"/>
    <s v="-"/>
    <s v="-"/>
    <n v="0"/>
    <s v="-"/>
    <n v="0"/>
    <n v="0"/>
    <n v="6"/>
    <n v="1440000"/>
    <n v="520000"/>
    <s v="LEBAR10"/>
    <n v="0.1"/>
    <n v="144000"/>
    <n v="1296000"/>
    <n v="920000"/>
    <n v="776000"/>
    <s v="Promo Lebaran"/>
    <x v="1"/>
    <s v="TK"/>
    <x v="1"/>
    <x v="87"/>
  </r>
  <r>
    <n v="277"/>
    <s v="0277"/>
    <s v="ORD-BL-0277-06/04/24"/>
    <s v="[{item_code: PW002, quantity: 2, rating: 5}]"/>
    <s v="PW002"/>
    <x v="4"/>
    <s v="Pakaian Wanita"/>
    <s v="2"/>
    <s v="5"/>
    <n v="125000"/>
    <n v="50000"/>
    <s v="-"/>
    <s v="-"/>
    <s v="-"/>
    <n v="0"/>
    <s v="-"/>
    <n v="0"/>
    <n v="0"/>
    <s v="-"/>
    <s v="-"/>
    <s v="-"/>
    <n v="0"/>
    <s v="-"/>
    <n v="0"/>
    <n v="0"/>
    <n v="2"/>
    <n v="250000"/>
    <n v="100000"/>
    <s v="BUKALEBAR"/>
    <n v="0.15"/>
    <n v="37500"/>
    <n v="212500"/>
    <n v="150000"/>
    <n v="112500"/>
    <s v="Promo Lebaran"/>
    <x v="2"/>
    <s v="BL"/>
    <x v="3"/>
    <x v="87"/>
  </r>
  <r>
    <n v="546"/>
    <s v="0546"/>
    <s v="ORD-BL-0546-06/04/24"/>
    <s v="[{item_code: PU001, quantity: 1, rating: 4}, {item_code: PP002, quantity: 2, rating: 3}]"/>
    <s v="PU001"/>
    <x v="7"/>
    <s v="Pakaian Unisex"/>
    <s v="1"/>
    <s v="4"/>
    <n v="160000"/>
    <n v="60000"/>
    <s v="PP002"/>
    <s v="Celana Pendek"/>
    <s v="Pakaian Pria"/>
    <s v="2"/>
    <s v="3"/>
    <n v="60000"/>
    <n v="25000"/>
    <s v="-"/>
    <s v="-"/>
    <s v="-"/>
    <n v="0"/>
    <s v="-"/>
    <n v="0"/>
    <n v="0"/>
    <n v="3"/>
    <n v="280000"/>
    <n v="110000"/>
    <s v="-"/>
    <n v="0"/>
    <n v="0"/>
    <n v="280000"/>
    <n v="170000"/>
    <n v="170000"/>
    <s v="-"/>
    <x v="2"/>
    <s v="BL"/>
    <x v="1"/>
    <x v="87"/>
  </r>
  <r>
    <n v="111"/>
    <s v="0111"/>
    <s v="ORD-BL-0111-07/04/24"/>
    <s v="[{item_code: PP003, quantity: 3, rating: 4}, {item_code: PP001, quantity: 2, rating: 5}, {item_code: SP001, quantity: 1, rating: 5}]"/>
    <s v="PP003"/>
    <x v="6"/>
    <s v="Pakaian Pria"/>
    <s v="3"/>
    <s v="4"/>
    <n v="150000"/>
    <n v="70000"/>
    <s v="PP001"/>
    <s v="Kaos Polo"/>
    <s v="Pakaian Pria"/>
    <s v="2"/>
    <s v="5"/>
    <n v="80000"/>
    <n v="30000"/>
    <s v="SP001"/>
    <s v="Sneakers"/>
    <s v="Sepatu Pria"/>
    <s v="1"/>
    <s v="5"/>
    <n v="300000"/>
    <n v="100000"/>
    <n v="6"/>
    <n v="910000"/>
    <n v="370000"/>
    <s v="-"/>
    <n v="0"/>
    <n v="0"/>
    <n v="910000"/>
    <n v="540000"/>
    <n v="540000"/>
    <s v="-"/>
    <x v="2"/>
    <s v="BL"/>
    <x v="0"/>
    <x v="88"/>
  </r>
  <r>
    <n v="799"/>
    <s v="0799"/>
    <s v="ORD-SP-0799-07/04/24"/>
    <s v="[{item_code: PP003, quantity: 1, rating: 4}, {item_code: SP001, quantity: 1, rating: 2}]"/>
    <s v="PP003"/>
    <x v="6"/>
    <s v="Pakaian Pria"/>
    <s v="1"/>
    <s v="4"/>
    <n v="150000"/>
    <n v="70000"/>
    <s v="SP001"/>
    <s v="Sneakers"/>
    <s v="Sepatu Pria"/>
    <s v="1"/>
    <s v="2"/>
    <n v="300000"/>
    <n v="100000"/>
    <s v="-"/>
    <s v="-"/>
    <s v="-"/>
    <n v="0"/>
    <s v="-"/>
    <n v="0"/>
    <n v="0"/>
    <n v="2"/>
    <n v="450000"/>
    <n v="170000"/>
    <s v="DISC10"/>
    <n v="0.1"/>
    <n v="45000"/>
    <n v="405000"/>
    <n v="280000"/>
    <n v="235000"/>
    <s v="Promo 4.4"/>
    <x v="0"/>
    <s v="SP"/>
    <x v="3"/>
    <x v="88"/>
  </r>
  <r>
    <n v="423"/>
    <s v="0423"/>
    <s v="ORD-SP-0423-08/04/24"/>
    <s v="[{item_code: SW001, quantity: 1, rating: 2}, {item_code: SP002, quantity: 1, rating: 3}, {item_code: SP001, quantity: 1, rating: 2}]"/>
    <s v="SW001"/>
    <x v="8"/>
    <s v="Sepatu Wanita"/>
    <s v="1"/>
    <s v="2"/>
    <n v="150000"/>
    <n v="70000"/>
    <s v="SP002"/>
    <s v="Sandal Slip On"/>
    <s v="Sepatu Pria"/>
    <s v="1"/>
    <s v="3"/>
    <n v="120000"/>
    <n v="60000"/>
    <s v="SP001"/>
    <s v="Sneakers"/>
    <s v="Sepatu Pria"/>
    <s v="1"/>
    <s v="2"/>
    <n v="300000"/>
    <n v="100000"/>
    <n v="3"/>
    <n v="570000"/>
    <n v="230000"/>
    <s v="-"/>
    <n v="0"/>
    <n v="0"/>
    <n v="570000"/>
    <n v="340000"/>
    <n v="340000"/>
    <s v="-"/>
    <x v="0"/>
    <s v="SP"/>
    <x v="3"/>
    <x v="89"/>
  </r>
  <r>
    <n v="448"/>
    <s v="0448"/>
    <s v="ORD-BB-0448-08/04/24"/>
    <s v="[{item_code: PU001, quantity: 2, rating: 2}]"/>
    <s v="PU001"/>
    <x v="7"/>
    <s v="Pakaian Unisex"/>
    <s v="2"/>
    <s v="2"/>
    <n v="160000"/>
    <n v="60000"/>
    <s v="-"/>
    <s v="-"/>
    <s v="-"/>
    <n v="0"/>
    <s v="-"/>
    <n v="0"/>
    <n v="0"/>
    <s v="-"/>
    <s v="-"/>
    <s v="-"/>
    <n v="0"/>
    <s v="-"/>
    <n v="0"/>
    <n v="0"/>
    <n v="2"/>
    <n v="320000"/>
    <n v="120000"/>
    <s v="BELI44"/>
    <n v="0.15"/>
    <n v="48000"/>
    <n v="272000"/>
    <n v="200000"/>
    <n v="152000"/>
    <s v="Promo 4.4"/>
    <x v="3"/>
    <s v="BB"/>
    <x v="2"/>
    <x v="89"/>
  </r>
  <r>
    <n v="901"/>
    <s v="0901"/>
    <s v="ORD-SP-0901-09/04/24"/>
    <s v="[{item_code: PW002, quantity: 1, rating: 5}]"/>
    <s v="PW002"/>
    <x v="4"/>
    <s v="Pakaian Wanita"/>
    <s v="1"/>
    <s v="5"/>
    <n v="125000"/>
    <n v="50000"/>
    <s v="-"/>
    <s v="-"/>
    <s v="-"/>
    <n v="0"/>
    <s v="-"/>
    <n v="0"/>
    <n v="0"/>
    <s v="-"/>
    <s v="-"/>
    <s v="-"/>
    <n v="0"/>
    <s v="-"/>
    <n v="0"/>
    <n v="0"/>
    <n v="1"/>
    <n v="125000"/>
    <n v="50000"/>
    <s v="-"/>
    <n v="0"/>
    <n v="0"/>
    <n v="125000"/>
    <n v="75000"/>
    <n v="75000"/>
    <s v="-"/>
    <x v="0"/>
    <s v="SP"/>
    <x v="4"/>
    <x v="90"/>
  </r>
  <r>
    <n v="208"/>
    <s v="0208"/>
    <s v="ORD-TK-0208-10/04/24"/>
    <s v="[{item_code: PW002, quantity: 1, rating: 3}, {item_code: PU001, quantity: 5, rating: 5}]"/>
    <s v="PW002"/>
    <x v="4"/>
    <s v="Pakaian Wanita"/>
    <s v="1"/>
    <s v="3"/>
    <n v="125000"/>
    <n v="50000"/>
    <s v="PU001"/>
    <s v="Jaket Hoodie"/>
    <s v="Pakaian Unisex"/>
    <s v="5"/>
    <s v="5"/>
    <n v="160000"/>
    <n v="60000"/>
    <s v="-"/>
    <s v="-"/>
    <s v="-"/>
    <n v="0"/>
    <s v="-"/>
    <n v="0"/>
    <n v="0"/>
    <n v="6"/>
    <n v="925000"/>
    <n v="350000"/>
    <s v="LEBAR10"/>
    <n v="0.1"/>
    <n v="92500"/>
    <n v="832500"/>
    <n v="575000"/>
    <n v="482500"/>
    <s v="Promo Lebaran"/>
    <x v="1"/>
    <s v="TK"/>
    <x v="0"/>
    <x v="91"/>
  </r>
  <r>
    <n v="127"/>
    <s v="0127"/>
    <s v="ORD-BB-0127-11/04/24"/>
    <s v="[{item_code: PW002, quantity: 3, rating: 2}, {item_code: SW001, quantity: 2, rating: 4}, {item_code: PU001, quantity: 1, rating: 1}]"/>
    <s v="PW002"/>
    <x v="4"/>
    <s v="Pakaian Wanita"/>
    <s v="3"/>
    <s v="2"/>
    <n v="125000"/>
    <n v="50000"/>
    <s v="SW001"/>
    <s v="Flat Shoes"/>
    <s v="Sepatu Wanita"/>
    <s v="2"/>
    <s v="4"/>
    <n v="150000"/>
    <n v="70000"/>
    <s v="PU001"/>
    <s v="Jaket Hoodie"/>
    <s v="Pakaian Unisex"/>
    <s v="1"/>
    <s v="1"/>
    <n v="160000"/>
    <n v="60000"/>
    <n v="6"/>
    <n v="835000"/>
    <n v="350000"/>
    <s v="BELI44"/>
    <n v="0.15"/>
    <n v="125250"/>
    <n v="709750"/>
    <n v="485000"/>
    <n v="359750"/>
    <s v="Promo 4.4"/>
    <x v="3"/>
    <s v="BB"/>
    <x v="1"/>
    <x v="92"/>
  </r>
  <r>
    <n v="189"/>
    <s v="0189"/>
    <s v="ORD-TK-0189-11/04/24"/>
    <s v="[{item_code: PW001, quantity: 1, rating: 4}, {item_code: SW001, quantity: 4, rating: 1}, {item_code: SP001, quantity: 1, rating: 5}]"/>
    <s v="PW001"/>
    <x v="2"/>
    <s v="Pakaian Wanita"/>
    <s v="1"/>
    <s v="4"/>
    <n v="150000"/>
    <n v="55000"/>
    <s v="SW001"/>
    <s v="Flat Shoes"/>
    <s v="Sepatu Wanita"/>
    <s v="4"/>
    <s v="1"/>
    <n v="150000"/>
    <n v="70000"/>
    <s v="SP001"/>
    <s v="Sneakers"/>
    <s v="Sepatu Pria"/>
    <s v="1"/>
    <s v="5"/>
    <n v="300000"/>
    <n v="100000"/>
    <n v="6"/>
    <n v="1050000"/>
    <n v="435000"/>
    <s v="DISCAPRIL"/>
    <n v="0.1"/>
    <n v="105000"/>
    <n v="945000"/>
    <n v="615000"/>
    <n v="510000"/>
    <s v="Promo 4.4"/>
    <x v="1"/>
    <s v="TK"/>
    <x v="3"/>
    <x v="92"/>
  </r>
  <r>
    <n v="543"/>
    <s v="0543"/>
    <s v="ORD-SP-0543-12/04/24"/>
    <s v="[{item_code: PW001, quantity: 1, rating: 5}, {item_code: PP003, quantity: 1, rating: 2}]"/>
    <s v="PW001"/>
    <x v="2"/>
    <s v="Pakaian Wanita"/>
    <s v="1"/>
    <s v="5"/>
    <n v="150000"/>
    <n v="55000"/>
    <s v="PP003"/>
    <s v="Jaket Jeans"/>
    <s v="Pakaian Pria"/>
    <s v="1"/>
    <s v="2"/>
    <n v="150000"/>
    <n v="70000"/>
    <s v="-"/>
    <s v="-"/>
    <s v="-"/>
    <n v="0"/>
    <s v="-"/>
    <n v="0"/>
    <n v="0"/>
    <n v="2"/>
    <n v="300000"/>
    <n v="125000"/>
    <s v="DISC15"/>
    <n v="0.15"/>
    <n v="45000"/>
    <n v="255000"/>
    <n v="175000"/>
    <n v="130000"/>
    <s v="Promo 4.4"/>
    <x v="0"/>
    <s v="SP"/>
    <x v="3"/>
    <x v="93"/>
  </r>
  <r>
    <n v="849"/>
    <s v="0849"/>
    <s v="ORD-SP-0849-13/04/24"/>
    <s v="[{item_code: PP001, quantity: 1, rating: 1}]"/>
    <s v="PP001"/>
    <x v="0"/>
    <s v="Pakaian Pria"/>
    <s v="1"/>
    <s v="1"/>
    <n v="80000"/>
    <n v="30000"/>
    <s v="-"/>
    <s v="-"/>
    <s v="-"/>
    <n v="0"/>
    <s v="-"/>
    <n v="0"/>
    <n v="0"/>
    <s v="-"/>
    <s v="-"/>
    <s v="-"/>
    <n v="0"/>
    <s v="-"/>
    <n v="0"/>
    <n v="0"/>
    <n v="1"/>
    <n v="80000"/>
    <n v="30000"/>
    <s v="-"/>
    <n v="0"/>
    <n v="0"/>
    <n v="80000"/>
    <n v="50000"/>
    <n v="50000"/>
    <s v="-"/>
    <x v="0"/>
    <s v="SP"/>
    <x v="0"/>
    <x v="94"/>
  </r>
  <r>
    <n v="289"/>
    <s v="0289"/>
    <s v="ORD-BB-0289-14/04/24"/>
    <s v="[{item_code: PW001, quantity: 4, rating: 1}, {item_code: PW003, quantity: 1, rating: 2}, {item_code: SP002, quantity: 1, rating: 2}]"/>
    <s v="PW001"/>
    <x v="2"/>
    <s v="Pakaian Wanita"/>
    <s v="4"/>
    <s v="1"/>
    <n v="150000"/>
    <n v="55000"/>
    <s v="PW003"/>
    <s v="Kaftan"/>
    <s v="Pakaian Wanita"/>
    <s v="1"/>
    <s v="2"/>
    <n v="200000"/>
    <n v="100000"/>
    <s v="SP002"/>
    <s v="Sandal Slip On"/>
    <s v="Sepatu Pria"/>
    <s v="1"/>
    <s v="2"/>
    <n v="120000"/>
    <n v="60000"/>
    <n v="6"/>
    <n v="920000"/>
    <n v="380000"/>
    <s v="BELI44"/>
    <n v="0.15"/>
    <n v="138000"/>
    <n v="782000"/>
    <n v="540000"/>
    <n v="402000"/>
    <s v="Promo 4.4"/>
    <x v="3"/>
    <s v="BB"/>
    <x v="0"/>
    <x v="95"/>
  </r>
  <r>
    <n v="834"/>
    <s v="0834"/>
    <s v="ORD-BL-0834-14/04/24"/>
    <s v="[{item_code: PW001, quantity: 1, rating: 5}]"/>
    <s v="PW001"/>
    <x v="2"/>
    <s v="Pakaian Wanita"/>
    <s v="1"/>
    <s v="5"/>
    <n v="150000"/>
    <n v="55000"/>
    <s v="-"/>
    <s v="-"/>
    <s v="-"/>
    <n v="0"/>
    <s v="-"/>
    <n v="0"/>
    <n v="0"/>
    <s v="-"/>
    <s v="-"/>
    <s v="-"/>
    <n v="0"/>
    <s v="-"/>
    <n v="0"/>
    <n v="0"/>
    <n v="1"/>
    <n v="150000"/>
    <n v="55000"/>
    <s v="BUKALEBAR"/>
    <n v="0.15"/>
    <n v="22500"/>
    <n v="127500"/>
    <n v="95000"/>
    <n v="72500"/>
    <s v="Promo Lebaran"/>
    <x v="2"/>
    <s v="BL"/>
    <x v="1"/>
    <x v="95"/>
  </r>
  <r>
    <n v="133"/>
    <s v="0133"/>
    <s v="ORD-SP-0133-15/04/24"/>
    <s v="[{item_code: PW002, quantity: 1, rating: 4}, {item_code: PP001, quantity: 1, rating: 3}, {item_code: SW001, quantity: 5, rating: 5}]"/>
    <s v="PW002"/>
    <x v="4"/>
    <s v="Pakaian Wanita"/>
    <s v="1"/>
    <s v="4"/>
    <n v="125000"/>
    <n v="50000"/>
    <s v="PP001"/>
    <s v="Kaos Polo"/>
    <s v="Pakaian Pria"/>
    <s v="1"/>
    <s v="3"/>
    <n v="80000"/>
    <n v="30000"/>
    <s v="SW001"/>
    <s v="Flat Shoes"/>
    <s v="Sepatu Wanita"/>
    <s v="5"/>
    <s v="5"/>
    <n v="150000"/>
    <n v="70000"/>
    <n v="7"/>
    <n v="955000"/>
    <n v="430000"/>
    <s v="DISC15"/>
    <n v="0.15"/>
    <n v="143250"/>
    <n v="811750"/>
    <n v="525000"/>
    <n v="381750"/>
    <s v="Promo 4.4"/>
    <x v="0"/>
    <s v="SP"/>
    <x v="4"/>
    <x v="96"/>
  </r>
  <r>
    <n v="434"/>
    <s v="0434"/>
    <s v="ORD-BB-0434-15/04/24"/>
    <s v="[{item_code: PW003, quantity: 5, rating: 5}, {item_code: PP001, quantity: 1, rating: 1}]"/>
    <s v="PW003"/>
    <x v="3"/>
    <s v="Pakaian Wanita"/>
    <s v="5"/>
    <s v="5"/>
    <n v="200000"/>
    <n v="100000"/>
    <s v="PP001"/>
    <s v="Kaos Polo"/>
    <s v="Pakaian Pria"/>
    <s v="1"/>
    <s v="1"/>
    <n v="80000"/>
    <n v="30000"/>
    <s v="-"/>
    <s v="-"/>
    <s v="-"/>
    <n v="0"/>
    <s v="-"/>
    <n v="0"/>
    <n v="0"/>
    <n v="6"/>
    <n v="1080000"/>
    <n v="530000"/>
    <s v="BELI44"/>
    <n v="0.15"/>
    <n v="162000"/>
    <n v="918000"/>
    <n v="550000"/>
    <n v="388000"/>
    <s v="Promo 4.4"/>
    <x v="3"/>
    <s v="BB"/>
    <x v="2"/>
    <x v="96"/>
  </r>
  <r>
    <n v="758"/>
    <s v="0758"/>
    <s v="ORD-BL-0758-15/04/24"/>
    <s v="[{item_code: PP001, quantity: 2, rating: 1}, {item_code: PW003, quantity: 1, rating: 1}, {item_code: PW002, quantity: 2, rating: 1}]"/>
    <s v="PP001"/>
    <x v="0"/>
    <s v="Pakaian Pria"/>
    <s v="2"/>
    <s v="1"/>
    <n v="80000"/>
    <n v="30000"/>
    <s v="PW003"/>
    <s v="Kaftan"/>
    <s v="Pakaian Wanita"/>
    <s v="1"/>
    <s v="1"/>
    <n v="200000"/>
    <n v="100000"/>
    <s v="PW002"/>
    <s v="Blouse"/>
    <s v="Pakaian Wanita"/>
    <s v="2"/>
    <s v="1"/>
    <n v="125000"/>
    <n v="50000"/>
    <n v="5"/>
    <n v="610000"/>
    <n v="260000"/>
    <s v="BUKALEBAR"/>
    <n v="0.15"/>
    <n v="91500"/>
    <n v="518500"/>
    <n v="350000"/>
    <n v="258500"/>
    <s v="Promo Lebaran"/>
    <x v="2"/>
    <s v="BL"/>
    <x v="4"/>
    <x v="96"/>
  </r>
  <r>
    <n v="371"/>
    <s v="0371"/>
    <s v="ORD-BB-0371-16/04/24"/>
    <s v="[{item_code: PW001, quantity: 3, rating: 3}, {item_code: PP002, quantity: 2, rating: 3}, {item_code: SW001, quantity: 1, rating: 2}]"/>
    <s v="PW001"/>
    <x v="2"/>
    <s v="Pakaian Wanita"/>
    <s v="3"/>
    <s v="3"/>
    <n v="150000"/>
    <n v="55000"/>
    <s v="PP002"/>
    <s v="Celana Pendek"/>
    <s v="Pakaian Pria"/>
    <s v="2"/>
    <s v="3"/>
    <n v="60000"/>
    <n v="25000"/>
    <s v="SW001"/>
    <s v="Flat Shoes"/>
    <s v="Sepatu Wanita"/>
    <s v="1"/>
    <s v="2"/>
    <n v="150000"/>
    <n v="70000"/>
    <n v="6"/>
    <n v="720000"/>
    <n v="285000"/>
    <s v="-"/>
    <n v="0"/>
    <n v="0"/>
    <n v="720000"/>
    <n v="435000"/>
    <n v="435000"/>
    <s v="-"/>
    <x v="3"/>
    <s v="BB"/>
    <x v="4"/>
    <x v="97"/>
  </r>
  <r>
    <n v="604"/>
    <s v="0604"/>
    <s v="ORD-TK-0604-16/04/24"/>
    <s v="[{item_code: PW001, quantity: 3, rating: 2}, {item_code: PW003, quantity: 1, rating: 1}]"/>
    <s v="PW001"/>
    <x v="2"/>
    <s v="Pakaian Wanita"/>
    <s v="3"/>
    <s v="2"/>
    <n v="150000"/>
    <n v="55000"/>
    <s v="PW003"/>
    <s v="Kaftan"/>
    <s v="Pakaian Wanita"/>
    <s v="1"/>
    <s v="1"/>
    <n v="200000"/>
    <n v="100000"/>
    <s v="-"/>
    <s v="-"/>
    <s v="-"/>
    <n v="0"/>
    <s v="-"/>
    <n v="0"/>
    <n v="0"/>
    <n v="4"/>
    <n v="650000"/>
    <n v="265000"/>
    <s v="-"/>
    <n v="0"/>
    <n v="0"/>
    <n v="650000"/>
    <n v="385000"/>
    <n v="385000"/>
    <s v="-"/>
    <x v="1"/>
    <s v="TK"/>
    <x v="1"/>
    <x v="97"/>
  </r>
  <r>
    <n v="518"/>
    <s v="0518"/>
    <s v="ORD-SP-0518-17/04/24"/>
    <s v="[{item_code: SW001, quantity: 2, rating: 5}, {item_code: PP001, quantity: 1, rating: 3}, {item_code: SP001, quantity: 2, rating: 5}]"/>
    <s v="SW001"/>
    <x v="8"/>
    <s v="Sepatu Wanita"/>
    <s v="2"/>
    <s v="5"/>
    <n v="150000"/>
    <n v="70000"/>
    <s v="PP001"/>
    <s v="Kaos Polo"/>
    <s v="Pakaian Pria"/>
    <s v="1"/>
    <s v="3"/>
    <n v="80000"/>
    <n v="30000"/>
    <s v="SP001"/>
    <s v="Sneakers"/>
    <s v="Sepatu Pria"/>
    <s v="2"/>
    <s v="5"/>
    <n v="300000"/>
    <n v="100000"/>
    <n v="5"/>
    <n v="980000"/>
    <n v="370000"/>
    <s v="DISC20"/>
    <n v="0.2"/>
    <n v="196000"/>
    <n v="784000"/>
    <n v="610000"/>
    <n v="414000"/>
    <s v="Promo Lebaran"/>
    <x v="0"/>
    <s v="SP"/>
    <x v="1"/>
    <x v="98"/>
  </r>
  <r>
    <n v="629"/>
    <s v="0629"/>
    <s v="ORD-TK-0629-17/04/24"/>
    <s v="[{item_code: SP002, quantity: 3, rating: 5}, {item_code: SP001, quantity: 2, rating: 3}]"/>
    <s v="SP002"/>
    <x v="1"/>
    <s v="Sepatu Pria"/>
    <s v="3"/>
    <s v="5"/>
    <n v="120000"/>
    <n v="60000"/>
    <s v="SP001"/>
    <s v="Sneakers"/>
    <s v="Sepatu Pria"/>
    <s v="2"/>
    <s v="3"/>
    <n v="300000"/>
    <n v="100000"/>
    <s v="-"/>
    <s v="-"/>
    <s v="-"/>
    <n v="0"/>
    <s v="-"/>
    <n v="0"/>
    <n v="0"/>
    <n v="5"/>
    <n v="960000"/>
    <n v="380000"/>
    <s v="LEBAR10"/>
    <n v="0.1"/>
    <n v="96000"/>
    <n v="864000"/>
    <n v="580000"/>
    <n v="484000"/>
    <s v="Promo Lebaran"/>
    <x v="1"/>
    <s v="TK"/>
    <x v="5"/>
    <x v="98"/>
  </r>
  <r>
    <n v="32"/>
    <s v="0032"/>
    <s v="ORD-SP-0032-18/04/24"/>
    <s v="[{item_code: PP003, quantity: 5, rating: 5}]"/>
    <s v="PP003"/>
    <x v="6"/>
    <s v="Pakaian Pria"/>
    <s v="5"/>
    <s v="5"/>
    <n v="150000"/>
    <n v="70000"/>
    <s v="-"/>
    <s v="-"/>
    <s v="-"/>
    <n v="0"/>
    <s v="-"/>
    <n v="0"/>
    <n v="0"/>
    <s v="-"/>
    <s v="-"/>
    <s v="-"/>
    <n v="0"/>
    <s v="-"/>
    <n v="0"/>
    <n v="0"/>
    <n v="5"/>
    <n v="750000"/>
    <n v="350000"/>
    <s v="DISC20"/>
    <n v="0.2"/>
    <n v="150000"/>
    <n v="600000"/>
    <n v="400000"/>
    <n v="250000"/>
    <s v="Promo Lebaran"/>
    <x v="0"/>
    <s v="SP"/>
    <x v="0"/>
    <x v="99"/>
  </r>
  <r>
    <n v="304"/>
    <s v="0304"/>
    <s v="ORD-TK-0304-18/04/24"/>
    <s v="[{item_code: PP003, quantity: 2, rating: 4}]"/>
    <s v="PP003"/>
    <x v="6"/>
    <s v="Pakaian Pria"/>
    <s v="2"/>
    <s v="4"/>
    <n v="150000"/>
    <n v="70000"/>
    <s v="-"/>
    <s v="-"/>
    <s v="-"/>
    <n v="0"/>
    <s v="-"/>
    <n v="0"/>
    <n v="0"/>
    <s v="-"/>
    <s v="-"/>
    <s v="-"/>
    <n v="0"/>
    <s v="-"/>
    <n v="0"/>
    <n v="0"/>
    <n v="2"/>
    <n v="300000"/>
    <n v="140000"/>
    <s v="LEBAR10"/>
    <n v="0.1"/>
    <n v="30000"/>
    <n v="270000"/>
    <n v="160000"/>
    <n v="130000"/>
    <s v="Promo Lebaran"/>
    <x v="1"/>
    <s v="TK"/>
    <x v="1"/>
    <x v="99"/>
  </r>
  <r>
    <n v="582"/>
    <s v="0582"/>
    <s v="ORD-BB-0582-18/04/24"/>
    <s v="[{item_code: PU001, quantity: 4, rating: 1}, {item_code: PW003, quantity: 1, rating: 3}]"/>
    <s v="PU001"/>
    <x v="7"/>
    <s v="Pakaian Unisex"/>
    <s v="4"/>
    <s v="1"/>
    <n v="160000"/>
    <n v="60000"/>
    <s v="PW003"/>
    <s v="Kaftan"/>
    <s v="Pakaian Wanita"/>
    <s v="1"/>
    <s v="3"/>
    <n v="200000"/>
    <n v="100000"/>
    <s v="-"/>
    <s v="-"/>
    <s v="-"/>
    <n v="0"/>
    <s v="-"/>
    <n v="0"/>
    <n v="0"/>
    <n v="5"/>
    <n v="840000"/>
    <n v="340000"/>
    <s v="BELI44"/>
    <n v="0.15"/>
    <n v="126000"/>
    <n v="714000"/>
    <n v="500000"/>
    <n v="374000"/>
    <s v="Promo 4.4"/>
    <x v="3"/>
    <s v="BB"/>
    <x v="5"/>
    <x v="99"/>
  </r>
  <r>
    <n v="622"/>
    <s v="0622"/>
    <s v="ORD-BL-0622-18/04/24"/>
    <s v="[{item_code: SW001, quantity: 3, rating: 4}, {item_code: PU001, quantity: 1, rating: 1}]"/>
    <s v="SW001"/>
    <x v="8"/>
    <s v="Sepatu Wanita"/>
    <s v="3"/>
    <s v="4"/>
    <n v="150000"/>
    <n v="70000"/>
    <s v="PU001"/>
    <s v="Jaket Hoodie"/>
    <s v="Pakaian Unisex"/>
    <s v="1"/>
    <s v="1"/>
    <n v="160000"/>
    <n v="60000"/>
    <s v="-"/>
    <s v="-"/>
    <s v="-"/>
    <n v="0"/>
    <s v="-"/>
    <n v="0"/>
    <n v="0"/>
    <n v="4"/>
    <n v="610000"/>
    <n v="270000"/>
    <s v="BUKALEBAR"/>
    <n v="0.15"/>
    <n v="91500"/>
    <n v="518500"/>
    <n v="340000"/>
    <n v="248500"/>
    <s v="Promo Lebaran"/>
    <x v="2"/>
    <s v="BL"/>
    <x v="0"/>
    <x v="99"/>
  </r>
  <r>
    <n v="847"/>
    <s v="0847"/>
    <s v="ORD-SP-0847-18/04/24"/>
    <s v="[{item_code: PW001, quantity: 2, rating: 3}, {item_code: PW002, quantity: 2, rating: 3}]"/>
    <s v="PW001"/>
    <x v="2"/>
    <s v="Pakaian Wanita"/>
    <s v="2"/>
    <s v="3"/>
    <n v="150000"/>
    <n v="55000"/>
    <s v="PW002"/>
    <s v="Blouse"/>
    <s v="Pakaian Wanita"/>
    <s v="2"/>
    <s v="3"/>
    <n v="125000"/>
    <n v="50000"/>
    <s v="-"/>
    <s v="-"/>
    <s v="-"/>
    <n v="0"/>
    <s v="-"/>
    <n v="0"/>
    <n v="0"/>
    <n v="4"/>
    <n v="550000"/>
    <n v="210000"/>
    <s v="DISC20"/>
    <n v="0.2"/>
    <n v="110000"/>
    <n v="440000"/>
    <n v="340000"/>
    <n v="230000"/>
    <s v="Promo Lebaran"/>
    <x v="0"/>
    <s v="SP"/>
    <x v="1"/>
    <x v="99"/>
  </r>
  <r>
    <n v="96"/>
    <s v="0096"/>
    <s v="ORD-TK-0096-19/04/24"/>
    <s v="[{item_code: PW003, quantity: 4, rating: 5}]"/>
    <s v="PW003"/>
    <x v="3"/>
    <s v="Pakaian Wanita"/>
    <s v="4"/>
    <s v="5"/>
    <n v="200000"/>
    <n v="100000"/>
    <s v="-"/>
    <s v="-"/>
    <s v="-"/>
    <n v="0"/>
    <s v="-"/>
    <n v="0"/>
    <n v="0"/>
    <s v="-"/>
    <s v="-"/>
    <s v="-"/>
    <n v="0"/>
    <s v="-"/>
    <n v="0"/>
    <n v="0"/>
    <n v="4"/>
    <n v="800000"/>
    <n v="400000"/>
    <s v="LEBAR10"/>
    <n v="0.1"/>
    <n v="80000"/>
    <n v="720000"/>
    <n v="400000"/>
    <n v="320000"/>
    <s v="Promo Lebaran"/>
    <x v="1"/>
    <s v="TK"/>
    <x v="2"/>
    <x v="100"/>
  </r>
  <r>
    <n v="468"/>
    <s v="0468"/>
    <s v="ORD-TK-0468-19/04/24"/>
    <s v="[{item_code: PU001, quantity: 3, rating: 5}]"/>
    <s v="PU001"/>
    <x v="7"/>
    <s v="Pakaian Unisex"/>
    <s v="3"/>
    <s v="5"/>
    <n v="160000"/>
    <n v="60000"/>
    <s v="-"/>
    <s v="-"/>
    <s v="-"/>
    <n v="0"/>
    <s v="-"/>
    <n v="0"/>
    <n v="0"/>
    <s v="-"/>
    <s v="-"/>
    <s v="-"/>
    <n v="0"/>
    <s v="-"/>
    <n v="0"/>
    <n v="0"/>
    <n v="3"/>
    <n v="480000"/>
    <n v="180000"/>
    <s v="DISCAPRIL"/>
    <n v="0.1"/>
    <n v="48000"/>
    <n v="432000"/>
    <n v="300000"/>
    <n v="252000"/>
    <s v="Promo 4.4"/>
    <x v="1"/>
    <s v="TK"/>
    <x v="2"/>
    <x v="100"/>
  </r>
  <r>
    <n v="933"/>
    <s v="0933"/>
    <s v="ORD-SP-0933-19/04/24"/>
    <s v="[{item_code: PW002, quantity: 5, rating: 1}, {item_code: PP001, quantity: 1, rating: 1}]"/>
    <s v="PW002"/>
    <x v="4"/>
    <s v="Pakaian Wanita"/>
    <s v="5"/>
    <s v="1"/>
    <n v="125000"/>
    <n v="50000"/>
    <s v="PP001"/>
    <s v="Kaos Polo"/>
    <s v="Pakaian Pria"/>
    <s v="1"/>
    <s v="1"/>
    <n v="80000"/>
    <n v="30000"/>
    <s v="-"/>
    <s v="-"/>
    <s v="-"/>
    <n v="0"/>
    <s v="-"/>
    <n v="0"/>
    <n v="0"/>
    <n v="6"/>
    <n v="705000"/>
    <n v="280000"/>
    <s v="DISC20"/>
    <n v="0.2"/>
    <n v="141000"/>
    <n v="564000"/>
    <n v="425000"/>
    <n v="284000"/>
    <s v="Promo Lebaran"/>
    <x v="0"/>
    <s v="SP"/>
    <x v="5"/>
    <x v="100"/>
  </r>
  <r>
    <n v="553"/>
    <s v="0553"/>
    <s v="ORD-BL-0553-20/04/24"/>
    <s v="[{item_code: SP002, quantity: 1, rating: 4}, {item_code: PP002, quantity: 1, rating: 4}]"/>
    <s v="SP002"/>
    <x v="1"/>
    <s v="Sepatu Pria"/>
    <s v="1"/>
    <s v="4"/>
    <n v="120000"/>
    <n v="60000"/>
    <s v="PP002"/>
    <s v="Celana Pendek"/>
    <s v="Pakaian Pria"/>
    <s v="1"/>
    <s v="4"/>
    <n v="60000"/>
    <n v="25000"/>
    <s v="-"/>
    <s v="-"/>
    <s v="-"/>
    <n v="0"/>
    <s v="-"/>
    <n v="0"/>
    <n v="0"/>
    <n v="2"/>
    <n v="180000"/>
    <n v="85000"/>
    <s v="BUKALEBAR"/>
    <n v="0.15"/>
    <n v="27000"/>
    <n v="153000"/>
    <n v="95000"/>
    <n v="68000"/>
    <s v="Promo Lebaran"/>
    <x v="2"/>
    <s v="BL"/>
    <x v="3"/>
    <x v="101"/>
  </r>
  <r>
    <n v="868"/>
    <s v="0868"/>
    <s v="ORD-BL-0868-20/04/24"/>
    <s v="[{item_code: SP002, quantity: 6, rating: 3}, {item_code: PW002, quantity: 1, rating: 4}]"/>
    <s v="SP002"/>
    <x v="1"/>
    <s v="Sepatu Pria"/>
    <s v="6"/>
    <s v="3"/>
    <n v="120000"/>
    <n v="60000"/>
    <s v="PW002"/>
    <s v="Blouse"/>
    <s v="Pakaian Wanita"/>
    <s v="1"/>
    <s v="4"/>
    <n v="125000"/>
    <n v="50000"/>
    <s v="-"/>
    <s v="-"/>
    <s v="-"/>
    <n v="0"/>
    <s v="-"/>
    <n v="0"/>
    <n v="0"/>
    <n v="7"/>
    <n v="845000"/>
    <n v="410000"/>
    <s v="-"/>
    <n v="0"/>
    <n v="0"/>
    <n v="845000"/>
    <n v="435000"/>
    <n v="435000"/>
    <s v="-"/>
    <x v="2"/>
    <s v="BL"/>
    <x v="4"/>
    <x v="101"/>
  </r>
  <r>
    <n v="46"/>
    <s v="0046"/>
    <s v="ORD-BL-0046-21/04/24"/>
    <s v="[{item_code: SP001, quantity: 1, rating: 2}, {item_code: PW001, quantity: 1, rating: 1}, {item_code: PP003, quantity: 1, rating: 4}]"/>
    <s v="SP001"/>
    <x v="9"/>
    <s v="Sepatu Pria"/>
    <s v="1"/>
    <s v="2"/>
    <n v="300000"/>
    <n v="100000"/>
    <s v="PW001"/>
    <s v="Dress"/>
    <s v="Pakaian Wanita"/>
    <s v="1"/>
    <s v="1"/>
    <n v="150000"/>
    <n v="55000"/>
    <s v="PP003"/>
    <s v="Jaket Jeans"/>
    <s v="Pakaian Pria"/>
    <s v="1"/>
    <s v="4"/>
    <n v="150000"/>
    <n v="70000"/>
    <n v="3"/>
    <n v="600000"/>
    <n v="225000"/>
    <s v="BUKALEBAR"/>
    <n v="0.15"/>
    <n v="90000"/>
    <n v="510000"/>
    <n v="375000"/>
    <n v="285000"/>
    <s v="Promo Lebaran"/>
    <x v="2"/>
    <s v="BL"/>
    <x v="0"/>
    <x v="102"/>
  </r>
  <r>
    <n v="54"/>
    <s v="0054"/>
    <s v="ORD-SP-0054-21/04/24"/>
    <s v="[{item_code: PW001, quantity: 1, rating: 1}, {item_code: SP002, quantity: 5, rating: 5}]"/>
    <s v="PW001"/>
    <x v="2"/>
    <s v="Pakaian Wanita"/>
    <s v="1"/>
    <s v="1"/>
    <n v="150000"/>
    <n v="55000"/>
    <s v="SP002"/>
    <s v="Sandal Slip On"/>
    <s v="Sepatu Pria"/>
    <s v="5"/>
    <s v="5"/>
    <n v="120000"/>
    <n v="60000"/>
    <s v="-"/>
    <s v="-"/>
    <s v="-"/>
    <n v="0"/>
    <s v="-"/>
    <n v="0"/>
    <n v="0"/>
    <n v="6"/>
    <n v="750000"/>
    <n v="355000"/>
    <s v="DISC15"/>
    <n v="0.15"/>
    <n v="112500"/>
    <n v="637500"/>
    <n v="395000"/>
    <n v="282500"/>
    <s v="Promo 4.4"/>
    <x v="0"/>
    <s v="SP"/>
    <x v="2"/>
    <x v="102"/>
  </r>
  <r>
    <n v="145"/>
    <s v="0145"/>
    <s v="ORD-SP-0145-21/04/24"/>
    <s v="[{item_code: SP002, quantity: 3, rating: 4}, {item_code: SP002, quantity: 3, rating: 2}, {item_code: PW002, quantity: 1, rating: 5}]"/>
    <s v="SP002"/>
    <x v="1"/>
    <s v="Sepatu Pria"/>
    <s v="3"/>
    <s v="4"/>
    <n v="120000"/>
    <n v="60000"/>
    <s v="SP002"/>
    <s v="Sandal Slip On"/>
    <s v="Sepatu Pria"/>
    <s v="3"/>
    <s v="2"/>
    <n v="120000"/>
    <n v="60000"/>
    <s v="PW002"/>
    <s v="Blouse"/>
    <s v="Pakaian Wanita"/>
    <s v="1"/>
    <s v="5"/>
    <n v="125000"/>
    <n v="50000"/>
    <n v="7"/>
    <n v="845000"/>
    <n v="410000"/>
    <s v="DISC10"/>
    <n v="0.1"/>
    <n v="84500"/>
    <n v="760500"/>
    <n v="435000"/>
    <n v="350500"/>
    <s v="Promo 4.4"/>
    <x v="0"/>
    <s v="SP"/>
    <x v="3"/>
    <x v="102"/>
  </r>
  <r>
    <n v="797"/>
    <s v="0797"/>
    <s v="ORD-BL-0797-21/04/24"/>
    <s v="[{item_code: PP001, quantity: 3, rating: 4}, {item_code: SP001, quantity: 1, rating: 2}]"/>
    <s v="PP001"/>
    <x v="0"/>
    <s v="Pakaian Pria"/>
    <s v="3"/>
    <s v="4"/>
    <n v="80000"/>
    <n v="30000"/>
    <s v="SP001"/>
    <s v="Sneakers"/>
    <s v="Sepatu Pria"/>
    <s v="1"/>
    <s v="2"/>
    <n v="300000"/>
    <n v="100000"/>
    <s v="-"/>
    <s v="-"/>
    <s v="-"/>
    <n v="0"/>
    <s v="-"/>
    <n v="0"/>
    <n v="0"/>
    <n v="4"/>
    <n v="540000"/>
    <n v="190000"/>
    <s v="BUKALEBAR"/>
    <n v="0.15"/>
    <n v="81000"/>
    <n v="459000"/>
    <n v="350000"/>
    <n v="269000"/>
    <s v="Promo Lebaran"/>
    <x v="2"/>
    <s v="BL"/>
    <x v="2"/>
    <x v="102"/>
  </r>
  <r>
    <n v="565"/>
    <s v="0565"/>
    <s v="ORD-TK-0565-22/04/24"/>
    <s v="[{item_code: PP003, quantity: 3, rating: 2}, {item_code: PW002, quantity: 2, rating: 4}, {item_code: PW001, quantity: 1, rating: 5}]"/>
    <s v="PP003"/>
    <x v="6"/>
    <s v="Pakaian Pria"/>
    <s v="3"/>
    <s v="2"/>
    <n v="150000"/>
    <n v="70000"/>
    <s v="PW002"/>
    <s v="Blouse"/>
    <s v="Pakaian Wanita"/>
    <s v="2"/>
    <s v="4"/>
    <n v="125000"/>
    <n v="50000"/>
    <s v="PW001"/>
    <s v="Dress"/>
    <s v="Pakaian Wanita"/>
    <s v="1"/>
    <s v="5"/>
    <n v="150000"/>
    <n v="55000"/>
    <n v="6"/>
    <n v="850000"/>
    <n v="365000"/>
    <s v="DISCAPRIL"/>
    <n v="0.1"/>
    <n v="85000"/>
    <n v="765000"/>
    <n v="485000"/>
    <n v="400000"/>
    <s v="Promo 4.4"/>
    <x v="1"/>
    <s v="TK"/>
    <x v="4"/>
    <x v="103"/>
  </r>
  <r>
    <n v="172"/>
    <s v="0172"/>
    <s v="ORD-TK-0172-23/04/24"/>
    <s v="[{item_code: PP003, quantity: 3, rating: 3}, {item_code: SP002, quantity: 1, rating: 1}]"/>
    <s v="PP003"/>
    <x v="6"/>
    <s v="Pakaian Pria"/>
    <s v="3"/>
    <s v="3"/>
    <n v="150000"/>
    <n v="70000"/>
    <s v="SP002"/>
    <s v="Sandal Slip On"/>
    <s v="Sepatu Pria"/>
    <s v="1"/>
    <s v="1"/>
    <n v="120000"/>
    <n v="60000"/>
    <s v="-"/>
    <s v="-"/>
    <s v="-"/>
    <n v="0"/>
    <s v="-"/>
    <n v="0"/>
    <n v="0"/>
    <n v="4"/>
    <n v="570000"/>
    <n v="270000"/>
    <s v="DISCAPRIL"/>
    <n v="0.1"/>
    <n v="57000"/>
    <n v="513000"/>
    <n v="300000"/>
    <n v="243000"/>
    <s v="Promo 4.4"/>
    <x v="1"/>
    <s v="TK"/>
    <x v="1"/>
    <x v="104"/>
  </r>
  <r>
    <n v="732"/>
    <s v="0732"/>
    <s v="ORD-TK-0732-23/04/24"/>
    <s v="[{item_code: PW003, quantity: 1, rating: 3}]"/>
    <s v="PW003"/>
    <x v="3"/>
    <s v="Pakaian Wanita"/>
    <s v="1"/>
    <s v="3"/>
    <n v="200000"/>
    <n v="100000"/>
    <s v="-"/>
    <s v="-"/>
    <s v="-"/>
    <n v="0"/>
    <s v="-"/>
    <n v="0"/>
    <n v="0"/>
    <s v="-"/>
    <s v="-"/>
    <s v="-"/>
    <n v="0"/>
    <s v="-"/>
    <n v="0"/>
    <n v="0"/>
    <n v="1"/>
    <n v="200000"/>
    <n v="100000"/>
    <s v="-"/>
    <n v="0"/>
    <n v="0"/>
    <n v="200000"/>
    <n v="100000"/>
    <n v="100000"/>
    <s v="-"/>
    <x v="1"/>
    <s v="TK"/>
    <x v="3"/>
    <x v="104"/>
  </r>
  <r>
    <n v="861"/>
    <s v="0861"/>
    <s v="ORD-TK-0861-23/04/24"/>
    <s v="[{item_code: PP003, quantity: 2, rating: 2}]"/>
    <s v="PP003"/>
    <x v="6"/>
    <s v="Pakaian Pria"/>
    <s v="2"/>
    <s v="2"/>
    <n v="150000"/>
    <n v="70000"/>
    <s v="-"/>
    <s v="-"/>
    <s v="-"/>
    <n v="0"/>
    <s v="-"/>
    <n v="0"/>
    <n v="0"/>
    <s v="-"/>
    <s v="-"/>
    <s v="-"/>
    <n v="0"/>
    <s v="-"/>
    <n v="0"/>
    <n v="0"/>
    <n v="2"/>
    <n v="300000"/>
    <n v="140000"/>
    <s v="DISCAPRIL"/>
    <n v="0.1"/>
    <n v="30000"/>
    <n v="270000"/>
    <n v="160000"/>
    <n v="130000"/>
    <s v="Promo 4.4"/>
    <x v="1"/>
    <s v="TK"/>
    <x v="5"/>
    <x v="104"/>
  </r>
  <r>
    <n v="392"/>
    <s v="0392"/>
    <s v="ORD-SP-0392-24/04/24"/>
    <s v="[{item_code: PP002, quantity: 1, rating: 4}]"/>
    <s v="PP002"/>
    <x v="5"/>
    <s v="Pakaian Pria"/>
    <s v="1"/>
    <s v="4"/>
    <n v="60000"/>
    <n v="25000"/>
    <s v="-"/>
    <s v="-"/>
    <s v="-"/>
    <n v="0"/>
    <s v="-"/>
    <n v="0"/>
    <n v="0"/>
    <s v="-"/>
    <s v="-"/>
    <s v="-"/>
    <n v="0"/>
    <s v="-"/>
    <n v="0"/>
    <n v="0"/>
    <n v="1"/>
    <n v="60000"/>
    <n v="25000"/>
    <s v="DISC20"/>
    <n v="0.2"/>
    <n v="12000"/>
    <n v="48000"/>
    <n v="35000"/>
    <n v="23000"/>
    <s v="Promo Lebaran"/>
    <x v="0"/>
    <s v="SP"/>
    <x v="4"/>
    <x v="105"/>
  </r>
  <r>
    <n v="136"/>
    <s v="0136"/>
    <s v="ORD-SP-0136-25/04/24"/>
    <s v="[{item_code: SW001, quantity: 3, rating: 4}, {item_code: PW001, quantity: 1, rating: 4}]"/>
    <s v="SW001"/>
    <x v="8"/>
    <s v="Sepatu Wanita"/>
    <s v="3"/>
    <s v="4"/>
    <n v="150000"/>
    <n v="70000"/>
    <s v="PW001"/>
    <s v="Dress"/>
    <s v="Pakaian Wanita"/>
    <s v="1"/>
    <s v="4"/>
    <n v="150000"/>
    <n v="55000"/>
    <s v="-"/>
    <s v="-"/>
    <s v="-"/>
    <n v="0"/>
    <s v="-"/>
    <n v="0"/>
    <n v="0"/>
    <n v="4"/>
    <n v="600000"/>
    <n v="265000"/>
    <s v="DISC20"/>
    <n v="0.2"/>
    <n v="120000"/>
    <n v="480000"/>
    <n v="335000"/>
    <n v="215000"/>
    <s v="Promo Lebaran"/>
    <x v="0"/>
    <s v="SP"/>
    <x v="3"/>
    <x v="106"/>
  </r>
  <r>
    <n v="276"/>
    <s v="0276"/>
    <s v="ORD-TK-0276-25/04/24"/>
    <s v="[{item_code: SP002, quantity: 1, rating: 5}, {item_code: PW001, quantity: 1, rating: 2}]"/>
    <s v="SP002"/>
    <x v="1"/>
    <s v="Sepatu Pria"/>
    <s v="1"/>
    <s v="5"/>
    <n v="120000"/>
    <n v="60000"/>
    <s v="PW001"/>
    <s v="Dress"/>
    <s v="Pakaian Wanita"/>
    <s v="1"/>
    <s v="2"/>
    <n v="150000"/>
    <n v="55000"/>
    <s v="-"/>
    <s v="-"/>
    <s v="-"/>
    <n v="0"/>
    <s v="-"/>
    <n v="0"/>
    <n v="0"/>
    <n v="2"/>
    <n v="270000"/>
    <n v="115000"/>
    <s v="DISCAPRIL"/>
    <n v="0.1"/>
    <n v="27000"/>
    <n v="243000"/>
    <n v="155000"/>
    <n v="128000"/>
    <s v="Promo 4.4"/>
    <x v="1"/>
    <s v="TK"/>
    <x v="4"/>
    <x v="106"/>
  </r>
  <r>
    <n v="321"/>
    <s v="0321"/>
    <s v="ORD-BB-0321-25/04/24"/>
    <s v="[{item_code: PP001, quantity: 2, rating: 5}, {item_code: PP002, quantity: 2, rating: 1}, {item_code: SP002, quantity: 2, rating: 3}]"/>
    <s v="PP001"/>
    <x v="0"/>
    <s v="Pakaian Pria"/>
    <s v="2"/>
    <s v="5"/>
    <n v="80000"/>
    <n v="30000"/>
    <s v="PP002"/>
    <s v="Celana Pendek"/>
    <s v="Pakaian Pria"/>
    <s v="2"/>
    <s v="1"/>
    <n v="60000"/>
    <n v="25000"/>
    <s v="SP002"/>
    <s v="Sandal Slip On"/>
    <s v="Sepatu Pria"/>
    <s v="2"/>
    <s v="3"/>
    <n v="120000"/>
    <n v="60000"/>
    <n v="6"/>
    <n v="520000"/>
    <n v="230000"/>
    <s v="BELI44"/>
    <n v="0.15"/>
    <n v="78000"/>
    <n v="442000"/>
    <n v="290000"/>
    <n v="212000"/>
    <s v="Promo 4.4"/>
    <x v="3"/>
    <s v="BB"/>
    <x v="1"/>
    <x v="106"/>
  </r>
  <r>
    <n v="667"/>
    <s v="0667"/>
    <s v="ORD-BL-0667-26/04/24"/>
    <s v="[{item_code: PW002, quantity: 5, rating: 4}]"/>
    <s v="PW002"/>
    <x v="4"/>
    <s v="Pakaian Wanita"/>
    <s v="5"/>
    <s v="4"/>
    <n v="125000"/>
    <n v="50000"/>
    <s v="-"/>
    <s v="-"/>
    <s v="-"/>
    <n v="0"/>
    <s v="-"/>
    <n v="0"/>
    <n v="0"/>
    <s v="-"/>
    <s v="-"/>
    <s v="-"/>
    <n v="0"/>
    <s v="-"/>
    <n v="0"/>
    <n v="0"/>
    <n v="5"/>
    <n v="625000"/>
    <n v="250000"/>
    <s v="BUKALEBAR"/>
    <n v="0.15"/>
    <n v="93750"/>
    <n v="531250"/>
    <n v="375000"/>
    <n v="281250"/>
    <s v="Promo Lebaran"/>
    <x v="2"/>
    <s v="BL"/>
    <x v="1"/>
    <x v="107"/>
  </r>
  <r>
    <n v="13"/>
    <s v="0013"/>
    <s v="ORD-TK-0013-27/04/24"/>
    <s v="[{item_code: PP001, quantity: 3, rating: 1}, {item_code: PP001, quantity: 1, rating: 1}, {item_code: PP001, quantity: 1, rating: 4}]"/>
    <s v="PP001"/>
    <x v="0"/>
    <s v="Pakaian Pria"/>
    <s v="3"/>
    <s v="1"/>
    <n v="80000"/>
    <n v="30000"/>
    <s v="PP001"/>
    <s v="Kaos Polo"/>
    <s v="Pakaian Pria"/>
    <s v="1"/>
    <s v="1"/>
    <n v="80000"/>
    <n v="30000"/>
    <s v="PP001"/>
    <s v="Kaos Polo"/>
    <s v="Pakaian Pria"/>
    <s v="1"/>
    <s v="4"/>
    <n v="80000"/>
    <n v="30000"/>
    <n v="5"/>
    <n v="400000"/>
    <n v="150000"/>
    <s v="DISCAPRIL"/>
    <n v="0.1"/>
    <n v="40000"/>
    <n v="360000"/>
    <n v="250000"/>
    <n v="210000"/>
    <s v="Promo 4.4"/>
    <x v="1"/>
    <s v="TK"/>
    <x v="0"/>
    <x v="108"/>
  </r>
  <r>
    <n v="82"/>
    <s v="0082"/>
    <s v="ORD-TK-0082-27/04/24"/>
    <s v="[{item_code: PW001, quantity: 2, rating: 3}, {item_code: PP002, quantity: 1, rating: 4}]"/>
    <s v="PW001"/>
    <x v="2"/>
    <s v="Pakaian Wanita"/>
    <s v="2"/>
    <s v="3"/>
    <n v="150000"/>
    <n v="55000"/>
    <s v="PP002"/>
    <s v="Celana Pendek"/>
    <s v="Pakaian Pria"/>
    <s v="1"/>
    <s v="4"/>
    <n v="60000"/>
    <n v="25000"/>
    <s v="-"/>
    <s v="-"/>
    <s v="-"/>
    <n v="0"/>
    <s v="-"/>
    <n v="0"/>
    <n v="0"/>
    <n v="3"/>
    <n v="360000"/>
    <n v="135000"/>
    <s v="DISCAPRIL"/>
    <n v="0.1"/>
    <n v="36000"/>
    <n v="324000"/>
    <n v="225000"/>
    <n v="189000"/>
    <s v="Promo 4.4"/>
    <x v="1"/>
    <s v="TK"/>
    <x v="3"/>
    <x v="108"/>
  </r>
  <r>
    <n v="239"/>
    <s v="0239"/>
    <s v="ORD-SP-0239-27/04/24"/>
    <s v="[{item_code: PW003, quantity: 4, rating: 4}]"/>
    <s v="PW003"/>
    <x v="3"/>
    <s v="Pakaian Wanita"/>
    <s v="4"/>
    <s v="4"/>
    <n v="200000"/>
    <n v="100000"/>
    <s v="-"/>
    <s v="-"/>
    <s v="-"/>
    <n v="0"/>
    <s v="-"/>
    <n v="0"/>
    <n v="0"/>
    <s v="-"/>
    <s v="-"/>
    <s v="-"/>
    <n v="0"/>
    <s v="-"/>
    <n v="0"/>
    <n v="0"/>
    <n v="4"/>
    <n v="800000"/>
    <n v="400000"/>
    <s v="-"/>
    <n v="0"/>
    <n v="0"/>
    <n v="800000"/>
    <n v="400000"/>
    <n v="400000"/>
    <s v="-"/>
    <x v="0"/>
    <s v="SP"/>
    <x v="4"/>
    <x v="108"/>
  </r>
  <r>
    <n v="250"/>
    <s v="0250"/>
    <s v="ORD-SP-0250-27/04/24"/>
    <s v="[{item_code: PW003, quantity: 1, rating: 2}, {item_code: PU001, quantity: 1, rating: 3}]"/>
    <s v="PW003"/>
    <x v="3"/>
    <s v="Pakaian Wanita"/>
    <s v="1"/>
    <s v="2"/>
    <n v="200000"/>
    <n v="100000"/>
    <s v="PU001"/>
    <s v="Jaket Hoodie"/>
    <s v="Pakaian Unisex"/>
    <s v="1"/>
    <s v="3"/>
    <n v="160000"/>
    <n v="60000"/>
    <s v="-"/>
    <s v="-"/>
    <s v="-"/>
    <n v="0"/>
    <s v="-"/>
    <n v="0"/>
    <n v="0"/>
    <n v="2"/>
    <n v="360000"/>
    <n v="160000"/>
    <s v="DISC20"/>
    <n v="0.2"/>
    <n v="72000"/>
    <n v="288000"/>
    <n v="200000"/>
    <n v="128000"/>
    <s v="Promo Lebaran"/>
    <x v="0"/>
    <s v="SP"/>
    <x v="1"/>
    <x v="108"/>
  </r>
  <r>
    <n v="666"/>
    <s v="0666"/>
    <s v="ORD-SP-0666-28/04/24"/>
    <s v="[{item_code: SP002, quantity: 6, rating: 1}]"/>
    <s v="SP002"/>
    <x v="1"/>
    <s v="Sepatu Pria"/>
    <s v="6"/>
    <s v="1"/>
    <n v="120000"/>
    <n v="60000"/>
    <s v="-"/>
    <s v="-"/>
    <s v="-"/>
    <n v="0"/>
    <s v="-"/>
    <n v="0"/>
    <n v="0"/>
    <s v="-"/>
    <s v="-"/>
    <s v="-"/>
    <n v="0"/>
    <s v="-"/>
    <n v="0"/>
    <n v="0"/>
    <n v="6"/>
    <n v="720000"/>
    <n v="360000"/>
    <s v="-"/>
    <n v="0"/>
    <n v="0"/>
    <n v="720000"/>
    <n v="360000"/>
    <n v="360000"/>
    <s v="-"/>
    <x v="0"/>
    <s v="SP"/>
    <x v="3"/>
    <x v="109"/>
  </r>
  <r>
    <n v="897"/>
    <s v="0897"/>
    <s v="ORD-BL-0897-28/04/24"/>
    <s v="[{item_code: SP001, quantity: 3, rating: 4}, {item_code: PU001, quantity: 3, rating: 3}]"/>
    <s v="SP001"/>
    <x v="9"/>
    <s v="Sepatu Pria"/>
    <s v="3"/>
    <s v="4"/>
    <n v="300000"/>
    <n v="100000"/>
    <s v="PU001"/>
    <s v="Jaket Hoodie"/>
    <s v="Pakaian Unisex"/>
    <s v="3"/>
    <s v="3"/>
    <n v="160000"/>
    <n v="60000"/>
    <s v="-"/>
    <s v="-"/>
    <s v="-"/>
    <n v="0"/>
    <s v="-"/>
    <n v="0"/>
    <n v="0"/>
    <n v="6"/>
    <n v="1380000"/>
    <n v="480000"/>
    <s v="BUKALEBAR"/>
    <n v="0.15"/>
    <n v="207000"/>
    <n v="1173000"/>
    <n v="900000"/>
    <n v="693000"/>
    <s v="Promo Lebaran"/>
    <x v="2"/>
    <s v="BL"/>
    <x v="3"/>
    <x v="109"/>
  </r>
  <r>
    <n v="942"/>
    <s v="0942"/>
    <s v="ORD-BB-0942-28/04/24"/>
    <s v="[{item_code: PP001, quantity: 5, rating: 5}, {item_code: PW003, quantity: 1, rating: 2}]"/>
    <s v="PP001"/>
    <x v="0"/>
    <s v="Pakaian Pria"/>
    <s v="5"/>
    <s v="5"/>
    <n v="80000"/>
    <n v="30000"/>
    <s v="PW003"/>
    <s v="Kaftan"/>
    <s v="Pakaian Wanita"/>
    <s v="1"/>
    <s v="2"/>
    <n v="200000"/>
    <n v="100000"/>
    <s v="-"/>
    <s v="-"/>
    <s v="-"/>
    <n v="0"/>
    <s v="-"/>
    <n v="0"/>
    <n v="0"/>
    <n v="6"/>
    <n v="600000"/>
    <n v="250000"/>
    <s v="BELI44"/>
    <n v="0.15"/>
    <n v="90000"/>
    <n v="510000"/>
    <n v="350000"/>
    <n v="260000"/>
    <s v="Promo 4.4"/>
    <x v="3"/>
    <s v="BB"/>
    <x v="3"/>
    <x v="109"/>
  </r>
  <r>
    <n v="384"/>
    <s v="0384"/>
    <s v="ORD-SP-0384-29/04/24"/>
    <s v="[{item_code: SP001, quantity: 2, rating: 3}, {item_code: PP003, quantity: 1, rating: 4}]"/>
    <s v="SP001"/>
    <x v="9"/>
    <s v="Sepatu Pria"/>
    <s v="2"/>
    <s v="3"/>
    <n v="300000"/>
    <n v="100000"/>
    <s v="PP003"/>
    <s v="Jaket Jeans"/>
    <s v="Pakaian Pria"/>
    <s v="1"/>
    <s v="4"/>
    <n v="150000"/>
    <n v="70000"/>
    <s v="-"/>
    <s v="-"/>
    <s v="-"/>
    <n v="0"/>
    <s v="-"/>
    <n v="0"/>
    <n v="0"/>
    <n v="3"/>
    <n v="750000"/>
    <n v="270000"/>
    <s v="DISC15"/>
    <n v="0.15"/>
    <n v="112500"/>
    <n v="637500"/>
    <n v="480000"/>
    <n v="367500"/>
    <s v="Promo 4.4"/>
    <x v="0"/>
    <s v="SP"/>
    <x v="1"/>
    <x v="110"/>
  </r>
  <r>
    <n v="285"/>
    <s v="0285"/>
    <s v="ORD-SP-0285-30/04/24"/>
    <s v="[{item_code: PW003, quantity: 2, rating: 3}, {item_code: SW001, quantity: 3, rating: 5}]"/>
    <s v="PW003"/>
    <x v="3"/>
    <s v="Pakaian Wanita"/>
    <s v="2"/>
    <s v="3"/>
    <n v="200000"/>
    <n v="100000"/>
    <s v="SW001"/>
    <s v="Flat Shoes"/>
    <s v="Sepatu Wanita"/>
    <s v="3"/>
    <s v="5"/>
    <n v="150000"/>
    <n v="70000"/>
    <s v="-"/>
    <s v="-"/>
    <s v="-"/>
    <n v="0"/>
    <s v="-"/>
    <n v="0"/>
    <n v="0"/>
    <n v="5"/>
    <n v="850000"/>
    <n v="410000"/>
    <s v="DISC20"/>
    <n v="0.2"/>
    <n v="170000"/>
    <n v="680000"/>
    <n v="440000"/>
    <n v="270000"/>
    <s v="Promo Lebaran"/>
    <x v="0"/>
    <s v="SP"/>
    <x v="4"/>
    <x v="111"/>
  </r>
  <r>
    <n v="322"/>
    <s v="0322"/>
    <s v="ORD-SP-0322-30/04/24"/>
    <s v="[{item_code: SP001, quantity: 2, rating: 1}]"/>
    <s v="SP001"/>
    <x v="9"/>
    <s v="Sepatu Pria"/>
    <s v="2"/>
    <s v="1"/>
    <n v="300000"/>
    <n v="100000"/>
    <s v="-"/>
    <s v="-"/>
    <s v="-"/>
    <n v="0"/>
    <s v="-"/>
    <n v="0"/>
    <n v="0"/>
    <s v="-"/>
    <s v="-"/>
    <s v="-"/>
    <n v="0"/>
    <s v="-"/>
    <n v="0"/>
    <n v="0"/>
    <n v="2"/>
    <n v="600000"/>
    <n v="200000"/>
    <s v="DISC15"/>
    <n v="0.15"/>
    <n v="90000"/>
    <n v="510000"/>
    <n v="400000"/>
    <n v="310000"/>
    <s v="Promo 4.4"/>
    <x v="0"/>
    <s v="SP"/>
    <x v="3"/>
    <x v="111"/>
  </r>
  <r>
    <n v="572"/>
    <s v="0572"/>
    <s v="ORD-TK-0572-30/04/24"/>
    <s v="[{item_code: PW002, quantity: 1, rating: 2}]"/>
    <s v="PW002"/>
    <x v="4"/>
    <s v="Pakaian Wanita"/>
    <s v="1"/>
    <s v="2"/>
    <n v="125000"/>
    <n v="50000"/>
    <s v="-"/>
    <s v="-"/>
    <s v="-"/>
    <n v="0"/>
    <s v="-"/>
    <n v="0"/>
    <n v="0"/>
    <s v="-"/>
    <s v="-"/>
    <s v="-"/>
    <n v="0"/>
    <s v="-"/>
    <n v="0"/>
    <n v="0"/>
    <n v="1"/>
    <n v="125000"/>
    <n v="50000"/>
    <s v="DISCAPRIL"/>
    <n v="0.1"/>
    <n v="12500"/>
    <n v="112500"/>
    <n v="75000"/>
    <n v="62500"/>
    <s v="Promo 4.4"/>
    <x v="1"/>
    <s v="TK"/>
    <x v="1"/>
    <x v="111"/>
  </r>
  <r>
    <n v="697"/>
    <s v="0697"/>
    <s v="ORD-TK-0697-30/04/24"/>
    <s v="[{item_code: SP001, quantity: 2, rating: 3}]"/>
    <s v="SP001"/>
    <x v="9"/>
    <s v="Sepatu Pria"/>
    <s v="2"/>
    <s v="3"/>
    <n v="300000"/>
    <n v="100000"/>
    <s v="-"/>
    <s v="-"/>
    <s v="-"/>
    <n v="0"/>
    <s v="-"/>
    <n v="0"/>
    <n v="0"/>
    <s v="-"/>
    <s v="-"/>
    <s v="-"/>
    <n v="0"/>
    <s v="-"/>
    <n v="0"/>
    <n v="0"/>
    <n v="2"/>
    <n v="600000"/>
    <n v="200000"/>
    <s v="DISCAPRIL"/>
    <n v="0.1"/>
    <n v="60000"/>
    <n v="540000"/>
    <n v="400000"/>
    <n v="340000"/>
    <s v="Promo 4.4"/>
    <x v="1"/>
    <s v="TK"/>
    <x v="1"/>
    <x v="111"/>
  </r>
  <r>
    <n v="35"/>
    <s v="0035"/>
    <s v="ORD-TK-0035-01/05/24"/>
    <s v="[{item_code: PW003, quantity: 2, rating: 2}, {item_code: PP003, quantity: 1, rating: 2}]"/>
    <s v="PW003"/>
    <x v="3"/>
    <s v="Pakaian Wanita"/>
    <s v="2"/>
    <s v="2"/>
    <n v="200000"/>
    <n v="100000"/>
    <s v="PP003"/>
    <s v="Jaket Jeans"/>
    <s v="Pakaian Pria"/>
    <s v="1"/>
    <s v="2"/>
    <n v="150000"/>
    <n v="70000"/>
    <s v="-"/>
    <s v="-"/>
    <s v="-"/>
    <n v="0"/>
    <s v="-"/>
    <n v="0"/>
    <n v="0"/>
    <n v="3"/>
    <n v="550000"/>
    <n v="270000"/>
    <s v="DISCAPRIL"/>
    <n v="0.1"/>
    <n v="55000"/>
    <n v="495000"/>
    <n v="280000"/>
    <n v="225000"/>
    <s v="Promo 4.4"/>
    <x v="1"/>
    <s v="TK"/>
    <x v="3"/>
    <x v="112"/>
  </r>
  <r>
    <n v="99"/>
    <s v="0099"/>
    <s v="ORD-TK-0099-01/05/24"/>
    <s v="[{item_code: PP002, quantity: 3, rating: 5}, {item_code: PW002, quantity: 1, rating: 5}, {item_code: PP002, quantity: 1, rating: 3}]"/>
    <s v="PP002"/>
    <x v="5"/>
    <s v="Pakaian Pria"/>
    <s v="3"/>
    <s v="5"/>
    <n v="60000"/>
    <n v="25000"/>
    <s v="PW002"/>
    <s v="Blouse"/>
    <s v="Pakaian Wanita"/>
    <s v="1"/>
    <s v="5"/>
    <n v="125000"/>
    <n v="50000"/>
    <s v="PP002"/>
    <s v="Celana Pendek"/>
    <s v="Pakaian Pria"/>
    <s v="1"/>
    <s v="3"/>
    <n v="60000"/>
    <n v="25000"/>
    <n v="5"/>
    <n v="365000"/>
    <n v="150000"/>
    <s v="DISCAPRIL"/>
    <n v="0.1"/>
    <n v="36500"/>
    <n v="328500"/>
    <n v="215000"/>
    <n v="178500"/>
    <s v="Promo 4.4"/>
    <x v="1"/>
    <s v="TK"/>
    <x v="2"/>
    <x v="112"/>
  </r>
  <r>
    <n v="161"/>
    <s v="0161"/>
    <s v="ORD-SP-0161-01/05/24"/>
    <s v="[{item_code: PP003, quantity: 3, rating: 2}, {item_code: SW001, quantity: 1, rating: 5}]"/>
    <s v="PP003"/>
    <x v="6"/>
    <s v="Pakaian Pria"/>
    <s v="3"/>
    <s v="2"/>
    <n v="150000"/>
    <n v="70000"/>
    <s v="SW001"/>
    <s v="Flat Shoes"/>
    <s v="Sepatu Wanita"/>
    <s v="1"/>
    <s v="5"/>
    <n v="150000"/>
    <n v="70000"/>
    <s v="-"/>
    <s v="-"/>
    <s v="-"/>
    <n v="0"/>
    <s v="-"/>
    <n v="0"/>
    <n v="0"/>
    <n v="4"/>
    <n v="600000"/>
    <n v="280000"/>
    <s v="DISC20"/>
    <n v="0.2"/>
    <n v="120000"/>
    <n v="480000"/>
    <n v="320000"/>
    <n v="200000"/>
    <s v="Promo Lebaran"/>
    <x v="0"/>
    <s v="SP"/>
    <x v="1"/>
    <x v="112"/>
  </r>
  <r>
    <n v="205"/>
    <s v="0205"/>
    <s v="ORD-BL-0205-01/05/24"/>
    <s v="[{item_code: SP002, quantity: 1, rating: 5}]"/>
    <s v="SP002"/>
    <x v="1"/>
    <s v="Sepatu Pria"/>
    <s v="1"/>
    <s v="5"/>
    <n v="120000"/>
    <n v="60000"/>
    <s v="-"/>
    <s v="-"/>
    <s v="-"/>
    <n v="0"/>
    <s v="-"/>
    <n v="0"/>
    <n v="0"/>
    <s v="-"/>
    <s v="-"/>
    <s v="-"/>
    <n v="0"/>
    <s v="-"/>
    <n v="0"/>
    <n v="0"/>
    <n v="1"/>
    <n v="120000"/>
    <n v="60000"/>
    <s v="BUKALEBAR"/>
    <n v="0.15"/>
    <n v="18000"/>
    <n v="102000"/>
    <n v="60000"/>
    <n v="42000"/>
    <s v="Promo Lebaran"/>
    <x v="2"/>
    <s v="BL"/>
    <x v="0"/>
    <x v="112"/>
  </r>
  <r>
    <n v="332"/>
    <s v="0332"/>
    <s v="ORD-SP-0332-01/05/24"/>
    <s v="[{item_code: PP003, quantity: 2, rating: 4}, {item_code: PP002, quantity: 1, rating: 5}, {item_code: PP002, quantity: 2, rating: 1}]"/>
    <s v="PP003"/>
    <x v="6"/>
    <s v="Pakaian Pria"/>
    <s v="2"/>
    <s v="4"/>
    <n v="150000"/>
    <n v="70000"/>
    <s v="PP002"/>
    <s v="Celana Pendek"/>
    <s v="Pakaian Pria"/>
    <s v="1"/>
    <s v="5"/>
    <n v="60000"/>
    <n v="25000"/>
    <s v="PP002"/>
    <s v="Celana Pendek"/>
    <s v="Pakaian Pria"/>
    <s v="2"/>
    <s v="1"/>
    <n v="60000"/>
    <n v="25000"/>
    <n v="5"/>
    <n v="480000"/>
    <n v="215000"/>
    <s v="DISC15"/>
    <n v="0.15"/>
    <n v="72000"/>
    <n v="408000"/>
    <n v="265000"/>
    <n v="193000"/>
    <s v="Promo 4.4"/>
    <x v="0"/>
    <s v="SP"/>
    <x v="3"/>
    <x v="112"/>
  </r>
  <r>
    <n v="363"/>
    <s v="0363"/>
    <s v="ORD-TK-0363-01/05/24"/>
    <s v="[{item_code: PP002, quantity: 1, rating: 5}, {item_code: PW001, quantity: 2, rating: 5}]"/>
    <s v="PP002"/>
    <x v="5"/>
    <s v="Pakaian Pria"/>
    <s v="1"/>
    <s v="5"/>
    <n v="60000"/>
    <n v="25000"/>
    <s v="PW001"/>
    <s v="Dress"/>
    <s v="Pakaian Wanita"/>
    <s v="2"/>
    <s v="5"/>
    <n v="150000"/>
    <n v="55000"/>
    <s v="-"/>
    <s v="-"/>
    <s v="-"/>
    <n v="0"/>
    <s v="-"/>
    <n v="0"/>
    <n v="0"/>
    <n v="3"/>
    <n v="360000"/>
    <n v="135000"/>
    <s v="-"/>
    <n v="0"/>
    <n v="0"/>
    <n v="360000"/>
    <n v="225000"/>
    <n v="225000"/>
    <s v="-"/>
    <x v="1"/>
    <s v="TK"/>
    <x v="0"/>
    <x v="112"/>
  </r>
  <r>
    <n v="524"/>
    <s v="0524"/>
    <s v="ORD-BL-0524-01/05/24"/>
    <s v="[{item_code: SW001, quantity: 4, rating: 2}, {item_code: PW001, quantity: 1, rating: 3}]"/>
    <s v="SW001"/>
    <x v="8"/>
    <s v="Sepatu Wanita"/>
    <s v="4"/>
    <s v="2"/>
    <n v="150000"/>
    <n v="70000"/>
    <s v="PW001"/>
    <s v="Dress"/>
    <s v="Pakaian Wanita"/>
    <s v="1"/>
    <s v="3"/>
    <n v="150000"/>
    <n v="55000"/>
    <s v="-"/>
    <s v="-"/>
    <s v="-"/>
    <n v="0"/>
    <s v="-"/>
    <n v="0"/>
    <n v="0"/>
    <n v="5"/>
    <n v="750000"/>
    <n v="335000"/>
    <s v="BUKALEBAR"/>
    <n v="0.15"/>
    <n v="112500"/>
    <n v="637500"/>
    <n v="415000"/>
    <n v="302500"/>
    <s v="Promo Lebaran"/>
    <x v="2"/>
    <s v="BL"/>
    <x v="1"/>
    <x v="112"/>
  </r>
  <r>
    <n v="748"/>
    <s v="0748"/>
    <s v="ORD-SP-0748-01/05/24"/>
    <s v="[{item_code: SP002, quantity: 2, rating: 2}]"/>
    <s v="SP002"/>
    <x v="1"/>
    <s v="Sepatu Pria"/>
    <s v="2"/>
    <s v="2"/>
    <n v="120000"/>
    <n v="60000"/>
    <s v="-"/>
    <s v="-"/>
    <s v="-"/>
    <n v="0"/>
    <s v="-"/>
    <n v="0"/>
    <n v="0"/>
    <s v="-"/>
    <s v="-"/>
    <s v="-"/>
    <n v="0"/>
    <s v="-"/>
    <n v="0"/>
    <n v="0"/>
    <n v="2"/>
    <n v="240000"/>
    <n v="120000"/>
    <s v="DISC15"/>
    <n v="0.15"/>
    <n v="36000"/>
    <n v="204000"/>
    <n v="120000"/>
    <n v="84000"/>
    <s v="Promo 4.4"/>
    <x v="0"/>
    <s v="SP"/>
    <x v="3"/>
    <x v="112"/>
  </r>
  <r>
    <n v="123"/>
    <s v="0123"/>
    <s v="ORD-SP-0123-02/05/24"/>
    <s v="[{item_code: PP003, quantity: 3, rating: 5}, {item_code: SP001, quantity: 1, rating: 3}]"/>
    <s v="PP003"/>
    <x v="6"/>
    <s v="Pakaian Pria"/>
    <s v="3"/>
    <s v="5"/>
    <n v="150000"/>
    <n v="70000"/>
    <s v="SP001"/>
    <s v="Sneakers"/>
    <s v="Sepatu Pria"/>
    <s v="1"/>
    <s v="3"/>
    <n v="300000"/>
    <n v="100000"/>
    <s v="-"/>
    <s v="-"/>
    <s v="-"/>
    <n v="0"/>
    <s v="-"/>
    <n v="0"/>
    <n v="0"/>
    <n v="4"/>
    <n v="750000"/>
    <n v="310000"/>
    <s v="DISC10"/>
    <n v="0.1"/>
    <n v="75000"/>
    <n v="675000"/>
    <n v="440000"/>
    <n v="365000"/>
    <s v="Promo 4.4"/>
    <x v="0"/>
    <s v="SP"/>
    <x v="1"/>
    <x v="113"/>
  </r>
  <r>
    <n v="166"/>
    <s v="0166"/>
    <s v="ORD-TK-0166-02/05/24"/>
    <s v="[{item_code: PP002, quantity: 1, rating: 4}, {item_code: PP001, quantity: 4, rating: 1}]"/>
    <s v="PP002"/>
    <x v="5"/>
    <s v="Pakaian Pria"/>
    <s v="1"/>
    <s v="4"/>
    <n v="60000"/>
    <n v="25000"/>
    <s v="PP001"/>
    <s v="Kaos Polo"/>
    <s v="Pakaian Pria"/>
    <s v="4"/>
    <s v="1"/>
    <n v="80000"/>
    <n v="30000"/>
    <s v="-"/>
    <s v="-"/>
    <s v="-"/>
    <n v="0"/>
    <s v="-"/>
    <n v="0"/>
    <n v="0"/>
    <n v="5"/>
    <n v="380000"/>
    <n v="145000"/>
    <s v="LEBAR10"/>
    <n v="0.1"/>
    <n v="38000"/>
    <n v="342000"/>
    <n v="235000"/>
    <n v="197000"/>
    <s v="Promo Lebaran"/>
    <x v="1"/>
    <s v="TK"/>
    <x v="4"/>
    <x v="113"/>
  </r>
  <r>
    <n v="517"/>
    <s v="0517"/>
    <s v="ORD-SP-0517-02/05/24"/>
    <s v="[{item_code: SP001, quantity: 4, rating: 2}, {item_code: PW002, quantity: 1, rating: 4}]"/>
    <s v="SP001"/>
    <x v="9"/>
    <s v="Sepatu Pria"/>
    <s v="4"/>
    <s v="2"/>
    <n v="300000"/>
    <n v="100000"/>
    <s v="PW002"/>
    <s v="Blouse"/>
    <s v="Pakaian Wanita"/>
    <s v="1"/>
    <s v="4"/>
    <n v="125000"/>
    <n v="50000"/>
    <s v="-"/>
    <s v="-"/>
    <s v="-"/>
    <n v="0"/>
    <s v="-"/>
    <n v="0"/>
    <n v="0"/>
    <n v="5"/>
    <n v="1325000"/>
    <n v="450000"/>
    <s v="-"/>
    <n v="0"/>
    <n v="0"/>
    <n v="1325000"/>
    <n v="875000"/>
    <n v="875000"/>
    <s v="-"/>
    <x v="0"/>
    <s v="SP"/>
    <x v="0"/>
    <x v="113"/>
  </r>
  <r>
    <n v="576"/>
    <s v="0576"/>
    <s v="ORD-BL-0576-02/05/24"/>
    <s v="[{item_code: PP002, quantity: 4, rating: 1}, {item_code: PW001, quantity: 2, rating: 5}]"/>
    <s v="PP002"/>
    <x v="5"/>
    <s v="Pakaian Pria"/>
    <s v="4"/>
    <s v="1"/>
    <n v="60000"/>
    <n v="25000"/>
    <s v="PW001"/>
    <s v="Dress"/>
    <s v="Pakaian Wanita"/>
    <s v="2"/>
    <s v="5"/>
    <n v="150000"/>
    <n v="55000"/>
    <s v="-"/>
    <s v="-"/>
    <s v="-"/>
    <n v="0"/>
    <s v="-"/>
    <n v="0"/>
    <n v="0"/>
    <n v="6"/>
    <n v="540000"/>
    <n v="210000"/>
    <s v="BUKALEBAR"/>
    <n v="0.15"/>
    <n v="81000"/>
    <n v="459000"/>
    <n v="330000"/>
    <n v="249000"/>
    <s v="Promo Lebaran"/>
    <x v="2"/>
    <s v="BL"/>
    <x v="4"/>
    <x v="113"/>
  </r>
  <r>
    <n v="794"/>
    <s v="0794"/>
    <s v="ORD-BL-0794-03/05/24"/>
    <s v="[{item_code: PP001, quantity: 1, rating: 2}, {item_code: PP002, quantity: 1, rating: 1}, {item_code: SP002, quantity: 1, rating: 4}]"/>
    <s v="PP001"/>
    <x v="0"/>
    <s v="Pakaian Pria"/>
    <s v="1"/>
    <s v="2"/>
    <n v="80000"/>
    <n v="30000"/>
    <s v="PP002"/>
    <s v="Celana Pendek"/>
    <s v="Pakaian Pria"/>
    <s v="1"/>
    <s v="1"/>
    <n v="60000"/>
    <n v="25000"/>
    <s v="SP002"/>
    <s v="Sandal Slip On"/>
    <s v="Sepatu Pria"/>
    <s v="1"/>
    <s v="4"/>
    <n v="120000"/>
    <n v="60000"/>
    <n v="3"/>
    <n v="260000"/>
    <n v="115000"/>
    <s v="-"/>
    <n v="0"/>
    <n v="0"/>
    <n v="260000"/>
    <n v="145000"/>
    <n v="145000"/>
    <s v="-"/>
    <x v="2"/>
    <s v="BL"/>
    <x v="3"/>
    <x v="114"/>
  </r>
  <r>
    <n v="884"/>
    <s v="0884"/>
    <s v="ORD-SP-0884-03/05/24"/>
    <s v="[{item_code: PP003, quantity: 1, rating: 3}, {item_code: SP002, quantity: 1, rating: 4}, {item_code: PP002, quantity: 3, rating: 5}]"/>
    <s v="PP003"/>
    <x v="6"/>
    <s v="Pakaian Pria"/>
    <s v="1"/>
    <s v="3"/>
    <n v="150000"/>
    <n v="70000"/>
    <s v="SP002"/>
    <s v="Sandal Slip On"/>
    <s v="Sepatu Pria"/>
    <s v="1"/>
    <s v="4"/>
    <n v="120000"/>
    <n v="60000"/>
    <s v="PP002"/>
    <s v="Celana Pendek"/>
    <s v="Pakaian Pria"/>
    <s v="3"/>
    <s v="5"/>
    <n v="60000"/>
    <n v="25000"/>
    <n v="5"/>
    <n v="450000"/>
    <n v="205000"/>
    <s v="DISC15"/>
    <n v="0.15"/>
    <n v="67500"/>
    <n v="382500"/>
    <n v="245000"/>
    <n v="177500"/>
    <s v="Promo 4.4"/>
    <x v="0"/>
    <s v="SP"/>
    <x v="5"/>
    <x v="114"/>
  </r>
  <r>
    <n v="25"/>
    <s v="0025"/>
    <s v="ORD-SP-0025-04/05/24"/>
    <s v="[{item_code: PU001, quantity: 1, rating: 1}, {item_code: PW001, quantity: 6, rating: 5}]"/>
    <s v="PU001"/>
    <x v="7"/>
    <s v="Pakaian Unisex"/>
    <s v="1"/>
    <s v="1"/>
    <n v="160000"/>
    <n v="60000"/>
    <s v="PW001"/>
    <s v="Dress"/>
    <s v="Pakaian Wanita"/>
    <s v="6"/>
    <s v="5"/>
    <n v="150000"/>
    <n v="55000"/>
    <s v="-"/>
    <s v="-"/>
    <s v="-"/>
    <n v="0"/>
    <s v="-"/>
    <n v="0"/>
    <n v="0"/>
    <n v="7"/>
    <n v="1060000"/>
    <n v="390000"/>
    <s v="DISC15"/>
    <n v="0.15"/>
    <n v="159000"/>
    <n v="901000"/>
    <n v="670000"/>
    <n v="511000"/>
    <s v="Promo 4.4"/>
    <x v="0"/>
    <s v="SP"/>
    <x v="3"/>
    <x v="115"/>
  </r>
  <r>
    <n v="491"/>
    <s v="0491"/>
    <s v="ORD-BB-0491-04/05/24"/>
    <s v="[{item_code: SP001, quantity: 1, rating: 1}, {item_code: PP002, quantity: 2, rating: 2}, {item_code: PP003, quantity: 1, rating: 2}]"/>
    <s v="SP001"/>
    <x v="9"/>
    <s v="Sepatu Pria"/>
    <s v="1"/>
    <s v="1"/>
    <n v="300000"/>
    <n v="100000"/>
    <s v="PP002"/>
    <s v="Celana Pendek"/>
    <s v="Pakaian Pria"/>
    <s v="2"/>
    <s v="2"/>
    <n v="60000"/>
    <n v="25000"/>
    <s v="PP003"/>
    <s v="Jaket Jeans"/>
    <s v="Pakaian Pria"/>
    <s v="1"/>
    <s v="2"/>
    <n v="150000"/>
    <n v="70000"/>
    <n v="4"/>
    <n v="570000"/>
    <n v="220000"/>
    <s v="BELI44"/>
    <n v="0.15"/>
    <n v="85500"/>
    <n v="484500"/>
    <n v="350000"/>
    <n v="264500"/>
    <s v="Promo 4.4"/>
    <x v="3"/>
    <s v="BB"/>
    <x v="3"/>
    <x v="115"/>
  </r>
  <r>
    <n v="561"/>
    <s v="0561"/>
    <s v="ORD-SP-0561-04/05/24"/>
    <s v="[{item_code: PW001, quantity: 3, rating: 4}, {item_code: PW002, quantity: 2, rating: 4}]"/>
    <s v="PW001"/>
    <x v="2"/>
    <s v="Pakaian Wanita"/>
    <s v="3"/>
    <s v="4"/>
    <n v="150000"/>
    <n v="55000"/>
    <s v="PW002"/>
    <s v="Blouse"/>
    <s v="Pakaian Wanita"/>
    <s v="2"/>
    <s v="4"/>
    <n v="125000"/>
    <n v="50000"/>
    <s v="-"/>
    <s v="-"/>
    <s v="-"/>
    <n v="0"/>
    <s v="-"/>
    <n v="0"/>
    <n v="0"/>
    <n v="5"/>
    <n v="700000"/>
    <n v="265000"/>
    <s v="DISC15"/>
    <n v="0.15"/>
    <n v="105000"/>
    <n v="595000"/>
    <n v="435000"/>
    <n v="330000"/>
    <s v="Promo 4.4"/>
    <x v="0"/>
    <s v="SP"/>
    <x v="3"/>
    <x v="115"/>
  </r>
  <r>
    <n v="58"/>
    <s v="0058"/>
    <s v="ORD-BB-0058-05/05/24"/>
    <s v="[{item_code: PW001, quantity: 2, rating: 5}]"/>
    <s v="PW001"/>
    <x v="2"/>
    <s v="Pakaian Wanita"/>
    <s v="2"/>
    <s v="5"/>
    <n v="150000"/>
    <n v="55000"/>
    <s v="-"/>
    <s v="-"/>
    <s v="-"/>
    <n v="0"/>
    <s v="-"/>
    <n v="0"/>
    <n v="0"/>
    <s v="-"/>
    <s v="-"/>
    <s v="-"/>
    <n v="0"/>
    <s v="-"/>
    <n v="0"/>
    <n v="0"/>
    <n v="2"/>
    <n v="300000"/>
    <n v="110000"/>
    <s v="BELI44"/>
    <n v="0.15"/>
    <n v="45000"/>
    <n v="255000"/>
    <n v="190000"/>
    <n v="145000"/>
    <s v="Promo 4.4"/>
    <x v="3"/>
    <s v="BB"/>
    <x v="3"/>
    <x v="116"/>
  </r>
  <r>
    <n v="254"/>
    <s v="0254"/>
    <s v="ORD-SP-0254-05/05/24"/>
    <s v="[{item_code: PP001, quantity: 6, rating: 4}]"/>
    <s v="PP001"/>
    <x v="0"/>
    <s v="Pakaian Pria"/>
    <s v="6"/>
    <s v="4"/>
    <n v="80000"/>
    <n v="30000"/>
    <s v="-"/>
    <s v="-"/>
    <s v="-"/>
    <n v="0"/>
    <s v="-"/>
    <n v="0"/>
    <n v="0"/>
    <s v="-"/>
    <s v="-"/>
    <s v="-"/>
    <n v="0"/>
    <s v="-"/>
    <n v="0"/>
    <n v="0"/>
    <n v="6"/>
    <n v="480000"/>
    <n v="180000"/>
    <s v="DISC10"/>
    <n v="0.1"/>
    <n v="48000"/>
    <n v="432000"/>
    <n v="300000"/>
    <n v="252000"/>
    <s v="Promo 4.4"/>
    <x v="0"/>
    <s v="SP"/>
    <x v="5"/>
    <x v="116"/>
  </r>
  <r>
    <n v="1"/>
    <s v="0001"/>
    <s v="ORD-BB-0001-06/05/24"/>
    <s v="[{item_code: PW001, quantity: 1, rating: 4}, {item_code: SP001, quantity: 3, rating: 4}, {item_code: SW001, quantity: 2, rating: 3}]"/>
    <s v="PW001"/>
    <x v="2"/>
    <s v="Pakaian Wanita"/>
    <s v="1"/>
    <s v="4"/>
    <n v="150000"/>
    <n v="55000"/>
    <s v="SP001"/>
    <s v="Sneakers"/>
    <s v="Sepatu Pria"/>
    <s v="3"/>
    <s v="4"/>
    <n v="300000"/>
    <n v="100000"/>
    <s v="SW001"/>
    <s v="Flat Shoes"/>
    <s v="Sepatu Wanita"/>
    <s v="2"/>
    <s v="3"/>
    <n v="150000"/>
    <n v="70000"/>
    <n v="6"/>
    <n v="1350000"/>
    <n v="495000"/>
    <s v="BELI44"/>
    <n v="0.15"/>
    <n v="202500"/>
    <n v="1147500"/>
    <n v="855000"/>
    <n v="652500"/>
    <s v="Promo 4.4"/>
    <x v="3"/>
    <s v="BB"/>
    <x v="4"/>
    <x v="117"/>
  </r>
  <r>
    <n v="81"/>
    <s v="0081"/>
    <s v="ORD-SP-0081-06/05/24"/>
    <s v="[{item_code: PP001, quantity: 1, rating: 5}, {item_code: PW003, quantity: 1, rating: 1}, {item_code: PU001, quantity: 1, rating: 3}]"/>
    <s v="PP001"/>
    <x v="0"/>
    <s v="Pakaian Pria"/>
    <s v="1"/>
    <s v="5"/>
    <n v="80000"/>
    <n v="30000"/>
    <s v="PW003"/>
    <s v="Kaftan"/>
    <s v="Pakaian Wanita"/>
    <s v="1"/>
    <s v="1"/>
    <n v="200000"/>
    <n v="100000"/>
    <s v="PU001"/>
    <s v="Jaket Hoodie"/>
    <s v="Pakaian Unisex"/>
    <s v="1"/>
    <s v="3"/>
    <n v="160000"/>
    <n v="60000"/>
    <n v="3"/>
    <n v="440000"/>
    <n v="190000"/>
    <s v="DISC10"/>
    <n v="0.1"/>
    <n v="44000"/>
    <n v="396000"/>
    <n v="250000"/>
    <n v="206000"/>
    <s v="Promo 4.4"/>
    <x v="0"/>
    <s v="SP"/>
    <x v="5"/>
    <x v="117"/>
  </r>
  <r>
    <n v="368"/>
    <s v="0368"/>
    <s v="ORD-SP-0368-06/05/24"/>
    <s v="[{item_code: PU001, quantity: 1, rating: 3}]"/>
    <s v="PU001"/>
    <x v="7"/>
    <s v="Pakaian Unisex"/>
    <s v="1"/>
    <s v="3"/>
    <n v="160000"/>
    <n v="60000"/>
    <s v="-"/>
    <s v="-"/>
    <s v="-"/>
    <n v="0"/>
    <s v="-"/>
    <n v="0"/>
    <n v="0"/>
    <s v="-"/>
    <s v="-"/>
    <s v="-"/>
    <n v="0"/>
    <s v="-"/>
    <n v="0"/>
    <n v="0"/>
    <n v="1"/>
    <n v="160000"/>
    <n v="60000"/>
    <s v="DISC10"/>
    <n v="0.1"/>
    <n v="16000"/>
    <n v="144000"/>
    <n v="100000"/>
    <n v="84000"/>
    <s v="Promo 4.4"/>
    <x v="0"/>
    <s v="SP"/>
    <x v="2"/>
    <x v="117"/>
  </r>
  <r>
    <n v="515"/>
    <s v="0515"/>
    <s v="ORD-SP-0515-06/05/24"/>
    <s v="[{item_code: PU001, quantity: 4, rating: 5}, {item_code: SP002, quantity: 2, rating: 1}]"/>
    <s v="PU001"/>
    <x v="7"/>
    <s v="Pakaian Unisex"/>
    <s v="4"/>
    <s v="5"/>
    <n v="160000"/>
    <n v="60000"/>
    <s v="SP002"/>
    <s v="Sandal Slip On"/>
    <s v="Sepatu Pria"/>
    <s v="2"/>
    <s v="1"/>
    <n v="120000"/>
    <n v="60000"/>
    <s v="-"/>
    <s v="-"/>
    <s v="-"/>
    <n v="0"/>
    <s v="-"/>
    <n v="0"/>
    <n v="0"/>
    <n v="6"/>
    <n v="880000"/>
    <n v="360000"/>
    <s v="DISC10"/>
    <n v="0.1"/>
    <n v="88000"/>
    <n v="792000"/>
    <n v="520000"/>
    <n v="432000"/>
    <s v="Promo 4.4"/>
    <x v="0"/>
    <s v="SP"/>
    <x v="3"/>
    <x v="117"/>
  </r>
  <r>
    <n v="846"/>
    <s v="0846"/>
    <s v="ORD-SP-0846-06/05/24"/>
    <s v="[{item_code: PU001, quantity: 1, rating: 5}, {item_code: SP002, quantity: 2, rating: 2}, {item_code: PW003, quantity: 1, rating: 2}]"/>
    <s v="PU001"/>
    <x v="7"/>
    <s v="Pakaian Unisex"/>
    <s v="1"/>
    <s v="5"/>
    <n v="160000"/>
    <n v="60000"/>
    <s v="SP002"/>
    <s v="Sandal Slip On"/>
    <s v="Sepatu Pria"/>
    <s v="2"/>
    <s v="2"/>
    <n v="120000"/>
    <n v="60000"/>
    <s v="PW003"/>
    <s v="Kaftan"/>
    <s v="Pakaian Wanita"/>
    <s v="1"/>
    <s v="2"/>
    <n v="200000"/>
    <n v="100000"/>
    <n v="4"/>
    <n v="600000"/>
    <n v="280000"/>
    <s v="DISC20"/>
    <n v="0.2"/>
    <n v="120000"/>
    <n v="480000"/>
    <n v="320000"/>
    <n v="200000"/>
    <s v="Promo Lebaran"/>
    <x v="0"/>
    <s v="SP"/>
    <x v="3"/>
    <x v="117"/>
  </r>
  <r>
    <n v="988"/>
    <s v="0988"/>
    <s v="ORD-BL-0988-07/05/24"/>
    <s v="[{item_code: PP002, quantity: 1, rating: 4}, {item_code: PP003, quantity: 2, rating: 2}, {item_code: SP002, quantity: 2, rating: 1}]"/>
    <s v="PP002"/>
    <x v="5"/>
    <s v="Pakaian Pria"/>
    <s v="1"/>
    <s v="4"/>
    <n v="60000"/>
    <n v="25000"/>
    <s v="PP003"/>
    <s v="Jaket Jeans"/>
    <s v="Pakaian Pria"/>
    <s v="2"/>
    <s v="2"/>
    <n v="150000"/>
    <n v="70000"/>
    <s v="SP002"/>
    <s v="Sandal Slip On"/>
    <s v="Sepatu Pria"/>
    <s v="2"/>
    <s v="1"/>
    <n v="120000"/>
    <n v="60000"/>
    <n v="5"/>
    <n v="600000"/>
    <n v="285000"/>
    <s v="BUKALEBAR"/>
    <n v="0.15"/>
    <n v="90000"/>
    <n v="510000"/>
    <n v="315000"/>
    <n v="225000"/>
    <s v="Promo Lebaran"/>
    <x v="2"/>
    <s v="BL"/>
    <x v="0"/>
    <x v="118"/>
  </r>
  <r>
    <n v="771"/>
    <s v="0771"/>
    <s v="ORD-TK-0771-08/05/24"/>
    <s v="[{item_code: PW002, quantity: 7, rating: 3}]"/>
    <s v="PW002"/>
    <x v="4"/>
    <s v="Pakaian Wanita"/>
    <s v="7"/>
    <s v="3"/>
    <n v="125000"/>
    <n v="50000"/>
    <s v="-"/>
    <s v="-"/>
    <s v="-"/>
    <n v="0"/>
    <s v="-"/>
    <n v="0"/>
    <n v="0"/>
    <s v="-"/>
    <s v="-"/>
    <s v="-"/>
    <n v="0"/>
    <s v="-"/>
    <n v="0"/>
    <n v="0"/>
    <n v="7"/>
    <n v="875000"/>
    <n v="350000"/>
    <s v="LEBAR10"/>
    <n v="0.1"/>
    <n v="87500"/>
    <n v="787500"/>
    <n v="525000"/>
    <n v="437500"/>
    <s v="Promo Lebaran"/>
    <x v="1"/>
    <s v="TK"/>
    <x v="3"/>
    <x v="119"/>
  </r>
  <r>
    <n v="480"/>
    <s v="0480"/>
    <s v="ORD-TK-0480-09/05/24"/>
    <s v="[{item_code: SP001, quantity: 2, rating: 1}]"/>
    <s v="SP001"/>
    <x v="9"/>
    <s v="Sepatu Pria"/>
    <s v="2"/>
    <s v="1"/>
    <n v="300000"/>
    <n v="100000"/>
    <s v="-"/>
    <s v="-"/>
    <s v="-"/>
    <n v="0"/>
    <s v="-"/>
    <n v="0"/>
    <n v="0"/>
    <s v="-"/>
    <s v="-"/>
    <s v="-"/>
    <n v="0"/>
    <s v="-"/>
    <n v="0"/>
    <n v="0"/>
    <n v="2"/>
    <n v="600000"/>
    <n v="200000"/>
    <s v="DISCAPRIL"/>
    <n v="0.1"/>
    <n v="60000"/>
    <n v="540000"/>
    <n v="400000"/>
    <n v="340000"/>
    <s v="Promo 4.4"/>
    <x v="1"/>
    <s v="TK"/>
    <x v="2"/>
    <x v="120"/>
  </r>
  <r>
    <n v="635"/>
    <s v="0635"/>
    <s v="ORD-TK-0635-09/05/24"/>
    <s v="[{item_code: PP002, quantity: 3, rating: 2}, {item_code: SP001, quantity: 1, rating: 3}]"/>
    <s v="PP002"/>
    <x v="5"/>
    <s v="Pakaian Pria"/>
    <s v="3"/>
    <s v="2"/>
    <n v="60000"/>
    <n v="25000"/>
    <s v="SP001"/>
    <s v="Sneakers"/>
    <s v="Sepatu Pria"/>
    <s v="1"/>
    <s v="3"/>
    <n v="300000"/>
    <n v="100000"/>
    <s v="-"/>
    <s v="-"/>
    <s v="-"/>
    <n v="0"/>
    <s v="-"/>
    <n v="0"/>
    <n v="0"/>
    <n v="4"/>
    <n v="480000"/>
    <n v="175000"/>
    <s v="DISCAPRIL"/>
    <n v="0.1"/>
    <n v="48000"/>
    <n v="432000"/>
    <n v="305000"/>
    <n v="257000"/>
    <s v="Promo 4.4"/>
    <x v="1"/>
    <s v="TK"/>
    <x v="3"/>
    <x v="120"/>
  </r>
  <r>
    <n v="11"/>
    <s v="0011"/>
    <s v="ORD-SP-0011-10/05/24"/>
    <s v="[{item_code: PU001, quantity: 3, rating: 5}, {item_code: PW001, quantity: 1, rating: 5}, {item_code: PP001, quantity: 1, rating: 4}]"/>
    <s v="PU001"/>
    <x v="7"/>
    <s v="Pakaian Unisex"/>
    <s v="3"/>
    <s v="5"/>
    <n v="160000"/>
    <n v="60000"/>
    <s v="PW001"/>
    <s v="Dress"/>
    <s v="Pakaian Wanita"/>
    <s v="1"/>
    <s v="5"/>
    <n v="150000"/>
    <n v="55000"/>
    <s v="PP001"/>
    <s v="Kaos Polo"/>
    <s v="Pakaian Pria"/>
    <s v="1"/>
    <s v="4"/>
    <n v="80000"/>
    <n v="30000"/>
    <n v="5"/>
    <n v="710000"/>
    <n v="265000"/>
    <s v="DISC15"/>
    <n v="0.15"/>
    <n v="106500"/>
    <n v="603500"/>
    <n v="445000"/>
    <n v="338500"/>
    <s v="Promo 4.4"/>
    <x v="0"/>
    <s v="SP"/>
    <x v="3"/>
    <x v="121"/>
  </r>
  <r>
    <n v="350"/>
    <s v="0350"/>
    <s v="ORD-BL-0350-10/05/24"/>
    <s v="[{item_code: SW001, quantity: 1, rating: 3}]"/>
    <s v="SW001"/>
    <x v="8"/>
    <s v="Sepatu Wanita"/>
    <s v="1"/>
    <s v="3"/>
    <n v="150000"/>
    <n v="70000"/>
    <s v="-"/>
    <s v="-"/>
    <s v="-"/>
    <n v="0"/>
    <s v="-"/>
    <n v="0"/>
    <n v="0"/>
    <s v="-"/>
    <s v="-"/>
    <s v="-"/>
    <n v="0"/>
    <s v="-"/>
    <n v="0"/>
    <n v="0"/>
    <n v="1"/>
    <n v="150000"/>
    <n v="70000"/>
    <s v="BUKALEBAR"/>
    <n v="0.15"/>
    <n v="22500"/>
    <n v="127500"/>
    <n v="80000"/>
    <n v="57500"/>
    <s v="Promo Lebaran"/>
    <x v="2"/>
    <s v="BL"/>
    <x v="4"/>
    <x v="121"/>
  </r>
  <r>
    <n v="613"/>
    <s v="0613"/>
    <s v="ORD-BL-0613-10/05/24"/>
    <s v="[{item_code: PP001, quantity: 3, rating: 4}]"/>
    <s v="PP001"/>
    <x v="0"/>
    <s v="Pakaian Pria"/>
    <s v="3"/>
    <s v="4"/>
    <n v="80000"/>
    <n v="30000"/>
    <s v="-"/>
    <s v="-"/>
    <s v="-"/>
    <n v="0"/>
    <s v="-"/>
    <n v="0"/>
    <n v="0"/>
    <s v="-"/>
    <s v="-"/>
    <s v="-"/>
    <n v="0"/>
    <s v="-"/>
    <n v="0"/>
    <n v="0"/>
    <n v="3"/>
    <n v="240000"/>
    <n v="90000"/>
    <s v="BUKALEBAR"/>
    <n v="0.15"/>
    <n v="36000"/>
    <n v="204000"/>
    <n v="150000"/>
    <n v="114000"/>
    <s v="Promo Lebaran"/>
    <x v="2"/>
    <s v="BL"/>
    <x v="3"/>
    <x v="121"/>
  </r>
  <r>
    <n v="469"/>
    <s v="0469"/>
    <s v="ORD-SP-0469-11/05/24"/>
    <s v="[{item_code: SP002, quantity: 2, rating: 5}]"/>
    <s v="SP002"/>
    <x v="1"/>
    <s v="Sepatu Pria"/>
    <s v="2"/>
    <s v="5"/>
    <n v="120000"/>
    <n v="60000"/>
    <s v="-"/>
    <s v="-"/>
    <s v="-"/>
    <n v="0"/>
    <s v="-"/>
    <n v="0"/>
    <n v="0"/>
    <s v="-"/>
    <s v="-"/>
    <s v="-"/>
    <n v="0"/>
    <s v="-"/>
    <n v="0"/>
    <n v="0"/>
    <n v="2"/>
    <n v="240000"/>
    <n v="120000"/>
    <s v="DISC15"/>
    <n v="0.15"/>
    <n v="36000"/>
    <n v="204000"/>
    <n v="120000"/>
    <n v="84000"/>
    <s v="Promo 4.4"/>
    <x v="0"/>
    <s v="SP"/>
    <x v="4"/>
    <x v="122"/>
  </r>
  <r>
    <n v="740"/>
    <s v="0740"/>
    <s v="ORD-SP-0740-11/05/24"/>
    <s v="[{item_code: PP001, quantity: 2, rating: 4}, {item_code: SP001, quantity: 2, rating: 4}]"/>
    <s v="PP001"/>
    <x v="0"/>
    <s v="Pakaian Pria"/>
    <s v="2"/>
    <s v="4"/>
    <n v="80000"/>
    <n v="30000"/>
    <s v="SP001"/>
    <s v="Sneakers"/>
    <s v="Sepatu Pria"/>
    <s v="2"/>
    <s v="4"/>
    <n v="300000"/>
    <n v="100000"/>
    <s v="-"/>
    <s v="-"/>
    <s v="-"/>
    <n v="0"/>
    <s v="-"/>
    <n v="0"/>
    <n v="0"/>
    <n v="4"/>
    <n v="760000"/>
    <n v="260000"/>
    <s v="DISC10"/>
    <n v="0.1"/>
    <n v="76000"/>
    <n v="684000"/>
    <n v="500000"/>
    <n v="424000"/>
    <s v="Promo 4.4"/>
    <x v="0"/>
    <s v="SP"/>
    <x v="0"/>
    <x v="122"/>
  </r>
  <r>
    <n v="63"/>
    <s v="0063"/>
    <s v="ORD-BL-0063-12/05/24"/>
    <s v="[{item_code: PW002, quantity: 2, rating: 5}]"/>
    <s v="PW002"/>
    <x v="4"/>
    <s v="Pakaian Wanita"/>
    <s v="2"/>
    <s v="5"/>
    <n v="125000"/>
    <n v="50000"/>
    <s v="-"/>
    <s v="-"/>
    <s v="-"/>
    <n v="0"/>
    <s v="-"/>
    <n v="0"/>
    <n v="0"/>
    <s v="-"/>
    <s v="-"/>
    <s v="-"/>
    <n v="0"/>
    <s v="-"/>
    <n v="0"/>
    <n v="0"/>
    <n v="2"/>
    <n v="250000"/>
    <n v="100000"/>
    <s v="BUKALEBAR"/>
    <n v="0.15"/>
    <n v="37500"/>
    <n v="212500"/>
    <n v="150000"/>
    <n v="112500"/>
    <s v="Promo Lebaran"/>
    <x v="2"/>
    <s v="BL"/>
    <x v="3"/>
    <x v="123"/>
  </r>
  <r>
    <n v="89"/>
    <s v="0089"/>
    <s v="ORD-SP-0089-12/05/24"/>
    <s v="[{item_code: PW003, quantity: 1, rating: 2}, {item_code: PP002, quantity: 1, rating: 5}]"/>
    <s v="PW003"/>
    <x v="3"/>
    <s v="Pakaian Wanita"/>
    <s v="1"/>
    <s v="2"/>
    <n v="200000"/>
    <n v="100000"/>
    <s v="PP002"/>
    <s v="Celana Pendek"/>
    <s v="Pakaian Pria"/>
    <s v="1"/>
    <s v="5"/>
    <n v="60000"/>
    <n v="25000"/>
    <s v="-"/>
    <s v="-"/>
    <s v="-"/>
    <n v="0"/>
    <s v="-"/>
    <n v="0"/>
    <n v="0"/>
    <n v="2"/>
    <n v="260000"/>
    <n v="125000"/>
    <s v="DISC10"/>
    <n v="0.1"/>
    <n v="26000"/>
    <n v="234000"/>
    <n v="135000"/>
    <n v="109000"/>
    <s v="Promo 4.4"/>
    <x v="0"/>
    <s v="SP"/>
    <x v="1"/>
    <x v="123"/>
  </r>
  <r>
    <n v="516"/>
    <s v="0516"/>
    <s v="ORD-SP-0516-12/05/24"/>
    <s v="[{item_code: PP003, quantity: 2, rating: 3}, {item_code: PW002, quantity: 3, rating: 1}]"/>
    <s v="PP003"/>
    <x v="6"/>
    <s v="Pakaian Pria"/>
    <s v="2"/>
    <s v="3"/>
    <n v="150000"/>
    <n v="70000"/>
    <s v="PW002"/>
    <s v="Blouse"/>
    <s v="Pakaian Wanita"/>
    <s v="3"/>
    <s v="1"/>
    <n v="125000"/>
    <n v="50000"/>
    <s v="-"/>
    <s v="-"/>
    <s v="-"/>
    <n v="0"/>
    <s v="-"/>
    <n v="0"/>
    <n v="0"/>
    <n v="5"/>
    <n v="675000"/>
    <n v="290000"/>
    <s v="DISC15"/>
    <n v="0.15"/>
    <n v="101250"/>
    <n v="573750"/>
    <n v="385000"/>
    <n v="283750"/>
    <s v="Promo 4.4"/>
    <x v="0"/>
    <s v="SP"/>
    <x v="2"/>
    <x v="123"/>
  </r>
  <r>
    <n v="741"/>
    <s v="0741"/>
    <s v="ORD-SP-0741-12/05/24"/>
    <s v="[{item_code: PP002, quantity: 2, rating: 4}, {item_code: SP001, quantity: 1, rating: 4}, {item_code: SW001, quantity: 1, rating: 3}]"/>
    <s v="PP002"/>
    <x v="5"/>
    <s v="Pakaian Pria"/>
    <s v="2"/>
    <s v="4"/>
    <n v="60000"/>
    <n v="25000"/>
    <s v="SP001"/>
    <s v="Sneakers"/>
    <s v="Sepatu Pria"/>
    <s v="1"/>
    <s v="4"/>
    <n v="300000"/>
    <n v="100000"/>
    <s v="SW001"/>
    <s v="Flat Shoes"/>
    <s v="Sepatu Wanita"/>
    <s v="1"/>
    <s v="3"/>
    <n v="150000"/>
    <n v="70000"/>
    <n v="4"/>
    <n v="570000"/>
    <n v="220000"/>
    <s v="DISC20"/>
    <n v="0.2"/>
    <n v="114000"/>
    <n v="456000"/>
    <n v="350000"/>
    <n v="236000"/>
    <s v="Promo Lebaran"/>
    <x v="0"/>
    <s v="SP"/>
    <x v="0"/>
    <x v="123"/>
  </r>
  <r>
    <n v="818"/>
    <s v="0818"/>
    <s v="ORD-BB-0818-12/05/24"/>
    <s v="[{item_code: PP002, quantity: 2, rating: 5}, {item_code: PP003, quantity: 1, rating: 4}]"/>
    <s v="PP002"/>
    <x v="5"/>
    <s v="Pakaian Pria"/>
    <s v="2"/>
    <s v="5"/>
    <n v="60000"/>
    <n v="25000"/>
    <s v="PP003"/>
    <s v="Jaket Jeans"/>
    <s v="Pakaian Pria"/>
    <s v="1"/>
    <s v="4"/>
    <n v="150000"/>
    <n v="70000"/>
    <s v="-"/>
    <s v="-"/>
    <s v="-"/>
    <n v="0"/>
    <s v="-"/>
    <n v="0"/>
    <n v="0"/>
    <n v="3"/>
    <n v="270000"/>
    <n v="120000"/>
    <s v="BELI44"/>
    <n v="0.15"/>
    <n v="40500"/>
    <n v="229500"/>
    <n v="150000"/>
    <n v="109500"/>
    <s v="Promo 4.4"/>
    <x v="3"/>
    <s v="BB"/>
    <x v="2"/>
    <x v="123"/>
  </r>
  <r>
    <n v="37"/>
    <s v="0037"/>
    <s v="ORD-BL-0037-13/05/24"/>
    <s v="[{item_code: SW001, quantity: 1, rating: 3}, {item_code: PP002, quantity: 2, rating: 2}]"/>
    <s v="SW001"/>
    <x v="8"/>
    <s v="Sepatu Wanita"/>
    <s v="1"/>
    <s v="3"/>
    <n v="150000"/>
    <n v="70000"/>
    <s v="PP002"/>
    <s v="Celana Pendek"/>
    <s v="Pakaian Pria"/>
    <s v="2"/>
    <s v="2"/>
    <n v="60000"/>
    <n v="25000"/>
    <s v="-"/>
    <s v="-"/>
    <s v="-"/>
    <n v="0"/>
    <s v="-"/>
    <n v="0"/>
    <n v="0"/>
    <n v="3"/>
    <n v="270000"/>
    <n v="120000"/>
    <s v="BUKALEBAR"/>
    <n v="0.15"/>
    <n v="40500"/>
    <n v="229500"/>
    <n v="150000"/>
    <n v="109500"/>
    <s v="Promo Lebaran"/>
    <x v="2"/>
    <s v="BL"/>
    <x v="2"/>
    <x v="124"/>
  </r>
  <r>
    <n v="230"/>
    <s v="0230"/>
    <s v="ORD-BB-0230-13/05/24"/>
    <s v="[{item_code: PW001, quantity: 1, rating: 5}, {item_code: PP003, quantity: 1, rating: 1}]"/>
    <s v="PW001"/>
    <x v="2"/>
    <s v="Pakaian Wanita"/>
    <s v="1"/>
    <s v="5"/>
    <n v="150000"/>
    <n v="55000"/>
    <s v="PP003"/>
    <s v="Jaket Jeans"/>
    <s v="Pakaian Pria"/>
    <s v="1"/>
    <s v="1"/>
    <n v="150000"/>
    <n v="70000"/>
    <s v="-"/>
    <s v="-"/>
    <s v="-"/>
    <n v="0"/>
    <s v="-"/>
    <n v="0"/>
    <n v="0"/>
    <n v="2"/>
    <n v="300000"/>
    <n v="125000"/>
    <s v="BELI44"/>
    <n v="0.15"/>
    <n v="45000"/>
    <n v="255000"/>
    <n v="175000"/>
    <n v="130000"/>
    <s v="Promo 4.4"/>
    <x v="3"/>
    <s v="BB"/>
    <x v="4"/>
    <x v="124"/>
  </r>
  <r>
    <n v="838"/>
    <s v="0838"/>
    <s v="ORD-SP-0838-13/05/24"/>
    <s v="[{item_code: PP003, quantity: 2, rating: 3}]"/>
    <s v="PP003"/>
    <x v="6"/>
    <s v="Pakaian Pria"/>
    <s v="2"/>
    <s v="3"/>
    <n v="150000"/>
    <n v="70000"/>
    <s v="-"/>
    <s v="-"/>
    <s v="-"/>
    <n v="0"/>
    <s v="-"/>
    <n v="0"/>
    <n v="0"/>
    <s v="-"/>
    <s v="-"/>
    <s v="-"/>
    <n v="0"/>
    <s v="-"/>
    <n v="0"/>
    <n v="0"/>
    <n v="2"/>
    <n v="300000"/>
    <n v="140000"/>
    <s v="DISC10"/>
    <n v="0.1"/>
    <n v="30000"/>
    <n v="270000"/>
    <n v="160000"/>
    <n v="130000"/>
    <s v="Promo 4.4"/>
    <x v="0"/>
    <s v="SP"/>
    <x v="2"/>
    <x v="124"/>
  </r>
  <r>
    <n v="241"/>
    <s v="0241"/>
    <s v="ORD-BL-0241-14/05/24"/>
    <s v="[{item_code: PP001, quantity: 3, rating: 2}, {item_code: SP001, quantity: 2, rating: 1}]"/>
    <s v="PP001"/>
    <x v="0"/>
    <s v="Pakaian Pria"/>
    <s v="3"/>
    <s v="2"/>
    <n v="80000"/>
    <n v="30000"/>
    <s v="SP001"/>
    <s v="Sneakers"/>
    <s v="Sepatu Pria"/>
    <s v="2"/>
    <s v="1"/>
    <n v="300000"/>
    <n v="100000"/>
    <s v="-"/>
    <s v="-"/>
    <s v="-"/>
    <n v="0"/>
    <s v="-"/>
    <n v="0"/>
    <n v="0"/>
    <n v="5"/>
    <n v="840000"/>
    <n v="290000"/>
    <s v="BUKALEBAR"/>
    <n v="0.15"/>
    <n v="126000"/>
    <n v="714000"/>
    <n v="550000"/>
    <n v="424000"/>
    <s v="Promo Lebaran"/>
    <x v="2"/>
    <s v="BL"/>
    <x v="2"/>
    <x v="125"/>
  </r>
  <r>
    <n v="264"/>
    <s v="0264"/>
    <s v="ORD-SP-0264-14/05/24"/>
    <s v="[{item_code: PP002, quantity: 1, rating: 2}]"/>
    <s v="PP002"/>
    <x v="5"/>
    <s v="Pakaian Pria"/>
    <s v="1"/>
    <s v="2"/>
    <n v="60000"/>
    <n v="25000"/>
    <s v="-"/>
    <s v="-"/>
    <s v="-"/>
    <n v="0"/>
    <s v="-"/>
    <n v="0"/>
    <n v="0"/>
    <s v="-"/>
    <s v="-"/>
    <s v="-"/>
    <n v="0"/>
    <s v="-"/>
    <n v="0"/>
    <n v="0"/>
    <n v="1"/>
    <n v="60000"/>
    <n v="25000"/>
    <s v="DISC20"/>
    <n v="0.2"/>
    <n v="12000"/>
    <n v="48000"/>
    <n v="35000"/>
    <n v="23000"/>
    <s v="Promo Lebaran"/>
    <x v="0"/>
    <s v="SP"/>
    <x v="3"/>
    <x v="125"/>
  </r>
  <r>
    <n v="366"/>
    <s v="0366"/>
    <s v="ORD-BL-0366-14/05/24"/>
    <s v="[{item_code: PW001, quantity: 1, rating: 5}, {item_code: PP002, quantity: 4, rating: 5}]"/>
    <s v="PW001"/>
    <x v="2"/>
    <s v="Pakaian Wanita"/>
    <s v="1"/>
    <s v="5"/>
    <n v="150000"/>
    <n v="55000"/>
    <s v="PP002"/>
    <s v="Celana Pendek"/>
    <s v="Pakaian Pria"/>
    <s v="4"/>
    <s v="5"/>
    <n v="60000"/>
    <n v="25000"/>
    <s v="-"/>
    <s v="-"/>
    <s v="-"/>
    <n v="0"/>
    <s v="-"/>
    <n v="0"/>
    <n v="0"/>
    <n v="5"/>
    <n v="390000"/>
    <n v="155000"/>
    <s v="BUKALEBAR"/>
    <n v="0.15"/>
    <n v="58500"/>
    <n v="331500"/>
    <n v="235000"/>
    <n v="176500"/>
    <s v="Promo Lebaran"/>
    <x v="2"/>
    <s v="BL"/>
    <x v="3"/>
    <x v="125"/>
  </r>
  <r>
    <n v="772"/>
    <s v="0772"/>
    <s v="ORD-SP-0772-14/05/24"/>
    <s v="[{item_code: SP001, quantity: 1, rating: 3}, {item_code: PW003, quantity: 4, rating: 4}]"/>
    <s v="SP001"/>
    <x v="9"/>
    <s v="Sepatu Pria"/>
    <s v="1"/>
    <s v="3"/>
    <n v="300000"/>
    <n v="100000"/>
    <s v="PW003"/>
    <s v="Kaftan"/>
    <s v="Pakaian Wanita"/>
    <s v="4"/>
    <s v="4"/>
    <n v="200000"/>
    <n v="100000"/>
    <s v="-"/>
    <s v="-"/>
    <s v="-"/>
    <n v="0"/>
    <s v="-"/>
    <n v="0"/>
    <n v="0"/>
    <n v="5"/>
    <n v="1100000"/>
    <n v="500000"/>
    <s v="DISC15"/>
    <n v="0.15"/>
    <n v="165000"/>
    <n v="935000"/>
    <n v="600000"/>
    <n v="435000"/>
    <s v="Promo 4.4"/>
    <x v="0"/>
    <s v="SP"/>
    <x v="0"/>
    <x v="125"/>
  </r>
  <r>
    <n v="360"/>
    <s v="0360"/>
    <s v="ORD-SP-0360-15/05/24"/>
    <s v="[{item_code: SW001, quantity: 4, rating: 5}]"/>
    <s v="SW001"/>
    <x v="8"/>
    <s v="Sepatu Wanita"/>
    <s v="4"/>
    <s v="5"/>
    <n v="150000"/>
    <n v="70000"/>
    <s v="-"/>
    <s v="-"/>
    <s v="-"/>
    <n v="0"/>
    <s v="-"/>
    <n v="0"/>
    <n v="0"/>
    <s v="-"/>
    <s v="-"/>
    <s v="-"/>
    <n v="0"/>
    <s v="-"/>
    <n v="0"/>
    <n v="0"/>
    <n v="4"/>
    <n v="600000"/>
    <n v="280000"/>
    <s v="DISC10"/>
    <n v="0.1"/>
    <n v="60000"/>
    <n v="540000"/>
    <n v="320000"/>
    <n v="260000"/>
    <s v="Promo 4.4"/>
    <x v="0"/>
    <s v="SP"/>
    <x v="4"/>
    <x v="126"/>
  </r>
  <r>
    <n v="427"/>
    <s v="0427"/>
    <s v="ORD-TK-0427-15/05/24"/>
    <s v="[{item_code: SP002, quantity: 7, rating: 4}]"/>
    <s v="SP002"/>
    <x v="1"/>
    <s v="Sepatu Pria"/>
    <s v="7"/>
    <s v="4"/>
    <n v="120000"/>
    <n v="60000"/>
    <s v="-"/>
    <s v="-"/>
    <s v="-"/>
    <n v="0"/>
    <s v="-"/>
    <n v="0"/>
    <n v="0"/>
    <s v="-"/>
    <s v="-"/>
    <s v="-"/>
    <n v="0"/>
    <s v="-"/>
    <n v="0"/>
    <n v="0"/>
    <n v="7"/>
    <n v="840000"/>
    <n v="420000"/>
    <s v="DISCAPRIL"/>
    <n v="0.1"/>
    <n v="84000"/>
    <n v="756000"/>
    <n v="420000"/>
    <n v="336000"/>
    <s v="Promo 4.4"/>
    <x v="1"/>
    <s v="TK"/>
    <x v="1"/>
    <x v="126"/>
  </r>
  <r>
    <n v="612"/>
    <s v="0612"/>
    <s v="ORD-BL-0612-15/05/24"/>
    <s v="[{item_code: PP001, quantity: 4, rating: 2}]"/>
    <s v="PP001"/>
    <x v="0"/>
    <s v="Pakaian Pria"/>
    <s v="4"/>
    <s v="2"/>
    <n v="80000"/>
    <n v="30000"/>
    <s v="-"/>
    <s v="-"/>
    <s v="-"/>
    <n v="0"/>
    <s v="-"/>
    <n v="0"/>
    <n v="0"/>
    <s v="-"/>
    <s v="-"/>
    <s v="-"/>
    <n v="0"/>
    <s v="-"/>
    <n v="0"/>
    <n v="0"/>
    <n v="4"/>
    <n v="320000"/>
    <n v="120000"/>
    <s v="BUKALEBAR"/>
    <n v="0.15"/>
    <n v="48000"/>
    <n v="272000"/>
    <n v="200000"/>
    <n v="152000"/>
    <s v="Promo Lebaran"/>
    <x v="2"/>
    <s v="BL"/>
    <x v="4"/>
    <x v="126"/>
  </r>
  <r>
    <n v="906"/>
    <s v="0906"/>
    <s v="ORD-SP-0906-15/05/24"/>
    <s v="[{item_code: PP003, quantity: 1, rating: 4}, {item_code: SP002, quantity: 4, rating: 5}, {item_code: PP003, quantity: 1, rating: 4}]"/>
    <s v="PP003"/>
    <x v="6"/>
    <s v="Pakaian Pria"/>
    <s v="1"/>
    <s v="4"/>
    <n v="150000"/>
    <n v="70000"/>
    <s v="SP002"/>
    <s v="Sandal Slip On"/>
    <s v="Sepatu Pria"/>
    <s v="4"/>
    <s v="5"/>
    <n v="120000"/>
    <n v="60000"/>
    <s v="PP003"/>
    <s v="Jaket Jeans"/>
    <s v="Pakaian Pria"/>
    <s v="1"/>
    <s v="4"/>
    <n v="150000"/>
    <n v="70000"/>
    <n v="6"/>
    <n v="780000"/>
    <n v="380000"/>
    <s v="DISC15"/>
    <n v="0.15"/>
    <n v="117000"/>
    <n v="663000"/>
    <n v="400000"/>
    <n v="283000"/>
    <s v="Promo 4.4"/>
    <x v="0"/>
    <s v="SP"/>
    <x v="3"/>
    <x v="126"/>
  </r>
  <r>
    <n v="963"/>
    <s v="0963"/>
    <s v="ORD-SP-0963-15/05/24"/>
    <s v="[{item_code: PP003, quantity: 4, rating: 3}]"/>
    <s v="PP003"/>
    <x v="6"/>
    <s v="Pakaian Pria"/>
    <s v="4"/>
    <s v="3"/>
    <n v="150000"/>
    <n v="70000"/>
    <s v="-"/>
    <s v="-"/>
    <s v="-"/>
    <n v="0"/>
    <s v="-"/>
    <n v="0"/>
    <n v="0"/>
    <s v="-"/>
    <s v="-"/>
    <s v="-"/>
    <n v="0"/>
    <s v="-"/>
    <n v="0"/>
    <n v="0"/>
    <n v="4"/>
    <n v="600000"/>
    <n v="280000"/>
    <s v="DISC10"/>
    <n v="0.1"/>
    <n v="60000"/>
    <n v="540000"/>
    <n v="320000"/>
    <n v="260000"/>
    <s v="Promo 4.4"/>
    <x v="0"/>
    <s v="SP"/>
    <x v="3"/>
    <x v="126"/>
  </r>
  <r>
    <n v="282"/>
    <s v="0282"/>
    <s v="ORD-TK-0282-16/05/24"/>
    <s v="[{item_code: PP003, quantity: 2, rating: 3}, {item_code: PW001, quantity: 1, rating: 2}, {item_code: PP003, quantity: 1, rating: 4}]"/>
    <s v="PP003"/>
    <x v="6"/>
    <s v="Pakaian Pria"/>
    <s v="2"/>
    <s v="3"/>
    <n v="150000"/>
    <n v="70000"/>
    <s v="PW001"/>
    <s v="Dress"/>
    <s v="Pakaian Wanita"/>
    <s v="1"/>
    <s v="2"/>
    <n v="150000"/>
    <n v="55000"/>
    <s v="PP003"/>
    <s v="Jaket Jeans"/>
    <s v="Pakaian Pria"/>
    <s v="1"/>
    <s v="4"/>
    <n v="150000"/>
    <n v="70000"/>
    <n v="4"/>
    <n v="600000"/>
    <n v="265000"/>
    <s v="DISCAPRIL"/>
    <n v="0.1"/>
    <n v="60000"/>
    <n v="540000"/>
    <n v="335000"/>
    <n v="275000"/>
    <s v="Promo 4.4"/>
    <x v="1"/>
    <s v="TK"/>
    <x v="1"/>
    <x v="127"/>
  </r>
  <r>
    <n v="685"/>
    <s v="0685"/>
    <s v="ORD-BL-0685-16/05/24"/>
    <s v="[{item_code: SP002, quantity: 3, rating: 1}]"/>
    <s v="SP002"/>
    <x v="1"/>
    <s v="Sepatu Pria"/>
    <s v="3"/>
    <s v="1"/>
    <n v="120000"/>
    <n v="60000"/>
    <s v="-"/>
    <s v="-"/>
    <s v="-"/>
    <n v="0"/>
    <s v="-"/>
    <n v="0"/>
    <n v="0"/>
    <s v="-"/>
    <s v="-"/>
    <s v="-"/>
    <n v="0"/>
    <s v="-"/>
    <n v="0"/>
    <n v="0"/>
    <n v="3"/>
    <n v="360000"/>
    <n v="180000"/>
    <s v="BUKALEBAR"/>
    <n v="0.15"/>
    <n v="54000"/>
    <n v="306000"/>
    <n v="180000"/>
    <n v="126000"/>
    <s v="Promo Lebaran"/>
    <x v="2"/>
    <s v="BL"/>
    <x v="3"/>
    <x v="127"/>
  </r>
  <r>
    <n v="738"/>
    <s v="0738"/>
    <s v="ORD-SP-0738-16/05/24"/>
    <s v="[{item_code: PU001, quantity: 4, rating: 2}, {item_code: SP001, quantity: 2, rating: 4}, {item_code: PW002, quantity: 1, rating: 1}]"/>
    <s v="PU001"/>
    <x v="7"/>
    <s v="Pakaian Unisex"/>
    <s v="4"/>
    <s v="2"/>
    <n v="160000"/>
    <n v="60000"/>
    <s v="SP001"/>
    <s v="Sneakers"/>
    <s v="Sepatu Pria"/>
    <s v="2"/>
    <s v="4"/>
    <n v="300000"/>
    <n v="100000"/>
    <s v="PW002"/>
    <s v="Blouse"/>
    <s v="Pakaian Wanita"/>
    <s v="1"/>
    <s v="1"/>
    <n v="125000"/>
    <n v="50000"/>
    <n v="7"/>
    <n v="1365000"/>
    <n v="490000"/>
    <s v="DISC15"/>
    <n v="0.15"/>
    <n v="204750"/>
    <n v="1160250"/>
    <n v="875000"/>
    <n v="670250"/>
    <s v="Promo 4.4"/>
    <x v="0"/>
    <s v="SP"/>
    <x v="0"/>
    <x v="127"/>
  </r>
  <r>
    <n v="948"/>
    <s v="0948"/>
    <s v="ORD-TK-0948-16/05/24"/>
    <s v="[{item_code: PU001, quantity: 2, rating: 5}, {item_code: SW001, quantity: 1, rating: 3}, {item_code: PP003, quantity: 3, rating: 2}]"/>
    <s v="PU001"/>
    <x v="7"/>
    <s v="Pakaian Unisex"/>
    <s v="2"/>
    <s v="5"/>
    <n v="160000"/>
    <n v="60000"/>
    <s v="SW001"/>
    <s v="Flat Shoes"/>
    <s v="Sepatu Wanita"/>
    <s v="1"/>
    <s v="3"/>
    <n v="150000"/>
    <n v="70000"/>
    <s v="PP003"/>
    <s v="Jaket Jeans"/>
    <s v="Pakaian Pria"/>
    <s v="3"/>
    <s v="2"/>
    <n v="150000"/>
    <n v="70000"/>
    <n v="6"/>
    <n v="920000"/>
    <n v="400000"/>
    <s v="-"/>
    <n v="0"/>
    <n v="0"/>
    <n v="920000"/>
    <n v="520000"/>
    <n v="520000"/>
    <s v="-"/>
    <x v="1"/>
    <s v="TK"/>
    <x v="4"/>
    <x v="127"/>
  </r>
  <r>
    <n v="90"/>
    <s v="0090"/>
    <s v="ORD-TK-0090-17/05/24"/>
    <s v="[{item_code: SP002, quantity: 1, rating: 1}]"/>
    <s v="SP002"/>
    <x v="1"/>
    <s v="Sepatu Pria"/>
    <s v="1"/>
    <s v="1"/>
    <n v="120000"/>
    <n v="60000"/>
    <s v="-"/>
    <s v="-"/>
    <s v="-"/>
    <n v="0"/>
    <s v="-"/>
    <n v="0"/>
    <n v="0"/>
    <s v="-"/>
    <s v="-"/>
    <s v="-"/>
    <n v="0"/>
    <s v="-"/>
    <n v="0"/>
    <n v="0"/>
    <n v="1"/>
    <n v="120000"/>
    <n v="60000"/>
    <s v="DISCAPRIL"/>
    <n v="0.1"/>
    <n v="12000"/>
    <n v="108000"/>
    <n v="60000"/>
    <n v="48000"/>
    <s v="Promo 4.4"/>
    <x v="1"/>
    <s v="TK"/>
    <x v="3"/>
    <x v="128"/>
  </r>
  <r>
    <n v="93"/>
    <s v="0093"/>
    <s v="ORD-BB-0093-18/05/24"/>
    <s v="[{item_code: PW003, quantity: 3, rating: 2}]"/>
    <s v="PW003"/>
    <x v="3"/>
    <s v="Pakaian Wanita"/>
    <s v="3"/>
    <s v="2"/>
    <n v="200000"/>
    <n v="100000"/>
    <s v="-"/>
    <s v="-"/>
    <s v="-"/>
    <n v="0"/>
    <s v="-"/>
    <n v="0"/>
    <n v="0"/>
    <s v="-"/>
    <s v="-"/>
    <s v="-"/>
    <n v="0"/>
    <s v="-"/>
    <n v="0"/>
    <n v="0"/>
    <n v="3"/>
    <n v="600000"/>
    <n v="300000"/>
    <s v="BELI44"/>
    <n v="0.15"/>
    <n v="90000"/>
    <n v="510000"/>
    <n v="300000"/>
    <n v="210000"/>
    <s v="Promo 4.4"/>
    <x v="3"/>
    <s v="BB"/>
    <x v="3"/>
    <x v="129"/>
  </r>
  <r>
    <n v="217"/>
    <s v="0217"/>
    <s v="ORD-SP-0217-18/05/24"/>
    <s v="[{item_code: PU001, quantity: 1, rating: 3}]"/>
    <s v="PU001"/>
    <x v="7"/>
    <s v="Pakaian Unisex"/>
    <s v="1"/>
    <s v="3"/>
    <n v="160000"/>
    <n v="60000"/>
    <s v="-"/>
    <s v="-"/>
    <s v="-"/>
    <n v="0"/>
    <s v="-"/>
    <n v="0"/>
    <n v="0"/>
    <s v="-"/>
    <s v="-"/>
    <s v="-"/>
    <n v="0"/>
    <s v="-"/>
    <n v="0"/>
    <n v="0"/>
    <n v="1"/>
    <n v="160000"/>
    <n v="60000"/>
    <s v="DISC20"/>
    <n v="0.2"/>
    <n v="32000"/>
    <n v="128000"/>
    <n v="100000"/>
    <n v="68000"/>
    <s v="Promo Lebaran"/>
    <x v="0"/>
    <s v="SP"/>
    <x v="4"/>
    <x v="129"/>
  </r>
  <r>
    <n v="678"/>
    <s v="0678"/>
    <s v="ORD-BB-0678-18/05/24"/>
    <s v="[{item_code: SP002, quantity: 3, rating: 5}, {item_code: PP003, quantity: 2, rating: 2}, {item_code: SP001, quantity: 1, rating: 1}]"/>
    <s v="SP002"/>
    <x v="1"/>
    <s v="Sepatu Pria"/>
    <s v="3"/>
    <s v="5"/>
    <n v="120000"/>
    <n v="60000"/>
    <s v="PP003"/>
    <s v="Jaket Jeans"/>
    <s v="Pakaian Pria"/>
    <s v="2"/>
    <s v="2"/>
    <n v="150000"/>
    <n v="70000"/>
    <s v="SP001"/>
    <s v="Sneakers"/>
    <s v="Sepatu Pria"/>
    <s v="1"/>
    <s v="1"/>
    <n v="300000"/>
    <n v="100000"/>
    <n v="6"/>
    <n v="960000"/>
    <n v="420000"/>
    <s v="BELI44"/>
    <n v="0.15"/>
    <n v="144000"/>
    <n v="816000"/>
    <n v="540000"/>
    <n v="396000"/>
    <s v="Promo 4.4"/>
    <x v="3"/>
    <s v="BB"/>
    <x v="5"/>
    <x v="129"/>
  </r>
  <r>
    <n v="695"/>
    <s v="0695"/>
    <s v="ORD-BB-0695-18/05/24"/>
    <s v="[{item_code: PP003, quantity: 1, rating: 5}, {item_code: SP002, quantity: 1, rating: 4}]"/>
    <s v="PP003"/>
    <x v="6"/>
    <s v="Pakaian Pria"/>
    <s v="1"/>
    <s v="5"/>
    <n v="150000"/>
    <n v="70000"/>
    <s v="SP002"/>
    <s v="Sandal Slip On"/>
    <s v="Sepatu Pria"/>
    <s v="1"/>
    <s v="4"/>
    <n v="120000"/>
    <n v="60000"/>
    <s v="-"/>
    <s v="-"/>
    <s v="-"/>
    <n v="0"/>
    <s v="-"/>
    <n v="0"/>
    <n v="0"/>
    <n v="2"/>
    <n v="270000"/>
    <n v="130000"/>
    <s v="-"/>
    <n v="0"/>
    <n v="0"/>
    <n v="270000"/>
    <n v="140000"/>
    <n v="140000"/>
    <s v="-"/>
    <x v="3"/>
    <s v="BB"/>
    <x v="4"/>
    <x v="129"/>
  </r>
  <r>
    <n v="244"/>
    <s v="0244"/>
    <s v="ORD-TK-0244-19/05/24"/>
    <s v="[{item_code: PW001, quantity: 2, rating: 4}, {item_code: SP002, quantity: 1, rating: 3}]"/>
    <s v="PW001"/>
    <x v="2"/>
    <s v="Pakaian Wanita"/>
    <s v="2"/>
    <s v="4"/>
    <n v="150000"/>
    <n v="55000"/>
    <s v="SP002"/>
    <s v="Sandal Slip On"/>
    <s v="Sepatu Pria"/>
    <s v="1"/>
    <s v="3"/>
    <n v="120000"/>
    <n v="60000"/>
    <s v="-"/>
    <s v="-"/>
    <s v="-"/>
    <n v="0"/>
    <s v="-"/>
    <n v="0"/>
    <n v="0"/>
    <n v="3"/>
    <n v="420000"/>
    <n v="170000"/>
    <s v="LEBAR10"/>
    <n v="0.1"/>
    <n v="42000"/>
    <n v="378000"/>
    <n v="250000"/>
    <n v="208000"/>
    <s v="Promo Lebaran"/>
    <x v="1"/>
    <s v="TK"/>
    <x v="2"/>
    <x v="130"/>
  </r>
  <r>
    <n v="523"/>
    <s v="0523"/>
    <s v="ORD-SP-0523-19/05/24"/>
    <s v="[{item_code: PP002, quantity: 1, rating: 4}, {item_code: PW001, quantity: 1, rating: 3}]"/>
    <s v="PP002"/>
    <x v="5"/>
    <s v="Pakaian Pria"/>
    <s v="1"/>
    <s v="4"/>
    <n v="60000"/>
    <n v="25000"/>
    <s v="PW001"/>
    <s v="Dress"/>
    <s v="Pakaian Wanita"/>
    <s v="1"/>
    <s v="3"/>
    <n v="150000"/>
    <n v="55000"/>
    <s v="-"/>
    <s v="-"/>
    <s v="-"/>
    <n v="0"/>
    <s v="-"/>
    <n v="0"/>
    <n v="0"/>
    <n v="2"/>
    <n v="210000"/>
    <n v="80000"/>
    <s v="-"/>
    <n v="0"/>
    <n v="0"/>
    <n v="210000"/>
    <n v="130000"/>
    <n v="130000"/>
    <s v="-"/>
    <x v="0"/>
    <s v="SP"/>
    <x v="0"/>
    <x v="130"/>
  </r>
  <r>
    <n v="718"/>
    <s v="0718"/>
    <s v="ORD-SP-0718-19/05/24"/>
    <s v="[{item_code: PW003, quantity: 3, rating: 2}, {item_code: PU001, quantity: 3, rating: 1}]"/>
    <s v="PW003"/>
    <x v="3"/>
    <s v="Pakaian Wanita"/>
    <s v="3"/>
    <s v="2"/>
    <n v="200000"/>
    <n v="100000"/>
    <s v="PU001"/>
    <s v="Jaket Hoodie"/>
    <s v="Pakaian Unisex"/>
    <s v="3"/>
    <s v="1"/>
    <n v="160000"/>
    <n v="60000"/>
    <s v="-"/>
    <s v="-"/>
    <s v="-"/>
    <n v="0"/>
    <s v="-"/>
    <n v="0"/>
    <n v="0"/>
    <n v="6"/>
    <n v="1080000"/>
    <n v="480000"/>
    <s v="DISC20"/>
    <n v="0.2"/>
    <n v="216000"/>
    <n v="864000"/>
    <n v="600000"/>
    <n v="384000"/>
    <s v="Promo Lebaran"/>
    <x v="0"/>
    <s v="SP"/>
    <x v="3"/>
    <x v="130"/>
  </r>
  <r>
    <n v="745"/>
    <s v="0745"/>
    <s v="ORD-SP-0745-19/05/24"/>
    <s v="[{item_code: PW002, quantity: 1, rating: 2}]"/>
    <s v="PW002"/>
    <x v="4"/>
    <s v="Pakaian Wanita"/>
    <s v="1"/>
    <s v="2"/>
    <n v="125000"/>
    <n v="50000"/>
    <s v="-"/>
    <s v="-"/>
    <s v="-"/>
    <n v="0"/>
    <s v="-"/>
    <n v="0"/>
    <n v="0"/>
    <s v="-"/>
    <s v="-"/>
    <s v="-"/>
    <n v="0"/>
    <s v="-"/>
    <n v="0"/>
    <n v="0"/>
    <n v="1"/>
    <n v="125000"/>
    <n v="50000"/>
    <s v="-"/>
    <n v="0"/>
    <n v="0"/>
    <n v="125000"/>
    <n v="75000"/>
    <n v="75000"/>
    <s v="-"/>
    <x v="0"/>
    <s v="SP"/>
    <x v="2"/>
    <x v="130"/>
  </r>
  <r>
    <n v="806"/>
    <s v="0806"/>
    <s v="ORD-BB-0806-19/05/24"/>
    <s v="[{item_code: PW002, quantity: 1, rating: 4}]"/>
    <s v="PW002"/>
    <x v="4"/>
    <s v="Pakaian Wanita"/>
    <s v="1"/>
    <s v="4"/>
    <n v="125000"/>
    <n v="50000"/>
    <s v="-"/>
    <s v="-"/>
    <s v="-"/>
    <n v="0"/>
    <s v="-"/>
    <n v="0"/>
    <n v="0"/>
    <s v="-"/>
    <s v="-"/>
    <s v="-"/>
    <n v="0"/>
    <s v="-"/>
    <n v="0"/>
    <n v="0"/>
    <n v="1"/>
    <n v="125000"/>
    <n v="50000"/>
    <s v="-"/>
    <n v="0"/>
    <n v="0"/>
    <n v="125000"/>
    <n v="75000"/>
    <n v="75000"/>
    <s v="-"/>
    <x v="3"/>
    <s v="BB"/>
    <x v="4"/>
    <x v="130"/>
  </r>
  <r>
    <n v="147"/>
    <s v="0147"/>
    <s v="ORD-SP-0147-20/05/24"/>
    <s v="[{item_code: PW003, quantity: 2, rating: 5}]"/>
    <s v="PW003"/>
    <x v="3"/>
    <s v="Pakaian Wanita"/>
    <s v="2"/>
    <s v="5"/>
    <n v="200000"/>
    <n v="100000"/>
    <s v="-"/>
    <s v="-"/>
    <s v="-"/>
    <n v="0"/>
    <s v="-"/>
    <n v="0"/>
    <n v="0"/>
    <s v="-"/>
    <s v="-"/>
    <s v="-"/>
    <n v="0"/>
    <s v="-"/>
    <n v="0"/>
    <n v="0"/>
    <n v="2"/>
    <n v="400000"/>
    <n v="200000"/>
    <s v="DISC10"/>
    <n v="0.1"/>
    <n v="40000"/>
    <n v="360000"/>
    <n v="200000"/>
    <n v="160000"/>
    <s v="Promo 4.4"/>
    <x v="0"/>
    <s v="SP"/>
    <x v="3"/>
    <x v="131"/>
  </r>
  <r>
    <n v="213"/>
    <s v="0213"/>
    <s v="ORD-BB-0213-20/05/24"/>
    <s v="[{item_code: PW002, quantity: 3, rating: 5}, {item_code: PW003, quantity: 1, rating: 5}]"/>
    <s v="PW002"/>
    <x v="4"/>
    <s v="Pakaian Wanita"/>
    <s v="3"/>
    <s v="5"/>
    <n v="125000"/>
    <n v="50000"/>
    <s v="PW003"/>
    <s v="Kaftan"/>
    <s v="Pakaian Wanita"/>
    <s v="1"/>
    <s v="5"/>
    <n v="200000"/>
    <n v="100000"/>
    <s v="-"/>
    <s v="-"/>
    <s v="-"/>
    <n v="0"/>
    <s v="-"/>
    <n v="0"/>
    <n v="0"/>
    <n v="4"/>
    <n v="575000"/>
    <n v="250000"/>
    <s v="BELI44"/>
    <n v="0.15"/>
    <n v="86250"/>
    <n v="488750"/>
    <n v="325000"/>
    <n v="238750"/>
    <s v="Promo 4.4"/>
    <x v="3"/>
    <s v="BB"/>
    <x v="3"/>
    <x v="131"/>
  </r>
  <r>
    <n v="643"/>
    <s v="0643"/>
    <s v="ORD-SP-0643-20/05/24"/>
    <s v="[{item_code: PP002, quantity: 1, rating: 3}]"/>
    <s v="PP002"/>
    <x v="5"/>
    <s v="Pakaian Pria"/>
    <s v="1"/>
    <s v="3"/>
    <n v="60000"/>
    <n v="25000"/>
    <s v="-"/>
    <s v="-"/>
    <s v="-"/>
    <n v="0"/>
    <s v="-"/>
    <n v="0"/>
    <n v="0"/>
    <s v="-"/>
    <s v="-"/>
    <s v="-"/>
    <n v="0"/>
    <s v="-"/>
    <n v="0"/>
    <n v="0"/>
    <n v="1"/>
    <n v="60000"/>
    <n v="25000"/>
    <s v="DISC20"/>
    <n v="0.2"/>
    <n v="12000"/>
    <n v="48000"/>
    <n v="35000"/>
    <n v="23000"/>
    <s v="Promo Lebaran"/>
    <x v="0"/>
    <s v="SP"/>
    <x v="3"/>
    <x v="131"/>
  </r>
  <r>
    <n v="853"/>
    <s v="0853"/>
    <s v="ORD-TK-0853-21/05/24"/>
    <s v="[{item_code: PU001, quantity: 2, rating: 4}]"/>
    <s v="PU001"/>
    <x v="7"/>
    <s v="Pakaian Unisex"/>
    <s v="2"/>
    <s v="4"/>
    <n v="160000"/>
    <n v="60000"/>
    <s v="-"/>
    <s v="-"/>
    <s v="-"/>
    <n v="0"/>
    <s v="-"/>
    <n v="0"/>
    <n v="0"/>
    <s v="-"/>
    <s v="-"/>
    <s v="-"/>
    <n v="0"/>
    <s v="-"/>
    <n v="0"/>
    <n v="0"/>
    <n v="2"/>
    <n v="320000"/>
    <n v="120000"/>
    <s v="DISCAPRIL"/>
    <n v="0.1"/>
    <n v="32000"/>
    <n v="288000"/>
    <n v="200000"/>
    <n v="168000"/>
    <s v="Promo 4.4"/>
    <x v="1"/>
    <s v="TK"/>
    <x v="3"/>
    <x v="132"/>
  </r>
  <r>
    <n v="866"/>
    <s v="0866"/>
    <s v="ORD-SP-0866-21/05/24"/>
    <s v="[{item_code: PP002, quantity: 4, rating: 5}, {item_code: PW003, quantity: 1, rating: 4}, {item_code: PW003, quantity: 1, rating: 1}]"/>
    <s v="PP002"/>
    <x v="5"/>
    <s v="Pakaian Pria"/>
    <s v="4"/>
    <s v="5"/>
    <n v="60000"/>
    <n v="25000"/>
    <s v="PW003"/>
    <s v="Kaftan"/>
    <s v="Pakaian Wanita"/>
    <s v="1"/>
    <s v="4"/>
    <n v="200000"/>
    <n v="100000"/>
    <s v="PW003"/>
    <s v="Kaftan"/>
    <s v="Pakaian Wanita"/>
    <s v="1"/>
    <s v="1"/>
    <n v="200000"/>
    <n v="100000"/>
    <n v="6"/>
    <n v="640000"/>
    <n v="300000"/>
    <s v="-"/>
    <n v="0"/>
    <n v="0"/>
    <n v="640000"/>
    <n v="340000"/>
    <n v="340000"/>
    <s v="-"/>
    <x v="0"/>
    <s v="SP"/>
    <x v="2"/>
    <x v="132"/>
  </r>
  <r>
    <n v="153"/>
    <s v="0153"/>
    <s v="ORD-SP-0153-22/05/24"/>
    <s v="[{item_code: SW001, quantity: 2, rating: 1}, {item_code: PP001, quantity: 1, rating: 5}]"/>
    <s v="SW001"/>
    <x v="8"/>
    <s v="Sepatu Wanita"/>
    <s v="2"/>
    <s v="1"/>
    <n v="150000"/>
    <n v="70000"/>
    <s v="PP001"/>
    <s v="Kaos Polo"/>
    <s v="Pakaian Pria"/>
    <s v="1"/>
    <s v="5"/>
    <n v="80000"/>
    <n v="30000"/>
    <s v="-"/>
    <s v="-"/>
    <s v="-"/>
    <n v="0"/>
    <s v="-"/>
    <n v="0"/>
    <n v="0"/>
    <n v="3"/>
    <n v="380000"/>
    <n v="170000"/>
    <s v="DISC10"/>
    <n v="0.1"/>
    <n v="38000"/>
    <n v="342000"/>
    <n v="210000"/>
    <n v="172000"/>
    <s v="Promo 4.4"/>
    <x v="0"/>
    <s v="SP"/>
    <x v="2"/>
    <x v="133"/>
  </r>
  <r>
    <n v="238"/>
    <s v="0238"/>
    <s v="ORD-SP-0238-22/05/24"/>
    <s v="[{item_code: SP002, quantity: 2, rating: 4}, {item_code: PP003, quantity: 1, rating: 3}, {item_code: PW002, quantity: 4, rating: 5}]"/>
    <s v="SP002"/>
    <x v="1"/>
    <s v="Sepatu Pria"/>
    <s v="2"/>
    <s v="4"/>
    <n v="120000"/>
    <n v="60000"/>
    <s v="PP003"/>
    <s v="Jaket Jeans"/>
    <s v="Pakaian Pria"/>
    <s v="1"/>
    <s v="3"/>
    <n v="150000"/>
    <n v="70000"/>
    <s v="PW002"/>
    <s v="Blouse"/>
    <s v="Pakaian Wanita"/>
    <s v="4"/>
    <s v="5"/>
    <n v="125000"/>
    <n v="50000"/>
    <n v="7"/>
    <n v="890000"/>
    <n v="390000"/>
    <s v="DISC15"/>
    <n v="0.15"/>
    <n v="133500"/>
    <n v="756500"/>
    <n v="500000"/>
    <n v="366500"/>
    <s v="Promo 4.4"/>
    <x v="0"/>
    <s v="SP"/>
    <x v="4"/>
    <x v="133"/>
  </r>
  <r>
    <n v="431"/>
    <s v="0431"/>
    <s v="ORD-SP-0431-22/05/24"/>
    <s v="[{item_code: SP001, quantity: 3, rating: 2}, {item_code: SW001, quantity: 1, rating: 1}]"/>
    <s v="SP001"/>
    <x v="9"/>
    <s v="Sepatu Pria"/>
    <s v="3"/>
    <s v="2"/>
    <n v="300000"/>
    <n v="100000"/>
    <s v="SW001"/>
    <s v="Flat Shoes"/>
    <s v="Sepatu Wanita"/>
    <s v="1"/>
    <s v="1"/>
    <n v="150000"/>
    <n v="70000"/>
    <s v="-"/>
    <s v="-"/>
    <s v="-"/>
    <n v="0"/>
    <s v="-"/>
    <n v="0"/>
    <n v="0"/>
    <n v="4"/>
    <n v="1050000"/>
    <n v="370000"/>
    <s v="DISC20"/>
    <n v="0.2"/>
    <n v="210000"/>
    <n v="840000"/>
    <n v="680000"/>
    <n v="470000"/>
    <s v="Promo Lebaran"/>
    <x v="0"/>
    <s v="SP"/>
    <x v="0"/>
    <x v="133"/>
  </r>
  <r>
    <n v="594"/>
    <s v="0594"/>
    <s v="ORD-BB-0594-22/05/24"/>
    <s v="[{item_code: SP001, quantity: 3, rating: 5}, {item_code: PU001, quantity: 3, rating: 5}]"/>
    <s v="SP001"/>
    <x v="9"/>
    <s v="Sepatu Pria"/>
    <s v="3"/>
    <s v="5"/>
    <n v="300000"/>
    <n v="100000"/>
    <s v="PU001"/>
    <s v="Jaket Hoodie"/>
    <s v="Pakaian Unisex"/>
    <s v="3"/>
    <s v="5"/>
    <n v="160000"/>
    <n v="60000"/>
    <s v="-"/>
    <s v="-"/>
    <s v="-"/>
    <n v="0"/>
    <s v="-"/>
    <n v="0"/>
    <n v="0"/>
    <n v="6"/>
    <n v="1380000"/>
    <n v="480000"/>
    <s v="BELI44"/>
    <n v="0.15"/>
    <n v="207000"/>
    <n v="1173000"/>
    <n v="900000"/>
    <n v="693000"/>
    <s v="Promo 4.4"/>
    <x v="3"/>
    <s v="BB"/>
    <x v="2"/>
    <x v="133"/>
  </r>
  <r>
    <n v="615"/>
    <s v="0615"/>
    <s v="ORD-BL-0615-22/05/24"/>
    <s v="[{item_code: PU001, quantity: 4, rating: 1}, {item_code: SP002, quantity: 2, rating: 5}, {item_code: PP003, quantity: 1, rating: 3}]"/>
    <s v="PU001"/>
    <x v="7"/>
    <s v="Pakaian Unisex"/>
    <s v="4"/>
    <s v="1"/>
    <n v="160000"/>
    <n v="60000"/>
    <s v="SP002"/>
    <s v="Sandal Slip On"/>
    <s v="Sepatu Pria"/>
    <s v="2"/>
    <s v="5"/>
    <n v="120000"/>
    <n v="60000"/>
    <s v="PP003"/>
    <s v="Jaket Jeans"/>
    <s v="Pakaian Pria"/>
    <s v="1"/>
    <s v="3"/>
    <n v="150000"/>
    <n v="70000"/>
    <n v="7"/>
    <n v="1030000"/>
    <n v="430000"/>
    <s v="BUKALEBAR"/>
    <n v="0.15"/>
    <n v="154500"/>
    <n v="875500"/>
    <n v="600000"/>
    <n v="445500"/>
    <s v="Promo Lebaran"/>
    <x v="2"/>
    <s v="BL"/>
    <x v="1"/>
    <x v="133"/>
  </r>
  <r>
    <n v="243"/>
    <s v="0243"/>
    <s v="ORD-SP-0243-23/05/24"/>
    <s v="[{item_code: PP002, quantity: 2, rating: 4}]"/>
    <s v="PP002"/>
    <x v="5"/>
    <s v="Pakaian Pria"/>
    <s v="2"/>
    <s v="4"/>
    <n v="60000"/>
    <n v="25000"/>
    <s v="-"/>
    <s v="-"/>
    <s v="-"/>
    <n v="0"/>
    <s v="-"/>
    <n v="0"/>
    <n v="0"/>
    <s v="-"/>
    <s v="-"/>
    <s v="-"/>
    <n v="0"/>
    <s v="-"/>
    <n v="0"/>
    <n v="0"/>
    <n v="2"/>
    <n v="120000"/>
    <n v="50000"/>
    <s v="DISC15"/>
    <n v="0.15"/>
    <n v="18000"/>
    <n v="102000"/>
    <n v="70000"/>
    <n v="52000"/>
    <s v="Promo 4.4"/>
    <x v="0"/>
    <s v="SP"/>
    <x v="3"/>
    <x v="134"/>
  </r>
  <r>
    <n v="478"/>
    <s v="0478"/>
    <s v="ORD-BB-0478-23/05/24"/>
    <s v="[{item_code: PU001, quantity: 1, rating: 3}, {item_code: PW002, quantity: 4, rating: 2}, {item_code: PU001, quantity: 1, rating: 4}]"/>
    <s v="PU001"/>
    <x v="7"/>
    <s v="Pakaian Unisex"/>
    <s v="1"/>
    <s v="3"/>
    <n v="160000"/>
    <n v="60000"/>
    <s v="PW002"/>
    <s v="Blouse"/>
    <s v="Pakaian Wanita"/>
    <s v="4"/>
    <s v="2"/>
    <n v="125000"/>
    <n v="50000"/>
    <s v="PU001"/>
    <s v="Jaket Hoodie"/>
    <s v="Pakaian Unisex"/>
    <s v="1"/>
    <s v="4"/>
    <n v="160000"/>
    <n v="60000"/>
    <n v="6"/>
    <n v="820000"/>
    <n v="320000"/>
    <s v="BELI44"/>
    <n v="0.15"/>
    <n v="123000"/>
    <n v="697000"/>
    <n v="500000"/>
    <n v="377000"/>
    <s v="Promo 4.4"/>
    <x v="3"/>
    <s v="BB"/>
    <x v="3"/>
    <x v="134"/>
  </r>
  <r>
    <n v="482"/>
    <s v="0482"/>
    <s v="ORD-TK-0482-23/05/24"/>
    <s v="[{item_code: PP001, quantity: 1, rating: 3}]"/>
    <s v="PP001"/>
    <x v="0"/>
    <s v="Pakaian Pria"/>
    <s v="1"/>
    <s v="3"/>
    <n v="80000"/>
    <n v="30000"/>
    <s v="-"/>
    <s v="-"/>
    <s v="-"/>
    <n v="0"/>
    <s v="-"/>
    <n v="0"/>
    <n v="0"/>
    <s v="-"/>
    <s v="-"/>
    <s v="-"/>
    <n v="0"/>
    <s v="-"/>
    <n v="0"/>
    <n v="0"/>
    <n v="1"/>
    <n v="80000"/>
    <n v="30000"/>
    <s v="LEBAR10"/>
    <n v="0.1"/>
    <n v="8000"/>
    <n v="72000"/>
    <n v="50000"/>
    <n v="42000"/>
    <s v="Promo Lebaran"/>
    <x v="1"/>
    <s v="TK"/>
    <x v="1"/>
    <x v="134"/>
  </r>
  <r>
    <n v="731"/>
    <s v="0731"/>
    <s v="ORD-SP-0731-23/05/24"/>
    <s v="[{item_code: SP002, quantity: 5, rating: 1}, {item_code: SW001, quantity: 1, rating: 1}]"/>
    <s v="SP002"/>
    <x v="1"/>
    <s v="Sepatu Pria"/>
    <s v="5"/>
    <s v="1"/>
    <n v="120000"/>
    <n v="60000"/>
    <s v="SW001"/>
    <s v="Flat Shoes"/>
    <s v="Sepatu Wanita"/>
    <s v="1"/>
    <s v="1"/>
    <n v="150000"/>
    <n v="70000"/>
    <s v="-"/>
    <s v="-"/>
    <s v="-"/>
    <n v="0"/>
    <s v="-"/>
    <n v="0"/>
    <n v="0"/>
    <n v="6"/>
    <n v="750000"/>
    <n v="370000"/>
    <s v="DISC15"/>
    <n v="0.15"/>
    <n v="112500"/>
    <n v="637500"/>
    <n v="380000"/>
    <n v="267500"/>
    <s v="Promo 4.4"/>
    <x v="0"/>
    <s v="SP"/>
    <x v="4"/>
    <x v="134"/>
  </r>
  <r>
    <n v="260"/>
    <s v="0260"/>
    <s v="ORD-TK-0260-24/05/24"/>
    <s v="[{item_code: PW002, quantity: 2, rating: 4}]"/>
    <s v="PW002"/>
    <x v="4"/>
    <s v="Pakaian Wanita"/>
    <s v="2"/>
    <s v="4"/>
    <n v="125000"/>
    <n v="50000"/>
    <s v="-"/>
    <s v="-"/>
    <s v="-"/>
    <n v="0"/>
    <s v="-"/>
    <n v="0"/>
    <n v="0"/>
    <s v="-"/>
    <s v="-"/>
    <s v="-"/>
    <n v="0"/>
    <s v="-"/>
    <n v="0"/>
    <n v="0"/>
    <n v="2"/>
    <n v="250000"/>
    <n v="100000"/>
    <s v="LEBAR10"/>
    <n v="0.1"/>
    <n v="25000"/>
    <n v="225000"/>
    <n v="150000"/>
    <n v="125000"/>
    <s v="Promo Lebaran"/>
    <x v="1"/>
    <s v="TK"/>
    <x v="3"/>
    <x v="135"/>
  </r>
  <r>
    <n v="624"/>
    <s v="0624"/>
    <s v="ORD-TK-0624-24/05/24"/>
    <s v="[{item_code: PP002, quantity: 2, rating: 1}, {item_code: SP001, quantity: 3, rating: 2}]"/>
    <s v="PP002"/>
    <x v="5"/>
    <s v="Pakaian Pria"/>
    <s v="2"/>
    <s v="1"/>
    <n v="60000"/>
    <n v="25000"/>
    <s v="SP001"/>
    <s v="Sneakers"/>
    <s v="Sepatu Pria"/>
    <s v="3"/>
    <s v="2"/>
    <n v="300000"/>
    <n v="100000"/>
    <s v="-"/>
    <s v="-"/>
    <s v="-"/>
    <n v="0"/>
    <s v="-"/>
    <n v="0"/>
    <n v="0"/>
    <n v="5"/>
    <n v="1020000"/>
    <n v="350000"/>
    <s v="LEBAR10"/>
    <n v="0.1"/>
    <n v="102000"/>
    <n v="918000"/>
    <n v="670000"/>
    <n v="568000"/>
    <s v="Promo Lebaran"/>
    <x v="1"/>
    <s v="TK"/>
    <x v="3"/>
    <x v="135"/>
  </r>
  <r>
    <n v="763"/>
    <s v="0763"/>
    <s v="ORD-TK-0763-24/05/24"/>
    <s v="[{item_code: PP001, quantity: 3, rating: 1}, {item_code: PW003, quantity: 1, rating: 4}]"/>
    <s v="PP001"/>
    <x v="0"/>
    <s v="Pakaian Pria"/>
    <s v="3"/>
    <s v="1"/>
    <n v="80000"/>
    <n v="30000"/>
    <s v="PW003"/>
    <s v="Kaftan"/>
    <s v="Pakaian Wanita"/>
    <s v="1"/>
    <s v="4"/>
    <n v="200000"/>
    <n v="100000"/>
    <s v="-"/>
    <s v="-"/>
    <s v="-"/>
    <n v="0"/>
    <s v="-"/>
    <n v="0"/>
    <n v="0"/>
    <n v="4"/>
    <n v="440000"/>
    <n v="190000"/>
    <s v="LEBAR10"/>
    <n v="0.1"/>
    <n v="44000"/>
    <n v="396000"/>
    <n v="250000"/>
    <n v="206000"/>
    <s v="Promo Lebaran"/>
    <x v="1"/>
    <s v="TK"/>
    <x v="4"/>
    <x v="135"/>
  </r>
  <r>
    <n v="206"/>
    <s v="0206"/>
    <s v="ORD-SP-0206-25/05/24"/>
    <s v="[{item_code: PP002, quantity: 3, rating: 4}, {item_code: PP001, quantity: 1, rating: 4}]"/>
    <s v="PP002"/>
    <x v="5"/>
    <s v="Pakaian Pria"/>
    <s v="3"/>
    <s v="4"/>
    <n v="60000"/>
    <n v="25000"/>
    <s v="PP001"/>
    <s v="Kaos Polo"/>
    <s v="Pakaian Pria"/>
    <s v="1"/>
    <s v="4"/>
    <n v="80000"/>
    <n v="30000"/>
    <s v="-"/>
    <s v="-"/>
    <s v="-"/>
    <n v="0"/>
    <s v="-"/>
    <n v="0"/>
    <n v="0"/>
    <n v="4"/>
    <n v="260000"/>
    <n v="105000"/>
    <s v="DISC15"/>
    <n v="0.15"/>
    <n v="39000"/>
    <n v="221000"/>
    <n v="155000"/>
    <n v="116000"/>
    <s v="Promo 4.4"/>
    <x v="0"/>
    <s v="SP"/>
    <x v="0"/>
    <x v="136"/>
  </r>
  <r>
    <n v="578"/>
    <s v="0578"/>
    <s v="ORD-BB-0578-25/05/24"/>
    <s v="[{item_code: PP003, quantity: 2, rating: 2}, {item_code: PW001, quantity: 2, rating: 2}]"/>
    <s v="PP003"/>
    <x v="6"/>
    <s v="Pakaian Pria"/>
    <s v="2"/>
    <s v="2"/>
    <n v="150000"/>
    <n v="70000"/>
    <s v="PW001"/>
    <s v="Dress"/>
    <s v="Pakaian Wanita"/>
    <s v="2"/>
    <s v="2"/>
    <n v="150000"/>
    <n v="55000"/>
    <s v="-"/>
    <s v="-"/>
    <s v="-"/>
    <n v="0"/>
    <s v="-"/>
    <n v="0"/>
    <n v="0"/>
    <n v="4"/>
    <n v="600000"/>
    <n v="250000"/>
    <s v="-"/>
    <n v="0"/>
    <n v="0"/>
    <n v="600000"/>
    <n v="350000"/>
    <n v="350000"/>
    <s v="-"/>
    <x v="3"/>
    <s v="BB"/>
    <x v="1"/>
    <x v="136"/>
  </r>
  <r>
    <n v="865"/>
    <s v="0865"/>
    <s v="ORD-TK-0865-25/05/24"/>
    <s v="[{item_code: PW002, quantity: 2, rating: 5}]"/>
    <s v="PW002"/>
    <x v="4"/>
    <s v="Pakaian Wanita"/>
    <s v="2"/>
    <s v="5"/>
    <n v="125000"/>
    <n v="50000"/>
    <s v="-"/>
    <s v="-"/>
    <s v="-"/>
    <n v="0"/>
    <s v="-"/>
    <n v="0"/>
    <n v="0"/>
    <s v="-"/>
    <s v="-"/>
    <s v="-"/>
    <n v="0"/>
    <s v="-"/>
    <n v="0"/>
    <n v="0"/>
    <n v="2"/>
    <n v="250000"/>
    <n v="100000"/>
    <s v="LEBAR10"/>
    <n v="0.1"/>
    <n v="25000"/>
    <n v="225000"/>
    <n v="150000"/>
    <n v="125000"/>
    <s v="Promo Lebaran"/>
    <x v="1"/>
    <s v="TK"/>
    <x v="4"/>
    <x v="136"/>
  </r>
  <r>
    <n v="75"/>
    <s v="0075"/>
    <s v="ORD-TK-0075-26/05/24"/>
    <s v="[{item_code: PP003, quantity: 6, rating: 4}, {item_code: PW001, quantity: 1, rating: 1}]"/>
    <s v="PP003"/>
    <x v="6"/>
    <s v="Pakaian Pria"/>
    <s v="6"/>
    <s v="4"/>
    <n v="150000"/>
    <n v="70000"/>
    <s v="PW001"/>
    <s v="Dress"/>
    <s v="Pakaian Wanita"/>
    <s v="1"/>
    <s v="1"/>
    <n v="150000"/>
    <n v="55000"/>
    <s v="-"/>
    <s v="-"/>
    <s v="-"/>
    <n v="0"/>
    <s v="-"/>
    <n v="0"/>
    <n v="0"/>
    <n v="7"/>
    <n v="1050000"/>
    <n v="475000"/>
    <s v="DISCAPRIL"/>
    <n v="0.1"/>
    <n v="105000"/>
    <n v="945000"/>
    <n v="575000"/>
    <n v="470000"/>
    <s v="Promo 4.4"/>
    <x v="1"/>
    <s v="TK"/>
    <x v="2"/>
    <x v="137"/>
  </r>
  <r>
    <n v="201"/>
    <s v="0201"/>
    <s v="ORD-TK-0201-26/05/24"/>
    <s v="[{item_code: PP003, quantity: 1, rating: 1}]"/>
    <s v="PP003"/>
    <x v="6"/>
    <s v="Pakaian Pria"/>
    <s v="1"/>
    <s v="1"/>
    <n v="150000"/>
    <n v="70000"/>
    <s v="-"/>
    <s v="-"/>
    <s v="-"/>
    <n v="0"/>
    <s v="-"/>
    <n v="0"/>
    <n v="0"/>
    <s v="-"/>
    <s v="-"/>
    <s v="-"/>
    <n v="0"/>
    <s v="-"/>
    <n v="0"/>
    <n v="0"/>
    <n v="1"/>
    <n v="150000"/>
    <n v="70000"/>
    <s v="LEBAR10"/>
    <n v="0.1"/>
    <n v="15000"/>
    <n v="135000"/>
    <n v="80000"/>
    <n v="65000"/>
    <s v="Promo Lebaran"/>
    <x v="1"/>
    <s v="TK"/>
    <x v="3"/>
    <x v="137"/>
  </r>
  <r>
    <n v="378"/>
    <s v="0378"/>
    <s v="ORD-TK-0378-26/05/24"/>
    <s v="[{item_code: SW001, quantity: 3, rating: 4}, {item_code: PP003, quantity: 2, rating: 5}]"/>
    <s v="SW001"/>
    <x v="8"/>
    <s v="Sepatu Wanita"/>
    <s v="3"/>
    <s v="4"/>
    <n v="150000"/>
    <n v="70000"/>
    <s v="PP003"/>
    <s v="Jaket Jeans"/>
    <s v="Pakaian Pria"/>
    <s v="2"/>
    <s v="5"/>
    <n v="150000"/>
    <n v="70000"/>
    <s v="-"/>
    <s v="-"/>
    <s v="-"/>
    <n v="0"/>
    <s v="-"/>
    <n v="0"/>
    <n v="0"/>
    <n v="5"/>
    <n v="750000"/>
    <n v="350000"/>
    <s v="LEBAR10"/>
    <n v="0.1"/>
    <n v="75000"/>
    <n v="675000"/>
    <n v="400000"/>
    <n v="325000"/>
    <s v="Promo Lebaran"/>
    <x v="1"/>
    <s v="TK"/>
    <x v="2"/>
    <x v="137"/>
  </r>
  <r>
    <n v="400"/>
    <s v="0400"/>
    <s v="ORD-SP-0400-26/05/24"/>
    <s v="[{item_code: SP002, quantity: 3, rating: 3}, {item_code: PW003, quantity: 1, rating: 2}]"/>
    <s v="SP002"/>
    <x v="1"/>
    <s v="Sepatu Pria"/>
    <s v="3"/>
    <s v="3"/>
    <n v="120000"/>
    <n v="60000"/>
    <s v="PW003"/>
    <s v="Kaftan"/>
    <s v="Pakaian Wanita"/>
    <s v="1"/>
    <s v="2"/>
    <n v="200000"/>
    <n v="100000"/>
    <s v="-"/>
    <s v="-"/>
    <s v="-"/>
    <n v="0"/>
    <s v="-"/>
    <n v="0"/>
    <n v="0"/>
    <n v="4"/>
    <n v="560000"/>
    <n v="280000"/>
    <s v="DISC20"/>
    <n v="0.2"/>
    <n v="112000"/>
    <n v="448000"/>
    <n v="280000"/>
    <n v="168000"/>
    <s v="Promo Lebaran"/>
    <x v="0"/>
    <s v="SP"/>
    <x v="3"/>
    <x v="137"/>
  </r>
  <r>
    <n v="587"/>
    <s v="0587"/>
    <s v="ORD-SP-0587-26/05/24"/>
    <s v="[{item_code: PW003, quantity: 1, rating: 3}]"/>
    <s v="PW003"/>
    <x v="3"/>
    <s v="Pakaian Wanita"/>
    <s v="1"/>
    <s v="3"/>
    <n v="200000"/>
    <n v="100000"/>
    <s v="-"/>
    <s v="-"/>
    <s v="-"/>
    <n v="0"/>
    <s v="-"/>
    <n v="0"/>
    <n v="0"/>
    <s v="-"/>
    <s v="-"/>
    <s v="-"/>
    <n v="0"/>
    <s v="-"/>
    <n v="0"/>
    <n v="0"/>
    <n v="1"/>
    <n v="200000"/>
    <n v="100000"/>
    <s v="DISC10"/>
    <n v="0.1"/>
    <n v="20000"/>
    <n v="180000"/>
    <n v="100000"/>
    <n v="80000"/>
    <s v="Promo 4.4"/>
    <x v="0"/>
    <s v="SP"/>
    <x v="0"/>
    <x v="137"/>
  </r>
  <r>
    <n v="626"/>
    <s v="0626"/>
    <s v="ORD-TK-0626-26/05/24"/>
    <s v="[{item_code: PU001, quantity: 1, rating: 5}, {item_code: SW001, quantity: 1, rating: 1}, {item_code: PP003, quantity: 2, rating: 1}]"/>
    <s v="PU001"/>
    <x v="7"/>
    <s v="Pakaian Unisex"/>
    <s v="1"/>
    <s v="5"/>
    <n v="160000"/>
    <n v="60000"/>
    <s v="SW001"/>
    <s v="Flat Shoes"/>
    <s v="Sepatu Wanita"/>
    <s v="1"/>
    <s v="1"/>
    <n v="150000"/>
    <n v="70000"/>
    <s v="PP003"/>
    <s v="Jaket Jeans"/>
    <s v="Pakaian Pria"/>
    <s v="2"/>
    <s v="1"/>
    <n v="150000"/>
    <n v="70000"/>
    <n v="4"/>
    <n v="610000"/>
    <n v="270000"/>
    <s v="DISCAPRIL"/>
    <n v="0.1"/>
    <n v="61000"/>
    <n v="549000"/>
    <n v="340000"/>
    <n v="279000"/>
    <s v="Promo 4.4"/>
    <x v="1"/>
    <s v="TK"/>
    <x v="1"/>
    <x v="137"/>
  </r>
  <r>
    <n v="179"/>
    <s v="0179"/>
    <s v="ORD-SP-0179-27/05/24"/>
    <s v="[{item_code: SW001, quantity: 1, rating: 5}]"/>
    <s v="SW001"/>
    <x v="8"/>
    <s v="Sepatu Wanita"/>
    <s v="1"/>
    <s v="5"/>
    <n v="150000"/>
    <n v="70000"/>
    <s v="-"/>
    <s v="-"/>
    <s v="-"/>
    <n v="0"/>
    <s v="-"/>
    <n v="0"/>
    <n v="0"/>
    <s v="-"/>
    <s v="-"/>
    <s v="-"/>
    <n v="0"/>
    <s v="-"/>
    <n v="0"/>
    <n v="0"/>
    <n v="1"/>
    <n v="150000"/>
    <n v="70000"/>
    <s v="DISC20"/>
    <n v="0.2"/>
    <n v="30000"/>
    <n v="120000"/>
    <n v="80000"/>
    <n v="50000"/>
    <s v="Promo Lebaran"/>
    <x v="0"/>
    <s v="SP"/>
    <x v="1"/>
    <x v="138"/>
  </r>
  <r>
    <n v="455"/>
    <s v="0455"/>
    <s v="ORD-BL-0455-27/05/24"/>
    <s v="[{item_code: PW002, quantity: 4, rating: 5}, {item_code: SP001, quantity: 1, rating: 1}]"/>
    <s v="PW002"/>
    <x v="4"/>
    <s v="Pakaian Wanita"/>
    <s v="4"/>
    <s v="5"/>
    <n v="125000"/>
    <n v="50000"/>
    <s v="SP001"/>
    <s v="Sneakers"/>
    <s v="Sepatu Pria"/>
    <s v="1"/>
    <s v="1"/>
    <n v="300000"/>
    <n v="100000"/>
    <s v="-"/>
    <s v="-"/>
    <s v="-"/>
    <n v="0"/>
    <s v="-"/>
    <n v="0"/>
    <n v="0"/>
    <n v="5"/>
    <n v="800000"/>
    <n v="300000"/>
    <s v="BUKALEBAR"/>
    <n v="0.15"/>
    <n v="120000"/>
    <n v="680000"/>
    <n v="500000"/>
    <n v="380000"/>
    <s v="Promo Lebaran"/>
    <x v="2"/>
    <s v="BL"/>
    <x v="3"/>
    <x v="138"/>
  </r>
  <r>
    <n v="888"/>
    <s v="0888"/>
    <s v="ORD-BB-0888-27/05/24"/>
    <s v="[{item_code: PP003, quantity: 1, rating: 1}, {item_code: PP002, quantity: 1, rating: 3}, {item_code: SP001, quantity: 2, rating: 4}]"/>
    <s v="PP003"/>
    <x v="6"/>
    <s v="Pakaian Pria"/>
    <s v="1"/>
    <s v="1"/>
    <n v="150000"/>
    <n v="70000"/>
    <s v="PP002"/>
    <s v="Celana Pendek"/>
    <s v="Pakaian Pria"/>
    <s v="1"/>
    <s v="3"/>
    <n v="60000"/>
    <n v="25000"/>
    <s v="SP001"/>
    <s v="Sneakers"/>
    <s v="Sepatu Pria"/>
    <s v="2"/>
    <s v="4"/>
    <n v="300000"/>
    <n v="100000"/>
    <n v="4"/>
    <n v="810000"/>
    <n v="295000"/>
    <s v="BELI44"/>
    <n v="0.15"/>
    <n v="121500"/>
    <n v="688500"/>
    <n v="515000"/>
    <n v="393500"/>
    <s v="Promo 4.4"/>
    <x v="3"/>
    <s v="BB"/>
    <x v="4"/>
    <x v="138"/>
  </r>
  <r>
    <n v="785"/>
    <s v="0785"/>
    <s v="ORD-TK-0785-28/05/24"/>
    <s v="[{item_code: SP001, quantity: 1, rating: 1}]"/>
    <s v="SP001"/>
    <x v="9"/>
    <s v="Sepatu Pria"/>
    <s v="1"/>
    <s v="1"/>
    <n v="300000"/>
    <n v="100000"/>
    <s v="-"/>
    <s v="-"/>
    <s v="-"/>
    <n v="0"/>
    <s v="-"/>
    <n v="0"/>
    <n v="0"/>
    <s v="-"/>
    <s v="-"/>
    <s v="-"/>
    <n v="0"/>
    <s v="-"/>
    <n v="0"/>
    <n v="0"/>
    <n v="1"/>
    <n v="300000"/>
    <n v="100000"/>
    <s v="DISCAPRIL"/>
    <n v="0.1"/>
    <n v="30000"/>
    <n v="270000"/>
    <n v="200000"/>
    <n v="170000"/>
    <s v="Promo 4.4"/>
    <x v="1"/>
    <s v="TK"/>
    <x v="5"/>
    <x v="139"/>
  </r>
  <r>
    <n v="563"/>
    <s v="0563"/>
    <s v="ORD-TK-0563-29/05/24"/>
    <s v="[{item_code: PP001, quantity: 4, rating: 4}]"/>
    <s v="PP001"/>
    <x v="0"/>
    <s v="Pakaian Pria"/>
    <s v="4"/>
    <s v="4"/>
    <n v="80000"/>
    <n v="30000"/>
    <s v="-"/>
    <s v="-"/>
    <s v="-"/>
    <n v="0"/>
    <s v="-"/>
    <n v="0"/>
    <n v="0"/>
    <s v="-"/>
    <s v="-"/>
    <s v="-"/>
    <n v="0"/>
    <s v="-"/>
    <n v="0"/>
    <n v="0"/>
    <n v="4"/>
    <n v="320000"/>
    <n v="120000"/>
    <s v="DISCAPRIL"/>
    <n v="0.1"/>
    <n v="32000"/>
    <n v="288000"/>
    <n v="200000"/>
    <n v="168000"/>
    <s v="Promo 4.4"/>
    <x v="1"/>
    <s v="TK"/>
    <x v="3"/>
    <x v="140"/>
  </r>
  <r>
    <n v="821"/>
    <s v="0821"/>
    <s v="ORD-TK-0821-29/05/24"/>
    <s v="[{item_code: PP002, quantity: 1, rating: 1}, {item_code: PP003, quantity: 1, rating: 4}]"/>
    <s v="PP002"/>
    <x v="5"/>
    <s v="Pakaian Pria"/>
    <s v="1"/>
    <s v="1"/>
    <n v="60000"/>
    <n v="25000"/>
    <s v="PP003"/>
    <s v="Jaket Jeans"/>
    <s v="Pakaian Pria"/>
    <s v="1"/>
    <s v="4"/>
    <n v="150000"/>
    <n v="70000"/>
    <s v="-"/>
    <s v="-"/>
    <s v="-"/>
    <n v="0"/>
    <s v="-"/>
    <n v="0"/>
    <n v="0"/>
    <n v="2"/>
    <n v="210000"/>
    <n v="95000"/>
    <s v="LEBAR10"/>
    <n v="0.1"/>
    <n v="21000"/>
    <n v="189000"/>
    <n v="115000"/>
    <n v="94000"/>
    <s v="Promo Lebaran"/>
    <x v="1"/>
    <s v="TK"/>
    <x v="3"/>
    <x v="140"/>
  </r>
  <r>
    <n v="256"/>
    <s v="0256"/>
    <s v="ORD-SP-0256-30/05/24"/>
    <s v="[{item_code: PU001, quantity: 3, rating: 4}, {item_code: SP002, quantity: 1, rating: 5}, {item_code: SP002, quantity: 1, rating: 2}]"/>
    <s v="PU001"/>
    <x v="7"/>
    <s v="Pakaian Unisex"/>
    <s v="3"/>
    <s v="4"/>
    <n v="160000"/>
    <n v="60000"/>
    <s v="SP002"/>
    <s v="Sandal Slip On"/>
    <s v="Sepatu Pria"/>
    <s v="1"/>
    <s v="5"/>
    <n v="120000"/>
    <n v="60000"/>
    <s v="SP002"/>
    <s v="Sandal Slip On"/>
    <s v="Sepatu Pria"/>
    <s v="1"/>
    <s v="2"/>
    <n v="120000"/>
    <n v="60000"/>
    <n v="5"/>
    <n v="720000"/>
    <n v="300000"/>
    <s v="DISC10"/>
    <n v="0.1"/>
    <n v="72000"/>
    <n v="648000"/>
    <n v="420000"/>
    <n v="348000"/>
    <s v="Promo 4.4"/>
    <x v="0"/>
    <s v="SP"/>
    <x v="0"/>
    <x v="141"/>
  </r>
  <r>
    <n v="273"/>
    <s v="0273"/>
    <s v="ORD-SP-0273-31/05/24"/>
    <s v="[{item_code: SW001, quantity: 2, rating: 4}, {item_code: SP002, quantity: 4, rating: 4}, {item_code: SW001, quantity: 1, rating: 3}]"/>
    <s v="SW001"/>
    <x v="8"/>
    <s v="Sepatu Wanita"/>
    <s v="2"/>
    <s v="4"/>
    <n v="150000"/>
    <n v="70000"/>
    <s v="SP002"/>
    <s v="Sandal Slip On"/>
    <s v="Sepatu Pria"/>
    <s v="4"/>
    <s v="4"/>
    <n v="120000"/>
    <n v="60000"/>
    <s v="SW001"/>
    <s v="Flat Shoes"/>
    <s v="Sepatu Wanita"/>
    <s v="1"/>
    <s v="3"/>
    <n v="150000"/>
    <n v="70000"/>
    <n v="7"/>
    <n v="930000"/>
    <n v="450000"/>
    <s v="DISC10"/>
    <n v="0.1"/>
    <n v="93000"/>
    <n v="837000"/>
    <n v="480000"/>
    <n v="387000"/>
    <s v="Promo 4.4"/>
    <x v="0"/>
    <s v="SP"/>
    <x v="4"/>
    <x v="142"/>
  </r>
  <r>
    <n v="805"/>
    <s v="0805"/>
    <s v="ORD-SP-0805-31/05/24"/>
    <s v="[{item_code: PP002, quantity: 4, rating: 3}]"/>
    <s v="PP002"/>
    <x v="5"/>
    <s v="Pakaian Pria"/>
    <s v="4"/>
    <s v="3"/>
    <n v="60000"/>
    <n v="25000"/>
    <s v="-"/>
    <s v="-"/>
    <s v="-"/>
    <n v="0"/>
    <s v="-"/>
    <n v="0"/>
    <n v="0"/>
    <s v="-"/>
    <s v="-"/>
    <s v="-"/>
    <n v="0"/>
    <s v="-"/>
    <n v="0"/>
    <n v="0"/>
    <n v="4"/>
    <n v="240000"/>
    <n v="100000"/>
    <s v="-"/>
    <n v="0"/>
    <n v="0"/>
    <n v="240000"/>
    <n v="140000"/>
    <n v="140000"/>
    <s v="-"/>
    <x v="0"/>
    <s v="SP"/>
    <x v="1"/>
    <x v="142"/>
  </r>
  <r>
    <n v="895"/>
    <s v="0895"/>
    <s v="ORD-SP-0895-31/05/24"/>
    <s v="[{item_code: PW001, quantity: 4, rating: 4}, {item_code: PP001, quantity: 1, rating: 5}]"/>
    <s v="PW001"/>
    <x v="2"/>
    <s v="Pakaian Wanita"/>
    <s v="4"/>
    <s v="4"/>
    <n v="150000"/>
    <n v="55000"/>
    <s v="PP001"/>
    <s v="Kaos Polo"/>
    <s v="Pakaian Pria"/>
    <s v="1"/>
    <s v="5"/>
    <n v="80000"/>
    <n v="30000"/>
    <s v="-"/>
    <s v="-"/>
    <s v="-"/>
    <n v="0"/>
    <s v="-"/>
    <n v="0"/>
    <n v="0"/>
    <n v="5"/>
    <n v="680000"/>
    <n v="250000"/>
    <s v="DISC20"/>
    <n v="0.2"/>
    <n v="136000"/>
    <n v="544000"/>
    <n v="430000"/>
    <n v="294000"/>
    <s v="Promo Lebaran"/>
    <x v="0"/>
    <s v="SP"/>
    <x v="4"/>
    <x v="142"/>
  </r>
  <r>
    <n v="312"/>
    <s v="0312"/>
    <s v="ORD-TK-0312-01/06/24"/>
    <s v="[{item_code: SP001, quantity: 2, rating: 5}, {item_code: PW003, quantity: 1, rating: 3}, {item_code: SP002, quantity: 1, rating: 2}]"/>
    <s v="SP001"/>
    <x v="9"/>
    <s v="Sepatu Pria"/>
    <s v="2"/>
    <s v="5"/>
    <n v="300000"/>
    <n v="100000"/>
    <s v="PW003"/>
    <s v="Kaftan"/>
    <s v="Pakaian Wanita"/>
    <s v="1"/>
    <s v="3"/>
    <n v="200000"/>
    <n v="100000"/>
    <s v="SP002"/>
    <s v="Sandal Slip On"/>
    <s v="Sepatu Pria"/>
    <s v="1"/>
    <s v="2"/>
    <n v="120000"/>
    <n v="60000"/>
    <n v="4"/>
    <n v="920000"/>
    <n v="360000"/>
    <s v="LEBAR10"/>
    <n v="0.1"/>
    <n v="92000"/>
    <n v="828000"/>
    <n v="560000"/>
    <n v="468000"/>
    <s v="Promo Lebaran"/>
    <x v="1"/>
    <s v="TK"/>
    <x v="4"/>
    <x v="143"/>
  </r>
  <r>
    <n v="456"/>
    <s v="0456"/>
    <s v="ORD-BB-0456-01/06/24"/>
    <s v="[{item_code: PP002, quantity: 1, rating: 1}, {item_code: SW001, quantity: 6, rating: 4}]"/>
    <s v="PP002"/>
    <x v="5"/>
    <s v="Pakaian Pria"/>
    <s v="1"/>
    <s v="1"/>
    <n v="60000"/>
    <n v="25000"/>
    <s v="SW001"/>
    <s v="Flat Shoes"/>
    <s v="Sepatu Wanita"/>
    <s v="6"/>
    <s v="4"/>
    <n v="150000"/>
    <n v="70000"/>
    <s v="-"/>
    <s v="-"/>
    <s v="-"/>
    <n v="0"/>
    <s v="-"/>
    <n v="0"/>
    <n v="0"/>
    <n v="7"/>
    <n v="960000"/>
    <n v="445000"/>
    <s v="BELI44"/>
    <n v="0.15"/>
    <n v="144000"/>
    <n v="816000"/>
    <n v="515000"/>
    <n v="371000"/>
    <s v="Promo 4.4"/>
    <x v="3"/>
    <s v="BB"/>
    <x v="3"/>
    <x v="143"/>
  </r>
  <r>
    <n v="567"/>
    <s v="0567"/>
    <s v="ORD-BB-0567-01/06/24"/>
    <s v="[{item_code: SP001, quantity: 3, rating: 4}]"/>
    <s v="SP001"/>
    <x v="9"/>
    <s v="Sepatu Pria"/>
    <s v="3"/>
    <s v="4"/>
    <n v="300000"/>
    <n v="100000"/>
    <s v="-"/>
    <s v="-"/>
    <s v="-"/>
    <n v="0"/>
    <s v="-"/>
    <n v="0"/>
    <n v="0"/>
    <s v="-"/>
    <s v="-"/>
    <s v="-"/>
    <n v="0"/>
    <s v="-"/>
    <n v="0"/>
    <n v="0"/>
    <n v="3"/>
    <n v="900000"/>
    <n v="300000"/>
    <s v="BELI44"/>
    <n v="0.15"/>
    <n v="135000"/>
    <n v="765000"/>
    <n v="600000"/>
    <n v="465000"/>
    <s v="Promo 4.4"/>
    <x v="3"/>
    <s v="BB"/>
    <x v="3"/>
    <x v="143"/>
  </r>
  <r>
    <n v="996"/>
    <s v="0996"/>
    <s v="ORD-SP-0996-02/06/24"/>
    <s v="[{item_code: PU001, quantity: 1, rating: 5}]"/>
    <s v="PU001"/>
    <x v="7"/>
    <s v="Pakaian Unisex"/>
    <s v="1"/>
    <s v="5"/>
    <n v="160000"/>
    <n v="60000"/>
    <s v="-"/>
    <s v="-"/>
    <s v="-"/>
    <n v="0"/>
    <s v="-"/>
    <n v="0"/>
    <n v="0"/>
    <s v="-"/>
    <s v="-"/>
    <s v="-"/>
    <n v="0"/>
    <s v="-"/>
    <n v="0"/>
    <n v="0"/>
    <n v="1"/>
    <n v="160000"/>
    <n v="60000"/>
    <s v="DISC20"/>
    <n v="0.2"/>
    <n v="32000"/>
    <n v="128000"/>
    <n v="100000"/>
    <n v="68000"/>
    <s v="Promo Lebaran"/>
    <x v="0"/>
    <s v="SP"/>
    <x v="5"/>
    <x v="144"/>
  </r>
  <r>
    <n v="325"/>
    <s v="0325"/>
    <s v="ORD-SP-0325-03/06/24"/>
    <s v="[{item_code: SP002, quantity: 3, rating: 4}, {item_code: PW002, quantity: 2, rating: 5}, {item_code: PP001, quantity: 1, rating: 3}]"/>
    <s v="SP002"/>
    <x v="1"/>
    <s v="Sepatu Pria"/>
    <s v="3"/>
    <s v="4"/>
    <n v="120000"/>
    <n v="60000"/>
    <s v="PW002"/>
    <s v="Blouse"/>
    <s v="Pakaian Wanita"/>
    <s v="2"/>
    <s v="5"/>
    <n v="125000"/>
    <n v="50000"/>
    <s v="PP001"/>
    <s v="Kaos Polo"/>
    <s v="Pakaian Pria"/>
    <s v="1"/>
    <s v="3"/>
    <n v="80000"/>
    <n v="30000"/>
    <n v="6"/>
    <n v="690000"/>
    <n v="310000"/>
    <s v="DISC10"/>
    <n v="0.1"/>
    <n v="69000"/>
    <n v="621000"/>
    <n v="380000"/>
    <n v="311000"/>
    <s v="Promo 4.4"/>
    <x v="0"/>
    <s v="SP"/>
    <x v="2"/>
    <x v="145"/>
  </r>
  <r>
    <n v="614"/>
    <s v="0614"/>
    <s v="ORD-SP-0614-03/06/24"/>
    <s v="[{item_code: PP002, quantity: 1, rating: 5}, {item_code: SP002, quantity: 1, rating: 3}]"/>
    <s v="PP002"/>
    <x v="5"/>
    <s v="Pakaian Pria"/>
    <s v="1"/>
    <s v="5"/>
    <n v="60000"/>
    <n v="25000"/>
    <s v="SP002"/>
    <s v="Sandal Slip On"/>
    <s v="Sepatu Pria"/>
    <s v="1"/>
    <s v="3"/>
    <n v="120000"/>
    <n v="60000"/>
    <s v="-"/>
    <s v="-"/>
    <s v="-"/>
    <n v="0"/>
    <s v="-"/>
    <n v="0"/>
    <n v="0"/>
    <n v="2"/>
    <n v="180000"/>
    <n v="85000"/>
    <s v="DISC20"/>
    <n v="0.2"/>
    <n v="36000"/>
    <n v="144000"/>
    <n v="95000"/>
    <n v="59000"/>
    <s v="Promo Lebaran"/>
    <x v="0"/>
    <s v="SP"/>
    <x v="3"/>
    <x v="145"/>
  </r>
  <r>
    <n v="692"/>
    <s v="0692"/>
    <s v="ORD-SP-0692-03/06/24"/>
    <s v="[{item_code: SP002, quantity: 1, rating: 3}, {item_code: SP001, quantity: 2, rating: 2}, {item_code: PW001, quantity: 3, rating: 4}]"/>
    <s v="SP002"/>
    <x v="1"/>
    <s v="Sepatu Pria"/>
    <s v="1"/>
    <s v="3"/>
    <n v="120000"/>
    <n v="60000"/>
    <s v="SP001"/>
    <s v="Sneakers"/>
    <s v="Sepatu Pria"/>
    <s v="2"/>
    <s v="2"/>
    <n v="300000"/>
    <n v="100000"/>
    <s v="PW001"/>
    <s v="Dress"/>
    <s v="Pakaian Wanita"/>
    <s v="3"/>
    <s v="4"/>
    <n v="150000"/>
    <n v="55000"/>
    <n v="6"/>
    <n v="1170000"/>
    <n v="425000"/>
    <s v="DISC15"/>
    <n v="0.15"/>
    <n v="175500"/>
    <n v="994500"/>
    <n v="745000"/>
    <n v="569500"/>
    <s v="Promo 4.4"/>
    <x v="0"/>
    <s v="SP"/>
    <x v="5"/>
    <x v="145"/>
  </r>
  <r>
    <n v="701"/>
    <s v="0701"/>
    <s v="ORD-TK-0701-03/06/24"/>
    <s v="[{item_code: PP003, quantity: 1, rating: 5}]"/>
    <s v="PP003"/>
    <x v="6"/>
    <s v="Pakaian Pria"/>
    <s v="1"/>
    <s v="5"/>
    <n v="150000"/>
    <n v="70000"/>
    <s v="-"/>
    <s v="-"/>
    <s v="-"/>
    <n v="0"/>
    <s v="-"/>
    <n v="0"/>
    <n v="0"/>
    <s v="-"/>
    <s v="-"/>
    <s v="-"/>
    <n v="0"/>
    <s v="-"/>
    <n v="0"/>
    <n v="0"/>
    <n v="1"/>
    <n v="150000"/>
    <n v="70000"/>
    <s v="LEBAR10"/>
    <n v="0.1"/>
    <n v="15000"/>
    <n v="135000"/>
    <n v="80000"/>
    <n v="65000"/>
    <s v="Promo Lebaran"/>
    <x v="1"/>
    <s v="TK"/>
    <x v="3"/>
    <x v="145"/>
  </r>
  <r>
    <n v="859"/>
    <s v="0859"/>
    <s v="ORD-TK-0859-03/06/24"/>
    <s v="[{item_code: PW002, quantity: 1, rating: 3}]"/>
    <s v="PW002"/>
    <x v="4"/>
    <s v="Pakaian Wanita"/>
    <s v="1"/>
    <s v="3"/>
    <n v="125000"/>
    <n v="50000"/>
    <s v="-"/>
    <s v="-"/>
    <s v="-"/>
    <n v="0"/>
    <s v="-"/>
    <n v="0"/>
    <n v="0"/>
    <s v="-"/>
    <s v="-"/>
    <s v="-"/>
    <n v="0"/>
    <s v="-"/>
    <n v="0"/>
    <n v="0"/>
    <n v="1"/>
    <n v="125000"/>
    <n v="50000"/>
    <s v="-"/>
    <n v="0"/>
    <n v="0"/>
    <n v="125000"/>
    <n v="75000"/>
    <n v="75000"/>
    <s v="-"/>
    <x v="1"/>
    <s v="TK"/>
    <x v="0"/>
    <x v="145"/>
  </r>
  <r>
    <n v="236"/>
    <s v="0236"/>
    <s v="ORD-TK-0236-04/06/24"/>
    <s v="[{item_code: PP001, quantity: 1, rating: 2}]"/>
    <s v="PP001"/>
    <x v="0"/>
    <s v="Pakaian Pria"/>
    <s v="1"/>
    <s v="2"/>
    <n v="80000"/>
    <n v="30000"/>
    <s v="-"/>
    <s v="-"/>
    <s v="-"/>
    <n v="0"/>
    <s v="-"/>
    <n v="0"/>
    <n v="0"/>
    <s v="-"/>
    <s v="-"/>
    <s v="-"/>
    <n v="0"/>
    <s v="-"/>
    <n v="0"/>
    <n v="0"/>
    <n v="1"/>
    <n v="80000"/>
    <n v="30000"/>
    <s v="LEBAR10"/>
    <n v="0.1"/>
    <n v="8000"/>
    <n v="72000"/>
    <n v="50000"/>
    <n v="42000"/>
    <s v="Promo Lebaran"/>
    <x v="1"/>
    <s v="TK"/>
    <x v="5"/>
    <x v="146"/>
  </r>
  <r>
    <n v="340"/>
    <s v="0340"/>
    <s v="ORD-SP-0340-05/06/24"/>
    <s v="[{item_code: SW001, quantity: 1, rating: 5}, {item_code: PP001, quantity: 1, rating: 1}]"/>
    <s v="SW001"/>
    <x v="8"/>
    <s v="Sepatu Wanita"/>
    <s v="1"/>
    <s v="5"/>
    <n v="150000"/>
    <n v="70000"/>
    <s v="PP001"/>
    <s v="Kaos Polo"/>
    <s v="Pakaian Pria"/>
    <s v="1"/>
    <s v="1"/>
    <n v="80000"/>
    <n v="30000"/>
    <s v="-"/>
    <s v="-"/>
    <s v="-"/>
    <n v="0"/>
    <s v="-"/>
    <n v="0"/>
    <n v="0"/>
    <n v="2"/>
    <n v="230000"/>
    <n v="100000"/>
    <s v="DISC10"/>
    <n v="0.1"/>
    <n v="23000"/>
    <n v="207000"/>
    <n v="130000"/>
    <n v="107000"/>
    <s v="Promo 4.4"/>
    <x v="0"/>
    <s v="SP"/>
    <x v="3"/>
    <x v="147"/>
  </r>
  <r>
    <n v="428"/>
    <s v="0428"/>
    <s v="ORD-SP-0428-05/06/24"/>
    <s v="[{item_code: SW001, quantity: 1, rating: 1}]"/>
    <s v="SW001"/>
    <x v="8"/>
    <s v="Sepatu Wanita"/>
    <s v="1"/>
    <s v="1"/>
    <n v="150000"/>
    <n v="70000"/>
    <s v="-"/>
    <s v="-"/>
    <s v="-"/>
    <n v="0"/>
    <s v="-"/>
    <n v="0"/>
    <n v="0"/>
    <s v="-"/>
    <s v="-"/>
    <s v="-"/>
    <n v="0"/>
    <s v="-"/>
    <n v="0"/>
    <n v="0"/>
    <n v="1"/>
    <n v="150000"/>
    <n v="70000"/>
    <s v="DISC10"/>
    <n v="0.1"/>
    <n v="15000"/>
    <n v="135000"/>
    <n v="80000"/>
    <n v="65000"/>
    <s v="Promo 4.4"/>
    <x v="0"/>
    <s v="SP"/>
    <x v="3"/>
    <x v="147"/>
  </r>
  <r>
    <n v="669"/>
    <s v="0669"/>
    <s v="ORD-SP-0669-05/06/24"/>
    <s v="[{item_code: SW001, quantity: 2, rating: 1}]"/>
    <s v="SW001"/>
    <x v="8"/>
    <s v="Sepatu Wanita"/>
    <s v="2"/>
    <s v="1"/>
    <n v="150000"/>
    <n v="70000"/>
    <s v="-"/>
    <s v="-"/>
    <s v="-"/>
    <n v="0"/>
    <s v="-"/>
    <n v="0"/>
    <n v="0"/>
    <s v="-"/>
    <s v="-"/>
    <s v="-"/>
    <n v="0"/>
    <s v="-"/>
    <n v="0"/>
    <n v="0"/>
    <n v="2"/>
    <n v="300000"/>
    <n v="140000"/>
    <s v="DISC20"/>
    <n v="0.2"/>
    <n v="60000"/>
    <n v="240000"/>
    <n v="160000"/>
    <n v="100000"/>
    <s v="Promo Lebaran"/>
    <x v="0"/>
    <s v="SP"/>
    <x v="3"/>
    <x v="147"/>
  </r>
  <r>
    <n v="139"/>
    <s v="0139"/>
    <s v="ORD-SP-0139-06/06/24"/>
    <s v="[{item_code: PW002, quantity: 4, rating: 4}]"/>
    <s v="PW002"/>
    <x v="4"/>
    <s v="Pakaian Wanita"/>
    <s v="4"/>
    <s v="4"/>
    <n v="125000"/>
    <n v="50000"/>
    <s v="-"/>
    <s v="-"/>
    <s v="-"/>
    <n v="0"/>
    <s v="-"/>
    <n v="0"/>
    <n v="0"/>
    <s v="-"/>
    <s v="-"/>
    <s v="-"/>
    <n v="0"/>
    <s v="-"/>
    <n v="0"/>
    <n v="0"/>
    <n v="4"/>
    <n v="500000"/>
    <n v="200000"/>
    <s v="DISC20"/>
    <n v="0.2"/>
    <n v="100000"/>
    <n v="400000"/>
    <n v="300000"/>
    <n v="200000"/>
    <s v="Promo Lebaran"/>
    <x v="0"/>
    <s v="SP"/>
    <x v="2"/>
    <x v="148"/>
  </r>
  <r>
    <n v="440"/>
    <s v="0440"/>
    <s v="ORD-TK-0440-06/06/24"/>
    <s v="[{item_code: PP001, quantity: 1, rating: 5}, {item_code: SP002, quantity: 1, rating: 5}]"/>
    <s v="PP001"/>
    <x v="0"/>
    <s v="Pakaian Pria"/>
    <s v="1"/>
    <s v="5"/>
    <n v="80000"/>
    <n v="30000"/>
    <s v="SP002"/>
    <s v="Sandal Slip On"/>
    <s v="Sepatu Pria"/>
    <s v="1"/>
    <s v="5"/>
    <n v="120000"/>
    <n v="60000"/>
    <s v="-"/>
    <s v="-"/>
    <s v="-"/>
    <n v="0"/>
    <s v="-"/>
    <n v="0"/>
    <n v="0"/>
    <n v="2"/>
    <n v="200000"/>
    <n v="90000"/>
    <s v="LEBAR10"/>
    <n v="0.1"/>
    <n v="20000"/>
    <n v="180000"/>
    <n v="110000"/>
    <n v="90000"/>
    <s v="Promo Lebaran"/>
    <x v="1"/>
    <s v="TK"/>
    <x v="3"/>
    <x v="148"/>
  </r>
  <r>
    <n v="249"/>
    <s v="0249"/>
    <s v="ORD-TK-0249-07/06/24"/>
    <s v="[{item_code: SP002, quantity: 3, rating: 4}, {item_code: PU001, quantity: 1, rating: 4}, {item_code: PP001, quantity: 1, rating: 5}]"/>
    <s v="SP002"/>
    <x v="1"/>
    <s v="Sepatu Pria"/>
    <s v="3"/>
    <s v="4"/>
    <n v="120000"/>
    <n v="60000"/>
    <s v="PU001"/>
    <s v="Jaket Hoodie"/>
    <s v="Pakaian Unisex"/>
    <s v="1"/>
    <s v="4"/>
    <n v="160000"/>
    <n v="60000"/>
    <s v="PP001"/>
    <s v="Kaos Polo"/>
    <s v="Pakaian Pria"/>
    <s v="1"/>
    <s v="5"/>
    <n v="80000"/>
    <n v="30000"/>
    <n v="5"/>
    <n v="600000"/>
    <n v="270000"/>
    <s v="DISCAPRIL"/>
    <n v="0.1"/>
    <n v="60000"/>
    <n v="540000"/>
    <n v="330000"/>
    <n v="270000"/>
    <s v="Promo 4.4"/>
    <x v="1"/>
    <s v="TK"/>
    <x v="3"/>
    <x v="149"/>
  </r>
  <r>
    <n v="467"/>
    <s v="0467"/>
    <s v="ORD-TK-0467-08/06/24"/>
    <s v="[{item_code: PP001, quantity: 3, rating: 5}]"/>
    <s v="PP001"/>
    <x v="0"/>
    <s v="Pakaian Pria"/>
    <s v="3"/>
    <s v="5"/>
    <n v="80000"/>
    <n v="30000"/>
    <s v="-"/>
    <s v="-"/>
    <s v="-"/>
    <n v="0"/>
    <s v="-"/>
    <n v="0"/>
    <n v="0"/>
    <s v="-"/>
    <s v="-"/>
    <s v="-"/>
    <n v="0"/>
    <s v="-"/>
    <n v="0"/>
    <n v="0"/>
    <n v="3"/>
    <n v="240000"/>
    <n v="90000"/>
    <s v="LEBAR10"/>
    <n v="0.1"/>
    <n v="24000"/>
    <n v="216000"/>
    <n v="150000"/>
    <n v="126000"/>
    <s v="Promo Lebaran"/>
    <x v="1"/>
    <s v="TK"/>
    <x v="3"/>
    <x v="150"/>
  </r>
  <r>
    <n v="971"/>
    <s v="0971"/>
    <s v="ORD-BB-0971-08/06/24"/>
    <s v="[{item_code: PP003, quantity: 5, rating: 3}]"/>
    <s v="PP003"/>
    <x v="6"/>
    <s v="Pakaian Pria"/>
    <s v="5"/>
    <s v="3"/>
    <n v="150000"/>
    <n v="70000"/>
    <s v="-"/>
    <s v="-"/>
    <s v="-"/>
    <n v="0"/>
    <s v="-"/>
    <n v="0"/>
    <n v="0"/>
    <s v="-"/>
    <s v="-"/>
    <s v="-"/>
    <n v="0"/>
    <s v="-"/>
    <n v="0"/>
    <n v="0"/>
    <n v="5"/>
    <n v="750000"/>
    <n v="350000"/>
    <s v="BELI44"/>
    <n v="0.15"/>
    <n v="112500"/>
    <n v="637500"/>
    <n v="400000"/>
    <n v="287500"/>
    <s v="Promo 4.4"/>
    <x v="3"/>
    <s v="BB"/>
    <x v="4"/>
    <x v="150"/>
  </r>
  <r>
    <n v="109"/>
    <s v="0109"/>
    <s v="ORD-SP-0109-09/06/24"/>
    <s v="[{item_code: SW001, quantity: 1, rating: 4}, {item_code: PP002, quantity: 1, rating: 3}]"/>
    <s v="SW001"/>
    <x v="8"/>
    <s v="Sepatu Wanita"/>
    <s v="1"/>
    <s v="4"/>
    <n v="150000"/>
    <n v="70000"/>
    <s v="PP002"/>
    <s v="Celana Pendek"/>
    <s v="Pakaian Pria"/>
    <s v="1"/>
    <s v="3"/>
    <n v="60000"/>
    <n v="25000"/>
    <s v="-"/>
    <s v="-"/>
    <s v="-"/>
    <n v="0"/>
    <s v="-"/>
    <n v="0"/>
    <n v="0"/>
    <n v="2"/>
    <n v="210000"/>
    <n v="95000"/>
    <s v="DISC20"/>
    <n v="0.2"/>
    <n v="42000"/>
    <n v="168000"/>
    <n v="115000"/>
    <n v="73000"/>
    <s v="Promo Lebaran"/>
    <x v="0"/>
    <s v="SP"/>
    <x v="0"/>
    <x v="151"/>
  </r>
  <r>
    <n v="539"/>
    <s v="0539"/>
    <s v="ORD-SP-0539-09/06/24"/>
    <s v="[{item_code: SP001, quantity: 3, rating: 5}, {item_code: SW001, quantity: 1, rating: 2}]"/>
    <s v="SP001"/>
    <x v="9"/>
    <s v="Sepatu Pria"/>
    <s v="3"/>
    <s v="5"/>
    <n v="300000"/>
    <n v="100000"/>
    <s v="SW001"/>
    <s v="Flat Shoes"/>
    <s v="Sepatu Wanita"/>
    <s v="1"/>
    <s v="2"/>
    <n v="150000"/>
    <n v="70000"/>
    <s v="-"/>
    <s v="-"/>
    <s v="-"/>
    <n v="0"/>
    <s v="-"/>
    <n v="0"/>
    <n v="0"/>
    <n v="4"/>
    <n v="1050000"/>
    <n v="370000"/>
    <s v="DISC10"/>
    <n v="0.1"/>
    <n v="105000"/>
    <n v="945000"/>
    <n v="680000"/>
    <n v="575000"/>
    <s v="Promo 4.4"/>
    <x v="0"/>
    <s v="SP"/>
    <x v="1"/>
    <x v="151"/>
  </r>
  <r>
    <n v="915"/>
    <s v="0915"/>
    <s v="ORD-SP-0915-11/06/24"/>
    <s v="[{item_code: PW002, quantity: 1, rating: 3}, {item_code: PP003, quantity: 1, rating: 3}]"/>
    <s v="PW002"/>
    <x v="4"/>
    <s v="Pakaian Wanita"/>
    <s v="1"/>
    <s v="3"/>
    <n v="125000"/>
    <n v="50000"/>
    <s v="PP003"/>
    <s v="Jaket Jeans"/>
    <s v="Pakaian Pria"/>
    <s v="1"/>
    <s v="3"/>
    <n v="150000"/>
    <n v="70000"/>
    <s v="-"/>
    <s v="-"/>
    <s v="-"/>
    <n v="0"/>
    <s v="-"/>
    <n v="0"/>
    <n v="0"/>
    <n v="2"/>
    <n v="275000"/>
    <n v="120000"/>
    <s v="DISC10"/>
    <n v="0.1"/>
    <n v="27500"/>
    <n v="247500"/>
    <n v="155000"/>
    <n v="127500"/>
    <s v="Promo 4.4"/>
    <x v="0"/>
    <s v="SP"/>
    <x v="1"/>
    <x v="152"/>
  </r>
  <r>
    <n v="510"/>
    <s v="0510"/>
    <s v="ORD-SP-0510-12/06/24"/>
    <s v="[{item_code: SW001, quantity: 1, rating: 4}]"/>
    <s v="SW001"/>
    <x v="8"/>
    <s v="Sepatu Wanita"/>
    <s v="1"/>
    <s v="4"/>
    <n v="150000"/>
    <n v="70000"/>
    <s v="-"/>
    <s v="-"/>
    <s v="-"/>
    <n v="0"/>
    <s v="-"/>
    <n v="0"/>
    <n v="0"/>
    <s v="-"/>
    <s v="-"/>
    <s v="-"/>
    <n v="0"/>
    <s v="-"/>
    <n v="0"/>
    <n v="0"/>
    <n v="1"/>
    <n v="150000"/>
    <n v="70000"/>
    <s v="DISC15"/>
    <n v="0.15"/>
    <n v="22500"/>
    <n v="127500"/>
    <n v="80000"/>
    <n v="57500"/>
    <s v="Promo 4.4"/>
    <x v="0"/>
    <s v="SP"/>
    <x v="2"/>
    <x v="153"/>
  </r>
  <r>
    <n v="769"/>
    <s v="0769"/>
    <s v="ORD-TK-0769-12/06/24"/>
    <s v="[{item_code: PP003, quantity: 3, rating: 3}, {item_code: PW002, quantity: 3, rating: 3}]"/>
    <s v="PP003"/>
    <x v="6"/>
    <s v="Pakaian Pria"/>
    <s v="3"/>
    <s v="3"/>
    <n v="150000"/>
    <n v="70000"/>
    <s v="PW002"/>
    <s v="Blouse"/>
    <s v="Pakaian Wanita"/>
    <s v="3"/>
    <s v="3"/>
    <n v="125000"/>
    <n v="50000"/>
    <s v="-"/>
    <s v="-"/>
    <s v="-"/>
    <n v="0"/>
    <s v="-"/>
    <n v="0"/>
    <n v="0"/>
    <n v="6"/>
    <n v="825000"/>
    <n v="360000"/>
    <s v="LEBAR10"/>
    <n v="0.1"/>
    <n v="82500"/>
    <n v="742500"/>
    <n v="465000"/>
    <n v="382500"/>
    <s v="Promo Lebaran"/>
    <x v="1"/>
    <s v="TK"/>
    <x v="1"/>
    <x v="153"/>
  </r>
  <r>
    <n v="569"/>
    <s v="0569"/>
    <s v="ORD-SP-0569-14/06/24"/>
    <s v="[{item_code: PP003, quantity: 2, rating: 4}]"/>
    <s v="PP003"/>
    <x v="6"/>
    <s v="Pakaian Pria"/>
    <s v="2"/>
    <s v="4"/>
    <n v="150000"/>
    <n v="70000"/>
    <s v="-"/>
    <s v="-"/>
    <s v="-"/>
    <n v="0"/>
    <s v="-"/>
    <n v="0"/>
    <n v="0"/>
    <s v="-"/>
    <s v="-"/>
    <s v="-"/>
    <n v="0"/>
    <s v="-"/>
    <n v="0"/>
    <n v="0"/>
    <n v="2"/>
    <n v="300000"/>
    <n v="140000"/>
    <s v="DISC15"/>
    <n v="0.15"/>
    <n v="45000"/>
    <n v="255000"/>
    <n v="160000"/>
    <n v="115000"/>
    <s v="Promo 4.4"/>
    <x v="0"/>
    <s v="SP"/>
    <x v="5"/>
    <x v="154"/>
  </r>
  <r>
    <n v="723"/>
    <s v="0723"/>
    <s v="ORD-TK-0723-14/06/24"/>
    <s v="[{item_code: PP003, quantity: 2, rating: 4}, {item_code: PW003, quantity: 1, rating: 2}, {item_code: PP003, quantity: 2, rating: 3}]"/>
    <s v="PP003"/>
    <x v="6"/>
    <s v="Pakaian Pria"/>
    <s v="2"/>
    <s v="4"/>
    <n v="150000"/>
    <n v="70000"/>
    <s v="PW003"/>
    <s v="Kaftan"/>
    <s v="Pakaian Wanita"/>
    <s v="1"/>
    <s v="2"/>
    <n v="200000"/>
    <n v="100000"/>
    <s v="PP003"/>
    <s v="Jaket Jeans"/>
    <s v="Pakaian Pria"/>
    <s v="2"/>
    <s v="3"/>
    <n v="150000"/>
    <n v="70000"/>
    <n v="5"/>
    <n v="800000"/>
    <n v="380000"/>
    <s v="LEBAR10"/>
    <n v="0.1"/>
    <n v="80000"/>
    <n v="720000"/>
    <n v="420000"/>
    <n v="340000"/>
    <s v="Promo Lebaran"/>
    <x v="1"/>
    <s v="TK"/>
    <x v="2"/>
    <x v="154"/>
  </r>
  <r>
    <n v="2"/>
    <s v="0002"/>
    <s v="ORD-TK-0002-15/06/24"/>
    <s v="[{item_code: PW002, quantity: 1, rating: 2}, {item_code: PP003, quantity: 1, rating: 1}, {item_code: SP002, quantity: 2, rating: 4}]"/>
    <s v="PW002"/>
    <x v="4"/>
    <s v="Pakaian Wanita"/>
    <s v="1"/>
    <s v="2"/>
    <n v="125000"/>
    <n v="50000"/>
    <s v="PP003"/>
    <s v="Jaket Jeans"/>
    <s v="Pakaian Pria"/>
    <s v="1"/>
    <s v="1"/>
    <n v="150000"/>
    <n v="70000"/>
    <s v="SP002"/>
    <s v="Sandal Slip On"/>
    <s v="Sepatu Pria"/>
    <s v="2"/>
    <s v="4"/>
    <n v="120000"/>
    <n v="60000"/>
    <n v="4"/>
    <n v="515000"/>
    <n v="240000"/>
    <s v="DISCAPRIL"/>
    <n v="0.1"/>
    <n v="51500"/>
    <n v="463500"/>
    <n v="275000"/>
    <n v="223500"/>
    <s v="Promo 4.4"/>
    <x v="1"/>
    <s v="TK"/>
    <x v="4"/>
    <x v="155"/>
  </r>
  <r>
    <n v="719"/>
    <s v="0719"/>
    <s v="ORD-TK-0719-15/06/24"/>
    <s v="[{item_code: PW003, quantity: 1, rating: 2}, {item_code: PP003, quantity: 4, rating: 1}, {item_code: SP002, quantity: 1, rating: 5}]"/>
    <s v="PW003"/>
    <x v="3"/>
    <s v="Pakaian Wanita"/>
    <s v="1"/>
    <s v="2"/>
    <n v="200000"/>
    <n v="100000"/>
    <s v="PP003"/>
    <s v="Jaket Jeans"/>
    <s v="Pakaian Pria"/>
    <s v="4"/>
    <s v="1"/>
    <n v="150000"/>
    <n v="70000"/>
    <s v="SP002"/>
    <s v="Sandal Slip On"/>
    <s v="Sepatu Pria"/>
    <s v="1"/>
    <s v="5"/>
    <n v="120000"/>
    <n v="60000"/>
    <n v="6"/>
    <n v="920000"/>
    <n v="440000"/>
    <s v="DISCAPRIL"/>
    <n v="0.1"/>
    <n v="92000"/>
    <n v="828000"/>
    <n v="480000"/>
    <n v="388000"/>
    <s v="Promo 4.4"/>
    <x v="1"/>
    <s v="TK"/>
    <x v="3"/>
    <x v="155"/>
  </r>
  <r>
    <n v="986"/>
    <s v="0986"/>
    <s v="ORD-BL-0986-15/06/24"/>
    <s v="[{item_code: PP003, quantity: 2, rating: 2}, {item_code: PP002, quantity: 1, rating: 5}]"/>
    <s v="PP003"/>
    <x v="6"/>
    <s v="Pakaian Pria"/>
    <s v="2"/>
    <s v="2"/>
    <n v="150000"/>
    <n v="70000"/>
    <s v="PP002"/>
    <s v="Celana Pendek"/>
    <s v="Pakaian Pria"/>
    <s v="1"/>
    <s v="5"/>
    <n v="60000"/>
    <n v="25000"/>
    <s v="-"/>
    <s v="-"/>
    <s v="-"/>
    <n v="0"/>
    <s v="-"/>
    <n v="0"/>
    <n v="0"/>
    <n v="3"/>
    <n v="360000"/>
    <n v="165000"/>
    <s v="BUKALEBAR"/>
    <n v="0.15"/>
    <n v="54000"/>
    <n v="306000"/>
    <n v="195000"/>
    <n v="141000"/>
    <s v="Promo Lebaran"/>
    <x v="2"/>
    <s v="BL"/>
    <x v="3"/>
    <x v="155"/>
  </r>
  <r>
    <n v="620"/>
    <s v="0620"/>
    <s v="ORD-TK-0620-16/06/24"/>
    <s v="[{item_code: PP001, quantity: 5, rating: 2}]"/>
    <s v="PP001"/>
    <x v="0"/>
    <s v="Pakaian Pria"/>
    <s v="5"/>
    <s v="2"/>
    <n v="80000"/>
    <n v="30000"/>
    <s v="-"/>
    <s v="-"/>
    <s v="-"/>
    <n v="0"/>
    <s v="-"/>
    <n v="0"/>
    <n v="0"/>
    <s v="-"/>
    <s v="-"/>
    <s v="-"/>
    <n v="0"/>
    <s v="-"/>
    <n v="0"/>
    <n v="0"/>
    <n v="5"/>
    <n v="400000"/>
    <n v="150000"/>
    <s v="LEBAR10"/>
    <n v="0.1"/>
    <n v="40000"/>
    <n v="360000"/>
    <n v="250000"/>
    <n v="210000"/>
    <s v="Promo Lebaran"/>
    <x v="1"/>
    <s v="TK"/>
    <x v="4"/>
    <x v="156"/>
  </r>
  <r>
    <n v="47"/>
    <s v="0047"/>
    <s v="ORD-SP-0047-17/06/24"/>
    <s v="[{item_code: PW001, quantity: 1, rating: 1}, {item_code: PP003, quantity: 2, rating: 3}]"/>
    <s v="PW001"/>
    <x v="2"/>
    <s v="Pakaian Wanita"/>
    <s v="1"/>
    <s v="1"/>
    <n v="150000"/>
    <n v="55000"/>
    <s v="PP003"/>
    <s v="Jaket Jeans"/>
    <s v="Pakaian Pria"/>
    <s v="2"/>
    <s v="3"/>
    <n v="150000"/>
    <n v="70000"/>
    <s v="-"/>
    <s v="-"/>
    <s v="-"/>
    <n v="0"/>
    <s v="-"/>
    <n v="0"/>
    <n v="0"/>
    <n v="3"/>
    <n v="450000"/>
    <n v="195000"/>
    <s v="DISC10"/>
    <n v="0.1"/>
    <n v="45000"/>
    <n v="405000"/>
    <n v="255000"/>
    <n v="210000"/>
    <s v="Promo 4.4"/>
    <x v="0"/>
    <s v="SP"/>
    <x v="2"/>
    <x v="157"/>
  </r>
  <r>
    <n v="261"/>
    <s v="0261"/>
    <s v="ORD-SP-0261-17/06/24"/>
    <s v="[{item_code: PW002, quantity: 6, rating: 3}, {item_code: PP003, quantity: 1, rating: 5}]"/>
    <s v="PW002"/>
    <x v="4"/>
    <s v="Pakaian Wanita"/>
    <s v="6"/>
    <s v="3"/>
    <n v="125000"/>
    <n v="50000"/>
    <s v="PP003"/>
    <s v="Jaket Jeans"/>
    <s v="Pakaian Pria"/>
    <s v="1"/>
    <s v="5"/>
    <n v="150000"/>
    <n v="70000"/>
    <s v="-"/>
    <s v="-"/>
    <s v="-"/>
    <n v="0"/>
    <s v="-"/>
    <n v="0"/>
    <n v="0"/>
    <n v="7"/>
    <n v="900000"/>
    <n v="370000"/>
    <s v="DISC15"/>
    <n v="0.15"/>
    <n v="135000"/>
    <n v="765000"/>
    <n v="530000"/>
    <n v="395000"/>
    <s v="Promo 4.4"/>
    <x v="0"/>
    <s v="SP"/>
    <x v="0"/>
    <x v="157"/>
  </r>
  <r>
    <n v="829"/>
    <s v="0829"/>
    <s v="ORD-TK-0829-17/06/24"/>
    <s v="[{item_code: SP001, quantity: 1, rating: 4}, {item_code: PU001, quantity: 1, rating: 2}, {item_code: SP002, quantity: 1, rating: 2}]"/>
    <s v="SP001"/>
    <x v="9"/>
    <s v="Sepatu Pria"/>
    <s v="1"/>
    <s v="4"/>
    <n v="300000"/>
    <n v="100000"/>
    <s v="PU001"/>
    <s v="Jaket Hoodie"/>
    <s v="Pakaian Unisex"/>
    <s v="1"/>
    <s v="2"/>
    <n v="160000"/>
    <n v="60000"/>
    <s v="SP002"/>
    <s v="Sandal Slip On"/>
    <s v="Sepatu Pria"/>
    <s v="1"/>
    <s v="2"/>
    <n v="120000"/>
    <n v="60000"/>
    <n v="3"/>
    <n v="580000"/>
    <n v="220000"/>
    <s v="LEBAR10"/>
    <n v="0.1"/>
    <n v="58000"/>
    <n v="522000"/>
    <n v="360000"/>
    <n v="302000"/>
    <s v="Promo Lebaran"/>
    <x v="1"/>
    <s v="TK"/>
    <x v="1"/>
    <x v="157"/>
  </r>
  <r>
    <n v="705"/>
    <s v="0705"/>
    <s v="ORD-TK-0705-18/06/24"/>
    <s v="[{item_code: PP001, quantity: 2, rating: 3}]"/>
    <s v="PP001"/>
    <x v="0"/>
    <s v="Pakaian Pria"/>
    <s v="2"/>
    <s v="3"/>
    <n v="80000"/>
    <n v="30000"/>
    <s v="-"/>
    <s v="-"/>
    <s v="-"/>
    <n v="0"/>
    <s v="-"/>
    <n v="0"/>
    <n v="0"/>
    <s v="-"/>
    <s v="-"/>
    <s v="-"/>
    <n v="0"/>
    <s v="-"/>
    <n v="0"/>
    <n v="0"/>
    <n v="2"/>
    <n v="160000"/>
    <n v="60000"/>
    <s v="LEBAR10"/>
    <n v="0.1"/>
    <n v="16000"/>
    <n v="144000"/>
    <n v="100000"/>
    <n v="84000"/>
    <s v="Promo Lebaran"/>
    <x v="1"/>
    <s v="TK"/>
    <x v="0"/>
    <x v="158"/>
  </r>
  <r>
    <n v="791"/>
    <s v="0791"/>
    <s v="ORD-TK-0791-18/06/24"/>
    <s v="[{item_code: SP002, quantity: 1, rating: 3}, {item_code: SW001, quantity: 3, rating: 5}]"/>
    <s v="SP002"/>
    <x v="1"/>
    <s v="Sepatu Pria"/>
    <s v="1"/>
    <s v="3"/>
    <n v="120000"/>
    <n v="60000"/>
    <s v="SW001"/>
    <s v="Flat Shoes"/>
    <s v="Sepatu Wanita"/>
    <s v="3"/>
    <s v="5"/>
    <n v="150000"/>
    <n v="70000"/>
    <s v="-"/>
    <s v="-"/>
    <s v="-"/>
    <n v="0"/>
    <s v="-"/>
    <n v="0"/>
    <n v="0"/>
    <n v="4"/>
    <n v="570000"/>
    <n v="270000"/>
    <s v="-"/>
    <n v="0"/>
    <n v="0"/>
    <n v="570000"/>
    <n v="300000"/>
    <n v="300000"/>
    <s v="-"/>
    <x v="1"/>
    <s v="TK"/>
    <x v="3"/>
    <x v="158"/>
  </r>
  <r>
    <n v="993"/>
    <s v="0993"/>
    <s v="ORD-SP-0993-18/06/24"/>
    <s v="[{item_code: SW001, quantity: 2, rating: 4}, {item_code: PW002, quantity: 1, rating: 4}]"/>
    <s v="SW001"/>
    <x v="8"/>
    <s v="Sepatu Wanita"/>
    <s v="2"/>
    <s v="4"/>
    <n v="150000"/>
    <n v="70000"/>
    <s v="PW002"/>
    <s v="Blouse"/>
    <s v="Pakaian Wanita"/>
    <s v="1"/>
    <s v="4"/>
    <n v="125000"/>
    <n v="50000"/>
    <s v="-"/>
    <s v="-"/>
    <s v="-"/>
    <n v="0"/>
    <s v="-"/>
    <n v="0"/>
    <n v="0"/>
    <n v="3"/>
    <n v="425000"/>
    <n v="190000"/>
    <s v="-"/>
    <n v="0"/>
    <n v="0"/>
    <n v="425000"/>
    <n v="235000"/>
    <n v="235000"/>
    <s v="-"/>
    <x v="0"/>
    <s v="SP"/>
    <x v="1"/>
    <x v="158"/>
  </r>
  <r>
    <n v="753"/>
    <s v="0753"/>
    <s v="ORD-SP-0753-19/06/24"/>
    <s v="[{item_code: SP001, quantity: 1, rating: 2}]"/>
    <s v="SP001"/>
    <x v="9"/>
    <s v="Sepatu Pria"/>
    <s v="1"/>
    <s v="2"/>
    <n v="300000"/>
    <n v="100000"/>
    <s v="-"/>
    <s v="-"/>
    <s v="-"/>
    <n v="0"/>
    <s v="-"/>
    <n v="0"/>
    <n v="0"/>
    <s v="-"/>
    <s v="-"/>
    <s v="-"/>
    <n v="0"/>
    <s v="-"/>
    <n v="0"/>
    <n v="0"/>
    <n v="1"/>
    <n v="300000"/>
    <n v="100000"/>
    <s v="-"/>
    <n v="0"/>
    <n v="0"/>
    <n v="300000"/>
    <n v="200000"/>
    <n v="200000"/>
    <s v="-"/>
    <x v="0"/>
    <s v="SP"/>
    <x v="3"/>
    <x v="159"/>
  </r>
  <r>
    <n v="72"/>
    <s v="0072"/>
    <s v="ORD-SP-0072-20/06/24"/>
    <s v="[{item_code: SW001, quantity: 3, rating: 4}, {item_code: PP001, quantity: 2, rating: 3}, {item_code: PW002, quantity: 1, rating: 1}]"/>
    <s v="SW001"/>
    <x v="8"/>
    <s v="Sepatu Wanita"/>
    <s v="3"/>
    <s v="4"/>
    <n v="150000"/>
    <n v="70000"/>
    <s v="PP001"/>
    <s v="Kaos Polo"/>
    <s v="Pakaian Pria"/>
    <s v="2"/>
    <s v="3"/>
    <n v="80000"/>
    <n v="30000"/>
    <s v="PW002"/>
    <s v="Blouse"/>
    <s v="Pakaian Wanita"/>
    <s v="1"/>
    <s v="1"/>
    <n v="125000"/>
    <n v="50000"/>
    <n v="6"/>
    <n v="735000"/>
    <n v="320000"/>
    <s v="DISC10"/>
    <n v="0.1"/>
    <n v="73500"/>
    <n v="661500"/>
    <n v="415000"/>
    <n v="341500"/>
    <s v="Promo 4.4"/>
    <x v="0"/>
    <s v="SP"/>
    <x v="3"/>
    <x v="160"/>
  </r>
  <r>
    <n v="100"/>
    <s v="0100"/>
    <s v="ORD-TK-0100-20/06/24"/>
    <s v="[{item_code: SW001, quantity: 1, rating: 1}, {item_code: SP001, quantity: 1, rating: 2}, {item_code: SW001, quantity: 1, rating: 1}]"/>
    <s v="SW001"/>
    <x v="8"/>
    <s v="Sepatu Wanita"/>
    <s v="1"/>
    <s v="1"/>
    <n v="150000"/>
    <n v="70000"/>
    <s v="SP001"/>
    <s v="Sneakers"/>
    <s v="Sepatu Pria"/>
    <s v="1"/>
    <s v="2"/>
    <n v="300000"/>
    <n v="100000"/>
    <s v="SW001"/>
    <s v="Flat Shoes"/>
    <s v="Sepatu Wanita"/>
    <s v="1"/>
    <s v="1"/>
    <n v="150000"/>
    <n v="70000"/>
    <n v="3"/>
    <n v="600000"/>
    <n v="240000"/>
    <s v="DISCAPRIL"/>
    <n v="0.1"/>
    <n v="60000"/>
    <n v="540000"/>
    <n v="360000"/>
    <n v="300000"/>
    <s v="Promo 4.4"/>
    <x v="1"/>
    <s v="TK"/>
    <x v="1"/>
    <x v="160"/>
  </r>
  <r>
    <n v="159"/>
    <s v="0159"/>
    <s v="ORD-SP-0159-20/06/24"/>
    <s v="[{item_code: PW003, quantity: 1, rating: 1}]"/>
    <s v="PW003"/>
    <x v="3"/>
    <s v="Pakaian Wanita"/>
    <s v="1"/>
    <s v="1"/>
    <n v="200000"/>
    <n v="100000"/>
    <s v="-"/>
    <s v="-"/>
    <s v="-"/>
    <n v="0"/>
    <s v="-"/>
    <n v="0"/>
    <n v="0"/>
    <s v="-"/>
    <s v="-"/>
    <s v="-"/>
    <n v="0"/>
    <s v="-"/>
    <n v="0"/>
    <n v="0"/>
    <n v="1"/>
    <n v="200000"/>
    <n v="100000"/>
    <s v="-"/>
    <n v="0"/>
    <n v="0"/>
    <n v="200000"/>
    <n v="100000"/>
    <n v="100000"/>
    <s v="-"/>
    <x v="0"/>
    <s v="SP"/>
    <x v="3"/>
    <x v="160"/>
  </r>
  <r>
    <n v="459"/>
    <s v="0459"/>
    <s v="ORD-BL-0459-20/06/24"/>
    <s v="[{item_code: SP002, quantity: 1, rating: 4}, {item_code: PW001, quantity: 4, rating: 3}, {item_code: PU001, quantity: 1, rating: 5}]"/>
    <s v="SP002"/>
    <x v="1"/>
    <s v="Sepatu Pria"/>
    <s v="1"/>
    <s v="4"/>
    <n v="120000"/>
    <n v="60000"/>
    <s v="PW001"/>
    <s v="Dress"/>
    <s v="Pakaian Wanita"/>
    <s v="4"/>
    <s v="3"/>
    <n v="150000"/>
    <n v="55000"/>
    <s v="PU001"/>
    <s v="Jaket Hoodie"/>
    <s v="Pakaian Unisex"/>
    <s v="1"/>
    <s v="5"/>
    <n v="160000"/>
    <n v="60000"/>
    <n v="6"/>
    <n v="880000"/>
    <n v="340000"/>
    <s v="BUKALEBAR"/>
    <n v="0.15"/>
    <n v="132000"/>
    <n v="748000"/>
    <n v="540000"/>
    <n v="408000"/>
    <s v="Promo Lebaran"/>
    <x v="2"/>
    <s v="BL"/>
    <x v="4"/>
    <x v="160"/>
  </r>
  <r>
    <n v="992"/>
    <s v="0992"/>
    <s v="ORD-TK-0992-20/06/24"/>
    <s v="[{item_code: PW002, quantity: 1, rating: 5}]"/>
    <s v="PW002"/>
    <x v="4"/>
    <s v="Pakaian Wanita"/>
    <s v="1"/>
    <s v="5"/>
    <n v="125000"/>
    <n v="50000"/>
    <s v="-"/>
    <s v="-"/>
    <s v="-"/>
    <n v="0"/>
    <s v="-"/>
    <n v="0"/>
    <n v="0"/>
    <s v="-"/>
    <s v="-"/>
    <s v="-"/>
    <n v="0"/>
    <s v="-"/>
    <n v="0"/>
    <n v="0"/>
    <n v="1"/>
    <n v="125000"/>
    <n v="50000"/>
    <s v="DISCAPRIL"/>
    <n v="0.1"/>
    <n v="12500"/>
    <n v="112500"/>
    <n v="75000"/>
    <n v="62500"/>
    <s v="Promo 4.4"/>
    <x v="1"/>
    <s v="TK"/>
    <x v="3"/>
    <x v="160"/>
  </r>
  <r>
    <n v="342"/>
    <s v="0342"/>
    <s v="ORD-TK-0342-21/06/24"/>
    <s v="[{item_code: PW002, quantity: 3, rating: 4}, {item_code: PW001, quantity: 1, rating: 4}]"/>
    <s v="PW002"/>
    <x v="4"/>
    <s v="Pakaian Wanita"/>
    <s v="3"/>
    <s v="4"/>
    <n v="125000"/>
    <n v="50000"/>
    <s v="PW001"/>
    <s v="Dress"/>
    <s v="Pakaian Wanita"/>
    <s v="1"/>
    <s v="4"/>
    <n v="150000"/>
    <n v="55000"/>
    <s v="-"/>
    <s v="-"/>
    <s v="-"/>
    <n v="0"/>
    <s v="-"/>
    <n v="0"/>
    <n v="0"/>
    <n v="4"/>
    <n v="525000"/>
    <n v="205000"/>
    <s v="DISCAPRIL"/>
    <n v="0.1"/>
    <n v="52500"/>
    <n v="472500"/>
    <n v="320000"/>
    <n v="267500"/>
    <s v="Promo 4.4"/>
    <x v="1"/>
    <s v="TK"/>
    <x v="3"/>
    <x v="161"/>
  </r>
  <r>
    <n v="819"/>
    <s v="0819"/>
    <s v="ORD-TK-0819-21/06/24"/>
    <s v="[{item_code: PP001, quantity: 1, rating: 3}, {item_code: PU001, quantity: 6, rating: 4}]"/>
    <s v="PP001"/>
    <x v="0"/>
    <s v="Pakaian Pria"/>
    <s v="1"/>
    <s v="3"/>
    <n v="80000"/>
    <n v="30000"/>
    <s v="PU001"/>
    <s v="Jaket Hoodie"/>
    <s v="Pakaian Unisex"/>
    <s v="6"/>
    <s v="4"/>
    <n v="160000"/>
    <n v="60000"/>
    <s v="-"/>
    <s v="-"/>
    <s v="-"/>
    <n v="0"/>
    <s v="-"/>
    <n v="0"/>
    <n v="0"/>
    <n v="7"/>
    <n v="1040000"/>
    <n v="390000"/>
    <s v="DISCAPRIL"/>
    <n v="0.1"/>
    <n v="104000"/>
    <n v="936000"/>
    <n v="650000"/>
    <n v="546000"/>
    <s v="Promo 4.4"/>
    <x v="1"/>
    <s v="TK"/>
    <x v="3"/>
    <x v="161"/>
  </r>
  <r>
    <n v="675"/>
    <s v="0675"/>
    <s v="ORD-TK-0675-22/06/24"/>
    <s v="[{item_code: PW002, quantity: 1, rating: 2}, {item_code: SW001, quantity: 4, rating: 5}, {item_code: SP002, quantity: 1, rating: 4}]"/>
    <s v="PW002"/>
    <x v="4"/>
    <s v="Pakaian Wanita"/>
    <s v="1"/>
    <s v="2"/>
    <n v="125000"/>
    <n v="50000"/>
    <s v="SW001"/>
    <s v="Flat Shoes"/>
    <s v="Sepatu Wanita"/>
    <s v="4"/>
    <s v="5"/>
    <n v="150000"/>
    <n v="70000"/>
    <s v="SP002"/>
    <s v="Sandal Slip On"/>
    <s v="Sepatu Pria"/>
    <s v="1"/>
    <s v="4"/>
    <n v="120000"/>
    <n v="60000"/>
    <n v="6"/>
    <n v="845000"/>
    <n v="390000"/>
    <s v="DISCAPRIL"/>
    <n v="0.1"/>
    <n v="84500"/>
    <n v="760500"/>
    <n v="455000"/>
    <n v="370500"/>
    <s v="Promo 4.4"/>
    <x v="1"/>
    <s v="TK"/>
    <x v="3"/>
    <x v="162"/>
  </r>
  <r>
    <n v="780"/>
    <s v="0780"/>
    <s v="ORD-SP-0780-22/06/24"/>
    <s v="[{item_code: SP001, quantity: 2, rating: 4}, {item_code: PW001, quantity: 2, rating: 2}]"/>
    <s v="SP001"/>
    <x v="9"/>
    <s v="Sepatu Pria"/>
    <s v="2"/>
    <s v="4"/>
    <n v="300000"/>
    <n v="100000"/>
    <s v="PW001"/>
    <s v="Dress"/>
    <s v="Pakaian Wanita"/>
    <s v="2"/>
    <s v="2"/>
    <n v="150000"/>
    <n v="55000"/>
    <s v="-"/>
    <s v="-"/>
    <s v="-"/>
    <n v="0"/>
    <s v="-"/>
    <n v="0"/>
    <n v="0"/>
    <n v="4"/>
    <n v="900000"/>
    <n v="310000"/>
    <s v="DISC15"/>
    <n v="0.15"/>
    <n v="135000"/>
    <n v="765000"/>
    <n v="590000"/>
    <n v="455000"/>
    <s v="Promo 4.4"/>
    <x v="0"/>
    <s v="SP"/>
    <x v="1"/>
    <x v="162"/>
  </r>
  <r>
    <n v="871"/>
    <s v="0871"/>
    <s v="ORD-BL-0871-22/06/24"/>
    <s v="[{item_code: PP003, quantity: 3, rating: 1}]"/>
    <s v="PP003"/>
    <x v="6"/>
    <s v="Pakaian Pria"/>
    <s v="3"/>
    <s v="1"/>
    <n v="150000"/>
    <n v="70000"/>
    <s v="-"/>
    <s v="-"/>
    <s v="-"/>
    <n v="0"/>
    <s v="-"/>
    <n v="0"/>
    <n v="0"/>
    <s v="-"/>
    <s v="-"/>
    <s v="-"/>
    <n v="0"/>
    <s v="-"/>
    <n v="0"/>
    <n v="0"/>
    <n v="3"/>
    <n v="450000"/>
    <n v="210000"/>
    <s v="BUKALEBAR"/>
    <n v="0.15"/>
    <n v="67500"/>
    <n v="382500"/>
    <n v="240000"/>
    <n v="172500"/>
    <s v="Promo Lebaran"/>
    <x v="2"/>
    <s v="BL"/>
    <x v="5"/>
    <x v="162"/>
  </r>
  <r>
    <n v="457"/>
    <s v="0457"/>
    <s v="ORD-TK-0457-23/06/24"/>
    <s v="[{item_code: PW003, quantity: 1, rating: 5}, {item_code: PP002, quantity: 2, rating: 1}]"/>
    <s v="PW003"/>
    <x v="3"/>
    <s v="Pakaian Wanita"/>
    <s v="1"/>
    <s v="5"/>
    <n v="200000"/>
    <n v="100000"/>
    <s v="PP002"/>
    <s v="Celana Pendek"/>
    <s v="Pakaian Pria"/>
    <s v="2"/>
    <s v="1"/>
    <n v="60000"/>
    <n v="25000"/>
    <s v="-"/>
    <s v="-"/>
    <s v="-"/>
    <n v="0"/>
    <s v="-"/>
    <n v="0"/>
    <n v="0"/>
    <n v="3"/>
    <n v="320000"/>
    <n v="150000"/>
    <s v="DISCAPRIL"/>
    <n v="0.1"/>
    <n v="32000"/>
    <n v="288000"/>
    <n v="170000"/>
    <n v="138000"/>
    <s v="Promo 4.4"/>
    <x v="1"/>
    <s v="TK"/>
    <x v="1"/>
    <x v="163"/>
  </r>
  <r>
    <n v="504"/>
    <s v="0504"/>
    <s v="ORD-SP-0504-23/06/24"/>
    <s v="[{item_code: PP002, quantity: 5, rating: 5}, {item_code: PP003, quantity: 1, rating: 1}, {item_code: SP001, quantity: 1, rating: 5}]"/>
    <s v="PP002"/>
    <x v="5"/>
    <s v="Pakaian Pria"/>
    <s v="5"/>
    <s v="5"/>
    <n v="60000"/>
    <n v="25000"/>
    <s v="PP003"/>
    <s v="Jaket Jeans"/>
    <s v="Pakaian Pria"/>
    <s v="1"/>
    <s v="1"/>
    <n v="150000"/>
    <n v="70000"/>
    <s v="SP001"/>
    <s v="Sneakers"/>
    <s v="Sepatu Pria"/>
    <s v="1"/>
    <s v="5"/>
    <n v="300000"/>
    <n v="100000"/>
    <n v="7"/>
    <n v="750000"/>
    <n v="295000"/>
    <s v="DISC20"/>
    <n v="0.2"/>
    <n v="150000"/>
    <n v="600000"/>
    <n v="455000"/>
    <n v="305000"/>
    <s v="Promo Lebaran"/>
    <x v="0"/>
    <s v="SP"/>
    <x v="3"/>
    <x v="163"/>
  </r>
  <r>
    <n v="696"/>
    <s v="0696"/>
    <s v="ORD-SP-0696-23/06/24"/>
    <s v="[{item_code: PW001, quantity: 1, rating: 4}]"/>
    <s v="PW001"/>
    <x v="2"/>
    <s v="Pakaian Wanita"/>
    <s v="1"/>
    <s v="4"/>
    <n v="150000"/>
    <n v="55000"/>
    <s v="-"/>
    <s v="-"/>
    <s v="-"/>
    <n v="0"/>
    <s v="-"/>
    <n v="0"/>
    <n v="0"/>
    <s v="-"/>
    <s v="-"/>
    <s v="-"/>
    <n v="0"/>
    <s v="-"/>
    <n v="0"/>
    <n v="0"/>
    <n v="1"/>
    <n v="150000"/>
    <n v="55000"/>
    <s v="DISC15"/>
    <n v="0.15"/>
    <n v="22500"/>
    <n v="127500"/>
    <n v="95000"/>
    <n v="72500"/>
    <s v="Promo 4.4"/>
    <x v="0"/>
    <s v="SP"/>
    <x v="0"/>
    <x v="163"/>
  </r>
  <r>
    <n v="975"/>
    <s v="0975"/>
    <s v="ORD-TK-0975-23/06/24"/>
    <s v="[{item_code: SP001, quantity: 3, rating: 1}]"/>
    <s v="SP001"/>
    <x v="9"/>
    <s v="Sepatu Pria"/>
    <s v="3"/>
    <s v="1"/>
    <n v="300000"/>
    <n v="100000"/>
    <s v="-"/>
    <s v="-"/>
    <s v="-"/>
    <n v="0"/>
    <s v="-"/>
    <n v="0"/>
    <n v="0"/>
    <s v="-"/>
    <s v="-"/>
    <s v="-"/>
    <n v="0"/>
    <s v="-"/>
    <n v="0"/>
    <n v="0"/>
    <n v="3"/>
    <n v="900000"/>
    <n v="300000"/>
    <s v="LEBAR10"/>
    <n v="0.1"/>
    <n v="90000"/>
    <n v="810000"/>
    <n v="600000"/>
    <n v="510000"/>
    <s v="Promo Lebaran"/>
    <x v="1"/>
    <s v="TK"/>
    <x v="3"/>
    <x v="163"/>
  </r>
  <r>
    <n v="169"/>
    <s v="0169"/>
    <s v="ORD-TK-0169-24/06/24"/>
    <s v="[{item_code: PW001, quantity: 1, rating: 5}, {item_code: SP002, quantity: 2, rating: 5}]"/>
    <s v="PW001"/>
    <x v="2"/>
    <s v="Pakaian Wanita"/>
    <s v="1"/>
    <s v="5"/>
    <n v="150000"/>
    <n v="55000"/>
    <s v="SP002"/>
    <s v="Sandal Slip On"/>
    <s v="Sepatu Pria"/>
    <s v="2"/>
    <s v="5"/>
    <n v="120000"/>
    <n v="60000"/>
    <s v="-"/>
    <s v="-"/>
    <s v="-"/>
    <n v="0"/>
    <s v="-"/>
    <n v="0"/>
    <n v="0"/>
    <n v="3"/>
    <n v="390000"/>
    <n v="175000"/>
    <s v="LEBAR10"/>
    <n v="0.1"/>
    <n v="39000"/>
    <n v="351000"/>
    <n v="215000"/>
    <n v="176000"/>
    <s v="Promo Lebaran"/>
    <x v="1"/>
    <s v="TK"/>
    <x v="3"/>
    <x v="164"/>
  </r>
  <r>
    <n v="444"/>
    <s v="0444"/>
    <s v="ORD-TK-0444-24/06/24"/>
    <s v="[{item_code: SP001, quantity: 1, rating: 4}, {item_code: PW001, quantity: 1, rating: 1}]"/>
    <s v="SP001"/>
    <x v="9"/>
    <s v="Sepatu Pria"/>
    <s v="1"/>
    <s v="4"/>
    <n v="300000"/>
    <n v="100000"/>
    <s v="PW001"/>
    <s v="Dress"/>
    <s v="Pakaian Wanita"/>
    <s v="1"/>
    <s v="1"/>
    <n v="150000"/>
    <n v="55000"/>
    <s v="-"/>
    <s v="-"/>
    <s v="-"/>
    <n v="0"/>
    <s v="-"/>
    <n v="0"/>
    <n v="0"/>
    <n v="2"/>
    <n v="450000"/>
    <n v="155000"/>
    <s v="-"/>
    <n v="0"/>
    <n v="0"/>
    <n v="450000"/>
    <n v="295000"/>
    <n v="295000"/>
    <s v="-"/>
    <x v="1"/>
    <s v="TK"/>
    <x v="3"/>
    <x v="164"/>
  </r>
  <r>
    <n v="926"/>
    <s v="0926"/>
    <s v="ORD-TK-0926-24/06/24"/>
    <s v="[{item_code: PP003, quantity: 2, rating: 2}, {item_code: SW001, quantity: 3, rating: 3}, {item_code: PU001, quantity: 2, rating: 5}]"/>
    <s v="PP003"/>
    <x v="6"/>
    <s v="Pakaian Pria"/>
    <s v="2"/>
    <s v="2"/>
    <n v="150000"/>
    <n v="70000"/>
    <s v="SW001"/>
    <s v="Flat Shoes"/>
    <s v="Sepatu Wanita"/>
    <s v="3"/>
    <s v="3"/>
    <n v="150000"/>
    <n v="70000"/>
    <s v="PU001"/>
    <s v="Jaket Hoodie"/>
    <s v="Pakaian Unisex"/>
    <s v="2"/>
    <s v="5"/>
    <n v="160000"/>
    <n v="60000"/>
    <n v="7"/>
    <n v="1070000"/>
    <n v="470000"/>
    <s v="DISCAPRIL"/>
    <n v="0.1"/>
    <n v="107000"/>
    <n v="963000"/>
    <n v="600000"/>
    <n v="493000"/>
    <s v="Promo 4.4"/>
    <x v="1"/>
    <s v="TK"/>
    <x v="2"/>
    <x v="164"/>
  </r>
  <r>
    <n v="950"/>
    <s v="0950"/>
    <s v="ORD-TK-0950-24/06/24"/>
    <s v="[{item_code: PW001, quantity: 2, rating: 3}]"/>
    <s v="PW001"/>
    <x v="2"/>
    <s v="Pakaian Wanita"/>
    <s v="2"/>
    <s v="3"/>
    <n v="150000"/>
    <n v="55000"/>
    <s v="-"/>
    <s v="-"/>
    <s v="-"/>
    <n v="0"/>
    <s v="-"/>
    <n v="0"/>
    <n v="0"/>
    <s v="-"/>
    <s v="-"/>
    <s v="-"/>
    <n v="0"/>
    <s v="-"/>
    <n v="0"/>
    <n v="0"/>
    <n v="2"/>
    <n v="300000"/>
    <n v="110000"/>
    <s v="LEBAR10"/>
    <n v="0.1"/>
    <n v="30000"/>
    <n v="270000"/>
    <n v="190000"/>
    <n v="160000"/>
    <s v="Promo Lebaran"/>
    <x v="1"/>
    <s v="TK"/>
    <x v="1"/>
    <x v="164"/>
  </r>
  <r>
    <n v="170"/>
    <s v="0170"/>
    <s v="ORD-SP-0170-25/06/24"/>
    <s v="[{item_code: PP003, quantity: 1, rating: 3}]"/>
    <s v="PP003"/>
    <x v="6"/>
    <s v="Pakaian Pria"/>
    <s v="1"/>
    <s v="3"/>
    <n v="150000"/>
    <n v="70000"/>
    <s v="-"/>
    <s v="-"/>
    <s v="-"/>
    <n v="0"/>
    <s v="-"/>
    <n v="0"/>
    <n v="0"/>
    <s v="-"/>
    <s v="-"/>
    <s v="-"/>
    <n v="0"/>
    <s v="-"/>
    <n v="0"/>
    <n v="0"/>
    <n v="1"/>
    <n v="150000"/>
    <n v="70000"/>
    <s v="DISC20"/>
    <n v="0.2"/>
    <n v="30000"/>
    <n v="120000"/>
    <n v="80000"/>
    <n v="50000"/>
    <s v="Promo Lebaran"/>
    <x v="0"/>
    <s v="SP"/>
    <x v="2"/>
    <x v="165"/>
  </r>
  <r>
    <n v="650"/>
    <s v="0650"/>
    <s v="ORD-SP-0650-25/06/24"/>
    <s v="[{item_code: PP003, quantity: 3, rating: 1}]"/>
    <s v="PP003"/>
    <x v="6"/>
    <s v="Pakaian Pria"/>
    <s v="3"/>
    <s v="1"/>
    <n v="150000"/>
    <n v="70000"/>
    <s v="-"/>
    <s v="-"/>
    <s v="-"/>
    <n v="0"/>
    <s v="-"/>
    <n v="0"/>
    <n v="0"/>
    <s v="-"/>
    <s v="-"/>
    <s v="-"/>
    <n v="0"/>
    <s v="-"/>
    <n v="0"/>
    <n v="0"/>
    <n v="3"/>
    <n v="450000"/>
    <n v="210000"/>
    <s v="DISC10"/>
    <n v="0.1"/>
    <n v="45000"/>
    <n v="405000"/>
    <n v="240000"/>
    <n v="195000"/>
    <s v="Promo 4.4"/>
    <x v="0"/>
    <s v="SP"/>
    <x v="2"/>
    <x v="165"/>
  </r>
  <r>
    <n v="890"/>
    <s v="0890"/>
    <s v="ORD-BL-0890-25/06/24"/>
    <s v="[{item_code: PP003, quantity: 4, rating: 2}, {item_code: PW003, quantity: 1, rating: 5}, {item_code: SP002, quantity: 1, rating: 5}]"/>
    <s v="PP003"/>
    <x v="6"/>
    <s v="Pakaian Pria"/>
    <s v="4"/>
    <s v="2"/>
    <n v="150000"/>
    <n v="70000"/>
    <s v="PW003"/>
    <s v="Kaftan"/>
    <s v="Pakaian Wanita"/>
    <s v="1"/>
    <s v="5"/>
    <n v="200000"/>
    <n v="100000"/>
    <s v="SP002"/>
    <s v="Sandal Slip On"/>
    <s v="Sepatu Pria"/>
    <s v="1"/>
    <s v="5"/>
    <n v="120000"/>
    <n v="60000"/>
    <n v="6"/>
    <n v="920000"/>
    <n v="440000"/>
    <s v="BUKALEBAR"/>
    <n v="0.15"/>
    <n v="138000"/>
    <n v="782000"/>
    <n v="480000"/>
    <n v="342000"/>
    <s v="Promo Lebaran"/>
    <x v="2"/>
    <s v="BL"/>
    <x v="5"/>
    <x v="165"/>
  </r>
  <r>
    <n v="570"/>
    <s v="0570"/>
    <s v="ORD-BB-0570-26/06/24"/>
    <s v="[{item_code: SP002, quantity: 5, rating: 3}, {item_code: PW001, quantity: 1, rating: 1}, {item_code: SP001, quantity: 1, rating: 5}]"/>
    <s v="SP002"/>
    <x v="1"/>
    <s v="Sepatu Pria"/>
    <s v="5"/>
    <s v="3"/>
    <n v="120000"/>
    <n v="60000"/>
    <s v="PW001"/>
    <s v="Dress"/>
    <s v="Pakaian Wanita"/>
    <s v="1"/>
    <s v="1"/>
    <n v="150000"/>
    <n v="55000"/>
    <s v="SP001"/>
    <s v="Sneakers"/>
    <s v="Sepatu Pria"/>
    <s v="1"/>
    <s v="5"/>
    <n v="300000"/>
    <n v="100000"/>
    <n v="7"/>
    <n v="1050000"/>
    <n v="455000"/>
    <s v="BELI44"/>
    <n v="0.15"/>
    <n v="157500"/>
    <n v="892500"/>
    <n v="595000"/>
    <n v="437500"/>
    <s v="Promo 4.4"/>
    <x v="3"/>
    <s v="BB"/>
    <x v="3"/>
    <x v="166"/>
  </r>
  <r>
    <n v="281"/>
    <s v="0281"/>
    <s v="ORD-SP-0281-27/06/24"/>
    <s v="[{item_code: PP003, quantity: 1, rating: 5}]"/>
    <s v="PP003"/>
    <x v="6"/>
    <s v="Pakaian Pria"/>
    <s v="1"/>
    <s v="5"/>
    <n v="150000"/>
    <n v="70000"/>
    <s v="-"/>
    <s v="-"/>
    <s v="-"/>
    <n v="0"/>
    <s v="-"/>
    <n v="0"/>
    <n v="0"/>
    <s v="-"/>
    <s v="-"/>
    <s v="-"/>
    <n v="0"/>
    <s v="-"/>
    <n v="0"/>
    <n v="0"/>
    <n v="1"/>
    <n v="150000"/>
    <n v="70000"/>
    <s v="DISC20"/>
    <n v="0.2"/>
    <n v="30000"/>
    <n v="120000"/>
    <n v="80000"/>
    <n v="50000"/>
    <s v="Promo Lebaran"/>
    <x v="0"/>
    <s v="SP"/>
    <x v="3"/>
    <x v="167"/>
  </r>
  <r>
    <n v="347"/>
    <s v="0347"/>
    <s v="ORD-TK-0347-27/06/24"/>
    <s v="[{item_code: PW002, quantity: 1, rating: 2}]"/>
    <s v="PW002"/>
    <x v="4"/>
    <s v="Pakaian Wanita"/>
    <s v="1"/>
    <s v="2"/>
    <n v="125000"/>
    <n v="50000"/>
    <s v="-"/>
    <s v="-"/>
    <s v="-"/>
    <n v="0"/>
    <s v="-"/>
    <n v="0"/>
    <n v="0"/>
    <s v="-"/>
    <s v="-"/>
    <s v="-"/>
    <n v="0"/>
    <s v="-"/>
    <n v="0"/>
    <n v="0"/>
    <n v="1"/>
    <n v="125000"/>
    <n v="50000"/>
    <s v="DISCAPRIL"/>
    <n v="0.1"/>
    <n v="12500"/>
    <n v="112500"/>
    <n v="75000"/>
    <n v="62500"/>
    <s v="Promo 4.4"/>
    <x v="1"/>
    <s v="TK"/>
    <x v="3"/>
    <x v="167"/>
  </r>
  <r>
    <n v="283"/>
    <s v="0283"/>
    <s v="ORD-BL-0283-28/06/24"/>
    <s v="[{item_code: SP002, quantity: 1, rating: 2}]"/>
    <s v="SP002"/>
    <x v="1"/>
    <s v="Sepatu Pria"/>
    <s v="1"/>
    <s v="2"/>
    <n v="120000"/>
    <n v="60000"/>
    <s v="-"/>
    <s v="-"/>
    <s v="-"/>
    <n v="0"/>
    <s v="-"/>
    <n v="0"/>
    <n v="0"/>
    <s v="-"/>
    <s v="-"/>
    <s v="-"/>
    <n v="0"/>
    <s v="-"/>
    <n v="0"/>
    <n v="0"/>
    <n v="1"/>
    <n v="120000"/>
    <n v="60000"/>
    <s v="BUKALEBAR"/>
    <n v="0.15"/>
    <n v="18000"/>
    <n v="102000"/>
    <n v="60000"/>
    <n v="42000"/>
    <s v="Promo Lebaran"/>
    <x v="2"/>
    <s v="BL"/>
    <x v="3"/>
    <x v="168"/>
  </r>
  <r>
    <n v="406"/>
    <s v="0406"/>
    <s v="ORD-SP-0406-28/06/24"/>
    <s v="[{item_code: SP002, quantity: 1, rating: 4}, {item_code: PP002, quantity: 1, rating: 5}]"/>
    <s v="SP002"/>
    <x v="1"/>
    <s v="Sepatu Pria"/>
    <s v="1"/>
    <s v="4"/>
    <n v="120000"/>
    <n v="60000"/>
    <s v="PP002"/>
    <s v="Celana Pendek"/>
    <s v="Pakaian Pria"/>
    <s v="1"/>
    <s v="5"/>
    <n v="60000"/>
    <n v="25000"/>
    <s v="-"/>
    <s v="-"/>
    <s v="-"/>
    <n v="0"/>
    <s v="-"/>
    <n v="0"/>
    <n v="0"/>
    <n v="2"/>
    <n v="180000"/>
    <n v="85000"/>
    <s v="DISC15"/>
    <n v="0.15"/>
    <n v="27000"/>
    <n v="153000"/>
    <n v="95000"/>
    <n v="68000"/>
    <s v="Promo 4.4"/>
    <x v="0"/>
    <s v="SP"/>
    <x v="3"/>
    <x v="168"/>
  </r>
  <r>
    <n v="548"/>
    <s v="0548"/>
    <s v="ORD-TK-0548-28/06/24"/>
    <s v="[{item_code: PU001, quantity: 6, rating: 3}]"/>
    <s v="PU001"/>
    <x v="7"/>
    <s v="Pakaian Unisex"/>
    <s v="6"/>
    <s v="3"/>
    <n v="160000"/>
    <n v="60000"/>
    <s v="-"/>
    <s v="-"/>
    <s v="-"/>
    <n v="0"/>
    <s v="-"/>
    <n v="0"/>
    <n v="0"/>
    <s v="-"/>
    <s v="-"/>
    <s v="-"/>
    <n v="0"/>
    <s v="-"/>
    <n v="0"/>
    <n v="0"/>
    <n v="6"/>
    <n v="960000"/>
    <n v="360000"/>
    <s v="DISCAPRIL"/>
    <n v="0.1"/>
    <n v="96000"/>
    <n v="864000"/>
    <n v="600000"/>
    <n v="504000"/>
    <s v="Promo 4.4"/>
    <x v="1"/>
    <s v="TK"/>
    <x v="4"/>
    <x v="168"/>
  </r>
  <r>
    <n v="226"/>
    <s v="0226"/>
    <s v="ORD-SP-0226-29/06/24"/>
    <s v="[{item_code: PP001, quantity: 4, rating: 2}, {item_code: SP001, quantity: 1, rating: 1}]"/>
    <s v="PP001"/>
    <x v="0"/>
    <s v="Pakaian Pria"/>
    <s v="4"/>
    <s v="2"/>
    <n v="80000"/>
    <n v="30000"/>
    <s v="SP001"/>
    <s v="Sneakers"/>
    <s v="Sepatu Pria"/>
    <s v="1"/>
    <s v="1"/>
    <n v="300000"/>
    <n v="100000"/>
    <s v="-"/>
    <s v="-"/>
    <s v="-"/>
    <n v="0"/>
    <s v="-"/>
    <n v="0"/>
    <n v="0"/>
    <n v="5"/>
    <n v="620000"/>
    <n v="220000"/>
    <s v="DISC15"/>
    <n v="0.15"/>
    <n v="93000"/>
    <n v="527000"/>
    <n v="400000"/>
    <n v="307000"/>
    <s v="Promo 4.4"/>
    <x v="0"/>
    <s v="SP"/>
    <x v="1"/>
    <x v="169"/>
  </r>
  <r>
    <n v="454"/>
    <s v="0454"/>
    <s v="ORD-TK-0454-29/06/24"/>
    <s v="[{item_code: PW003, quantity: 2, rating: 2}, {item_code: PW002, quantity: 3, rating: 1}]"/>
    <s v="PW003"/>
    <x v="3"/>
    <s v="Pakaian Wanita"/>
    <s v="2"/>
    <s v="2"/>
    <n v="200000"/>
    <n v="100000"/>
    <s v="PW002"/>
    <s v="Blouse"/>
    <s v="Pakaian Wanita"/>
    <s v="3"/>
    <s v="1"/>
    <n v="125000"/>
    <n v="50000"/>
    <s v="-"/>
    <s v="-"/>
    <s v="-"/>
    <n v="0"/>
    <s v="-"/>
    <n v="0"/>
    <n v="0"/>
    <n v="5"/>
    <n v="775000"/>
    <n v="350000"/>
    <s v="LEBAR10"/>
    <n v="0.1"/>
    <n v="77500"/>
    <n v="697500"/>
    <n v="425000"/>
    <n v="347500"/>
    <s v="Promo Lebaran"/>
    <x v="1"/>
    <s v="TK"/>
    <x v="3"/>
    <x v="169"/>
  </r>
  <r>
    <n v="956"/>
    <s v="0956"/>
    <s v="ORD-TK-0956-29/06/24"/>
    <s v="[{item_code: SP002, quantity: 2, rating: 5}, {item_code: PP002, quantity: 1, rating: 4}, {item_code: PP003, quantity: 2, rating: 4}]"/>
    <s v="SP002"/>
    <x v="1"/>
    <s v="Sepatu Pria"/>
    <s v="2"/>
    <s v="5"/>
    <n v="120000"/>
    <n v="60000"/>
    <s v="PP002"/>
    <s v="Celana Pendek"/>
    <s v="Pakaian Pria"/>
    <s v="1"/>
    <s v="4"/>
    <n v="60000"/>
    <n v="25000"/>
    <s v="PP003"/>
    <s v="Jaket Jeans"/>
    <s v="Pakaian Pria"/>
    <s v="2"/>
    <s v="4"/>
    <n v="150000"/>
    <n v="70000"/>
    <n v="5"/>
    <n v="600000"/>
    <n v="285000"/>
    <s v="LEBAR10"/>
    <n v="0.1"/>
    <n v="60000"/>
    <n v="540000"/>
    <n v="315000"/>
    <n v="255000"/>
    <s v="Promo Lebaran"/>
    <x v="1"/>
    <s v="TK"/>
    <x v="2"/>
    <x v="169"/>
  </r>
  <r>
    <n v="389"/>
    <s v="0389"/>
    <s v="ORD-BL-0389-30/06/24"/>
    <s v="[{item_code: SP002, quantity: 3, rating: 2}]"/>
    <s v="SP002"/>
    <x v="1"/>
    <s v="Sepatu Pria"/>
    <s v="3"/>
    <s v="2"/>
    <n v="120000"/>
    <n v="60000"/>
    <s v="-"/>
    <s v="-"/>
    <s v="-"/>
    <n v="0"/>
    <s v="-"/>
    <n v="0"/>
    <n v="0"/>
    <s v="-"/>
    <s v="-"/>
    <s v="-"/>
    <n v="0"/>
    <s v="-"/>
    <n v="0"/>
    <n v="0"/>
    <n v="3"/>
    <n v="360000"/>
    <n v="180000"/>
    <s v="-"/>
    <n v="0"/>
    <n v="0"/>
    <n v="360000"/>
    <n v="180000"/>
    <n v="180000"/>
    <s v="-"/>
    <x v="2"/>
    <s v="BL"/>
    <x v="3"/>
    <x v="170"/>
  </r>
  <r>
    <n v="887"/>
    <s v="0887"/>
    <s v="ORD-TK-0887-30/06/24"/>
    <s v="[{item_code: PW002, quantity: 1, rating: 1}]"/>
    <s v="PW002"/>
    <x v="4"/>
    <s v="Pakaian Wanita"/>
    <s v="1"/>
    <s v="1"/>
    <n v="125000"/>
    <n v="50000"/>
    <s v="-"/>
    <s v="-"/>
    <s v="-"/>
    <n v="0"/>
    <s v="-"/>
    <n v="0"/>
    <n v="0"/>
    <s v="-"/>
    <s v="-"/>
    <s v="-"/>
    <n v="0"/>
    <s v="-"/>
    <n v="0"/>
    <n v="0"/>
    <n v="1"/>
    <n v="125000"/>
    <n v="50000"/>
    <s v="LEBAR10"/>
    <n v="0.1"/>
    <n v="12500"/>
    <n v="112500"/>
    <n v="75000"/>
    <n v="62500"/>
    <s v="Promo Lebaran"/>
    <x v="1"/>
    <s v="TK"/>
    <x v="1"/>
    <x v="170"/>
  </r>
  <r>
    <n v="947"/>
    <s v="0947"/>
    <s v="ORD-TK-0947-30/06/24"/>
    <s v="[{item_code: PP003, quantity: 3, rating: 5}, {item_code: PP002, quantity: 3, rating: 3}]"/>
    <s v="PP003"/>
    <x v="6"/>
    <s v="Pakaian Pria"/>
    <s v="3"/>
    <s v="5"/>
    <n v="150000"/>
    <n v="70000"/>
    <s v="PP002"/>
    <s v="Celana Pendek"/>
    <s v="Pakaian Pria"/>
    <s v="3"/>
    <s v="3"/>
    <n v="60000"/>
    <n v="25000"/>
    <s v="-"/>
    <s v="-"/>
    <s v="-"/>
    <n v="0"/>
    <s v="-"/>
    <n v="0"/>
    <n v="0"/>
    <n v="6"/>
    <n v="630000"/>
    <n v="285000"/>
    <s v="LEBAR10"/>
    <n v="0.1"/>
    <n v="63000"/>
    <n v="567000"/>
    <n v="345000"/>
    <n v="282000"/>
    <s v="Promo Lebaran"/>
    <x v="1"/>
    <s v="TK"/>
    <x v="4"/>
    <x v="170"/>
  </r>
  <r>
    <n v="103"/>
    <s v="0103"/>
    <s v="ORD-TK-0103-01/07/24"/>
    <s v="[{item_code: PU001, quantity: 1, rating: 5}, {item_code: SW001, quantity: 1, rating: 5}]"/>
    <s v="PU001"/>
    <x v="7"/>
    <s v="Pakaian Unisex"/>
    <s v="1"/>
    <s v="5"/>
    <n v="160000"/>
    <n v="60000"/>
    <s v="SW001"/>
    <s v="Flat Shoes"/>
    <s v="Sepatu Wanita"/>
    <s v="1"/>
    <s v="5"/>
    <n v="150000"/>
    <n v="70000"/>
    <s v="-"/>
    <s v="-"/>
    <s v="-"/>
    <n v="0"/>
    <s v="-"/>
    <n v="0"/>
    <n v="0"/>
    <n v="2"/>
    <n v="310000"/>
    <n v="130000"/>
    <s v="LEBAR10"/>
    <n v="0.1"/>
    <n v="31000"/>
    <n v="279000"/>
    <n v="180000"/>
    <n v="149000"/>
    <s v="Promo Lebaran"/>
    <x v="1"/>
    <s v="TK"/>
    <x v="0"/>
    <x v="171"/>
  </r>
  <r>
    <n v="611"/>
    <s v="0611"/>
    <s v="ORD-TK-0611-01/07/24"/>
    <s v="[{item_code: PU001, quantity: 2, rating: 1}, {item_code: PW002, quantity: 3, rating: 4}]"/>
    <s v="PU001"/>
    <x v="7"/>
    <s v="Pakaian Unisex"/>
    <s v="2"/>
    <s v="1"/>
    <n v="160000"/>
    <n v="60000"/>
    <s v="PW002"/>
    <s v="Blouse"/>
    <s v="Pakaian Wanita"/>
    <s v="3"/>
    <s v="4"/>
    <n v="125000"/>
    <n v="50000"/>
    <s v="-"/>
    <s v="-"/>
    <s v="-"/>
    <n v="0"/>
    <s v="-"/>
    <n v="0"/>
    <n v="0"/>
    <n v="5"/>
    <n v="695000"/>
    <n v="270000"/>
    <s v="DISCAPRIL"/>
    <n v="0.1"/>
    <n v="69500"/>
    <n v="625500"/>
    <n v="425000"/>
    <n v="355500"/>
    <s v="Promo 4.4"/>
    <x v="1"/>
    <s v="TK"/>
    <x v="4"/>
    <x v="171"/>
  </r>
  <r>
    <n v="647"/>
    <s v="0647"/>
    <s v="ORD-BL-0647-01/07/24"/>
    <s v="[{item_code: PW002, quantity: 1, rating: 1}, {item_code: SP002, quantity: 1, rating: 1}]"/>
    <s v="PW002"/>
    <x v="4"/>
    <s v="Pakaian Wanita"/>
    <s v="1"/>
    <s v="1"/>
    <n v="125000"/>
    <n v="50000"/>
    <s v="SP002"/>
    <s v="Sandal Slip On"/>
    <s v="Sepatu Pria"/>
    <s v="1"/>
    <s v="1"/>
    <n v="120000"/>
    <n v="60000"/>
    <s v="-"/>
    <s v="-"/>
    <s v="-"/>
    <n v="0"/>
    <s v="-"/>
    <n v="0"/>
    <n v="0"/>
    <n v="2"/>
    <n v="245000"/>
    <n v="110000"/>
    <s v="BUKALEBAR"/>
    <n v="0.15"/>
    <n v="36750"/>
    <n v="208250"/>
    <n v="135000"/>
    <n v="98250"/>
    <s v="Promo Lebaran"/>
    <x v="2"/>
    <s v="BL"/>
    <x v="1"/>
    <x v="171"/>
  </r>
  <r>
    <n v="661"/>
    <s v="0661"/>
    <s v="ORD-SP-0661-01/07/24"/>
    <s v="[{item_code: SP002, quantity: 1, rating: 4}, {item_code: PP003, quantity: 2, rating: 3}, {item_code: SP001, quantity: 2, rating: 3}]"/>
    <s v="SP002"/>
    <x v="1"/>
    <s v="Sepatu Pria"/>
    <s v="1"/>
    <s v="4"/>
    <n v="120000"/>
    <n v="60000"/>
    <s v="PP003"/>
    <s v="Jaket Jeans"/>
    <s v="Pakaian Pria"/>
    <s v="2"/>
    <s v="3"/>
    <n v="150000"/>
    <n v="70000"/>
    <s v="SP001"/>
    <s v="Sneakers"/>
    <s v="Sepatu Pria"/>
    <s v="2"/>
    <s v="3"/>
    <n v="300000"/>
    <n v="100000"/>
    <n v="5"/>
    <n v="1020000"/>
    <n v="400000"/>
    <s v="DISC10"/>
    <n v="0.1"/>
    <n v="102000"/>
    <n v="918000"/>
    <n v="620000"/>
    <n v="518000"/>
    <s v="Promo 4.4"/>
    <x v="0"/>
    <s v="SP"/>
    <x v="5"/>
    <x v="171"/>
  </r>
  <r>
    <n v="774"/>
    <s v="0774"/>
    <s v="ORD-SP-0774-01/07/24"/>
    <s v="[{item_code: SW001, quantity: 1, rating: 3}]"/>
    <s v="SW001"/>
    <x v="8"/>
    <s v="Sepatu Wanita"/>
    <s v="1"/>
    <s v="3"/>
    <n v="150000"/>
    <n v="70000"/>
    <s v="-"/>
    <s v="-"/>
    <s v="-"/>
    <n v="0"/>
    <s v="-"/>
    <n v="0"/>
    <n v="0"/>
    <s v="-"/>
    <s v="-"/>
    <s v="-"/>
    <n v="0"/>
    <s v="-"/>
    <n v="0"/>
    <n v="0"/>
    <n v="1"/>
    <n v="150000"/>
    <n v="70000"/>
    <s v="DISC20"/>
    <n v="0.2"/>
    <n v="30000"/>
    <n v="120000"/>
    <n v="80000"/>
    <n v="50000"/>
    <s v="Promo Lebaran"/>
    <x v="0"/>
    <s v="SP"/>
    <x v="1"/>
    <x v="171"/>
  </r>
  <r>
    <n v="874"/>
    <s v="0874"/>
    <s v="ORD-TK-0874-01/07/24"/>
    <s v="[{item_code: SP001, quantity: 2, rating: 4}, {item_code: PP003, quantity: 1, rating: 3}, {item_code: SW001, quantity: 4, rating: 2}]"/>
    <s v="SP001"/>
    <x v="9"/>
    <s v="Sepatu Pria"/>
    <s v="2"/>
    <s v="4"/>
    <n v="300000"/>
    <n v="100000"/>
    <s v="PP003"/>
    <s v="Jaket Jeans"/>
    <s v="Pakaian Pria"/>
    <s v="1"/>
    <s v="3"/>
    <n v="150000"/>
    <n v="70000"/>
    <s v="SW001"/>
    <s v="Flat Shoes"/>
    <s v="Sepatu Wanita"/>
    <s v="4"/>
    <s v="2"/>
    <n v="150000"/>
    <n v="70000"/>
    <n v="7"/>
    <n v="1350000"/>
    <n v="550000"/>
    <s v="LEBAR10"/>
    <n v="0.1"/>
    <n v="135000"/>
    <n v="1215000"/>
    <n v="800000"/>
    <n v="665000"/>
    <s v="Promo Lebaran"/>
    <x v="1"/>
    <s v="TK"/>
    <x v="3"/>
    <x v="171"/>
  </r>
  <r>
    <n v="931"/>
    <s v="0931"/>
    <s v="ORD-BB-0931-01/07/24"/>
    <s v="[{item_code: SP002, quantity: 2, rating: 2}, {item_code: SP001, quantity: 1, rating: 5}, {item_code: SW001, quantity: 2, rating: 5}]"/>
    <s v="SP002"/>
    <x v="1"/>
    <s v="Sepatu Pria"/>
    <s v="2"/>
    <s v="2"/>
    <n v="120000"/>
    <n v="60000"/>
    <s v="SP001"/>
    <s v="Sneakers"/>
    <s v="Sepatu Pria"/>
    <s v="1"/>
    <s v="5"/>
    <n v="300000"/>
    <n v="100000"/>
    <s v="SW001"/>
    <s v="Flat Shoes"/>
    <s v="Sepatu Wanita"/>
    <s v="2"/>
    <s v="5"/>
    <n v="150000"/>
    <n v="70000"/>
    <n v="5"/>
    <n v="840000"/>
    <n v="360000"/>
    <s v="BELI44"/>
    <n v="0.15"/>
    <n v="126000"/>
    <n v="714000"/>
    <n v="480000"/>
    <n v="354000"/>
    <s v="Promo 4.4"/>
    <x v="3"/>
    <s v="BB"/>
    <x v="5"/>
    <x v="171"/>
  </r>
  <r>
    <n v="549"/>
    <s v="0549"/>
    <s v="ORD-SP-0549-02/07/24"/>
    <s v="[{item_code: PW002, quantity: 3, rating: 1}, {item_code: PP003, quantity: 2, rating: 5}]"/>
    <s v="PW002"/>
    <x v="4"/>
    <s v="Pakaian Wanita"/>
    <s v="3"/>
    <s v="1"/>
    <n v="125000"/>
    <n v="50000"/>
    <s v="PP003"/>
    <s v="Jaket Jeans"/>
    <s v="Pakaian Pria"/>
    <s v="2"/>
    <s v="5"/>
    <n v="150000"/>
    <n v="70000"/>
    <s v="-"/>
    <s v="-"/>
    <s v="-"/>
    <n v="0"/>
    <s v="-"/>
    <n v="0"/>
    <n v="0"/>
    <n v="5"/>
    <n v="675000"/>
    <n v="290000"/>
    <s v="DISC15"/>
    <n v="0.15"/>
    <n v="101250"/>
    <n v="573750"/>
    <n v="385000"/>
    <n v="283750"/>
    <s v="Promo 4.4"/>
    <x v="0"/>
    <s v="SP"/>
    <x v="3"/>
    <x v="172"/>
  </r>
  <r>
    <n v="605"/>
    <s v="0605"/>
    <s v="ORD-BL-0605-02/07/24"/>
    <s v="[{item_code: PW002, quantity: 7, rating: 3}]"/>
    <s v="PW002"/>
    <x v="4"/>
    <s v="Pakaian Wanita"/>
    <s v="7"/>
    <s v="3"/>
    <n v="125000"/>
    <n v="50000"/>
    <s v="-"/>
    <s v="-"/>
    <s v="-"/>
    <n v="0"/>
    <s v="-"/>
    <n v="0"/>
    <n v="0"/>
    <s v="-"/>
    <s v="-"/>
    <s v="-"/>
    <n v="0"/>
    <s v="-"/>
    <n v="0"/>
    <n v="0"/>
    <n v="7"/>
    <n v="875000"/>
    <n v="350000"/>
    <s v="BUKALEBAR"/>
    <n v="0.15"/>
    <n v="131250"/>
    <n v="743750"/>
    <n v="525000"/>
    <n v="393750"/>
    <s v="Promo Lebaran"/>
    <x v="2"/>
    <s v="BL"/>
    <x v="2"/>
    <x v="172"/>
  </r>
  <r>
    <n v="652"/>
    <s v="0652"/>
    <s v="ORD-BL-0652-03/07/24"/>
    <s v="[{item_code: PW002, quantity: 2, rating: 1}, {item_code: PP003, quantity: 3, rating: 3}, {item_code: PW001, quantity: 1, rating: 3}]"/>
    <s v="PW002"/>
    <x v="4"/>
    <s v="Pakaian Wanita"/>
    <s v="2"/>
    <s v="1"/>
    <n v="125000"/>
    <n v="50000"/>
    <s v="PP003"/>
    <s v="Jaket Jeans"/>
    <s v="Pakaian Pria"/>
    <s v="3"/>
    <s v="3"/>
    <n v="150000"/>
    <n v="70000"/>
    <s v="PW001"/>
    <s v="Dress"/>
    <s v="Pakaian Wanita"/>
    <s v="1"/>
    <s v="3"/>
    <n v="150000"/>
    <n v="55000"/>
    <n v="6"/>
    <n v="850000"/>
    <n v="365000"/>
    <s v="-"/>
    <n v="0"/>
    <n v="0"/>
    <n v="850000"/>
    <n v="485000"/>
    <n v="485000"/>
    <s v="-"/>
    <x v="2"/>
    <s v="BL"/>
    <x v="5"/>
    <x v="173"/>
  </r>
  <r>
    <n v="954"/>
    <s v="0954"/>
    <s v="ORD-TK-0954-03/07/24"/>
    <s v="[{item_code: PP003, quantity: 2, rating: 3}, {item_code: PU001, quantity: 1, rating: 1}]"/>
    <s v="PP003"/>
    <x v="6"/>
    <s v="Pakaian Pria"/>
    <s v="2"/>
    <s v="3"/>
    <n v="150000"/>
    <n v="70000"/>
    <s v="PU001"/>
    <s v="Jaket Hoodie"/>
    <s v="Pakaian Unisex"/>
    <s v="1"/>
    <s v="1"/>
    <n v="160000"/>
    <n v="60000"/>
    <s v="-"/>
    <s v="-"/>
    <s v="-"/>
    <n v="0"/>
    <s v="-"/>
    <n v="0"/>
    <n v="0"/>
    <n v="3"/>
    <n v="460000"/>
    <n v="200000"/>
    <s v="LEBAR10"/>
    <n v="0.1"/>
    <n v="46000"/>
    <n v="414000"/>
    <n v="260000"/>
    <n v="214000"/>
    <s v="Promo Lebaran"/>
    <x v="1"/>
    <s v="TK"/>
    <x v="4"/>
    <x v="173"/>
  </r>
  <r>
    <n v="30"/>
    <s v="0030"/>
    <s v="ORD-BB-0030-04/07/24"/>
    <s v="[{item_code: PP002, quantity: 2, rating: 2}, {item_code: SW001, quantity: 1, rating: 1}, {item_code: PW002, quantity: 3, rating: 1}]"/>
    <s v="PP002"/>
    <x v="5"/>
    <s v="Pakaian Pria"/>
    <s v="2"/>
    <s v="2"/>
    <n v="60000"/>
    <n v="25000"/>
    <s v="SW001"/>
    <s v="Flat Shoes"/>
    <s v="Sepatu Wanita"/>
    <s v="1"/>
    <s v="1"/>
    <n v="150000"/>
    <n v="70000"/>
    <s v="PW002"/>
    <s v="Blouse"/>
    <s v="Pakaian Wanita"/>
    <s v="3"/>
    <s v="1"/>
    <n v="125000"/>
    <n v="50000"/>
    <n v="6"/>
    <n v="645000"/>
    <n v="270000"/>
    <s v="BELI44"/>
    <n v="0.15"/>
    <n v="96750"/>
    <n v="548250"/>
    <n v="375000"/>
    <n v="278250"/>
    <s v="Promo 4.4"/>
    <x v="3"/>
    <s v="BB"/>
    <x v="3"/>
    <x v="174"/>
  </r>
  <r>
    <n v="44"/>
    <s v="0044"/>
    <s v="ORD-SP-0044-04/07/24"/>
    <s v="[{item_code: PW001, quantity: 4, rating: 3}, {item_code: PP003, quantity: 1, rating: 5}, {item_code: PW003, quantity: 2, rating: 1}]"/>
    <s v="PW001"/>
    <x v="2"/>
    <s v="Pakaian Wanita"/>
    <s v="4"/>
    <s v="3"/>
    <n v="150000"/>
    <n v="55000"/>
    <s v="PP003"/>
    <s v="Jaket Jeans"/>
    <s v="Pakaian Pria"/>
    <s v="1"/>
    <s v="5"/>
    <n v="150000"/>
    <n v="70000"/>
    <s v="PW003"/>
    <s v="Kaftan"/>
    <s v="Pakaian Wanita"/>
    <s v="2"/>
    <s v="1"/>
    <n v="200000"/>
    <n v="100000"/>
    <n v="7"/>
    <n v="1150000"/>
    <n v="490000"/>
    <s v="DISC15"/>
    <n v="0.15"/>
    <n v="172500"/>
    <n v="977500"/>
    <n v="660000"/>
    <n v="487500"/>
    <s v="Promo 4.4"/>
    <x v="0"/>
    <s v="SP"/>
    <x v="3"/>
    <x v="174"/>
  </r>
  <r>
    <n v="80"/>
    <s v="0080"/>
    <s v="ORD-BB-0080-04/07/24"/>
    <s v="[{item_code: SW001, quantity: 4, rating: 1}, {item_code: PP001, quantity: 1, rating: 2}, {item_code: SP001, quantity: 2, rating: 1}]"/>
    <s v="SW001"/>
    <x v="8"/>
    <s v="Sepatu Wanita"/>
    <s v="4"/>
    <s v="1"/>
    <n v="150000"/>
    <n v="70000"/>
    <s v="PP001"/>
    <s v="Kaos Polo"/>
    <s v="Pakaian Pria"/>
    <s v="1"/>
    <s v="2"/>
    <n v="80000"/>
    <n v="30000"/>
    <s v="SP001"/>
    <s v="Sneakers"/>
    <s v="Sepatu Pria"/>
    <s v="2"/>
    <s v="1"/>
    <n v="300000"/>
    <n v="100000"/>
    <n v="7"/>
    <n v="1280000"/>
    <n v="510000"/>
    <s v="BELI44"/>
    <n v="0.15"/>
    <n v="192000"/>
    <n v="1088000"/>
    <n v="770000"/>
    <n v="578000"/>
    <s v="Promo 4.4"/>
    <x v="3"/>
    <s v="BB"/>
    <x v="5"/>
    <x v="174"/>
  </r>
  <r>
    <n v="195"/>
    <s v="0195"/>
    <s v="ORD-SP-0195-04/07/24"/>
    <s v="[{item_code: SW001, quantity: 2, rating: 5}, {item_code: PW001, quantity: 2, rating: 1}, {item_code: PP003, quantity: 2, rating: 2}]"/>
    <s v="SW001"/>
    <x v="8"/>
    <s v="Sepatu Wanita"/>
    <s v="2"/>
    <s v="5"/>
    <n v="150000"/>
    <n v="70000"/>
    <s v="PW001"/>
    <s v="Dress"/>
    <s v="Pakaian Wanita"/>
    <s v="2"/>
    <s v="1"/>
    <n v="150000"/>
    <n v="55000"/>
    <s v="PP003"/>
    <s v="Jaket Jeans"/>
    <s v="Pakaian Pria"/>
    <s v="2"/>
    <s v="2"/>
    <n v="150000"/>
    <n v="70000"/>
    <n v="6"/>
    <n v="900000"/>
    <n v="390000"/>
    <s v="DISC15"/>
    <n v="0.15"/>
    <n v="135000"/>
    <n v="765000"/>
    <n v="510000"/>
    <n v="375000"/>
    <s v="Promo 4.4"/>
    <x v="0"/>
    <s v="SP"/>
    <x v="4"/>
    <x v="174"/>
  </r>
  <r>
    <n v="134"/>
    <s v="0134"/>
    <s v="ORD-TK-0134-05/07/24"/>
    <s v="[{item_code: PW002, quantity: 5, rating: 5}, {item_code: PP003, quantity: 1, rating: 1}, {item_code: PP001, quantity: 1, rating: 5}]"/>
    <s v="PW002"/>
    <x v="4"/>
    <s v="Pakaian Wanita"/>
    <s v="5"/>
    <s v="5"/>
    <n v="125000"/>
    <n v="50000"/>
    <s v="PP003"/>
    <s v="Jaket Jeans"/>
    <s v="Pakaian Pria"/>
    <s v="1"/>
    <s v="1"/>
    <n v="150000"/>
    <n v="70000"/>
    <s v="PP001"/>
    <s v="Kaos Polo"/>
    <s v="Pakaian Pria"/>
    <s v="1"/>
    <s v="5"/>
    <n v="80000"/>
    <n v="30000"/>
    <n v="7"/>
    <n v="855000"/>
    <n v="350000"/>
    <s v="DISCAPRIL"/>
    <n v="0.1"/>
    <n v="85500"/>
    <n v="769500"/>
    <n v="505000"/>
    <n v="419500"/>
    <s v="Promo 4.4"/>
    <x v="1"/>
    <s v="TK"/>
    <x v="3"/>
    <x v="175"/>
  </r>
  <r>
    <n v="603"/>
    <s v="0603"/>
    <s v="ORD-BB-0603-05/07/24"/>
    <s v="[{item_code: PP001, quantity: 4, rating: 2}, {item_code: SP002, quantity: 1, rating: 1}, {item_code: SW001, quantity: 2, rating: 2}]"/>
    <s v="PP001"/>
    <x v="0"/>
    <s v="Pakaian Pria"/>
    <s v="4"/>
    <s v="2"/>
    <n v="80000"/>
    <n v="30000"/>
    <s v="SP002"/>
    <s v="Sandal Slip On"/>
    <s v="Sepatu Pria"/>
    <s v="1"/>
    <s v="1"/>
    <n v="120000"/>
    <n v="60000"/>
    <s v="SW001"/>
    <s v="Flat Shoes"/>
    <s v="Sepatu Wanita"/>
    <s v="2"/>
    <s v="2"/>
    <n v="150000"/>
    <n v="70000"/>
    <n v="7"/>
    <n v="740000"/>
    <n v="320000"/>
    <s v="BELI44"/>
    <n v="0.15"/>
    <n v="111000"/>
    <n v="629000"/>
    <n v="420000"/>
    <n v="309000"/>
    <s v="Promo 4.4"/>
    <x v="3"/>
    <s v="BB"/>
    <x v="4"/>
    <x v="175"/>
  </r>
  <r>
    <n v="640"/>
    <s v="0640"/>
    <s v="ORD-SP-0640-05/07/24"/>
    <s v="[{item_code: PP003, quantity: 6, rating: 3}]"/>
    <s v="PP003"/>
    <x v="6"/>
    <s v="Pakaian Pria"/>
    <s v="6"/>
    <s v="3"/>
    <n v="150000"/>
    <n v="70000"/>
    <s v="-"/>
    <s v="-"/>
    <s v="-"/>
    <n v="0"/>
    <s v="-"/>
    <n v="0"/>
    <n v="0"/>
    <s v="-"/>
    <s v="-"/>
    <s v="-"/>
    <n v="0"/>
    <s v="-"/>
    <n v="0"/>
    <n v="0"/>
    <n v="6"/>
    <n v="900000"/>
    <n v="420000"/>
    <s v="DISC15"/>
    <n v="0.15"/>
    <n v="135000"/>
    <n v="765000"/>
    <n v="480000"/>
    <n v="345000"/>
    <s v="Promo 4.4"/>
    <x v="0"/>
    <s v="SP"/>
    <x v="1"/>
    <x v="175"/>
  </r>
  <r>
    <n v="824"/>
    <s v="0824"/>
    <s v="ORD-TK-0824-05/07/24"/>
    <s v="[{item_code: PW001, quantity: 1, rating: 4}]"/>
    <s v="PW001"/>
    <x v="2"/>
    <s v="Pakaian Wanita"/>
    <s v="1"/>
    <s v="4"/>
    <n v="150000"/>
    <n v="55000"/>
    <s v="-"/>
    <s v="-"/>
    <s v="-"/>
    <n v="0"/>
    <s v="-"/>
    <n v="0"/>
    <n v="0"/>
    <s v="-"/>
    <s v="-"/>
    <s v="-"/>
    <n v="0"/>
    <s v="-"/>
    <n v="0"/>
    <n v="0"/>
    <n v="1"/>
    <n v="150000"/>
    <n v="55000"/>
    <s v="LEBAR10"/>
    <n v="0.1"/>
    <n v="15000"/>
    <n v="135000"/>
    <n v="95000"/>
    <n v="80000"/>
    <s v="Promo Lebaran"/>
    <x v="1"/>
    <s v="TK"/>
    <x v="3"/>
    <x v="175"/>
  </r>
  <r>
    <n v="737"/>
    <s v="0737"/>
    <s v="ORD-BB-0737-07/07/24"/>
    <s v="[{item_code: PP002, quantity: 2, rating: 1}, {item_code: PP001, quantity: 1, rating: 5}]"/>
    <s v="PP002"/>
    <x v="5"/>
    <s v="Pakaian Pria"/>
    <s v="2"/>
    <s v="1"/>
    <n v="60000"/>
    <n v="25000"/>
    <s v="PP001"/>
    <s v="Kaos Polo"/>
    <s v="Pakaian Pria"/>
    <s v="1"/>
    <s v="5"/>
    <n v="80000"/>
    <n v="30000"/>
    <s v="-"/>
    <s v="-"/>
    <s v="-"/>
    <n v="0"/>
    <s v="-"/>
    <n v="0"/>
    <n v="0"/>
    <n v="3"/>
    <n v="200000"/>
    <n v="80000"/>
    <s v="BELI44"/>
    <n v="0.15"/>
    <n v="30000"/>
    <n v="170000"/>
    <n v="120000"/>
    <n v="90000"/>
    <s v="Promo 4.4"/>
    <x v="3"/>
    <s v="BB"/>
    <x v="1"/>
    <x v="176"/>
  </r>
  <r>
    <n v="889"/>
    <s v="0889"/>
    <s v="ORD-SP-0889-07/07/24"/>
    <s v="[{item_code: SP001, quantity: 2, rating: 4}, {item_code: PP002, quantity: 1, rating: 4}]"/>
    <s v="SP001"/>
    <x v="9"/>
    <s v="Sepatu Pria"/>
    <s v="2"/>
    <s v="4"/>
    <n v="300000"/>
    <n v="100000"/>
    <s v="PP002"/>
    <s v="Celana Pendek"/>
    <s v="Pakaian Pria"/>
    <s v="1"/>
    <s v="4"/>
    <n v="60000"/>
    <n v="25000"/>
    <s v="-"/>
    <s v="-"/>
    <s v="-"/>
    <n v="0"/>
    <s v="-"/>
    <n v="0"/>
    <n v="0"/>
    <n v="3"/>
    <n v="660000"/>
    <n v="225000"/>
    <s v="DISC20"/>
    <n v="0.2"/>
    <n v="132000"/>
    <n v="528000"/>
    <n v="435000"/>
    <n v="303000"/>
    <s v="Promo Lebaran"/>
    <x v="0"/>
    <s v="SP"/>
    <x v="3"/>
    <x v="176"/>
  </r>
  <r>
    <n v="359"/>
    <s v="0359"/>
    <s v="ORD-BB-0359-08/07/24"/>
    <s v="[{item_code: PP001, quantity: 1, rating: 3}]"/>
    <s v="PP001"/>
    <x v="0"/>
    <s v="Pakaian Pria"/>
    <s v="1"/>
    <s v="3"/>
    <n v="80000"/>
    <n v="30000"/>
    <s v="-"/>
    <s v="-"/>
    <s v="-"/>
    <n v="0"/>
    <s v="-"/>
    <n v="0"/>
    <n v="0"/>
    <s v="-"/>
    <s v="-"/>
    <s v="-"/>
    <n v="0"/>
    <s v="-"/>
    <n v="0"/>
    <n v="0"/>
    <n v="1"/>
    <n v="80000"/>
    <n v="30000"/>
    <s v="BELI44"/>
    <n v="0.15"/>
    <n v="12000"/>
    <n v="68000"/>
    <n v="50000"/>
    <n v="38000"/>
    <s v="Promo 4.4"/>
    <x v="3"/>
    <s v="BB"/>
    <x v="5"/>
    <x v="177"/>
  </r>
  <r>
    <n v="104"/>
    <s v="0104"/>
    <s v="ORD-SP-0104-09/07/24"/>
    <s v="[{item_code: PW001, quantity: 2, rating: 2}, {item_code: PW003, quantity: 1, rating: 1}]"/>
    <s v="PW001"/>
    <x v="2"/>
    <s v="Pakaian Wanita"/>
    <s v="2"/>
    <s v="2"/>
    <n v="150000"/>
    <n v="55000"/>
    <s v="PW003"/>
    <s v="Kaftan"/>
    <s v="Pakaian Wanita"/>
    <s v="1"/>
    <s v="1"/>
    <n v="200000"/>
    <n v="100000"/>
    <s v="-"/>
    <s v="-"/>
    <s v="-"/>
    <n v="0"/>
    <s v="-"/>
    <n v="0"/>
    <n v="0"/>
    <n v="3"/>
    <n v="500000"/>
    <n v="210000"/>
    <s v="DISC15"/>
    <n v="0.15"/>
    <n v="75000"/>
    <n v="425000"/>
    <n v="290000"/>
    <n v="215000"/>
    <s v="Promo 4.4"/>
    <x v="0"/>
    <s v="SP"/>
    <x v="4"/>
    <x v="178"/>
  </r>
  <r>
    <n v="91"/>
    <s v="0091"/>
    <s v="ORD-TK-0091-10/07/24"/>
    <s v="[{item_code: PP003, quantity: 1, rating: 5}]"/>
    <s v="PP003"/>
    <x v="6"/>
    <s v="Pakaian Pria"/>
    <s v="1"/>
    <s v="5"/>
    <n v="150000"/>
    <n v="70000"/>
    <s v="-"/>
    <s v="-"/>
    <s v="-"/>
    <n v="0"/>
    <s v="-"/>
    <n v="0"/>
    <n v="0"/>
    <s v="-"/>
    <s v="-"/>
    <s v="-"/>
    <n v="0"/>
    <s v="-"/>
    <n v="0"/>
    <n v="0"/>
    <n v="1"/>
    <n v="150000"/>
    <n v="70000"/>
    <s v="LEBAR10"/>
    <n v="0.1"/>
    <n v="15000"/>
    <n v="135000"/>
    <n v="80000"/>
    <n v="65000"/>
    <s v="Promo Lebaran"/>
    <x v="1"/>
    <s v="TK"/>
    <x v="1"/>
    <x v="179"/>
  </r>
  <r>
    <n v="779"/>
    <s v="0779"/>
    <s v="ORD-TK-0779-10/07/24"/>
    <s v="[{item_code: PW003, quantity: 1, rating: 4}]"/>
    <s v="PW003"/>
    <x v="3"/>
    <s v="Pakaian Wanita"/>
    <s v="1"/>
    <s v="4"/>
    <n v="200000"/>
    <n v="100000"/>
    <s v="-"/>
    <s v="-"/>
    <s v="-"/>
    <n v="0"/>
    <s v="-"/>
    <n v="0"/>
    <n v="0"/>
    <s v="-"/>
    <s v="-"/>
    <s v="-"/>
    <n v="0"/>
    <s v="-"/>
    <n v="0"/>
    <n v="0"/>
    <n v="1"/>
    <n v="200000"/>
    <n v="100000"/>
    <s v="DISCAPRIL"/>
    <n v="0.1"/>
    <n v="20000"/>
    <n v="180000"/>
    <n v="100000"/>
    <n v="80000"/>
    <s v="Promo 4.4"/>
    <x v="1"/>
    <s v="TK"/>
    <x v="2"/>
    <x v="179"/>
  </r>
  <r>
    <n v="946"/>
    <s v="0946"/>
    <s v="ORD-SP-0946-10/07/24"/>
    <s v="[{item_code: PW003, quantity: 2, rating: 4}]"/>
    <s v="PW003"/>
    <x v="3"/>
    <s v="Pakaian Wanita"/>
    <s v="2"/>
    <s v="4"/>
    <n v="200000"/>
    <n v="100000"/>
    <s v="-"/>
    <s v="-"/>
    <s v="-"/>
    <n v="0"/>
    <s v="-"/>
    <n v="0"/>
    <n v="0"/>
    <s v="-"/>
    <s v="-"/>
    <s v="-"/>
    <n v="0"/>
    <s v="-"/>
    <n v="0"/>
    <n v="0"/>
    <n v="2"/>
    <n v="400000"/>
    <n v="200000"/>
    <s v="-"/>
    <n v="0"/>
    <n v="0"/>
    <n v="400000"/>
    <n v="200000"/>
    <n v="200000"/>
    <s v="-"/>
    <x v="0"/>
    <s v="SP"/>
    <x v="3"/>
    <x v="179"/>
  </r>
  <r>
    <n v="207"/>
    <s v="0207"/>
    <s v="ORD-SP-0207-11/07/24"/>
    <s v="[{item_code: SP001, quantity: 2, rating: 2}, {item_code: SW001, quantity: 1, rating: 4}, {item_code: PW002, quantity: 1, rating: 2}]"/>
    <s v="SP001"/>
    <x v="9"/>
    <s v="Sepatu Pria"/>
    <s v="2"/>
    <s v="2"/>
    <n v="300000"/>
    <n v="100000"/>
    <s v="SW001"/>
    <s v="Flat Shoes"/>
    <s v="Sepatu Wanita"/>
    <s v="1"/>
    <s v="4"/>
    <n v="150000"/>
    <n v="70000"/>
    <s v="PW002"/>
    <s v="Blouse"/>
    <s v="Pakaian Wanita"/>
    <s v="1"/>
    <s v="2"/>
    <n v="125000"/>
    <n v="50000"/>
    <n v="4"/>
    <n v="875000"/>
    <n v="320000"/>
    <s v="DISC20"/>
    <n v="0.2"/>
    <n v="175000"/>
    <n v="700000"/>
    <n v="555000"/>
    <n v="380000"/>
    <s v="Promo Lebaran"/>
    <x v="0"/>
    <s v="SP"/>
    <x v="3"/>
    <x v="180"/>
  </r>
  <r>
    <n v="843"/>
    <s v="0843"/>
    <s v="ORD-TK-0843-11/07/24"/>
    <s v="[{item_code: PW001, quantity: 1, rating: 3}, {item_code: PP001, quantity: 3, rating: 1}, {item_code: SP001, quantity: 1, rating: 2}]"/>
    <s v="PW001"/>
    <x v="2"/>
    <s v="Pakaian Wanita"/>
    <s v="1"/>
    <s v="3"/>
    <n v="150000"/>
    <n v="55000"/>
    <s v="PP001"/>
    <s v="Kaos Polo"/>
    <s v="Pakaian Pria"/>
    <s v="3"/>
    <s v="1"/>
    <n v="80000"/>
    <n v="30000"/>
    <s v="SP001"/>
    <s v="Sneakers"/>
    <s v="Sepatu Pria"/>
    <s v="1"/>
    <s v="2"/>
    <n v="300000"/>
    <n v="100000"/>
    <n v="5"/>
    <n v="690000"/>
    <n v="245000"/>
    <s v="DISCAPRIL"/>
    <n v="0.1"/>
    <n v="69000"/>
    <n v="621000"/>
    <n v="445000"/>
    <n v="376000"/>
    <s v="Promo 4.4"/>
    <x v="1"/>
    <s v="TK"/>
    <x v="2"/>
    <x v="180"/>
  </r>
  <r>
    <n v="880"/>
    <s v="0880"/>
    <s v="ORD-SP-0880-11/07/24"/>
    <s v="[{item_code: SW001, quantity: 1, rating: 1}, {item_code: PW003, quantity: 2, rating: 4}]"/>
    <s v="SW001"/>
    <x v="8"/>
    <s v="Sepatu Wanita"/>
    <s v="1"/>
    <s v="1"/>
    <n v="150000"/>
    <n v="70000"/>
    <s v="PW003"/>
    <s v="Kaftan"/>
    <s v="Pakaian Wanita"/>
    <s v="2"/>
    <s v="4"/>
    <n v="200000"/>
    <n v="100000"/>
    <s v="-"/>
    <s v="-"/>
    <s v="-"/>
    <n v="0"/>
    <s v="-"/>
    <n v="0"/>
    <n v="0"/>
    <n v="3"/>
    <n v="550000"/>
    <n v="270000"/>
    <s v="DISC10"/>
    <n v="0.1"/>
    <n v="55000"/>
    <n v="495000"/>
    <n v="280000"/>
    <n v="225000"/>
    <s v="Promo 4.4"/>
    <x v="0"/>
    <s v="SP"/>
    <x v="3"/>
    <x v="180"/>
  </r>
  <r>
    <n v="928"/>
    <s v="0928"/>
    <s v="ORD-TK-0928-11/07/24"/>
    <s v="[{item_code: SP002, quantity: 2, rating: 2}]"/>
    <s v="SP002"/>
    <x v="1"/>
    <s v="Sepatu Pria"/>
    <s v="2"/>
    <s v="2"/>
    <n v="120000"/>
    <n v="60000"/>
    <s v="-"/>
    <s v="-"/>
    <s v="-"/>
    <n v="0"/>
    <s v="-"/>
    <n v="0"/>
    <n v="0"/>
    <s v="-"/>
    <s v="-"/>
    <s v="-"/>
    <n v="0"/>
    <s v="-"/>
    <n v="0"/>
    <n v="0"/>
    <n v="2"/>
    <n v="240000"/>
    <n v="120000"/>
    <s v="LEBAR10"/>
    <n v="0.1"/>
    <n v="24000"/>
    <n v="216000"/>
    <n v="120000"/>
    <n v="96000"/>
    <s v="Promo Lebaran"/>
    <x v="1"/>
    <s v="TK"/>
    <x v="1"/>
    <x v="180"/>
  </r>
  <r>
    <n v="210"/>
    <s v="0210"/>
    <s v="ORD-TK-0210-12/07/24"/>
    <s v="[{item_code: PP003, quantity: 2, rating: 5}, {item_code: PW001, quantity: 1, rating: 1}, {item_code: PW002, quantity: 2, rating: 2}]"/>
    <s v="PP003"/>
    <x v="6"/>
    <s v="Pakaian Pria"/>
    <s v="2"/>
    <s v="5"/>
    <n v="150000"/>
    <n v="70000"/>
    <s v="PW001"/>
    <s v="Dress"/>
    <s v="Pakaian Wanita"/>
    <s v="1"/>
    <s v="1"/>
    <n v="150000"/>
    <n v="55000"/>
    <s v="PW002"/>
    <s v="Blouse"/>
    <s v="Pakaian Wanita"/>
    <s v="2"/>
    <s v="2"/>
    <n v="125000"/>
    <n v="50000"/>
    <n v="5"/>
    <n v="700000"/>
    <n v="295000"/>
    <s v="LEBAR10"/>
    <n v="0.1"/>
    <n v="70000"/>
    <n v="630000"/>
    <n v="405000"/>
    <n v="335000"/>
    <s v="Promo Lebaran"/>
    <x v="1"/>
    <s v="TK"/>
    <x v="3"/>
    <x v="181"/>
  </r>
  <r>
    <n v="390"/>
    <s v="0390"/>
    <s v="ORD-SP-0390-12/07/24"/>
    <s v="[{item_code: PW003, quantity: 2, rating: 1}]"/>
    <s v="PW003"/>
    <x v="3"/>
    <s v="Pakaian Wanita"/>
    <s v="2"/>
    <s v="1"/>
    <n v="200000"/>
    <n v="100000"/>
    <s v="-"/>
    <s v="-"/>
    <s v="-"/>
    <n v="0"/>
    <s v="-"/>
    <n v="0"/>
    <n v="0"/>
    <s v="-"/>
    <s v="-"/>
    <s v="-"/>
    <n v="0"/>
    <s v="-"/>
    <n v="0"/>
    <n v="0"/>
    <n v="2"/>
    <n v="400000"/>
    <n v="200000"/>
    <s v="DISC15"/>
    <n v="0.15"/>
    <n v="60000"/>
    <n v="340000"/>
    <n v="200000"/>
    <n v="140000"/>
    <s v="Promo 4.4"/>
    <x v="0"/>
    <s v="SP"/>
    <x v="3"/>
    <x v="181"/>
  </r>
  <r>
    <n v="619"/>
    <s v="0619"/>
    <s v="ORD-TK-0619-12/07/24"/>
    <s v="[{item_code: PW002, quantity: 5, rating: 4}, {item_code: PP003, quantity: 1, rating: 1}]"/>
    <s v="PW002"/>
    <x v="4"/>
    <s v="Pakaian Wanita"/>
    <s v="5"/>
    <s v="4"/>
    <n v="125000"/>
    <n v="50000"/>
    <s v="PP003"/>
    <s v="Jaket Jeans"/>
    <s v="Pakaian Pria"/>
    <s v="1"/>
    <s v="1"/>
    <n v="150000"/>
    <n v="70000"/>
    <s v="-"/>
    <s v="-"/>
    <s v="-"/>
    <n v="0"/>
    <s v="-"/>
    <n v="0"/>
    <n v="0"/>
    <n v="6"/>
    <n v="775000"/>
    <n v="320000"/>
    <s v="-"/>
    <n v="0"/>
    <n v="0"/>
    <n v="775000"/>
    <n v="455000"/>
    <n v="455000"/>
    <s v="-"/>
    <x v="1"/>
    <s v="TK"/>
    <x v="3"/>
    <x v="181"/>
  </r>
  <r>
    <n v="841"/>
    <s v="0841"/>
    <s v="ORD-BL-0841-12/07/24"/>
    <s v="[{item_code: PP003, quantity: 1, rating: 1}, {item_code: PP001, quantity: 4, rating: 1}]"/>
    <s v="PP003"/>
    <x v="6"/>
    <s v="Pakaian Pria"/>
    <s v="1"/>
    <s v="1"/>
    <n v="150000"/>
    <n v="70000"/>
    <s v="PP001"/>
    <s v="Kaos Polo"/>
    <s v="Pakaian Pria"/>
    <s v="4"/>
    <s v="1"/>
    <n v="80000"/>
    <n v="30000"/>
    <s v="-"/>
    <s v="-"/>
    <s v="-"/>
    <n v="0"/>
    <s v="-"/>
    <n v="0"/>
    <n v="0"/>
    <n v="5"/>
    <n v="470000"/>
    <n v="190000"/>
    <s v="-"/>
    <n v="0"/>
    <n v="0"/>
    <n v="470000"/>
    <n v="280000"/>
    <n v="280000"/>
    <s v="-"/>
    <x v="2"/>
    <s v="BL"/>
    <x v="3"/>
    <x v="181"/>
  </r>
  <r>
    <n v="370"/>
    <s v="0370"/>
    <s v="ORD-BL-0370-13/07/24"/>
    <s v="[{item_code: PP002, quantity: 1, rating: 5}, {item_code: SP001, quantity: 1, rating: 3}]"/>
    <s v="PP002"/>
    <x v="5"/>
    <s v="Pakaian Pria"/>
    <s v="1"/>
    <s v="5"/>
    <n v="60000"/>
    <n v="25000"/>
    <s v="SP001"/>
    <s v="Sneakers"/>
    <s v="Sepatu Pria"/>
    <s v="1"/>
    <s v="3"/>
    <n v="300000"/>
    <n v="100000"/>
    <s v="-"/>
    <s v="-"/>
    <s v="-"/>
    <n v="0"/>
    <s v="-"/>
    <n v="0"/>
    <n v="0"/>
    <n v="2"/>
    <n v="360000"/>
    <n v="125000"/>
    <s v="BUKALEBAR"/>
    <n v="0.15"/>
    <n v="54000"/>
    <n v="306000"/>
    <n v="235000"/>
    <n v="181000"/>
    <s v="Promo Lebaran"/>
    <x v="2"/>
    <s v="BL"/>
    <x v="3"/>
    <x v="182"/>
  </r>
  <r>
    <n v="822"/>
    <s v="0822"/>
    <s v="ORD-TK-0822-13/07/24"/>
    <s v="[{item_code: PP003, quantity: 3, rating: 4}, {item_code: PP001, quantity: 1, rating: 4}, {item_code: PP001, quantity: 1, rating: 2}]"/>
    <s v="PP003"/>
    <x v="6"/>
    <s v="Pakaian Pria"/>
    <s v="3"/>
    <s v="4"/>
    <n v="150000"/>
    <n v="70000"/>
    <s v="PP001"/>
    <s v="Kaos Polo"/>
    <s v="Pakaian Pria"/>
    <s v="1"/>
    <s v="4"/>
    <n v="80000"/>
    <n v="30000"/>
    <s v="PP001"/>
    <s v="Kaos Polo"/>
    <s v="Pakaian Pria"/>
    <s v="1"/>
    <s v="2"/>
    <n v="80000"/>
    <n v="30000"/>
    <n v="5"/>
    <n v="610000"/>
    <n v="270000"/>
    <s v="DISCAPRIL"/>
    <n v="0.1"/>
    <n v="61000"/>
    <n v="549000"/>
    <n v="340000"/>
    <n v="279000"/>
    <s v="Promo 4.4"/>
    <x v="1"/>
    <s v="TK"/>
    <x v="3"/>
    <x v="182"/>
  </r>
  <r>
    <n v="492"/>
    <s v="0492"/>
    <s v="ORD-TK-0492-15/07/24"/>
    <s v="[{item_code: PP002, quantity: 3, rating: 5}, {item_code: PP003, quantity: 1, rating: 4}, {item_code: PU001, quantity: 1, rating: 3}]"/>
    <s v="PP002"/>
    <x v="5"/>
    <s v="Pakaian Pria"/>
    <s v="3"/>
    <s v="5"/>
    <n v="60000"/>
    <n v="25000"/>
    <s v="PP003"/>
    <s v="Jaket Jeans"/>
    <s v="Pakaian Pria"/>
    <s v="1"/>
    <s v="4"/>
    <n v="150000"/>
    <n v="70000"/>
    <s v="PU001"/>
    <s v="Jaket Hoodie"/>
    <s v="Pakaian Unisex"/>
    <s v="1"/>
    <s v="3"/>
    <n v="160000"/>
    <n v="60000"/>
    <n v="5"/>
    <n v="490000"/>
    <n v="205000"/>
    <s v="DISCAPRIL"/>
    <n v="0.1"/>
    <n v="49000"/>
    <n v="441000"/>
    <n v="285000"/>
    <n v="236000"/>
    <s v="Promo 4.4"/>
    <x v="1"/>
    <s v="TK"/>
    <x v="2"/>
    <x v="183"/>
  </r>
  <r>
    <n v="709"/>
    <s v="0709"/>
    <s v="ORD-BB-0709-15/07/24"/>
    <s v="[{item_code: SP002, quantity: 1, rating: 2}, {item_code: PW003, quantity: 1, rating: 5}]"/>
    <s v="SP002"/>
    <x v="1"/>
    <s v="Sepatu Pria"/>
    <s v="1"/>
    <s v="2"/>
    <n v="120000"/>
    <n v="60000"/>
    <s v="PW003"/>
    <s v="Kaftan"/>
    <s v="Pakaian Wanita"/>
    <s v="1"/>
    <s v="5"/>
    <n v="200000"/>
    <n v="100000"/>
    <s v="-"/>
    <s v="-"/>
    <s v="-"/>
    <n v="0"/>
    <s v="-"/>
    <n v="0"/>
    <n v="0"/>
    <n v="2"/>
    <n v="320000"/>
    <n v="160000"/>
    <s v="BELI44"/>
    <n v="0.15"/>
    <n v="48000"/>
    <n v="272000"/>
    <n v="160000"/>
    <n v="112000"/>
    <s v="Promo 4.4"/>
    <x v="3"/>
    <s v="BB"/>
    <x v="3"/>
    <x v="183"/>
  </r>
  <r>
    <n v="924"/>
    <s v="0924"/>
    <s v="ORD-SP-0924-15/07/24"/>
    <s v="[{item_code: PU001, quantity: 1, rating: 4}, {item_code: SP001, quantity: 2, rating: 1}]"/>
    <s v="PU001"/>
    <x v="7"/>
    <s v="Pakaian Unisex"/>
    <s v="1"/>
    <s v="4"/>
    <n v="160000"/>
    <n v="60000"/>
    <s v="SP001"/>
    <s v="Sneakers"/>
    <s v="Sepatu Pria"/>
    <s v="2"/>
    <s v="1"/>
    <n v="300000"/>
    <n v="100000"/>
    <s v="-"/>
    <s v="-"/>
    <s v="-"/>
    <n v="0"/>
    <s v="-"/>
    <n v="0"/>
    <n v="0"/>
    <n v="3"/>
    <n v="760000"/>
    <n v="260000"/>
    <s v="DISC15"/>
    <n v="0.15"/>
    <n v="114000"/>
    <n v="646000"/>
    <n v="500000"/>
    <n v="386000"/>
    <s v="Promo 4.4"/>
    <x v="0"/>
    <s v="SP"/>
    <x v="1"/>
    <x v="183"/>
  </r>
  <r>
    <n v="310"/>
    <s v="0310"/>
    <s v="ORD-BL-0310-16/07/24"/>
    <s v="[{item_code: PW002, quantity: 3, rating: 1}, {item_code: PP002, quantity: 2, rating: 4}]"/>
    <s v="PW002"/>
    <x v="4"/>
    <s v="Pakaian Wanita"/>
    <s v="3"/>
    <s v="1"/>
    <n v="125000"/>
    <n v="50000"/>
    <s v="PP002"/>
    <s v="Celana Pendek"/>
    <s v="Pakaian Pria"/>
    <s v="2"/>
    <s v="4"/>
    <n v="60000"/>
    <n v="25000"/>
    <s v="-"/>
    <s v="-"/>
    <s v="-"/>
    <n v="0"/>
    <s v="-"/>
    <n v="0"/>
    <n v="0"/>
    <n v="5"/>
    <n v="495000"/>
    <n v="200000"/>
    <s v="BUKALEBAR"/>
    <n v="0.15"/>
    <n v="74250"/>
    <n v="420750"/>
    <n v="295000"/>
    <n v="220750"/>
    <s v="Promo Lebaran"/>
    <x v="2"/>
    <s v="BL"/>
    <x v="3"/>
    <x v="184"/>
  </r>
  <r>
    <n v="477"/>
    <s v="0477"/>
    <s v="ORD-BL-0477-16/07/24"/>
    <s v="[{item_code: PP003, quantity: 3, rating: 3}]"/>
    <s v="PP003"/>
    <x v="6"/>
    <s v="Pakaian Pria"/>
    <s v="3"/>
    <s v="3"/>
    <n v="150000"/>
    <n v="70000"/>
    <s v="-"/>
    <s v="-"/>
    <s v="-"/>
    <n v="0"/>
    <s v="-"/>
    <n v="0"/>
    <n v="0"/>
    <s v="-"/>
    <s v="-"/>
    <s v="-"/>
    <n v="0"/>
    <s v="-"/>
    <n v="0"/>
    <n v="0"/>
    <n v="3"/>
    <n v="450000"/>
    <n v="210000"/>
    <s v="BUKALEBAR"/>
    <n v="0.15"/>
    <n v="67500"/>
    <n v="382500"/>
    <n v="240000"/>
    <n v="172500"/>
    <s v="Promo Lebaran"/>
    <x v="2"/>
    <s v="BL"/>
    <x v="4"/>
    <x v="184"/>
  </r>
  <r>
    <n v="509"/>
    <s v="0509"/>
    <s v="ORD-SP-0509-16/07/24"/>
    <s v="[{item_code: SP002, quantity: 3, rating: 5}, {item_code: PP001, quantity: 2, rating: 2}, {item_code: PP003, quantity: 1, rating: 2}]"/>
    <s v="SP002"/>
    <x v="1"/>
    <s v="Sepatu Pria"/>
    <s v="3"/>
    <s v="5"/>
    <n v="120000"/>
    <n v="60000"/>
    <s v="PP001"/>
    <s v="Kaos Polo"/>
    <s v="Pakaian Pria"/>
    <s v="2"/>
    <s v="2"/>
    <n v="80000"/>
    <n v="30000"/>
    <s v="PP003"/>
    <s v="Jaket Jeans"/>
    <s v="Pakaian Pria"/>
    <s v="1"/>
    <s v="2"/>
    <n v="150000"/>
    <n v="70000"/>
    <n v="6"/>
    <n v="670000"/>
    <n v="310000"/>
    <s v="DISC15"/>
    <n v="0.15"/>
    <n v="100500"/>
    <n v="569500"/>
    <n v="360000"/>
    <n v="259500"/>
    <s v="Promo 4.4"/>
    <x v="0"/>
    <s v="SP"/>
    <x v="0"/>
    <x v="184"/>
  </r>
  <r>
    <n v="655"/>
    <s v="0655"/>
    <s v="ORD-SP-0655-16/07/24"/>
    <s v="[{item_code: PW001, quantity: 1, rating: 2}, {item_code: SP001, quantity: 2, rating: 1}]"/>
    <s v="PW001"/>
    <x v="2"/>
    <s v="Pakaian Wanita"/>
    <s v="1"/>
    <s v="2"/>
    <n v="150000"/>
    <n v="55000"/>
    <s v="SP001"/>
    <s v="Sneakers"/>
    <s v="Sepatu Pria"/>
    <s v="2"/>
    <s v="1"/>
    <n v="300000"/>
    <n v="100000"/>
    <s v="-"/>
    <s v="-"/>
    <s v="-"/>
    <n v="0"/>
    <s v="-"/>
    <n v="0"/>
    <n v="0"/>
    <n v="3"/>
    <n v="750000"/>
    <n v="255000"/>
    <s v="DISC15"/>
    <n v="0.15"/>
    <n v="112500"/>
    <n v="637500"/>
    <n v="495000"/>
    <n v="382500"/>
    <s v="Promo 4.4"/>
    <x v="0"/>
    <s v="SP"/>
    <x v="4"/>
    <x v="184"/>
  </r>
  <r>
    <n v="786"/>
    <s v="0786"/>
    <s v="ORD-BL-0786-16/07/24"/>
    <s v="[{item_code: PP002, quantity: 1, rating: 2}]"/>
    <s v="PP002"/>
    <x v="5"/>
    <s v="Pakaian Pria"/>
    <s v="1"/>
    <s v="2"/>
    <n v="60000"/>
    <n v="25000"/>
    <s v="-"/>
    <s v="-"/>
    <s v="-"/>
    <n v="0"/>
    <s v="-"/>
    <n v="0"/>
    <n v="0"/>
    <s v="-"/>
    <s v="-"/>
    <s v="-"/>
    <n v="0"/>
    <s v="-"/>
    <n v="0"/>
    <n v="0"/>
    <n v="1"/>
    <n v="60000"/>
    <n v="25000"/>
    <s v="-"/>
    <n v="0"/>
    <n v="0"/>
    <n v="60000"/>
    <n v="35000"/>
    <n v="35000"/>
    <s v="-"/>
    <x v="2"/>
    <s v="BL"/>
    <x v="2"/>
    <x v="184"/>
  </r>
  <r>
    <n v="269"/>
    <s v="0269"/>
    <s v="ORD-TK-0269-17/07/24"/>
    <s v="[{item_code: SP002, quantity: 4, rating: 2}, {item_code: PW002, quantity: 3, rating: 4}]"/>
    <s v="SP002"/>
    <x v="1"/>
    <s v="Sepatu Pria"/>
    <s v="4"/>
    <s v="2"/>
    <n v="120000"/>
    <n v="60000"/>
    <s v="PW002"/>
    <s v="Blouse"/>
    <s v="Pakaian Wanita"/>
    <s v="3"/>
    <s v="4"/>
    <n v="125000"/>
    <n v="50000"/>
    <s v="-"/>
    <s v="-"/>
    <s v="-"/>
    <n v="0"/>
    <s v="-"/>
    <n v="0"/>
    <n v="0"/>
    <n v="7"/>
    <n v="855000"/>
    <n v="390000"/>
    <s v="DISCAPRIL"/>
    <n v="0.1"/>
    <n v="85500"/>
    <n v="769500"/>
    <n v="465000"/>
    <n v="379500"/>
    <s v="Promo 4.4"/>
    <x v="1"/>
    <s v="TK"/>
    <x v="3"/>
    <x v="185"/>
  </r>
  <r>
    <n v="376"/>
    <s v="0376"/>
    <s v="ORD-BL-0376-17/07/24"/>
    <s v="[{item_code: SW001, quantity: 1, rating: 1}]"/>
    <s v="SW001"/>
    <x v="8"/>
    <s v="Sepatu Wanita"/>
    <s v="1"/>
    <s v="1"/>
    <n v="150000"/>
    <n v="70000"/>
    <s v="-"/>
    <s v="-"/>
    <s v="-"/>
    <n v="0"/>
    <s v="-"/>
    <n v="0"/>
    <n v="0"/>
    <s v="-"/>
    <s v="-"/>
    <s v="-"/>
    <n v="0"/>
    <s v="-"/>
    <n v="0"/>
    <n v="0"/>
    <n v="1"/>
    <n v="150000"/>
    <n v="70000"/>
    <s v="BUKALEBAR"/>
    <n v="0.15"/>
    <n v="22500"/>
    <n v="127500"/>
    <n v="80000"/>
    <n v="57500"/>
    <s v="Promo Lebaran"/>
    <x v="2"/>
    <s v="BL"/>
    <x v="3"/>
    <x v="185"/>
  </r>
  <r>
    <n v="394"/>
    <s v="0394"/>
    <s v="ORD-TK-0394-17/07/24"/>
    <s v="[{item_code: PP002, quantity: 1, rating: 2}, {item_code: SP001, quantity: 1, rating: 1}, {item_code: PU001, quantity: 1, rating: 2}]"/>
    <s v="PP002"/>
    <x v="5"/>
    <s v="Pakaian Pria"/>
    <s v="1"/>
    <s v="2"/>
    <n v="60000"/>
    <n v="25000"/>
    <s v="SP001"/>
    <s v="Sneakers"/>
    <s v="Sepatu Pria"/>
    <s v="1"/>
    <s v="1"/>
    <n v="300000"/>
    <n v="100000"/>
    <s v="PU001"/>
    <s v="Jaket Hoodie"/>
    <s v="Pakaian Unisex"/>
    <s v="1"/>
    <s v="2"/>
    <n v="160000"/>
    <n v="60000"/>
    <n v="3"/>
    <n v="520000"/>
    <n v="185000"/>
    <s v="DISCAPRIL"/>
    <n v="0.1"/>
    <n v="52000"/>
    <n v="468000"/>
    <n v="335000"/>
    <n v="283000"/>
    <s v="Promo 4.4"/>
    <x v="1"/>
    <s v="TK"/>
    <x v="5"/>
    <x v="185"/>
  </r>
  <r>
    <n v="694"/>
    <s v="0694"/>
    <s v="ORD-SP-0694-17/07/24"/>
    <s v="[{item_code: PW001, quantity: 3, rating: 4}]"/>
    <s v="PW001"/>
    <x v="2"/>
    <s v="Pakaian Wanita"/>
    <s v="3"/>
    <s v="4"/>
    <n v="150000"/>
    <n v="55000"/>
    <s v="-"/>
    <s v="-"/>
    <s v="-"/>
    <n v="0"/>
    <s v="-"/>
    <n v="0"/>
    <n v="0"/>
    <s v="-"/>
    <s v="-"/>
    <s v="-"/>
    <n v="0"/>
    <s v="-"/>
    <n v="0"/>
    <n v="0"/>
    <n v="3"/>
    <n v="450000"/>
    <n v="165000"/>
    <s v="DISC15"/>
    <n v="0.15"/>
    <n v="67500"/>
    <n v="382500"/>
    <n v="285000"/>
    <n v="217500"/>
    <s v="Promo 4.4"/>
    <x v="0"/>
    <s v="SP"/>
    <x v="4"/>
    <x v="185"/>
  </r>
  <r>
    <n v="833"/>
    <s v="0833"/>
    <s v="ORD-SP-0833-17/07/24"/>
    <s v="[{item_code: PW003, quantity: 4, rating: 3}, {item_code: PU001, quantity: 1, rating: 2}, {item_code: PW001, quantity: 2, rating: 5}]"/>
    <s v="PW003"/>
    <x v="3"/>
    <s v="Pakaian Wanita"/>
    <s v="4"/>
    <s v="3"/>
    <n v="200000"/>
    <n v="100000"/>
    <s v="PU001"/>
    <s v="Jaket Hoodie"/>
    <s v="Pakaian Unisex"/>
    <s v="1"/>
    <s v="2"/>
    <n v="160000"/>
    <n v="60000"/>
    <s v="PW001"/>
    <s v="Dress"/>
    <s v="Pakaian Wanita"/>
    <s v="2"/>
    <s v="5"/>
    <n v="150000"/>
    <n v="55000"/>
    <n v="7"/>
    <n v="1260000"/>
    <n v="570000"/>
    <s v="DISC15"/>
    <n v="0.15"/>
    <n v="189000"/>
    <n v="1071000"/>
    <n v="690000"/>
    <n v="501000"/>
    <s v="Promo 4.4"/>
    <x v="0"/>
    <s v="SP"/>
    <x v="4"/>
    <x v="185"/>
  </r>
  <r>
    <n v="835"/>
    <s v="0835"/>
    <s v="ORD-SP-0835-17/07/24"/>
    <s v="[{item_code: SP002, quantity: 1, rating: 5}]"/>
    <s v="SP002"/>
    <x v="1"/>
    <s v="Sepatu Pria"/>
    <s v="1"/>
    <s v="5"/>
    <n v="120000"/>
    <n v="60000"/>
    <s v="-"/>
    <s v="-"/>
    <s v="-"/>
    <n v="0"/>
    <s v="-"/>
    <n v="0"/>
    <n v="0"/>
    <s v="-"/>
    <s v="-"/>
    <s v="-"/>
    <n v="0"/>
    <s v="-"/>
    <n v="0"/>
    <n v="0"/>
    <n v="1"/>
    <n v="120000"/>
    <n v="60000"/>
    <s v="DISC10"/>
    <n v="0.1"/>
    <n v="12000"/>
    <n v="108000"/>
    <n v="60000"/>
    <n v="48000"/>
    <s v="Promo 4.4"/>
    <x v="0"/>
    <s v="SP"/>
    <x v="2"/>
    <x v="185"/>
  </r>
  <r>
    <n v="974"/>
    <s v="0974"/>
    <s v="ORD-SP-0974-17/07/24"/>
    <s v="[{item_code: SP002, quantity: 5, rating: 2}, {item_code: PU001, quantity: 1, rating: 1}, {item_code: SW001, quantity: 1, rating: 3}]"/>
    <s v="SP002"/>
    <x v="1"/>
    <s v="Sepatu Pria"/>
    <s v="5"/>
    <s v="2"/>
    <n v="120000"/>
    <n v="60000"/>
    <s v="PU001"/>
    <s v="Jaket Hoodie"/>
    <s v="Pakaian Unisex"/>
    <s v="1"/>
    <s v="1"/>
    <n v="160000"/>
    <n v="60000"/>
    <s v="SW001"/>
    <s v="Flat Shoes"/>
    <s v="Sepatu Wanita"/>
    <s v="1"/>
    <s v="3"/>
    <n v="150000"/>
    <n v="70000"/>
    <n v="7"/>
    <n v="910000"/>
    <n v="430000"/>
    <s v="DISC10"/>
    <n v="0.1"/>
    <n v="91000"/>
    <n v="819000"/>
    <n v="480000"/>
    <n v="389000"/>
    <s v="Promo 4.4"/>
    <x v="0"/>
    <s v="SP"/>
    <x v="1"/>
    <x v="185"/>
  </r>
  <r>
    <n v="105"/>
    <s v="0105"/>
    <s v="ORD-SP-0105-18/07/24"/>
    <s v="[{item_code: SP001, quantity: 3, rating: 5}]"/>
    <s v="SP001"/>
    <x v="9"/>
    <s v="Sepatu Pria"/>
    <s v="3"/>
    <s v="5"/>
    <n v="300000"/>
    <n v="100000"/>
    <s v="-"/>
    <s v="-"/>
    <s v="-"/>
    <n v="0"/>
    <s v="-"/>
    <n v="0"/>
    <n v="0"/>
    <s v="-"/>
    <s v="-"/>
    <s v="-"/>
    <n v="0"/>
    <s v="-"/>
    <n v="0"/>
    <n v="0"/>
    <n v="3"/>
    <n v="900000"/>
    <n v="300000"/>
    <s v="-"/>
    <n v="0"/>
    <n v="0"/>
    <n v="900000"/>
    <n v="600000"/>
    <n v="600000"/>
    <s v="-"/>
    <x v="0"/>
    <s v="SP"/>
    <x v="4"/>
    <x v="186"/>
  </r>
  <r>
    <n v="167"/>
    <s v="0167"/>
    <s v="ORD-BB-0167-18/07/24"/>
    <s v="[{item_code: PP003, quantity: 5, rating: 2}, {item_code: SP002, quantity: 2, rating: 4}]"/>
    <s v="PP003"/>
    <x v="6"/>
    <s v="Pakaian Pria"/>
    <s v="5"/>
    <s v="2"/>
    <n v="150000"/>
    <n v="70000"/>
    <s v="SP002"/>
    <s v="Sandal Slip On"/>
    <s v="Sepatu Pria"/>
    <s v="2"/>
    <s v="4"/>
    <n v="120000"/>
    <n v="60000"/>
    <s v="-"/>
    <s v="-"/>
    <s v="-"/>
    <n v="0"/>
    <s v="-"/>
    <n v="0"/>
    <n v="0"/>
    <n v="7"/>
    <n v="990000"/>
    <n v="470000"/>
    <s v="-"/>
    <n v="0"/>
    <n v="0"/>
    <n v="990000"/>
    <n v="520000"/>
    <n v="520000"/>
    <s v="-"/>
    <x v="3"/>
    <s v="BB"/>
    <x v="3"/>
    <x v="186"/>
  </r>
  <r>
    <n v="197"/>
    <s v="0197"/>
    <s v="ORD-SP-0197-18/07/24"/>
    <s v="[{item_code: SP002, quantity: 4, rating: 2}, {item_code: PW003, quantity: 1, rating: 5}, {item_code: SP001, quantity: 1, rating: 5}]"/>
    <s v="SP002"/>
    <x v="1"/>
    <s v="Sepatu Pria"/>
    <s v="4"/>
    <s v="2"/>
    <n v="120000"/>
    <n v="60000"/>
    <s v="PW003"/>
    <s v="Kaftan"/>
    <s v="Pakaian Wanita"/>
    <s v="1"/>
    <s v="5"/>
    <n v="200000"/>
    <n v="100000"/>
    <s v="SP001"/>
    <s v="Sneakers"/>
    <s v="Sepatu Pria"/>
    <s v="1"/>
    <s v="5"/>
    <n v="300000"/>
    <n v="100000"/>
    <n v="6"/>
    <n v="980000"/>
    <n v="440000"/>
    <s v="DISC15"/>
    <n v="0.15"/>
    <n v="147000"/>
    <n v="833000"/>
    <n v="540000"/>
    <n v="393000"/>
    <s v="Promo 4.4"/>
    <x v="0"/>
    <s v="SP"/>
    <x v="1"/>
    <x v="186"/>
  </r>
  <r>
    <n v="500"/>
    <s v="0500"/>
    <s v="ORD-SP-0500-18/07/24"/>
    <s v="[{item_code: SP002, quantity: 2, rating: 5}]"/>
    <s v="SP002"/>
    <x v="1"/>
    <s v="Sepatu Pria"/>
    <s v="2"/>
    <s v="5"/>
    <n v="120000"/>
    <n v="60000"/>
    <s v="-"/>
    <s v="-"/>
    <s v="-"/>
    <n v="0"/>
    <s v="-"/>
    <n v="0"/>
    <n v="0"/>
    <s v="-"/>
    <s v="-"/>
    <s v="-"/>
    <n v="0"/>
    <s v="-"/>
    <n v="0"/>
    <n v="0"/>
    <n v="2"/>
    <n v="240000"/>
    <n v="120000"/>
    <s v="DISC20"/>
    <n v="0.2"/>
    <n v="48000"/>
    <n v="192000"/>
    <n v="120000"/>
    <n v="72000"/>
    <s v="Promo Lebaran"/>
    <x v="0"/>
    <s v="SP"/>
    <x v="3"/>
    <x v="186"/>
  </r>
  <r>
    <n v="725"/>
    <s v="0725"/>
    <s v="ORD-SP-0725-18/07/24"/>
    <s v="[{item_code: PP002, quantity: 1, rating: 1}, {item_code: PP001, quantity: 2, rating: 5}, {item_code: PW003, quantity: 3, rating: 5}]"/>
    <s v="PP002"/>
    <x v="5"/>
    <s v="Pakaian Pria"/>
    <s v="1"/>
    <s v="1"/>
    <n v="60000"/>
    <n v="25000"/>
    <s v="PP001"/>
    <s v="Kaos Polo"/>
    <s v="Pakaian Pria"/>
    <s v="2"/>
    <s v="5"/>
    <n v="80000"/>
    <n v="30000"/>
    <s v="PW003"/>
    <s v="Kaftan"/>
    <s v="Pakaian Wanita"/>
    <s v="3"/>
    <s v="5"/>
    <n v="200000"/>
    <n v="100000"/>
    <n v="6"/>
    <n v="820000"/>
    <n v="385000"/>
    <s v="-"/>
    <n v="0"/>
    <n v="0"/>
    <n v="820000"/>
    <n v="435000"/>
    <n v="435000"/>
    <s v="-"/>
    <x v="0"/>
    <s v="SP"/>
    <x v="0"/>
    <x v="186"/>
  </r>
  <r>
    <n v="761"/>
    <s v="0761"/>
    <s v="ORD-BB-0761-18/07/24"/>
    <s v="[{item_code: SW001, quantity: 1, rating: 5}, {item_code: SP001, quantity: 1, rating: 3}]"/>
    <s v="SW001"/>
    <x v="8"/>
    <s v="Sepatu Wanita"/>
    <s v="1"/>
    <s v="5"/>
    <n v="150000"/>
    <n v="70000"/>
    <s v="SP001"/>
    <s v="Sneakers"/>
    <s v="Sepatu Pria"/>
    <s v="1"/>
    <s v="3"/>
    <n v="300000"/>
    <n v="100000"/>
    <s v="-"/>
    <s v="-"/>
    <s v="-"/>
    <n v="0"/>
    <s v="-"/>
    <n v="0"/>
    <n v="0"/>
    <n v="2"/>
    <n v="450000"/>
    <n v="170000"/>
    <s v="BELI44"/>
    <n v="0.15"/>
    <n v="67500"/>
    <n v="382500"/>
    <n v="280000"/>
    <n v="212500"/>
    <s v="Promo 4.4"/>
    <x v="3"/>
    <s v="BB"/>
    <x v="5"/>
    <x v="186"/>
  </r>
  <r>
    <n v="932"/>
    <s v="0932"/>
    <s v="ORD-SP-0932-18/07/24"/>
    <s v="[{item_code: PP002, quantity: 3, rating: 2}]"/>
    <s v="PP002"/>
    <x v="5"/>
    <s v="Pakaian Pria"/>
    <s v="3"/>
    <s v="2"/>
    <n v="60000"/>
    <n v="25000"/>
    <s v="-"/>
    <s v="-"/>
    <s v="-"/>
    <n v="0"/>
    <s v="-"/>
    <n v="0"/>
    <n v="0"/>
    <s v="-"/>
    <s v="-"/>
    <s v="-"/>
    <n v="0"/>
    <s v="-"/>
    <n v="0"/>
    <n v="0"/>
    <n v="3"/>
    <n v="180000"/>
    <n v="75000"/>
    <s v="DISC20"/>
    <n v="0.2"/>
    <n v="36000"/>
    <n v="144000"/>
    <n v="105000"/>
    <n v="69000"/>
    <s v="Promo Lebaran"/>
    <x v="0"/>
    <s v="SP"/>
    <x v="3"/>
    <x v="186"/>
  </r>
  <r>
    <n v="364"/>
    <s v="0364"/>
    <s v="ORD-SP-0364-19/07/24"/>
    <s v="[{item_code: PP001, quantity: 3, rating: 4}]"/>
    <s v="PP001"/>
    <x v="0"/>
    <s v="Pakaian Pria"/>
    <s v="3"/>
    <s v="4"/>
    <n v="80000"/>
    <n v="30000"/>
    <s v="-"/>
    <s v="-"/>
    <s v="-"/>
    <n v="0"/>
    <s v="-"/>
    <n v="0"/>
    <n v="0"/>
    <s v="-"/>
    <s v="-"/>
    <s v="-"/>
    <n v="0"/>
    <s v="-"/>
    <n v="0"/>
    <n v="0"/>
    <n v="3"/>
    <n v="240000"/>
    <n v="90000"/>
    <s v="DISC20"/>
    <n v="0.2"/>
    <n v="48000"/>
    <n v="192000"/>
    <n v="150000"/>
    <n v="102000"/>
    <s v="Promo Lebaran"/>
    <x v="0"/>
    <s v="SP"/>
    <x v="1"/>
    <x v="187"/>
  </r>
  <r>
    <n v="907"/>
    <s v="0907"/>
    <s v="ORD-BL-0907-19/07/24"/>
    <s v="[{item_code: SP001, quantity: 1, rating: 2}]"/>
    <s v="SP001"/>
    <x v="9"/>
    <s v="Sepatu Pria"/>
    <s v="1"/>
    <s v="2"/>
    <n v="300000"/>
    <n v="100000"/>
    <s v="-"/>
    <s v="-"/>
    <s v="-"/>
    <n v="0"/>
    <s v="-"/>
    <n v="0"/>
    <n v="0"/>
    <s v="-"/>
    <s v="-"/>
    <s v="-"/>
    <n v="0"/>
    <s v="-"/>
    <n v="0"/>
    <n v="0"/>
    <n v="1"/>
    <n v="300000"/>
    <n v="100000"/>
    <s v="BUKALEBAR"/>
    <n v="0.15"/>
    <n v="45000"/>
    <n v="255000"/>
    <n v="200000"/>
    <n v="155000"/>
    <s v="Promo Lebaran"/>
    <x v="2"/>
    <s v="BL"/>
    <x v="4"/>
    <x v="187"/>
  </r>
  <r>
    <n v="59"/>
    <s v="0059"/>
    <s v="ORD-SP-0059-20/07/24"/>
    <s v="[{item_code: SP002, quantity: 5, rating: 5}, {item_code: SW001, quantity: 1, rating: 4}]"/>
    <s v="SP002"/>
    <x v="1"/>
    <s v="Sepatu Pria"/>
    <s v="5"/>
    <s v="5"/>
    <n v="120000"/>
    <n v="60000"/>
    <s v="SW001"/>
    <s v="Flat Shoes"/>
    <s v="Sepatu Wanita"/>
    <s v="1"/>
    <s v="4"/>
    <n v="150000"/>
    <n v="70000"/>
    <s v="-"/>
    <s v="-"/>
    <s v="-"/>
    <n v="0"/>
    <s v="-"/>
    <n v="0"/>
    <n v="0"/>
    <n v="6"/>
    <n v="750000"/>
    <n v="370000"/>
    <s v="DISC15"/>
    <n v="0.15"/>
    <n v="112500"/>
    <n v="637500"/>
    <n v="380000"/>
    <n v="267500"/>
    <s v="Promo 4.4"/>
    <x v="0"/>
    <s v="SP"/>
    <x v="3"/>
    <x v="188"/>
  </r>
  <r>
    <n v="602"/>
    <s v="0602"/>
    <s v="ORD-SP-0602-20/07/24"/>
    <s v="[{item_code: PP003, quantity: 5, rating: 3}, {item_code: SW001, quantity: 1, rating: 3}]"/>
    <s v="PP003"/>
    <x v="6"/>
    <s v="Pakaian Pria"/>
    <s v="5"/>
    <s v="3"/>
    <n v="150000"/>
    <n v="70000"/>
    <s v="SW001"/>
    <s v="Flat Shoes"/>
    <s v="Sepatu Wanita"/>
    <s v="1"/>
    <s v="3"/>
    <n v="150000"/>
    <n v="70000"/>
    <s v="-"/>
    <s v="-"/>
    <s v="-"/>
    <n v="0"/>
    <s v="-"/>
    <n v="0"/>
    <n v="0"/>
    <n v="6"/>
    <n v="900000"/>
    <n v="420000"/>
    <s v="-"/>
    <n v="0"/>
    <n v="0"/>
    <n v="900000"/>
    <n v="480000"/>
    <n v="480000"/>
    <s v="-"/>
    <x v="0"/>
    <s v="SP"/>
    <x v="0"/>
    <x v="188"/>
  </r>
  <r>
    <n v="724"/>
    <s v="0724"/>
    <s v="ORD-SP-0724-20/07/24"/>
    <s v="[{item_code: PP003, quantity: 4, rating: 3}, {item_code: SP002, quantity: 1, rating: 4}]"/>
    <s v="PP003"/>
    <x v="6"/>
    <s v="Pakaian Pria"/>
    <s v="4"/>
    <s v="3"/>
    <n v="150000"/>
    <n v="70000"/>
    <s v="SP002"/>
    <s v="Sandal Slip On"/>
    <s v="Sepatu Pria"/>
    <s v="1"/>
    <s v="4"/>
    <n v="120000"/>
    <n v="60000"/>
    <s v="-"/>
    <s v="-"/>
    <s v="-"/>
    <n v="0"/>
    <s v="-"/>
    <n v="0"/>
    <n v="0"/>
    <n v="5"/>
    <n v="720000"/>
    <n v="340000"/>
    <s v="DISC20"/>
    <n v="0.2"/>
    <n v="144000"/>
    <n v="576000"/>
    <n v="380000"/>
    <n v="236000"/>
    <s v="Promo Lebaran"/>
    <x v="0"/>
    <s v="SP"/>
    <x v="1"/>
    <x v="188"/>
  </r>
  <r>
    <n v="726"/>
    <s v="0726"/>
    <s v="ORD-BL-0726-20/07/24"/>
    <s v="[{item_code: PU001, quantity: 1, rating: 1}]"/>
    <s v="PU001"/>
    <x v="7"/>
    <s v="Pakaian Unisex"/>
    <s v="1"/>
    <s v="1"/>
    <n v="160000"/>
    <n v="60000"/>
    <s v="-"/>
    <s v="-"/>
    <s v="-"/>
    <n v="0"/>
    <s v="-"/>
    <n v="0"/>
    <n v="0"/>
    <s v="-"/>
    <s v="-"/>
    <s v="-"/>
    <n v="0"/>
    <s v="-"/>
    <n v="0"/>
    <n v="0"/>
    <n v="1"/>
    <n v="160000"/>
    <n v="60000"/>
    <s v="BUKALEBAR"/>
    <n v="0.15"/>
    <n v="24000"/>
    <n v="136000"/>
    <n v="100000"/>
    <n v="76000"/>
    <s v="Promo Lebaran"/>
    <x v="2"/>
    <s v="BL"/>
    <x v="3"/>
    <x v="188"/>
  </r>
  <r>
    <n v="8"/>
    <s v="0008"/>
    <s v="ORD-BL-0008-21/07/24"/>
    <s v="[{item_code: SP001, quantity: 4, rating: 1}, {item_code: PP002, quantity: 1, rating: 3}]"/>
    <s v="SP001"/>
    <x v="9"/>
    <s v="Sepatu Pria"/>
    <s v="4"/>
    <s v="1"/>
    <n v="300000"/>
    <n v="100000"/>
    <s v="PP002"/>
    <s v="Celana Pendek"/>
    <s v="Pakaian Pria"/>
    <s v="1"/>
    <s v="3"/>
    <n v="60000"/>
    <n v="25000"/>
    <s v="-"/>
    <s v="-"/>
    <s v="-"/>
    <n v="0"/>
    <s v="-"/>
    <n v="0"/>
    <n v="0"/>
    <n v="5"/>
    <n v="1260000"/>
    <n v="425000"/>
    <s v="BUKALEBAR"/>
    <n v="0.15"/>
    <n v="189000"/>
    <n v="1071000"/>
    <n v="835000"/>
    <n v="646000"/>
    <s v="Promo Lebaran"/>
    <x v="2"/>
    <s v="BL"/>
    <x v="4"/>
    <x v="189"/>
  </r>
  <r>
    <n v="19"/>
    <s v="0019"/>
    <s v="ORD-SP-0019-21/07/24"/>
    <s v="[{item_code: SP002, quantity: 1, rating: 4}, {item_code: SW001, quantity: 2, rating: 2}, {item_code: PP001, quantity: 1, rating: 4}]"/>
    <s v="SP002"/>
    <x v="1"/>
    <s v="Sepatu Pria"/>
    <s v="1"/>
    <s v="4"/>
    <n v="120000"/>
    <n v="60000"/>
    <s v="SW001"/>
    <s v="Flat Shoes"/>
    <s v="Sepatu Wanita"/>
    <s v="2"/>
    <s v="2"/>
    <n v="150000"/>
    <n v="70000"/>
    <s v="PP001"/>
    <s v="Kaos Polo"/>
    <s v="Pakaian Pria"/>
    <s v="1"/>
    <s v="4"/>
    <n v="80000"/>
    <n v="30000"/>
    <n v="4"/>
    <n v="500000"/>
    <n v="230000"/>
    <s v="DISC10"/>
    <n v="0.1"/>
    <n v="50000"/>
    <n v="450000"/>
    <n v="270000"/>
    <n v="220000"/>
    <s v="Promo 4.4"/>
    <x v="0"/>
    <s v="SP"/>
    <x v="5"/>
    <x v="189"/>
  </r>
  <r>
    <n v="730"/>
    <s v="0730"/>
    <s v="ORD-SP-0730-21/07/24"/>
    <s v="[{item_code: PP003, quantity: 5, rating: 2}, {item_code: SP002, quantity: 1, rating: 4}]"/>
    <s v="PP003"/>
    <x v="6"/>
    <s v="Pakaian Pria"/>
    <s v="5"/>
    <s v="2"/>
    <n v="150000"/>
    <n v="70000"/>
    <s v="SP002"/>
    <s v="Sandal Slip On"/>
    <s v="Sepatu Pria"/>
    <s v="1"/>
    <s v="4"/>
    <n v="120000"/>
    <n v="60000"/>
    <s v="-"/>
    <s v="-"/>
    <s v="-"/>
    <n v="0"/>
    <s v="-"/>
    <n v="0"/>
    <n v="0"/>
    <n v="6"/>
    <n v="870000"/>
    <n v="410000"/>
    <s v="DISC20"/>
    <n v="0.2"/>
    <n v="174000"/>
    <n v="696000"/>
    <n v="460000"/>
    <n v="286000"/>
    <s v="Promo Lebaran"/>
    <x v="0"/>
    <s v="SP"/>
    <x v="3"/>
    <x v="189"/>
  </r>
  <r>
    <n v="917"/>
    <s v="0917"/>
    <s v="ORD-BB-0917-21/07/24"/>
    <s v="[{item_code: SP001, quantity: 5, rating: 3}, {item_code: PP003, quantity: 1, rating: 1}, {item_code: SW001, quantity: 1, rating: 3}]"/>
    <s v="SP001"/>
    <x v="9"/>
    <s v="Sepatu Pria"/>
    <s v="5"/>
    <s v="3"/>
    <n v="300000"/>
    <n v="100000"/>
    <s v="PP003"/>
    <s v="Jaket Jeans"/>
    <s v="Pakaian Pria"/>
    <s v="1"/>
    <s v="1"/>
    <n v="150000"/>
    <n v="70000"/>
    <s v="SW001"/>
    <s v="Flat Shoes"/>
    <s v="Sepatu Wanita"/>
    <s v="1"/>
    <s v="3"/>
    <n v="150000"/>
    <n v="70000"/>
    <n v="7"/>
    <n v="1800000"/>
    <n v="640000"/>
    <s v="BELI44"/>
    <n v="0.15"/>
    <n v="270000"/>
    <n v="1530000"/>
    <n v="1160000"/>
    <n v="890000"/>
    <s v="Promo 4.4"/>
    <x v="3"/>
    <s v="BB"/>
    <x v="3"/>
    <x v="189"/>
  </r>
  <r>
    <n v="65"/>
    <s v="0065"/>
    <s v="ORD-SP-0065-22/07/24"/>
    <s v="[{item_code: PW001, quantity: 1, rating: 5}]"/>
    <s v="PW001"/>
    <x v="2"/>
    <s v="Pakaian Wanita"/>
    <s v="1"/>
    <s v="5"/>
    <n v="150000"/>
    <n v="55000"/>
    <s v="-"/>
    <s v="-"/>
    <s v="-"/>
    <n v="0"/>
    <s v="-"/>
    <n v="0"/>
    <n v="0"/>
    <s v="-"/>
    <s v="-"/>
    <s v="-"/>
    <n v="0"/>
    <s v="-"/>
    <n v="0"/>
    <n v="0"/>
    <n v="1"/>
    <n v="150000"/>
    <n v="55000"/>
    <s v="DISC20"/>
    <n v="0.2"/>
    <n v="30000"/>
    <n v="120000"/>
    <n v="95000"/>
    <n v="65000"/>
    <s v="Promo Lebaran"/>
    <x v="0"/>
    <s v="SP"/>
    <x v="2"/>
    <x v="190"/>
  </r>
  <r>
    <n v="286"/>
    <s v="0286"/>
    <s v="ORD-SP-0286-22/07/24"/>
    <s v="[{item_code: PW001, quantity: 2, rating: 4}]"/>
    <s v="PW001"/>
    <x v="2"/>
    <s v="Pakaian Wanita"/>
    <s v="2"/>
    <s v="4"/>
    <n v="150000"/>
    <n v="55000"/>
    <s v="-"/>
    <s v="-"/>
    <s v="-"/>
    <n v="0"/>
    <s v="-"/>
    <n v="0"/>
    <n v="0"/>
    <s v="-"/>
    <s v="-"/>
    <s v="-"/>
    <n v="0"/>
    <s v="-"/>
    <n v="0"/>
    <n v="0"/>
    <n v="2"/>
    <n v="300000"/>
    <n v="110000"/>
    <s v="DISC15"/>
    <n v="0.15"/>
    <n v="45000"/>
    <n v="255000"/>
    <n v="190000"/>
    <n v="145000"/>
    <s v="Promo 4.4"/>
    <x v="0"/>
    <s v="SP"/>
    <x v="2"/>
    <x v="190"/>
  </r>
  <r>
    <n v="927"/>
    <s v="0927"/>
    <s v="ORD-BB-0927-22/07/24"/>
    <s v="[{item_code: SW001, quantity: 6, rating: 1}, {item_code: PW002, quantity: 1, rating: 2}]"/>
    <s v="SW001"/>
    <x v="8"/>
    <s v="Sepatu Wanita"/>
    <s v="6"/>
    <s v="1"/>
    <n v="150000"/>
    <n v="70000"/>
    <s v="PW002"/>
    <s v="Blouse"/>
    <s v="Pakaian Wanita"/>
    <s v="1"/>
    <s v="2"/>
    <n v="125000"/>
    <n v="50000"/>
    <s v="-"/>
    <s v="-"/>
    <s v="-"/>
    <n v="0"/>
    <s v="-"/>
    <n v="0"/>
    <n v="0"/>
    <n v="7"/>
    <n v="1025000"/>
    <n v="470000"/>
    <s v="BELI44"/>
    <n v="0.15"/>
    <n v="153750"/>
    <n v="871250"/>
    <n v="555000"/>
    <n v="401250"/>
    <s v="Promo 4.4"/>
    <x v="3"/>
    <s v="BB"/>
    <x v="0"/>
    <x v="190"/>
  </r>
  <r>
    <n v="296"/>
    <s v="0296"/>
    <s v="ORD-BB-0296-23/07/24"/>
    <s v="[{item_code: PP002, quantity: 3, rating: 5}, {item_code: PP001, quantity: 1, rating: 3}]"/>
    <s v="PP002"/>
    <x v="5"/>
    <s v="Pakaian Pria"/>
    <s v="3"/>
    <s v="5"/>
    <n v="60000"/>
    <n v="25000"/>
    <s v="PP001"/>
    <s v="Kaos Polo"/>
    <s v="Pakaian Pria"/>
    <s v="1"/>
    <s v="3"/>
    <n v="80000"/>
    <n v="30000"/>
    <s v="-"/>
    <s v="-"/>
    <s v="-"/>
    <n v="0"/>
    <s v="-"/>
    <n v="0"/>
    <n v="0"/>
    <n v="4"/>
    <n v="260000"/>
    <n v="105000"/>
    <s v="BELI44"/>
    <n v="0.15"/>
    <n v="39000"/>
    <n v="221000"/>
    <n v="155000"/>
    <n v="116000"/>
    <s v="Promo 4.4"/>
    <x v="3"/>
    <s v="BB"/>
    <x v="3"/>
    <x v="191"/>
  </r>
  <r>
    <n v="463"/>
    <s v="0463"/>
    <s v="ORD-TK-0463-23/07/24"/>
    <s v="[{item_code: SW001, quantity: 4, rating: 2}, {item_code: PW003, quantity: 3, rating: 1}]"/>
    <s v="SW001"/>
    <x v="8"/>
    <s v="Sepatu Wanita"/>
    <s v="4"/>
    <s v="2"/>
    <n v="150000"/>
    <n v="70000"/>
    <s v="PW003"/>
    <s v="Kaftan"/>
    <s v="Pakaian Wanita"/>
    <s v="3"/>
    <s v="1"/>
    <n v="200000"/>
    <n v="100000"/>
    <s v="-"/>
    <s v="-"/>
    <s v="-"/>
    <n v="0"/>
    <s v="-"/>
    <n v="0"/>
    <n v="0"/>
    <n v="7"/>
    <n v="1200000"/>
    <n v="580000"/>
    <s v="LEBAR10"/>
    <n v="0.1"/>
    <n v="120000"/>
    <n v="1080000"/>
    <n v="620000"/>
    <n v="500000"/>
    <s v="Promo Lebaran"/>
    <x v="1"/>
    <s v="TK"/>
    <x v="3"/>
    <x v="191"/>
  </r>
  <r>
    <n v="473"/>
    <s v="0473"/>
    <s v="ORD-SP-0473-23/07/24"/>
    <s v="[{item_code: PW001, quantity: 2, rating: 3}]"/>
    <s v="PW001"/>
    <x v="2"/>
    <s v="Pakaian Wanita"/>
    <s v="2"/>
    <s v="3"/>
    <n v="150000"/>
    <n v="55000"/>
    <s v="-"/>
    <s v="-"/>
    <s v="-"/>
    <n v="0"/>
    <s v="-"/>
    <n v="0"/>
    <n v="0"/>
    <s v="-"/>
    <s v="-"/>
    <s v="-"/>
    <n v="0"/>
    <s v="-"/>
    <n v="0"/>
    <n v="0"/>
    <n v="2"/>
    <n v="300000"/>
    <n v="110000"/>
    <s v="DISC20"/>
    <n v="0.2"/>
    <n v="60000"/>
    <n v="240000"/>
    <n v="190000"/>
    <n v="130000"/>
    <s v="Promo Lebaran"/>
    <x v="0"/>
    <s v="SP"/>
    <x v="3"/>
    <x v="191"/>
  </r>
  <r>
    <n v="618"/>
    <s v="0618"/>
    <s v="ORD-BL-0618-23/07/24"/>
    <s v="[{item_code: SP002, quantity: 1, rating: 5}, {item_code: PP003, quantity: 1, rating: 2}, {item_code: PW001, quantity: 4, rating: 5}]"/>
    <s v="SP002"/>
    <x v="1"/>
    <s v="Sepatu Pria"/>
    <s v="1"/>
    <s v="5"/>
    <n v="120000"/>
    <n v="60000"/>
    <s v="PP003"/>
    <s v="Jaket Jeans"/>
    <s v="Pakaian Pria"/>
    <s v="1"/>
    <s v="2"/>
    <n v="150000"/>
    <n v="70000"/>
    <s v="PW001"/>
    <s v="Dress"/>
    <s v="Pakaian Wanita"/>
    <s v="4"/>
    <s v="5"/>
    <n v="150000"/>
    <n v="55000"/>
    <n v="6"/>
    <n v="870000"/>
    <n v="350000"/>
    <s v="-"/>
    <n v="0"/>
    <n v="0"/>
    <n v="870000"/>
    <n v="520000"/>
    <n v="520000"/>
    <s v="-"/>
    <x v="2"/>
    <s v="BL"/>
    <x v="3"/>
    <x v="191"/>
  </r>
  <r>
    <n v="721"/>
    <s v="0721"/>
    <s v="ORD-TK-0721-23/07/24"/>
    <s v="[{item_code: SW001, quantity: 1, rating: 1}]"/>
    <s v="SW001"/>
    <x v="8"/>
    <s v="Sepatu Wanita"/>
    <s v="1"/>
    <s v="1"/>
    <n v="150000"/>
    <n v="70000"/>
    <s v="-"/>
    <s v="-"/>
    <s v="-"/>
    <n v="0"/>
    <s v="-"/>
    <n v="0"/>
    <n v="0"/>
    <s v="-"/>
    <s v="-"/>
    <s v="-"/>
    <n v="0"/>
    <s v="-"/>
    <n v="0"/>
    <n v="0"/>
    <n v="1"/>
    <n v="150000"/>
    <n v="70000"/>
    <s v="DISCAPRIL"/>
    <n v="0.1"/>
    <n v="15000"/>
    <n v="135000"/>
    <n v="80000"/>
    <n v="65000"/>
    <s v="Promo 4.4"/>
    <x v="1"/>
    <s v="TK"/>
    <x v="3"/>
    <x v="191"/>
  </r>
  <r>
    <n v="864"/>
    <s v="0864"/>
    <s v="ORD-SP-0864-23/07/24"/>
    <s v="[{item_code: PP002, quantity: 2, rating: 4}]"/>
    <s v="PP002"/>
    <x v="5"/>
    <s v="Pakaian Pria"/>
    <s v="2"/>
    <s v="4"/>
    <n v="60000"/>
    <n v="25000"/>
    <s v="-"/>
    <s v="-"/>
    <s v="-"/>
    <n v="0"/>
    <s v="-"/>
    <n v="0"/>
    <n v="0"/>
    <s v="-"/>
    <s v="-"/>
    <s v="-"/>
    <n v="0"/>
    <s v="-"/>
    <n v="0"/>
    <n v="0"/>
    <n v="2"/>
    <n v="120000"/>
    <n v="50000"/>
    <s v="DISC20"/>
    <n v="0.2"/>
    <n v="24000"/>
    <n v="96000"/>
    <n v="70000"/>
    <n v="46000"/>
    <s v="Promo Lebaran"/>
    <x v="0"/>
    <s v="SP"/>
    <x v="3"/>
    <x v="191"/>
  </r>
  <r>
    <n v="554"/>
    <s v="0554"/>
    <s v="ORD-SP-0554-24/07/24"/>
    <s v="[{item_code: PP003, quantity: 2, rating: 1}, {item_code: PU001, quantity: 4, rating: 4}]"/>
    <s v="PP003"/>
    <x v="6"/>
    <s v="Pakaian Pria"/>
    <s v="2"/>
    <s v="1"/>
    <n v="150000"/>
    <n v="70000"/>
    <s v="PU001"/>
    <s v="Jaket Hoodie"/>
    <s v="Pakaian Unisex"/>
    <s v="4"/>
    <s v="4"/>
    <n v="160000"/>
    <n v="60000"/>
    <s v="-"/>
    <s v="-"/>
    <s v="-"/>
    <n v="0"/>
    <s v="-"/>
    <n v="0"/>
    <n v="0"/>
    <n v="6"/>
    <n v="940000"/>
    <n v="380000"/>
    <s v="DISC15"/>
    <n v="0.15"/>
    <n v="141000"/>
    <n v="799000"/>
    <n v="560000"/>
    <n v="419000"/>
    <s v="Promo 4.4"/>
    <x v="0"/>
    <s v="SP"/>
    <x v="3"/>
    <x v="192"/>
  </r>
  <r>
    <n v="997"/>
    <s v="0997"/>
    <s v="ORD-TK-0997-24/07/24"/>
    <s v="[{item_code: PP002, quantity: 5, rating: 4}]"/>
    <s v="PP002"/>
    <x v="5"/>
    <s v="Pakaian Pria"/>
    <s v="5"/>
    <s v="4"/>
    <n v="60000"/>
    <n v="25000"/>
    <s v="-"/>
    <s v="-"/>
    <s v="-"/>
    <n v="0"/>
    <s v="-"/>
    <n v="0"/>
    <n v="0"/>
    <s v="-"/>
    <s v="-"/>
    <s v="-"/>
    <n v="0"/>
    <s v="-"/>
    <n v="0"/>
    <n v="0"/>
    <n v="5"/>
    <n v="300000"/>
    <n v="125000"/>
    <s v="LEBAR10"/>
    <n v="0.1"/>
    <n v="30000"/>
    <n v="270000"/>
    <n v="175000"/>
    <n v="145000"/>
    <s v="Promo Lebaran"/>
    <x v="1"/>
    <s v="TK"/>
    <x v="1"/>
    <x v="192"/>
  </r>
  <r>
    <n v="6"/>
    <s v="0006"/>
    <s v="ORD-TK-0006-25/07/24"/>
    <s v="[{item_code: PP003, quantity: 2, rating: 4}, {item_code: PP002, quantity: 2, rating: 3}, {item_code: PU001, quantity: 1, rating: 5}]"/>
    <s v="PP003"/>
    <x v="6"/>
    <s v="Pakaian Pria"/>
    <s v="2"/>
    <s v="4"/>
    <n v="150000"/>
    <n v="70000"/>
    <s v="PP002"/>
    <s v="Celana Pendek"/>
    <s v="Pakaian Pria"/>
    <s v="2"/>
    <s v="3"/>
    <n v="60000"/>
    <n v="25000"/>
    <s v="PU001"/>
    <s v="Jaket Hoodie"/>
    <s v="Pakaian Unisex"/>
    <s v="1"/>
    <s v="5"/>
    <n v="160000"/>
    <n v="60000"/>
    <n v="5"/>
    <n v="580000"/>
    <n v="250000"/>
    <s v="LEBAR10"/>
    <n v="0.1"/>
    <n v="58000"/>
    <n v="522000"/>
    <n v="330000"/>
    <n v="272000"/>
    <s v="Promo Lebaran"/>
    <x v="1"/>
    <s v="TK"/>
    <x v="3"/>
    <x v="193"/>
  </r>
  <r>
    <n v="704"/>
    <s v="0704"/>
    <s v="ORD-TK-0704-26/07/24"/>
    <s v="[{item_code: PW001, quantity: 4, rating: 2}, {item_code: SP001, quantity: 3, rating: 2}]"/>
    <s v="PW001"/>
    <x v="2"/>
    <s v="Pakaian Wanita"/>
    <s v="4"/>
    <s v="2"/>
    <n v="150000"/>
    <n v="55000"/>
    <s v="SP001"/>
    <s v="Sneakers"/>
    <s v="Sepatu Pria"/>
    <s v="3"/>
    <s v="2"/>
    <n v="300000"/>
    <n v="100000"/>
    <s v="-"/>
    <s v="-"/>
    <s v="-"/>
    <n v="0"/>
    <s v="-"/>
    <n v="0"/>
    <n v="0"/>
    <n v="7"/>
    <n v="1500000"/>
    <n v="520000"/>
    <s v="DISCAPRIL"/>
    <n v="0.1"/>
    <n v="150000"/>
    <n v="1350000"/>
    <n v="980000"/>
    <n v="830000"/>
    <s v="Promo 4.4"/>
    <x v="1"/>
    <s v="TK"/>
    <x v="1"/>
    <x v="194"/>
  </r>
  <r>
    <n v="916"/>
    <s v="0916"/>
    <s v="ORD-TK-0916-26/07/24"/>
    <s v="[{item_code: PW001, quantity: 5, rating: 2}, {item_code: PU001, quantity: 2, rating: 5}]"/>
    <s v="PW001"/>
    <x v="2"/>
    <s v="Pakaian Wanita"/>
    <s v="5"/>
    <s v="2"/>
    <n v="150000"/>
    <n v="55000"/>
    <s v="PU001"/>
    <s v="Jaket Hoodie"/>
    <s v="Pakaian Unisex"/>
    <s v="2"/>
    <s v="5"/>
    <n v="160000"/>
    <n v="60000"/>
    <s v="-"/>
    <s v="-"/>
    <s v="-"/>
    <n v="0"/>
    <s v="-"/>
    <n v="0"/>
    <n v="0"/>
    <n v="7"/>
    <n v="1070000"/>
    <n v="395000"/>
    <s v="-"/>
    <n v="0"/>
    <n v="0"/>
    <n v="1070000"/>
    <n v="675000"/>
    <n v="675000"/>
    <s v="-"/>
    <x v="1"/>
    <s v="TK"/>
    <x v="3"/>
    <x v="194"/>
  </r>
  <r>
    <n v="935"/>
    <s v="0935"/>
    <s v="ORD-BL-0935-26/07/24"/>
    <s v="[{item_code: PU001, quantity: 5, rating: 2}, {item_code: PW003, quantity: 2, rating: 5}]"/>
    <s v="PU001"/>
    <x v="7"/>
    <s v="Pakaian Unisex"/>
    <s v="5"/>
    <s v="2"/>
    <n v="160000"/>
    <n v="60000"/>
    <s v="PW003"/>
    <s v="Kaftan"/>
    <s v="Pakaian Wanita"/>
    <s v="2"/>
    <s v="5"/>
    <n v="200000"/>
    <n v="100000"/>
    <s v="-"/>
    <s v="-"/>
    <s v="-"/>
    <n v="0"/>
    <s v="-"/>
    <n v="0"/>
    <n v="0"/>
    <n v="7"/>
    <n v="1200000"/>
    <n v="500000"/>
    <s v="BUKALEBAR"/>
    <n v="0.15"/>
    <n v="180000"/>
    <n v="1020000"/>
    <n v="700000"/>
    <n v="520000"/>
    <s v="Promo Lebaran"/>
    <x v="2"/>
    <s v="BL"/>
    <x v="4"/>
    <x v="194"/>
  </r>
  <r>
    <n v="968"/>
    <s v="0968"/>
    <s v="ORD-BB-0968-26/07/24"/>
    <s v="[{item_code: SW001, quantity: 2, rating: 4}, {item_code: SP001, quantity: 3, rating: 4}, {item_code: PP002, quantity: 1, rating: 5}]"/>
    <s v="SW001"/>
    <x v="8"/>
    <s v="Sepatu Wanita"/>
    <s v="2"/>
    <s v="4"/>
    <n v="150000"/>
    <n v="70000"/>
    <s v="SP001"/>
    <s v="Sneakers"/>
    <s v="Sepatu Pria"/>
    <s v="3"/>
    <s v="4"/>
    <n v="300000"/>
    <n v="100000"/>
    <s v="PP002"/>
    <s v="Celana Pendek"/>
    <s v="Pakaian Pria"/>
    <s v="1"/>
    <s v="5"/>
    <n v="60000"/>
    <n v="25000"/>
    <n v="6"/>
    <n v="1260000"/>
    <n v="465000"/>
    <s v="-"/>
    <n v="0"/>
    <n v="0"/>
    <n v="1260000"/>
    <n v="795000"/>
    <n v="795000"/>
    <s v="-"/>
    <x v="3"/>
    <s v="BB"/>
    <x v="4"/>
    <x v="194"/>
  </r>
  <r>
    <n v="149"/>
    <s v="0149"/>
    <s v="ORD-BL-0149-27/07/24"/>
    <s v="[{item_code: PP001, quantity: 2, rating: 4}, {item_code: SP001, quantity: 1, rating: 2}, {item_code: PW002, quantity: 1, rating: 5}]"/>
    <s v="PP001"/>
    <x v="0"/>
    <s v="Pakaian Pria"/>
    <s v="2"/>
    <s v="4"/>
    <n v="80000"/>
    <n v="30000"/>
    <s v="SP001"/>
    <s v="Sneakers"/>
    <s v="Sepatu Pria"/>
    <s v="1"/>
    <s v="2"/>
    <n v="300000"/>
    <n v="100000"/>
    <s v="PW002"/>
    <s v="Blouse"/>
    <s v="Pakaian Wanita"/>
    <s v="1"/>
    <s v="5"/>
    <n v="125000"/>
    <n v="50000"/>
    <n v="4"/>
    <n v="585000"/>
    <n v="210000"/>
    <s v="BUKALEBAR"/>
    <n v="0.15"/>
    <n v="87750"/>
    <n v="497250"/>
    <n v="375000"/>
    <n v="287250"/>
    <s v="Promo Lebaran"/>
    <x v="2"/>
    <s v="BL"/>
    <x v="1"/>
    <x v="195"/>
  </r>
  <r>
    <n v="309"/>
    <s v="0309"/>
    <s v="ORD-BB-0309-27/07/24"/>
    <s v="[{item_code: PW002, quantity: 2, rating: 5}, {item_code: PP001, quantity: 4, rating: 5}]"/>
    <s v="PW002"/>
    <x v="4"/>
    <s v="Pakaian Wanita"/>
    <s v="2"/>
    <s v="5"/>
    <n v="125000"/>
    <n v="50000"/>
    <s v="PP001"/>
    <s v="Kaos Polo"/>
    <s v="Pakaian Pria"/>
    <s v="4"/>
    <s v="5"/>
    <n v="80000"/>
    <n v="30000"/>
    <s v="-"/>
    <s v="-"/>
    <s v="-"/>
    <n v="0"/>
    <s v="-"/>
    <n v="0"/>
    <n v="0"/>
    <n v="6"/>
    <n v="570000"/>
    <n v="220000"/>
    <s v="BELI44"/>
    <n v="0.15"/>
    <n v="85500"/>
    <n v="484500"/>
    <n v="350000"/>
    <n v="264500"/>
    <s v="Promo 4.4"/>
    <x v="3"/>
    <s v="BB"/>
    <x v="3"/>
    <x v="195"/>
  </r>
  <r>
    <n v="513"/>
    <s v="0513"/>
    <s v="ORD-SP-0513-27/07/24"/>
    <s v="[{item_code: SP001, quantity: 3, rating: 2}, {item_code: PP001, quantity: 2, rating: 3}]"/>
    <s v="SP001"/>
    <x v="9"/>
    <s v="Sepatu Pria"/>
    <s v="3"/>
    <s v="2"/>
    <n v="300000"/>
    <n v="100000"/>
    <s v="PP001"/>
    <s v="Kaos Polo"/>
    <s v="Pakaian Pria"/>
    <s v="2"/>
    <s v="3"/>
    <n v="80000"/>
    <n v="30000"/>
    <s v="-"/>
    <s v="-"/>
    <s v="-"/>
    <n v="0"/>
    <s v="-"/>
    <n v="0"/>
    <n v="0"/>
    <n v="5"/>
    <n v="1060000"/>
    <n v="360000"/>
    <s v="DISC20"/>
    <n v="0.2"/>
    <n v="212000"/>
    <n v="848000"/>
    <n v="700000"/>
    <n v="488000"/>
    <s v="Promo Lebaran"/>
    <x v="0"/>
    <s v="SP"/>
    <x v="4"/>
    <x v="195"/>
  </r>
  <r>
    <n v="787"/>
    <s v="0787"/>
    <s v="ORD-TK-0787-27/07/24"/>
    <s v="[{item_code: PP002, quantity: 1, rating: 3}, {item_code: SP001, quantity: 2, rating: 1}, {item_code: PW001, quantity: 2, rating: 2}]"/>
    <s v="PP002"/>
    <x v="5"/>
    <s v="Pakaian Pria"/>
    <s v="1"/>
    <s v="3"/>
    <n v="60000"/>
    <n v="25000"/>
    <s v="SP001"/>
    <s v="Sneakers"/>
    <s v="Sepatu Pria"/>
    <s v="2"/>
    <s v="1"/>
    <n v="300000"/>
    <n v="100000"/>
    <s v="PW001"/>
    <s v="Dress"/>
    <s v="Pakaian Wanita"/>
    <s v="2"/>
    <s v="2"/>
    <n v="150000"/>
    <n v="55000"/>
    <n v="5"/>
    <n v="960000"/>
    <n v="335000"/>
    <s v="DISCAPRIL"/>
    <n v="0.1"/>
    <n v="96000"/>
    <n v="864000"/>
    <n v="625000"/>
    <n v="529000"/>
    <s v="Promo 4.4"/>
    <x v="1"/>
    <s v="TK"/>
    <x v="1"/>
    <x v="195"/>
  </r>
  <r>
    <n v="79"/>
    <s v="0079"/>
    <s v="ORD-BB-0079-28/07/24"/>
    <s v="[{item_code: PP003, quantity: 1, rating: 1}, {item_code: PW003, quantity: 1, rating: 2}]"/>
    <s v="PP003"/>
    <x v="6"/>
    <s v="Pakaian Pria"/>
    <s v="1"/>
    <s v="1"/>
    <n v="150000"/>
    <n v="70000"/>
    <s v="PW003"/>
    <s v="Kaftan"/>
    <s v="Pakaian Wanita"/>
    <s v="1"/>
    <s v="2"/>
    <n v="200000"/>
    <n v="100000"/>
    <s v="-"/>
    <s v="-"/>
    <s v="-"/>
    <n v="0"/>
    <s v="-"/>
    <n v="0"/>
    <n v="0"/>
    <n v="2"/>
    <n v="350000"/>
    <n v="170000"/>
    <s v="BELI44"/>
    <n v="0.15"/>
    <n v="52500"/>
    <n v="297500"/>
    <n v="180000"/>
    <n v="127500"/>
    <s v="Promo 4.4"/>
    <x v="3"/>
    <s v="BB"/>
    <x v="3"/>
    <x v="196"/>
  </r>
  <r>
    <n v="775"/>
    <s v="0775"/>
    <s v="ORD-BB-0775-28/07/24"/>
    <s v="[{item_code: PP003, quantity: 1, rating: 5}, {item_code: PW002, quantity: 2, rating: 3}, {item_code: PP001, quantity: 1, rating: 5}]"/>
    <s v="PP003"/>
    <x v="6"/>
    <s v="Pakaian Pria"/>
    <s v="1"/>
    <s v="5"/>
    <n v="150000"/>
    <n v="70000"/>
    <s v="PW002"/>
    <s v="Blouse"/>
    <s v="Pakaian Wanita"/>
    <s v="2"/>
    <s v="3"/>
    <n v="125000"/>
    <n v="50000"/>
    <s v="PP001"/>
    <s v="Kaos Polo"/>
    <s v="Pakaian Pria"/>
    <s v="1"/>
    <s v="5"/>
    <n v="80000"/>
    <n v="30000"/>
    <n v="4"/>
    <n v="480000"/>
    <n v="200000"/>
    <s v="BELI44"/>
    <n v="0.15"/>
    <n v="72000"/>
    <n v="408000"/>
    <n v="280000"/>
    <n v="208000"/>
    <s v="Promo 4.4"/>
    <x v="3"/>
    <s v="BB"/>
    <x v="1"/>
    <x v="196"/>
  </r>
  <r>
    <n v="203"/>
    <s v="0203"/>
    <s v="ORD-SP-0203-29/07/24"/>
    <s v="[{item_code: SP002, quantity: 5, rating: 2}, {item_code: PW002, quantity: 2, rating: 1}]"/>
    <s v="SP002"/>
    <x v="1"/>
    <s v="Sepatu Pria"/>
    <s v="5"/>
    <s v="2"/>
    <n v="120000"/>
    <n v="60000"/>
    <s v="PW002"/>
    <s v="Blouse"/>
    <s v="Pakaian Wanita"/>
    <s v="2"/>
    <s v="1"/>
    <n v="125000"/>
    <n v="50000"/>
    <s v="-"/>
    <s v="-"/>
    <s v="-"/>
    <n v="0"/>
    <s v="-"/>
    <n v="0"/>
    <n v="0"/>
    <n v="7"/>
    <n v="850000"/>
    <n v="400000"/>
    <s v="DISC15"/>
    <n v="0.15"/>
    <n v="127500"/>
    <n v="722500"/>
    <n v="450000"/>
    <n v="322500"/>
    <s v="Promo 4.4"/>
    <x v="0"/>
    <s v="SP"/>
    <x v="3"/>
    <x v="197"/>
  </r>
  <r>
    <n v="3"/>
    <s v="0003"/>
    <s v="ORD-TK-0003-30/07/24"/>
    <s v="[{item_code: PW003, quantity: 2, rating: 3}, {item_code: SW001, quantity: 1, rating: 5}]"/>
    <s v="PW003"/>
    <x v="3"/>
    <s v="Pakaian Wanita"/>
    <s v="2"/>
    <s v="3"/>
    <n v="200000"/>
    <n v="100000"/>
    <s v="SW001"/>
    <s v="Flat Shoes"/>
    <s v="Sepatu Wanita"/>
    <s v="1"/>
    <s v="5"/>
    <n v="150000"/>
    <n v="70000"/>
    <s v="-"/>
    <s v="-"/>
    <s v="-"/>
    <n v="0"/>
    <s v="-"/>
    <n v="0"/>
    <n v="0"/>
    <n v="3"/>
    <n v="550000"/>
    <n v="270000"/>
    <s v="DISCAPRIL"/>
    <n v="0.1"/>
    <n v="55000"/>
    <n v="495000"/>
    <n v="280000"/>
    <n v="225000"/>
    <s v="Promo 4.4"/>
    <x v="1"/>
    <s v="TK"/>
    <x v="1"/>
    <x v="198"/>
  </r>
  <r>
    <n v="415"/>
    <s v="0415"/>
    <s v="ORD-TK-0415-30/07/24"/>
    <s v="[{item_code: PP002, quantity: 2, rating: 5}, {item_code: SP002, quantity: 1, rating: 5}]"/>
    <s v="PP002"/>
    <x v="5"/>
    <s v="Pakaian Pria"/>
    <s v="2"/>
    <s v="5"/>
    <n v="60000"/>
    <n v="25000"/>
    <s v="SP002"/>
    <s v="Sandal Slip On"/>
    <s v="Sepatu Pria"/>
    <s v="1"/>
    <s v="5"/>
    <n v="120000"/>
    <n v="60000"/>
    <s v="-"/>
    <s v="-"/>
    <s v="-"/>
    <n v="0"/>
    <s v="-"/>
    <n v="0"/>
    <n v="0"/>
    <n v="3"/>
    <n v="240000"/>
    <n v="110000"/>
    <s v="DISCAPRIL"/>
    <n v="0.1"/>
    <n v="24000"/>
    <n v="216000"/>
    <n v="130000"/>
    <n v="106000"/>
    <s v="Promo 4.4"/>
    <x v="1"/>
    <s v="TK"/>
    <x v="3"/>
    <x v="198"/>
  </r>
  <r>
    <n v="204"/>
    <s v="0204"/>
    <s v="ORD-BL-0204-31/07/24"/>
    <s v="[{item_code: PW001, quantity: 2, rating: 2}, {item_code: PW003, quantity: 1, rating: 2}]"/>
    <s v="PW001"/>
    <x v="2"/>
    <s v="Pakaian Wanita"/>
    <s v="2"/>
    <s v="2"/>
    <n v="150000"/>
    <n v="55000"/>
    <s v="PW003"/>
    <s v="Kaftan"/>
    <s v="Pakaian Wanita"/>
    <s v="1"/>
    <s v="2"/>
    <n v="200000"/>
    <n v="100000"/>
    <s v="-"/>
    <s v="-"/>
    <s v="-"/>
    <n v="0"/>
    <s v="-"/>
    <n v="0"/>
    <n v="0"/>
    <n v="3"/>
    <n v="500000"/>
    <n v="210000"/>
    <s v="BUKALEBAR"/>
    <n v="0.15"/>
    <n v="75000"/>
    <n v="425000"/>
    <n v="290000"/>
    <n v="215000"/>
    <s v="Promo Lebaran"/>
    <x v="2"/>
    <s v="BL"/>
    <x v="3"/>
    <x v="199"/>
  </r>
  <r>
    <n v="636"/>
    <s v="0636"/>
    <s v="ORD-TK-0636-31/07/24"/>
    <s v="[{item_code: PW001, quantity: 1, rating: 5}]"/>
    <s v="PW001"/>
    <x v="2"/>
    <s v="Pakaian Wanita"/>
    <s v="1"/>
    <s v="5"/>
    <n v="150000"/>
    <n v="55000"/>
    <s v="-"/>
    <s v="-"/>
    <s v="-"/>
    <n v="0"/>
    <s v="-"/>
    <n v="0"/>
    <n v="0"/>
    <s v="-"/>
    <s v="-"/>
    <s v="-"/>
    <n v="0"/>
    <s v="-"/>
    <n v="0"/>
    <n v="0"/>
    <n v="1"/>
    <n v="150000"/>
    <n v="55000"/>
    <s v="-"/>
    <n v="0"/>
    <n v="0"/>
    <n v="150000"/>
    <n v="95000"/>
    <n v="95000"/>
    <s v="-"/>
    <x v="1"/>
    <s v="TK"/>
    <x v="0"/>
    <x v="199"/>
  </r>
  <r>
    <n v="646"/>
    <s v="0646"/>
    <s v="ORD-TK-0646-31/07/24"/>
    <s v="[{item_code: PW002, quantity: 2, rating: 2}]"/>
    <s v="PW002"/>
    <x v="4"/>
    <s v="Pakaian Wanita"/>
    <s v="2"/>
    <s v="2"/>
    <n v="125000"/>
    <n v="50000"/>
    <s v="-"/>
    <s v="-"/>
    <s v="-"/>
    <n v="0"/>
    <s v="-"/>
    <n v="0"/>
    <n v="0"/>
    <s v="-"/>
    <s v="-"/>
    <s v="-"/>
    <n v="0"/>
    <s v="-"/>
    <n v="0"/>
    <n v="0"/>
    <n v="2"/>
    <n v="250000"/>
    <n v="100000"/>
    <s v="DISCAPRIL"/>
    <n v="0.1"/>
    <n v="25000"/>
    <n v="225000"/>
    <n v="150000"/>
    <n v="125000"/>
    <s v="Promo 4.4"/>
    <x v="1"/>
    <s v="TK"/>
    <x v="4"/>
    <x v="199"/>
  </r>
  <r>
    <n v="664"/>
    <s v="0664"/>
    <s v="ORD-TK-0664-31/07/24"/>
    <s v="[{item_code: PP003, quantity: 1, rating: 1}, {item_code: PW001, quantity: 3, rating: 4}, {item_code: PP002, quantity: 1, rating: 3}]"/>
    <s v="PP003"/>
    <x v="6"/>
    <s v="Pakaian Pria"/>
    <s v="1"/>
    <s v="1"/>
    <n v="150000"/>
    <n v="70000"/>
    <s v="PW001"/>
    <s v="Dress"/>
    <s v="Pakaian Wanita"/>
    <s v="3"/>
    <s v="4"/>
    <n v="150000"/>
    <n v="55000"/>
    <s v="PP002"/>
    <s v="Celana Pendek"/>
    <s v="Pakaian Pria"/>
    <s v="1"/>
    <s v="3"/>
    <n v="60000"/>
    <n v="25000"/>
    <n v="5"/>
    <n v="660000"/>
    <n v="260000"/>
    <s v="LEBAR10"/>
    <n v="0.1"/>
    <n v="66000"/>
    <n v="594000"/>
    <n v="400000"/>
    <n v="334000"/>
    <s v="Promo Lebaran"/>
    <x v="1"/>
    <s v="TK"/>
    <x v="1"/>
    <x v="199"/>
  </r>
  <r>
    <n v="234"/>
    <s v="0234"/>
    <s v="ORD-BB-0234-02/08/24"/>
    <s v="[{item_code: SP002, quantity: 4, rating: 2}, {item_code: PP003, quantity: 1, rating: 4}]"/>
    <s v="SP002"/>
    <x v="1"/>
    <s v="Sepatu Pria"/>
    <s v="4"/>
    <s v="2"/>
    <n v="120000"/>
    <n v="60000"/>
    <s v="PP003"/>
    <s v="Jaket Jeans"/>
    <s v="Pakaian Pria"/>
    <s v="1"/>
    <s v="4"/>
    <n v="150000"/>
    <n v="70000"/>
    <s v="-"/>
    <s v="-"/>
    <s v="-"/>
    <n v="0"/>
    <s v="-"/>
    <n v="0"/>
    <n v="0"/>
    <n v="5"/>
    <n v="630000"/>
    <n v="310000"/>
    <s v="BELI44"/>
    <n v="0.15"/>
    <n v="94500"/>
    <n v="535500"/>
    <n v="320000"/>
    <n v="225500"/>
    <s v="Promo 4.4"/>
    <x v="3"/>
    <s v="BB"/>
    <x v="3"/>
    <x v="200"/>
  </r>
  <r>
    <n v="896"/>
    <s v="0896"/>
    <s v="ORD-SP-0896-02/08/24"/>
    <s v="[{item_code: PW003, quantity: 1, rating: 3}, {item_code: PU001, quantity: 2, rating: 5}, {item_code: PP003, quantity: 2, rating: 2}]"/>
    <s v="PW003"/>
    <x v="3"/>
    <s v="Pakaian Wanita"/>
    <s v="1"/>
    <s v="3"/>
    <n v="200000"/>
    <n v="100000"/>
    <s v="PU001"/>
    <s v="Jaket Hoodie"/>
    <s v="Pakaian Unisex"/>
    <s v="2"/>
    <s v="5"/>
    <n v="160000"/>
    <n v="60000"/>
    <s v="PP003"/>
    <s v="Jaket Jeans"/>
    <s v="Pakaian Pria"/>
    <s v="2"/>
    <s v="2"/>
    <n v="150000"/>
    <n v="70000"/>
    <n v="5"/>
    <n v="820000"/>
    <n v="360000"/>
    <s v="DISC10"/>
    <n v="0.1"/>
    <n v="82000"/>
    <n v="738000"/>
    <n v="460000"/>
    <n v="378000"/>
    <s v="Promo 4.4"/>
    <x v="0"/>
    <s v="SP"/>
    <x v="2"/>
    <x v="200"/>
  </r>
  <r>
    <n v="70"/>
    <s v="0070"/>
    <s v="ORD-SP-0070-03/08/24"/>
    <s v="[{item_code: PP002, quantity: 3, rating: 3}, {item_code: SP002, quantity: 1, rating: 4}, {item_code: PP002, quantity: 1, rating: 5}]"/>
    <s v="PP002"/>
    <x v="5"/>
    <s v="Pakaian Pria"/>
    <s v="3"/>
    <s v="3"/>
    <n v="60000"/>
    <n v="25000"/>
    <s v="SP002"/>
    <s v="Sandal Slip On"/>
    <s v="Sepatu Pria"/>
    <s v="1"/>
    <s v="4"/>
    <n v="120000"/>
    <n v="60000"/>
    <s v="PP002"/>
    <s v="Celana Pendek"/>
    <s v="Pakaian Pria"/>
    <s v="1"/>
    <s v="5"/>
    <n v="60000"/>
    <n v="25000"/>
    <n v="5"/>
    <n v="360000"/>
    <n v="160000"/>
    <s v="DISC10"/>
    <n v="0.1"/>
    <n v="36000"/>
    <n v="324000"/>
    <n v="200000"/>
    <n v="164000"/>
    <s v="Promo 4.4"/>
    <x v="0"/>
    <s v="SP"/>
    <x v="4"/>
    <x v="201"/>
  </r>
  <r>
    <n v="34"/>
    <s v="0034"/>
    <s v="ORD-TK-0034-04/08/24"/>
    <s v="[{item_code: PU001, quantity: 2, rating: 1}, {item_code: SP001, quantity: 2, rating: 4}, {item_code: PP002, quantity: 2, rating: 2}]"/>
    <s v="PU001"/>
    <x v="7"/>
    <s v="Pakaian Unisex"/>
    <s v="2"/>
    <s v="1"/>
    <n v="160000"/>
    <n v="60000"/>
    <s v="SP001"/>
    <s v="Sneakers"/>
    <s v="Sepatu Pria"/>
    <s v="2"/>
    <s v="4"/>
    <n v="300000"/>
    <n v="100000"/>
    <s v="PP002"/>
    <s v="Celana Pendek"/>
    <s v="Pakaian Pria"/>
    <s v="2"/>
    <s v="2"/>
    <n v="60000"/>
    <n v="25000"/>
    <n v="6"/>
    <n v="1040000"/>
    <n v="370000"/>
    <s v="DISCAPRIL"/>
    <n v="0.1"/>
    <n v="104000"/>
    <n v="936000"/>
    <n v="670000"/>
    <n v="566000"/>
    <s v="Promo 4.4"/>
    <x v="1"/>
    <s v="TK"/>
    <x v="4"/>
    <x v="202"/>
  </r>
  <r>
    <n v="142"/>
    <s v="0142"/>
    <s v="ORD-BL-0142-04/08/24"/>
    <s v="[{item_code: SW001, quantity: 2, rating: 1}, {item_code: PU001, quantity: 1, rating: 3}, {item_code: SP001, quantity: 4, rating: 3}]"/>
    <s v="SW001"/>
    <x v="8"/>
    <s v="Sepatu Wanita"/>
    <s v="2"/>
    <s v="1"/>
    <n v="150000"/>
    <n v="70000"/>
    <s v="PU001"/>
    <s v="Jaket Hoodie"/>
    <s v="Pakaian Unisex"/>
    <s v="1"/>
    <s v="3"/>
    <n v="160000"/>
    <n v="60000"/>
    <s v="SP001"/>
    <s v="Sneakers"/>
    <s v="Sepatu Pria"/>
    <s v="4"/>
    <s v="3"/>
    <n v="300000"/>
    <n v="100000"/>
    <n v="7"/>
    <n v="1660000"/>
    <n v="600000"/>
    <s v="BUKALEBAR"/>
    <n v="0.15"/>
    <n v="249000"/>
    <n v="1411000"/>
    <n v="1060000"/>
    <n v="811000"/>
    <s v="Promo Lebaran"/>
    <x v="2"/>
    <s v="BL"/>
    <x v="3"/>
    <x v="202"/>
  </r>
  <r>
    <n v="199"/>
    <s v="0199"/>
    <s v="ORD-SP-0199-04/08/24"/>
    <s v="[{item_code: PW002, quantity: 1, rating: 4}]"/>
    <s v="PW002"/>
    <x v="4"/>
    <s v="Pakaian Wanita"/>
    <s v="1"/>
    <s v="4"/>
    <n v="125000"/>
    <n v="50000"/>
    <s v="-"/>
    <s v="-"/>
    <s v="-"/>
    <n v="0"/>
    <s v="-"/>
    <n v="0"/>
    <n v="0"/>
    <s v="-"/>
    <s v="-"/>
    <s v="-"/>
    <n v="0"/>
    <s v="-"/>
    <n v="0"/>
    <n v="0"/>
    <n v="1"/>
    <n v="125000"/>
    <n v="50000"/>
    <s v="DISC15"/>
    <n v="0.15"/>
    <n v="18750"/>
    <n v="106250"/>
    <n v="75000"/>
    <n v="56250"/>
    <s v="Promo 4.4"/>
    <x v="0"/>
    <s v="SP"/>
    <x v="2"/>
    <x v="202"/>
  </r>
  <r>
    <n v="227"/>
    <s v="0227"/>
    <s v="ORD-BB-0227-04/08/24"/>
    <s v="[{item_code: SP002, quantity: 2, rating: 4}]"/>
    <s v="SP002"/>
    <x v="1"/>
    <s v="Sepatu Pria"/>
    <s v="2"/>
    <s v="4"/>
    <n v="120000"/>
    <n v="60000"/>
    <s v="-"/>
    <s v="-"/>
    <s v="-"/>
    <n v="0"/>
    <s v="-"/>
    <n v="0"/>
    <n v="0"/>
    <s v="-"/>
    <s v="-"/>
    <s v="-"/>
    <n v="0"/>
    <s v="-"/>
    <n v="0"/>
    <n v="0"/>
    <n v="2"/>
    <n v="240000"/>
    <n v="120000"/>
    <s v="BELI44"/>
    <n v="0.15"/>
    <n v="36000"/>
    <n v="204000"/>
    <n v="120000"/>
    <n v="84000"/>
    <s v="Promo 4.4"/>
    <x v="3"/>
    <s v="BB"/>
    <x v="4"/>
    <x v="202"/>
  </r>
  <r>
    <n v="585"/>
    <s v="0585"/>
    <s v="ORD-TK-0585-04/08/24"/>
    <s v="[{item_code: PP003, quantity: 1, rating: 3}]"/>
    <s v="PP003"/>
    <x v="6"/>
    <s v="Pakaian Pria"/>
    <s v="1"/>
    <s v="3"/>
    <n v="150000"/>
    <n v="70000"/>
    <s v="-"/>
    <s v="-"/>
    <s v="-"/>
    <n v="0"/>
    <s v="-"/>
    <n v="0"/>
    <n v="0"/>
    <s v="-"/>
    <s v="-"/>
    <s v="-"/>
    <n v="0"/>
    <s v="-"/>
    <n v="0"/>
    <n v="0"/>
    <n v="1"/>
    <n v="150000"/>
    <n v="70000"/>
    <s v="LEBAR10"/>
    <n v="0.1"/>
    <n v="15000"/>
    <n v="135000"/>
    <n v="80000"/>
    <n v="65000"/>
    <s v="Promo Lebaran"/>
    <x v="1"/>
    <s v="TK"/>
    <x v="1"/>
    <x v="202"/>
  </r>
  <r>
    <n v="28"/>
    <s v="0028"/>
    <s v="ORD-BL-0028-05/08/24"/>
    <s v="[{item_code: PP002, quantity: 5, rating: 2}, {item_code: PW001, quantity: 2, rating: 1}]"/>
    <s v="PP002"/>
    <x v="5"/>
    <s v="Pakaian Pria"/>
    <s v="5"/>
    <s v="2"/>
    <n v="60000"/>
    <n v="25000"/>
    <s v="PW001"/>
    <s v="Dress"/>
    <s v="Pakaian Wanita"/>
    <s v="2"/>
    <s v="1"/>
    <n v="150000"/>
    <n v="55000"/>
    <s v="-"/>
    <s v="-"/>
    <s v="-"/>
    <n v="0"/>
    <s v="-"/>
    <n v="0"/>
    <n v="0"/>
    <n v="7"/>
    <n v="600000"/>
    <n v="235000"/>
    <s v="BUKALEBAR"/>
    <n v="0.15"/>
    <n v="90000"/>
    <n v="510000"/>
    <n v="365000"/>
    <n v="275000"/>
    <s v="Promo Lebaran"/>
    <x v="2"/>
    <s v="BL"/>
    <x v="2"/>
    <x v="203"/>
  </r>
  <r>
    <n v="157"/>
    <s v="0157"/>
    <s v="ORD-SP-0157-05/08/24"/>
    <s v="[{item_code: SW001, quantity: 4, rating: 2}]"/>
    <s v="SW001"/>
    <x v="8"/>
    <s v="Sepatu Wanita"/>
    <s v="4"/>
    <s v="2"/>
    <n v="150000"/>
    <n v="70000"/>
    <s v="-"/>
    <s v="-"/>
    <s v="-"/>
    <n v="0"/>
    <s v="-"/>
    <n v="0"/>
    <n v="0"/>
    <s v="-"/>
    <s v="-"/>
    <s v="-"/>
    <n v="0"/>
    <s v="-"/>
    <n v="0"/>
    <n v="0"/>
    <n v="4"/>
    <n v="600000"/>
    <n v="280000"/>
    <s v="DISC15"/>
    <n v="0.15"/>
    <n v="90000"/>
    <n v="510000"/>
    <n v="320000"/>
    <n v="230000"/>
    <s v="Promo 4.4"/>
    <x v="0"/>
    <s v="SP"/>
    <x v="1"/>
    <x v="203"/>
  </r>
  <r>
    <n v="424"/>
    <s v="0424"/>
    <s v="ORD-SP-0424-05/08/24"/>
    <s v="[{item_code: SP001, quantity: 7, rating: 1}]"/>
    <s v="SP001"/>
    <x v="9"/>
    <s v="Sepatu Pria"/>
    <s v="7"/>
    <s v="1"/>
    <n v="300000"/>
    <n v="100000"/>
    <s v="-"/>
    <s v="-"/>
    <s v="-"/>
    <n v="0"/>
    <s v="-"/>
    <n v="0"/>
    <n v="0"/>
    <s v="-"/>
    <s v="-"/>
    <s v="-"/>
    <n v="0"/>
    <s v="-"/>
    <n v="0"/>
    <n v="0"/>
    <n v="7"/>
    <n v="2100000"/>
    <n v="700000"/>
    <s v="DISC20"/>
    <n v="0.2"/>
    <n v="420000"/>
    <n v="1680000"/>
    <n v="1400000"/>
    <n v="980000"/>
    <s v="Promo Lebaran"/>
    <x v="0"/>
    <s v="SP"/>
    <x v="3"/>
    <x v="203"/>
  </r>
  <r>
    <n v="677"/>
    <s v="0677"/>
    <s v="ORD-TK-0677-05/08/24"/>
    <s v="[{item_code: PP002, quantity: 1, rating: 4}]"/>
    <s v="PP002"/>
    <x v="5"/>
    <s v="Pakaian Pria"/>
    <s v="1"/>
    <s v="4"/>
    <n v="60000"/>
    <n v="25000"/>
    <s v="-"/>
    <s v="-"/>
    <s v="-"/>
    <n v="0"/>
    <s v="-"/>
    <n v="0"/>
    <n v="0"/>
    <s v="-"/>
    <s v="-"/>
    <s v="-"/>
    <n v="0"/>
    <s v="-"/>
    <n v="0"/>
    <n v="0"/>
    <n v="1"/>
    <n v="60000"/>
    <n v="25000"/>
    <s v="DISCAPRIL"/>
    <n v="0.1"/>
    <n v="6000"/>
    <n v="54000"/>
    <n v="35000"/>
    <n v="29000"/>
    <s v="Promo 4.4"/>
    <x v="1"/>
    <s v="TK"/>
    <x v="2"/>
    <x v="203"/>
  </r>
  <r>
    <n v="815"/>
    <s v="0815"/>
    <s v="ORD-SP-0815-05/08/24"/>
    <s v="[{item_code: SP002, quantity: 1, rating: 2}]"/>
    <s v="SP002"/>
    <x v="1"/>
    <s v="Sepatu Pria"/>
    <s v="1"/>
    <s v="2"/>
    <n v="120000"/>
    <n v="60000"/>
    <s v="-"/>
    <s v="-"/>
    <s v="-"/>
    <n v="0"/>
    <s v="-"/>
    <n v="0"/>
    <n v="0"/>
    <s v="-"/>
    <s v="-"/>
    <s v="-"/>
    <n v="0"/>
    <s v="-"/>
    <n v="0"/>
    <n v="0"/>
    <n v="1"/>
    <n v="120000"/>
    <n v="60000"/>
    <s v="DISC20"/>
    <n v="0.2"/>
    <n v="24000"/>
    <n v="96000"/>
    <n v="60000"/>
    <n v="36000"/>
    <s v="Promo Lebaran"/>
    <x v="0"/>
    <s v="SP"/>
    <x v="3"/>
    <x v="203"/>
  </r>
  <r>
    <n v="18"/>
    <s v="0018"/>
    <s v="ORD-BB-0018-06/08/24"/>
    <s v="[{item_code: PW001, quantity: 1, rating: 4}]"/>
    <s v="PW001"/>
    <x v="2"/>
    <s v="Pakaian Wanita"/>
    <s v="1"/>
    <s v="4"/>
    <n v="150000"/>
    <n v="55000"/>
    <s v="-"/>
    <s v="-"/>
    <s v="-"/>
    <n v="0"/>
    <s v="-"/>
    <n v="0"/>
    <n v="0"/>
    <s v="-"/>
    <s v="-"/>
    <s v="-"/>
    <n v="0"/>
    <s v="-"/>
    <n v="0"/>
    <n v="0"/>
    <n v="1"/>
    <n v="150000"/>
    <n v="55000"/>
    <s v="BELI44"/>
    <n v="0.15"/>
    <n v="22500"/>
    <n v="127500"/>
    <n v="95000"/>
    <n v="72500"/>
    <s v="Promo 4.4"/>
    <x v="3"/>
    <s v="BB"/>
    <x v="0"/>
    <x v="204"/>
  </r>
  <r>
    <n v="493"/>
    <s v="0493"/>
    <s v="ORD-BB-0493-06/08/24"/>
    <s v="[{item_code: PW002, quantity: 2, rating: 4}, {item_code: PW001, quantity: 1, rating: 5}, {item_code: PU001, quantity: 1, rating: 1}]"/>
    <s v="PW002"/>
    <x v="4"/>
    <s v="Pakaian Wanita"/>
    <s v="2"/>
    <s v="4"/>
    <n v="125000"/>
    <n v="50000"/>
    <s v="PW001"/>
    <s v="Dress"/>
    <s v="Pakaian Wanita"/>
    <s v="1"/>
    <s v="5"/>
    <n v="150000"/>
    <n v="55000"/>
    <s v="PU001"/>
    <s v="Jaket Hoodie"/>
    <s v="Pakaian Unisex"/>
    <s v="1"/>
    <s v="1"/>
    <n v="160000"/>
    <n v="60000"/>
    <n v="4"/>
    <n v="560000"/>
    <n v="215000"/>
    <s v="-"/>
    <n v="0"/>
    <n v="0"/>
    <n v="560000"/>
    <n v="345000"/>
    <n v="345000"/>
    <s v="-"/>
    <x v="3"/>
    <s v="BB"/>
    <x v="1"/>
    <x v="204"/>
  </r>
  <r>
    <n v="625"/>
    <s v="0625"/>
    <s v="ORD-SP-0625-06/08/24"/>
    <s v="[{item_code: SW001, quantity: 3, rating: 1}, {item_code: PW003, quantity: 1, rating: 4}, {item_code: PU001, quantity: 1, rating: 2}]"/>
    <s v="SW001"/>
    <x v="8"/>
    <s v="Sepatu Wanita"/>
    <s v="3"/>
    <s v="1"/>
    <n v="150000"/>
    <n v="70000"/>
    <s v="PW003"/>
    <s v="Kaftan"/>
    <s v="Pakaian Wanita"/>
    <s v="1"/>
    <s v="4"/>
    <n v="200000"/>
    <n v="100000"/>
    <s v="PU001"/>
    <s v="Jaket Hoodie"/>
    <s v="Pakaian Unisex"/>
    <s v="1"/>
    <s v="2"/>
    <n v="160000"/>
    <n v="60000"/>
    <n v="5"/>
    <n v="810000"/>
    <n v="370000"/>
    <s v="DISC15"/>
    <n v="0.15"/>
    <n v="121500"/>
    <n v="688500"/>
    <n v="440000"/>
    <n v="318500"/>
    <s v="Promo 4.4"/>
    <x v="0"/>
    <s v="SP"/>
    <x v="1"/>
    <x v="204"/>
  </r>
  <r>
    <n v="672"/>
    <s v="0672"/>
    <s v="ORD-TK-0672-06/08/24"/>
    <s v="[{item_code: PP001, quantity: 1, rating: 3}]"/>
    <s v="PP001"/>
    <x v="0"/>
    <s v="Pakaian Pria"/>
    <s v="1"/>
    <s v="3"/>
    <n v="80000"/>
    <n v="30000"/>
    <s v="-"/>
    <s v="-"/>
    <s v="-"/>
    <n v="0"/>
    <s v="-"/>
    <n v="0"/>
    <n v="0"/>
    <s v="-"/>
    <s v="-"/>
    <s v="-"/>
    <n v="0"/>
    <s v="-"/>
    <n v="0"/>
    <n v="0"/>
    <n v="1"/>
    <n v="80000"/>
    <n v="30000"/>
    <s v="DISCAPRIL"/>
    <n v="0.1"/>
    <n v="8000"/>
    <n v="72000"/>
    <n v="50000"/>
    <n v="42000"/>
    <s v="Promo 4.4"/>
    <x v="1"/>
    <s v="TK"/>
    <x v="4"/>
    <x v="204"/>
  </r>
  <r>
    <n v="851"/>
    <s v="0851"/>
    <s v="ORD-BB-0851-06/08/24"/>
    <s v="[{item_code: PW002, quantity: 2, rating: 2}]"/>
    <s v="PW002"/>
    <x v="4"/>
    <s v="Pakaian Wanita"/>
    <s v="2"/>
    <s v="2"/>
    <n v="125000"/>
    <n v="50000"/>
    <s v="-"/>
    <s v="-"/>
    <s v="-"/>
    <n v="0"/>
    <s v="-"/>
    <n v="0"/>
    <n v="0"/>
    <s v="-"/>
    <s v="-"/>
    <s v="-"/>
    <n v="0"/>
    <s v="-"/>
    <n v="0"/>
    <n v="0"/>
    <n v="2"/>
    <n v="250000"/>
    <n v="100000"/>
    <s v="BELI44"/>
    <n v="0.15"/>
    <n v="37500"/>
    <n v="212500"/>
    <n v="150000"/>
    <n v="112500"/>
    <s v="Promo 4.4"/>
    <x v="3"/>
    <s v="BB"/>
    <x v="1"/>
    <x v="204"/>
  </r>
  <r>
    <n v="12"/>
    <s v="0012"/>
    <s v="ORD-SP-0012-07/08/24"/>
    <s v="[{item_code: PW001, quantity: 1, rating: 3}]"/>
    <s v="PW001"/>
    <x v="2"/>
    <s v="Pakaian Wanita"/>
    <s v="1"/>
    <s v="3"/>
    <n v="150000"/>
    <n v="55000"/>
    <s v="-"/>
    <s v="-"/>
    <s v="-"/>
    <n v="0"/>
    <s v="-"/>
    <n v="0"/>
    <n v="0"/>
    <s v="-"/>
    <s v="-"/>
    <s v="-"/>
    <n v="0"/>
    <s v="-"/>
    <n v="0"/>
    <n v="0"/>
    <n v="1"/>
    <n v="150000"/>
    <n v="55000"/>
    <s v="DISC15"/>
    <n v="0.15"/>
    <n v="22500"/>
    <n v="127500"/>
    <n v="95000"/>
    <n v="72500"/>
    <s v="Promo 4.4"/>
    <x v="0"/>
    <s v="SP"/>
    <x v="4"/>
    <x v="205"/>
  </r>
  <r>
    <n v="41"/>
    <s v="0041"/>
    <s v="ORD-TK-0041-07/08/24"/>
    <s v="[{item_code: SP002, quantity: 2, rating: 3}]"/>
    <s v="SP002"/>
    <x v="1"/>
    <s v="Sepatu Pria"/>
    <s v="2"/>
    <s v="3"/>
    <n v="120000"/>
    <n v="60000"/>
    <s v="-"/>
    <s v="-"/>
    <s v="-"/>
    <n v="0"/>
    <s v="-"/>
    <n v="0"/>
    <n v="0"/>
    <s v="-"/>
    <s v="-"/>
    <s v="-"/>
    <n v="0"/>
    <s v="-"/>
    <n v="0"/>
    <n v="0"/>
    <n v="2"/>
    <n v="240000"/>
    <n v="120000"/>
    <s v="DISCAPRIL"/>
    <n v="0.1"/>
    <n v="24000"/>
    <n v="216000"/>
    <n v="120000"/>
    <n v="96000"/>
    <s v="Promo 4.4"/>
    <x v="1"/>
    <s v="TK"/>
    <x v="3"/>
    <x v="205"/>
  </r>
  <r>
    <n v="589"/>
    <s v="0589"/>
    <s v="ORD-SP-0589-07/08/24"/>
    <s v="[{item_code: PP003, quantity: 2, rating: 4}, {item_code: PW002, quantity: 3, rating: 3}]"/>
    <s v="PP003"/>
    <x v="6"/>
    <s v="Pakaian Pria"/>
    <s v="2"/>
    <s v="4"/>
    <n v="150000"/>
    <n v="70000"/>
    <s v="PW002"/>
    <s v="Blouse"/>
    <s v="Pakaian Wanita"/>
    <s v="3"/>
    <s v="3"/>
    <n v="125000"/>
    <n v="50000"/>
    <s v="-"/>
    <s v="-"/>
    <s v="-"/>
    <n v="0"/>
    <s v="-"/>
    <n v="0"/>
    <n v="0"/>
    <n v="5"/>
    <n v="675000"/>
    <n v="290000"/>
    <s v="DISC10"/>
    <n v="0.1"/>
    <n v="67500"/>
    <n v="607500"/>
    <n v="385000"/>
    <n v="317500"/>
    <s v="Promo 4.4"/>
    <x v="0"/>
    <s v="SP"/>
    <x v="1"/>
    <x v="205"/>
  </r>
  <r>
    <n v="616"/>
    <s v="0616"/>
    <s v="ORD-SP-0616-07/08/24"/>
    <s v="[{item_code: PW001, quantity: 1, rating: 2}]"/>
    <s v="PW001"/>
    <x v="2"/>
    <s v="Pakaian Wanita"/>
    <s v="1"/>
    <s v="2"/>
    <n v="150000"/>
    <n v="55000"/>
    <s v="-"/>
    <s v="-"/>
    <s v="-"/>
    <n v="0"/>
    <s v="-"/>
    <n v="0"/>
    <n v="0"/>
    <s v="-"/>
    <s v="-"/>
    <s v="-"/>
    <n v="0"/>
    <s v="-"/>
    <n v="0"/>
    <n v="0"/>
    <n v="1"/>
    <n v="150000"/>
    <n v="55000"/>
    <s v="DISC15"/>
    <n v="0.15"/>
    <n v="22500"/>
    <n v="127500"/>
    <n v="95000"/>
    <n v="72500"/>
    <s v="Promo 4.4"/>
    <x v="0"/>
    <s v="SP"/>
    <x v="1"/>
    <x v="205"/>
  </r>
  <r>
    <n v="918"/>
    <s v="0918"/>
    <s v="ORD-SP-0918-08/08/24"/>
    <s v="[{item_code: PP002, quantity: 1, rating: 4}, {item_code: PW002, quantity: 3, rating: 2}, {item_code: SW001, quantity: 2, rating: 5}]"/>
    <s v="PP002"/>
    <x v="5"/>
    <s v="Pakaian Pria"/>
    <s v="1"/>
    <s v="4"/>
    <n v="60000"/>
    <n v="25000"/>
    <s v="PW002"/>
    <s v="Blouse"/>
    <s v="Pakaian Wanita"/>
    <s v="3"/>
    <s v="2"/>
    <n v="125000"/>
    <n v="50000"/>
    <s v="SW001"/>
    <s v="Flat Shoes"/>
    <s v="Sepatu Wanita"/>
    <s v="2"/>
    <s v="5"/>
    <n v="150000"/>
    <n v="70000"/>
    <n v="6"/>
    <n v="735000"/>
    <n v="315000"/>
    <s v="DISC15"/>
    <n v="0.15"/>
    <n v="110250"/>
    <n v="624750"/>
    <n v="420000"/>
    <n v="309750"/>
    <s v="Promo 4.4"/>
    <x v="0"/>
    <s v="SP"/>
    <x v="0"/>
    <x v="206"/>
  </r>
  <r>
    <n v="980"/>
    <s v="0980"/>
    <s v="ORD-SP-0980-08/08/24"/>
    <s v="[{item_code: SW001, quantity: 2, rating: 4}, {item_code: SP002, quantity: 4, rating: 5}]"/>
    <s v="SW001"/>
    <x v="8"/>
    <s v="Sepatu Wanita"/>
    <s v="2"/>
    <s v="4"/>
    <n v="150000"/>
    <n v="70000"/>
    <s v="SP002"/>
    <s v="Sandal Slip On"/>
    <s v="Sepatu Pria"/>
    <s v="4"/>
    <s v="5"/>
    <n v="120000"/>
    <n v="60000"/>
    <s v="-"/>
    <s v="-"/>
    <s v="-"/>
    <n v="0"/>
    <s v="-"/>
    <n v="0"/>
    <n v="0"/>
    <n v="6"/>
    <n v="780000"/>
    <n v="380000"/>
    <s v="-"/>
    <n v="0"/>
    <n v="0"/>
    <n v="780000"/>
    <n v="400000"/>
    <n v="400000"/>
    <s v="-"/>
    <x v="0"/>
    <s v="SP"/>
    <x v="2"/>
    <x v="206"/>
  </r>
  <r>
    <n v="990"/>
    <s v="0990"/>
    <s v="ORD-TK-0990-08/08/24"/>
    <s v="[{item_code: PW002, quantity: 1, rating: 2}, {item_code: PU001, quantity: 5, rating: 1}, {item_code: PP001, quantity: 1, rating: 2}]"/>
    <s v="PW002"/>
    <x v="4"/>
    <s v="Pakaian Wanita"/>
    <s v="1"/>
    <s v="2"/>
    <n v="125000"/>
    <n v="50000"/>
    <s v="PU001"/>
    <s v="Jaket Hoodie"/>
    <s v="Pakaian Unisex"/>
    <s v="5"/>
    <s v="1"/>
    <n v="160000"/>
    <n v="60000"/>
    <s v="PP001"/>
    <s v="Kaos Polo"/>
    <s v="Pakaian Pria"/>
    <s v="1"/>
    <s v="2"/>
    <n v="80000"/>
    <n v="30000"/>
    <n v="7"/>
    <n v="1005000"/>
    <n v="380000"/>
    <s v="DISCAPRIL"/>
    <n v="0.1"/>
    <n v="100500"/>
    <n v="904500"/>
    <n v="625000"/>
    <n v="524500"/>
    <s v="Promo 4.4"/>
    <x v="1"/>
    <s v="TK"/>
    <x v="1"/>
    <x v="206"/>
  </r>
  <r>
    <n v="407"/>
    <s v="0407"/>
    <s v="ORD-SP-0407-09/08/24"/>
    <s v="[{item_code: SP001, quantity: 2, rating: 5}, {item_code: PW003, quantity: 2, rating: 5}, {item_code: PW002, quantity: 3, rating: 4}]"/>
    <s v="SP001"/>
    <x v="9"/>
    <s v="Sepatu Pria"/>
    <s v="2"/>
    <s v="5"/>
    <n v="300000"/>
    <n v="100000"/>
    <s v="PW003"/>
    <s v="Kaftan"/>
    <s v="Pakaian Wanita"/>
    <s v="2"/>
    <s v="5"/>
    <n v="200000"/>
    <n v="100000"/>
    <s v="PW002"/>
    <s v="Blouse"/>
    <s v="Pakaian Wanita"/>
    <s v="3"/>
    <s v="4"/>
    <n v="125000"/>
    <n v="50000"/>
    <n v="7"/>
    <n v="1375000"/>
    <n v="550000"/>
    <s v="DISC10"/>
    <n v="0.1"/>
    <n v="137500"/>
    <n v="1237500"/>
    <n v="825000"/>
    <n v="687500"/>
    <s v="Promo 4.4"/>
    <x v="0"/>
    <s v="SP"/>
    <x v="3"/>
    <x v="207"/>
  </r>
  <r>
    <n v="470"/>
    <s v="0470"/>
    <s v="ORD-SP-0470-09/08/24"/>
    <s v="[{item_code: PP002, quantity: 4, rating: 5}, {item_code: PW002, quantity: 1, rating: 3}, {item_code: PP002, quantity: 2, rating: 4}]"/>
    <s v="PP002"/>
    <x v="5"/>
    <s v="Pakaian Pria"/>
    <s v="4"/>
    <s v="5"/>
    <n v="60000"/>
    <n v="25000"/>
    <s v="PW002"/>
    <s v="Blouse"/>
    <s v="Pakaian Wanita"/>
    <s v="1"/>
    <s v="3"/>
    <n v="125000"/>
    <n v="50000"/>
    <s v="PP002"/>
    <s v="Celana Pendek"/>
    <s v="Pakaian Pria"/>
    <s v="2"/>
    <s v="4"/>
    <n v="60000"/>
    <n v="25000"/>
    <n v="7"/>
    <n v="485000"/>
    <n v="200000"/>
    <s v="DISC15"/>
    <n v="0.15"/>
    <n v="72750"/>
    <n v="412250"/>
    <n v="285000"/>
    <n v="212250"/>
    <s v="Promo 4.4"/>
    <x v="0"/>
    <s v="SP"/>
    <x v="4"/>
    <x v="207"/>
  </r>
  <r>
    <n v="814"/>
    <s v="0814"/>
    <s v="ORD-BL-0814-09/08/24"/>
    <s v="[{item_code: PU001, quantity: 1, rating: 2}, {item_code: SP002, quantity: 5, rating: 4}]"/>
    <s v="PU001"/>
    <x v="7"/>
    <s v="Pakaian Unisex"/>
    <s v="1"/>
    <s v="2"/>
    <n v="160000"/>
    <n v="60000"/>
    <s v="SP002"/>
    <s v="Sandal Slip On"/>
    <s v="Sepatu Pria"/>
    <s v="5"/>
    <s v="4"/>
    <n v="120000"/>
    <n v="60000"/>
    <s v="-"/>
    <s v="-"/>
    <s v="-"/>
    <n v="0"/>
    <s v="-"/>
    <n v="0"/>
    <n v="0"/>
    <n v="6"/>
    <n v="760000"/>
    <n v="360000"/>
    <s v="BUKALEBAR"/>
    <n v="0.15"/>
    <n v="114000"/>
    <n v="646000"/>
    <n v="400000"/>
    <n v="286000"/>
    <s v="Promo Lebaran"/>
    <x v="2"/>
    <s v="BL"/>
    <x v="1"/>
    <x v="207"/>
  </r>
  <r>
    <n v="936"/>
    <s v="0936"/>
    <s v="ORD-BL-0936-09/08/24"/>
    <s v="[{item_code: SW001, quantity: 4, rating: 4}, {item_code: PP003, quantity: 1, rating: 2}]"/>
    <s v="SW001"/>
    <x v="8"/>
    <s v="Sepatu Wanita"/>
    <s v="4"/>
    <s v="4"/>
    <n v="150000"/>
    <n v="70000"/>
    <s v="PP003"/>
    <s v="Jaket Jeans"/>
    <s v="Pakaian Pria"/>
    <s v="1"/>
    <s v="2"/>
    <n v="150000"/>
    <n v="70000"/>
    <s v="-"/>
    <s v="-"/>
    <s v="-"/>
    <n v="0"/>
    <s v="-"/>
    <n v="0"/>
    <n v="0"/>
    <n v="5"/>
    <n v="750000"/>
    <n v="350000"/>
    <s v="BUKALEBAR"/>
    <n v="0.15"/>
    <n v="112500"/>
    <n v="637500"/>
    <n v="400000"/>
    <n v="287500"/>
    <s v="Promo Lebaran"/>
    <x v="2"/>
    <s v="BL"/>
    <x v="4"/>
    <x v="207"/>
  </r>
  <r>
    <n v="519"/>
    <s v="0519"/>
    <s v="ORD-BL-0519-10/08/24"/>
    <s v="[{item_code: PW002, quantity: 2, rating: 5}, {item_code: SW001, quantity: 1, rating: 5}]"/>
    <s v="PW002"/>
    <x v="4"/>
    <s v="Pakaian Wanita"/>
    <s v="2"/>
    <s v="5"/>
    <n v="125000"/>
    <n v="50000"/>
    <s v="SW001"/>
    <s v="Flat Shoes"/>
    <s v="Sepatu Wanita"/>
    <s v="1"/>
    <s v="5"/>
    <n v="150000"/>
    <n v="70000"/>
    <s v="-"/>
    <s v="-"/>
    <s v="-"/>
    <n v="0"/>
    <s v="-"/>
    <n v="0"/>
    <n v="0"/>
    <n v="3"/>
    <n v="400000"/>
    <n v="170000"/>
    <s v="BUKALEBAR"/>
    <n v="0.15"/>
    <n v="60000"/>
    <n v="340000"/>
    <n v="230000"/>
    <n v="170000"/>
    <s v="Promo Lebaran"/>
    <x v="2"/>
    <s v="BL"/>
    <x v="4"/>
    <x v="208"/>
  </r>
  <r>
    <n v="284"/>
    <s v="0284"/>
    <s v="ORD-SP-0284-11/08/24"/>
    <s v="[{item_code: PP001, quantity: 7, rating: 3}]"/>
    <s v="PP001"/>
    <x v="0"/>
    <s v="Pakaian Pria"/>
    <s v="7"/>
    <s v="3"/>
    <n v="80000"/>
    <n v="30000"/>
    <s v="-"/>
    <s v="-"/>
    <s v="-"/>
    <n v="0"/>
    <s v="-"/>
    <n v="0"/>
    <n v="0"/>
    <s v="-"/>
    <s v="-"/>
    <s v="-"/>
    <n v="0"/>
    <s v="-"/>
    <n v="0"/>
    <n v="0"/>
    <n v="7"/>
    <n v="560000"/>
    <n v="210000"/>
    <s v="DISC10"/>
    <n v="0.1"/>
    <n v="56000"/>
    <n v="504000"/>
    <n v="350000"/>
    <n v="294000"/>
    <s v="Promo 4.4"/>
    <x v="0"/>
    <s v="SP"/>
    <x v="3"/>
    <x v="209"/>
  </r>
  <r>
    <n v="831"/>
    <s v="0831"/>
    <s v="ORD-SP-0831-11/08/24"/>
    <s v="[{item_code: SP001, quantity: 2, rating: 5}, {item_code: PU001, quantity: 1, rating: 2}, {item_code: PW003, quantity: 2, rating: 4}]"/>
    <s v="SP001"/>
    <x v="9"/>
    <s v="Sepatu Pria"/>
    <s v="2"/>
    <s v="5"/>
    <n v="300000"/>
    <n v="100000"/>
    <s v="PU001"/>
    <s v="Jaket Hoodie"/>
    <s v="Pakaian Unisex"/>
    <s v="1"/>
    <s v="2"/>
    <n v="160000"/>
    <n v="60000"/>
    <s v="PW003"/>
    <s v="Kaftan"/>
    <s v="Pakaian Wanita"/>
    <s v="2"/>
    <s v="4"/>
    <n v="200000"/>
    <n v="100000"/>
    <n v="5"/>
    <n v="1160000"/>
    <n v="460000"/>
    <s v="DISC20"/>
    <n v="0.2"/>
    <n v="232000"/>
    <n v="928000"/>
    <n v="700000"/>
    <n v="468000"/>
    <s v="Promo Lebaran"/>
    <x v="0"/>
    <s v="SP"/>
    <x v="3"/>
    <x v="209"/>
  </r>
  <r>
    <n v="530"/>
    <s v="0530"/>
    <s v="ORD-SP-0530-12/08/24"/>
    <s v="[{item_code: SP001, quantity: 2, rating: 4}, {item_code: PU001, quantity: 1, rating: 3}, {item_code: PP002, quantity: 4, rating: 5}]"/>
    <s v="SP001"/>
    <x v="9"/>
    <s v="Sepatu Pria"/>
    <s v="2"/>
    <s v="4"/>
    <n v="300000"/>
    <n v="100000"/>
    <s v="PU001"/>
    <s v="Jaket Hoodie"/>
    <s v="Pakaian Unisex"/>
    <s v="1"/>
    <s v="3"/>
    <n v="160000"/>
    <n v="60000"/>
    <s v="PP002"/>
    <s v="Celana Pendek"/>
    <s v="Pakaian Pria"/>
    <s v="4"/>
    <s v="5"/>
    <n v="60000"/>
    <n v="25000"/>
    <n v="7"/>
    <n v="1000000"/>
    <n v="360000"/>
    <s v="DISC15"/>
    <n v="0.15"/>
    <n v="150000"/>
    <n v="850000"/>
    <n v="640000"/>
    <n v="490000"/>
    <s v="Promo 4.4"/>
    <x v="0"/>
    <s v="SP"/>
    <x v="2"/>
    <x v="210"/>
  </r>
  <r>
    <n v="642"/>
    <s v="0642"/>
    <s v="ORD-SP-0642-13/08/24"/>
    <s v="[{item_code: SW001, quantity: 1, rating: 3}]"/>
    <s v="SW001"/>
    <x v="8"/>
    <s v="Sepatu Wanita"/>
    <s v="1"/>
    <s v="3"/>
    <n v="150000"/>
    <n v="70000"/>
    <s v="-"/>
    <s v="-"/>
    <s v="-"/>
    <n v="0"/>
    <s v="-"/>
    <n v="0"/>
    <n v="0"/>
    <s v="-"/>
    <s v="-"/>
    <s v="-"/>
    <n v="0"/>
    <s v="-"/>
    <n v="0"/>
    <n v="0"/>
    <n v="1"/>
    <n v="150000"/>
    <n v="70000"/>
    <s v="DISC10"/>
    <n v="0.1"/>
    <n v="15000"/>
    <n v="135000"/>
    <n v="80000"/>
    <n v="65000"/>
    <s v="Promo 4.4"/>
    <x v="0"/>
    <s v="SP"/>
    <x v="0"/>
    <x v="211"/>
  </r>
  <r>
    <n v="16"/>
    <s v="0016"/>
    <s v="ORD-SP-0016-14/08/24"/>
    <s v="[{item_code: PP001, quantity: 1, rating: 1}]"/>
    <s v="PP001"/>
    <x v="0"/>
    <s v="Pakaian Pria"/>
    <s v="1"/>
    <s v="1"/>
    <n v="80000"/>
    <n v="30000"/>
    <s v="-"/>
    <s v="-"/>
    <s v="-"/>
    <n v="0"/>
    <s v="-"/>
    <n v="0"/>
    <n v="0"/>
    <s v="-"/>
    <s v="-"/>
    <s v="-"/>
    <n v="0"/>
    <s v="-"/>
    <n v="0"/>
    <n v="0"/>
    <n v="1"/>
    <n v="80000"/>
    <n v="30000"/>
    <s v="DISC15"/>
    <n v="0.15"/>
    <n v="12000"/>
    <n v="68000"/>
    <n v="50000"/>
    <n v="38000"/>
    <s v="Promo 4.4"/>
    <x v="0"/>
    <s v="SP"/>
    <x v="5"/>
    <x v="212"/>
  </r>
  <r>
    <n v="137"/>
    <s v="0137"/>
    <s v="ORD-BL-0137-14/08/24"/>
    <s v="[{item_code: PP003, quantity: 1, rating: 2}]"/>
    <s v="PP003"/>
    <x v="6"/>
    <s v="Pakaian Pria"/>
    <s v="1"/>
    <s v="2"/>
    <n v="150000"/>
    <n v="70000"/>
    <s v="-"/>
    <s v="-"/>
    <s v="-"/>
    <n v="0"/>
    <s v="-"/>
    <n v="0"/>
    <n v="0"/>
    <s v="-"/>
    <s v="-"/>
    <s v="-"/>
    <n v="0"/>
    <s v="-"/>
    <n v="0"/>
    <n v="0"/>
    <n v="1"/>
    <n v="150000"/>
    <n v="70000"/>
    <s v="BUKALEBAR"/>
    <n v="0.15"/>
    <n v="22500"/>
    <n v="127500"/>
    <n v="80000"/>
    <n v="57500"/>
    <s v="Promo Lebaran"/>
    <x v="2"/>
    <s v="BL"/>
    <x v="1"/>
    <x v="212"/>
  </r>
  <r>
    <n v="490"/>
    <s v="0490"/>
    <s v="ORD-BL-0490-14/08/24"/>
    <s v="[{item_code: SP001, quantity: 1, rating: 2}]"/>
    <s v="SP001"/>
    <x v="9"/>
    <s v="Sepatu Pria"/>
    <s v="1"/>
    <s v="2"/>
    <n v="300000"/>
    <n v="100000"/>
    <s v="-"/>
    <s v="-"/>
    <s v="-"/>
    <n v="0"/>
    <s v="-"/>
    <n v="0"/>
    <n v="0"/>
    <s v="-"/>
    <s v="-"/>
    <s v="-"/>
    <n v="0"/>
    <s v="-"/>
    <n v="0"/>
    <n v="0"/>
    <n v="1"/>
    <n v="300000"/>
    <n v="100000"/>
    <s v="BUKALEBAR"/>
    <n v="0.15"/>
    <n v="45000"/>
    <n v="255000"/>
    <n v="200000"/>
    <n v="155000"/>
    <s v="Promo Lebaran"/>
    <x v="2"/>
    <s v="BL"/>
    <x v="0"/>
    <x v="212"/>
  </r>
  <r>
    <n v="767"/>
    <s v="0767"/>
    <s v="ORD-TK-0767-14/08/24"/>
    <s v="[{item_code: PW001, quantity: 1, rating: 2}, {item_code: PP003, quantity: 1, rating: 1}]"/>
    <s v="PW001"/>
    <x v="2"/>
    <s v="Pakaian Wanita"/>
    <s v="1"/>
    <s v="2"/>
    <n v="150000"/>
    <n v="55000"/>
    <s v="PP003"/>
    <s v="Jaket Jeans"/>
    <s v="Pakaian Pria"/>
    <s v="1"/>
    <s v="1"/>
    <n v="150000"/>
    <n v="70000"/>
    <s v="-"/>
    <s v="-"/>
    <s v="-"/>
    <n v="0"/>
    <s v="-"/>
    <n v="0"/>
    <n v="0"/>
    <n v="2"/>
    <n v="300000"/>
    <n v="125000"/>
    <s v="LEBAR10"/>
    <n v="0.1"/>
    <n v="30000"/>
    <n v="270000"/>
    <n v="175000"/>
    <n v="145000"/>
    <s v="Promo Lebaran"/>
    <x v="1"/>
    <s v="TK"/>
    <x v="0"/>
    <x v="212"/>
  </r>
  <r>
    <n v="154"/>
    <s v="0154"/>
    <s v="ORD-SP-0154-15/08/24"/>
    <s v="[{item_code: PP001, quantity: 7, rating: 1}]"/>
    <s v="PP001"/>
    <x v="0"/>
    <s v="Pakaian Pria"/>
    <s v="7"/>
    <s v="1"/>
    <n v="80000"/>
    <n v="30000"/>
    <s v="-"/>
    <s v="-"/>
    <s v="-"/>
    <n v="0"/>
    <s v="-"/>
    <n v="0"/>
    <n v="0"/>
    <s v="-"/>
    <s v="-"/>
    <s v="-"/>
    <n v="0"/>
    <s v="-"/>
    <n v="0"/>
    <n v="0"/>
    <n v="7"/>
    <n v="560000"/>
    <n v="210000"/>
    <s v="-"/>
    <n v="0"/>
    <n v="0"/>
    <n v="560000"/>
    <n v="350000"/>
    <n v="350000"/>
    <s v="-"/>
    <x v="0"/>
    <s v="SP"/>
    <x v="0"/>
    <x v="213"/>
  </r>
  <r>
    <n v="324"/>
    <s v="0324"/>
    <s v="ORD-SP-0324-15/08/24"/>
    <s v="[{item_code: PP003, quantity: 4, rating: 4}, {item_code: PW001, quantity: 1, rating: 3}, {item_code: SP002, quantity: 2, rating: 4}]"/>
    <s v="PP003"/>
    <x v="6"/>
    <s v="Pakaian Pria"/>
    <s v="4"/>
    <s v="4"/>
    <n v="150000"/>
    <n v="70000"/>
    <s v="PW001"/>
    <s v="Dress"/>
    <s v="Pakaian Wanita"/>
    <s v="1"/>
    <s v="3"/>
    <n v="150000"/>
    <n v="55000"/>
    <s v="SP002"/>
    <s v="Sandal Slip On"/>
    <s v="Sepatu Pria"/>
    <s v="2"/>
    <s v="4"/>
    <n v="120000"/>
    <n v="60000"/>
    <n v="7"/>
    <n v="990000"/>
    <n v="455000"/>
    <s v="DISC10"/>
    <n v="0.1"/>
    <n v="99000"/>
    <n v="891000"/>
    <n v="535000"/>
    <n v="436000"/>
    <s v="Promo 4.4"/>
    <x v="0"/>
    <s v="SP"/>
    <x v="3"/>
    <x v="213"/>
  </r>
  <r>
    <n v="606"/>
    <s v="0606"/>
    <s v="ORD-BL-0606-15/08/24"/>
    <s v="[{item_code: SP002, quantity: 4, rating: 5}, {item_code: PP002, quantity: 3, rating: 1}]"/>
    <s v="SP002"/>
    <x v="1"/>
    <s v="Sepatu Pria"/>
    <s v="4"/>
    <s v="5"/>
    <n v="120000"/>
    <n v="60000"/>
    <s v="PP002"/>
    <s v="Celana Pendek"/>
    <s v="Pakaian Pria"/>
    <s v="3"/>
    <s v="1"/>
    <n v="60000"/>
    <n v="25000"/>
    <s v="-"/>
    <s v="-"/>
    <s v="-"/>
    <n v="0"/>
    <s v="-"/>
    <n v="0"/>
    <n v="0"/>
    <n v="7"/>
    <n v="660000"/>
    <n v="315000"/>
    <s v="-"/>
    <n v="0"/>
    <n v="0"/>
    <n v="660000"/>
    <n v="345000"/>
    <n v="345000"/>
    <s v="-"/>
    <x v="2"/>
    <s v="BL"/>
    <x v="0"/>
    <x v="213"/>
  </r>
  <r>
    <n v="943"/>
    <s v="0943"/>
    <s v="ORD-TK-0943-15/08/24"/>
    <s v="[{item_code: PW002, quantity: 1, rating: 3}, {item_code: SW001, quantity: 1, rating: 5}, {item_code: PP002, quantity: 1, rating: 5}]"/>
    <s v="PW002"/>
    <x v="4"/>
    <s v="Pakaian Wanita"/>
    <s v="1"/>
    <s v="3"/>
    <n v="125000"/>
    <n v="50000"/>
    <s v="SW001"/>
    <s v="Flat Shoes"/>
    <s v="Sepatu Wanita"/>
    <s v="1"/>
    <s v="5"/>
    <n v="150000"/>
    <n v="70000"/>
    <s v="PP002"/>
    <s v="Celana Pendek"/>
    <s v="Pakaian Pria"/>
    <s v="1"/>
    <s v="5"/>
    <n v="60000"/>
    <n v="25000"/>
    <n v="3"/>
    <n v="335000"/>
    <n v="145000"/>
    <s v="DISCAPRIL"/>
    <n v="0.1"/>
    <n v="33500"/>
    <n v="301500"/>
    <n v="190000"/>
    <n v="156500"/>
    <s v="Promo 4.4"/>
    <x v="1"/>
    <s v="TK"/>
    <x v="3"/>
    <x v="213"/>
  </r>
  <r>
    <n v="803"/>
    <s v="0803"/>
    <s v="ORD-SP-0803-16/08/24"/>
    <s v="[{item_code: PW003, quantity: 4, rating: 3}, {item_code: PU001, quantity: 1, rating: 4}]"/>
    <s v="PW003"/>
    <x v="3"/>
    <s v="Pakaian Wanita"/>
    <s v="4"/>
    <s v="3"/>
    <n v="200000"/>
    <n v="100000"/>
    <s v="PU001"/>
    <s v="Jaket Hoodie"/>
    <s v="Pakaian Unisex"/>
    <s v="1"/>
    <s v="4"/>
    <n v="160000"/>
    <n v="60000"/>
    <s v="-"/>
    <s v="-"/>
    <s v="-"/>
    <n v="0"/>
    <s v="-"/>
    <n v="0"/>
    <n v="0"/>
    <n v="5"/>
    <n v="960000"/>
    <n v="460000"/>
    <s v="DISC20"/>
    <n v="0.2"/>
    <n v="192000"/>
    <n v="768000"/>
    <n v="500000"/>
    <n v="308000"/>
    <s v="Promo Lebaran"/>
    <x v="0"/>
    <s v="SP"/>
    <x v="4"/>
    <x v="214"/>
  </r>
  <r>
    <n v="809"/>
    <s v="0809"/>
    <s v="ORD-SP-0809-16/08/24"/>
    <s v="[{item_code: PP001, quantity: 1, rating: 3}, {item_code: PW003, quantity: 2, rating: 5}, {item_code: PU001, quantity: 2, rating: 2}]"/>
    <s v="PP001"/>
    <x v="0"/>
    <s v="Pakaian Pria"/>
    <s v="1"/>
    <s v="3"/>
    <n v="80000"/>
    <n v="30000"/>
    <s v="PW003"/>
    <s v="Kaftan"/>
    <s v="Pakaian Wanita"/>
    <s v="2"/>
    <s v="5"/>
    <n v="200000"/>
    <n v="100000"/>
    <s v="PU001"/>
    <s v="Jaket Hoodie"/>
    <s v="Pakaian Unisex"/>
    <s v="2"/>
    <s v="2"/>
    <n v="160000"/>
    <n v="60000"/>
    <n v="5"/>
    <n v="800000"/>
    <n v="350000"/>
    <s v="DISC15"/>
    <n v="0.15"/>
    <n v="120000"/>
    <n v="680000"/>
    <n v="450000"/>
    <n v="330000"/>
    <s v="Promo 4.4"/>
    <x v="0"/>
    <s v="SP"/>
    <x v="2"/>
    <x v="214"/>
  </r>
  <r>
    <n v="358"/>
    <s v="0358"/>
    <s v="ORD-BB-0358-17/08/24"/>
    <s v="[{item_code: SW001, quantity: 1, rating: 2}, {item_code: PW001, quantity: 1, rating: 1}, {item_code: PW003, quantity: 2, rating: 3}]"/>
    <s v="SW001"/>
    <x v="8"/>
    <s v="Sepatu Wanita"/>
    <s v="1"/>
    <s v="2"/>
    <n v="150000"/>
    <n v="70000"/>
    <s v="PW001"/>
    <s v="Dress"/>
    <s v="Pakaian Wanita"/>
    <s v="1"/>
    <s v="1"/>
    <n v="150000"/>
    <n v="55000"/>
    <s v="PW003"/>
    <s v="Kaftan"/>
    <s v="Pakaian Wanita"/>
    <s v="2"/>
    <s v="3"/>
    <n v="200000"/>
    <n v="100000"/>
    <n v="4"/>
    <n v="700000"/>
    <n v="325000"/>
    <s v="BELI44"/>
    <n v="0.15"/>
    <n v="105000"/>
    <n v="595000"/>
    <n v="375000"/>
    <n v="270000"/>
    <s v="Promo 4.4"/>
    <x v="3"/>
    <s v="BB"/>
    <x v="1"/>
    <x v="215"/>
  </r>
  <r>
    <n v="856"/>
    <s v="0856"/>
    <s v="ORD-SP-0856-17/08/24"/>
    <s v="[{item_code: PP003, quantity: 2, rating: 5}, {item_code: PU001, quantity: 1, rating: 2}]"/>
    <s v="PP003"/>
    <x v="6"/>
    <s v="Pakaian Pria"/>
    <s v="2"/>
    <s v="5"/>
    <n v="150000"/>
    <n v="70000"/>
    <s v="PU001"/>
    <s v="Jaket Hoodie"/>
    <s v="Pakaian Unisex"/>
    <s v="1"/>
    <s v="2"/>
    <n v="160000"/>
    <n v="60000"/>
    <s v="-"/>
    <s v="-"/>
    <s v="-"/>
    <n v="0"/>
    <s v="-"/>
    <n v="0"/>
    <n v="0"/>
    <n v="3"/>
    <n v="460000"/>
    <n v="200000"/>
    <s v="DISC10"/>
    <n v="0.1"/>
    <n v="46000"/>
    <n v="414000"/>
    <n v="260000"/>
    <n v="214000"/>
    <s v="Promo 4.4"/>
    <x v="0"/>
    <s v="SP"/>
    <x v="2"/>
    <x v="215"/>
  </r>
  <r>
    <n v="298"/>
    <s v="0298"/>
    <s v="ORD-SP-0298-18/08/24"/>
    <s v="[{item_code: PW001, quantity: 4, rating: 1}, {item_code: PP001, quantity: 3, rating: 4}]"/>
    <s v="PW001"/>
    <x v="2"/>
    <s v="Pakaian Wanita"/>
    <s v="4"/>
    <s v="1"/>
    <n v="150000"/>
    <n v="55000"/>
    <s v="PP001"/>
    <s v="Kaos Polo"/>
    <s v="Pakaian Pria"/>
    <s v="3"/>
    <s v="4"/>
    <n v="80000"/>
    <n v="30000"/>
    <s v="-"/>
    <s v="-"/>
    <s v="-"/>
    <n v="0"/>
    <s v="-"/>
    <n v="0"/>
    <n v="0"/>
    <n v="7"/>
    <n v="840000"/>
    <n v="310000"/>
    <s v="DISC10"/>
    <n v="0.1"/>
    <n v="84000"/>
    <n v="756000"/>
    <n v="530000"/>
    <n v="446000"/>
    <s v="Promo 4.4"/>
    <x v="0"/>
    <s v="SP"/>
    <x v="4"/>
    <x v="216"/>
  </r>
  <r>
    <n v="421"/>
    <s v="0421"/>
    <s v="ORD-TK-0421-18/08/24"/>
    <s v="[{item_code: PW003, quantity: 1, rating: 4}]"/>
    <s v="PW003"/>
    <x v="3"/>
    <s v="Pakaian Wanita"/>
    <s v="1"/>
    <s v="4"/>
    <n v="200000"/>
    <n v="100000"/>
    <s v="-"/>
    <s v="-"/>
    <s v="-"/>
    <n v="0"/>
    <s v="-"/>
    <n v="0"/>
    <n v="0"/>
    <s v="-"/>
    <s v="-"/>
    <s v="-"/>
    <n v="0"/>
    <s v="-"/>
    <n v="0"/>
    <n v="0"/>
    <n v="1"/>
    <n v="200000"/>
    <n v="100000"/>
    <s v="LEBAR10"/>
    <n v="0.1"/>
    <n v="20000"/>
    <n v="180000"/>
    <n v="100000"/>
    <n v="80000"/>
    <s v="Promo Lebaran"/>
    <x v="1"/>
    <s v="TK"/>
    <x v="4"/>
    <x v="216"/>
  </r>
  <r>
    <n v="447"/>
    <s v="0447"/>
    <s v="ORD-TK-0447-18/08/24"/>
    <s v="[{item_code: PW001, quantity: 7, rating: 2}]"/>
    <s v="PW001"/>
    <x v="2"/>
    <s v="Pakaian Wanita"/>
    <s v="7"/>
    <s v="2"/>
    <n v="150000"/>
    <n v="55000"/>
    <s v="-"/>
    <s v="-"/>
    <s v="-"/>
    <n v="0"/>
    <s v="-"/>
    <n v="0"/>
    <n v="0"/>
    <s v="-"/>
    <s v="-"/>
    <s v="-"/>
    <n v="0"/>
    <s v="-"/>
    <n v="0"/>
    <n v="0"/>
    <n v="7"/>
    <n v="1050000"/>
    <n v="385000"/>
    <s v="LEBAR10"/>
    <n v="0.1"/>
    <n v="105000"/>
    <n v="945000"/>
    <n v="665000"/>
    <n v="560000"/>
    <s v="Promo Lebaran"/>
    <x v="1"/>
    <s v="TK"/>
    <x v="3"/>
    <x v="216"/>
  </r>
  <r>
    <n v="387"/>
    <s v="0387"/>
    <s v="ORD-SP-0387-19/08/24"/>
    <s v="[{item_code: PP002, quantity: 4, rating: 3}, {item_code: PU001, quantity: 1, rating: 2}, {item_code: SP001, quantity: 2, rating: 4}]"/>
    <s v="PP002"/>
    <x v="5"/>
    <s v="Pakaian Pria"/>
    <s v="4"/>
    <s v="3"/>
    <n v="60000"/>
    <n v="25000"/>
    <s v="PU001"/>
    <s v="Jaket Hoodie"/>
    <s v="Pakaian Unisex"/>
    <s v="1"/>
    <s v="2"/>
    <n v="160000"/>
    <n v="60000"/>
    <s v="SP001"/>
    <s v="Sneakers"/>
    <s v="Sepatu Pria"/>
    <s v="2"/>
    <s v="4"/>
    <n v="300000"/>
    <n v="100000"/>
    <n v="7"/>
    <n v="1000000"/>
    <n v="360000"/>
    <s v="DISC15"/>
    <n v="0.15"/>
    <n v="150000"/>
    <n v="850000"/>
    <n v="640000"/>
    <n v="490000"/>
    <s v="Promo 4.4"/>
    <x v="0"/>
    <s v="SP"/>
    <x v="3"/>
    <x v="217"/>
  </r>
  <r>
    <n v="412"/>
    <s v="0412"/>
    <s v="ORD-TK-0412-19/08/24"/>
    <s v="[{item_code: PP002, quantity: 4, rating: 4}, {item_code: PP001, quantity: 1, rating: 4}]"/>
    <s v="PP002"/>
    <x v="5"/>
    <s v="Pakaian Pria"/>
    <s v="4"/>
    <s v="4"/>
    <n v="60000"/>
    <n v="25000"/>
    <s v="PP001"/>
    <s v="Kaos Polo"/>
    <s v="Pakaian Pria"/>
    <s v="1"/>
    <s v="4"/>
    <n v="80000"/>
    <n v="30000"/>
    <s v="-"/>
    <s v="-"/>
    <s v="-"/>
    <n v="0"/>
    <s v="-"/>
    <n v="0"/>
    <n v="0"/>
    <n v="5"/>
    <n v="320000"/>
    <n v="130000"/>
    <s v="LEBAR10"/>
    <n v="0.1"/>
    <n v="32000"/>
    <n v="288000"/>
    <n v="190000"/>
    <n v="158000"/>
    <s v="Promo Lebaran"/>
    <x v="1"/>
    <s v="TK"/>
    <x v="1"/>
    <x v="217"/>
  </r>
  <r>
    <n v="659"/>
    <s v="0659"/>
    <s v="ORD-TK-0659-19/08/24"/>
    <s v="[{item_code: PW002, quantity: 2, rating: 1}, {item_code: PP003, quantity: 2, rating: 2}, {item_code: SP001, quantity: 2, rating: 3}]"/>
    <s v="PW002"/>
    <x v="4"/>
    <s v="Pakaian Wanita"/>
    <s v="2"/>
    <s v="1"/>
    <n v="125000"/>
    <n v="50000"/>
    <s v="PP003"/>
    <s v="Jaket Jeans"/>
    <s v="Pakaian Pria"/>
    <s v="2"/>
    <s v="2"/>
    <n v="150000"/>
    <n v="70000"/>
    <s v="SP001"/>
    <s v="Sneakers"/>
    <s v="Sepatu Pria"/>
    <s v="2"/>
    <s v="3"/>
    <n v="300000"/>
    <n v="100000"/>
    <n v="6"/>
    <n v="1150000"/>
    <n v="440000"/>
    <s v="LEBAR10"/>
    <n v="0.1"/>
    <n v="115000"/>
    <n v="1035000"/>
    <n v="710000"/>
    <n v="595000"/>
    <s v="Promo Lebaran"/>
    <x v="1"/>
    <s v="TK"/>
    <x v="0"/>
    <x v="217"/>
  </r>
  <r>
    <n v="51"/>
    <s v="0051"/>
    <s v="ORD-BB-0051-20/08/24"/>
    <s v="[{item_code: PW002, quantity: 5, rating: 4}, {item_code: SP001, quantity: 1, rating: 3}]"/>
    <s v="PW002"/>
    <x v="4"/>
    <s v="Pakaian Wanita"/>
    <s v="5"/>
    <s v="4"/>
    <n v="125000"/>
    <n v="50000"/>
    <s v="SP001"/>
    <s v="Sneakers"/>
    <s v="Sepatu Pria"/>
    <s v="1"/>
    <s v="3"/>
    <n v="300000"/>
    <n v="100000"/>
    <s v="-"/>
    <s v="-"/>
    <s v="-"/>
    <n v="0"/>
    <s v="-"/>
    <n v="0"/>
    <n v="0"/>
    <n v="6"/>
    <n v="925000"/>
    <n v="350000"/>
    <s v="BELI44"/>
    <n v="0.15"/>
    <n v="138750"/>
    <n v="786250"/>
    <n v="575000"/>
    <n v="436250"/>
    <s v="Promo 4.4"/>
    <x v="3"/>
    <s v="BB"/>
    <x v="0"/>
    <x v="218"/>
  </r>
  <r>
    <n v="972"/>
    <s v="0972"/>
    <s v="ORD-BL-0972-20/08/24"/>
    <s v="[{item_code: PU001, quantity: 4, rating: 3}, {item_code: PW002, quantity: 1, rating: 5}, {item_code: SW001, quantity: 1, rating: 4}]"/>
    <s v="PU001"/>
    <x v="7"/>
    <s v="Pakaian Unisex"/>
    <s v="4"/>
    <s v="3"/>
    <n v="160000"/>
    <n v="60000"/>
    <s v="PW002"/>
    <s v="Blouse"/>
    <s v="Pakaian Wanita"/>
    <s v="1"/>
    <s v="5"/>
    <n v="125000"/>
    <n v="50000"/>
    <s v="SW001"/>
    <s v="Flat Shoes"/>
    <s v="Sepatu Wanita"/>
    <s v="1"/>
    <s v="4"/>
    <n v="150000"/>
    <n v="70000"/>
    <n v="6"/>
    <n v="915000"/>
    <n v="360000"/>
    <s v="BUKALEBAR"/>
    <n v="0.15"/>
    <n v="137250"/>
    <n v="777750"/>
    <n v="555000"/>
    <n v="417750"/>
    <s v="Promo Lebaran"/>
    <x v="2"/>
    <s v="BL"/>
    <x v="4"/>
    <x v="218"/>
  </r>
  <r>
    <n v="4"/>
    <s v="0004"/>
    <s v="ORD-SP-0004-21/08/24"/>
    <s v="[{item_code: PP001, quantity: 1, rating: 1}, {item_code: PP002, quantity: 1, rating: 3}, {item_code: PU001, quantity: 3, rating: 2}]"/>
    <s v="PP001"/>
    <x v="0"/>
    <s v="Pakaian Pria"/>
    <s v="1"/>
    <s v="1"/>
    <n v="80000"/>
    <n v="30000"/>
    <s v="PP002"/>
    <s v="Celana Pendek"/>
    <s v="Pakaian Pria"/>
    <s v="1"/>
    <s v="3"/>
    <n v="60000"/>
    <n v="25000"/>
    <s v="PU001"/>
    <s v="Jaket Hoodie"/>
    <s v="Pakaian Unisex"/>
    <s v="3"/>
    <s v="2"/>
    <n v="160000"/>
    <n v="60000"/>
    <n v="5"/>
    <n v="620000"/>
    <n v="235000"/>
    <s v="DISC20"/>
    <n v="0.2"/>
    <n v="124000"/>
    <n v="496000"/>
    <n v="385000"/>
    <n v="261000"/>
    <s v="Promo Lebaran"/>
    <x v="0"/>
    <s v="SP"/>
    <x v="0"/>
    <x v="219"/>
  </r>
  <r>
    <n v="186"/>
    <s v="0186"/>
    <s v="ORD-BB-0186-21/08/24"/>
    <s v="[{item_code: PP001, quantity: 4, rating: 2}, {item_code: PW001, quantity: 1, rating: 4}]"/>
    <s v="PP001"/>
    <x v="0"/>
    <s v="Pakaian Pria"/>
    <s v="4"/>
    <s v="2"/>
    <n v="80000"/>
    <n v="30000"/>
    <s v="PW001"/>
    <s v="Dress"/>
    <s v="Pakaian Wanita"/>
    <s v="1"/>
    <s v="4"/>
    <n v="150000"/>
    <n v="55000"/>
    <s v="-"/>
    <s v="-"/>
    <s v="-"/>
    <n v="0"/>
    <s v="-"/>
    <n v="0"/>
    <n v="0"/>
    <n v="5"/>
    <n v="470000"/>
    <n v="175000"/>
    <s v="BELI44"/>
    <n v="0.15"/>
    <n v="70500"/>
    <n v="399500"/>
    <n v="295000"/>
    <n v="224500"/>
    <s v="Promo 4.4"/>
    <x v="3"/>
    <s v="BB"/>
    <x v="3"/>
    <x v="219"/>
  </r>
  <r>
    <n v="596"/>
    <s v="0596"/>
    <s v="ORD-SP-0596-21/08/24"/>
    <s v="[{item_code: PW003, quantity: 1, rating: 3}, {item_code: PP002, quantity: 5, rating: 2}]"/>
    <s v="PW003"/>
    <x v="3"/>
    <s v="Pakaian Wanita"/>
    <s v="1"/>
    <s v="3"/>
    <n v="200000"/>
    <n v="100000"/>
    <s v="PP002"/>
    <s v="Celana Pendek"/>
    <s v="Pakaian Pria"/>
    <s v="5"/>
    <s v="2"/>
    <n v="60000"/>
    <n v="25000"/>
    <s v="-"/>
    <s v="-"/>
    <s v="-"/>
    <n v="0"/>
    <s v="-"/>
    <n v="0"/>
    <n v="0"/>
    <n v="6"/>
    <n v="500000"/>
    <n v="225000"/>
    <s v="DISC15"/>
    <n v="0.15"/>
    <n v="75000"/>
    <n v="425000"/>
    <n v="275000"/>
    <n v="200000"/>
    <s v="Promo 4.4"/>
    <x v="0"/>
    <s v="SP"/>
    <x v="0"/>
    <x v="219"/>
  </r>
  <r>
    <n v="673"/>
    <s v="0673"/>
    <s v="ORD-TK-0673-21/08/24"/>
    <s v="[{item_code: PW003, quantity: 1, rating: 2}]"/>
    <s v="PW003"/>
    <x v="3"/>
    <s v="Pakaian Wanita"/>
    <s v="1"/>
    <s v="2"/>
    <n v="200000"/>
    <n v="100000"/>
    <s v="-"/>
    <s v="-"/>
    <s v="-"/>
    <n v="0"/>
    <s v="-"/>
    <n v="0"/>
    <n v="0"/>
    <s v="-"/>
    <s v="-"/>
    <s v="-"/>
    <n v="0"/>
    <s v="-"/>
    <n v="0"/>
    <n v="0"/>
    <n v="1"/>
    <n v="200000"/>
    <n v="100000"/>
    <s v="LEBAR10"/>
    <n v="0.1"/>
    <n v="20000"/>
    <n v="180000"/>
    <n v="100000"/>
    <n v="80000"/>
    <s v="Promo Lebaran"/>
    <x v="1"/>
    <s v="TK"/>
    <x v="5"/>
    <x v="219"/>
  </r>
  <r>
    <n v="714"/>
    <s v="0714"/>
    <s v="ORD-SP-0714-21/08/24"/>
    <s v="[{item_code: PP001, quantity: 2, rating: 2}, {item_code: SP002, quantity: 1, rating: 3}]"/>
    <s v="PP001"/>
    <x v="0"/>
    <s v="Pakaian Pria"/>
    <s v="2"/>
    <s v="2"/>
    <n v="80000"/>
    <n v="30000"/>
    <s v="SP002"/>
    <s v="Sandal Slip On"/>
    <s v="Sepatu Pria"/>
    <s v="1"/>
    <s v="3"/>
    <n v="120000"/>
    <n v="60000"/>
    <s v="-"/>
    <s v="-"/>
    <s v="-"/>
    <n v="0"/>
    <s v="-"/>
    <n v="0"/>
    <n v="0"/>
    <n v="3"/>
    <n v="280000"/>
    <n v="120000"/>
    <s v="DISC20"/>
    <n v="0.2"/>
    <n v="56000"/>
    <n v="224000"/>
    <n v="160000"/>
    <n v="104000"/>
    <s v="Promo Lebaran"/>
    <x v="0"/>
    <s v="SP"/>
    <x v="5"/>
    <x v="219"/>
  </r>
  <r>
    <n v="158"/>
    <s v="0158"/>
    <s v="ORD-SP-0158-22/08/24"/>
    <s v="[{item_code: PU001, quantity: 4, rating: 3}, {item_code: PP003, quantity: 2, rating: 5}]"/>
    <s v="PU001"/>
    <x v="7"/>
    <s v="Pakaian Unisex"/>
    <s v="4"/>
    <s v="3"/>
    <n v="160000"/>
    <n v="60000"/>
    <s v="PP003"/>
    <s v="Jaket Jeans"/>
    <s v="Pakaian Pria"/>
    <s v="2"/>
    <s v="5"/>
    <n v="150000"/>
    <n v="70000"/>
    <s v="-"/>
    <s v="-"/>
    <s v="-"/>
    <n v="0"/>
    <s v="-"/>
    <n v="0"/>
    <n v="0"/>
    <n v="6"/>
    <n v="940000"/>
    <n v="380000"/>
    <s v="DISC15"/>
    <n v="0.15"/>
    <n v="141000"/>
    <n v="799000"/>
    <n v="560000"/>
    <n v="419000"/>
    <s v="Promo 4.4"/>
    <x v="0"/>
    <s v="SP"/>
    <x v="1"/>
    <x v="220"/>
  </r>
  <r>
    <n v="583"/>
    <s v="0583"/>
    <s v="ORD-BL-0583-22/08/24"/>
    <s v="[{item_code: PW001, quantity: 2, rating: 2}]"/>
    <s v="PW001"/>
    <x v="2"/>
    <s v="Pakaian Wanita"/>
    <s v="2"/>
    <s v="2"/>
    <n v="150000"/>
    <n v="55000"/>
    <s v="-"/>
    <s v="-"/>
    <s v="-"/>
    <n v="0"/>
    <s v="-"/>
    <n v="0"/>
    <n v="0"/>
    <s v="-"/>
    <s v="-"/>
    <s v="-"/>
    <n v="0"/>
    <s v="-"/>
    <n v="0"/>
    <n v="0"/>
    <n v="2"/>
    <n v="300000"/>
    <n v="110000"/>
    <s v="BUKALEBAR"/>
    <n v="0.15"/>
    <n v="45000"/>
    <n v="255000"/>
    <n v="190000"/>
    <n v="145000"/>
    <s v="Promo Lebaran"/>
    <x v="2"/>
    <s v="BL"/>
    <x v="4"/>
    <x v="220"/>
  </r>
  <r>
    <n v="641"/>
    <s v="0641"/>
    <s v="ORD-TK-0641-22/08/24"/>
    <s v="[{item_code: PU001, quantity: 2, rating: 2}]"/>
    <s v="PU001"/>
    <x v="7"/>
    <s v="Pakaian Unisex"/>
    <s v="2"/>
    <s v="2"/>
    <n v="160000"/>
    <n v="60000"/>
    <s v="-"/>
    <s v="-"/>
    <s v="-"/>
    <n v="0"/>
    <s v="-"/>
    <n v="0"/>
    <n v="0"/>
    <s v="-"/>
    <s v="-"/>
    <s v="-"/>
    <n v="0"/>
    <s v="-"/>
    <n v="0"/>
    <n v="0"/>
    <n v="2"/>
    <n v="320000"/>
    <n v="120000"/>
    <s v="DISCAPRIL"/>
    <n v="0.1"/>
    <n v="32000"/>
    <n v="288000"/>
    <n v="200000"/>
    <n v="168000"/>
    <s v="Promo 4.4"/>
    <x v="1"/>
    <s v="TK"/>
    <x v="4"/>
    <x v="220"/>
  </r>
  <r>
    <n v="840"/>
    <s v="0840"/>
    <s v="ORD-SP-0840-22/08/24"/>
    <s v="[{item_code: PU001, quantity: 3, rating: 2}, {item_code: PW003, quantity: 1, rating: 5}, {item_code: PP002, quantity: 2, rating: 3}]"/>
    <s v="PU001"/>
    <x v="7"/>
    <s v="Pakaian Unisex"/>
    <s v="3"/>
    <s v="2"/>
    <n v="160000"/>
    <n v="60000"/>
    <s v="PW003"/>
    <s v="Kaftan"/>
    <s v="Pakaian Wanita"/>
    <s v="1"/>
    <s v="5"/>
    <n v="200000"/>
    <n v="100000"/>
    <s v="PP002"/>
    <s v="Celana Pendek"/>
    <s v="Pakaian Pria"/>
    <s v="2"/>
    <s v="3"/>
    <n v="60000"/>
    <n v="25000"/>
    <n v="6"/>
    <n v="800000"/>
    <n v="330000"/>
    <s v="DISC20"/>
    <n v="0.2"/>
    <n v="160000"/>
    <n v="640000"/>
    <n v="470000"/>
    <n v="310000"/>
    <s v="Promo Lebaran"/>
    <x v="0"/>
    <s v="SP"/>
    <x v="4"/>
    <x v="220"/>
  </r>
  <r>
    <n v="351"/>
    <s v="0351"/>
    <s v="ORD-SP-0351-23/08/24"/>
    <s v="[{item_code: PW001, quantity: 6, rating: 5}, {item_code: SP002, quantity: 1, rating: 1}]"/>
    <s v="PW001"/>
    <x v="2"/>
    <s v="Pakaian Wanita"/>
    <s v="6"/>
    <s v="5"/>
    <n v="150000"/>
    <n v="55000"/>
    <s v="SP002"/>
    <s v="Sandal Slip On"/>
    <s v="Sepatu Pria"/>
    <s v="1"/>
    <s v="1"/>
    <n v="120000"/>
    <n v="60000"/>
    <s v="-"/>
    <s v="-"/>
    <s v="-"/>
    <n v="0"/>
    <s v="-"/>
    <n v="0"/>
    <n v="0"/>
    <n v="7"/>
    <n v="1020000"/>
    <n v="390000"/>
    <s v="-"/>
    <n v="0"/>
    <n v="0"/>
    <n v="1020000"/>
    <n v="630000"/>
    <n v="630000"/>
    <s v="-"/>
    <x v="0"/>
    <s v="SP"/>
    <x v="3"/>
    <x v="221"/>
  </r>
  <r>
    <n v="471"/>
    <s v="0471"/>
    <s v="ORD-SP-0471-23/08/24"/>
    <s v="[{item_code: PW002, quantity: 6, rating: 5}, {item_code: SP001, quantity: 1, rating: 3}]"/>
    <s v="PW002"/>
    <x v="4"/>
    <s v="Pakaian Wanita"/>
    <s v="6"/>
    <s v="5"/>
    <n v="125000"/>
    <n v="50000"/>
    <s v="SP001"/>
    <s v="Sneakers"/>
    <s v="Sepatu Pria"/>
    <s v="1"/>
    <s v="3"/>
    <n v="300000"/>
    <n v="100000"/>
    <s v="-"/>
    <s v="-"/>
    <s v="-"/>
    <n v="0"/>
    <s v="-"/>
    <n v="0"/>
    <n v="0"/>
    <n v="7"/>
    <n v="1050000"/>
    <n v="400000"/>
    <s v="DISC20"/>
    <n v="0.2"/>
    <n v="210000"/>
    <n v="840000"/>
    <n v="650000"/>
    <n v="440000"/>
    <s v="Promo Lebaran"/>
    <x v="0"/>
    <s v="SP"/>
    <x v="1"/>
    <x v="221"/>
  </r>
  <r>
    <n v="532"/>
    <s v="0532"/>
    <s v="ORD-SP-0532-23/08/24"/>
    <s v="[{item_code: SP002, quantity: 1, rating: 1}, {item_code: PW002, quantity: 2, rating: 2}]"/>
    <s v="SP002"/>
    <x v="1"/>
    <s v="Sepatu Pria"/>
    <s v="1"/>
    <s v="1"/>
    <n v="120000"/>
    <n v="60000"/>
    <s v="PW002"/>
    <s v="Blouse"/>
    <s v="Pakaian Wanita"/>
    <s v="2"/>
    <s v="2"/>
    <n v="125000"/>
    <n v="50000"/>
    <s v="-"/>
    <s v="-"/>
    <s v="-"/>
    <n v="0"/>
    <s v="-"/>
    <n v="0"/>
    <n v="0"/>
    <n v="3"/>
    <n v="370000"/>
    <n v="160000"/>
    <s v="DISC15"/>
    <n v="0.15"/>
    <n v="55500"/>
    <n v="314500"/>
    <n v="210000"/>
    <n v="154500"/>
    <s v="Promo 4.4"/>
    <x v="0"/>
    <s v="SP"/>
    <x v="3"/>
    <x v="221"/>
  </r>
  <r>
    <n v="885"/>
    <s v="0885"/>
    <s v="ORD-BB-0885-23/08/24"/>
    <s v="[{item_code: SP001, quantity: 4, rating: 5}, {item_code: PP001, quantity: 1, rating: 5}]"/>
    <s v="SP001"/>
    <x v="9"/>
    <s v="Sepatu Pria"/>
    <s v="4"/>
    <s v="5"/>
    <n v="300000"/>
    <n v="100000"/>
    <s v="PP001"/>
    <s v="Kaos Polo"/>
    <s v="Pakaian Pria"/>
    <s v="1"/>
    <s v="5"/>
    <n v="80000"/>
    <n v="30000"/>
    <s v="-"/>
    <s v="-"/>
    <s v="-"/>
    <n v="0"/>
    <s v="-"/>
    <n v="0"/>
    <n v="0"/>
    <n v="5"/>
    <n v="1280000"/>
    <n v="430000"/>
    <s v="BELI44"/>
    <n v="0.15"/>
    <n v="192000"/>
    <n v="1088000"/>
    <n v="850000"/>
    <n v="658000"/>
    <s v="Promo 4.4"/>
    <x v="3"/>
    <s v="BB"/>
    <x v="0"/>
    <x v="221"/>
  </r>
  <r>
    <n v="920"/>
    <s v="0920"/>
    <s v="ORD-SP-0920-23/08/24"/>
    <s v="[{item_code: PP001, quantity: 1, rating: 5}]"/>
    <s v="PP001"/>
    <x v="0"/>
    <s v="Pakaian Pria"/>
    <s v="1"/>
    <s v="5"/>
    <n v="80000"/>
    <n v="30000"/>
    <s v="-"/>
    <s v="-"/>
    <s v="-"/>
    <n v="0"/>
    <s v="-"/>
    <n v="0"/>
    <n v="0"/>
    <s v="-"/>
    <s v="-"/>
    <s v="-"/>
    <n v="0"/>
    <s v="-"/>
    <n v="0"/>
    <n v="0"/>
    <n v="1"/>
    <n v="80000"/>
    <n v="30000"/>
    <s v="DISC15"/>
    <n v="0.15"/>
    <n v="12000"/>
    <n v="68000"/>
    <n v="50000"/>
    <n v="38000"/>
    <s v="Promo 4.4"/>
    <x v="0"/>
    <s v="SP"/>
    <x v="2"/>
    <x v="221"/>
  </r>
  <r>
    <n v="118"/>
    <s v="0118"/>
    <s v="ORD-TK-0118-24/08/24"/>
    <s v="[{item_code: SW001, quantity: 1, rating: 5}, {item_code: PW003, quantity: 1, rating: 2}]"/>
    <s v="SW001"/>
    <x v="8"/>
    <s v="Sepatu Wanita"/>
    <s v="1"/>
    <s v="5"/>
    <n v="150000"/>
    <n v="70000"/>
    <s v="PW003"/>
    <s v="Kaftan"/>
    <s v="Pakaian Wanita"/>
    <s v="1"/>
    <s v="2"/>
    <n v="200000"/>
    <n v="100000"/>
    <s v="-"/>
    <s v="-"/>
    <s v="-"/>
    <n v="0"/>
    <s v="-"/>
    <n v="0"/>
    <n v="0"/>
    <n v="2"/>
    <n v="350000"/>
    <n v="170000"/>
    <s v="LEBAR10"/>
    <n v="0.1"/>
    <n v="35000"/>
    <n v="315000"/>
    <n v="180000"/>
    <n v="145000"/>
    <s v="Promo Lebaran"/>
    <x v="1"/>
    <s v="TK"/>
    <x v="2"/>
    <x v="222"/>
  </r>
  <r>
    <n v="355"/>
    <s v="0355"/>
    <s v="ORD-SP-0355-25/08/24"/>
    <s v="[{item_code: PU001, quantity: 4, rating: 1}, {item_code: PW002, quantity: 1, rating: 2}, {item_code: PW001, quantity: 1, rating: 2}]"/>
    <s v="PU001"/>
    <x v="7"/>
    <s v="Pakaian Unisex"/>
    <s v="4"/>
    <s v="1"/>
    <n v="160000"/>
    <n v="60000"/>
    <s v="PW002"/>
    <s v="Blouse"/>
    <s v="Pakaian Wanita"/>
    <s v="1"/>
    <s v="2"/>
    <n v="125000"/>
    <n v="50000"/>
    <s v="PW001"/>
    <s v="Dress"/>
    <s v="Pakaian Wanita"/>
    <s v="1"/>
    <s v="2"/>
    <n v="150000"/>
    <n v="55000"/>
    <n v="6"/>
    <n v="915000"/>
    <n v="345000"/>
    <s v="DISC20"/>
    <n v="0.2"/>
    <n v="183000"/>
    <n v="732000"/>
    <n v="570000"/>
    <n v="387000"/>
    <s v="Promo Lebaran"/>
    <x v="0"/>
    <s v="SP"/>
    <x v="4"/>
    <x v="223"/>
  </r>
  <r>
    <n v="944"/>
    <s v="0944"/>
    <s v="ORD-SP-0944-25/08/24"/>
    <s v="[{item_code: SP002, quantity: 5, rating: 4}]"/>
    <s v="SP002"/>
    <x v="1"/>
    <s v="Sepatu Pria"/>
    <s v="5"/>
    <s v="4"/>
    <n v="120000"/>
    <n v="60000"/>
    <s v="-"/>
    <s v="-"/>
    <s v="-"/>
    <n v="0"/>
    <s v="-"/>
    <n v="0"/>
    <n v="0"/>
    <s v="-"/>
    <s v="-"/>
    <s v="-"/>
    <n v="0"/>
    <s v="-"/>
    <n v="0"/>
    <n v="0"/>
    <n v="5"/>
    <n v="600000"/>
    <n v="300000"/>
    <s v="DISC15"/>
    <n v="0.15"/>
    <n v="90000"/>
    <n v="510000"/>
    <n v="300000"/>
    <n v="210000"/>
    <s v="Promo 4.4"/>
    <x v="0"/>
    <s v="SP"/>
    <x v="3"/>
    <x v="223"/>
  </r>
  <r>
    <n v="987"/>
    <s v="0987"/>
    <s v="ORD-SP-0987-25/08/24"/>
    <s v="[{item_code: SP002, quantity: 5, rating: 3}, {item_code: SW001, quantity: 1, rating: 1}]"/>
    <s v="SP002"/>
    <x v="1"/>
    <s v="Sepatu Pria"/>
    <s v="5"/>
    <s v="3"/>
    <n v="120000"/>
    <n v="60000"/>
    <s v="SW001"/>
    <s v="Flat Shoes"/>
    <s v="Sepatu Wanita"/>
    <s v="1"/>
    <s v="1"/>
    <n v="150000"/>
    <n v="70000"/>
    <s v="-"/>
    <s v="-"/>
    <s v="-"/>
    <n v="0"/>
    <s v="-"/>
    <n v="0"/>
    <n v="0"/>
    <n v="6"/>
    <n v="750000"/>
    <n v="370000"/>
    <s v="DISC10"/>
    <n v="0.1"/>
    <n v="75000"/>
    <n v="675000"/>
    <n v="380000"/>
    <n v="305000"/>
    <s v="Promo 4.4"/>
    <x v="0"/>
    <s v="SP"/>
    <x v="4"/>
    <x v="223"/>
  </r>
  <r>
    <n v="15"/>
    <s v="0015"/>
    <s v="ORD-BB-0015-26/08/24"/>
    <s v="[{item_code: PP002, quantity: 1, rating: 2}, {item_code: PW002, quantity: 1, rating: 4}, {item_code: SP002, quantity: 3, rating: 5}]"/>
    <s v="PP002"/>
    <x v="5"/>
    <s v="Pakaian Pria"/>
    <s v="1"/>
    <s v="2"/>
    <n v="60000"/>
    <n v="25000"/>
    <s v="PW002"/>
    <s v="Blouse"/>
    <s v="Pakaian Wanita"/>
    <s v="1"/>
    <s v="4"/>
    <n v="125000"/>
    <n v="50000"/>
    <s v="SP002"/>
    <s v="Sandal Slip On"/>
    <s v="Sepatu Pria"/>
    <s v="3"/>
    <s v="5"/>
    <n v="120000"/>
    <n v="60000"/>
    <n v="5"/>
    <n v="545000"/>
    <n v="255000"/>
    <s v="BELI44"/>
    <n v="0.15"/>
    <n v="81750"/>
    <n v="463250"/>
    <n v="290000"/>
    <n v="208250"/>
    <s v="Promo 4.4"/>
    <x v="3"/>
    <s v="BB"/>
    <x v="4"/>
    <x v="224"/>
  </r>
  <r>
    <n v="115"/>
    <s v="0115"/>
    <s v="ORD-TK-0115-26/08/24"/>
    <s v="[{item_code: PP002, quantity: 2, rating: 3}, {item_code: PW003, quantity: 1, rating: 4}]"/>
    <s v="PP002"/>
    <x v="5"/>
    <s v="Pakaian Pria"/>
    <s v="2"/>
    <s v="3"/>
    <n v="60000"/>
    <n v="25000"/>
    <s v="PW003"/>
    <s v="Kaftan"/>
    <s v="Pakaian Wanita"/>
    <s v="1"/>
    <s v="4"/>
    <n v="200000"/>
    <n v="100000"/>
    <s v="-"/>
    <s v="-"/>
    <s v="-"/>
    <n v="0"/>
    <s v="-"/>
    <n v="0"/>
    <n v="0"/>
    <n v="3"/>
    <n v="320000"/>
    <n v="150000"/>
    <s v="DISCAPRIL"/>
    <n v="0.1"/>
    <n v="32000"/>
    <n v="288000"/>
    <n v="170000"/>
    <n v="138000"/>
    <s v="Promo 4.4"/>
    <x v="1"/>
    <s v="TK"/>
    <x v="4"/>
    <x v="224"/>
  </r>
  <r>
    <n v="245"/>
    <s v="0245"/>
    <s v="ORD-SP-0245-26/08/24"/>
    <s v="[{item_code: PP002, quantity: 1, rating: 5}]"/>
    <s v="PP002"/>
    <x v="5"/>
    <s v="Pakaian Pria"/>
    <s v="1"/>
    <s v="5"/>
    <n v="60000"/>
    <n v="25000"/>
    <s v="-"/>
    <s v="-"/>
    <s v="-"/>
    <n v="0"/>
    <s v="-"/>
    <n v="0"/>
    <n v="0"/>
    <s v="-"/>
    <s v="-"/>
    <s v="-"/>
    <n v="0"/>
    <s v="-"/>
    <n v="0"/>
    <n v="0"/>
    <n v="1"/>
    <n v="60000"/>
    <n v="25000"/>
    <s v="DISC20"/>
    <n v="0.2"/>
    <n v="12000"/>
    <n v="48000"/>
    <n v="35000"/>
    <n v="23000"/>
    <s v="Promo Lebaran"/>
    <x v="0"/>
    <s v="SP"/>
    <x v="4"/>
    <x v="224"/>
  </r>
  <r>
    <n v="591"/>
    <s v="0591"/>
    <s v="ORD-BL-0591-26/08/24"/>
    <s v="[{item_code: SW001, quantity: 1, rating: 4}, {item_code: PP002, quantity: 1, rating: 4}]"/>
    <s v="SW001"/>
    <x v="8"/>
    <s v="Sepatu Wanita"/>
    <s v="1"/>
    <s v="4"/>
    <n v="150000"/>
    <n v="70000"/>
    <s v="PP002"/>
    <s v="Celana Pendek"/>
    <s v="Pakaian Pria"/>
    <s v="1"/>
    <s v="4"/>
    <n v="60000"/>
    <n v="25000"/>
    <s v="-"/>
    <s v="-"/>
    <s v="-"/>
    <n v="0"/>
    <s v="-"/>
    <n v="0"/>
    <n v="0"/>
    <n v="2"/>
    <n v="210000"/>
    <n v="95000"/>
    <s v="-"/>
    <n v="0"/>
    <n v="0"/>
    <n v="210000"/>
    <n v="115000"/>
    <n v="115000"/>
    <s v="-"/>
    <x v="2"/>
    <s v="BL"/>
    <x v="5"/>
    <x v="224"/>
  </r>
  <r>
    <n v="733"/>
    <s v="0733"/>
    <s v="ORD-TK-0733-26/08/24"/>
    <s v="[{item_code: PP002, quantity: 1, rating: 2}, {item_code: SP002, quantity: 3, rating: 3}]"/>
    <s v="PP002"/>
    <x v="5"/>
    <s v="Pakaian Pria"/>
    <s v="1"/>
    <s v="2"/>
    <n v="60000"/>
    <n v="25000"/>
    <s v="SP002"/>
    <s v="Sandal Slip On"/>
    <s v="Sepatu Pria"/>
    <s v="3"/>
    <s v="3"/>
    <n v="120000"/>
    <n v="60000"/>
    <s v="-"/>
    <s v="-"/>
    <s v="-"/>
    <n v="0"/>
    <s v="-"/>
    <n v="0"/>
    <n v="0"/>
    <n v="4"/>
    <n v="420000"/>
    <n v="205000"/>
    <s v="LEBAR10"/>
    <n v="0.1"/>
    <n v="42000"/>
    <n v="378000"/>
    <n v="215000"/>
    <n v="173000"/>
    <s v="Promo Lebaran"/>
    <x v="1"/>
    <s v="TK"/>
    <x v="4"/>
    <x v="224"/>
  </r>
  <r>
    <n v="951"/>
    <s v="0951"/>
    <s v="ORD-TK-0951-26/08/24"/>
    <s v="[{item_code: PP003, quantity: 2, rating: 2}, {item_code: PW003, quantity: 1, rating: 4}, {item_code: SW001, quantity: 3, rating: 5}]"/>
    <s v="PP003"/>
    <x v="6"/>
    <s v="Pakaian Pria"/>
    <s v="2"/>
    <s v="2"/>
    <n v="150000"/>
    <n v="70000"/>
    <s v="PW003"/>
    <s v="Kaftan"/>
    <s v="Pakaian Wanita"/>
    <s v="1"/>
    <s v="4"/>
    <n v="200000"/>
    <n v="100000"/>
    <s v="SW001"/>
    <s v="Flat Shoes"/>
    <s v="Sepatu Wanita"/>
    <s v="3"/>
    <s v="5"/>
    <n v="150000"/>
    <n v="70000"/>
    <n v="6"/>
    <n v="950000"/>
    <n v="450000"/>
    <s v="LEBAR10"/>
    <n v="0.1"/>
    <n v="95000"/>
    <n v="855000"/>
    <n v="500000"/>
    <n v="405000"/>
    <s v="Promo Lebaran"/>
    <x v="1"/>
    <s v="TK"/>
    <x v="2"/>
    <x v="224"/>
  </r>
  <r>
    <n v="212"/>
    <s v="0212"/>
    <s v="ORD-BB-0212-27/08/24"/>
    <s v="[{item_code: PW003, quantity: 1, rating: 5}]"/>
    <s v="PW003"/>
    <x v="3"/>
    <s v="Pakaian Wanita"/>
    <s v="1"/>
    <s v="5"/>
    <n v="200000"/>
    <n v="100000"/>
    <s v="-"/>
    <s v="-"/>
    <s v="-"/>
    <n v="0"/>
    <s v="-"/>
    <n v="0"/>
    <n v="0"/>
    <s v="-"/>
    <s v="-"/>
    <s v="-"/>
    <n v="0"/>
    <s v="-"/>
    <n v="0"/>
    <n v="0"/>
    <n v="1"/>
    <n v="200000"/>
    <n v="100000"/>
    <s v="BELI44"/>
    <n v="0.15"/>
    <n v="30000"/>
    <n v="170000"/>
    <n v="100000"/>
    <n v="70000"/>
    <s v="Promo 4.4"/>
    <x v="3"/>
    <s v="BB"/>
    <x v="1"/>
    <x v="225"/>
  </r>
  <r>
    <n v="237"/>
    <s v="0237"/>
    <s v="ORD-BB-0237-27/08/24"/>
    <s v="[{item_code: PW003, quantity: 3, rating: 3}]"/>
    <s v="PW003"/>
    <x v="3"/>
    <s v="Pakaian Wanita"/>
    <s v="3"/>
    <s v="3"/>
    <n v="200000"/>
    <n v="100000"/>
    <s v="-"/>
    <s v="-"/>
    <s v="-"/>
    <n v="0"/>
    <s v="-"/>
    <n v="0"/>
    <n v="0"/>
    <s v="-"/>
    <s v="-"/>
    <s v="-"/>
    <n v="0"/>
    <s v="-"/>
    <n v="0"/>
    <n v="0"/>
    <n v="3"/>
    <n v="600000"/>
    <n v="300000"/>
    <s v="BELI44"/>
    <n v="0.15"/>
    <n v="90000"/>
    <n v="510000"/>
    <n v="300000"/>
    <n v="210000"/>
    <s v="Promo 4.4"/>
    <x v="3"/>
    <s v="BB"/>
    <x v="3"/>
    <x v="225"/>
  </r>
  <r>
    <n v="665"/>
    <s v="0665"/>
    <s v="ORD-SP-0665-28/08/24"/>
    <s v="[{item_code: PP003, quantity: 2, rating: 5}, {item_code: PP002, quantity: 2, rating: 4}, {item_code: SW001, quantity: 1, rating: 5}]"/>
    <s v="PP003"/>
    <x v="6"/>
    <s v="Pakaian Pria"/>
    <s v="2"/>
    <s v="5"/>
    <n v="150000"/>
    <n v="70000"/>
    <s v="PP002"/>
    <s v="Celana Pendek"/>
    <s v="Pakaian Pria"/>
    <s v="2"/>
    <s v="4"/>
    <n v="60000"/>
    <n v="25000"/>
    <s v="SW001"/>
    <s v="Flat Shoes"/>
    <s v="Sepatu Wanita"/>
    <s v="1"/>
    <s v="5"/>
    <n v="150000"/>
    <n v="70000"/>
    <n v="5"/>
    <n v="570000"/>
    <n v="260000"/>
    <s v="DISC15"/>
    <n v="0.15"/>
    <n v="85500"/>
    <n v="484500"/>
    <n v="310000"/>
    <n v="224500"/>
    <s v="Promo 4.4"/>
    <x v="0"/>
    <s v="SP"/>
    <x v="3"/>
    <x v="226"/>
  </r>
  <r>
    <n v="788"/>
    <s v="0788"/>
    <s v="ORD-SP-0788-28/08/24"/>
    <s v="[{item_code: PU001, quantity: 6, rating: 4}, {item_code: PW002, quantity: 1, rating: 2}]"/>
    <s v="PU001"/>
    <x v="7"/>
    <s v="Pakaian Unisex"/>
    <s v="6"/>
    <s v="4"/>
    <n v="160000"/>
    <n v="60000"/>
    <s v="PW002"/>
    <s v="Blouse"/>
    <s v="Pakaian Wanita"/>
    <s v="1"/>
    <s v="2"/>
    <n v="125000"/>
    <n v="50000"/>
    <s v="-"/>
    <s v="-"/>
    <s v="-"/>
    <n v="0"/>
    <s v="-"/>
    <n v="0"/>
    <n v="0"/>
    <n v="7"/>
    <n v="1085000"/>
    <n v="410000"/>
    <s v="-"/>
    <n v="0"/>
    <n v="0"/>
    <n v="1085000"/>
    <n v="675000"/>
    <n v="675000"/>
    <s v="-"/>
    <x v="0"/>
    <s v="SP"/>
    <x v="4"/>
    <x v="226"/>
  </r>
  <r>
    <n v="893"/>
    <s v="0893"/>
    <s v="ORD-TK-0893-28/08/24"/>
    <s v="[{item_code: PU001, quantity: 1, rating: 1}, {item_code: SP001, quantity: 1, rating: 2}, {item_code: SP002, quantity: 3, rating: 2}]"/>
    <s v="PU001"/>
    <x v="7"/>
    <s v="Pakaian Unisex"/>
    <s v="1"/>
    <s v="1"/>
    <n v="160000"/>
    <n v="60000"/>
    <s v="SP001"/>
    <s v="Sneakers"/>
    <s v="Sepatu Pria"/>
    <s v="1"/>
    <s v="2"/>
    <n v="300000"/>
    <n v="100000"/>
    <s v="SP002"/>
    <s v="Sandal Slip On"/>
    <s v="Sepatu Pria"/>
    <s v="3"/>
    <s v="2"/>
    <n v="120000"/>
    <n v="60000"/>
    <n v="5"/>
    <n v="820000"/>
    <n v="340000"/>
    <s v="DISCAPRIL"/>
    <n v="0.1"/>
    <n v="82000"/>
    <n v="738000"/>
    <n v="480000"/>
    <n v="398000"/>
    <s v="Promo 4.4"/>
    <x v="1"/>
    <s v="TK"/>
    <x v="4"/>
    <x v="226"/>
  </r>
  <r>
    <n v="438"/>
    <s v="0438"/>
    <s v="ORD-SP-0438-29/08/24"/>
    <s v="[{item_code: PU001, quantity: 2, rating: 1}, {item_code: PP003, quantity: 1, rating: 3}]"/>
    <s v="PU001"/>
    <x v="7"/>
    <s v="Pakaian Unisex"/>
    <s v="2"/>
    <s v="1"/>
    <n v="160000"/>
    <n v="60000"/>
    <s v="PP003"/>
    <s v="Jaket Jeans"/>
    <s v="Pakaian Pria"/>
    <s v="1"/>
    <s v="3"/>
    <n v="150000"/>
    <n v="70000"/>
    <s v="-"/>
    <s v="-"/>
    <s v="-"/>
    <n v="0"/>
    <s v="-"/>
    <n v="0"/>
    <n v="0"/>
    <n v="3"/>
    <n v="470000"/>
    <n v="190000"/>
    <s v="DISC20"/>
    <n v="0.2"/>
    <n v="94000"/>
    <n v="376000"/>
    <n v="280000"/>
    <n v="186000"/>
    <s v="Promo Lebaran"/>
    <x v="0"/>
    <s v="SP"/>
    <x v="3"/>
    <x v="227"/>
  </r>
  <r>
    <n v="892"/>
    <s v="0892"/>
    <s v="ORD-BL-0892-29/08/24"/>
    <s v="[{item_code: PP001, quantity: 1, rating: 4}, {item_code: PP002, quantity: 1, rating: 2}]"/>
    <s v="PP001"/>
    <x v="0"/>
    <s v="Pakaian Pria"/>
    <s v="1"/>
    <s v="4"/>
    <n v="80000"/>
    <n v="30000"/>
    <s v="PP002"/>
    <s v="Celana Pendek"/>
    <s v="Pakaian Pria"/>
    <s v="1"/>
    <s v="2"/>
    <n v="60000"/>
    <n v="25000"/>
    <s v="-"/>
    <s v="-"/>
    <s v="-"/>
    <n v="0"/>
    <s v="-"/>
    <n v="0"/>
    <n v="0"/>
    <n v="2"/>
    <n v="140000"/>
    <n v="55000"/>
    <s v="BUKALEBAR"/>
    <n v="0.15"/>
    <n v="21000"/>
    <n v="119000"/>
    <n v="85000"/>
    <n v="64000"/>
    <s v="Promo Lebaran"/>
    <x v="2"/>
    <s v="BL"/>
    <x v="3"/>
    <x v="227"/>
  </r>
  <r>
    <n v="187"/>
    <s v="0187"/>
    <s v="ORD-TK-0187-30/08/24"/>
    <s v="[{item_code: PU001, quantity: 1, rating: 2}, {item_code: PP001, quantity: 1, rating: 5}]"/>
    <s v="PU001"/>
    <x v="7"/>
    <s v="Pakaian Unisex"/>
    <s v="1"/>
    <s v="2"/>
    <n v="160000"/>
    <n v="60000"/>
    <s v="PP001"/>
    <s v="Kaos Polo"/>
    <s v="Pakaian Pria"/>
    <s v="1"/>
    <s v="5"/>
    <n v="80000"/>
    <n v="30000"/>
    <s v="-"/>
    <s v="-"/>
    <s v="-"/>
    <n v="0"/>
    <s v="-"/>
    <n v="0"/>
    <n v="0"/>
    <n v="2"/>
    <n v="240000"/>
    <n v="90000"/>
    <s v="LEBAR10"/>
    <n v="0.1"/>
    <n v="24000"/>
    <n v="216000"/>
    <n v="150000"/>
    <n v="126000"/>
    <s v="Promo Lebaran"/>
    <x v="1"/>
    <s v="TK"/>
    <x v="1"/>
    <x v="228"/>
  </r>
  <r>
    <n v="842"/>
    <s v="0842"/>
    <s v="ORD-SP-0842-30/08/24"/>
    <s v="[{item_code: SP001, quantity: 1, rating: 5}, {item_code: PW001, quantity: 6, rating: 4}]"/>
    <s v="SP001"/>
    <x v="9"/>
    <s v="Sepatu Pria"/>
    <s v="1"/>
    <s v="5"/>
    <n v="300000"/>
    <n v="100000"/>
    <s v="PW001"/>
    <s v="Dress"/>
    <s v="Pakaian Wanita"/>
    <s v="6"/>
    <s v="4"/>
    <n v="150000"/>
    <n v="55000"/>
    <s v="-"/>
    <s v="-"/>
    <s v="-"/>
    <n v="0"/>
    <s v="-"/>
    <n v="0"/>
    <n v="0"/>
    <n v="7"/>
    <n v="1200000"/>
    <n v="430000"/>
    <s v="-"/>
    <n v="0"/>
    <n v="0"/>
    <n v="1200000"/>
    <n v="770000"/>
    <n v="770000"/>
    <s v="-"/>
    <x v="0"/>
    <s v="SP"/>
    <x v="3"/>
    <x v="228"/>
  </r>
  <r>
    <n v="860"/>
    <s v="0860"/>
    <s v="ORD-SP-0860-30/08/24"/>
    <s v="[{item_code: PU001, quantity: 6, rating: 1}]"/>
    <s v="PU001"/>
    <x v="7"/>
    <s v="Pakaian Unisex"/>
    <s v="6"/>
    <s v="1"/>
    <n v="160000"/>
    <n v="60000"/>
    <s v="-"/>
    <s v="-"/>
    <s v="-"/>
    <n v="0"/>
    <s v="-"/>
    <n v="0"/>
    <n v="0"/>
    <s v="-"/>
    <s v="-"/>
    <s v="-"/>
    <n v="0"/>
    <s v="-"/>
    <n v="0"/>
    <n v="0"/>
    <n v="6"/>
    <n v="960000"/>
    <n v="360000"/>
    <s v="DISC10"/>
    <n v="0.1"/>
    <n v="96000"/>
    <n v="864000"/>
    <n v="600000"/>
    <n v="504000"/>
    <s v="Promo 4.4"/>
    <x v="0"/>
    <s v="SP"/>
    <x v="0"/>
    <x v="228"/>
  </r>
  <r>
    <n v="514"/>
    <s v="0514"/>
    <s v="ORD-SP-0514-31/08/24"/>
    <s v="[{item_code: PU001, quantity: 2, rating: 4}, {item_code: PW003, quantity: 2, rating: 2}]"/>
    <s v="PU001"/>
    <x v="7"/>
    <s v="Pakaian Unisex"/>
    <s v="2"/>
    <s v="4"/>
    <n v="160000"/>
    <n v="60000"/>
    <s v="PW003"/>
    <s v="Kaftan"/>
    <s v="Pakaian Wanita"/>
    <s v="2"/>
    <s v="2"/>
    <n v="200000"/>
    <n v="100000"/>
    <s v="-"/>
    <s v="-"/>
    <s v="-"/>
    <n v="0"/>
    <s v="-"/>
    <n v="0"/>
    <n v="0"/>
    <n v="4"/>
    <n v="720000"/>
    <n v="320000"/>
    <s v="DISC20"/>
    <n v="0.2"/>
    <n v="144000"/>
    <n v="576000"/>
    <n v="400000"/>
    <n v="256000"/>
    <s v="Promo Lebaran"/>
    <x v="0"/>
    <s v="SP"/>
    <x v="4"/>
    <x v="229"/>
  </r>
  <r>
    <n v="535"/>
    <s v="0535"/>
    <s v="ORD-SP-0535-31/08/24"/>
    <s v="[{item_code: PP001, quantity: 4, rating: 4}]"/>
    <s v="PP001"/>
    <x v="0"/>
    <s v="Pakaian Pria"/>
    <s v="4"/>
    <s v="4"/>
    <n v="80000"/>
    <n v="30000"/>
    <s v="-"/>
    <s v="-"/>
    <s v="-"/>
    <n v="0"/>
    <s v="-"/>
    <n v="0"/>
    <n v="0"/>
    <s v="-"/>
    <s v="-"/>
    <s v="-"/>
    <n v="0"/>
    <s v="-"/>
    <n v="0"/>
    <n v="0"/>
    <n v="4"/>
    <n v="320000"/>
    <n v="120000"/>
    <s v="DISC10"/>
    <n v="0.1"/>
    <n v="32000"/>
    <n v="288000"/>
    <n v="200000"/>
    <n v="168000"/>
    <s v="Promo 4.4"/>
    <x v="0"/>
    <s v="SP"/>
    <x v="3"/>
    <x v="229"/>
  </r>
  <r>
    <n v="746"/>
    <s v="0746"/>
    <s v="ORD-SP-0746-31/08/24"/>
    <s v="[{item_code: PP003, quantity: 6, rating: 3}]"/>
    <s v="PP003"/>
    <x v="6"/>
    <s v="Pakaian Pria"/>
    <s v="6"/>
    <s v="3"/>
    <n v="150000"/>
    <n v="70000"/>
    <s v="-"/>
    <s v="-"/>
    <s v="-"/>
    <n v="0"/>
    <s v="-"/>
    <n v="0"/>
    <n v="0"/>
    <s v="-"/>
    <s v="-"/>
    <s v="-"/>
    <n v="0"/>
    <s v="-"/>
    <n v="0"/>
    <n v="0"/>
    <n v="6"/>
    <n v="900000"/>
    <n v="420000"/>
    <s v="DISC10"/>
    <n v="0.1"/>
    <n v="90000"/>
    <n v="810000"/>
    <n v="480000"/>
    <n v="390000"/>
    <s v="Promo 4.4"/>
    <x v="0"/>
    <s v="SP"/>
    <x v="0"/>
    <x v="229"/>
  </r>
  <r>
    <n v="751"/>
    <s v="0751"/>
    <s v="ORD-SP-0751-31/08/24"/>
    <s v="[{item_code: PP003, quantity: 2, rating: 2}, {item_code: SP002, quantity: 5, rating: 2}]"/>
    <s v="PP003"/>
    <x v="6"/>
    <s v="Pakaian Pria"/>
    <s v="2"/>
    <s v="2"/>
    <n v="150000"/>
    <n v="70000"/>
    <s v="SP002"/>
    <s v="Sandal Slip On"/>
    <s v="Sepatu Pria"/>
    <s v="5"/>
    <s v="2"/>
    <n v="120000"/>
    <n v="60000"/>
    <s v="-"/>
    <s v="-"/>
    <s v="-"/>
    <n v="0"/>
    <s v="-"/>
    <n v="0"/>
    <n v="0"/>
    <n v="7"/>
    <n v="900000"/>
    <n v="440000"/>
    <s v="-"/>
    <n v="0"/>
    <n v="0"/>
    <n v="900000"/>
    <n v="460000"/>
    <n v="460000"/>
    <s v="-"/>
    <x v="0"/>
    <s v="SP"/>
    <x v="3"/>
    <x v="229"/>
  </r>
  <r>
    <n v="823"/>
    <s v="0823"/>
    <s v="ORD-SP-0823-02/09/24"/>
    <s v="[{item_code: PW002, quantity: 2, rating: 2}, {item_code: SW001, quantity: 1, rating: 1}, {item_code: PP001, quantity: 4, rating: 2}]"/>
    <s v="PW002"/>
    <x v="4"/>
    <s v="Pakaian Wanita"/>
    <s v="2"/>
    <s v="2"/>
    <n v="125000"/>
    <n v="50000"/>
    <s v="SW001"/>
    <s v="Flat Shoes"/>
    <s v="Sepatu Wanita"/>
    <s v="1"/>
    <s v="1"/>
    <n v="150000"/>
    <n v="70000"/>
    <s v="PP001"/>
    <s v="Kaos Polo"/>
    <s v="Pakaian Pria"/>
    <s v="4"/>
    <s v="2"/>
    <n v="80000"/>
    <n v="30000"/>
    <n v="7"/>
    <n v="720000"/>
    <n v="290000"/>
    <s v="DISC15"/>
    <n v="0.15"/>
    <n v="108000"/>
    <n v="612000"/>
    <n v="430000"/>
    <n v="322000"/>
    <s v="Promo 4.4"/>
    <x v="0"/>
    <s v="SP"/>
    <x v="3"/>
    <x v="230"/>
  </r>
  <r>
    <n v="220"/>
    <s v="0220"/>
    <s v="ORD-TK-0220-03/09/24"/>
    <s v="[{item_code: SP002, quantity: 1, rating: 2}, {item_code: PW003, quantity: 3, rating: 5}, {item_code: SW001, quantity: 3, rating: 5}]"/>
    <s v="SP002"/>
    <x v="1"/>
    <s v="Sepatu Pria"/>
    <s v="1"/>
    <s v="2"/>
    <n v="120000"/>
    <n v="60000"/>
    <s v="PW003"/>
    <s v="Kaftan"/>
    <s v="Pakaian Wanita"/>
    <s v="3"/>
    <s v="5"/>
    <n v="200000"/>
    <n v="100000"/>
    <s v="SW001"/>
    <s v="Flat Shoes"/>
    <s v="Sepatu Wanita"/>
    <s v="3"/>
    <s v="5"/>
    <n v="150000"/>
    <n v="70000"/>
    <n v="7"/>
    <n v="1170000"/>
    <n v="570000"/>
    <s v="DISCAPRIL"/>
    <n v="0.1"/>
    <n v="117000"/>
    <n v="1053000"/>
    <n v="600000"/>
    <n v="483000"/>
    <s v="Promo 4.4"/>
    <x v="1"/>
    <s v="TK"/>
    <x v="2"/>
    <x v="231"/>
  </r>
  <r>
    <n v="291"/>
    <s v="0291"/>
    <s v="ORD-SP-0291-03/09/24"/>
    <s v="[{item_code: SP002, quantity: 1, rating: 4}, {item_code: SP001, quantity: 1, rating: 4}]"/>
    <s v="SP002"/>
    <x v="1"/>
    <s v="Sepatu Pria"/>
    <s v="1"/>
    <s v="4"/>
    <n v="120000"/>
    <n v="60000"/>
    <s v="SP001"/>
    <s v="Sneakers"/>
    <s v="Sepatu Pria"/>
    <s v="1"/>
    <s v="4"/>
    <n v="300000"/>
    <n v="100000"/>
    <s v="-"/>
    <s v="-"/>
    <s v="-"/>
    <n v="0"/>
    <s v="-"/>
    <n v="0"/>
    <n v="0"/>
    <n v="2"/>
    <n v="420000"/>
    <n v="160000"/>
    <s v="DISC15"/>
    <n v="0.15"/>
    <n v="63000"/>
    <n v="357000"/>
    <n v="260000"/>
    <n v="197000"/>
    <s v="Promo 4.4"/>
    <x v="0"/>
    <s v="SP"/>
    <x v="3"/>
    <x v="231"/>
  </r>
  <r>
    <n v="593"/>
    <s v="0593"/>
    <s v="ORD-BL-0593-03/09/24"/>
    <s v="[{item_code: SP001, quantity: 1, rating: 3}, {item_code: SP002, quantity: 1, rating: 3}]"/>
    <s v="SP001"/>
    <x v="9"/>
    <s v="Sepatu Pria"/>
    <s v="1"/>
    <s v="3"/>
    <n v="300000"/>
    <n v="100000"/>
    <s v="SP002"/>
    <s v="Sandal Slip On"/>
    <s v="Sepatu Pria"/>
    <s v="1"/>
    <s v="3"/>
    <n v="120000"/>
    <n v="60000"/>
    <s v="-"/>
    <s v="-"/>
    <s v="-"/>
    <n v="0"/>
    <s v="-"/>
    <n v="0"/>
    <n v="0"/>
    <n v="2"/>
    <n v="420000"/>
    <n v="160000"/>
    <s v="BUKALEBAR"/>
    <n v="0.15"/>
    <n v="63000"/>
    <n v="357000"/>
    <n v="260000"/>
    <n v="197000"/>
    <s v="Promo Lebaran"/>
    <x v="2"/>
    <s v="BL"/>
    <x v="1"/>
    <x v="231"/>
  </r>
  <r>
    <n v="232"/>
    <s v="0232"/>
    <s v="ORD-TK-0232-04/09/24"/>
    <s v="[{item_code: PW001, quantity: 4, rating: 1}, {item_code: PP002, quantity: 1, rating: 2}, {item_code: PW001, quantity: 1, rating: 3}]"/>
    <s v="PW001"/>
    <x v="2"/>
    <s v="Pakaian Wanita"/>
    <s v="4"/>
    <s v="1"/>
    <n v="150000"/>
    <n v="55000"/>
    <s v="PP002"/>
    <s v="Celana Pendek"/>
    <s v="Pakaian Pria"/>
    <s v="1"/>
    <s v="2"/>
    <n v="60000"/>
    <n v="25000"/>
    <s v="PW001"/>
    <s v="Dress"/>
    <s v="Pakaian Wanita"/>
    <s v="1"/>
    <s v="3"/>
    <n v="150000"/>
    <n v="55000"/>
    <n v="6"/>
    <n v="810000"/>
    <n v="300000"/>
    <s v="LEBAR10"/>
    <n v="0.1"/>
    <n v="81000"/>
    <n v="729000"/>
    <n v="510000"/>
    <n v="429000"/>
    <s v="Promo Lebaran"/>
    <x v="1"/>
    <s v="TK"/>
    <x v="1"/>
    <x v="232"/>
  </r>
  <r>
    <n v="272"/>
    <s v="0272"/>
    <s v="ORD-TK-0272-04/09/24"/>
    <s v="[{item_code: SP002, quantity: 5, rating: 2}]"/>
    <s v="SP002"/>
    <x v="1"/>
    <s v="Sepatu Pria"/>
    <s v="5"/>
    <s v="2"/>
    <n v="120000"/>
    <n v="60000"/>
    <s v="-"/>
    <s v="-"/>
    <s v="-"/>
    <n v="0"/>
    <s v="-"/>
    <n v="0"/>
    <n v="0"/>
    <s v="-"/>
    <s v="-"/>
    <s v="-"/>
    <n v="0"/>
    <s v="-"/>
    <n v="0"/>
    <n v="0"/>
    <n v="5"/>
    <n v="600000"/>
    <n v="300000"/>
    <s v="LEBAR10"/>
    <n v="0.1"/>
    <n v="60000"/>
    <n v="540000"/>
    <n v="300000"/>
    <n v="240000"/>
    <s v="Promo Lebaran"/>
    <x v="1"/>
    <s v="TK"/>
    <x v="3"/>
    <x v="232"/>
  </r>
  <r>
    <n v="742"/>
    <s v="0742"/>
    <s v="ORD-TK-0742-04/09/24"/>
    <s v="[{item_code: PW002, quantity: 1, rating: 1}, {item_code: PP002, quantity: 2, rating: 4}, {item_code: SP002, quantity: 1, rating: 1}]"/>
    <s v="PW002"/>
    <x v="4"/>
    <s v="Pakaian Wanita"/>
    <s v="1"/>
    <s v="1"/>
    <n v="125000"/>
    <n v="50000"/>
    <s v="PP002"/>
    <s v="Celana Pendek"/>
    <s v="Pakaian Pria"/>
    <s v="2"/>
    <s v="4"/>
    <n v="60000"/>
    <n v="25000"/>
    <s v="SP002"/>
    <s v="Sandal Slip On"/>
    <s v="Sepatu Pria"/>
    <s v="1"/>
    <s v="1"/>
    <n v="120000"/>
    <n v="60000"/>
    <n v="4"/>
    <n v="365000"/>
    <n v="160000"/>
    <s v="DISCAPRIL"/>
    <n v="0.1"/>
    <n v="36500"/>
    <n v="328500"/>
    <n v="205000"/>
    <n v="168500"/>
    <s v="Promo 4.4"/>
    <x v="1"/>
    <s v="TK"/>
    <x v="3"/>
    <x v="232"/>
  </r>
  <r>
    <n v="708"/>
    <s v="0708"/>
    <s v="ORD-SP-0708-05/09/24"/>
    <s v="[{item_code: SW001, quantity: 2, rating: 4}, {item_code: PP003, quantity: 3, rating: 4}, {item_code: SW001, quantity: 2, rating: 3}]"/>
    <s v="SW001"/>
    <x v="8"/>
    <s v="Sepatu Wanita"/>
    <s v="2"/>
    <s v="4"/>
    <n v="150000"/>
    <n v="70000"/>
    <s v="PP003"/>
    <s v="Jaket Jeans"/>
    <s v="Pakaian Pria"/>
    <s v="3"/>
    <s v="4"/>
    <n v="150000"/>
    <n v="70000"/>
    <s v="SW001"/>
    <s v="Flat Shoes"/>
    <s v="Sepatu Wanita"/>
    <s v="2"/>
    <s v="3"/>
    <n v="150000"/>
    <n v="70000"/>
    <n v="7"/>
    <n v="1050000"/>
    <n v="490000"/>
    <s v="DISC10"/>
    <n v="0.1"/>
    <n v="105000"/>
    <n v="945000"/>
    <n v="560000"/>
    <n v="455000"/>
    <s v="Promo 4.4"/>
    <x v="0"/>
    <s v="SP"/>
    <x v="2"/>
    <x v="233"/>
  </r>
  <r>
    <n v="344"/>
    <s v="0344"/>
    <s v="ORD-SP-0344-06/09/24"/>
    <s v="[{item_code: PP001, quantity: 1, rating: 2}, {item_code: SP002, quantity: 1, rating: 3}, {item_code: PW003, quantity: 2, rating: 1}]"/>
    <s v="PP001"/>
    <x v="0"/>
    <s v="Pakaian Pria"/>
    <s v="1"/>
    <s v="2"/>
    <n v="80000"/>
    <n v="30000"/>
    <s v="SP002"/>
    <s v="Sandal Slip On"/>
    <s v="Sepatu Pria"/>
    <s v="1"/>
    <s v="3"/>
    <n v="120000"/>
    <n v="60000"/>
    <s v="PW003"/>
    <s v="Kaftan"/>
    <s v="Pakaian Wanita"/>
    <s v="2"/>
    <s v="1"/>
    <n v="200000"/>
    <n v="100000"/>
    <n v="4"/>
    <n v="600000"/>
    <n v="290000"/>
    <s v="-"/>
    <n v="0"/>
    <n v="0"/>
    <n v="600000"/>
    <n v="310000"/>
    <n v="310000"/>
    <s v="-"/>
    <x v="0"/>
    <s v="SP"/>
    <x v="2"/>
    <x v="234"/>
  </r>
  <r>
    <n v="494"/>
    <s v="0494"/>
    <s v="ORD-BB-0494-06/09/24"/>
    <s v="[{item_code: PW002, quantity: 1, rating: 4}, {item_code: PP001, quantity: 1, rating: 5}, {item_code: SW001, quantity: 1, rating: 5}]"/>
    <s v="PW002"/>
    <x v="4"/>
    <s v="Pakaian Wanita"/>
    <s v="1"/>
    <s v="4"/>
    <n v="125000"/>
    <n v="50000"/>
    <s v="PP001"/>
    <s v="Kaos Polo"/>
    <s v="Pakaian Pria"/>
    <s v="1"/>
    <s v="5"/>
    <n v="80000"/>
    <n v="30000"/>
    <s v="SW001"/>
    <s v="Flat Shoes"/>
    <s v="Sepatu Wanita"/>
    <s v="1"/>
    <s v="5"/>
    <n v="150000"/>
    <n v="70000"/>
    <n v="3"/>
    <n v="355000"/>
    <n v="150000"/>
    <s v="BELI44"/>
    <n v="0.15"/>
    <n v="53250"/>
    <n v="301750"/>
    <n v="205000"/>
    <n v="151750"/>
    <s v="Promo 4.4"/>
    <x v="3"/>
    <s v="BB"/>
    <x v="4"/>
    <x v="234"/>
  </r>
  <r>
    <n v="653"/>
    <s v="0653"/>
    <s v="ORD-BL-0653-06/09/24"/>
    <s v="[{item_code: PP002, quantity: 1, rating: 5}, {item_code: PP003, quantity: 3, rating: 2}, {item_code: PW003, quantity: 1, rating: 3}]"/>
    <s v="PP002"/>
    <x v="5"/>
    <s v="Pakaian Pria"/>
    <s v="1"/>
    <s v="5"/>
    <n v="60000"/>
    <n v="25000"/>
    <s v="PP003"/>
    <s v="Jaket Jeans"/>
    <s v="Pakaian Pria"/>
    <s v="3"/>
    <s v="2"/>
    <n v="150000"/>
    <n v="70000"/>
    <s v="PW003"/>
    <s v="Kaftan"/>
    <s v="Pakaian Wanita"/>
    <s v="1"/>
    <s v="3"/>
    <n v="200000"/>
    <n v="100000"/>
    <n v="5"/>
    <n v="710000"/>
    <n v="335000"/>
    <s v="BUKALEBAR"/>
    <n v="0.15"/>
    <n v="106500"/>
    <n v="603500"/>
    <n v="375000"/>
    <n v="268500"/>
    <s v="Promo Lebaran"/>
    <x v="2"/>
    <s v="BL"/>
    <x v="3"/>
    <x v="234"/>
  </r>
  <r>
    <n v="844"/>
    <s v="0844"/>
    <s v="ORD-TK-0844-06/09/24"/>
    <s v="[{item_code: SP002, quantity: 1, rating: 5}]"/>
    <s v="SP002"/>
    <x v="1"/>
    <s v="Sepatu Pria"/>
    <s v="1"/>
    <s v="5"/>
    <n v="120000"/>
    <n v="60000"/>
    <s v="-"/>
    <s v="-"/>
    <s v="-"/>
    <n v="0"/>
    <s v="-"/>
    <n v="0"/>
    <n v="0"/>
    <s v="-"/>
    <s v="-"/>
    <s v="-"/>
    <n v="0"/>
    <s v="-"/>
    <n v="0"/>
    <n v="0"/>
    <n v="1"/>
    <n v="120000"/>
    <n v="60000"/>
    <s v="LEBAR10"/>
    <n v="0.1"/>
    <n v="12000"/>
    <n v="108000"/>
    <n v="60000"/>
    <n v="48000"/>
    <s v="Promo Lebaran"/>
    <x v="1"/>
    <s v="TK"/>
    <x v="3"/>
    <x v="234"/>
  </r>
  <r>
    <n v="869"/>
    <s v="0869"/>
    <s v="ORD-BL-0869-06/09/24"/>
    <s v="[{item_code: SW001, quantity: 4, rating: 1}]"/>
    <s v="SW001"/>
    <x v="8"/>
    <s v="Sepatu Wanita"/>
    <s v="4"/>
    <s v="1"/>
    <n v="150000"/>
    <n v="70000"/>
    <s v="-"/>
    <s v="-"/>
    <s v="-"/>
    <n v="0"/>
    <s v="-"/>
    <n v="0"/>
    <n v="0"/>
    <s v="-"/>
    <s v="-"/>
    <s v="-"/>
    <n v="0"/>
    <s v="-"/>
    <n v="0"/>
    <n v="0"/>
    <n v="4"/>
    <n v="600000"/>
    <n v="280000"/>
    <s v="BUKALEBAR"/>
    <n v="0.15"/>
    <n v="90000"/>
    <n v="510000"/>
    <n v="320000"/>
    <n v="230000"/>
    <s v="Promo Lebaran"/>
    <x v="2"/>
    <s v="BL"/>
    <x v="5"/>
    <x v="234"/>
  </r>
  <r>
    <n v="934"/>
    <s v="0934"/>
    <s v="ORD-SP-0934-06/09/24"/>
    <s v="[{item_code: SW001, quantity: 4, rating: 5}, {item_code: PP003, quantity: 2, rating: 2}]"/>
    <s v="SW001"/>
    <x v="8"/>
    <s v="Sepatu Wanita"/>
    <s v="4"/>
    <s v="5"/>
    <n v="150000"/>
    <n v="70000"/>
    <s v="PP003"/>
    <s v="Jaket Jeans"/>
    <s v="Pakaian Pria"/>
    <s v="2"/>
    <s v="2"/>
    <n v="150000"/>
    <n v="70000"/>
    <s v="-"/>
    <s v="-"/>
    <s v="-"/>
    <n v="0"/>
    <s v="-"/>
    <n v="0"/>
    <n v="0"/>
    <n v="6"/>
    <n v="900000"/>
    <n v="420000"/>
    <s v="DISC15"/>
    <n v="0.15"/>
    <n v="135000"/>
    <n v="765000"/>
    <n v="480000"/>
    <n v="345000"/>
    <s v="Promo 4.4"/>
    <x v="0"/>
    <s v="SP"/>
    <x v="1"/>
    <x v="234"/>
  </r>
  <r>
    <n v="985"/>
    <s v="0985"/>
    <s v="ORD-SP-0985-06/09/24"/>
    <s v="[{item_code: SP002, quantity: 1, rating: 2}]"/>
    <s v="SP002"/>
    <x v="1"/>
    <s v="Sepatu Pria"/>
    <s v="1"/>
    <s v="2"/>
    <n v="120000"/>
    <n v="60000"/>
    <s v="-"/>
    <s v="-"/>
    <s v="-"/>
    <n v="0"/>
    <s v="-"/>
    <n v="0"/>
    <n v="0"/>
    <s v="-"/>
    <s v="-"/>
    <s v="-"/>
    <n v="0"/>
    <s v="-"/>
    <n v="0"/>
    <n v="0"/>
    <n v="1"/>
    <n v="120000"/>
    <n v="60000"/>
    <s v="DISC10"/>
    <n v="0.1"/>
    <n v="12000"/>
    <n v="108000"/>
    <n v="60000"/>
    <n v="48000"/>
    <s v="Promo 4.4"/>
    <x v="0"/>
    <s v="SP"/>
    <x v="2"/>
    <x v="234"/>
  </r>
  <r>
    <n v="798"/>
    <s v="0798"/>
    <s v="ORD-TK-0798-07/09/24"/>
    <s v="[{item_code: SW001, quantity: 1, rating: 2}, {item_code: PW002, quantity: 1, rating: 1}]"/>
    <s v="SW001"/>
    <x v="8"/>
    <s v="Sepatu Wanita"/>
    <s v="1"/>
    <s v="2"/>
    <n v="150000"/>
    <n v="70000"/>
    <s v="PW002"/>
    <s v="Blouse"/>
    <s v="Pakaian Wanita"/>
    <s v="1"/>
    <s v="1"/>
    <n v="125000"/>
    <n v="50000"/>
    <s v="-"/>
    <s v="-"/>
    <s v="-"/>
    <n v="0"/>
    <s v="-"/>
    <n v="0"/>
    <n v="0"/>
    <n v="2"/>
    <n v="275000"/>
    <n v="120000"/>
    <s v="-"/>
    <n v="0"/>
    <n v="0"/>
    <n v="275000"/>
    <n v="155000"/>
    <n v="155000"/>
    <s v="-"/>
    <x v="1"/>
    <s v="TK"/>
    <x v="5"/>
    <x v="235"/>
  </r>
  <r>
    <n v="839"/>
    <s v="0839"/>
    <s v="ORD-TK-0839-07/09/24"/>
    <s v="[{item_code: PU001, quantity: 1, rating: 5}, {item_code: PW002, quantity: 1, rating: 1}]"/>
    <s v="PU001"/>
    <x v="7"/>
    <s v="Pakaian Unisex"/>
    <s v="1"/>
    <s v="5"/>
    <n v="160000"/>
    <n v="60000"/>
    <s v="PW002"/>
    <s v="Blouse"/>
    <s v="Pakaian Wanita"/>
    <s v="1"/>
    <s v="1"/>
    <n v="125000"/>
    <n v="50000"/>
    <s v="-"/>
    <s v="-"/>
    <s v="-"/>
    <n v="0"/>
    <s v="-"/>
    <n v="0"/>
    <n v="0"/>
    <n v="2"/>
    <n v="285000"/>
    <n v="110000"/>
    <s v="DISCAPRIL"/>
    <n v="0.1"/>
    <n v="28500"/>
    <n v="256500"/>
    <n v="175000"/>
    <n v="146500"/>
    <s v="Promo 4.4"/>
    <x v="1"/>
    <s v="TK"/>
    <x v="0"/>
    <x v="235"/>
  </r>
  <r>
    <n v="909"/>
    <s v="0909"/>
    <s v="ORD-TK-0909-07/09/24"/>
    <s v="[{item_code: SP002, quantity: 1, rating: 1}]"/>
    <s v="SP002"/>
    <x v="1"/>
    <s v="Sepatu Pria"/>
    <s v="1"/>
    <s v="1"/>
    <n v="120000"/>
    <n v="60000"/>
    <s v="-"/>
    <s v="-"/>
    <s v="-"/>
    <n v="0"/>
    <s v="-"/>
    <n v="0"/>
    <n v="0"/>
    <s v="-"/>
    <s v="-"/>
    <s v="-"/>
    <n v="0"/>
    <s v="-"/>
    <n v="0"/>
    <n v="0"/>
    <n v="1"/>
    <n v="120000"/>
    <n v="60000"/>
    <s v="DISCAPRIL"/>
    <n v="0.1"/>
    <n v="12000"/>
    <n v="108000"/>
    <n v="60000"/>
    <n v="48000"/>
    <s v="Promo 4.4"/>
    <x v="1"/>
    <s v="TK"/>
    <x v="3"/>
    <x v="235"/>
  </r>
  <r>
    <n v="64"/>
    <s v="0064"/>
    <s v="ORD-BB-0064-08/09/24"/>
    <s v="[{item_code: SP001, quantity: 6, rating: 1}, {item_code: PP002, quantity: 1, rating: 2}]"/>
    <s v="SP001"/>
    <x v="9"/>
    <s v="Sepatu Pria"/>
    <s v="6"/>
    <s v="1"/>
    <n v="300000"/>
    <n v="100000"/>
    <s v="PP002"/>
    <s v="Celana Pendek"/>
    <s v="Pakaian Pria"/>
    <s v="1"/>
    <s v="2"/>
    <n v="60000"/>
    <n v="25000"/>
    <s v="-"/>
    <s v="-"/>
    <s v="-"/>
    <n v="0"/>
    <s v="-"/>
    <n v="0"/>
    <n v="0"/>
    <n v="7"/>
    <n v="1860000"/>
    <n v="625000"/>
    <s v="-"/>
    <n v="0"/>
    <n v="0"/>
    <n v="1860000"/>
    <n v="1235000"/>
    <n v="1235000"/>
    <s v="-"/>
    <x v="3"/>
    <s v="BB"/>
    <x v="1"/>
    <x v="236"/>
  </r>
  <r>
    <n v="357"/>
    <s v="0357"/>
    <s v="ORD-TK-0357-08/09/24"/>
    <s v="[{item_code: SP001, quantity: 5, rating: 1}, {item_code: PW001, quantity: 1, rating: 1}]"/>
    <s v="SP001"/>
    <x v="9"/>
    <s v="Sepatu Pria"/>
    <s v="5"/>
    <s v="1"/>
    <n v="300000"/>
    <n v="100000"/>
    <s v="PW001"/>
    <s v="Dress"/>
    <s v="Pakaian Wanita"/>
    <s v="1"/>
    <s v="1"/>
    <n v="150000"/>
    <n v="55000"/>
    <s v="-"/>
    <s v="-"/>
    <s v="-"/>
    <n v="0"/>
    <s v="-"/>
    <n v="0"/>
    <n v="0"/>
    <n v="6"/>
    <n v="1650000"/>
    <n v="555000"/>
    <s v="DISCAPRIL"/>
    <n v="0.1"/>
    <n v="165000"/>
    <n v="1485000"/>
    <n v="1095000"/>
    <n v="930000"/>
    <s v="Promo 4.4"/>
    <x v="1"/>
    <s v="TK"/>
    <x v="4"/>
    <x v="236"/>
  </r>
  <r>
    <n v="552"/>
    <s v="0552"/>
    <s v="ORD-TK-0552-08/09/24"/>
    <s v="[{item_code: SP002, quantity: 1, rating: 3}]"/>
    <s v="SP002"/>
    <x v="1"/>
    <s v="Sepatu Pria"/>
    <s v="1"/>
    <s v="3"/>
    <n v="120000"/>
    <n v="60000"/>
    <s v="-"/>
    <s v="-"/>
    <s v="-"/>
    <n v="0"/>
    <s v="-"/>
    <n v="0"/>
    <n v="0"/>
    <s v="-"/>
    <s v="-"/>
    <s v="-"/>
    <n v="0"/>
    <s v="-"/>
    <n v="0"/>
    <n v="0"/>
    <n v="1"/>
    <n v="120000"/>
    <n v="60000"/>
    <s v="DISCAPRIL"/>
    <n v="0.1"/>
    <n v="12000"/>
    <n v="108000"/>
    <n v="60000"/>
    <n v="48000"/>
    <s v="Promo 4.4"/>
    <x v="1"/>
    <s v="TK"/>
    <x v="3"/>
    <x v="236"/>
  </r>
  <r>
    <n v="716"/>
    <s v="0716"/>
    <s v="ORD-SP-0716-08/09/24"/>
    <s v="[{item_code: SP001, quantity: 7, rating: 4}]"/>
    <s v="SP001"/>
    <x v="9"/>
    <s v="Sepatu Pria"/>
    <s v="7"/>
    <s v="4"/>
    <n v="300000"/>
    <n v="100000"/>
    <s v="-"/>
    <s v="-"/>
    <s v="-"/>
    <n v="0"/>
    <s v="-"/>
    <n v="0"/>
    <n v="0"/>
    <s v="-"/>
    <s v="-"/>
    <s v="-"/>
    <n v="0"/>
    <s v="-"/>
    <n v="0"/>
    <n v="0"/>
    <n v="7"/>
    <n v="2100000"/>
    <n v="700000"/>
    <s v="DISC15"/>
    <n v="0.15"/>
    <n v="315000"/>
    <n v="1785000"/>
    <n v="1400000"/>
    <n v="1085000"/>
    <s v="Promo 4.4"/>
    <x v="0"/>
    <s v="SP"/>
    <x v="3"/>
    <x v="236"/>
  </r>
  <r>
    <n v="150"/>
    <s v="0150"/>
    <s v="ORD-SP-0150-09/09/24"/>
    <s v="[{item_code: PW001, quantity: 1, rating: 4}, {item_code: SP002, quantity: 2, rating: 2}, {item_code: PW002, quantity: 3, rating: 4}]"/>
    <s v="PW001"/>
    <x v="2"/>
    <s v="Pakaian Wanita"/>
    <s v="1"/>
    <s v="4"/>
    <n v="150000"/>
    <n v="55000"/>
    <s v="SP002"/>
    <s v="Sandal Slip On"/>
    <s v="Sepatu Pria"/>
    <s v="2"/>
    <s v="2"/>
    <n v="120000"/>
    <n v="60000"/>
    <s v="PW002"/>
    <s v="Blouse"/>
    <s v="Pakaian Wanita"/>
    <s v="3"/>
    <s v="4"/>
    <n v="125000"/>
    <n v="50000"/>
    <n v="6"/>
    <n v="765000"/>
    <n v="325000"/>
    <s v="DISC15"/>
    <n v="0.15"/>
    <n v="114750"/>
    <n v="650250"/>
    <n v="440000"/>
    <n v="325250"/>
    <s v="Promo 4.4"/>
    <x v="0"/>
    <s v="SP"/>
    <x v="2"/>
    <x v="237"/>
  </r>
  <r>
    <n v="224"/>
    <s v="0224"/>
    <s v="ORD-SP-0224-09/09/24"/>
    <s v="[{item_code: SP001, quantity: 3, rating: 5}]"/>
    <s v="SP001"/>
    <x v="9"/>
    <s v="Sepatu Pria"/>
    <s v="3"/>
    <s v="5"/>
    <n v="300000"/>
    <n v="100000"/>
    <s v="-"/>
    <s v="-"/>
    <s v="-"/>
    <n v="0"/>
    <s v="-"/>
    <n v="0"/>
    <n v="0"/>
    <s v="-"/>
    <s v="-"/>
    <s v="-"/>
    <n v="0"/>
    <s v="-"/>
    <n v="0"/>
    <n v="0"/>
    <n v="3"/>
    <n v="900000"/>
    <n v="300000"/>
    <s v="DISC20"/>
    <n v="0.2"/>
    <n v="180000"/>
    <n v="720000"/>
    <n v="600000"/>
    <n v="420000"/>
    <s v="Promo Lebaran"/>
    <x v="0"/>
    <s v="SP"/>
    <x v="4"/>
    <x v="237"/>
  </r>
  <r>
    <n v="464"/>
    <s v="0464"/>
    <s v="ORD-TK-0464-09/09/24"/>
    <s v="[{item_code: SP001, quantity: 2, rating: 4}]"/>
    <s v="SP001"/>
    <x v="9"/>
    <s v="Sepatu Pria"/>
    <s v="2"/>
    <s v="4"/>
    <n v="300000"/>
    <n v="100000"/>
    <s v="-"/>
    <s v="-"/>
    <s v="-"/>
    <n v="0"/>
    <s v="-"/>
    <n v="0"/>
    <n v="0"/>
    <s v="-"/>
    <s v="-"/>
    <s v="-"/>
    <n v="0"/>
    <s v="-"/>
    <n v="0"/>
    <n v="0"/>
    <n v="2"/>
    <n v="600000"/>
    <n v="200000"/>
    <s v="DISCAPRIL"/>
    <n v="0.1"/>
    <n v="60000"/>
    <n v="540000"/>
    <n v="400000"/>
    <n v="340000"/>
    <s v="Promo 4.4"/>
    <x v="1"/>
    <s v="TK"/>
    <x v="3"/>
    <x v="237"/>
  </r>
  <r>
    <n v="881"/>
    <s v="0881"/>
    <s v="ORD-TK-0881-09/09/24"/>
    <s v="[{item_code: PW003, quantity: 3, rating: 4}, {item_code: PP001, quantity: 1, rating: 1}, {item_code: PP003, quantity: 3, rating: 5}]"/>
    <s v="PW003"/>
    <x v="3"/>
    <s v="Pakaian Wanita"/>
    <s v="3"/>
    <s v="4"/>
    <n v="200000"/>
    <n v="100000"/>
    <s v="PP001"/>
    <s v="Kaos Polo"/>
    <s v="Pakaian Pria"/>
    <s v="1"/>
    <s v="1"/>
    <n v="80000"/>
    <n v="30000"/>
    <s v="PP003"/>
    <s v="Jaket Jeans"/>
    <s v="Pakaian Pria"/>
    <s v="3"/>
    <s v="5"/>
    <n v="150000"/>
    <n v="70000"/>
    <n v="7"/>
    <n v="1130000"/>
    <n v="540000"/>
    <s v="LEBAR10"/>
    <n v="0.1"/>
    <n v="113000"/>
    <n v="1017000"/>
    <n v="590000"/>
    <n v="477000"/>
    <s v="Promo Lebaran"/>
    <x v="1"/>
    <s v="TK"/>
    <x v="4"/>
    <x v="237"/>
  </r>
  <r>
    <n v="191"/>
    <s v="0191"/>
    <s v="ORD-TK-0191-10/09/24"/>
    <s v="[{item_code: PP001, quantity: 3, rating: 2}, {item_code: PW003, quantity: 2, rating: 5}, {item_code: PW001, quantity: 1, rating: 1}]"/>
    <s v="PP001"/>
    <x v="0"/>
    <s v="Pakaian Pria"/>
    <s v="3"/>
    <s v="2"/>
    <n v="80000"/>
    <n v="30000"/>
    <s v="PW003"/>
    <s v="Kaftan"/>
    <s v="Pakaian Wanita"/>
    <s v="2"/>
    <s v="5"/>
    <n v="200000"/>
    <n v="100000"/>
    <s v="PW001"/>
    <s v="Dress"/>
    <s v="Pakaian Wanita"/>
    <s v="1"/>
    <s v="1"/>
    <n v="150000"/>
    <n v="55000"/>
    <n v="6"/>
    <n v="790000"/>
    <n v="345000"/>
    <s v="LEBAR10"/>
    <n v="0.1"/>
    <n v="79000"/>
    <n v="711000"/>
    <n v="445000"/>
    <n v="366000"/>
    <s v="Promo Lebaran"/>
    <x v="1"/>
    <s v="TK"/>
    <x v="3"/>
    <x v="238"/>
  </r>
  <r>
    <n v="225"/>
    <s v="0225"/>
    <s v="ORD-SP-0225-10/09/24"/>
    <s v="[{item_code: PW002, quantity: 2, rating: 1}]"/>
    <s v="PW002"/>
    <x v="4"/>
    <s v="Pakaian Wanita"/>
    <s v="2"/>
    <s v="1"/>
    <n v="125000"/>
    <n v="50000"/>
    <s v="-"/>
    <s v="-"/>
    <s v="-"/>
    <n v="0"/>
    <s v="-"/>
    <n v="0"/>
    <n v="0"/>
    <s v="-"/>
    <s v="-"/>
    <s v="-"/>
    <n v="0"/>
    <s v="-"/>
    <n v="0"/>
    <n v="0"/>
    <n v="2"/>
    <n v="250000"/>
    <n v="100000"/>
    <s v="DISC20"/>
    <n v="0.2"/>
    <n v="50000"/>
    <n v="200000"/>
    <n v="150000"/>
    <n v="100000"/>
    <s v="Promo Lebaran"/>
    <x v="0"/>
    <s v="SP"/>
    <x v="4"/>
    <x v="238"/>
  </r>
  <r>
    <n v="231"/>
    <s v="0231"/>
    <s v="ORD-SP-0231-10/09/24"/>
    <s v="[{item_code: PP002, quantity: 2, rating: 3}, {item_code: SW001, quantity: 2, rating: 4}, {item_code: PP002, quantity: 1, rating: 1}]"/>
    <s v="PP002"/>
    <x v="5"/>
    <s v="Pakaian Pria"/>
    <s v="2"/>
    <s v="3"/>
    <n v="60000"/>
    <n v="25000"/>
    <s v="SW001"/>
    <s v="Flat Shoes"/>
    <s v="Sepatu Wanita"/>
    <s v="2"/>
    <s v="4"/>
    <n v="150000"/>
    <n v="70000"/>
    <s v="PP002"/>
    <s v="Celana Pendek"/>
    <s v="Pakaian Pria"/>
    <s v="1"/>
    <s v="1"/>
    <n v="60000"/>
    <n v="25000"/>
    <n v="5"/>
    <n v="480000"/>
    <n v="215000"/>
    <s v="DISC15"/>
    <n v="0.15"/>
    <n v="72000"/>
    <n v="408000"/>
    <n v="265000"/>
    <n v="193000"/>
    <s v="Promo 4.4"/>
    <x v="0"/>
    <s v="SP"/>
    <x v="3"/>
    <x v="238"/>
  </r>
  <r>
    <n v="399"/>
    <s v="0399"/>
    <s v="ORD-BL-0399-10/09/24"/>
    <s v="[{item_code: SP002, quantity: 1, rating: 2}]"/>
    <s v="SP002"/>
    <x v="1"/>
    <s v="Sepatu Pria"/>
    <s v="1"/>
    <s v="2"/>
    <n v="120000"/>
    <n v="60000"/>
    <s v="-"/>
    <s v="-"/>
    <s v="-"/>
    <n v="0"/>
    <s v="-"/>
    <n v="0"/>
    <n v="0"/>
    <s v="-"/>
    <s v="-"/>
    <s v="-"/>
    <n v="0"/>
    <s v="-"/>
    <n v="0"/>
    <n v="0"/>
    <n v="1"/>
    <n v="120000"/>
    <n v="60000"/>
    <s v="BUKALEBAR"/>
    <n v="0.15"/>
    <n v="18000"/>
    <n v="102000"/>
    <n v="60000"/>
    <n v="42000"/>
    <s v="Promo Lebaran"/>
    <x v="2"/>
    <s v="BL"/>
    <x v="4"/>
    <x v="238"/>
  </r>
  <r>
    <n v="299"/>
    <s v="0299"/>
    <s v="ORD-TK-0299-11/09/24"/>
    <s v="[{item_code: PW002, quantity: 2, rating: 4}, {item_code: PP001, quantity: 4, rating: 3}]"/>
    <s v="PW002"/>
    <x v="4"/>
    <s v="Pakaian Wanita"/>
    <s v="2"/>
    <s v="4"/>
    <n v="125000"/>
    <n v="50000"/>
    <s v="PP001"/>
    <s v="Kaos Polo"/>
    <s v="Pakaian Pria"/>
    <s v="4"/>
    <s v="3"/>
    <n v="80000"/>
    <n v="30000"/>
    <s v="-"/>
    <s v="-"/>
    <s v="-"/>
    <n v="0"/>
    <s v="-"/>
    <n v="0"/>
    <n v="0"/>
    <n v="6"/>
    <n v="570000"/>
    <n v="220000"/>
    <s v="LEBAR10"/>
    <n v="0.1"/>
    <n v="57000"/>
    <n v="513000"/>
    <n v="350000"/>
    <n v="293000"/>
    <s v="Promo Lebaran"/>
    <x v="1"/>
    <s v="TK"/>
    <x v="2"/>
    <x v="239"/>
  </r>
  <r>
    <n v="386"/>
    <s v="0386"/>
    <s v="ORD-SP-0386-11/09/24"/>
    <s v="[{item_code: PP003, quantity: 4, rating: 2}]"/>
    <s v="PP003"/>
    <x v="6"/>
    <s v="Pakaian Pria"/>
    <s v="4"/>
    <s v="2"/>
    <n v="150000"/>
    <n v="70000"/>
    <s v="-"/>
    <s v="-"/>
    <s v="-"/>
    <n v="0"/>
    <s v="-"/>
    <n v="0"/>
    <n v="0"/>
    <s v="-"/>
    <s v="-"/>
    <s v="-"/>
    <n v="0"/>
    <s v="-"/>
    <n v="0"/>
    <n v="0"/>
    <n v="4"/>
    <n v="600000"/>
    <n v="280000"/>
    <s v="DISC10"/>
    <n v="0.1"/>
    <n v="60000"/>
    <n v="540000"/>
    <n v="320000"/>
    <n v="260000"/>
    <s v="Promo 4.4"/>
    <x v="0"/>
    <s v="SP"/>
    <x v="3"/>
    <x v="239"/>
  </r>
  <r>
    <n v="953"/>
    <s v="0953"/>
    <s v="ORD-SP-0953-11/09/24"/>
    <s v="[{item_code: SP001, quantity: 5, rating: 5}, {item_code: PP003, quantity: 1, rating: 5}]"/>
    <s v="SP001"/>
    <x v="9"/>
    <s v="Sepatu Pria"/>
    <s v="5"/>
    <s v="5"/>
    <n v="300000"/>
    <n v="100000"/>
    <s v="PP003"/>
    <s v="Jaket Jeans"/>
    <s v="Pakaian Pria"/>
    <s v="1"/>
    <s v="5"/>
    <n v="150000"/>
    <n v="70000"/>
    <s v="-"/>
    <s v="-"/>
    <s v="-"/>
    <n v="0"/>
    <s v="-"/>
    <n v="0"/>
    <n v="0"/>
    <n v="6"/>
    <n v="1650000"/>
    <n v="570000"/>
    <s v="DISC15"/>
    <n v="0.15"/>
    <n v="247500"/>
    <n v="1402500"/>
    <n v="1080000"/>
    <n v="832500"/>
    <s v="Promo 4.4"/>
    <x v="0"/>
    <s v="SP"/>
    <x v="3"/>
    <x v="239"/>
  </r>
  <r>
    <n v="969"/>
    <s v="0969"/>
    <s v="ORD-TK-0969-11/09/24"/>
    <s v="[{item_code: PP003, quantity: 3, rating: 5}, {item_code: PW001, quantity: 1, rating: 4}, {item_code: PW002, quantity: 2, rating: 5}]"/>
    <s v="PP003"/>
    <x v="6"/>
    <s v="Pakaian Pria"/>
    <s v="3"/>
    <s v="5"/>
    <n v="150000"/>
    <n v="70000"/>
    <s v="PW001"/>
    <s v="Dress"/>
    <s v="Pakaian Wanita"/>
    <s v="1"/>
    <s v="4"/>
    <n v="150000"/>
    <n v="55000"/>
    <s v="PW002"/>
    <s v="Blouse"/>
    <s v="Pakaian Wanita"/>
    <s v="2"/>
    <s v="5"/>
    <n v="125000"/>
    <n v="50000"/>
    <n v="6"/>
    <n v="850000"/>
    <n v="365000"/>
    <s v="LEBAR10"/>
    <n v="0.1"/>
    <n v="85000"/>
    <n v="765000"/>
    <n v="485000"/>
    <n v="400000"/>
    <s v="Promo Lebaran"/>
    <x v="1"/>
    <s v="TK"/>
    <x v="4"/>
    <x v="239"/>
  </r>
  <r>
    <n v="43"/>
    <s v="0043"/>
    <s v="ORD-BB-0043-12/09/24"/>
    <s v="[{item_code: SP001, quantity: 5, rating: 1}, {item_code: PW002, quantity: 2, rating: 3}]"/>
    <s v="SP001"/>
    <x v="9"/>
    <s v="Sepatu Pria"/>
    <s v="5"/>
    <s v="1"/>
    <n v="300000"/>
    <n v="100000"/>
    <s v="PW002"/>
    <s v="Blouse"/>
    <s v="Pakaian Wanita"/>
    <s v="2"/>
    <s v="3"/>
    <n v="125000"/>
    <n v="50000"/>
    <s v="-"/>
    <s v="-"/>
    <s v="-"/>
    <n v="0"/>
    <s v="-"/>
    <n v="0"/>
    <n v="0"/>
    <n v="7"/>
    <n v="1750000"/>
    <n v="600000"/>
    <s v="BELI44"/>
    <n v="0.15"/>
    <n v="262500"/>
    <n v="1487500"/>
    <n v="1150000"/>
    <n v="887500"/>
    <s v="Promo 4.4"/>
    <x v="3"/>
    <s v="BB"/>
    <x v="0"/>
    <x v="240"/>
  </r>
  <r>
    <n v="200"/>
    <s v="0200"/>
    <s v="ORD-SP-0200-12/09/24"/>
    <s v="[{item_code: PW002, quantity: 1, rating: 4}, {item_code: PU001, quantity: 1, rating: 4}, {item_code: SP001, quantity: 1, rating: 2}]"/>
    <s v="PW002"/>
    <x v="4"/>
    <s v="Pakaian Wanita"/>
    <s v="1"/>
    <s v="4"/>
    <n v="125000"/>
    <n v="50000"/>
    <s v="PU001"/>
    <s v="Jaket Hoodie"/>
    <s v="Pakaian Unisex"/>
    <s v="1"/>
    <s v="4"/>
    <n v="160000"/>
    <n v="60000"/>
    <s v="SP001"/>
    <s v="Sneakers"/>
    <s v="Sepatu Pria"/>
    <s v="1"/>
    <s v="2"/>
    <n v="300000"/>
    <n v="100000"/>
    <n v="3"/>
    <n v="585000"/>
    <n v="210000"/>
    <s v="DISC20"/>
    <n v="0.2"/>
    <n v="117000"/>
    <n v="468000"/>
    <n v="375000"/>
    <n v="258000"/>
    <s v="Promo Lebaran"/>
    <x v="0"/>
    <s v="SP"/>
    <x v="4"/>
    <x v="240"/>
  </r>
  <r>
    <n v="965"/>
    <s v="0965"/>
    <s v="ORD-BL-0965-12/09/24"/>
    <s v="[{item_code: SP001, quantity: 4, rating: 5}]"/>
    <s v="SP001"/>
    <x v="9"/>
    <s v="Sepatu Pria"/>
    <s v="4"/>
    <s v="5"/>
    <n v="300000"/>
    <n v="100000"/>
    <s v="-"/>
    <s v="-"/>
    <s v="-"/>
    <n v="0"/>
    <s v="-"/>
    <n v="0"/>
    <n v="0"/>
    <s v="-"/>
    <s v="-"/>
    <s v="-"/>
    <n v="0"/>
    <s v="-"/>
    <n v="0"/>
    <n v="0"/>
    <n v="4"/>
    <n v="1200000"/>
    <n v="400000"/>
    <s v="BUKALEBAR"/>
    <n v="0.15"/>
    <n v="180000"/>
    <n v="1020000"/>
    <n v="800000"/>
    <n v="620000"/>
    <s v="Promo Lebaran"/>
    <x v="2"/>
    <s v="BL"/>
    <x v="4"/>
    <x v="240"/>
  </r>
  <r>
    <n v="50"/>
    <s v="0050"/>
    <s v="ORD-SP-0050-13/09/24"/>
    <s v="[{item_code: PP001, quantity: 1, rating: 2}, {item_code: SW001, quantity: 3, rating: 5}, {item_code: SP001, quantity: 3, rating: 2}]"/>
    <s v="PP001"/>
    <x v="0"/>
    <s v="Pakaian Pria"/>
    <s v="1"/>
    <s v="2"/>
    <n v="80000"/>
    <n v="30000"/>
    <s v="SW001"/>
    <s v="Flat Shoes"/>
    <s v="Sepatu Wanita"/>
    <s v="3"/>
    <s v="5"/>
    <n v="150000"/>
    <n v="70000"/>
    <s v="SP001"/>
    <s v="Sneakers"/>
    <s v="Sepatu Pria"/>
    <s v="3"/>
    <s v="2"/>
    <n v="300000"/>
    <n v="100000"/>
    <n v="7"/>
    <n v="1430000"/>
    <n v="540000"/>
    <s v="DISC15"/>
    <n v="0.15"/>
    <n v="214500"/>
    <n v="1215500"/>
    <n v="890000"/>
    <n v="675500"/>
    <s v="Promo 4.4"/>
    <x v="0"/>
    <s v="SP"/>
    <x v="0"/>
    <x v="241"/>
  </r>
  <r>
    <n v="56"/>
    <s v="0056"/>
    <s v="ORD-BB-0056-13/09/24"/>
    <s v="[{item_code: PP002, quantity: 1, rating: 5}, {item_code: PU001, quantity: 1, rating: 5}]"/>
    <s v="PP002"/>
    <x v="5"/>
    <s v="Pakaian Pria"/>
    <s v="1"/>
    <s v="5"/>
    <n v="60000"/>
    <n v="25000"/>
    <s v="PU001"/>
    <s v="Jaket Hoodie"/>
    <s v="Pakaian Unisex"/>
    <s v="1"/>
    <s v="5"/>
    <n v="160000"/>
    <n v="60000"/>
    <s v="-"/>
    <s v="-"/>
    <s v="-"/>
    <n v="0"/>
    <s v="-"/>
    <n v="0"/>
    <n v="0"/>
    <n v="2"/>
    <n v="220000"/>
    <n v="85000"/>
    <s v="BELI44"/>
    <n v="0.15"/>
    <n v="33000"/>
    <n v="187000"/>
    <n v="135000"/>
    <n v="102000"/>
    <s v="Promo 4.4"/>
    <x v="3"/>
    <s v="BB"/>
    <x v="1"/>
    <x v="241"/>
  </r>
  <r>
    <n v="168"/>
    <s v="0168"/>
    <s v="ORD-TK-0168-13/09/24"/>
    <s v="[{item_code: PW001, quantity: 2, rating: 3}, {item_code: PW003, quantity: 1, rating: 4}]"/>
    <s v="PW001"/>
    <x v="2"/>
    <s v="Pakaian Wanita"/>
    <s v="2"/>
    <s v="3"/>
    <n v="150000"/>
    <n v="55000"/>
    <s v="PW003"/>
    <s v="Kaftan"/>
    <s v="Pakaian Wanita"/>
    <s v="1"/>
    <s v="4"/>
    <n v="200000"/>
    <n v="100000"/>
    <s v="-"/>
    <s v="-"/>
    <s v="-"/>
    <n v="0"/>
    <s v="-"/>
    <n v="0"/>
    <n v="0"/>
    <n v="3"/>
    <n v="500000"/>
    <n v="210000"/>
    <s v="-"/>
    <n v="0"/>
    <n v="0"/>
    <n v="500000"/>
    <n v="290000"/>
    <n v="290000"/>
    <s v="-"/>
    <x v="1"/>
    <s v="TK"/>
    <x v="0"/>
    <x v="241"/>
  </r>
  <r>
    <n v="315"/>
    <s v="0315"/>
    <s v="ORD-BB-0315-13/09/24"/>
    <s v="[{item_code: SP002, quantity: 1, rating: 5}, {item_code: PP001, quantity: 1, rating: 1}, {item_code: PW001, quantity: 1, rating: 1}]"/>
    <s v="SP002"/>
    <x v="1"/>
    <s v="Sepatu Pria"/>
    <s v="1"/>
    <s v="5"/>
    <n v="120000"/>
    <n v="60000"/>
    <s v="PP001"/>
    <s v="Kaos Polo"/>
    <s v="Pakaian Pria"/>
    <s v="1"/>
    <s v="1"/>
    <n v="80000"/>
    <n v="30000"/>
    <s v="PW001"/>
    <s v="Dress"/>
    <s v="Pakaian Wanita"/>
    <s v="1"/>
    <s v="1"/>
    <n v="150000"/>
    <n v="55000"/>
    <n v="3"/>
    <n v="350000"/>
    <n v="145000"/>
    <s v="BELI44"/>
    <n v="0.15"/>
    <n v="52500"/>
    <n v="297500"/>
    <n v="205000"/>
    <n v="152500"/>
    <s v="Promo 4.4"/>
    <x v="3"/>
    <s v="BB"/>
    <x v="0"/>
    <x v="241"/>
  </r>
  <r>
    <n v="904"/>
    <s v="0904"/>
    <s v="ORD-TK-0904-13/09/24"/>
    <s v="[{item_code: SP001, quantity: 4, rating: 4}, {item_code: SP002, quantity: 1, rating: 5}, {item_code: PP003, quantity: 1, rating: 4}]"/>
    <s v="SP001"/>
    <x v="9"/>
    <s v="Sepatu Pria"/>
    <s v="4"/>
    <s v="4"/>
    <n v="300000"/>
    <n v="100000"/>
    <s v="SP002"/>
    <s v="Sandal Slip On"/>
    <s v="Sepatu Pria"/>
    <s v="1"/>
    <s v="5"/>
    <n v="120000"/>
    <n v="60000"/>
    <s v="PP003"/>
    <s v="Jaket Jeans"/>
    <s v="Pakaian Pria"/>
    <s v="1"/>
    <s v="4"/>
    <n v="150000"/>
    <n v="70000"/>
    <n v="6"/>
    <n v="1470000"/>
    <n v="530000"/>
    <s v="LEBAR10"/>
    <n v="0.1"/>
    <n v="147000"/>
    <n v="1323000"/>
    <n v="940000"/>
    <n v="793000"/>
    <s v="Promo Lebaran"/>
    <x v="1"/>
    <s v="TK"/>
    <x v="3"/>
    <x v="241"/>
  </r>
  <r>
    <n v="61"/>
    <s v="0061"/>
    <s v="ORD-SP-0061-15/09/24"/>
    <s v="[{item_code: SP001, quantity: 2, rating: 1}, {item_code: PP001, quantity: 1, rating: 4}]"/>
    <s v="SP001"/>
    <x v="9"/>
    <s v="Sepatu Pria"/>
    <s v="2"/>
    <s v="1"/>
    <n v="300000"/>
    <n v="100000"/>
    <s v="PP001"/>
    <s v="Kaos Polo"/>
    <s v="Pakaian Pria"/>
    <s v="1"/>
    <s v="4"/>
    <n v="80000"/>
    <n v="30000"/>
    <s v="-"/>
    <s v="-"/>
    <s v="-"/>
    <n v="0"/>
    <s v="-"/>
    <n v="0"/>
    <n v="0"/>
    <n v="3"/>
    <n v="680000"/>
    <n v="230000"/>
    <s v="DISC10"/>
    <n v="0.1"/>
    <n v="68000"/>
    <n v="612000"/>
    <n v="450000"/>
    <n v="382000"/>
    <s v="Promo 4.4"/>
    <x v="0"/>
    <s v="SP"/>
    <x v="0"/>
    <x v="242"/>
  </r>
  <r>
    <n v="369"/>
    <s v="0369"/>
    <s v="ORD-SP-0369-15/09/24"/>
    <s v="[{item_code: PW001, quantity: 1, rating: 1}]"/>
    <s v="PW001"/>
    <x v="2"/>
    <s v="Pakaian Wanita"/>
    <s v="1"/>
    <s v="1"/>
    <n v="150000"/>
    <n v="55000"/>
    <s v="-"/>
    <s v="-"/>
    <s v="-"/>
    <n v="0"/>
    <s v="-"/>
    <n v="0"/>
    <n v="0"/>
    <s v="-"/>
    <s v="-"/>
    <s v="-"/>
    <n v="0"/>
    <s v="-"/>
    <n v="0"/>
    <n v="0"/>
    <n v="1"/>
    <n v="150000"/>
    <n v="55000"/>
    <s v="-"/>
    <n v="0"/>
    <n v="0"/>
    <n v="150000"/>
    <n v="95000"/>
    <n v="95000"/>
    <s v="-"/>
    <x v="0"/>
    <s v="SP"/>
    <x v="1"/>
    <x v="242"/>
  </r>
  <r>
    <n v="550"/>
    <s v="0550"/>
    <s v="ORD-SP-0550-15/09/24"/>
    <s v="[{item_code: PP001, quantity: 1, rating: 1}]"/>
    <s v="PP001"/>
    <x v="0"/>
    <s v="Pakaian Pria"/>
    <s v="1"/>
    <s v="1"/>
    <n v="80000"/>
    <n v="30000"/>
    <s v="-"/>
    <s v="-"/>
    <s v="-"/>
    <n v="0"/>
    <s v="-"/>
    <n v="0"/>
    <n v="0"/>
    <s v="-"/>
    <s v="-"/>
    <s v="-"/>
    <n v="0"/>
    <s v="-"/>
    <n v="0"/>
    <n v="0"/>
    <n v="1"/>
    <n v="80000"/>
    <n v="30000"/>
    <s v="DISC15"/>
    <n v="0.15"/>
    <n v="12000"/>
    <n v="68000"/>
    <n v="50000"/>
    <n v="38000"/>
    <s v="Promo 4.4"/>
    <x v="0"/>
    <s v="SP"/>
    <x v="5"/>
    <x v="242"/>
  </r>
  <r>
    <n v="248"/>
    <s v="0248"/>
    <s v="ORD-BL-0248-16/09/24"/>
    <s v="[{item_code: PW003, quantity: 1, rating: 2}, {item_code: PP002, quantity: 1, rating: 3}, {item_code: PP001, quantity: 5, rating: 4}]"/>
    <s v="PW003"/>
    <x v="3"/>
    <s v="Pakaian Wanita"/>
    <s v="1"/>
    <s v="2"/>
    <n v="200000"/>
    <n v="100000"/>
    <s v="PP002"/>
    <s v="Celana Pendek"/>
    <s v="Pakaian Pria"/>
    <s v="1"/>
    <s v="3"/>
    <n v="60000"/>
    <n v="25000"/>
    <s v="PP001"/>
    <s v="Kaos Polo"/>
    <s v="Pakaian Pria"/>
    <s v="5"/>
    <s v="4"/>
    <n v="80000"/>
    <n v="30000"/>
    <n v="7"/>
    <n v="660000"/>
    <n v="275000"/>
    <s v="BUKALEBAR"/>
    <n v="0.15"/>
    <n v="99000"/>
    <n v="561000"/>
    <n v="385000"/>
    <n v="286000"/>
    <s v="Promo Lebaran"/>
    <x v="2"/>
    <s v="BL"/>
    <x v="4"/>
    <x v="243"/>
  </r>
  <r>
    <n v="361"/>
    <s v="0361"/>
    <s v="ORD-TK-0361-17/09/24"/>
    <s v="[{item_code: PW001, quantity: 2, rating: 2}, {item_code: PP003, quantity: 3, rating: 2}]"/>
    <s v="PW001"/>
    <x v="2"/>
    <s v="Pakaian Wanita"/>
    <s v="2"/>
    <s v="2"/>
    <n v="150000"/>
    <n v="55000"/>
    <s v="PP003"/>
    <s v="Jaket Jeans"/>
    <s v="Pakaian Pria"/>
    <s v="3"/>
    <s v="2"/>
    <n v="150000"/>
    <n v="70000"/>
    <s v="-"/>
    <s v="-"/>
    <s v="-"/>
    <n v="0"/>
    <s v="-"/>
    <n v="0"/>
    <n v="0"/>
    <n v="5"/>
    <n v="750000"/>
    <n v="320000"/>
    <s v="LEBAR10"/>
    <n v="0.1"/>
    <n v="75000"/>
    <n v="675000"/>
    <n v="430000"/>
    <n v="355000"/>
    <s v="Promo Lebaran"/>
    <x v="1"/>
    <s v="TK"/>
    <x v="3"/>
    <x v="244"/>
  </r>
  <r>
    <n v="670"/>
    <s v="0670"/>
    <s v="ORD-BB-0670-17/09/24"/>
    <s v="[{item_code: PU001, quantity: 4, rating: 5}, {item_code: SP001, quantity: 1, rating: 4}, {item_code: SP002, quantity: 1, rating: 2}]"/>
    <s v="PU001"/>
    <x v="7"/>
    <s v="Pakaian Unisex"/>
    <s v="4"/>
    <s v="5"/>
    <n v="160000"/>
    <n v="60000"/>
    <s v="SP001"/>
    <s v="Sneakers"/>
    <s v="Sepatu Pria"/>
    <s v="1"/>
    <s v="4"/>
    <n v="300000"/>
    <n v="100000"/>
    <s v="SP002"/>
    <s v="Sandal Slip On"/>
    <s v="Sepatu Pria"/>
    <s v="1"/>
    <s v="2"/>
    <n v="120000"/>
    <n v="60000"/>
    <n v="6"/>
    <n v="1060000"/>
    <n v="400000"/>
    <s v="BELI44"/>
    <n v="0.15"/>
    <n v="159000"/>
    <n v="901000"/>
    <n v="660000"/>
    <n v="501000"/>
    <s v="Promo 4.4"/>
    <x v="3"/>
    <s v="BB"/>
    <x v="4"/>
    <x v="244"/>
  </r>
  <r>
    <n v="676"/>
    <s v="0676"/>
    <s v="ORD-TK-0676-17/09/24"/>
    <s v="[{item_code: PP001, quantity: 3, rating: 4}, {item_code: PP003, quantity: 2, rating: 4}]"/>
    <s v="PP001"/>
    <x v="0"/>
    <s v="Pakaian Pria"/>
    <s v="3"/>
    <s v="4"/>
    <n v="80000"/>
    <n v="30000"/>
    <s v="PP003"/>
    <s v="Jaket Jeans"/>
    <s v="Pakaian Pria"/>
    <s v="2"/>
    <s v="4"/>
    <n v="150000"/>
    <n v="70000"/>
    <s v="-"/>
    <s v="-"/>
    <s v="-"/>
    <n v="0"/>
    <s v="-"/>
    <n v="0"/>
    <n v="0"/>
    <n v="5"/>
    <n v="540000"/>
    <n v="230000"/>
    <s v="LEBAR10"/>
    <n v="0.1"/>
    <n v="54000"/>
    <n v="486000"/>
    <n v="310000"/>
    <n v="256000"/>
    <s v="Promo Lebaran"/>
    <x v="1"/>
    <s v="TK"/>
    <x v="2"/>
    <x v="244"/>
  </r>
  <r>
    <n v="899"/>
    <s v="0899"/>
    <s v="ORD-BL-0899-17/09/24"/>
    <s v="[{item_code: PU001, quantity: 1, rating: 1}]"/>
    <s v="PU001"/>
    <x v="7"/>
    <s v="Pakaian Unisex"/>
    <s v="1"/>
    <s v="1"/>
    <n v="160000"/>
    <n v="60000"/>
    <s v="-"/>
    <s v="-"/>
    <s v="-"/>
    <n v="0"/>
    <s v="-"/>
    <n v="0"/>
    <n v="0"/>
    <s v="-"/>
    <s v="-"/>
    <s v="-"/>
    <n v="0"/>
    <s v="-"/>
    <n v="0"/>
    <n v="0"/>
    <n v="1"/>
    <n v="160000"/>
    <n v="60000"/>
    <s v="BUKALEBAR"/>
    <n v="0.15"/>
    <n v="24000"/>
    <n v="136000"/>
    <n v="100000"/>
    <n v="76000"/>
    <s v="Promo Lebaran"/>
    <x v="2"/>
    <s v="BL"/>
    <x v="5"/>
    <x v="244"/>
  </r>
  <r>
    <n v="221"/>
    <s v="0221"/>
    <s v="ORD-SP-0221-19/09/24"/>
    <s v="[{item_code: SP001, quantity: 2, rating: 2}, {item_code: PP001, quantity: 1, rating: 4}]"/>
    <s v="SP001"/>
    <x v="9"/>
    <s v="Sepatu Pria"/>
    <s v="2"/>
    <s v="2"/>
    <n v="300000"/>
    <n v="100000"/>
    <s v="PP001"/>
    <s v="Kaos Polo"/>
    <s v="Pakaian Pria"/>
    <s v="1"/>
    <s v="4"/>
    <n v="80000"/>
    <n v="30000"/>
    <s v="-"/>
    <s v="-"/>
    <s v="-"/>
    <n v="0"/>
    <s v="-"/>
    <n v="0"/>
    <n v="0"/>
    <n v="3"/>
    <n v="680000"/>
    <n v="230000"/>
    <s v="DISC10"/>
    <n v="0.1"/>
    <n v="68000"/>
    <n v="612000"/>
    <n v="450000"/>
    <n v="382000"/>
    <s v="Promo 4.4"/>
    <x v="0"/>
    <s v="SP"/>
    <x v="0"/>
    <x v="245"/>
  </r>
  <r>
    <n v="796"/>
    <s v="0796"/>
    <s v="ORD-BL-0796-19/09/24"/>
    <s v="[{item_code: SP001, quantity: 1, rating: 3}]"/>
    <s v="SP001"/>
    <x v="9"/>
    <s v="Sepatu Pria"/>
    <s v="1"/>
    <s v="3"/>
    <n v="300000"/>
    <n v="100000"/>
    <s v="-"/>
    <s v="-"/>
    <s v="-"/>
    <n v="0"/>
    <s v="-"/>
    <n v="0"/>
    <n v="0"/>
    <s v="-"/>
    <s v="-"/>
    <s v="-"/>
    <n v="0"/>
    <s v="-"/>
    <n v="0"/>
    <n v="0"/>
    <n v="1"/>
    <n v="300000"/>
    <n v="100000"/>
    <s v="BUKALEBAR"/>
    <n v="0.15"/>
    <n v="45000"/>
    <n v="255000"/>
    <n v="200000"/>
    <n v="155000"/>
    <s v="Promo Lebaran"/>
    <x v="2"/>
    <s v="BL"/>
    <x v="2"/>
    <x v="245"/>
  </r>
  <r>
    <n v="339"/>
    <s v="0339"/>
    <s v="ORD-SP-0339-21/09/24"/>
    <s v="[{item_code: PP002, quantity: 2, rating: 5}]"/>
    <s v="PP002"/>
    <x v="5"/>
    <s v="Pakaian Pria"/>
    <s v="2"/>
    <s v="5"/>
    <n v="60000"/>
    <n v="25000"/>
    <s v="-"/>
    <s v="-"/>
    <s v="-"/>
    <n v="0"/>
    <s v="-"/>
    <n v="0"/>
    <n v="0"/>
    <s v="-"/>
    <s v="-"/>
    <s v="-"/>
    <n v="0"/>
    <s v="-"/>
    <n v="0"/>
    <n v="0"/>
    <n v="2"/>
    <n v="120000"/>
    <n v="50000"/>
    <s v="DISC10"/>
    <n v="0.1"/>
    <n v="12000"/>
    <n v="108000"/>
    <n v="70000"/>
    <n v="58000"/>
    <s v="Promo 4.4"/>
    <x v="0"/>
    <s v="SP"/>
    <x v="1"/>
    <x v="246"/>
  </r>
  <r>
    <n v="164"/>
    <s v="0164"/>
    <s v="ORD-SP-0164-22/09/24"/>
    <s v="[{item_code: PP003, quantity: 2, rating: 5}]"/>
    <s v="PP003"/>
    <x v="6"/>
    <s v="Pakaian Pria"/>
    <s v="2"/>
    <s v="5"/>
    <n v="150000"/>
    <n v="70000"/>
    <s v="-"/>
    <s v="-"/>
    <s v="-"/>
    <n v="0"/>
    <s v="-"/>
    <n v="0"/>
    <n v="0"/>
    <s v="-"/>
    <s v="-"/>
    <s v="-"/>
    <n v="0"/>
    <s v="-"/>
    <n v="0"/>
    <n v="0"/>
    <n v="2"/>
    <n v="300000"/>
    <n v="140000"/>
    <s v="DISC10"/>
    <n v="0.1"/>
    <n v="30000"/>
    <n v="270000"/>
    <n v="160000"/>
    <n v="130000"/>
    <s v="Promo 4.4"/>
    <x v="0"/>
    <s v="SP"/>
    <x v="4"/>
    <x v="247"/>
  </r>
  <r>
    <n v="380"/>
    <s v="0380"/>
    <s v="ORD-SP-0380-22/09/24"/>
    <s v="[{item_code: SP001, quantity: 1, rating: 2}, {item_code: PP003, quantity: 2, rating: 2}, {item_code: PW003, quantity: 1, rating: 1}]"/>
    <s v="SP001"/>
    <x v="9"/>
    <s v="Sepatu Pria"/>
    <s v="1"/>
    <s v="2"/>
    <n v="300000"/>
    <n v="100000"/>
    <s v="PP003"/>
    <s v="Jaket Jeans"/>
    <s v="Pakaian Pria"/>
    <s v="2"/>
    <s v="2"/>
    <n v="150000"/>
    <n v="70000"/>
    <s v="PW003"/>
    <s v="Kaftan"/>
    <s v="Pakaian Wanita"/>
    <s v="1"/>
    <s v="1"/>
    <n v="200000"/>
    <n v="100000"/>
    <n v="4"/>
    <n v="800000"/>
    <n v="340000"/>
    <s v="DISC20"/>
    <n v="0.2"/>
    <n v="160000"/>
    <n v="640000"/>
    <n v="460000"/>
    <n v="300000"/>
    <s v="Promo Lebaran"/>
    <x v="0"/>
    <s v="SP"/>
    <x v="3"/>
    <x v="247"/>
  </r>
  <r>
    <n v="441"/>
    <s v="0441"/>
    <s v="ORD-TK-0441-22/09/24"/>
    <s v="[{item_code: PW001, quantity: 1, rating: 4}, {item_code: PP003, quantity: 1, rating: 4}]"/>
    <s v="PW001"/>
    <x v="2"/>
    <s v="Pakaian Wanita"/>
    <s v="1"/>
    <s v="4"/>
    <n v="150000"/>
    <n v="55000"/>
    <s v="PP003"/>
    <s v="Jaket Jeans"/>
    <s v="Pakaian Pria"/>
    <s v="1"/>
    <s v="4"/>
    <n v="150000"/>
    <n v="70000"/>
    <s v="-"/>
    <s v="-"/>
    <s v="-"/>
    <n v="0"/>
    <s v="-"/>
    <n v="0"/>
    <n v="0"/>
    <n v="2"/>
    <n v="300000"/>
    <n v="125000"/>
    <s v="-"/>
    <n v="0"/>
    <n v="0"/>
    <n v="300000"/>
    <n v="175000"/>
    <n v="175000"/>
    <s v="-"/>
    <x v="1"/>
    <s v="TK"/>
    <x v="3"/>
    <x v="247"/>
  </r>
  <r>
    <n v="489"/>
    <s v="0489"/>
    <s v="ORD-SP-0489-22/09/24"/>
    <s v="[{item_code: PW001, quantity: 1, rating: 5}]"/>
    <s v="PW001"/>
    <x v="2"/>
    <s v="Pakaian Wanita"/>
    <s v="1"/>
    <s v="5"/>
    <n v="150000"/>
    <n v="55000"/>
    <s v="-"/>
    <s v="-"/>
    <s v="-"/>
    <n v="0"/>
    <s v="-"/>
    <n v="0"/>
    <n v="0"/>
    <s v="-"/>
    <s v="-"/>
    <s v="-"/>
    <n v="0"/>
    <s v="-"/>
    <n v="0"/>
    <n v="0"/>
    <n v="1"/>
    <n v="150000"/>
    <n v="55000"/>
    <s v="-"/>
    <n v="0"/>
    <n v="0"/>
    <n v="150000"/>
    <n v="95000"/>
    <n v="95000"/>
    <s v="-"/>
    <x v="0"/>
    <s v="SP"/>
    <x v="0"/>
    <x v="247"/>
  </r>
  <r>
    <n v="495"/>
    <s v="0495"/>
    <s v="ORD-SP-0495-22/09/24"/>
    <s v="[{item_code: PU001, quantity: 1, rating: 5}, {item_code: PW002, quantity: 1, rating: 3}, {item_code: SW001, quantity: 5, rating: 3}]"/>
    <s v="PU001"/>
    <x v="7"/>
    <s v="Pakaian Unisex"/>
    <s v="1"/>
    <s v="5"/>
    <n v="160000"/>
    <n v="60000"/>
    <s v="PW002"/>
    <s v="Blouse"/>
    <s v="Pakaian Wanita"/>
    <s v="1"/>
    <s v="3"/>
    <n v="125000"/>
    <n v="50000"/>
    <s v="SW001"/>
    <s v="Flat Shoes"/>
    <s v="Sepatu Wanita"/>
    <s v="5"/>
    <s v="3"/>
    <n v="150000"/>
    <n v="70000"/>
    <n v="7"/>
    <n v="1035000"/>
    <n v="460000"/>
    <s v="DISC15"/>
    <n v="0.15"/>
    <n v="155250"/>
    <n v="879750"/>
    <n v="575000"/>
    <n v="419750"/>
    <s v="Promo 4.4"/>
    <x v="0"/>
    <s v="SP"/>
    <x v="3"/>
    <x v="247"/>
  </r>
  <r>
    <n v="657"/>
    <s v="0657"/>
    <s v="ORD-TK-0657-22/09/24"/>
    <s v="[{item_code: SP002, quantity: 5, rating: 2}, {item_code: SW001, quantity: 1, rating: 2}]"/>
    <s v="SP002"/>
    <x v="1"/>
    <s v="Sepatu Pria"/>
    <s v="5"/>
    <s v="2"/>
    <n v="120000"/>
    <n v="60000"/>
    <s v="SW001"/>
    <s v="Flat Shoes"/>
    <s v="Sepatu Wanita"/>
    <s v="1"/>
    <s v="2"/>
    <n v="150000"/>
    <n v="70000"/>
    <s v="-"/>
    <s v="-"/>
    <s v="-"/>
    <n v="0"/>
    <s v="-"/>
    <n v="0"/>
    <n v="0"/>
    <n v="6"/>
    <n v="750000"/>
    <n v="370000"/>
    <s v="DISCAPRIL"/>
    <n v="0.1"/>
    <n v="75000"/>
    <n v="675000"/>
    <n v="380000"/>
    <n v="305000"/>
    <s v="Promo 4.4"/>
    <x v="1"/>
    <s v="TK"/>
    <x v="4"/>
    <x v="247"/>
  </r>
  <r>
    <n v="78"/>
    <s v="0078"/>
    <s v="ORD-SP-0078-23/09/24"/>
    <s v="[{item_code: SW001, quantity: 2, rating: 5}, {item_code: SP002, quantity: 2, rating: 5}, {item_code: PW003, quantity: 1, rating: 3}]"/>
    <s v="SW001"/>
    <x v="8"/>
    <s v="Sepatu Wanita"/>
    <s v="2"/>
    <s v="5"/>
    <n v="150000"/>
    <n v="70000"/>
    <s v="SP002"/>
    <s v="Sandal Slip On"/>
    <s v="Sepatu Pria"/>
    <s v="2"/>
    <s v="5"/>
    <n v="120000"/>
    <n v="60000"/>
    <s v="PW003"/>
    <s v="Kaftan"/>
    <s v="Pakaian Wanita"/>
    <s v="1"/>
    <s v="3"/>
    <n v="200000"/>
    <n v="100000"/>
    <n v="5"/>
    <n v="740000"/>
    <n v="360000"/>
    <s v="DISC20"/>
    <n v="0.2"/>
    <n v="148000"/>
    <n v="592000"/>
    <n v="380000"/>
    <n v="232000"/>
    <s v="Promo Lebaran"/>
    <x v="0"/>
    <s v="SP"/>
    <x v="3"/>
    <x v="248"/>
  </r>
  <r>
    <n v="668"/>
    <s v="0668"/>
    <s v="ORD-BL-0668-23/09/24"/>
    <s v="[{item_code: SW001, quantity: 3, rating: 1}, {item_code: SP002, quantity: 1, rating: 2}]"/>
    <s v="SW001"/>
    <x v="8"/>
    <s v="Sepatu Wanita"/>
    <s v="3"/>
    <s v="1"/>
    <n v="150000"/>
    <n v="70000"/>
    <s v="SP002"/>
    <s v="Sandal Slip On"/>
    <s v="Sepatu Pria"/>
    <s v="1"/>
    <s v="2"/>
    <n v="120000"/>
    <n v="60000"/>
    <s v="-"/>
    <s v="-"/>
    <s v="-"/>
    <n v="0"/>
    <s v="-"/>
    <n v="0"/>
    <n v="0"/>
    <n v="4"/>
    <n v="570000"/>
    <n v="270000"/>
    <s v="BUKALEBAR"/>
    <n v="0.15"/>
    <n v="85500"/>
    <n v="484500"/>
    <n v="300000"/>
    <n v="214500"/>
    <s v="Promo Lebaran"/>
    <x v="2"/>
    <s v="BL"/>
    <x v="1"/>
    <x v="248"/>
  </r>
  <r>
    <n v="388"/>
    <s v="0388"/>
    <s v="ORD-TK-0388-24/09/24"/>
    <s v="[{item_code: PW002, quantity: 3, rating: 5}]"/>
    <s v="PW002"/>
    <x v="4"/>
    <s v="Pakaian Wanita"/>
    <s v="3"/>
    <s v="5"/>
    <n v="125000"/>
    <n v="50000"/>
    <s v="-"/>
    <s v="-"/>
    <s v="-"/>
    <n v="0"/>
    <s v="-"/>
    <n v="0"/>
    <n v="0"/>
    <s v="-"/>
    <s v="-"/>
    <s v="-"/>
    <n v="0"/>
    <s v="-"/>
    <n v="0"/>
    <n v="0"/>
    <n v="3"/>
    <n v="375000"/>
    <n v="150000"/>
    <s v="LEBAR10"/>
    <n v="0.1"/>
    <n v="37500"/>
    <n v="337500"/>
    <n v="225000"/>
    <n v="187500"/>
    <s v="Promo Lebaran"/>
    <x v="1"/>
    <s v="TK"/>
    <x v="0"/>
    <x v="249"/>
  </r>
  <r>
    <n v="501"/>
    <s v="0501"/>
    <s v="ORD-BL-0501-24/09/24"/>
    <s v="[{item_code: SP002, quantity: 1, rating: 3}, {item_code: PP002, quantity: 1, rating: 2}]"/>
    <s v="SP002"/>
    <x v="1"/>
    <s v="Sepatu Pria"/>
    <s v="1"/>
    <s v="3"/>
    <n v="120000"/>
    <n v="60000"/>
    <s v="PP002"/>
    <s v="Celana Pendek"/>
    <s v="Pakaian Pria"/>
    <s v="1"/>
    <s v="2"/>
    <n v="60000"/>
    <n v="25000"/>
    <s v="-"/>
    <s v="-"/>
    <s v="-"/>
    <n v="0"/>
    <s v="-"/>
    <n v="0"/>
    <n v="0"/>
    <n v="2"/>
    <n v="180000"/>
    <n v="85000"/>
    <s v="BUKALEBAR"/>
    <n v="0.15"/>
    <n v="27000"/>
    <n v="153000"/>
    <n v="95000"/>
    <n v="68000"/>
    <s v="Promo Lebaran"/>
    <x v="2"/>
    <s v="BL"/>
    <x v="0"/>
    <x v="249"/>
  </r>
  <r>
    <n v="702"/>
    <s v="0702"/>
    <s v="ORD-SP-0702-24/09/24"/>
    <s v="[{item_code: SW001, quantity: 1, rating: 1}, {item_code: PW001, quantity: 2, rating: 3}, {item_code: PP002, quantity: 1, rating: 4}]"/>
    <s v="SW001"/>
    <x v="8"/>
    <s v="Sepatu Wanita"/>
    <s v="1"/>
    <s v="1"/>
    <n v="150000"/>
    <n v="70000"/>
    <s v="PW001"/>
    <s v="Dress"/>
    <s v="Pakaian Wanita"/>
    <s v="2"/>
    <s v="3"/>
    <n v="150000"/>
    <n v="55000"/>
    <s v="PP002"/>
    <s v="Celana Pendek"/>
    <s v="Pakaian Pria"/>
    <s v="1"/>
    <s v="4"/>
    <n v="60000"/>
    <n v="25000"/>
    <n v="4"/>
    <n v="510000"/>
    <n v="205000"/>
    <s v="DISC20"/>
    <n v="0.2"/>
    <n v="102000"/>
    <n v="408000"/>
    <n v="305000"/>
    <n v="203000"/>
    <s v="Promo Lebaran"/>
    <x v="0"/>
    <s v="SP"/>
    <x v="4"/>
    <x v="249"/>
  </r>
  <r>
    <n v="792"/>
    <s v="0792"/>
    <s v="ORD-SP-0792-24/09/24"/>
    <s v="[{item_code: PP001, quantity: 4, rating: 1}]"/>
    <s v="PP001"/>
    <x v="0"/>
    <s v="Pakaian Pria"/>
    <s v="4"/>
    <s v="1"/>
    <n v="80000"/>
    <n v="30000"/>
    <s v="-"/>
    <s v="-"/>
    <s v="-"/>
    <n v="0"/>
    <s v="-"/>
    <n v="0"/>
    <n v="0"/>
    <s v="-"/>
    <s v="-"/>
    <s v="-"/>
    <n v="0"/>
    <s v="-"/>
    <n v="0"/>
    <n v="0"/>
    <n v="4"/>
    <n v="320000"/>
    <n v="120000"/>
    <s v="DISC15"/>
    <n v="0.15"/>
    <n v="48000"/>
    <n v="272000"/>
    <n v="200000"/>
    <n v="152000"/>
    <s v="Promo 4.4"/>
    <x v="0"/>
    <s v="SP"/>
    <x v="3"/>
    <x v="249"/>
  </r>
  <r>
    <n v="958"/>
    <s v="0958"/>
    <s v="ORD-TK-0958-24/09/24"/>
    <s v="[{item_code: SP001, quantity: 6, rating: 2}, {item_code: PP003, quantity: 1, rating: 1}]"/>
    <s v="SP001"/>
    <x v="9"/>
    <s v="Sepatu Pria"/>
    <s v="6"/>
    <s v="2"/>
    <n v="300000"/>
    <n v="100000"/>
    <s v="PP003"/>
    <s v="Jaket Jeans"/>
    <s v="Pakaian Pria"/>
    <s v="1"/>
    <s v="1"/>
    <n v="150000"/>
    <n v="70000"/>
    <s v="-"/>
    <s v="-"/>
    <s v="-"/>
    <n v="0"/>
    <s v="-"/>
    <n v="0"/>
    <n v="0"/>
    <n v="7"/>
    <n v="1950000"/>
    <n v="670000"/>
    <s v="LEBAR10"/>
    <n v="0.1"/>
    <n v="195000"/>
    <n v="1755000"/>
    <n v="1280000"/>
    <n v="1085000"/>
    <s v="Promo Lebaran"/>
    <x v="1"/>
    <s v="TK"/>
    <x v="4"/>
    <x v="249"/>
  </r>
  <r>
    <n v="102"/>
    <s v="0102"/>
    <s v="ORD-TK-0102-25/09/24"/>
    <s v="[{item_code: PP003, quantity: 3, rating: 4}, {item_code: SW001, quantity: 1, rating: 1}, {item_code: SP001, quantity: 1, rating: 5}]"/>
    <s v="PP003"/>
    <x v="6"/>
    <s v="Pakaian Pria"/>
    <s v="3"/>
    <s v="4"/>
    <n v="150000"/>
    <n v="70000"/>
    <s v="SW001"/>
    <s v="Flat Shoes"/>
    <s v="Sepatu Wanita"/>
    <s v="1"/>
    <s v="1"/>
    <n v="150000"/>
    <n v="70000"/>
    <s v="SP001"/>
    <s v="Sneakers"/>
    <s v="Sepatu Pria"/>
    <s v="1"/>
    <s v="5"/>
    <n v="300000"/>
    <n v="100000"/>
    <n v="5"/>
    <n v="900000"/>
    <n v="380000"/>
    <s v="DISCAPRIL"/>
    <n v="0.1"/>
    <n v="90000"/>
    <n v="810000"/>
    <n v="520000"/>
    <n v="430000"/>
    <s v="Promo 4.4"/>
    <x v="1"/>
    <s v="TK"/>
    <x v="3"/>
    <x v="250"/>
  </r>
  <r>
    <n v="502"/>
    <s v="0502"/>
    <s v="ORD-SP-0502-25/09/24"/>
    <s v="[{item_code: PP003, quantity: 2, rating: 2}, {item_code: PP001, quantity: 2, rating: 4}]"/>
    <s v="PP003"/>
    <x v="6"/>
    <s v="Pakaian Pria"/>
    <s v="2"/>
    <s v="2"/>
    <n v="150000"/>
    <n v="70000"/>
    <s v="PP001"/>
    <s v="Kaos Polo"/>
    <s v="Pakaian Pria"/>
    <s v="2"/>
    <s v="4"/>
    <n v="80000"/>
    <n v="30000"/>
    <s v="-"/>
    <s v="-"/>
    <s v="-"/>
    <n v="0"/>
    <s v="-"/>
    <n v="0"/>
    <n v="0"/>
    <n v="4"/>
    <n v="460000"/>
    <n v="200000"/>
    <s v="-"/>
    <n v="0"/>
    <n v="0"/>
    <n v="460000"/>
    <n v="260000"/>
    <n v="260000"/>
    <s v="-"/>
    <x v="0"/>
    <s v="SP"/>
    <x v="2"/>
    <x v="250"/>
  </r>
  <r>
    <n v="508"/>
    <s v="0508"/>
    <s v="ORD-BL-0508-25/09/24"/>
    <s v="[{item_code: SP002, quantity: 2, rating: 3}, {item_code: PW003, quantity: 1, rating: 5}, {item_code: PW002, quantity: 2, rating: 2}]"/>
    <s v="SP002"/>
    <x v="1"/>
    <s v="Sepatu Pria"/>
    <s v="2"/>
    <s v="3"/>
    <n v="120000"/>
    <n v="60000"/>
    <s v="PW003"/>
    <s v="Kaftan"/>
    <s v="Pakaian Wanita"/>
    <s v="1"/>
    <s v="5"/>
    <n v="200000"/>
    <n v="100000"/>
    <s v="PW002"/>
    <s v="Blouse"/>
    <s v="Pakaian Wanita"/>
    <s v="2"/>
    <s v="2"/>
    <n v="125000"/>
    <n v="50000"/>
    <n v="5"/>
    <n v="690000"/>
    <n v="320000"/>
    <s v="BUKALEBAR"/>
    <n v="0.15"/>
    <n v="103500"/>
    <n v="586500"/>
    <n v="370000"/>
    <n v="266500"/>
    <s v="Promo Lebaran"/>
    <x v="2"/>
    <s v="BL"/>
    <x v="2"/>
    <x v="250"/>
  </r>
  <r>
    <n v="891"/>
    <s v="0891"/>
    <s v="ORD-TK-0891-25/09/24"/>
    <s v="[{item_code: SP001, quantity: 3, rating: 4}, {item_code: SP002, quantity: 2, rating: 3}]"/>
    <s v="SP001"/>
    <x v="9"/>
    <s v="Sepatu Pria"/>
    <s v="3"/>
    <s v="4"/>
    <n v="300000"/>
    <n v="100000"/>
    <s v="SP002"/>
    <s v="Sandal Slip On"/>
    <s v="Sepatu Pria"/>
    <s v="2"/>
    <s v="3"/>
    <n v="120000"/>
    <n v="60000"/>
    <s v="-"/>
    <s v="-"/>
    <s v="-"/>
    <n v="0"/>
    <s v="-"/>
    <n v="0"/>
    <n v="0"/>
    <n v="5"/>
    <n v="1140000"/>
    <n v="420000"/>
    <s v="DISCAPRIL"/>
    <n v="0.1"/>
    <n v="114000"/>
    <n v="1026000"/>
    <n v="720000"/>
    <n v="606000"/>
    <s v="Promo 4.4"/>
    <x v="1"/>
    <s v="TK"/>
    <x v="1"/>
    <x v="250"/>
  </r>
  <r>
    <n v="345"/>
    <s v="0345"/>
    <s v="ORD-TK-0345-26/09/24"/>
    <s v="[{item_code: PW001, quantity: 4, rating: 5}, {item_code: SP001, quantity: 1, rating: 5}, {item_code: PW001, quantity: 1, rating: 2}]"/>
    <s v="PW001"/>
    <x v="2"/>
    <s v="Pakaian Wanita"/>
    <s v="4"/>
    <s v="5"/>
    <n v="150000"/>
    <n v="55000"/>
    <s v="SP001"/>
    <s v="Sneakers"/>
    <s v="Sepatu Pria"/>
    <s v="1"/>
    <s v="5"/>
    <n v="300000"/>
    <n v="100000"/>
    <s v="PW001"/>
    <s v="Dress"/>
    <s v="Pakaian Wanita"/>
    <s v="1"/>
    <s v="2"/>
    <n v="150000"/>
    <n v="55000"/>
    <n v="6"/>
    <n v="1050000"/>
    <n v="375000"/>
    <s v="LEBAR10"/>
    <n v="0.1"/>
    <n v="105000"/>
    <n v="945000"/>
    <n v="675000"/>
    <n v="570000"/>
    <s v="Promo Lebaran"/>
    <x v="1"/>
    <s v="TK"/>
    <x v="2"/>
    <x v="251"/>
  </r>
  <r>
    <n v="92"/>
    <s v="0092"/>
    <s v="ORD-TK-0092-27/09/24"/>
    <s v="[{item_code: PP001, quantity: 3, rating: 1}, {item_code: PW003, quantity: 1, rating: 2}]"/>
    <s v="PP001"/>
    <x v="0"/>
    <s v="Pakaian Pria"/>
    <s v="3"/>
    <s v="1"/>
    <n v="80000"/>
    <n v="30000"/>
    <s v="PW003"/>
    <s v="Kaftan"/>
    <s v="Pakaian Wanita"/>
    <s v="1"/>
    <s v="2"/>
    <n v="200000"/>
    <n v="100000"/>
    <s v="-"/>
    <s v="-"/>
    <s v="-"/>
    <n v="0"/>
    <s v="-"/>
    <n v="0"/>
    <n v="0"/>
    <n v="4"/>
    <n v="440000"/>
    <n v="190000"/>
    <s v="-"/>
    <n v="0"/>
    <n v="0"/>
    <n v="440000"/>
    <n v="250000"/>
    <n v="250000"/>
    <s v="-"/>
    <x v="1"/>
    <s v="TK"/>
    <x v="3"/>
    <x v="252"/>
  </r>
  <r>
    <n v="551"/>
    <s v="0551"/>
    <s v="ORD-SP-0551-27/09/24"/>
    <s v="[{item_code: PP001, quantity: 3, rating: 3}, {item_code: PW003, quantity: 1, rating: 2}, {item_code: PW002, quantity: 1, rating: 5}]"/>
    <s v="PP001"/>
    <x v="0"/>
    <s v="Pakaian Pria"/>
    <s v="3"/>
    <s v="3"/>
    <n v="80000"/>
    <n v="30000"/>
    <s v="PW003"/>
    <s v="Kaftan"/>
    <s v="Pakaian Wanita"/>
    <s v="1"/>
    <s v="2"/>
    <n v="200000"/>
    <n v="100000"/>
    <s v="PW002"/>
    <s v="Blouse"/>
    <s v="Pakaian Wanita"/>
    <s v="1"/>
    <s v="5"/>
    <n v="125000"/>
    <n v="50000"/>
    <n v="5"/>
    <n v="565000"/>
    <n v="240000"/>
    <s v="DISC20"/>
    <n v="0.2"/>
    <n v="113000"/>
    <n v="452000"/>
    <n v="325000"/>
    <n v="212000"/>
    <s v="Promo Lebaran"/>
    <x v="0"/>
    <s v="SP"/>
    <x v="0"/>
    <x v="252"/>
  </r>
  <r>
    <n v="713"/>
    <s v="0713"/>
    <s v="ORD-SP-0713-27/09/24"/>
    <s v="[{item_code: PP002, quantity: 4, rating: 1}, {item_code: PP001, quantity: 3, rating: 2}]"/>
    <s v="PP002"/>
    <x v="5"/>
    <s v="Pakaian Pria"/>
    <s v="4"/>
    <s v="1"/>
    <n v="60000"/>
    <n v="25000"/>
    <s v="PP001"/>
    <s v="Kaos Polo"/>
    <s v="Pakaian Pria"/>
    <s v="3"/>
    <s v="2"/>
    <n v="80000"/>
    <n v="30000"/>
    <s v="-"/>
    <s v="-"/>
    <s v="-"/>
    <n v="0"/>
    <s v="-"/>
    <n v="0"/>
    <n v="0"/>
    <n v="7"/>
    <n v="480000"/>
    <n v="190000"/>
    <s v="DISC15"/>
    <n v="0.15"/>
    <n v="72000"/>
    <n v="408000"/>
    <n v="290000"/>
    <n v="218000"/>
    <s v="Promo 4.4"/>
    <x v="0"/>
    <s v="SP"/>
    <x v="5"/>
    <x v="252"/>
  </r>
  <r>
    <n v="747"/>
    <s v="0747"/>
    <s v="ORD-SP-0747-27/09/24"/>
    <s v="[{item_code: PW003, quantity: 2, rating: 4}, {item_code: PW001, quantity: 1, rating: 3}, {item_code: SW001, quantity: 3, rating: 5}]"/>
    <s v="PW003"/>
    <x v="3"/>
    <s v="Pakaian Wanita"/>
    <s v="2"/>
    <s v="4"/>
    <n v="200000"/>
    <n v="100000"/>
    <s v="PW001"/>
    <s v="Dress"/>
    <s v="Pakaian Wanita"/>
    <s v="1"/>
    <s v="3"/>
    <n v="150000"/>
    <n v="55000"/>
    <s v="SW001"/>
    <s v="Flat Shoes"/>
    <s v="Sepatu Wanita"/>
    <s v="3"/>
    <s v="5"/>
    <n v="150000"/>
    <n v="70000"/>
    <n v="6"/>
    <n v="1000000"/>
    <n v="465000"/>
    <s v="DISC20"/>
    <n v="0.2"/>
    <n v="200000"/>
    <n v="800000"/>
    <n v="535000"/>
    <n v="335000"/>
    <s v="Promo Lebaran"/>
    <x v="0"/>
    <s v="SP"/>
    <x v="2"/>
    <x v="252"/>
  </r>
  <r>
    <n v="765"/>
    <s v="0765"/>
    <s v="ORD-SP-0765-27/09/24"/>
    <s v="[{item_code: PP001, quantity: 4, rating: 1}, {item_code: PP002, quantity: 1, rating: 4}]"/>
    <s v="PP001"/>
    <x v="0"/>
    <s v="Pakaian Pria"/>
    <s v="4"/>
    <s v="1"/>
    <n v="80000"/>
    <n v="30000"/>
    <s v="PP002"/>
    <s v="Celana Pendek"/>
    <s v="Pakaian Pria"/>
    <s v="1"/>
    <s v="4"/>
    <n v="60000"/>
    <n v="25000"/>
    <s v="-"/>
    <s v="-"/>
    <s v="-"/>
    <n v="0"/>
    <s v="-"/>
    <n v="0"/>
    <n v="0"/>
    <n v="5"/>
    <n v="380000"/>
    <n v="145000"/>
    <s v="DISC20"/>
    <n v="0.2"/>
    <n v="76000"/>
    <n v="304000"/>
    <n v="235000"/>
    <n v="159000"/>
    <s v="Promo Lebaran"/>
    <x v="0"/>
    <s v="SP"/>
    <x v="3"/>
    <x v="252"/>
  </r>
  <r>
    <n v="854"/>
    <s v="0854"/>
    <s v="ORD-TK-0854-27/09/24"/>
    <s v="[{item_code: PW003, quantity: 1, rating: 4}]"/>
    <s v="PW003"/>
    <x v="3"/>
    <s v="Pakaian Wanita"/>
    <s v="1"/>
    <s v="4"/>
    <n v="200000"/>
    <n v="100000"/>
    <s v="-"/>
    <s v="-"/>
    <s v="-"/>
    <n v="0"/>
    <s v="-"/>
    <n v="0"/>
    <n v="0"/>
    <s v="-"/>
    <s v="-"/>
    <s v="-"/>
    <n v="0"/>
    <s v="-"/>
    <n v="0"/>
    <n v="0"/>
    <n v="1"/>
    <n v="200000"/>
    <n v="100000"/>
    <s v="DISCAPRIL"/>
    <n v="0.1"/>
    <n v="20000"/>
    <n v="180000"/>
    <n v="100000"/>
    <n v="80000"/>
    <s v="Promo 4.4"/>
    <x v="1"/>
    <s v="TK"/>
    <x v="3"/>
    <x v="252"/>
  </r>
  <r>
    <n v="967"/>
    <s v="0967"/>
    <s v="ORD-TK-0967-27/09/24"/>
    <s v="[{item_code: PU001, quantity: 2, rating: 4}, {item_code: SW001, quantity: 2, rating: 1}, {item_code: PW001, quantity: 1, rating: 4}]"/>
    <s v="PU001"/>
    <x v="7"/>
    <s v="Pakaian Unisex"/>
    <s v="2"/>
    <s v="4"/>
    <n v="160000"/>
    <n v="60000"/>
    <s v="SW001"/>
    <s v="Flat Shoes"/>
    <s v="Sepatu Wanita"/>
    <s v="2"/>
    <s v="1"/>
    <n v="150000"/>
    <n v="70000"/>
    <s v="PW001"/>
    <s v="Dress"/>
    <s v="Pakaian Wanita"/>
    <s v="1"/>
    <s v="4"/>
    <n v="150000"/>
    <n v="55000"/>
    <n v="5"/>
    <n v="770000"/>
    <n v="315000"/>
    <s v="LEBAR10"/>
    <n v="0.1"/>
    <n v="77000"/>
    <n v="693000"/>
    <n v="455000"/>
    <n v="378000"/>
    <s v="Promo Lebaran"/>
    <x v="1"/>
    <s v="TK"/>
    <x v="3"/>
    <x v="252"/>
  </r>
  <r>
    <n v="375"/>
    <s v="0375"/>
    <s v="ORD-BB-0375-28/09/24"/>
    <s v="[{item_code: PP001, quantity: 4, rating: 3}]"/>
    <s v="PP001"/>
    <x v="0"/>
    <s v="Pakaian Pria"/>
    <s v="4"/>
    <s v="3"/>
    <n v="80000"/>
    <n v="30000"/>
    <s v="-"/>
    <s v="-"/>
    <s v="-"/>
    <n v="0"/>
    <s v="-"/>
    <n v="0"/>
    <n v="0"/>
    <s v="-"/>
    <s v="-"/>
    <s v="-"/>
    <n v="0"/>
    <s v="-"/>
    <n v="0"/>
    <n v="0"/>
    <n v="4"/>
    <n v="320000"/>
    <n v="120000"/>
    <s v="BELI44"/>
    <n v="0.15"/>
    <n v="48000"/>
    <n v="272000"/>
    <n v="200000"/>
    <n v="152000"/>
    <s v="Promo 4.4"/>
    <x v="3"/>
    <s v="BB"/>
    <x v="5"/>
    <x v="253"/>
  </r>
  <r>
    <n v="346"/>
    <s v="0346"/>
    <s v="ORD-SP-0346-29/09/24"/>
    <s v="[{item_code: SP001, quantity: 3, rating: 2}, {item_code: PU001, quantity: 1, rating: 2}]"/>
    <s v="SP001"/>
    <x v="9"/>
    <s v="Sepatu Pria"/>
    <s v="3"/>
    <s v="2"/>
    <n v="300000"/>
    <n v="100000"/>
    <s v="PU001"/>
    <s v="Jaket Hoodie"/>
    <s v="Pakaian Unisex"/>
    <s v="1"/>
    <s v="2"/>
    <n v="160000"/>
    <n v="60000"/>
    <s v="-"/>
    <s v="-"/>
    <s v="-"/>
    <n v="0"/>
    <s v="-"/>
    <n v="0"/>
    <n v="0"/>
    <n v="4"/>
    <n v="1060000"/>
    <n v="360000"/>
    <s v="DISC15"/>
    <n v="0.15"/>
    <n v="159000"/>
    <n v="901000"/>
    <n v="700000"/>
    <n v="541000"/>
    <s v="Promo 4.4"/>
    <x v="0"/>
    <s v="SP"/>
    <x v="3"/>
    <x v="254"/>
  </r>
  <r>
    <n v="994"/>
    <s v="0994"/>
    <s v="ORD-BB-0994-29/09/24"/>
    <s v="[{item_code: PW003, quantity: 1, rating: 4}, {item_code: PW002, quantity: 1, rating: 5}]"/>
    <s v="PW003"/>
    <x v="3"/>
    <s v="Pakaian Wanita"/>
    <s v="1"/>
    <s v="4"/>
    <n v="200000"/>
    <n v="100000"/>
    <s v="PW002"/>
    <s v="Blouse"/>
    <s v="Pakaian Wanita"/>
    <s v="1"/>
    <s v="5"/>
    <n v="125000"/>
    <n v="50000"/>
    <s v="-"/>
    <s v="-"/>
    <s v="-"/>
    <n v="0"/>
    <s v="-"/>
    <n v="0"/>
    <n v="0"/>
    <n v="2"/>
    <n v="325000"/>
    <n v="150000"/>
    <s v="BELI44"/>
    <n v="0.15"/>
    <n v="48750"/>
    <n v="276250"/>
    <n v="175000"/>
    <n v="126250"/>
    <s v="Promo 4.4"/>
    <x v="3"/>
    <s v="BB"/>
    <x v="4"/>
    <x v="254"/>
  </r>
  <r>
    <n v="320"/>
    <s v="0320"/>
    <s v="ORD-BL-0320-30/09/24"/>
    <s v="[{item_code: SP002, quantity: 1, rating: 4}, {item_code: PW001, quantity: 1, rating: 1}]"/>
    <s v="SP002"/>
    <x v="1"/>
    <s v="Sepatu Pria"/>
    <s v="1"/>
    <s v="4"/>
    <n v="120000"/>
    <n v="60000"/>
    <s v="PW001"/>
    <s v="Dress"/>
    <s v="Pakaian Wanita"/>
    <s v="1"/>
    <s v="1"/>
    <n v="150000"/>
    <n v="55000"/>
    <s v="-"/>
    <s v="-"/>
    <s v="-"/>
    <n v="0"/>
    <s v="-"/>
    <n v="0"/>
    <n v="0"/>
    <n v="2"/>
    <n v="270000"/>
    <n v="115000"/>
    <s v="BUKALEBAR"/>
    <n v="0.15"/>
    <n v="40500"/>
    <n v="229500"/>
    <n v="155000"/>
    <n v="114500"/>
    <s v="Promo Lebaran"/>
    <x v="2"/>
    <s v="BL"/>
    <x v="4"/>
    <x v="255"/>
  </r>
  <r>
    <n v="450"/>
    <s v="0450"/>
    <s v="ORD-TK-0450-30/09/24"/>
    <s v="[{item_code: SP002, quantity: 6, rating: 3}]"/>
    <s v="SP002"/>
    <x v="1"/>
    <s v="Sepatu Pria"/>
    <s v="6"/>
    <s v="3"/>
    <n v="120000"/>
    <n v="60000"/>
    <s v="-"/>
    <s v="-"/>
    <s v="-"/>
    <n v="0"/>
    <s v="-"/>
    <n v="0"/>
    <n v="0"/>
    <s v="-"/>
    <s v="-"/>
    <s v="-"/>
    <n v="0"/>
    <s v="-"/>
    <n v="0"/>
    <n v="0"/>
    <n v="6"/>
    <n v="720000"/>
    <n v="360000"/>
    <s v="LEBAR10"/>
    <n v="0.1"/>
    <n v="72000"/>
    <n v="648000"/>
    <n v="360000"/>
    <n v="288000"/>
    <s v="Promo Lebaran"/>
    <x v="1"/>
    <s v="TK"/>
    <x v="3"/>
    <x v="255"/>
  </r>
  <r>
    <n v="925"/>
    <s v="0925"/>
    <s v="ORD-SP-0925-30/09/24"/>
    <s v="[{item_code: PW001, quantity: 4, rating: 4}, {item_code: PW002, quantity: 3, rating: 4}]"/>
    <s v="PW001"/>
    <x v="2"/>
    <s v="Pakaian Wanita"/>
    <s v="4"/>
    <s v="4"/>
    <n v="150000"/>
    <n v="55000"/>
    <s v="PW002"/>
    <s v="Blouse"/>
    <s v="Pakaian Wanita"/>
    <s v="3"/>
    <s v="4"/>
    <n v="125000"/>
    <n v="50000"/>
    <s v="-"/>
    <s v="-"/>
    <s v="-"/>
    <n v="0"/>
    <s v="-"/>
    <n v="0"/>
    <n v="0"/>
    <n v="7"/>
    <n v="975000"/>
    <n v="370000"/>
    <s v="DISC10"/>
    <n v="0.1"/>
    <n v="97500"/>
    <n v="877500"/>
    <n v="605000"/>
    <n v="507500"/>
    <s v="Promo 4.4"/>
    <x v="0"/>
    <s v="SP"/>
    <x v="1"/>
    <x v="255"/>
  </r>
  <r>
    <n v="216"/>
    <s v="0216"/>
    <s v="ORD-BB-0216-01/10/24"/>
    <s v="[{item_code: PP003, quantity: 2, rating: 3}, {item_code: PW001, quantity: 1, rating: 2}, {item_code: PW002, quantity: 2, rating: 2}]"/>
    <s v="PP003"/>
    <x v="6"/>
    <s v="Pakaian Pria"/>
    <s v="2"/>
    <s v="3"/>
    <n v="150000"/>
    <n v="70000"/>
    <s v="PW001"/>
    <s v="Dress"/>
    <s v="Pakaian Wanita"/>
    <s v="1"/>
    <s v="2"/>
    <n v="150000"/>
    <n v="55000"/>
    <s v="PW002"/>
    <s v="Blouse"/>
    <s v="Pakaian Wanita"/>
    <s v="2"/>
    <s v="2"/>
    <n v="125000"/>
    <n v="50000"/>
    <n v="5"/>
    <n v="700000"/>
    <n v="295000"/>
    <s v="-"/>
    <n v="0"/>
    <n v="0"/>
    <n v="700000"/>
    <n v="405000"/>
    <n v="405000"/>
    <s v="-"/>
    <x v="3"/>
    <s v="BB"/>
    <x v="3"/>
    <x v="256"/>
  </r>
  <r>
    <n v="251"/>
    <s v="0251"/>
    <s v="ORD-TK-0251-01/10/24"/>
    <s v="[{item_code: SP002, quantity: 2, rating: 5}]"/>
    <s v="SP002"/>
    <x v="1"/>
    <s v="Sepatu Pria"/>
    <s v="2"/>
    <s v="5"/>
    <n v="120000"/>
    <n v="60000"/>
    <s v="-"/>
    <s v="-"/>
    <s v="-"/>
    <n v="0"/>
    <s v="-"/>
    <n v="0"/>
    <n v="0"/>
    <s v="-"/>
    <s v="-"/>
    <s v="-"/>
    <n v="0"/>
    <s v="-"/>
    <n v="0"/>
    <n v="0"/>
    <n v="2"/>
    <n v="240000"/>
    <n v="120000"/>
    <s v="LEBAR10"/>
    <n v="0.1"/>
    <n v="24000"/>
    <n v="216000"/>
    <n v="120000"/>
    <n v="96000"/>
    <s v="Promo Lebaran"/>
    <x v="1"/>
    <s v="TK"/>
    <x v="1"/>
    <x v="256"/>
  </r>
  <r>
    <n v="734"/>
    <s v="0734"/>
    <s v="ORD-TK-0734-01/10/24"/>
    <s v="[{item_code: SP001, quantity: 2, rating: 1}, {item_code: SW001, quantity: 2, rating: 3}]"/>
    <s v="SP001"/>
    <x v="9"/>
    <s v="Sepatu Pria"/>
    <s v="2"/>
    <s v="1"/>
    <n v="300000"/>
    <n v="100000"/>
    <s v="SW001"/>
    <s v="Flat Shoes"/>
    <s v="Sepatu Wanita"/>
    <s v="2"/>
    <s v="3"/>
    <n v="150000"/>
    <n v="70000"/>
    <s v="-"/>
    <s v="-"/>
    <s v="-"/>
    <n v="0"/>
    <s v="-"/>
    <n v="0"/>
    <n v="0"/>
    <n v="4"/>
    <n v="900000"/>
    <n v="340000"/>
    <s v="DISCAPRIL"/>
    <n v="0.1"/>
    <n v="90000"/>
    <n v="810000"/>
    <n v="560000"/>
    <n v="470000"/>
    <s v="Promo 4.4"/>
    <x v="1"/>
    <s v="TK"/>
    <x v="1"/>
    <x v="256"/>
  </r>
  <r>
    <n v="863"/>
    <s v="0863"/>
    <s v="ORD-TK-0863-01/10/24"/>
    <s v="[{item_code: PP001, quantity: 2, rating: 2}]"/>
    <s v="PP001"/>
    <x v="0"/>
    <s v="Pakaian Pria"/>
    <s v="2"/>
    <s v="2"/>
    <n v="80000"/>
    <n v="30000"/>
    <s v="-"/>
    <s v="-"/>
    <s v="-"/>
    <n v="0"/>
    <s v="-"/>
    <n v="0"/>
    <n v="0"/>
    <s v="-"/>
    <s v="-"/>
    <s v="-"/>
    <n v="0"/>
    <s v="-"/>
    <n v="0"/>
    <n v="0"/>
    <n v="2"/>
    <n v="160000"/>
    <n v="60000"/>
    <s v="-"/>
    <n v="0"/>
    <n v="0"/>
    <n v="160000"/>
    <n v="100000"/>
    <n v="100000"/>
    <s v="-"/>
    <x v="1"/>
    <s v="TK"/>
    <x v="0"/>
    <x v="256"/>
  </r>
  <r>
    <n v="937"/>
    <s v="0937"/>
    <s v="ORD-SP-0937-01/10/24"/>
    <s v="[{item_code: PP002, quantity: 2, rating: 4}, {item_code: SP002, quantity: 2, rating: 2}, {item_code: SP001, quantity: 1, rating: 4}]"/>
    <s v="PP002"/>
    <x v="5"/>
    <s v="Pakaian Pria"/>
    <s v="2"/>
    <s v="4"/>
    <n v="60000"/>
    <n v="25000"/>
    <s v="SP002"/>
    <s v="Sandal Slip On"/>
    <s v="Sepatu Pria"/>
    <s v="2"/>
    <s v="2"/>
    <n v="120000"/>
    <n v="60000"/>
    <s v="SP001"/>
    <s v="Sneakers"/>
    <s v="Sepatu Pria"/>
    <s v="1"/>
    <s v="4"/>
    <n v="300000"/>
    <n v="100000"/>
    <n v="5"/>
    <n v="660000"/>
    <n v="270000"/>
    <s v="DISC10"/>
    <n v="0.1"/>
    <n v="66000"/>
    <n v="594000"/>
    <n v="390000"/>
    <n v="324000"/>
    <s v="Promo 4.4"/>
    <x v="0"/>
    <s v="SP"/>
    <x v="2"/>
    <x v="256"/>
  </r>
  <r>
    <n v="1000"/>
    <s v="1000"/>
    <s v="ORD-SP-1000-01/10/24"/>
    <s v="[{item_code: SP001, quantity: 3, rating: 3}, {item_code: PW001, quantity: 2, rating: 5}, {item_code: PP001, quantity: 1, rating: 2}]"/>
    <s v="SP001"/>
    <x v="9"/>
    <s v="Sepatu Pria"/>
    <s v="3"/>
    <s v="3"/>
    <n v="300000"/>
    <n v="100000"/>
    <s v="PW001"/>
    <s v="Dress"/>
    <s v="Pakaian Wanita"/>
    <s v="2"/>
    <s v="5"/>
    <n v="150000"/>
    <n v="55000"/>
    <s v="PP001"/>
    <s v="Kaos Polo"/>
    <s v="Pakaian Pria"/>
    <s v="1"/>
    <s v="2"/>
    <n v="80000"/>
    <n v="30000"/>
    <n v="6"/>
    <n v="1280000"/>
    <n v="440000"/>
    <s v="DISC15"/>
    <n v="0.15"/>
    <n v="192000"/>
    <n v="1088000"/>
    <n v="840000"/>
    <n v="648000"/>
    <s v="Promo 4.4"/>
    <x v="0"/>
    <s v="SP"/>
    <x v="0"/>
    <x v="256"/>
  </r>
  <r>
    <n v="162"/>
    <s v="0162"/>
    <s v="ORD-SP-0162-02/10/24"/>
    <s v="[{item_code: PU001, quantity: 2, rating: 3}, {item_code: PU001, quantity: 2, rating: 1}, {item_code: PU001, quantity: 2, rating: 4}]"/>
    <s v="PU001"/>
    <x v="7"/>
    <s v="Pakaian Unisex"/>
    <s v="2"/>
    <s v="3"/>
    <n v="160000"/>
    <n v="60000"/>
    <s v="PU001"/>
    <s v="Jaket Hoodie"/>
    <s v="Pakaian Unisex"/>
    <s v="2"/>
    <s v="1"/>
    <n v="160000"/>
    <n v="60000"/>
    <s v="PU001"/>
    <s v="Jaket Hoodie"/>
    <s v="Pakaian Unisex"/>
    <s v="2"/>
    <s v="4"/>
    <n v="160000"/>
    <n v="60000"/>
    <n v="6"/>
    <n v="960000"/>
    <n v="360000"/>
    <s v="DISC10"/>
    <n v="0.1"/>
    <n v="96000"/>
    <n v="864000"/>
    <n v="600000"/>
    <n v="504000"/>
    <s v="Promo 4.4"/>
    <x v="0"/>
    <s v="SP"/>
    <x v="5"/>
    <x v="257"/>
  </r>
  <r>
    <n v="683"/>
    <s v="0683"/>
    <s v="ORD-SP-0683-02/10/24"/>
    <s v="[{item_code: PP001, quantity: 5, rating: 4}, {item_code: SP002, quantity: 1, rating: 4}]"/>
    <s v="PP001"/>
    <x v="0"/>
    <s v="Pakaian Pria"/>
    <s v="5"/>
    <s v="4"/>
    <n v="80000"/>
    <n v="30000"/>
    <s v="SP002"/>
    <s v="Sandal Slip On"/>
    <s v="Sepatu Pria"/>
    <s v="1"/>
    <s v="4"/>
    <n v="120000"/>
    <n v="60000"/>
    <s v="-"/>
    <s v="-"/>
    <s v="-"/>
    <n v="0"/>
    <s v="-"/>
    <n v="0"/>
    <n v="0"/>
    <n v="6"/>
    <n v="520000"/>
    <n v="210000"/>
    <s v="DISC20"/>
    <n v="0.2"/>
    <n v="104000"/>
    <n v="416000"/>
    <n v="310000"/>
    <n v="206000"/>
    <s v="Promo Lebaran"/>
    <x v="0"/>
    <s v="SP"/>
    <x v="5"/>
    <x v="257"/>
  </r>
  <r>
    <n v="762"/>
    <s v="0762"/>
    <s v="ORD-TK-0762-02/10/24"/>
    <s v="[{item_code: SP002, quantity: 2, rating: 1}]"/>
    <s v="SP002"/>
    <x v="1"/>
    <s v="Sepatu Pria"/>
    <s v="2"/>
    <s v="1"/>
    <n v="120000"/>
    <n v="60000"/>
    <s v="-"/>
    <s v="-"/>
    <s v="-"/>
    <n v="0"/>
    <s v="-"/>
    <n v="0"/>
    <n v="0"/>
    <s v="-"/>
    <s v="-"/>
    <s v="-"/>
    <n v="0"/>
    <s v="-"/>
    <n v="0"/>
    <n v="0"/>
    <n v="2"/>
    <n v="240000"/>
    <n v="120000"/>
    <s v="-"/>
    <n v="0"/>
    <n v="0"/>
    <n v="240000"/>
    <n v="120000"/>
    <n v="120000"/>
    <s v="-"/>
    <x v="1"/>
    <s v="TK"/>
    <x v="4"/>
    <x v="257"/>
  </r>
  <r>
    <n v="766"/>
    <s v="0766"/>
    <s v="ORD-BL-0766-02/10/24"/>
    <s v="[{item_code: PW001, quantity: 3, rating: 1}, {item_code: PU001, quantity: 4, rating: 1}]"/>
    <s v="PW001"/>
    <x v="2"/>
    <s v="Pakaian Wanita"/>
    <s v="3"/>
    <s v="1"/>
    <n v="150000"/>
    <n v="55000"/>
    <s v="PU001"/>
    <s v="Jaket Hoodie"/>
    <s v="Pakaian Unisex"/>
    <s v="4"/>
    <s v="1"/>
    <n v="160000"/>
    <n v="60000"/>
    <s v="-"/>
    <s v="-"/>
    <s v="-"/>
    <n v="0"/>
    <s v="-"/>
    <n v="0"/>
    <n v="0"/>
    <n v="7"/>
    <n v="1090000"/>
    <n v="405000"/>
    <s v="BUKALEBAR"/>
    <n v="0.15"/>
    <n v="163500"/>
    <n v="926500"/>
    <n v="685000"/>
    <n v="521500"/>
    <s v="Promo Lebaran"/>
    <x v="2"/>
    <s v="BL"/>
    <x v="3"/>
    <x v="257"/>
  </r>
  <r>
    <n v="882"/>
    <s v="0882"/>
    <s v="ORD-TK-0882-02/10/24"/>
    <s v="[{item_code: PU001, quantity: 2, rating: 2}]"/>
    <s v="PU001"/>
    <x v="7"/>
    <s v="Pakaian Unisex"/>
    <s v="2"/>
    <s v="2"/>
    <n v="160000"/>
    <n v="60000"/>
    <s v="-"/>
    <s v="-"/>
    <s v="-"/>
    <n v="0"/>
    <s v="-"/>
    <n v="0"/>
    <n v="0"/>
    <s v="-"/>
    <s v="-"/>
    <s v="-"/>
    <n v="0"/>
    <s v="-"/>
    <n v="0"/>
    <n v="0"/>
    <n v="2"/>
    <n v="320000"/>
    <n v="120000"/>
    <s v="DISCAPRIL"/>
    <n v="0.1"/>
    <n v="32000"/>
    <n v="288000"/>
    <n v="200000"/>
    <n v="168000"/>
    <s v="Promo 4.4"/>
    <x v="1"/>
    <s v="TK"/>
    <x v="3"/>
    <x v="257"/>
  </r>
  <r>
    <n v="966"/>
    <s v="0966"/>
    <s v="ORD-SP-0966-02/10/24"/>
    <s v="[{item_code: PP001, quantity: 2, rating: 1}, {item_code: PW003, quantity: 1, rating: 4}, {item_code: SW001, quantity: 1, rating: 3}]"/>
    <s v="PP001"/>
    <x v="0"/>
    <s v="Pakaian Pria"/>
    <s v="2"/>
    <s v="1"/>
    <n v="80000"/>
    <n v="30000"/>
    <s v="PW003"/>
    <s v="Kaftan"/>
    <s v="Pakaian Wanita"/>
    <s v="1"/>
    <s v="4"/>
    <n v="200000"/>
    <n v="100000"/>
    <s v="SW001"/>
    <s v="Flat Shoes"/>
    <s v="Sepatu Wanita"/>
    <s v="1"/>
    <s v="3"/>
    <n v="150000"/>
    <n v="70000"/>
    <n v="4"/>
    <n v="510000"/>
    <n v="230000"/>
    <s v="-"/>
    <n v="0"/>
    <n v="0"/>
    <n v="510000"/>
    <n v="280000"/>
    <n v="280000"/>
    <s v="-"/>
    <x v="0"/>
    <s v="SP"/>
    <x v="1"/>
    <x v="257"/>
  </r>
  <r>
    <n v="110"/>
    <s v="0110"/>
    <s v="ORD-SP-0110-03/10/24"/>
    <s v="[{item_code: PW001, quantity: 4, rating: 2}]"/>
    <s v="PW001"/>
    <x v="2"/>
    <s v="Pakaian Wanita"/>
    <s v="4"/>
    <s v="2"/>
    <n v="150000"/>
    <n v="55000"/>
    <s v="-"/>
    <s v="-"/>
    <s v="-"/>
    <n v="0"/>
    <s v="-"/>
    <n v="0"/>
    <n v="0"/>
    <s v="-"/>
    <s v="-"/>
    <s v="-"/>
    <n v="0"/>
    <s v="-"/>
    <n v="0"/>
    <n v="0"/>
    <n v="4"/>
    <n v="600000"/>
    <n v="220000"/>
    <s v="DISC10"/>
    <n v="0.1"/>
    <n v="60000"/>
    <n v="540000"/>
    <n v="380000"/>
    <n v="320000"/>
    <s v="Promo 4.4"/>
    <x v="0"/>
    <s v="SP"/>
    <x v="4"/>
    <x v="258"/>
  </r>
  <r>
    <n v="411"/>
    <s v="0411"/>
    <s v="ORD-TK-0411-03/10/24"/>
    <s v="[{item_code: PW001, quantity: 1, rating: 5}]"/>
    <s v="PW001"/>
    <x v="2"/>
    <s v="Pakaian Wanita"/>
    <s v="1"/>
    <s v="5"/>
    <n v="150000"/>
    <n v="55000"/>
    <s v="-"/>
    <s v="-"/>
    <s v="-"/>
    <n v="0"/>
    <s v="-"/>
    <n v="0"/>
    <n v="0"/>
    <s v="-"/>
    <s v="-"/>
    <s v="-"/>
    <n v="0"/>
    <s v="-"/>
    <n v="0"/>
    <n v="0"/>
    <n v="1"/>
    <n v="150000"/>
    <n v="55000"/>
    <s v="DISCAPRIL"/>
    <n v="0.1"/>
    <n v="15000"/>
    <n v="135000"/>
    <n v="95000"/>
    <n v="80000"/>
    <s v="Promo 4.4"/>
    <x v="1"/>
    <s v="TK"/>
    <x v="1"/>
    <x v="258"/>
  </r>
  <r>
    <n v="185"/>
    <s v="0185"/>
    <s v="ORD-SP-0185-04/10/24"/>
    <s v="[{item_code: PP003, quantity: 3, rating: 2}, {item_code: SP001, quantity: 1, rating: 5}]"/>
    <s v="PP003"/>
    <x v="6"/>
    <s v="Pakaian Pria"/>
    <s v="3"/>
    <s v="2"/>
    <n v="150000"/>
    <n v="70000"/>
    <s v="SP001"/>
    <s v="Sneakers"/>
    <s v="Sepatu Pria"/>
    <s v="1"/>
    <s v="5"/>
    <n v="300000"/>
    <n v="100000"/>
    <s v="-"/>
    <s v="-"/>
    <s v="-"/>
    <n v="0"/>
    <s v="-"/>
    <n v="0"/>
    <n v="0"/>
    <n v="4"/>
    <n v="750000"/>
    <n v="310000"/>
    <s v="DISC15"/>
    <n v="0.15"/>
    <n v="112500"/>
    <n v="637500"/>
    <n v="440000"/>
    <n v="327500"/>
    <s v="Promo 4.4"/>
    <x v="0"/>
    <s v="SP"/>
    <x v="4"/>
    <x v="259"/>
  </r>
  <r>
    <n v="417"/>
    <s v="0417"/>
    <s v="ORD-TK-0417-04/10/24"/>
    <s v="[{item_code: PP001, quantity: 5, rating: 4}, {item_code: PP002, quantity: 1, rating: 3}]"/>
    <s v="PP001"/>
    <x v="0"/>
    <s v="Pakaian Pria"/>
    <s v="5"/>
    <s v="4"/>
    <n v="80000"/>
    <n v="30000"/>
    <s v="PP002"/>
    <s v="Celana Pendek"/>
    <s v="Pakaian Pria"/>
    <s v="1"/>
    <s v="3"/>
    <n v="60000"/>
    <n v="25000"/>
    <s v="-"/>
    <s v="-"/>
    <s v="-"/>
    <n v="0"/>
    <s v="-"/>
    <n v="0"/>
    <n v="0"/>
    <n v="6"/>
    <n v="460000"/>
    <n v="175000"/>
    <s v="LEBAR10"/>
    <n v="0.1"/>
    <n v="46000"/>
    <n v="414000"/>
    <n v="285000"/>
    <n v="239000"/>
    <s v="Promo Lebaran"/>
    <x v="1"/>
    <s v="TK"/>
    <x v="3"/>
    <x v="259"/>
  </r>
  <r>
    <n v="955"/>
    <s v="0955"/>
    <s v="ORD-TK-0955-04/10/24"/>
    <s v="[{item_code: SP002, quantity: 1, rating: 3}, {item_code: PP002, quantity: 3, rating: 2}, {item_code: SW001, quantity: 1, rating: 1}]"/>
    <s v="SP002"/>
    <x v="1"/>
    <s v="Sepatu Pria"/>
    <s v="1"/>
    <s v="3"/>
    <n v="120000"/>
    <n v="60000"/>
    <s v="PP002"/>
    <s v="Celana Pendek"/>
    <s v="Pakaian Pria"/>
    <s v="3"/>
    <s v="2"/>
    <n v="60000"/>
    <n v="25000"/>
    <s v="SW001"/>
    <s v="Flat Shoes"/>
    <s v="Sepatu Wanita"/>
    <s v="1"/>
    <s v="1"/>
    <n v="150000"/>
    <n v="70000"/>
    <n v="5"/>
    <n v="450000"/>
    <n v="205000"/>
    <s v="DISCAPRIL"/>
    <n v="0.1"/>
    <n v="45000"/>
    <n v="405000"/>
    <n v="245000"/>
    <n v="200000"/>
    <s v="Promo 4.4"/>
    <x v="1"/>
    <s v="TK"/>
    <x v="1"/>
    <x v="259"/>
  </r>
  <r>
    <n v="257"/>
    <s v="0257"/>
    <s v="ORD-BB-0257-05/10/24"/>
    <s v="[{item_code: SP001, quantity: 3, rating: 3}]"/>
    <s v="SP001"/>
    <x v="9"/>
    <s v="Sepatu Pria"/>
    <s v="3"/>
    <s v="3"/>
    <n v="300000"/>
    <n v="100000"/>
    <s v="-"/>
    <s v="-"/>
    <s v="-"/>
    <n v="0"/>
    <s v="-"/>
    <n v="0"/>
    <n v="0"/>
    <s v="-"/>
    <s v="-"/>
    <s v="-"/>
    <n v="0"/>
    <s v="-"/>
    <n v="0"/>
    <n v="0"/>
    <n v="3"/>
    <n v="900000"/>
    <n v="300000"/>
    <s v="BELI44"/>
    <n v="0.15"/>
    <n v="135000"/>
    <n v="765000"/>
    <n v="600000"/>
    <n v="465000"/>
    <s v="Promo 4.4"/>
    <x v="3"/>
    <s v="BB"/>
    <x v="3"/>
    <x v="260"/>
  </r>
  <r>
    <n v="402"/>
    <s v="0402"/>
    <s v="ORD-SP-0402-05/10/24"/>
    <s v="[{item_code: PP003, quantity: 6, rating: 4}]"/>
    <s v="PP003"/>
    <x v="6"/>
    <s v="Pakaian Pria"/>
    <s v="6"/>
    <s v="4"/>
    <n v="150000"/>
    <n v="70000"/>
    <s v="-"/>
    <s v="-"/>
    <s v="-"/>
    <n v="0"/>
    <s v="-"/>
    <n v="0"/>
    <n v="0"/>
    <s v="-"/>
    <s v="-"/>
    <s v="-"/>
    <n v="0"/>
    <s v="-"/>
    <n v="0"/>
    <n v="0"/>
    <n v="6"/>
    <n v="900000"/>
    <n v="420000"/>
    <s v="DISC10"/>
    <n v="0.1"/>
    <n v="90000"/>
    <n v="810000"/>
    <n v="480000"/>
    <n v="390000"/>
    <s v="Promo 4.4"/>
    <x v="0"/>
    <s v="SP"/>
    <x v="2"/>
    <x v="260"/>
  </r>
  <r>
    <n v="488"/>
    <s v="0488"/>
    <s v="ORD-BL-0488-05/10/24"/>
    <s v="[{item_code: SP002, quantity: 2, rating: 3}, {item_code: PW002, quantity: 1, rating: 3}]"/>
    <s v="SP002"/>
    <x v="1"/>
    <s v="Sepatu Pria"/>
    <s v="2"/>
    <s v="3"/>
    <n v="120000"/>
    <n v="60000"/>
    <s v="PW002"/>
    <s v="Blouse"/>
    <s v="Pakaian Wanita"/>
    <s v="1"/>
    <s v="3"/>
    <n v="125000"/>
    <n v="50000"/>
    <s v="-"/>
    <s v="-"/>
    <s v="-"/>
    <n v="0"/>
    <s v="-"/>
    <n v="0"/>
    <n v="0"/>
    <n v="3"/>
    <n v="365000"/>
    <n v="170000"/>
    <s v="-"/>
    <n v="0"/>
    <n v="0"/>
    <n v="365000"/>
    <n v="195000"/>
    <n v="195000"/>
    <s v="-"/>
    <x v="2"/>
    <s v="BL"/>
    <x v="4"/>
    <x v="260"/>
  </r>
  <r>
    <n v="496"/>
    <s v="0496"/>
    <s v="ORD-TK-0496-05/10/24"/>
    <s v="[{item_code: PW001, quantity: 3, rating: 3}, {item_code: PW002, quantity: 1, rating: 1}, {item_code: SW001, quantity: 3, rating: 1}]"/>
    <s v="PW001"/>
    <x v="2"/>
    <s v="Pakaian Wanita"/>
    <s v="3"/>
    <s v="3"/>
    <n v="150000"/>
    <n v="55000"/>
    <s v="PW002"/>
    <s v="Blouse"/>
    <s v="Pakaian Wanita"/>
    <s v="1"/>
    <s v="1"/>
    <n v="125000"/>
    <n v="50000"/>
    <s v="SW001"/>
    <s v="Flat Shoes"/>
    <s v="Sepatu Wanita"/>
    <s v="3"/>
    <s v="1"/>
    <n v="150000"/>
    <n v="70000"/>
    <n v="7"/>
    <n v="1025000"/>
    <n v="425000"/>
    <s v="-"/>
    <n v="0"/>
    <n v="0"/>
    <n v="1025000"/>
    <n v="600000"/>
    <n v="600000"/>
    <s v="-"/>
    <x v="1"/>
    <s v="TK"/>
    <x v="2"/>
    <x v="260"/>
  </r>
  <r>
    <n v="949"/>
    <s v="0949"/>
    <s v="ORD-BL-0949-05/10/24"/>
    <s v="[{item_code: PW002, quantity: 3, rating: 3}, {item_code: PW001, quantity: 2, rating: 3}, {item_code: PP001, quantity: 1, rating: 3}]"/>
    <s v="PW002"/>
    <x v="4"/>
    <s v="Pakaian Wanita"/>
    <s v="3"/>
    <s v="3"/>
    <n v="125000"/>
    <n v="50000"/>
    <s v="PW001"/>
    <s v="Dress"/>
    <s v="Pakaian Wanita"/>
    <s v="2"/>
    <s v="3"/>
    <n v="150000"/>
    <n v="55000"/>
    <s v="PP001"/>
    <s v="Kaos Polo"/>
    <s v="Pakaian Pria"/>
    <s v="1"/>
    <s v="3"/>
    <n v="80000"/>
    <n v="30000"/>
    <n v="6"/>
    <n v="755000"/>
    <n v="290000"/>
    <s v="BUKALEBAR"/>
    <n v="0.15"/>
    <n v="113250"/>
    <n v="641750"/>
    <n v="465000"/>
    <n v="351750"/>
    <s v="Promo Lebaran"/>
    <x v="2"/>
    <s v="BL"/>
    <x v="3"/>
    <x v="260"/>
  </r>
  <r>
    <n v="293"/>
    <s v="0293"/>
    <s v="ORD-SP-0293-07/10/24"/>
    <s v="[{item_code: PP003, quantity: 2, rating: 2}, {item_code: PW003, quantity: 2, rating: 1}, {item_code: PW002, quantity: 3, rating: 2}]"/>
    <s v="PP003"/>
    <x v="6"/>
    <s v="Pakaian Pria"/>
    <s v="2"/>
    <s v="2"/>
    <n v="150000"/>
    <n v="70000"/>
    <s v="PW003"/>
    <s v="Kaftan"/>
    <s v="Pakaian Wanita"/>
    <s v="2"/>
    <s v="1"/>
    <n v="200000"/>
    <n v="100000"/>
    <s v="PW002"/>
    <s v="Blouse"/>
    <s v="Pakaian Wanita"/>
    <s v="3"/>
    <s v="2"/>
    <n v="125000"/>
    <n v="50000"/>
    <n v="7"/>
    <n v="1075000"/>
    <n v="490000"/>
    <s v="DISC15"/>
    <n v="0.15"/>
    <n v="161250"/>
    <n v="913750"/>
    <n v="585000"/>
    <n v="423750"/>
    <s v="Promo 4.4"/>
    <x v="0"/>
    <s v="SP"/>
    <x v="2"/>
    <x v="261"/>
  </r>
  <r>
    <n v="722"/>
    <s v="0722"/>
    <s v="ORD-TK-0722-07/10/24"/>
    <s v="[{item_code: SP002, quantity: 4, rating: 2}]"/>
    <s v="SP002"/>
    <x v="1"/>
    <s v="Sepatu Pria"/>
    <s v="4"/>
    <s v="2"/>
    <n v="120000"/>
    <n v="60000"/>
    <s v="-"/>
    <s v="-"/>
    <s v="-"/>
    <n v="0"/>
    <s v="-"/>
    <n v="0"/>
    <n v="0"/>
    <s v="-"/>
    <s v="-"/>
    <s v="-"/>
    <n v="0"/>
    <s v="-"/>
    <n v="0"/>
    <n v="0"/>
    <n v="4"/>
    <n v="480000"/>
    <n v="240000"/>
    <s v="DISCAPRIL"/>
    <n v="0.1"/>
    <n v="48000"/>
    <n v="432000"/>
    <n v="240000"/>
    <n v="192000"/>
    <s v="Promo 4.4"/>
    <x v="1"/>
    <s v="TK"/>
    <x v="3"/>
    <x v="261"/>
  </r>
  <r>
    <n v="735"/>
    <s v="0735"/>
    <s v="ORD-TK-0735-07/10/24"/>
    <s v="[{item_code: PW001, quantity: 1, rating: 4}, {item_code: PU001, quantity: 1, rating: 4}, {item_code: PP001, quantity: 5, rating: 2}]"/>
    <s v="PW001"/>
    <x v="2"/>
    <s v="Pakaian Wanita"/>
    <s v="1"/>
    <s v="4"/>
    <n v="150000"/>
    <n v="55000"/>
    <s v="PU001"/>
    <s v="Jaket Hoodie"/>
    <s v="Pakaian Unisex"/>
    <s v="1"/>
    <s v="4"/>
    <n v="160000"/>
    <n v="60000"/>
    <s v="PP001"/>
    <s v="Kaos Polo"/>
    <s v="Pakaian Pria"/>
    <s v="5"/>
    <s v="2"/>
    <n v="80000"/>
    <n v="30000"/>
    <n v="7"/>
    <n v="710000"/>
    <n v="265000"/>
    <s v="DISCAPRIL"/>
    <n v="0.1"/>
    <n v="71000"/>
    <n v="639000"/>
    <n v="445000"/>
    <n v="374000"/>
    <s v="Promo 4.4"/>
    <x v="1"/>
    <s v="TK"/>
    <x v="1"/>
    <x v="261"/>
  </r>
  <r>
    <n v="393"/>
    <s v="0393"/>
    <s v="ORD-BL-0393-08/10/24"/>
    <s v="[{item_code: PU001, quantity: 4, rating: 2}, {item_code: PP003, quantity: 2, rating: 4}, {item_code: PU001, quantity: 1, rating: 5}]"/>
    <s v="PU001"/>
    <x v="7"/>
    <s v="Pakaian Unisex"/>
    <s v="4"/>
    <s v="2"/>
    <n v="160000"/>
    <n v="60000"/>
    <s v="PP003"/>
    <s v="Jaket Jeans"/>
    <s v="Pakaian Pria"/>
    <s v="2"/>
    <s v="4"/>
    <n v="150000"/>
    <n v="70000"/>
    <s v="PU001"/>
    <s v="Jaket Hoodie"/>
    <s v="Pakaian Unisex"/>
    <s v="1"/>
    <s v="5"/>
    <n v="160000"/>
    <n v="60000"/>
    <n v="7"/>
    <n v="1100000"/>
    <n v="440000"/>
    <s v="BUKALEBAR"/>
    <n v="0.15"/>
    <n v="165000"/>
    <n v="935000"/>
    <n v="660000"/>
    <n v="495000"/>
    <s v="Promo Lebaran"/>
    <x v="2"/>
    <s v="BL"/>
    <x v="1"/>
    <x v="262"/>
  </r>
  <r>
    <n v="960"/>
    <s v="0960"/>
    <s v="ORD-SP-0960-08/10/24"/>
    <s v="[{item_code: PP002, quantity: 4, rating: 5}, {item_code: PW001, quantity: 1, rating: 2}, {item_code: PP002, quantity: 1, rating: 3}]"/>
    <s v="PP002"/>
    <x v="5"/>
    <s v="Pakaian Pria"/>
    <s v="4"/>
    <s v="5"/>
    <n v="60000"/>
    <n v="25000"/>
    <s v="PW001"/>
    <s v="Dress"/>
    <s v="Pakaian Wanita"/>
    <s v="1"/>
    <s v="2"/>
    <n v="150000"/>
    <n v="55000"/>
    <s v="PP002"/>
    <s v="Celana Pendek"/>
    <s v="Pakaian Pria"/>
    <s v="1"/>
    <s v="3"/>
    <n v="60000"/>
    <n v="25000"/>
    <n v="6"/>
    <n v="450000"/>
    <n v="180000"/>
    <s v="-"/>
    <n v="0"/>
    <n v="0"/>
    <n v="450000"/>
    <n v="270000"/>
    <n v="270000"/>
    <s v="-"/>
    <x v="0"/>
    <s v="SP"/>
    <x v="5"/>
    <x v="262"/>
  </r>
  <r>
    <n v="479"/>
    <s v="0479"/>
    <s v="ORD-TK-0479-09/10/24"/>
    <s v="[{item_code: PP003, quantity: 2, rating: 1}, {item_code: SP001, quantity: 2, rating: 3}]"/>
    <s v="PP003"/>
    <x v="6"/>
    <s v="Pakaian Pria"/>
    <s v="2"/>
    <s v="1"/>
    <n v="150000"/>
    <n v="70000"/>
    <s v="SP001"/>
    <s v="Sneakers"/>
    <s v="Sepatu Pria"/>
    <s v="2"/>
    <s v="3"/>
    <n v="300000"/>
    <n v="100000"/>
    <s v="-"/>
    <s v="-"/>
    <s v="-"/>
    <n v="0"/>
    <s v="-"/>
    <n v="0"/>
    <n v="0"/>
    <n v="4"/>
    <n v="900000"/>
    <n v="340000"/>
    <s v="LEBAR10"/>
    <n v="0.1"/>
    <n v="90000"/>
    <n v="810000"/>
    <n v="560000"/>
    <n v="470000"/>
    <s v="Promo Lebaran"/>
    <x v="1"/>
    <s v="TK"/>
    <x v="3"/>
    <x v="263"/>
  </r>
  <r>
    <n v="770"/>
    <s v="0770"/>
    <s v="ORD-TK-0770-09/10/24"/>
    <s v="[{item_code: SP002, quantity: 2, rating: 2}]"/>
    <s v="SP002"/>
    <x v="1"/>
    <s v="Sepatu Pria"/>
    <s v="2"/>
    <s v="2"/>
    <n v="120000"/>
    <n v="60000"/>
    <s v="-"/>
    <s v="-"/>
    <s v="-"/>
    <n v="0"/>
    <s v="-"/>
    <n v="0"/>
    <n v="0"/>
    <s v="-"/>
    <s v="-"/>
    <s v="-"/>
    <n v="0"/>
    <s v="-"/>
    <n v="0"/>
    <n v="0"/>
    <n v="2"/>
    <n v="240000"/>
    <n v="120000"/>
    <s v="LEBAR10"/>
    <n v="0.1"/>
    <n v="24000"/>
    <n v="216000"/>
    <n v="120000"/>
    <n v="96000"/>
    <s v="Promo Lebaran"/>
    <x v="1"/>
    <s v="TK"/>
    <x v="3"/>
    <x v="263"/>
  </r>
  <r>
    <n v="215"/>
    <s v="0215"/>
    <s v="ORD-BL-0215-10/10/24"/>
    <s v="[{item_code: PP001, quantity: 4, rating: 4}, {item_code: SP001, quantity: 1, rating: 2}]"/>
    <s v="PP001"/>
    <x v="0"/>
    <s v="Pakaian Pria"/>
    <s v="4"/>
    <s v="4"/>
    <n v="80000"/>
    <n v="30000"/>
    <s v="SP001"/>
    <s v="Sneakers"/>
    <s v="Sepatu Pria"/>
    <s v="1"/>
    <s v="2"/>
    <n v="300000"/>
    <n v="100000"/>
    <s v="-"/>
    <s v="-"/>
    <s v="-"/>
    <n v="0"/>
    <s v="-"/>
    <n v="0"/>
    <n v="0"/>
    <n v="5"/>
    <n v="620000"/>
    <n v="220000"/>
    <s v="BUKALEBAR"/>
    <n v="0.15"/>
    <n v="93000"/>
    <n v="527000"/>
    <n v="400000"/>
    <n v="307000"/>
    <s v="Promo Lebaran"/>
    <x v="2"/>
    <s v="BL"/>
    <x v="5"/>
    <x v="264"/>
  </r>
  <r>
    <n v="336"/>
    <s v="0336"/>
    <s v="ORD-BB-0336-10/10/24"/>
    <s v="[{item_code: SP002, quantity: 1, rating: 4}, {item_code: PP003, quantity: 1, rating: 1}, {item_code: PW002, quantity: 1, rating: 4}]"/>
    <s v="SP002"/>
    <x v="1"/>
    <s v="Sepatu Pria"/>
    <s v="1"/>
    <s v="4"/>
    <n v="120000"/>
    <n v="60000"/>
    <s v="PP003"/>
    <s v="Jaket Jeans"/>
    <s v="Pakaian Pria"/>
    <s v="1"/>
    <s v="1"/>
    <n v="150000"/>
    <n v="70000"/>
    <s v="PW002"/>
    <s v="Blouse"/>
    <s v="Pakaian Wanita"/>
    <s v="1"/>
    <s v="4"/>
    <n v="125000"/>
    <n v="50000"/>
    <n v="3"/>
    <n v="395000"/>
    <n v="180000"/>
    <s v="-"/>
    <n v="0"/>
    <n v="0"/>
    <n v="395000"/>
    <n v="215000"/>
    <n v="215000"/>
    <s v="-"/>
    <x v="3"/>
    <s v="BB"/>
    <x v="1"/>
    <x v="264"/>
  </r>
  <r>
    <n v="352"/>
    <s v="0352"/>
    <s v="ORD-TK-0352-10/10/24"/>
    <s v="[{item_code: PP001, quantity: 3, rating: 3}]"/>
    <s v="PP001"/>
    <x v="0"/>
    <s v="Pakaian Pria"/>
    <s v="3"/>
    <s v="3"/>
    <n v="80000"/>
    <n v="30000"/>
    <s v="-"/>
    <s v="-"/>
    <s v="-"/>
    <n v="0"/>
    <s v="-"/>
    <n v="0"/>
    <n v="0"/>
    <s v="-"/>
    <s v="-"/>
    <s v="-"/>
    <n v="0"/>
    <s v="-"/>
    <n v="0"/>
    <n v="0"/>
    <n v="3"/>
    <n v="240000"/>
    <n v="90000"/>
    <s v="DISCAPRIL"/>
    <n v="0.1"/>
    <n v="24000"/>
    <n v="216000"/>
    <n v="150000"/>
    <n v="126000"/>
    <s v="Promo 4.4"/>
    <x v="1"/>
    <s v="TK"/>
    <x v="4"/>
    <x v="264"/>
  </r>
  <r>
    <n v="778"/>
    <s v="0778"/>
    <s v="ORD-SP-0778-10/10/24"/>
    <s v="[{item_code: PW001, quantity: 3, rating: 4}]"/>
    <s v="PW001"/>
    <x v="2"/>
    <s v="Pakaian Wanita"/>
    <s v="3"/>
    <s v="4"/>
    <n v="150000"/>
    <n v="55000"/>
    <s v="-"/>
    <s v="-"/>
    <s v="-"/>
    <n v="0"/>
    <s v="-"/>
    <n v="0"/>
    <n v="0"/>
    <s v="-"/>
    <s v="-"/>
    <s v="-"/>
    <n v="0"/>
    <s v="-"/>
    <n v="0"/>
    <n v="0"/>
    <n v="3"/>
    <n v="450000"/>
    <n v="165000"/>
    <s v="DISC15"/>
    <n v="0.15"/>
    <n v="67500"/>
    <n v="382500"/>
    <n v="285000"/>
    <n v="217500"/>
    <s v="Promo 4.4"/>
    <x v="0"/>
    <s v="SP"/>
    <x v="3"/>
    <x v="264"/>
  </r>
  <r>
    <n v="48"/>
    <s v="0048"/>
    <s v="ORD-SP-0048-12/10/24"/>
    <s v="[{item_code: PP001, quantity: 4, rating: 1}]"/>
    <s v="PP001"/>
    <x v="0"/>
    <s v="Pakaian Pria"/>
    <s v="4"/>
    <s v="1"/>
    <n v="80000"/>
    <n v="30000"/>
    <s v="-"/>
    <s v="-"/>
    <s v="-"/>
    <n v="0"/>
    <s v="-"/>
    <n v="0"/>
    <n v="0"/>
    <s v="-"/>
    <s v="-"/>
    <s v="-"/>
    <n v="0"/>
    <s v="-"/>
    <n v="0"/>
    <n v="0"/>
    <n v="4"/>
    <n v="320000"/>
    <n v="120000"/>
    <s v="DISC15"/>
    <n v="0.15"/>
    <n v="48000"/>
    <n v="272000"/>
    <n v="200000"/>
    <n v="152000"/>
    <s v="Promo 4.4"/>
    <x v="0"/>
    <s v="SP"/>
    <x v="3"/>
    <x v="265"/>
  </r>
  <r>
    <n v="193"/>
    <s v="0193"/>
    <s v="ORD-TK-0193-12/10/24"/>
    <s v="[{item_code: PP002, quantity: 4, rating: 5}, {item_code: SP002, quantity: 2, rating: 3}, {item_code: PW001, quantity: 1, rating: 1}]"/>
    <s v="PP002"/>
    <x v="5"/>
    <s v="Pakaian Pria"/>
    <s v="4"/>
    <s v="5"/>
    <n v="60000"/>
    <n v="25000"/>
    <s v="SP002"/>
    <s v="Sandal Slip On"/>
    <s v="Sepatu Pria"/>
    <s v="2"/>
    <s v="3"/>
    <n v="120000"/>
    <n v="60000"/>
    <s v="PW001"/>
    <s v="Dress"/>
    <s v="Pakaian Wanita"/>
    <s v="1"/>
    <s v="1"/>
    <n v="150000"/>
    <n v="55000"/>
    <n v="7"/>
    <n v="630000"/>
    <n v="275000"/>
    <s v="DISCAPRIL"/>
    <n v="0.1"/>
    <n v="63000"/>
    <n v="567000"/>
    <n v="355000"/>
    <n v="292000"/>
    <s v="Promo 4.4"/>
    <x v="1"/>
    <s v="TK"/>
    <x v="2"/>
    <x v="265"/>
  </r>
  <r>
    <n v="117"/>
    <s v="0117"/>
    <s v="ORD-TK-0117-13/10/24"/>
    <s v="[{item_code: SW001, quantity: 4, rating: 4}]"/>
    <s v="SW001"/>
    <x v="8"/>
    <s v="Sepatu Wanita"/>
    <s v="4"/>
    <s v="4"/>
    <n v="150000"/>
    <n v="70000"/>
    <s v="-"/>
    <s v="-"/>
    <s v="-"/>
    <n v="0"/>
    <s v="-"/>
    <n v="0"/>
    <n v="0"/>
    <s v="-"/>
    <s v="-"/>
    <s v="-"/>
    <n v="0"/>
    <s v="-"/>
    <n v="0"/>
    <n v="0"/>
    <n v="4"/>
    <n v="600000"/>
    <n v="280000"/>
    <s v="DISCAPRIL"/>
    <n v="0.1"/>
    <n v="60000"/>
    <n v="540000"/>
    <n v="320000"/>
    <n v="260000"/>
    <s v="Promo 4.4"/>
    <x v="1"/>
    <s v="TK"/>
    <x v="3"/>
    <x v="266"/>
  </r>
  <r>
    <n v="420"/>
    <s v="0420"/>
    <s v="ORD-BB-0420-13/10/24"/>
    <s v="[{item_code: PU001, quantity: 3, rating: 4}, {item_code: PP003, quantity: 1, rating: 5}, {item_code: PW002, quantity: 2, rating: 4}]"/>
    <s v="PU001"/>
    <x v="7"/>
    <s v="Pakaian Unisex"/>
    <s v="3"/>
    <s v="4"/>
    <n v="160000"/>
    <n v="60000"/>
    <s v="PP003"/>
    <s v="Jaket Jeans"/>
    <s v="Pakaian Pria"/>
    <s v="1"/>
    <s v="5"/>
    <n v="150000"/>
    <n v="70000"/>
    <s v="PW002"/>
    <s v="Blouse"/>
    <s v="Pakaian Wanita"/>
    <s v="2"/>
    <s v="4"/>
    <n v="125000"/>
    <n v="50000"/>
    <n v="6"/>
    <n v="880000"/>
    <n v="350000"/>
    <s v="BELI44"/>
    <n v="0.15"/>
    <n v="132000"/>
    <n v="748000"/>
    <n v="530000"/>
    <n v="398000"/>
    <s v="Promo 4.4"/>
    <x v="3"/>
    <s v="BB"/>
    <x v="1"/>
    <x v="266"/>
  </r>
  <r>
    <n v="547"/>
    <s v="0547"/>
    <s v="ORD-BL-0547-13/10/24"/>
    <s v="[{item_code: PW003, quantity: 1, rating: 1}, {item_code: SP002, quantity: 1, rating: 1}, {item_code: PP002, quantity: 1, rating: 1}]"/>
    <s v="PW003"/>
    <x v="3"/>
    <s v="Pakaian Wanita"/>
    <s v="1"/>
    <s v="1"/>
    <n v="200000"/>
    <n v="100000"/>
    <s v="SP002"/>
    <s v="Sandal Slip On"/>
    <s v="Sepatu Pria"/>
    <s v="1"/>
    <s v="1"/>
    <n v="120000"/>
    <n v="60000"/>
    <s v="PP002"/>
    <s v="Celana Pendek"/>
    <s v="Pakaian Pria"/>
    <s v="1"/>
    <s v="1"/>
    <n v="60000"/>
    <n v="25000"/>
    <n v="3"/>
    <n v="380000"/>
    <n v="185000"/>
    <s v="BUKALEBAR"/>
    <n v="0.15"/>
    <n v="57000"/>
    <n v="323000"/>
    <n v="195000"/>
    <n v="138000"/>
    <s v="Promo Lebaran"/>
    <x v="2"/>
    <s v="BL"/>
    <x v="4"/>
    <x v="266"/>
  </r>
  <r>
    <n v="97"/>
    <s v="0097"/>
    <s v="ORD-SP-0097-14/10/24"/>
    <s v="[{item_code: PW001, quantity: 1, rating: 1}, {item_code: PU001, quantity: 1, rating: 5}]"/>
    <s v="PW001"/>
    <x v="2"/>
    <s v="Pakaian Wanita"/>
    <s v="1"/>
    <s v="1"/>
    <n v="150000"/>
    <n v="55000"/>
    <s v="PU001"/>
    <s v="Jaket Hoodie"/>
    <s v="Pakaian Unisex"/>
    <s v="1"/>
    <s v="5"/>
    <n v="160000"/>
    <n v="60000"/>
    <s v="-"/>
    <s v="-"/>
    <s v="-"/>
    <n v="0"/>
    <s v="-"/>
    <n v="0"/>
    <n v="0"/>
    <n v="2"/>
    <n v="310000"/>
    <n v="115000"/>
    <s v="DISC10"/>
    <n v="0.1"/>
    <n v="31000"/>
    <n v="279000"/>
    <n v="195000"/>
    <n v="164000"/>
    <s v="Promo 4.4"/>
    <x v="0"/>
    <s v="SP"/>
    <x v="3"/>
    <x v="267"/>
  </r>
  <r>
    <n v="290"/>
    <s v="0290"/>
    <s v="ORD-TK-0290-14/10/24"/>
    <s v="[{item_code: PP003, quantity: 6, rating: 2}, {item_code: PP002, quantity: 1, rating: 1}]"/>
    <s v="PP003"/>
    <x v="6"/>
    <s v="Pakaian Pria"/>
    <s v="6"/>
    <s v="2"/>
    <n v="150000"/>
    <n v="70000"/>
    <s v="PP002"/>
    <s v="Celana Pendek"/>
    <s v="Pakaian Pria"/>
    <s v="1"/>
    <s v="1"/>
    <n v="60000"/>
    <n v="25000"/>
    <s v="-"/>
    <s v="-"/>
    <s v="-"/>
    <n v="0"/>
    <s v="-"/>
    <n v="0"/>
    <n v="0"/>
    <n v="7"/>
    <n v="960000"/>
    <n v="445000"/>
    <s v="-"/>
    <n v="0"/>
    <n v="0"/>
    <n v="960000"/>
    <n v="515000"/>
    <n v="515000"/>
    <s v="-"/>
    <x v="1"/>
    <s v="TK"/>
    <x v="4"/>
    <x v="267"/>
  </r>
  <r>
    <n v="155"/>
    <s v="0155"/>
    <s v="ORD-BB-0155-15/10/24"/>
    <s v="[{item_code: PP001, quantity: 4, rating: 5}, {item_code: SP002, quantity: 1, rating: 3}, {item_code: SW001, quantity: 1, rating: 2}]"/>
    <s v="PP001"/>
    <x v="0"/>
    <s v="Pakaian Pria"/>
    <s v="4"/>
    <s v="5"/>
    <n v="80000"/>
    <n v="30000"/>
    <s v="SP002"/>
    <s v="Sandal Slip On"/>
    <s v="Sepatu Pria"/>
    <s v="1"/>
    <s v="3"/>
    <n v="120000"/>
    <n v="60000"/>
    <s v="SW001"/>
    <s v="Flat Shoes"/>
    <s v="Sepatu Wanita"/>
    <s v="1"/>
    <s v="2"/>
    <n v="150000"/>
    <n v="70000"/>
    <n v="6"/>
    <n v="590000"/>
    <n v="250000"/>
    <s v="BELI44"/>
    <n v="0.15"/>
    <n v="88500"/>
    <n v="501500"/>
    <n v="340000"/>
    <n v="251500"/>
    <s v="Promo 4.4"/>
    <x v="3"/>
    <s v="BB"/>
    <x v="1"/>
    <x v="268"/>
  </r>
  <r>
    <n v="537"/>
    <s v="0537"/>
    <s v="ORD-SP-0537-15/10/24"/>
    <s v="[{item_code: PP001, quantity: 3, rating: 2}, {item_code: SP001, quantity: 1, rating: 4}]"/>
    <s v="PP001"/>
    <x v="0"/>
    <s v="Pakaian Pria"/>
    <s v="3"/>
    <s v="2"/>
    <n v="80000"/>
    <n v="30000"/>
    <s v="SP001"/>
    <s v="Sneakers"/>
    <s v="Sepatu Pria"/>
    <s v="1"/>
    <s v="4"/>
    <n v="300000"/>
    <n v="100000"/>
    <s v="-"/>
    <s v="-"/>
    <s v="-"/>
    <n v="0"/>
    <s v="-"/>
    <n v="0"/>
    <n v="0"/>
    <n v="4"/>
    <n v="540000"/>
    <n v="190000"/>
    <s v="-"/>
    <n v="0"/>
    <n v="0"/>
    <n v="540000"/>
    <n v="350000"/>
    <n v="350000"/>
    <s v="-"/>
    <x v="0"/>
    <s v="SP"/>
    <x v="3"/>
    <x v="268"/>
  </r>
  <r>
    <n v="597"/>
    <s v="0597"/>
    <s v="ORD-BL-0597-15/10/24"/>
    <s v="[{item_code: PW002, quantity: 1, rating: 5}]"/>
    <s v="PW002"/>
    <x v="4"/>
    <s v="Pakaian Wanita"/>
    <s v="1"/>
    <s v="5"/>
    <n v="125000"/>
    <n v="50000"/>
    <s v="-"/>
    <s v="-"/>
    <s v="-"/>
    <n v="0"/>
    <s v="-"/>
    <n v="0"/>
    <n v="0"/>
    <s v="-"/>
    <s v="-"/>
    <s v="-"/>
    <n v="0"/>
    <s v="-"/>
    <n v="0"/>
    <n v="0"/>
    <n v="1"/>
    <n v="125000"/>
    <n v="50000"/>
    <s v="BUKALEBAR"/>
    <n v="0.15"/>
    <n v="18750"/>
    <n v="106250"/>
    <n v="75000"/>
    <n v="56250"/>
    <s v="Promo Lebaran"/>
    <x v="2"/>
    <s v="BL"/>
    <x v="4"/>
    <x v="268"/>
  </r>
  <r>
    <n v="813"/>
    <s v="0813"/>
    <s v="ORD-SP-0813-15/10/24"/>
    <s v="[{item_code: PU001, quantity: 3, rating: 4}]"/>
    <s v="PU001"/>
    <x v="7"/>
    <s v="Pakaian Unisex"/>
    <s v="3"/>
    <s v="4"/>
    <n v="160000"/>
    <n v="60000"/>
    <s v="-"/>
    <s v="-"/>
    <s v="-"/>
    <n v="0"/>
    <s v="-"/>
    <n v="0"/>
    <n v="0"/>
    <s v="-"/>
    <s v="-"/>
    <s v="-"/>
    <n v="0"/>
    <s v="-"/>
    <n v="0"/>
    <n v="0"/>
    <n v="3"/>
    <n v="480000"/>
    <n v="180000"/>
    <s v="DISC15"/>
    <n v="0.15"/>
    <n v="72000"/>
    <n v="408000"/>
    <n v="300000"/>
    <n v="228000"/>
    <s v="Promo 4.4"/>
    <x v="0"/>
    <s v="SP"/>
    <x v="2"/>
    <x v="268"/>
  </r>
  <r>
    <n v="318"/>
    <s v="0318"/>
    <s v="ORD-BB-0318-16/10/24"/>
    <s v="[{item_code: PP003, quantity: 3, rating: 3}, {item_code: SW001, quantity: 2, rating: 3}, {item_code: PP001, quantity: 1, rating: 5}]"/>
    <s v="PP003"/>
    <x v="6"/>
    <s v="Pakaian Pria"/>
    <s v="3"/>
    <s v="3"/>
    <n v="150000"/>
    <n v="70000"/>
    <s v="SW001"/>
    <s v="Flat Shoes"/>
    <s v="Sepatu Wanita"/>
    <s v="2"/>
    <s v="3"/>
    <n v="150000"/>
    <n v="70000"/>
    <s v="PP001"/>
    <s v="Kaos Polo"/>
    <s v="Pakaian Pria"/>
    <s v="1"/>
    <s v="5"/>
    <n v="80000"/>
    <n v="30000"/>
    <n v="6"/>
    <n v="830000"/>
    <n v="380000"/>
    <s v="BELI44"/>
    <n v="0.15"/>
    <n v="124500"/>
    <n v="705500"/>
    <n v="450000"/>
    <n v="325500"/>
    <s v="Promo 4.4"/>
    <x v="3"/>
    <s v="BB"/>
    <x v="2"/>
    <x v="269"/>
  </r>
  <r>
    <n v="627"/>
    <s v="0627"/>
    <s v="ORD-SP-0627-17/10/24"/>
    <s v="[{item_code: SP002, quantity: 7, rating: 5}]"/>
    <s v="SP002"/>
    <x v="1"/>
    <s v="Sepatu Pria"/>
    <s v="7"/>
    <s v="5"/>
    <n v="120000"/>
    <n v="60000"/>
    <s v="-"/>
    <s v="-"/>
    <s v="-"/>
    <n v="0"/>
    <s v="-"/>
    <n v="0"/>
    <n v="0"/>
    <s v="-"/>
    <s v="-"/>
    <s v="-"/>
    <n v="0"/>
    <s v="-"/>
    <n v="0"/>
    <n v="0"/>
    <n v="7"/>
    <n v="840000"/>
    <n v="420000"/>
    <s v="DISC20"/>
    <n v="0.2"/>
    <n v="168000"/>
    <n v="672000"/>
    <n v="420000"/>
    <n v="252000"/>
    <s v="Promo Lebaran"/>
    <x v="0"/>
    <s v="SP"/>
    <x v="5"/>
    <x v="270"/>
  </r>
  <r>
    <n v="978"/>
    <s v="0978"/>
    <s v="ORD-SP-0978-17/10/24"/>
    <s v="[{item_code: SP002, quantity: 4, rating: 1}, {item_code: PW001, quantity: 1, rating: 5}]"/>
    <s v="SP002"/>
    <x v="1"/>
    <s v="Sepatu Pria"/>
    <s v="4"/>
    <s v="1"/>
    <n v="120000"/>
    <n v="60000"/>
    <s v="PW001"/>
    <s v="Dress"/>
    <s v="Pakaian Wanita"/>
    <s v="1"/>
    <s v="5"/>
    <n v="150000"/>
    <n v="55000"/>
    <s v="-"/>
    <s v="-"/>
    <s v="-"/>
    <n v="0"/>
    <s v="-"/>
    <n v="0"/>
    <n v="0"/>
    <n v="5"/>
    <n v="630000"/>
    <n v="295000"/>
    <s v="DISC20"/>
    <n v="0.2"/>
    <n v="126000"/>
    <n v="504000"/>
    <n v="335000"/>
    <n v="209000"/>
    <s v="Promo Lebaran"/>
    <x v="0"/>
    <s v="SP"/>
    <x v="4"/>
    <x v="270"/>
  </r>
  <r>
    <n v="160"/>
    <s v="0160"/>
    <s v="ORD-SP-0160-18/10/24"/>
    <s v="[{item_code: PW001, quantity: 1, rating: 4}, {item_code: PP001, quantity: 2, rating: 3}, {item_code: SP002, quantity: 2, rating: 1}]"/>
    <s v="PW001"/>
    <x v="2"/>
    <s v="Pakaian Wanita"/>
    <s v="1"/>
    <s v="4"/>
    <n v="150000"/>
    <n v="55000"/>
    <s v="PP001"/>
    <s v="Kaos Polo"/>
    <s v="Pakaian Pria"/>
    <s v="2"/>
    <s v="3"/>
    <n v="80000"/>
    <n v="30000"/>
    <s v="SP002"/>
    <s v="Sandal Slip On"/>
    <s v="Sepatu Pria"/>
    <s v="2"/>
    <s v="1"/>
    <n v="120000"/>
    <n v="60000"/>
    <n v="5"/>
    <n v="550000"/>
    <n v="235000"/>
    <s v="-"/>
    <n v="0"/>
    <n v="0"/>
    <n v="550000"/>
    <n v="315000"/>
    <n v="315000"/>
    <s v="-"/>
    <x v="0"/>
    <s v="SP"/>
    <x v="3"/>
    <x v="271"/>
  </r>
  <r>
    <n v="165"/>
    <s v="0165"/>
    <s v="ORD-SP-0165-18/10/24"/>
    <s v="[{item_code: SW001, quantity: 2, rating: 4}]"/>
    <s v="SW001"/>
    <x v="8"/>
    <s v="Sepatu Wanita"/>
    <s v="2"/>
    <s v="4"/>
    <n v="150000"/>
    <n v="70000"/>
    <s v="-"/>
    <s v="-"/>
    <s v="-"/>
    <n v="0"/>
    <s v="-"/>
    <n v="0"/>
    <n v="0"/>
    <s v="-"/>
    <s v="-"/>
    <s v="-"/>
    <n v="0"/>
    <s v="-"/>
    <n v="0"/>
    <n v="0"/>
    <n v="2"/>
    <n v="300000"/>
    <n v="140000"/>
    <s v="DISC10"/>
    <n v="0.1"/>
    <n v="30000"/>
    <n v="270000"/>
    <n v="160000"/>
    <n v="130000"/>
    <s v="Promo 4.4"/>
    <x v="0"/>
    <s v="SP"/>
    <x v="3"/>
    <x v="271"/>
  </r>
  <r>
    <n v="439"/>
    <s v="0439"/>
    <s v="ORD-SP-0439-18/10/24"/>
    <s v="[{item_code: PP002, quantity: 2, rating: 4}, {item_code: PU001, quantity: 1, rating: 4}]"/>
    <s v="PP002"/>
    <x v="5"/>
    <s v="Pakaian Pria"/>
    <s v="2"/>
    <s v="4"/>
    <n v="60000"/>
    <n v="25000"/>
    <s v="PU001"/>
    <s v="Jaket Hoodie"/>
    <s v="Pakaian Unisex"/>
    <s v="1"/>
    <s v="4"/>
    <n v="160000"/>
    <n v="60000"/>
    <s v="-"/>
    <s v="-"/>
    <s v="-"/>
    <n v="0"/>
    <s v="-"/>
    <n v="0"/>
    <n v="0"/>
    <n v="3"/>
    <n v="280000"/>
    <n v="110000"/>
    <s v="DISC10"/>
    <n v="0.1"/>
    <n v="28000"/>
    <n v="252000"/>
    <n v="170000"/>
    <n v="142000"/>
    <s v="Promo 4.4"/>
    <x v="0"/>
    <s v="SP"/>
    <x v="2"/>
    <x v="271"/>
  </r>
  <r>
    <n v="744"/>
    <s v="0744"/>
    <s v="ORD-BB-0744-19/10/24"/>
    <s v="[{item_code: PP003, quantity: 1, rating: 1}, {item_code: PP001, quantity: 1, rating: 4}, {item_code: PW003, quantity: 3, rating: 3}]"/>
    <s v="PP003"/>
    <x v="6"/>
    <s v="Pakaian Pria"/>
    <s v="1"/>
    <s v="1"/>
    <n v="150000"/>
    <n v="70000"/>
    <s v="PP001"/>
    <s v="Kaos Polo"/>
    <s v="Pakaian Pria"/>
    <s v="1"/>
    <s v="4"/>
    <n v="80000"/>
    <n v="30000"/>
    <s v="PW003"/>
    <s v="Kaftan"/>
    <s v="Pakaian Wanita"/>
    <s v="3"/>
    <s v="3"/>
    <n v="200000"/>
    <n v="100000"/>
    <n v="5"/>
    <n v="830000"/>
    <n v="400000"/>
    <s v="BELI44"/>
    <n v="0.15"/>
    <n v="124500"/>
    <n v="705500"/>
    <n v="430000"/>
    <n v="305500"/>
    <s v="Promo 4.4"/>
    <x v="3"/>
    <s v="BB"/>
    <x v="5"/>
    <x v="272"/>
  </r>
  <r>
    <n v="39"/>
    <s v="0039"/>
    <s v="ORD-TK-0039-20/10/24"/>
    <s v="[{item_code: SP002, quantity: 6, rating: 4}]"/>
    <s v="SP002"/>
    <x v="1"/>
    <s v="Sepatu Pria"/>
    <s v="6"/>
    <s v="4"/>
    <n v="120000"/>
    <n v="60000"/>
    <s v="-"/>
    <s v="-"/>
    <s v="-"/>
    <n v="0"/>
    <s v="-"/>
    <n v="0"/>
    <n v="0"/>
    <s v="-"/>
    <s v="-"/>
    <s v="-"/>
    <n v="0"/>
    <s v="-"/>
    <n v="0"/>
    <n v="0"/>
    <n v="6"/>
    <n v="720000"/>
    <n v="360000"/>
    <s v="LEBAR10"/>
    <n v="0.1"/>
    <n v="72000"/>
    <n v="648000"/>
    <n v="360000"/>
    <n v="288000"/>
    <s v="Promo Lebaran"/>
    <x v="1"/>
    <s v="TK"/>
    <x v="1"/>
    <x v="273"/>
  </r>
  <r>
    <n v="341"/>
    <s v="0341"/>
    <s v="ORD-SP-0341-20/10/24"/>
    <s v="[{item_code: PW002, quantity: 3, rating: 3}]"/>
    <s v="PW002"/>
    <x v="4"/>
    <s v="Pakaian Wanita"/>
    <s v="3"/>
    <s v="3"/>
    <n v="125000"/>
    <n v="50000"/>
    <s v="-"/>
    <s v="-"/>
    <s v="-"/>
    <n v="0"/>
    <s v="-"/>
    <n v="0"/>
    <n v="0"/>
    <s v="-"/>
    <s v="-"/>
    <s v="-"/>
    <n v="0"/>
    <s v="-"/>
    <n v="0"/>
    <n v="0"/>
    <n v="3"/>
    <n v="375000"/>
    <n v="150000"/>
    <s v="DISC20"/>
    <n v="0.2"/>
    <n v="75000"/>
    <n v="300000"/>
    <n v="225000"/>
    <n v="150000"/>
    <s v="Promo Lebaran"/>
    <x v="0"/>
    <s v="SP"/>
    <x v="2"/>
    <x v="273"/>
  </r>
  <r>
    <n v="130"/>
    <s v="0130"/>
    <s v="ORD-TK-0130-21/10/24"/>
    <s v="[{item_code: SP002, quantity: 2, rating: 2}]"/>
    <s v="SP002"/>
    <x v="1"/>
    <s v="Sepatu Pria"/>
    <s v="2"/>
    <s v="2"/>
    <n v="120000"/>
    <n v="60000"/>
    <s v="-"/>
    <s v="-"/>
    <s v="-"/>
    <n v="0"/>
    <s v="-"/>
    <n v="0"/>
    <n v="0"/>
    <s v="-"/>
    <s v="-"/>
    <s v="-"/>
    <n v="0"/>
    <s v="-"/>
    <n v="0"/>
    <n v="0"/>
    <n v="2"/>
    <n v="240000"/>
    <n v="120000"/>
    <s v="DISCAPRIL"/>
    <n v="0.1"/>
    <n v="24000"/>
    <n v="216000"/>
    <n v="120000"/>
    <n v="96000"/>
    <s v="Promo 4.4"/>
    <x v="1"/>
    <s v="TK"/>
    <x v="3"/>
    <x v="274"/>
  </r>
  <r>
    <n v="131"/>
    <s v="0131"/>
    <s v="ORD-BB-0131-21/10/24"/>
    <s v="[{item_code: PP001, quantity: 1, rating: 4}, {item_code: SW001, quantity: 1, rating: 1}]"/>
    <s v="PP001"/>
    <x v="0"/>
    <s v="Pakaian Pria"/>
    <s v="1"/>
    <s v="4"/>
    <n v="80000"/>
    <n v="30000"/>
    <s v="SW001"/>
    <s v="Flat Shoes"/>
    <s v="Sepatu Wanita"/>
    <s v="1"/>
    <s v="1"/>
    <n v="150000"/>
    <n v="70000"/>
    <s v="-"/>
    <s v="-"/>
    <s v="-"/>
    <n v="0"/>
    <s v="-"/>
    <n v="0"/>
    <n v="0"/>
    <n v="2"/>
    <n v="230000"/>
    <n v="100000"/>
    <s v="-"/>
    <n v="0"/>
    <n v="0"/>
    <n v="230000"/>
    <n v="130000"/>
    <n v="130000"/>
    <s v="-"/>
    <x v="3"/>
    <s v="BB"/>
    <x v="4"/>
    <x v="274"/>
  </r>
  <r>
    <n v="173"/>
    <s v="0173"/>
    <s v="ORD-BB-0173-21/10/24"/>
    <s v="[{item_code: PW002, quantity: 6, rating: 3}, {item_code: SW001, quantity: 1, rating: 4}]"/>
    <s v="PW002"/>
    <x v="4"/>
    <s v="Pakaian Wanita"/>
    <s v="6"/>
    <s v="3"/>
    <n v="125000"/>
    <n v="50000"/>
    <s v="SW001"/>
    <s v="Flat Shoes"/>
    <s v="Sepatu Wanita"/>
    <s v="1"/>
    <s v="4"/>
    <n v="150000"/>
    <n v="70000"/>
    <s v="-"/>
    <s v="-"/>
    <s v="-"/>
    <n v="0"/>
    <s v="-"/>
    <n v="0"/>
    <n v="0"/>
    <n v="7"/>
    <n v="900000"/>
    <n v="370000"/>
    <s v="BELI44"/>
    <n v="0.15"/>
    <n v="135000"/>
    <n v="765000"/>
    <n v="530000"/>
    <n v="395000"/>
    <s v="Promo 4.4"/>
    <x v="3"/>
    <s v="BB"/>
    <x v="2"/>
    <x v="274"/>
  </r>
  <r>
    <n v="534"/>
    <s v="0534"/>
    <s v="ORD-TK-0534-21/10/24"/>
    <s v="[{item_code: PU001, quantity: 1, rating: 5}]"/>
    <s v="PU001"/>
    <x v="7"/>
    <s v="Pakaian Unisex"/>
    <s v="1"/>
    <s v="5"/>
    <n v="160000"/>
    <n v="60000"/>
    <s v="-"/>
    <s v="-"/>
    <s v="-"/>
    <n v="0"/>
    <s v="-"/>
    <n v="0"/>
    <n v="0"/>
    <s v="-"/>
    <s v="-"/>
    <s v="-"/>
    <n v="0"/>
    <s v="-"/>
    <n v="0"/>
    <n v="0"/>
    <n v="1"/>
    <n v="160000"/>
    <n v="60000"/>
    <s v="DISCAPRIL"/>
    <n v="0.1"/>
    <n v="16000"/>
    <n v="144000"/>
    <n v="100000"/>
    <n v="84000"/>
    <s v="Promo 4.4"/>
    <x v="1"/>
    <s v="TK"/>
    <x v="3"/>
    <x v="274"/>
  </r>
  <r>
    <n v="586"/>
    <s v="0586"/>
    <s v="ORD-SP-0586-21/10/24"/>
    <s v="[{item_code: PW003, quantity: 3, rating: 4}, {item_code: PW002, quantity: 4, rating: 3}]"/>
    <s v="PW003"/>
    <x v="3"/>
    <s v="Pakaian Wanita"/>
    <s v="3"/>
    <s v="4"/>
    <n v="200000"/>
    <n v="100000"/>
    <s v="PW002"/>
    <s v="Blouse"/>
    <s v="Pakaian Wanita"/>
    <s v="4"/>
    <s v="3"/>
    <n v="125000"/>
    <n v="50000"/>
    <s v="-"/>
    <s v="-"/>
    <s v="-"/>
    <n v="0"/>
    <s v="-"/>
    <n v="0"/>
    <n v="0"/>
    <n v="7"/>
    <n v="1100000"/>
    <n v="500000"/>
    <s v="DISC10"/>
    <n v="0.1"/>
    <n v="110000"/>
    <n v="990000"/>
    <n v="600000"/>
    <n v="490000"/>
    <s v="Promo 4.4"/>
    <x v="0"/>
    <s v="SP"/>
    <x v="3"/>
    <x v="274"/>
  </r>
  <r>
    <n v="998"/>
    <s v="0998"/>
    <s v="ORD-SP-0998-21/10/24"/>
    <s v="[{item_code: PW001, quantity: 1, rating: 4}]"/>
    <s v="PW001"/>
    <x v="2"/>
    <s v="Pakaian Wanita"/>
    <s v="1"/>
    <s v="4"/>
    <n v="150000"/>
    <n v="55000"/>
    <s v="-"/>
    <s v="-"/>
    <s v="-"/>
    <n v="0"/>
    <s v="-"/>
    <n v="0"/>
    <n v="0"/>
    <s v="-"/>
    <s v="-"/>
    <s v="-"/>
    <n v="0"/>
    <s v="-"/>
    <n v="0"/>
    <n v="0"/>
    <n v="1"/>
    <n v="150000"/>
    <n v="55000"/>
    <s v="DISC10"/>
    <n v="0.1"/>
    <n v="15000"/>
    <n v="135000"/>
    <n v="95000"/>
    <n v="80000"/>
    <s v="Promo 4.4"/>
    <x v="0"/>
    <s v="SP"/>
    <x v="1"/>
    <x v="274"/>
  </r>
  <r>
    <n v="27"/>
    <s v="0027"/>
    <s v="ORD-BB-0027-22/10/24"/>
    <s v="[{item_code: SW001, quantity: 3, rating: 1}, {item_code: PP001, quantity: 2, rating: 3}, {item_code: PW001, quantity: 1, rating: 3}]"/>
    <s v="SW001"/>
    <x v="8"/>
    <s v="Sepatu Wanita"/>
    <s v="3"/>
    <s v="1"/>
    <n v="150000"/>
    <n v="70000"/>
    <s v="PP001"/>
    <s v="Kaos Polo"/>
    <s v="Pakaian Pria"/>
    <s v="2"/>
    <s v="3"/>
    <n v="80000"/>
    <n v="30000"/>
    <s v="PW001"/>
    <s v="Dress"/>
    <s v="Pakaian Wanita"/>
    <s v="1"/>
    <s v="3"/>
    <n v="150000"/>
    <n v="55000"/>
    <n v="6"/>
    <n v="760000"/>
    <n v="325000"/>
    <s v="BELI44"/>
    <n v="0.15"/>
    <n v="114000"/>
    <n v="646000"/>
    <n v="435000"/>
    <n v="321000"/>
    <s v="Promo 4.4"/>
    <x v="3"/>
    <s v="BB"/>
    <x v="2"/>
    <x v="275"/>
  </r>
  <r>
    <n v="116"/>
    <s v="0116"/>
    <s v="ORD-BB-0116-22/10/24"/>
    <s v="[{item_code: PW003, quantity: 1, rating: 1}]"/>
    <s v="PW003"/>
    <x v="3"/>
    <s v="Pakaian Wanita"/>
    <s v="1"/>
    <s v="1"/>
    <n v="200000"/>
    <n v="100000"/>
    <s v="-"/>
    <s v="-"/>
    <s v="-"/>
    <n v="0"/>
    <s v="-"/>
    <n v="0"/>
    <n v="0"/>
    <s v="-"/>
    <s v="-"/>
    <s v="-"/>
    <n v="0"/>
    <s v="-"/>
    <n v="0"/>
    <n v="0"/>
    <n v="1"/>
    <n v="200000"/>
    <n v="100000"/>
    <s v="BELI44"/>
    <n v="0.15"/>
    <n v="30000"/>
    <n v="170000"/>
    <n v="100000"/>
    <n v="70000"/>
    <s v="Promo 4.4"/>
    <x v="3"/>
    <s v="BB"/>
    <x v="0"/>
    <x v="275"/>
  </r>
  <r>
    <n v="409"/>
    <s v="0409"/>
    <s v="ORD-SP-0409-23/10/24"/>
    <s v="[{item_code: SW001, quantity: 3, rating: 5}, {item_code: PW003, quantity: 1, rating: 2}]"/>
    <s v="SW001"/>
    <x v="8"/>
    <s v="Sepatu Wanita"/>
    <s v="3"/>
    <s v="5"/>
    <n v="150000"/>
    <n v="70000"/>
    <s v="PW003"/>
    <s v="Kaftan"/>
    <s v="Pakaian Wanita"/>
    <s v="1"/>
    <s v="2"/>
    <n v="200000"/>
    <n v="100000"/>
    <s v="-"/>
    <s v="-"/>
    <s v="-"/>
    <n v="0"/>
    <s v="-"/>
    <n v="0"/>
    <n v="0"/>
    <n v="4"/>
    <n v="650000"/>
    <n v="310000"/>
    <s v="DISC20"/>
    <n v="0.2"/>
    <n v="130000"/>
    <n v="520000"/>
    <n v="340000"/>
    <n v="210000"/>
    <s v="Promo Lebaran"/>
    <x v="0"/>
    <s v="SP"/>
    <x v="2"/>
    <x v="276"/>
  </r>
  <r>
    <n v="883"/>
    <s v="0883"/>
    <s v="ORD-SP-0883-23/10/24"/>
    <s v="[{item_code: PW003, quantity: 2, rating: 2}, {item_code: PW002, quantity: 1, rating: 5}, {item_code: SW001, quantity: 1, rating: 4}]"/>
    <s v="PW003"/>
    <x v="3"/>
    <s v="Pakaian Wanita"/>
    <s v="2"/>
    <s v="2"/>
    <n v="200000"/>
    <n v="100000"/>
    <s v="PW002"/>
    <s v="Blouse"/>
    <s v="Pakaian Wanita"/>
    <s v="1"/>
    <s v="5"/>
    <n v="125000"/>
    <n v="50000"/>
    <s v="SW001"/>
    <s v="Flat Shoes"/>
    <s v="Sepatu Wanita"/>
    <s v="1"/>
    <s v="4"/>
    <n v="150000"/>
    <n v="70000"/>
    <n v="4"/>
    <n v="675000"/>
    <n v="320000"/>
    <s v="DISC15"/>
    <n v="0.15"/>
    <n v="101250"/>
    <n v="573750"/>
    <n v="355000"/>
    <n v="253750"/>
    <s v="Promo 4.4"/>
    <x v="0"/>
    <s v="SP"/>
    <x v="1"/>
    <x v="276"/>
  </r>
  <r>
    <n v="999"/>
    <s v="0999"/>
    <s v="ORD-BL-0999-23/10/24"/>
    <s v="[{item_code: PW002, quantity: 2, rating: 3}, {item_code: PU001, quantity: 1, rating: 3}]"/>
    <s v="PW002"/>
    <x v="4"/>
    <s v="Pakaian Wanita"/>
    <s v="2"/>
    <s v="3"/>
    <n v="125000"/>
    <n v="50000"/>
    <s v="PU001"/>
    <s v="Jaket Hoodie"/>
    <s v="Pakaian Unisex"/>
    <s v="1"/>
    <s v="3"/>
    <n v="160000"/>
    <n v="60000"/>
    <s v="-"/>
    <s v="-"/>
    <s v="-"/>
    <n v="0"/>
    <s v="-"/>
    <n v="0"/>
    <n v="0"/>
    <n v="3"/>
    <n v="410000"/>
    <n v="160000"/>
    <s v="BUKALEBAR"/>
    <n v="0.15"/>
    <n v="61500"/>
    <n v="348500"/>
    <n v="250000"/>
    <n v="188500"/>
    <s v="Promo Lebaran"/>
    <x v="2"/>
    <s v="BL"/>
    <x v="2"/>
    <x v="276"/>
  </r>
  <r>
    <n v="879"/>
    <s v="0879"/>
    <s v="ORD-BL-0879-24/10/24"/>
    <s v="[{item_code: SP001, quantity: 7, rating: 2}]"/>
    <s v="SP001"/>
    <x v="9"/>
    <s v="Sepatu Pria"/>
    <s v="7"/>
    <s v="2"/>
    <n v="300000"/>
    <n v="100000"/>
    <s v="-"/>
    <s v="-"/>
    <s v="-"/>
    <n v="0"/>
    <s v="-"/>
    <n v="0"/>
    <n v="0"/>
    <s v="-"/>
    <s v="-"/>
    <s v="-"/>
    <n v="0"/>
    <s v="-"/>
    <n v="0"/>
    <n v="0"/>
    <n v="7"/>
    <n v="2100000"/>
    <n v="700000"/>
    <s v="BUKALEBAR"/>
    <n v="0.15"/>
    <n v="315000"/>
    <n v="1785000"/>
    <n v="1400000"/>
    <n v="1085000"/>
    <s v="Promo Lebaran"/>
    <x v="2"/>
    <s v="BL"/>
    <x v="3"/>
    <x v="277"/>
  </r>
  <r>
    <n v="930"/>
    <s v="0930"/>
    <s v="ORD-TK-0930-24/10/24"/>
    <s v="[{item_code: SW001, quantity: 5, rating: 1}]"/>
    <s v="SW001"/>
    <x v="8"/>
    <s v="Sepatu Wanita"/>
    <s v="5"/>
    <s v="1"/>
    <n v="150000"/>
    <n v="70000"/>
    <s v="-"/>
    <s v="-"/>
    <s v="-"/>
    <n v="0"/>
    <s v="-"/>
    <n v="0"/>
    <n v="0"/>
    <s v="-"/>
    <s v="-"/>
    <s v="-"/>
    <n v="0"/>
    <s v="-"/>
    <n v="0"/>
    <n v="0"/>
    <n v="5"/>
    <n v="750000"/>
    <n v="350000"/>
    <s v="DISCAPRIL"/>
    <n v="0.1"/>
    <n v="75000"/>
    <n v="675000"/>
    <n v="400000"/>
    <n v="325000"/>
    <s v="Promo 4.4"/>
    <x v="1"/>
    <s v="TK"/>
    <x v="1"/>
    <x v="277"/>
  </r>
  <r>
    <n v="292"/>
    <s v="0292"/>
    <s v="ORD-BB-0292-25/10/24"/>
    <s v="[{item_code: SW001, quantity: 3, rating: 2}]"/>
    <s v="SW001"/>
    <x v="8"/>
    <s v="Sepatu Wanita"/>
    <s v="3"/>
    <s v="2"/>
    <n v="150000"/>
    <n v="70000"/>
    <s v="-"/>
    <s v="-"/>
    <s v="-"/>
    <n v="0"/>
    <s v="-"/>
    <n v="0"/>
    <n v="0"/>
    <s v="-"/>
    <s v="-"/>
    <s v="-"/>
    <n v="0"/>
    <s v="-"/>
    <n v="0"/>
    <n v="0"/>
    <n v="3"/>
    <n v="450000"/>
    <n v="210000"/>
    <s v="BELI44"/>
    <n v="0.15"/>
    <n v="67500"/>
    <n v="382500"/>
    <n v="240000"/>
    <n v="172500"/>
    <s v="Promo 4.4"/>
    <x v="3"/>
    <s v="BB"/>
    <x v="3"/>
    <x v="278"/>
  </r>
  <r>
    <n v="442"/>
    <s v="0442"/>
    <s v="ORD-SP-0442-25/10/24"/>
    <s v="[{item_code: PP002, quantity: 1, rating: 3}]"/>
    <s v="PP002"/>
    <x v="5"/>
    <s v="Pakaian Pria"/>
    <s v="1"/>
    <s v="3"/>
    <n v="60000"/>
    <n v="25000"/>
    <s v="-"/>
    <s v="-"/>
    <s v="-"/>
    <n v="0"/>
    <s v="-"/>
    <n v="0"/>
    <n v="0"/>
    <s v="-"/>
    <s v="-"/>
    <s v="-"/>
    <n v="0"/>
    <s v="-"/>
    <n v="0"/>
    <n v="0"/>
    <n v="1"/>
    <n v="60000"/>
    <n v="25000"/>
    <s v="DISC20"/>
    <n v="0.2"/>
    <n v="12000"/>
    <n v="48000"/>
    <n v="35000"/>
    <n v="23000"/>
    <s v="Promo Lebaran"/>
    <x v="0"/>
    <s v="SP"/>
    <x v="4"/>
    <x v="278"/>
  </r>
  <r>
    <n v="520"/>
    <s v="0520"/>
    <s v="ORD-SP-0520-25/10/24"/>
    <s v="[{item_code: PW003, quantity: 5, rating: 2}]"/>
    <s v="PW003"/>
    <x v="3"/>
    <s v="Pakaian Wanita"/>
    <s v="5"/>
    <s v="2"/>
    <n v="200000"/>
    <n v="100000"/>
    <s v="-"/>
    <s v="-"/>
    <s v="-"/>
    <n v="0"/>
    <s v="-"/>
    <n v="0"/>
    <n v="0"/>
    <s v="-"/>
    <s v="-"/>
    <s v="-"/>
    <n v="0"/>
    <s v="-"/>
    <n v="0"/>
    <n v="0"/>
    <n v="5"/>
    <n v="1000000"/>
    <n v="500000"/>
    <s v="DISC10"/>
    <n v="0.1"/>
    <n v="100000"/>
    <n v="900000"/>
    <n v="500000"/>
    <n v="400000"/>
    <s v="Promo 4.4"/>
    <x v="0"/>
    <s v="SP"/>
    <x v="4"/>
    <x v="278"/>
  </r>
  <r>
    <n v="571"/>
    <s v="0571"/>
    <s v="ORD-BB-0571-26/10/24"/>
    <s v="[{item_code: PP001, quantity: 2, rating: 3}, {item_code: PP002, quantity: 2, rating: 4}, {item_code: SP001, quantity: 3, rating: 3}]"/>
    <s v="PP001"/>
    <x v="0"/>
    <s v="Pakaian Pria"/>
    <s v="2"/>
    <s v="3"/>
    <n v="80000"/>
    <n v="30000"/>
    <s v="PP002"/>
    <s v="Celana Pendek"/>
    <s v="Pakaian Pria"/>
    <s v="2"/>
    <s v="4"/>
    <n v="60000"/>
    <n v="25000"/>
    <s v="SP001"/>
    <s v="Sneakers"/>
    <s v="Sepatu Pria"/>
    <s v="3"/>
    <s v="3"/>
    <n v="300000"/>
    <n v="100000"/>
    <n v="7"/>
    <n v="1180000"/>
    <n v="410000"/>
    <s v="BELI44"/>
    <n v="0.15"/>
    <n v="177000"/>
    <n v="1003000"/>
    <n v="770000"/>
    <n v="593000"/>
    <s v="Promo 4.4"/>
    <x v="3"/>
    <s v="BB"/>
    <x v="0"/>
    <x v="279"/>
  </r>
  <r>
    <n v="658"/>
    <s v="0658"/>
    <s v="ORD-BL-0658-26/10/24"/>
    <s v="[{item_code: PP003, quantity: 2, rating: 3}, {item_code: PW001, quantity: 2, rating: 5}, {item_code: SP002, quantity: 1, rating: 4}]"/>
    <s v="PP003"/>
    <x v="6"/>
    <s v="Pakaian Pria"/>
    <s v="2"/>
    <s v="3"/>
    <n v="150000"/>
    <n v="70000"/>
    <s v="PW001"/>
    <s v="Dress"/>
    <s v="Pakaian Wanita"/>
    <s v="2"/>
    <s v="5"/>
    <n v="150000"/>
    <n v="55000"/>
    <s v="SP002"/>
    <s v="Sandal Slip On"/>
    <s v="Sepatu Pria"/>
    <s v="1"/>
    <s v="4"/>
    <n v="120000"/>
    <n v="60000"/>
    <n v="5"/>
    <n v="720000"/>
    <n v="310000"/>
    <s v="BUKALEBAR"/>
    <n v="0.15"/>
    <n v="108000"/>
    <n v="612000"/>
    <n v="410000"/>
    <n v="302000"/>
    <s v="Promo Lebaran"/>
    <x v="2"/>
    <s v="BL"/>
    <x v="1"/>
    <x v="279"/>
  </r>
  <r>
    <n v="910"/>
    <s v="0910"/>
    <s v="ORD-SP-0910-26/10/24"/>
    <s v="[{item_code: SP001, quantity: 6, rating: 2}, {item_code: SP002, quantity: 1, rating: 2}]"/>
    <s v="SP001"/>
    <x v="9"/>
    <s v="Sepatu Pria"/>
    <s v="6"/>
    <s v="2"/>
    <n v="300000"/>
    <n v="100000"/>
    <s v="SP002"/>
    <s v="Sandal Slip On"/>
    <s v="Sepatu Pria"/>
    <s v="1"/>
    <s v="2"/>
    <n v="120000"/>
    <n v="60000"/>
    <s v="-"/>
    <s v="-"/>
    <s v="-"/>
    <n v="0"/>
    <s v="-"/>
    <n v="0"/>
    <n v="0"/>
    <n v="7"/>
    <n v="1920000"/>
    <n v="660000"/>
    <s v="DISC20"/>
    <n v="0.2"/>
    <n v="384000"/>
    <n v="1536000"/>
    <n v="1260000"/>
    <n v="876000"/>
    <s v="Promo Lebaran"/>
    <x v="0"/>
    <s v="SP"/>
    <x v="4"/>
    <x v="279"/>
  </r>
  <r>
    <n v="98"/>
    <s v="0098"/>
    <s v="ORD-SP-0098-28/10/24"/>
    <s v="[{item_code: PU001, quantity: 1, rating: 3}, {item_code: SP002, quantity: 2, rating: 4}, {item_code: PW001, quantity: 1, rating: 5}]"/>
    <s v="PU001"/>
    <x v="7"/>
    <s v="Pakaian Unisex"/>
    <s v="1"/>
    <s v="3"/>
    <n v="160000"/>
    <n v="60000"/>
    <s v="SP002"/>
    <s v="Sandal Slip On"/>
    <s v="Sepatu Pria"/>
    <s v="2"/>
    <s v="4"/>
    <n v="120000"/>
    <n v="60000"/>
    <s v="PW001"/>
    <s v="Dress"/>
    <s v="Pakaian Wanita"/>
    <s v="1"/>
    <s v="5"/>
    <n v="150000"/>
    <n v="55000"/>
    <n v="4"/>
    <n v="550000"/>
    <n v="235000"/>
    <s v="DISC20"/>
    <n v="0.2"/>
    <n v="110000"/>
    <n v="440000"/>
    <n v="315000"/>
    <n v="205000"/>
    <s v="Promo Lebaran"/>
    <x v="0"/>
    <s v="SP"/>
    <x v="2"/>
    <x v="280"/>
  </r>
  <r>
    <n v="852"/>
    <s v="0852"/>
    <s v="ORD-BB-0852-28/10/24"/>
    <s v="[{item_code: PU001, quantity: 1, rating: 2}, {item_code: PP003, quantity: 3, rating: 3}, {item_code: SW001, quantity: 3, rating: 1}]"/>
    <s v="PU001"/>
    <x v="7"/>
    <s v="Pakaian Unisex"/>
    <s v="1"/>
    <s v="2"/>
    <n v="160000"/>
    <n v="60000"/>
    <s v="PP003"/>
    <s v="Jaket Jeans"/>
    <s v="Pakaian Pria"/>
    <s v="3"/>
    <s v="3"/>
    <n v="150000"/>
    <n v="70000"/>
    <s v="SW001"/>
    <s v="Flat Shoes"/>
    <s v="Sepatu Wanita"/>
    <s v="3"/>
    <s v="1"/>
    <n v="150000"/>
    <n v="70000"/>
    <n v="7"/>
    <n v="1060000"/>
    <n v="480000"/>
    <s v="BELI44"/>
    <n v="0.15"/>
    <n v="159000"/>
    <n v="901000"/>
    <n v="580000"/>
    <n v="421000"/>
    <s v="Promo 4.4"/>
    <x v="3"/>
    <s v="BB"/>
    <x v="3"/>
    <x v="280"/>
  </r>
  <r>
    <n v="983"/>
    <s v="0983"/>
    <s v="ORD-SP-0983-28/10/24"/>
    <s v="[{item_code: PP002, quantity: 5, rating: 1}, {item_code: PW002, quantity: 1, rating: 5}]"/>
    <s v="PP002"/>
    <x v="5"/>
    <s v="Pakaian Pria"/>
    <s v="5"/>
    <s v="1"/>
    <n v="60000"/>
    <n v="25000"/>
    <s v="PW002"/>
    <s v="Blouse"/>
    <s v="Pakaian Wanita"/>
    <s v="1"/>
    <s v="5"/>
    <n v="125000"/>
    <n v="50000"/>
    <s v="-"/>
    <s v="-"/>
    <s v="-"/>
    <n v="0"/>
    <s v="-"/>
    <n v="0"/>
    <n v="0"/>
    <n v="6"/>
    <n v="425000"/>
    <n v="175000"/>
    <s v="DISC15"/>
    <n v="0.15"/>
    <n v="63750"/>
    <n v="361250"/>
    <n v="250000"/>
    <n v="186250"/>
    <s v="Promo 4.4"/>
    <x v="0"/>
    <s v="SP"/>
    <x v="1"/>
    <x v="280"/>
  </r>
  <r>
    <n v="49"/>
    <s v="0049"/>
    <s v="ORD-TK-0049-29/10/24"/>
    <s v="[{item_code: PU001, quantity: 1, rating: 3}, {item_code: SW001, quantity: 4, rating: 3}]"/>
    <s v="PU001"/>
    <x v="7"/>
    <s v="Pakaian Unisex"/>
    <s v="1"/>
    <s v="3"/>
    <n v="160000"/>
    <n v="60000"/>
    <s v="SW001"/>
    <s v="Flat Shoes"/>
    <s v="Sepatu Wanita"/>
    <s v="4"/>
    <s v="3"/>
    <n v="150000"/>
    <n v="70000"/>
    <s v="-"/>
    <s v="-"/>
    <s v="-"/>
    <n v="0"/>
    <s v="-"/>
    <n v="0"/>
    <n v="0"/>
    <n v="5"/>
    <n v="760000"/>
    <n v="340000"/>
    <s v="DISCAPRIL"/>
    <n v="0.1"/>
    <n v="76000"/>
    <n v="684000"/>
    <n v="420000"/>
    <n v="344000"/>
    <s v="Promo 4.4"/>
    <x v="1"/>
    <s v="TK"/>
    <x v="1"/>
    <x v="281"/>
  </r>
  <r>
    <n v="85"/>
    <s v="0085"/>
    <s v="ORD-TK-0085-29/10/24"/>
    <s v="[{item_code: PP003, quantity: 2, rating: 1}, {item_code: PW002, quantity: 1, rating: 2}, {item_code: PP002, quantity: 1, rating: 4}]"/>
    <s v="PP003"/>
    <x v="6"/>
    <s v="Pakaian Pria"/>
    <s v="2"/>
    <s v="1"/>
    <n v="150000"/>
    <n v="70000"/>
    <s v="PW002"/>
    <s v="Blouse"/>
    <s v="Pakaian Wanita"/>
    <s v="1"/>
    <s v="2"/>
    <n v="125000"/>
    <n v="50000"/>
    <s v="PP002"/>
    <s v="Celana Pendek"/>
    <s v="Pakaian Pria"/>
    <s v="1"/>
    <s v="4"/>
    <n v="60000"/>
    <n v="25000"/>
    <n v="4"/>
    <n v="485000"/>
    <n v="215000"/>
    <s v="DISCAPRIL"/>
    <n v="0.1"/>
    <n v="48500"/>
    <n v="436500"/>
    <n v="270000"/>
    <n v="221500"/>
    <s v="Promo 4.4"/>
    <x v="1"/>
    <s v="TK"/>
    <x v="4"/>
    <x v="281"/>
  </r>
  <r>
    <n v="95"/>
    <s v="0095"/>
    <s v="ORD-BB-0095-29/10/24"/>
    <s v="[{item_code: PW001, quantity: 5, rating: 5}]"/>
    <s v="PW001"/>
    <x v="2"/>
    <s v="Pakaian Wanita"/>
    <s v="5"/>
    <s v="5"/>
    <n v="150000"/>
    <n v="55000"/>
    <s v="-"/>
    <s v="-"/>
    <s v="-"/>
    <n v="0"/>
    <s v="-"/>
    <n v="0"/>
    <n v="0"/>
    <s v="-"/>
    <s v="-"/>
    <s v="-"/>
    <n v="0"/>
    <s v="-"/>
    <n v="0"/>
    <n v="0"/>
    <n v="5"/>
    <n v="750000"/>
    <n v="275000"/>
    <s v="BELI44"/>
    <n v="0.15"/>
    <n v="112500"/>
    <n v="637500"/>
    <n v="475000"/>
    <n v="362500"/>
    <s v="Promo 4.4"/>
    <x v="3"/>
    <s v="BB"/>
    <x v="0"/>
    <x v="281"/>
  </r>
  <r>
    <n v="330"/>
    <s v="0330"/>
    <s v="ORD-SP-0330-29/10/24"/>
    <s v="[{item_code: PW002, quantity: 1, rating: 1}]"/>
    <s v="PW002"/>
    <x v="4"/>
    <s v="Pakaian Wanita"/>
    <s v="1"/>
    <s v="1"/>
    <n v="125000"/>
    <n v="50000"/>
    <s v="-"/>
    <s v="-"/>
    <s v="-"/>
    <n v="0"/>
    <s v="-"/>
    <n v="0"/>
    <n v="0"/>
    <s v="-"/>
    <s v="-"/>
    <s v="-"/>
    <n v="0"/>
    <s v="-"/>
    <n v="0"/>
    <n v="0"/>
    <n v="1"/>
    <n v="125000"/>
    <n v="50000"/>
    <s v="DISC10"/>
    <n v="0.1"/>
    <n v="12500"/>
    <n v="112500"/>
    <n v="75000"/>
    <n v="62500"/>
    <s v="Promo 4.4"/>
    <x v="0"/>
    <s v="SP"/>
    <x v="5"/>
    <x v="281"/>
  </r>
  <r>
    <n v="804"/>
    <s v="0804"/>
    <s v="ORD-BB-0804-29/10/24"/>
    <s v="[{item_code: PW003, quantity: 5, rating: 1}, {item_code: SP001, quantity: 1, rating: 4}]"/>
    <s v="PW003"/>
    <x v="3"/>
    <s v="Pakaian Wanita"/>
    <s v="5"/>
    <s v="1"/>
    <n v="200000"/>
    <n v="100000"/>
    <s v="SP001"/>
    <s v="Sneakers"/>
    <s v="Sepatu Pria"/>
    <s v="1"/>
    <s v="4"/>
    <n v="300000"/>
    <n v="100000"/>
    <s v="-"/>
    <s v="-"/>
    <s v="-"/>
    <n v="0"/>
    <s v="-"/>
    <n v="0"/>
    <n v="0"/>
    <n v="6"/>
    <n v="1300000"/>
    <n v="600000"/>
    <s v="-"/>
    <n v="0"/>
    <n v="0"/>
    <n v="1300000"/>
    <n v="700000"/>
    <n v="700000"/>
    <s v="-"/>
    <x v="3"/>
    <s v="BB"/>
    <x v="0"/>
    <x v="281"/>
  </r>
  <r>
    <n v="152"/>
    <s v="0152"/>
    <s v="ORD-BB-0152-30/10/24"/>
    <s v="[{item_code: PW003, quantity: 4, rating: 3}]"/>
    <s v="PW003"/>
    <x v="3"/>
    <s v="Pakaian Wanita"/>
    <s v="4"/>
    <s v="3"/>
    <n v="200000"/>
    <n v="100000"/>
    <s v="-"/>
    <s v="-"/>
    <s v="-"/>
    <n v="0"/>
    <s v="-"/>
    <n v="0"/>
    <n v="0"/>
    <s v="-"/>
    <s v="-"/>
    <s v="-"/>
    <n v="0"/>
    <s v="-"/>
    <n v="0"/>
    <n v="0"/>
    <n v="4"/>
    <n v="800000"/>
    <n v="400000"/>
    <s v="BELI44"/>
    <n v="0.15"/>
    <n v="120000"/>
    <n v="680000"/>
    <n v="400000"/>
    <n v="280000"/>
    <s v="Promo 4.4"/>
    <x v="3"/>
    <s v="BB"/>
    <x v="3"/>
    <x v="282"/>
  </r>
  <r>
    <n v="707"/>
    <s v="0707"/>
    <s v="ORD-SP-0707-30/10/24"/>
    <s v="[{item_code: PW002, quantity: 4, rating: 3}]"/>
    <s v="PW002"/>
    <x v="4"/>
    <s v="Pakaian Wanita"/>
    <s v="4"/>
    <s v="3"/>
    <n v="125000"/>
    <n v="50000"/>
    <s v="-"/>
    <s v="-"/>
    <s v="-"/>
    <n v="0"/>
    <s v="-"/>
    <n v="0"/>
    <n v="0"/>
    <s v="-"/>
    <s v="-"/>
    <s v="-"/>
    <n v="0"/>
    <s v="-"/>
    <n v="0"/>
    <n v="0"/>
    <n v="4"/>
    <n v="500000"/>
    <n v="200000"/>
    <s v="DISC10"/>
    <n v="0.1"/>
    <n v="50000"/>
    <n v="450000"/>
    <n v="300000"/>
    <n v="250000"/>
    <s v="Promo 4.4"/>
    <x v="0"/>
    <s v="SP"/>
    <x v="2"/>
    <x v="282"/>
  </r>
  <r>
    <n v="903"/>
    <s v="0903"/>
    <s v="ORD-TK-0903-30/10/24"/>
    <s v="[{item_code: PU001, quantity: 2, rating: 5}]"/>
    <s v="PU001"/>
    <x v="7"/>
    <s v="Pakaian Unisex"/>
    <s v="2"/>
    <s v="5"/>
    <n v="160000"/>
    <n v="60000"/>
    <s v="-"/>
    <s v="-"/>
    <s v="-"/>
    <n v="0"/>
    <s v="-"/>
    <n v="0"/>
    <n v="0"/>
    <s v="-"/>
    <s v="-"/>
    <s v="-"/>
    <n v="0"/>
    <s v="-"/>
    <n v="0"/>
    <n v="0"/>
    <n v="2"/>
    <n v="320000"/>
    <n v="120000"/>
    <s v="LEBAR10"/>
    <n v="0.1"/>
    <n v="32000"/>
    <n v="288000"/>
    <n v="200000"/>
    <n v="168000"/>
    <s v="Promo Lebaran"/>
    <x v="1"/>
    <s v="TK"/>
    <x v="0"/>
    <x v="282"/>
  </r>
  <r>
    <n v="86"/>
    <s v="0086"/>
    <s v="ORD-SP-0086-31/10/24"/>
    <s v="[{item_code: PW003, quantity: 4, rating: 2}, {item_code: PW001, quantity: 1, rating: 5}]"/>
    <s v="PW003"/>
    <x v="3"/>
    <s v="Pakaian Wanita"/>
    <s v="4"/>
    <s v="2"/>
    <n v="200000"/>
    <n v="100000"/>
    <s v="PW001"/>
    <s v="Dress"/>
    <s v="Pakaian Wanita"/>
    <s v="1"/>
    <s v="5"/>
    <n v="150000"/>
    <n v="55000"/>
    <s v="-"/>
    <s v="-"/>
    <s v="-"/>
    <n v="0"/>
    <s v="-"/>
    <n v="0"/>
    <n v="0"/>
    <n v="5"/>
    <n v="950000"/>
    <n v="455000"/>
    <s v="DISC10"/>
    <n v="0.1"/>
    <n v="95000"/>
    <n v="855000"/>
    <n v="495000"/>
    <n v="400000"/>
    <s v="Promo 4.4"/>
    <x v="0"/>
    <s v="SP"/>
    <x v="2"/>
    <x v="283"/>
  </r>
  <r>
    <n v="182"/>
    <s v="0182"/>
    <s v="ORD-SP-0182-31/10/24"/>
    <s v="[{item_code: PP001, quantity: 1, rating: 3}, {item_code: PP003, quantity: 1, rating: 4}]"/>
    <s v="PP001"/>
    <x v="0"/>
    <s v="Pakaian Pria"/>
    <s v="1"/>
    <s v="3"/>
    <n v="80000"/>
    <n v="30000"/>
    <s v="PP003"/>
    <s v="Jaket Jeans"/>
    <s v="Pakaian Pria"/>
    <s v="1"/>
    <s v="4"/>
    <n v="150000"/>
    <n v="70000"/>
    <s v="-"/>
    <s v="-"/>
    <s v="-"/>
    <n v="0"/>
    <s v="-"/>
    <n v="0"/>
    <n v="0"/>
    <n v="2"/>
    <n v="230000"/>
    <n v="100000"/>
    <s v="DISC15"/>
    <n v="0.15"/>
    <n v="34500"/>
    <n v="195500"/>
    <n v="130000"/>
    <n v="95500"/>
    <s v="Promo 4.4"/>
    <x v="0"/>
    <s v="SP"/>
    <x v="2"/>
    <x v="283"/>
  </r>
  <r>
    <n v="122"/>
    <s v="0122"/>
    <s v="ORD-TK-0122-02/11/24"/>
    <s v="[{item_code: PW001, quantity: 2, rating: 1}]"/>
    <s v="PW001"/>
    <x v="2"/>
    <s v="Pakaian Wanita"/>
    <s v="2"/>
    <s v="1"/>
    <n v="150000"/>
    <n v="55000"/>
    <s v="-"/>
    <s v="-"/>
    <s v="-"/>
    <n v="0"/>
    <s v="-"/>
    <n v="0"/>
    <n v="0"/>
    <s v="-"/>
    <s v="-"/>
    <s v="-"/>
    <n v="0"/>
    <s v="-"/>
    <n v="0"/>
    <n v="0"/>
    <n v="2"/>
    <n v="300000"/>
    <n v="110000"/>
    <s v="LEBAR10"/>
    <n v="0.1"/>
    <n v="30000"/>
    <n v="270000"/>
    <n v="190000"/>
    <n v="160000"/>
    <s v="Promo Lebaran"/>
    <x v="1"/>
    <s v="TK"/>
    <x v="3"/>
    <x v="284"/>
  </r>
  <r>
    <n v="446"/>
    <s v="0446"/>
    <s v="ORD-BB-0446-04/11/24"/>
    <s v="[{item_code: PP001, quantity: 1, rating: 5}, {item_code: PP002, quantity: 2, rating: 1}, {item_code: SP002, quantity: 1, rating: 3}]"/>
    <s v="PP001"/>
    <x v="0"/>
    <s v="Pakaian Pria"/>
    <s v="1"/>
    <s v="5"/>
    <n v="80000"/>
    <n v="30000"/>
    <s v="PP002"/>
    <s v="Celana Pendek"/>
    <s v="Pakaian Pria"/>
    <s v="2"/>
    <s v="1"/>
    <n v="60000"/>
    <n v="25000"/>
    <s v="SP002"/>
    <s v="Sandal Slip On"/>
    <s v="Sepatu Pria"/>
    <s v="1"/>
    <s v="3"/>
    <n v="120000"/>
    <n v="60000"/>
    <n v="4"/>
    <n v="320000"/>
    <n v="140000"/>
    <s v="BELI44"/>
    <n v="0.15"/>
    <n v="48000"/>
    <n v="272000"/>
    <n v="180000"/>
    <n v="132000"/>
    <s v="Promo 4.4"/>
    <x v="3"/>
    <s v="BB"/>
    <x v="3"/>
    <x v="285"/>
  </r>
  <r>
    <n v="923"/>
    <s v="0923"/>
    <s v="ORD-TK-0923-04/11/24"/>
    <s v="[{item_code: PW002, quantity: 2, rating: 2}, {item_code: SP002, quantity: 2, rating: 3}, {item_code: PP001, quantity: 1, rating: 3}]"/>
    <s v="PW002"/>
    <x v="4"/>
    <s v="Pakaian Wanita"/>
    <s v="2"/>
    <s v="2"/>
    <n v="125000"/>
    <n v="50000"/>
    <s v="SP002"/>
    <s v="Sandal Slip On"/>
    <s v="Sepatu Pria"/>
    <s v="2"/>
    <s v="3"/>
    <n v="120000"/>
    <n v="60000"/>
    <s v="PP001"/>
    <s v="Kaos Polo"/>
    <s v="Pakaian Pria"/>
    <s v="1"/>
    <s v="3"/>
    <n v="80000"/>
    <n v="30000"/>
    <n v="5"/>
    <n v="570000"/>
    <n v="250000"/>
    <s v="DISCAPRIL"/>
    <n v="0.1"/>
    <n v="57000"/>
    <n v="513000"/>
    <n v="320000"/>
    <n v="263000"/>
    <s v="Promo 4.4"/>
    <x v="1"/>
    <s v="TK"/>
    <x v="5"/>
    <x v="285"/>
  </r>
  <r>
    <n v="228"/>
    <s v="0228"/>
    <s v="ORD-SP-0228-05/11/24"/>
    <s v="[{item_code: PW001, quantity: 4, rating: 3}]"/>
    <s v="PW001"/>
    <x v="2"/>
    <s v="Pakaian Wanita"/>
    <s v="4"/>
    <s v="3"/>
    <n v="150000"/>
    <n v="55000"/>
    <s v="-"/>
    <s v="-"/>
    <s v="-"/>
    <n v="0"/>
    <s v="-"/>
    <n v="0"/>
    <n v="0"/>
    <s v="-"/>
    <s v="-"/>
    <s v="-"/>
    <n v="0"/>
    <s v="-"/>
    <n v="0"/>
    <n v="0"/>
    <n v="4"/>
    <n v="600000"/>
    <n v="220000"/>
    <s v="DISC20"/>
    <n v="0.2"/>
    <n v="120000"/>
    <n v="480000"/>
    <n v="380000"/>
    <n v="260000"/>
    <s v="Promo Lebaran"/>
    <x v="0"/>
    <s v="SP"/>
    <x v="4"/>
    <x v="286"/>
  </r>
  <r>
    <n v="684"/>
    <s v="0684"/>
    <s v="ORD-SP-0684-06/11/24"/>
    <s v="[{item_code: PU001, quantity: 2, rating: 4}, {item_code: SP001, quantity: 1, rating: 2}]"/>
    <s v="PU001"/>
    <x v="7"/>
    <s v="Pakaian Unisex"/>
    <s v="2"/>
    <s v="4"/>
    <n v="160000"/>
    <n v="60000"/>
    <s v="SP001"/>
    <s v="Sneakers"/>
    <s v="Sepatu Pria"/>
    <s v="1"/>
    <s v="2"/>
    <n v="300000"/>
    <n v="100000"/>
    <s v="-"/>
    <s v="-"/>
    <s v="-"/>
    <n v="0"/>
    <s v="-"/>
    <n v="0"/>
    <n v="0"/>
    <n v="3"/>
    <n v="620000"/>
    <n v="220000"/>
    <s v="DISC20"/>
    <n v="0.2"/>
    <n v="124000"/>
    <n v="496000"/>
    <n v="400000"/>
    <n v="276000"/>
    <s v="Promo Lebaran"/>
    <x v="0"/>
    <s v="SP"/>
    <x v="3"/>
    <x v="287"/>
  </r>
  <r>
    <n v="101"/>
    <s v="0101"/>
    <s v="ORD-SP-0101-07/11/24"/>
    <s v="[{item_code: SP001, quantity: 4, rating: 5}, {item_code: PP003, quantity: 1, rating: 1}]"/>
    <s v="SP001"/>
    <x v="9"/>
    <s v="Sepatu Pria"/>
    <s v="4"/>
    <s v="5"/>
    <n v="300000"/>
    <n v="100000"/>
    <s v="PP003"/>
    <s v="Jaket Jeans"/>
    <s v="Pakaian Pria"/>
    <s v="1"/>
    <s v="1"/>
    <n v="150000"/>
    <n v="70000"/>
    <s v="-"/>
    <s v="-"/>
    <s v="-"/>
    <n v="0"/>
    <s v="-"/>
    <n v="0"/>
    <n v="0"/>
    <n v="5"/>
    <n v="1350000"/>
    <n v="470000"/>
    <s v="-"/>
    <n v="0"/>
    <n v="0"/>
    <n v="1350000"/>
    <n v="880000"/>
    <n v="880000"/>
    <s v="-"/>
    <x v="0"/>
    <s v="SP"/>
    <x v="3"/>
    <x v="288"/>
  </r>
  <r>
    <n v="870"/>
    <s v="0870"/>
    <s v="ORD-TK-0870-07/11/24"/>
    <s v="[{item_code: PW001, quantity: 1, rating: 2}, {item_code: PU001, quantity: 1, rating: 5}]"/>
    <s v="PW001"/>
    <x v="2"/>
    <s v="Pakaian Wanita"/>
    <s v="1"/>
    <s v="2"/>
    <n v="150000"/>
    <n v="55000"/>
    <s v="PU001"/>
    <s v="Jaket Hoodie"/>
    <s v="Pakaian Unisex"/>
    <s v="1"/>
    <s v="5"/>
    <n v="160000"/>
    <n v="60000"/>
    <s v="-"/>
    <s v="-"/>
    <s v="-"/>
    <n v="0"/>
    <s v="-"/>
    <n v="0"/>
    <n v="0"/>
    <n v="2"/>
    <n v="310000"/>
    <n v="115000"/>
    <s v="-"/>
    <n v="0"/>
    <n v="0"/>
    <n v="310000"/>
    <n v="195000"/>
    <n v="195000"/>
    <s v="-"/>
    <x v="1"/>
    <s v="TK"/>
    <x v="3"/>
    <x v="288"/>
  </r>
  <r>
    <n v="497"/>
    <s v="0497"/>
    <s v="ORD-TK-0497-09/11/24"/>
    <s v="[{item_code: PP003, quantity: 3, rating: 3}]"/>
    <s v="PP003"/>
    <x v="6"/>
    <s v="Pakaian Pria"/>
    <s v="3"/>
    <s v="3"/>
    <n v="150000"/>
    <n v="70000"/>
    <s v="-"/>
    <s v="-"/>
    <s v="-"/>
    <n v="0"/>
    <s v="-"/>
    <n v="0"/>
    <n v="0"/>
    <s v="-"/>
    <s v="-"/>
    <s v="-"/>
    <n v="0"/>
    <s v="-"/>
    <n v="0"/>
    <n v="0"/>
    <n v="3"/>
    <n v="450000"/>
    <n v="210000"/>
    <s v="LEBAR10"/>
    <n v="0.1"/>
    <n v="45000"/>
    <n v="405000"/>
    <n v="240000"/>
    <n v="195000"/>
    <s v="Promo Lebaran"/>
    <x v="1"/>
    <s v="TK"/>
    <x v="4"/>
    <x v="289"/>
  </r>
  <r>
    <n v="764"/>
    <s v="0764"/>
    <s v="ORD-BL-0764-10/11/24"/>
    <s v="[{item_code: PP001, quantity: 5, rating: 4}]"/>
    <s v="PP001"/>
    <x v="0"/>
    <s v="Pakaian Pria"/>
    <s v="5"/>
    <s v="4"/>
    <n v="80000"/>
    <n v="30000"/>
    <s v="-"/>
    <s v="-"/>
    <s v="-"/>
    <n v="0"/>
    <s v="-"/>
    <n v="0"/>
    <n v="0"/>
    <s v="-"/>
    <s v="-"/>
    <s v="-"/>
    <n v="0"/>
    <s v="-"/>
    <n v="0"/>
    <n v="0"/>
    <n v="5"/>
    <n v="400000"/>
    <n v="150000"/>
    <s v="BUKALEBAR"/>
    <n v="0.15"/>
    <n v="60000"/>
    <n v="340000"/>
    <n v="250000"/>
    <n v="190000"/>
    <s v="Promo Lebaran"/>
    <x v="2"/>
    <s v="BL"/>
    <x v="3"/>
    <x v="290"/>
  </r>
  <r>
    <n v="198"/>
    <s v="0198"/>
    <s v="ORD-SP-0198-11/11/24"/>
    <s v="[{item_code: PW002, quantity: 2, rating: 1}]"/>
    <s v="PW002"/>
    <x v="4"/>
    <s v="Pakaian Wanita"/>
    <s v="2"/>
    <s v="1"/>
    <n v="125000"/>
    <n v="50000"/>
    <s v="-"/>
    <s v="-"/>
    <s v="-"/>
    <n v="0"/>
    <s v="-"/>
    <n v="0"/>
    <n v="0"/>
    <s v="-"/>
    <s v="-"/>
    <s v="-"/>
    <n v="0"/>
    <s v="-"/>
    <n v="0"/>
    <n v="0"/>
    <n v="2"/>
    <n v="250000"/>
    <n v="100000"/>
    <s v="DISC20"/>
    <n v="0.2"/>
    <n v="50000"/>
    <n v="200000"/>
    <n v="150000"/>
    <n v="100000"/>
    <s v="Promo Lebaran"/>
    <x v="0"/>
    <s v="SP"/>
    <x v="3"/>
    <x v="291"/>
  </r>
  <r>
    <n v="483"/>
    <s v="0483"/>
    <s v="ORD-TK-0483-11/11/24"/>
    <s v="[{item_code: PP001, quantity: 3, rating: 5}, {item_code: PW003, quantity: 4, rating: 1}]"/>
    <s v="PP001"/>
    <x v="0"/>
    <s v="Pakaian Pria"/>
    <s v="3"/>
    <s v="5"/>
    <n v="80000"/>
    <n v="30000"/>
    <s v="PW003"/>
    <s v="Kaftan"/>
    <s v="Pakaian Wanita"/>
    <s v="4"/>
    <s v="1"/>
    <n v="200000"/>
    <n v="100000"/>
    <s v="-"/>
    <s v="-"/>
    <s v="-"/>
    <n v="0"/>
    <s v="-"/>
    <n v="0"/>
    <n v="0"/>
    <n v="7"/>
    <n v="1040000"/>
    <n v="490000"/>
    <s v="DISCAPRIL"/>
    <n v="0.1"/>
    <n v="104000"/>
    <n v="936000"/>
    <n v="550000"/>
    <n v="446000"/>
    <s v="Promo 4.4"/>
    <x v="1"/>
    <s v="TK"/>
    <x v="3"/>
    <x v="291"/>
  </r>
  <r>
    <n v="544"/>
    <s v="0544"/>
    <s v="ORD-BL-0544-12/11/24"/>
    <s v="[{item_code: PP003, quantity: 2, rating: 2}, {item_code: PP002, quantity: 1, rating: 3}]"/>
    <s v="PP003"/>
    <x v="6"/>
    <s v="Pakaian Pria"/>
    <s v="2"/>
    <s v="2"/>
    <n v="150000"/>
    <n v="70000"/>
    <s v="PP002"/>
    <s v="Celana Pendek"/>
    <s v="Pakaian Pria"/>
    <s v="1"/>
    <s v="3"/>
    <n v="60000"/>
    <n v="25000"/>
    <s v="-"/>
    <s v="-"/>
    <s v="-"/>
    <n v="0"/>
    <s v="-"/>
    <n v="0"/>
    <n v="0"/>
    <n v="3"/>
    <n v="360000"/>
    <n v="165000"/>
    <s v="BUKALEBAR"/>
    <n v="0.15"/>
    <n v="54000"/>
    <n v="306000"/>
    <n v="195000"/>
    <n v="141000"/>
    <s v="Promo Lebaran"/>
    <x v="2"/>
    <s v="BL"/>
    <x v="4"/>
    <x v="292"/>
  </r>
  <r>
    <n v="808"/>
    <s v="0808"/>
    <s v="ORD-SP-0808-12/11/24"/>
    <s v="[{item_code: PP002, quantity: 1, rating: 1}, {item_code: SP002, quantity: 1, rating: 1}, {item_code: SP001, quantity: 1, rating: 1}]"/>
    <s v="PP002"/>
    <x v="5"/>
    <s v="Pakaian Pria"/>
    <s v="1"/>
    <s v="1"/>
    <n v="60000"/>
    <n v="25000"/>
    <s v="SP002"/>
    <s v="Sandal Slip On"/>
    <s v="Sepatu Pria"/>
    <s v="1"/>
    <s v="1"/>
    <n v="120000"/>
    <n v="60000"/>
    <s v="SP001"/>
    <s v="Sneakers"/>
    <s v="Sepatu Pria"/>
    <s v="1"/>
    <s v="1"/>
    <n v="300000"/>
    <n v="100000"/>
    <n v="3"/>
    <n v="480000"/>
    <n v="185000"/>
    <s v="DISC10"/>
    <n v="0.1"/>
    <n v="48000"/>
    <n v="432000"/>
    <n v="295000"/>
    <n v="247000"/>
    <s v="Promo 4.4"/>
    <x v="0"/>
    <s v="SP"/>
    <x v="3"/>
    <x v="292"/>
  </r>
  <r>
    <n v="62"/>
    <s v="0062"/>
    <s v="ORD-BL-0062-13/11/24"/>
    <s v="[{item_code: PU001, quantity: 1, rating: 4}, {item_code: PW003, quantity: 1, rating: 2}, {item_code: PP002, quantity: 3, rating: 5}]"/>
    <s v="PU001"/>
    <x v="7"/>
    <s v="Pakaian Unisex"/>
    <s v="1"/>
    <s v="4"/>
    <n v="160000"/>
    <n v="60000"/>
    <s v="PW003"/>
    <s v="Kaftan"/>
    <s v="Pakaian Wanita"/>
    <s v="1"/>
    <s v="2"/>
    <n v="200000"/>
    <n v="100000"/>
    <s v="PP002"/>
    <s v="Celana Pendek"/>
    <s v="Pakaian Pria"/>
    <s v="3"/>
    <s v="5"/>
    <n v="60000"/>
    <n v="25000"/>
    <n v="5"/>
    <n v="540000"/>
    <n v="235000"/>
    <s v="-"/>
    <n v="0"/>
    <n v="0"/>
    <n v="540000"/>
    <n v="305000"/>
    <n v="305000"/>
    <s v="-"/>
    <x v="2"/>
    <s v="BL"/>
    <x v="2"/>
    <x v="293"/>
  </r>
  <r>
    <n v="372"/>
    <s v="0372"/>
    <s v="ORD-BB-0372-13/11/24"/>
    <s v="[{item_code: SP002, quantity: 2, rating: 3}, {item_code: PW002, quantity: 1, rating: 4}, {item_code: PW001, quantity: 1, rating: 3}]"/>
    <s v="SP002"/>
    <x v="1"/>
    <s v="Sepatu Pria"/>
    <s v="2"/>
    <s v="3"/>
    <n v="120000"/>
    <n v="60000"/>
    <s v="PW002"/>
    <s v="Blouse"/>
    <s v="Pakaian Wanita"/>
    <s v="1"/>
    <s v="4"/>
    <n v="125000"/>
    <n v="50000"/>
    <s v="PW001"/>
    <s v="Dress"/>
    <s v="Pakaian Wanita"/>
    <s v="1"/>
    <s v="3"/>
    <n v="150000"/>
    <n v="55000"/>
    <n v="4"/>
    <n v="515000"/>
    <n v="225000"/>
    <s v="BELI44"/>
    <n v="0.15"/>
    <n v="77250"/>
    <n v="437750"/>
    <n v="290000"/>
    <n v="212750"/>
    <s v="Promo 4.4"/>
    <x v="3"/>
    <s v="BB"/>
    <x v="1"/>
    <x v="293"/>
  </r>
  <r>
    <n v="268"/>
    <s v="0268"/>
    <s v="ORD-BL-0268-14/11/24"/>
    <s v="[{item_code: SP002, quantity: 2, rating: 2}, {item_code: PU001, quantity: 1, rating: 5}, {item_code: SP001, quantity: 4, rating: 1}]"/>
    <s v="SP002"/>
    <x v="1"/>
    <s v="Sepatu Pria"/>
    <s v="2"/>
    <s v="2"/>
    <n v="120000"/>
    <n v="60000"/>
    <s v="PU001"/>
    <s v="Jaket Hoodie"/>
    <s v="Pakaian Unisex"/>
    <s v="1"/>
    <s v="5"/>
    <n v="160000"/>
    <n v="60000"/>
    <s v="SP001"/>
    <s v="Sneakers"/>
    <s v="Sepatu Pria"/>
    <s v="4"/>
    <s v="1"/>
    <n v="300000"/>
    <n v="100000"/>
    <n v="7"/>
    <n v="1600000"/>
    <n v="580000"/>
    <s v="BUKALEBAR"/>
    <n v="0.15"/>
    <n v="240000"/>
    <n v="1360000"/>
    <n v="1020000"/>
    <n v="780000"/>
    <s v="Promo Lebaran"/>
    <x v="2"/>
    <s v="BL"/>
    <x v="3"/>
    <x v="294"/>
  </r>
  <r>
    <n v="790"/>
    <s v="0790"/>
    <s v="ORD-BL-0790-14/11/24"/>
    <s v="[{item_code: PP002, quantity: 2, rating: 5}, {item_code: SP002, quantity: 4, rating: 1}]"/>
    <s v="PP002"/>
    <x v="5"/>
    <s v="Pakaian Pria"/>
    <s v="2"/>
    <s v="5"/>
    <n v="60000"/>
    <n v="25000"/>
    <s v="SP002"/>
    <s v="Sandal Slip On"/>
    <s v="Sepatu Pria"/>
    <s v="4"/>
    <s v="1"/>
    <n v="120000"/>
    <n v="60000"/>
    <s v="-"/>
    <s v="-"/>
    <s v="-"/>
    <n v="0"/>
    <s v="-"/>
    <n v="0"/>
    <n v="0"/>
    <n v="6"/>
    <n v="600000"/>
    <n v="290000"/>
    <s v="BUKALEBAR"/>
    <n v="0.15"/>
    <n v="90000"/>
    <n v="510000"/>
    <n v="310000"/>
    <n v="220000"/>
    <s v="Promo Lebaran"/>
    <x v="2"/>
    <s v="BL"/>
    <x v="3"/>
    <x v="294"/>
  </r>
  <r>
    <n v="119"/>
    <s v="0119"/>
    <s v="ORD-SP-0119-15/11/24"/>
    <s v="[{item_code: PW001, quantity: 5, rating: 4}]"/>
    <s v="PW001"/>
    <x v="2"/>
    <s v="Pakaian Wanita"/>
    <s v="5"/>
    <s v="4"/>
    <n v="150000"/>
    <n v="55000"/>
    <s v="-"/>
    <s v="-"/>
    <s v="-"/>
    <n v="0"/>
    <s v="-"/>
    <n v="0"/>
    <n v="0"/>
    <s v="-"/>
    <s v="-"/>
    <s v="-"/>
    <n v="0"/>
    <s v="-"/>
    <n v="0"/>
    <n v="0"/>
    <n v="5"/>
    <n v="750000"/>
    <n v="275000"/>
    <s v="DISC15"/>
    <n v="0.15"/>
    <n v="112500"/>
    <n v="637500"/>
    <n v="475000"/>
    <n v="362500"/>
    <s v="Promo 4.4"/>
    <x v="0"/>
    <s v="SP"/>
    <x v="1"/>
    <x v="295"/>
  </r>
  <r>
    <n v="20"/>
    <s v="0020"/>
    <s v="ORD-SP-0020-16/11/24"/>
    <s v="[{item_code: PP002, quantity: 1, rating: 1}]"/>
    <s v="PP002"/>
    <x v="5"/>
    <s v="Pakaian Pria"/>
    <s v="1"/>
    <s v="1"/>
    <n v="60000"/>
    <n v="25000"/>
    <s v="-"/>
    <s v="-"/>
    <s v="-"/>
    <n v="0"/>
    <s v="-"/>
    <n v="0"/>
    <n v="0"/>
    <s v="-"/>
    <s v="-"/>
    <s v="-"/>
    <n v="0"/>
    <s v="-"/>
    <n v="0"/>
    <n v="0"/>
    <n v="1"/>
    <n v="60000"/>
    <n v="25000"/>
    <s v="-"/>
    <n v="0"/>
    <n v="0"/>
    <n v="60000"/>
    <n v="35000"/>
    <n v="35000"/>
    <s v="-"/>
    <x v="0"/>
    <s v="SP"/>
    <x v="0"/>
    <x v="296"/>
  </r>
  <r>
    <n v="190"/>
    <s v="0190"/>
    <s v="ORD-TK-0190-16/11/24"/>
    <s v="[{item_code: SP001, quantity: 2, rating: 3}, {item_code: SW001, quantity: 1, rating: 3}]"/>
    <s v="SP001"/>
    <x v="9"/>
    <s v="Sepatu Pria"/>
    <s v="2"/>
    <s v="3"/>
    <n v="300000"/>
    <n v="100000"/>
    <s v="SW001"/>
    <s v="Flat Shoes"/>
    <s v="Sepatu Wanita"/>
    <s v="1"/>
    <s v="3"/>
    <n v="150000"/>
    <n v="70000"/>
    <s v="-"/>
    <s v="-"/>
    <s v="-"/>
    <n v="0"/>
    <s v="-"/>
    <n v="0"/>
    <n v="0"/>
    <n v="3"/>
    <n v="750000"/>
    <n v="270000"/>
    <s v="DISCAPRIL"/>
    <n v="0.1"/>
    <n v="75000"/>
    <n v="675000"/>
    <n v="480000"/>
    <n v="405000"/>
    <s v="Promo 4.4"/>
    <x v="1"/>
    <s v="TK"/>
    <x v="3"/>
    <x v="296"/>
  </r>
  <r>
    <n v="233"/>
    <s v="0233"/>
    <s v="ORD-SP-0233-16/11/24"/>
    <s v="[{item_code: PP002, quantity: 2, rating: 5}, {item_code: SP001, quantity: 2, rating: 3}]"/>
    <s v="PP002"/>
    <x v="5"/>
    <s v="Pakaian Pria"/>
    <s v="2"/>
    <s v="5"/>
    <n v="60000"/>
    <n v="25000"/>
    <s v="SP001"/>
    <s v="Sneakers"/>
    <s v="Sepatu Pria"/>
    <s v="2"/>
    <s v="3"/>
    <n v="300000"/>
    <n v="100000"/>
    <s v="-"/>
    <s v="-"/>
    <s v="-"/>
    <n v="0"/>
    <s v="-"/>
    <n v="0"/>
    <n v="0"/>
    <n v="4"/>
    <n v="720000"/>
    <n v="250000"/>
    <s v="DISC20"/>
    <n v="0.2"/>
    <n v="144000"/>
    <n v="576000"/>
    <n v="470000"/>
    <n v="326000"/>
    <s v="Promo Lebaran"/>
    <x v="0"/>
    <s v="SP"/>
    <x v="2"/>
    <x v="296"/>
  </r>
  <r>
    <n v="645"/>
    <s v="0645"/>
    <s v="ORD-SP-0645-17/11/24"/>
    <s v="[{item_code: SP001, quantity: 1, rating: 1}, {item_code: PW002, quantity: 2, rating: 1}, {item_code: PP001, quantity: 1, rating: 2}]"/>
    <s v="SP001"/>
    <x v="9"/>
    <s v="Sepatu Pria"/>
    <s v="1"/>
    <s v="1"/>
    <n v="300000"/>
    <n v="100000"/>
    <s v="PW002"/>
    <s v="Blouse"/>
    <s v="Pakaian Wanita"/>
    <s v="2"/>
    <s v="1"/>
    <n v="125000"/>
    <n v="50000"/>
    <s v="PP001"/>
    <s v="Kaos Polo"/>
    <s v="Pakaian Pria"/>
    <s v="1"/>
    <s v="2"/>
    <n v="80000"/>
    <n v="30000"/>
    <n v="4"/>
    <n v="630000"/>
    <n v="230000"/>
    <s v="DISC10"/>
    <n v="0.1"/>
    <n v="63000"/>
    <n v="567000"/>
    <n v="400000"/>
    <n v="337000"/>
    <s v="Promo 4.4"/>
    <x v="0"/>
    <s v="SP"/>
    <x v="4"/>
    <x v="297"/>
  </r>
  <r>
    <n v="94"/>
    <s v="0094"/>
    <s v="ORD-TK-0094-18/11/24"/>
    <s v="[{item_code: SP002, quantity: 1, rating: 2}, {item_code: PP002, quantity: 1, rating: 1}, {item_code: PP003, quantity: 3, rating: 1}]"/>
    <s v="SP002"/>
    <x v="1"/>
    <s v="Sepatu Pria"/>
    <s v="1"/>
    <s v="2"/>
    <n v="120000"/>
    <n v="60000"/>
    <s v="PP002"/>
    <s v="Celana Pendek"/>
    <s v="Pakaian Pria"/>
    <s v="1"/>
    <s v="1"/>
    <n v="60000"/>
    <n v="25000"/>
    <s v="PP003"/>
    <s v="Jaket Jeans"/>
    <s v="Pakaian Pria"/>
    <s v="3"/>
    <s v="1"/>
    <n v="150000"/>
    <n v="70000"/>
    <n v="5"/>
    <n v="630000"/>
    <n v="295000"/>
    <s v="LEBAR10"/>
    <n v="0.1"/>
    <n v="63000"/>
    <n v="567000"/>
    <n v="335000"/>
    <n v="272000"/>
    <s v="Promo Lebaran"/>
    <x v="1"/>
    <s v="TK"/>
    <x v="4"/>
    <x v="298"/>
  </r>
  <r>
    <n v="525"/>
    <s v="0525"/>
    <s v="ORD-BB-0525-18/11/24"/>
    <s v="[{item_code: PP002, quantity: 4, rating: 4}, {item_code: SW001, quantity: 1, rating: 4}]"/>
    <s v="PP002"/>
    <x v="5"/>
    <s v="Pakaian Pria"/>
    <s v="4"/>
    <s v="4"/>
    <n v="60000"/>
    <n v="25000"/>
    <s v="SW001"/>
    <s v="Flat Shoes"/>
    <s v="Sepatu Wanita"/>
    <s v="1"/>
    <s v="4"/>
    <n v="150000"/>
    <n v="70000"/>
    <s v="-"/>
    <s v="-"/>
    <s v="-"/>
    <n v="0"/>
    <s v="-"/>
    <n v="0"/>
    <n v="0"/>
    <n v="5"/>
    <n v="390000"/>
    <n v="170000"/>
    <s v="BELI44"/>
    <n v="0.15"/>
    <n v="58500"/>
    <n v="331500"/>
    <n v="220000"/>
    <n v="161500"/>
    <s v="Promo 4.4"/>
    <x v="3"/>
    <s v="BB"/>
    <x v="2"/>
    <x v="298"/>
  </r>
  <r>
    <n v="538"/>
    <s v="0538"/>
    <s v="ORD-BB-0538-18/11/24"/>
    <s v="[{item_code: SW001, quantity: 2, rating: 2}]"/>
    <s v="SW001"/>
    <x v="8"/>
    <s v="Sepatu Wanita"/>
    <s v="2"/>
    <s v="2"/>
    <n v="150000"/>
    <n v="70000"/>
    <s v="-"/>
    <s v="-"/>
    <s v="-"/>
    <n v="0"/>
    <s v="-"/>
    <n v="0"/>
    <n v="0"/>
    <s v="-"/>
    <s v="-"/>
    <s v="-"/>
    <n v="0"/>
    <s v="-"/>
    <n v="0"/>
    <n v="0"/>
    <n v="2"/>
    <n v="300000"/>
    <n v="140000"/>
    <s v="BELI44"/>
    <n v="0.15"/>
    <n v="45000"/>
    <n v="255000"/>
    <n v="160000"/>
    <n v="115000"/>
    <s v="Promo 4.4"/>
    <x v="3"/>
    <s v="BB"/>
    <x v="0"/>
    <x v="298"/>
  </r>
  <r>
    <n v="557"/>
    <s v="0557"/>
    <s v="ORD-SP-0557-18/11/24"/>
    <s v="[{item_code: PW002, quantity: 1, rating: 4}, {item_code: PP001, quantity: 1, rating: 3}]"/>
    <s v="PW002"/>
    <x v="4"/>
    <s v="Pakaian Wanita"/>
    <s v="1"/>
    <s v="4"/>
    <n v="125000"/>
    <n v="50000"/>
    <s v="PP001"/>
    <s v="Kaos Polo"/>
    <s v="Pakaian Pria"/>
    <s v="1"/>
    <s v="3"/>
    <n v="80000"/>
    <n v="30000"/>
    <s v="-"/>
    <s v="-"/>
    <s v="-"/>
    <n v="0"/>
    <s v="-"/>
    <n v="0"/>
    <n v="0"/>
    <n v="2"/>
    <n v="205000"/>
    <n v="80000"/>
    <s v="DISC15"/>
    <n v="0.15"/>
    <n v="30750"/>
    <n v="174250"/>
    <n v="125000"/>
    <n v="94250"/>
    <s v="Promo 4.4"/>
    <x v="0"/>
    <s v="SP"/>
    <x v="1"/>
    <x v="298"/>
  </r>
  <r>
    <n v="686"/>
    <s v="0686"/>
    <s v="ORD-SP-0686-18/11/24"/>
    <s v="[{item_code: PW001, quantity: 2, rating: 5}, {item_code: PU001, quantity: 5, rating: 5}]"/>
    <s v="PW001"/>
    <x v="2"/>
    <s v="Pakaian Wanita"/>
    <s v="2"/>
    <s v="5"/>
    <n v="150000"/>
    <n v="55000"/>
    <s v="PU001"/>
    <s v="Jaket Hoodie"/>
    <s v="Pakaian Unisex"/>
    <s v="5"/>
    <s v="5"/>
    <n v="160000"/>
    <n v="60000"/>
    <s v="-"/>
    <s v="-"/>
    <s v="-"/>
    <n v="0"/>
    <s v="-"/>
    <n v="0"/>
    <n v="0"/>
    <n v="7"/>
    <n v="1100000"/>
    <n v="410000"/>
    <s v="-"/>
    <n v="0"/>
    <n v="0"/>
    <n v="1100000"/>
    <n v="690000"/>
    <n v="690000"/>
    <s v="-"/>
    <x v="0"/>
    <s v="SP"/>
    <x v="4"/>
    <x v="298"/>
  </r>
  <r>
    <n v="800"/>
    <s v="0800"/>
    <s v="ORD-SP-0800-18/11/24"/>
    <s v="[{item_code: PW003, quantity: 5, rating: 4}, {item_code: PP001, quantity: 1, rating: 3}]"/>
    <s v="PW003"/>
    <x v="3"/>
    <s v="Pakaian Wanita"/>
    <s v="5"/>
    <s v="4"/>
    <n v="200000"/>
    <n v="100000"/>
    <s v="PP001"/>
    <s v="Kaos Polo"/>
    <s v="Pakaian Pria"/>
    <s v="1"/>
    <s v="3"/>
    <n v="80000"/>
    <n v="30000"/>
    <s v="-"/>
    <s v="-"/>
    <s v="-"/>
    <n v="0"/>
    <s v="-"/>
    <n v="0"/>
    <n v="0"/>
    <n v="6"/>
    <n v="1080000"/>
    <n v="530000"/>
    <s v="DISC20"/>
    <n v="0.2"/>
    <n v="216000"/>
    <n v="864000"/>
    <n v="550000"/>
    <n v="334000"/>
    <s v="Promo Lebaran"/>
    <x v="0"/>
    <s v="SP"/>
    <x v="2"/>
    <x v="298"/>
  </r>
  <r>
    <n v="961"/>
    <s v="0961"/>
    <s v="ORD-TK-0961-18/11/24"/>
    <s v="[{item_code: SP002, quantity: 2, rating: 3}]"/>
    <s v="SP002"/>
    <x v="1"/>
    <s v="Sepatu Pria"/>
    <s v="2"/>
    <s v="3"/>
    <n v="120000"/>
    <n v="60000"/>
    <s v="-"/>
    <s v="-"/>
    <s v="-"/>
    <n v="0"/>
    <s v="-"/>
    <n v="0"/>
    <n v="0"/>
    <s v="-"/>
    <s v="-"/>
    <s v="-"/>
    <n v="0"/>
    <s v="-"/>
    <n v="0"/>
    <n v="0"/>
    <n v="2"/>
    <n v="240000"/>
    <n v="120000"/>
    <s v="LEBAR10"/>
    <n v="0.1"/>
    <n v="24000"/>
    <n v="216000"/>
    <n v="120000"/>
    <n v="96000"/>
    <s v="Promo Lebaran"/>
    <x v="1"/>
    <s v="TK"/>
    <x v="1"/>
    <x v="298"/>
  </r>
  <r>
    <n v="128"/>
    <s v="0128"/>
    <s v="ORD-BL-0128-19/11/24"/>
    <s v="[{item_code: PU001, quantity: 7, rating: 3}]"/>
    <s v="PU001"/>
    <x v="7"/>
    <s v="Pakaian Unisex"/>
    <s v="7"/>
    <s v="3"/>
    <n v="160000"/>
    <n v="60000"/>
    <s v="-"/>
    <s v="-"/>
    <s v="-"/>
    <n v="0"/>
    <s v="-"/>
    <n v="0"/>
    <n v="0"/>
    <s v="-"/>
    <s v="-"/>
    <s v="-"/>
    <n v="0"/>
    <s v="-"/>
    <n v="0"/>
    <n v="0"/>
    <n v="7"/>
    <n v="1120000"/>
    <n v="420000"/>
    <s v="BUKALEBAR"/>
    <n v="0.15"/>
    <n v="168000"/>
    <n v="952000"/>
    <n v="700000"/>
    <n v="532000"/>
    <s v="Promo Lebaran"/>
    <x v="2"/>
    <s v="BL"/>
    <x v="3"/>
    <x v="299"/>
  </r>
  <r>
    <n v="391"/>
    <s v="0391"/>
    <s v="ORD-BB-0391-19/11/24"/>
    <s v="[{item_code: PW003, quantity: 2, rating: 1}, {item_code: PW002, quantity: 1, rating: 5}, {item_code: PW001, quantity: 2, rating: 3}]"/>
    <s v="PW003"/>
    <x v="3"/>
    <s v="Pakaian Wanita"/>
    <s v="2"/>
    <s v="1"/>
    <n v="200000"/>
    <n v="100000"/>
    <s v="PW002"/>
    <s v="Blouse"/>
    <s v="Pakaian Wanita"/>
    <s v="1"/>
    <s v="5"/>
    <n v="125000"/>
    <n v="50000"/>
    <s v="PW001"/>
    <s v="Dress"/>
    <s v="Pakaian Wanita"/>
    <s v="2"/>
    <s v="3"/>
    <n v="150000"/>
    <n v="55000"/>
    <n v="5"/>
    <n v="825000"/>
    <n v="360000"/>
    <s v="-"/>
    <n v="0"/>
    <n v="0"/>
    <n v="825000"/>
    <n v="465000"/>
    <n v="465000"/>
    <s v="-"/>
    <x v="3"/>
    <s v="BB"/>
    <x v="3"/>
    <x v="299"/>
  </r>
  <r>
    <n v="475"/>
    <s v="0475"/>
    <s v="ORD-SP-0475-20/11/24"/>
    <s v="[{item_code: PP002, quantity: 2, rating: 3}, {item_code: PW001, quantity: 1, rating: 3}]"/>
    <s v="PP002"/>
    <x v="5"/>
    <s v="Pakaian Pria"/>
    <s v="2"/>
    <s v="3"/>
    <n v="60000"/>
    <n v="25000"/>
    <s v="PW001"/>
    <s v="Dress"/>
    <s v="Pakaian Wanita"/>
    <s v="1"/>
    <s v="3"/>
    <n v="150000"/>
    <n v="55000"/>
    <s v="-"/>
    <s v="-"/>
    <s v="-"/>
    <n v="0"/>
    <s v="-"/>
    <n v="0"/>
    <n v="0"/>
    <n v="3"/>
    <n v="270000"/>
    <n v="105000"/>
    <s v="DISC10"/>
    <n v="0.1"/>
    <n v="27000"/>
    <n v="243000"/>
    <n v="165000"/>
    <n v="138000"/>
    <s v="Promo 4.4"/>
    <x v="0"/>
    <s v="SP"/>
    <x v="1"/>
    <x v="300"/>
  </r>
  <r>
    <n v="680"/>
    <s v="0680"/>
    <s v="ORD-TK-0680-20/11/24"/>
    <s v="[{item_code: PW002, quantity: 2, rating: 1}, {item_code: PP003, quantity: 1, rating: 1}]"/>
    <s v="PW002"/>
    <x v="4"/>
    <s v="Pakaian Wanita"/>
    <s v="2"/>
    <s v="1"/>
    <n v="125000"/>
    <n v="50000"/>
    <s v="PP003"/>
    <s v="Jaket Jeans"/>
    <s v="Pakaian Pria"/>
    <s v="1"/>
    <s v="1"/>
    <n v="150000"/>
    <n v="70000"/>
    <s v="-"/>
    <s v="-"/>
    <s v="-"/>
    <n v="0"/>
    <s v="-"/>
    <n v="0"/>
    <n v="0"/>
    <n v="3"/>
    <n v="400000"/>
    <n v="170000"/>
    <s v="DISCAPRIL"/>
    <n v="0.1"/>
    <n v="40000"/>
    <n v="360000"/>
    <n v="230000"/>
    <n v="190000"/>
    <s v="Promo 4.4"/>
    <x v="1"/>
    <s v="TK"/>
    <x v="0"/>
    <x v="300"/>
  </r>
  <r>
    <n v="437"/>
    <s v="0437"/>
    <s v="ORD-TK-0437-21/11/24"/>
    <s v="[{item_code: SP002, quantity: 4, rating: 5}]"/>
    <s v="SP002"/>
    <x v="1"/>
    <s v="Sepatu Pria"/>
    <s v="4"/>
    <s v="5"/>
    <n v="120000"/>
    <n v="60000"/>
    <s v="-"/>
    <s v="-"/>
    <s v="-"/>
    <n v="0"/>
    <s v="-"/>
    <n v="0"/>
    <n v="0"/>
    <s v="-"/>
    <s v="-"/>
    <s v="-"/>
    <n v="0"/>
    <s v="-"/>
    <n v="0"/>
    <n v="0"/>
    <n v="4"/>
    <n v="480000"/>
    <n v="240000"/>
    <s v="-"/>
    <n v="0"/>
    <n v="0"/>
    <n v="480000"/>
    <n v="240000"/>
    <n v="240000"/>
    <s v="-"/>
    <x v="1"/>
    <s v="TK"/>
    <x v="3"/>
    <x v="301"/>
  </r>
  <r>
    <n v="462"/>
    <s v="0462"/>
    <s v="ORD-SP-0462-21/11/24"/>
    <s v="[{item_code: PW003, quantity: 2, rating: 4}]"/>
    <s v="PW003"/>
    <x v="3"/>
    <s v="Pakaian Wanita"/>
    <s v="2"/>
    <s v="4"/>
    <n v="200000"/>
    <n v="100000"/>
    <s v="-"/>
    <s v="-"/>
    <s v="-"/>
    <n v="0"/>
    <s v="-"/>
    <n v="0"/>
    <n v="0"/>
    <s v="-"/>
    <s v="-"/>
    <s v="-"/>
    <n v="0"/>
    <s v="-"/>
    <n v="0"/>
    <n v="0"/>
    <n v="2"/>
    <n v="400000"/>
    <n v="200000"/>
    <s v="DISC20"/>
    <n v="0.2"/>
    <n v="80000"/>
    <n v="320000"/>
    <n v="200000"/>
    <n v="120000"/>
    <s v="Promo Lebaran"/>
    <x v="0"/>
    <s v="SP"/>
    <x v="3"/>
    <x v="301"/>
  </r>
  <r>
    <n v="485"/>
    <s v="0485"/>
    <s v="ORD-TK-0485-21/11/24"/>
    <s v="[{item_code: SP001, quantity: 2, rating: 4}]"/>
    <s v="SP001"/>
    <x v="9"/>
    <s v="Sepatu Pria"/>
    <s v="2"/>
    <s v="4"/>
    <n v="300000"/>
    <n v="100000"/>
    <s v="-"/>
    <s v="-"/>
    <s v="-"/>
    <n v="0"/>
    <s v="-"/>
    <n v="0"/>
    <n v="0"/>
    <s v="-"/>
    <s v="-"/>
    <s v="-"/>
    <n v="0"/>
    <s v="-"/>
    <n v="0"/>
    <n v="0"/>
    <n v="2"/>
    <n v="600000"/>
    <n v="200000"/>
    <s v="DISCAPRIL"/>
    <n v="0.1"/>
    <n v="60000"/>
    <n v="540000"/>
    <n v="400000"/>
    <n v="340000"/>
    <s v="Promo 4.4"/>
    <x v="1"/>
    <s v="TK"/>
    <x v="0"/>
    <x v="301"/>
  </r>
  <r>
    <n v="566"/>
    <s v="0566"/>
    <s v="ORD-SP-0566-21/11/24"/>
    <s v="[{item_code: PP001, quantity: 1, rating: 4}]"/>
    <s v="PP001"/>
    <x v="0"/>
    <s v="Pakaian Pria"/>
    <s v="1"/>
    <s v="4"/>
    <n v="80000"/>
    <n v="30000"/>
    <s v="-"/>
    <s v="-"/>
    <s v="-"/>
    <n v="0"/>
    <s v="-"/>
    <n v="0"/>
    <n v="0"/>
    <s v="-"/>
    <s v="-"/>
    <s v="-"/>
    <n v="0"/>
    <s v="-"/>
    <n v="0"/>
    <n v="0"/>
    <n v="1"/>
    <n v="80000"/>
    <n v="30000"/>
    <s v="DISC15"/>
    <n v="0.15"/>
    <n v="12000"/>
    <n v="68000"/>
    <n v="50000"/>
    <n v="38000"/>
    <s v="Promo 4.4"/>
    <x v="0"/>
    <s v="SP"/>
    <x v="2"/>
    <x v="301"/>
  </r>
  <r>
    <n v="656"/>
    <s v="0656"/>
    <s v="ORD-BB-0656-21/11/24"/>
    <s v="[{item_code: PW002, quantity: 2, rating: 5}]"/>
    <s v="PW002"/>
    <x v="4"/>
    <s v="Pakaian Wanita"/>
    <s v="2"/>
    <s v="5"/>
    <n v="125000"/>
    <n v="50000"/>
    <s v="-"/>
    <s v="-"/>
    <s v="-"/>
    <n v="0"/>
    <s v="-"/>
    <n v="0"/>
    <n v="0"/>
    <s v="-"/>
    <s v="-"/>
    <s v="-"/>
    <n v="0"/>
    <s v="-"/>
    <n v="0"/>
    <n v="0"/>
    <n v="2"/>
    <n v="250000"/>
    <n v="100000"/>
    <s v="BELI44"/>
    <n v="0.15"/>
    <n v="37500"/>
    <n v="212500"/>
    <n v="150000"/>
    <n v="112500"/>
    <s v="Promo 4.4"/>
    <x v="3"/>
    <s v="BB"/>
    <x v="3"/>
    <x v="301"/>
  </r>
  <r>
    <n v="760"/>
    <s v="0760"/>
    <s v="ORD-SP-0760-22/11/24"/>
    <s v="[{item_code: PW002, quantity: 2, rating: 3}, {item_code: PP002, quantity: 1, rating: 5}]"/>
    <s v="PW002"/>
    <x v="4"/>
    <s v="Pakaian Wanita"/>
    <s v="2"/>
    <s v="3"/>
    <n v="125000"/>
    <n v="50000"/>
    <s v="PP002"/>
    <s v="Celana Pendek"/>
    <s v="Pakaian Pria"/>
    <s v="1"/>
    <s v="5"/>
    <n v="60000"/>
    <n v="25000"/>
    <s v="-"/>
    <s v="-"/>
    <s v="-"/>
    <n v="0"/>
    <s v="-"/>
    <n v="0"/>
    <n v="0"/>
    <n v="3"/>
    <n v="310000"/>
    <n v="125000"/>
    <s v="DISC15"/>
    <n v="0.15"/>
    <n v="46500"/>
    <n v="263500"/>
    <n v="185000"/>
    <n v="138500"/>
    <s v="Promo 4.4"/>
    <x v="0"/>
    <s v="SP"/>
    <x v="1"/>
    <x v="302"/>
  </r>
  <r>
    <n v="52"/>
    <s v="0052"/>
    <s v="ORD-BL-0052-23/11/24"/>
    <s v="[{item_code: SP002, quantity: 2, rating: 1}, {item_code: SP001, quantity: 2, rating: 3}, {item_code: PW002, quantity: 1, rating: 5}]"/>
    <s v="SP002"/>
    <x v="1"/>
    <s v="Sepatu Pria"/>
    <s v="2"/>
    <s v="1"/>
    <n v="120000"/>
    <n v="60000"/>
    <s v="SP001"/>
    <s v="Sneakers"/>
    <s v="Sepatu Pria"/>
    <s v="2"/>
    <s v="3"/>
    <n v="300000"/>
    <n v="100000"/>
    <s v="PW002"/>
    <s v="Blouse"/>
    <s v="Pakaian Wanita"/>
    <s v="1"/>
    <s v="5"/>
    <n v="125000"/>
    <n v="50000"/>
    <n v="5"/>
    <n v="965000"/>
    <n v="370000"/>
    <s v="BUKALEBAR"/>
    <n v="0.15"/>
    <n v="144750"/>
    <n v="820250"/>
    <n v="595000"/>
    <n v="450250"/>
    <s v="Promo Lebaran"/>
    <x v="2"/>
    <s v="BL"/>
    <x v="3"/>
    <x v="303"/>
  </r>
  <r>
    <n v="512"/>
    <s v="0512"/>
    <s v="ORD-BB-0512-23/11/24"/>
    <s v="[{item_code: SP002, quantity: 1, rating: 3}]"/>
    <s v="SP002"/>
    <x v="1"/>
    <s v="Sepatu Pria"/>
    <s v="1"/>
    <s v="3"/>
    <n v="120000"/>
    <n v="60000"/>
    <s v="-"/>
    <s v="-"/>
    <s v="-"/>
    <n v="0"/>
    <s v="-"/>
    <n v="0"/>
    <n v="0"/>
    <s v="-"/>
    <s v="-"/>
    <s v="-"/>
    <n v="0"/>
    <s v="-"/>
    <n v="0"/>
    <n v="0"/>
    <n v="1"/>
    <n v="120000"/>
    <n v="60000"/>
    <s v="BELI44"/>
    <n v="0.15"/>
    <n v="18000"/>
    <n v="102000"/>
    <n v="60000"/>
    <n v="42000"/>
    <s v="Promo 4.4"/>
    <x v="3"/>
    <s v="BB"/>
    <x v="2"/>
    <x v="303"/>
  </r>
  <r>
    <n v="649"/>
    <s v="0649"/>
    <s v="ORD-SP-0649-23/11/24"/>
    <s v="[{item_code: PU001, quantity: 4, rating: 2}, {item_code: SP002, quantity: 1, rating: 4}, {item_code: PP003, quantity: 2, rating: 3}]"/>
    <s v="PU001"/>
    <x v="7"/>
    <s v="Pakaian Unisex"/>
    <s v="4"/>
    <s v="2"/>
    <n v="160000"/>
    <n v="60000"/>
    <s v="SP002"/>
    <s v="Sandal Slip On"/>
    <s v="Sepatu Pria"/>
    <s v="1"/>
    <s v="4"/>
    <n v="120000"/>
    <n v="60000"/>
    <s v="PP003"/>
    <s v="Jaket Jeans"/>
    <s v="Pakaian Pria"/>
    <s v="2"/>
    <s v="3"/>
    <n v="150000"/>
    <n v="70000"/>
    <n v="7"/>
    <n v="1060000"/>
    <n v="440000"/>
    <s v="-"/>
    <n v="0"/>
    <n v="0"/>
    <n v="1060000"/>
    <n v="620000"/>
    <n v="620000"/>
    <s v="-"/>
    <x v="0"/>
    <s v="SP"/>
    <x v="1"/>
    <x v="303"/>
  </r>
  <r>
    <n v="222"/>
    <s v="0222"/>
    <s v="ORD-TK-0222-24/11/24"/>
    <s v="[{item_code: PP001, quantity: 2, rating: 3}]"/>
    <s v="PP001"/>
    <x v="0"/>
    <s v="Pakaian Pria"/>
    <s v="2"/>
    <s v="3"/>
    <n v="80000"/>
    <n v="30000"/>
    <s v="-"/>
    <s v="-"/>
    <s v="-"/>
    <n v="0"/>
    <s v="-"/>
    <n v="0"/>
    <n v="0"/>
    <s v="-"/>
    <s v="-"/>
    <s v="-"/>
    <n v="0"/>
    <s v="-"/>
    <n v="0"/>
    <n v="0"/>
    <n v="2"/>
    <n v="160000"/>
    <n v="60000"/>
    <s v="LEBAR10"/>
    <n v="0.1"/>
    <n v="16000"/>
    <n v="144000"/>
    <n v="100000"/>
    <n v="84000"/>
    <s v="Promo Lebaran"/>
    <x v="1"/>
    <s v="TK"/>
    <x v="2"/>
    <x v="304"/>
  </r>
  <r>
    <n v="432"/>
    <s v="0432"/>
    <s v="ORD-TK-0432-25/11/24"/>
    <s v="[{item_code: SW001, quantity: 5, rating: 2}, {item_code: PP002, quantity: 1, rating: 3}]"/>
    <s v="SW001"/>
    <x v="8"/>
    <s v="Sepatu Wanita"/>
    <s v="5"/>
    <s v="2"/>
    <n v="150000"/>
    <n v="70000"/>
    <s v="PP002"/>
    <s v="Celana Pendek"/>
    <s v="Pakaian Pria"/>
    <s v="1"/>
    <s v="3"/>
    <n v="60000"/>
    <n v="25000"/>
    <s v="-"/>
    <s v="-"/>
    <s v="-"/>
    <n v="0"/>
    <s v="-"/>
    <n v="0"/>
    <n v="0"/>
    <n v="6"/>
    <n v="810000"/>
    <n v="375000"/>
    <s v="DISCAPRIL"/>
    <n v="0.1"/>
    <n v="81000"/>
    <n v="729000"/>
    <n v="435000"/>
    <n v="354000"/>
    <s v="Promo 4.4"/>
    <x v="1"/>
    <s v="TK"/>
    <x v="3"/>
    <x v="305"/>
  </r>
  <r>
    <n v="690"/>
    <s v="0690"/>
    <s v="ORD-SP-0690-25/11/24"/>
    <s v="[{item_code: PP003, quantity: 3, rating: 4}, {item_code: PP001, quantity: 2, rating: 5}]"/>
    <s v="PP003"/>
    <x v="6"/>
    <s v="Pakaian Pria"/>
    <s v="3"/>
    <s v="4"/>
    <n v="150000"/>
    <n v="70000"/>
    <s v="PP001"/>
    <s v="Kaos Polo"/>
    <s v="Pakaian Pria"/>
    <s v="2"/>
    <s v="5"/>
    <n v="80000"/>
    <n v="30000"/>
    <s v="-"/>
    <s v="-"/>
    <s v="-"/>
    <n v="0"/>
    <s v="-"/>
    <n v="0"/>
    <n v="0"/>
    <n v="5"/>
    <n v="610000"/>
    <n v="270000"/>
    <s v="DISC20"/>
    <n v="0.2"/>
    <n v="122000"/>
    <n v="488000"/>
    <n v="340000"/>
    <n v="218000"/>
    <s v="Promo Lebaran"/>
    <x v="0"/>
    <s v="SP"/>
    <x v="3"/>
    <x v="305"/>
  </r>
  <r>
    <n v="784"/>
    <s v="0784"/>
    <s v="ORD-SP-0784-25/11/24"/>
    <s v="[{item_code: SP002, quantity: 5, rating: 5}, {item_code: SW001, quantity: 1, rating: 2}, {item_code: PP001, quantity: 1, rating: 5}]"/>
    <s v="SP002"/>
    <x v="1"/>
    <s v="Sepatu Pria"/>
    <s v="5"/>
    <s v="5"/>
    <n v="120000"/>
    <n v="60000"/>
    <s v="SW001"/>
    <s v="Flat Shoes"/>
    <s v="Sepatu Wanita"/>
    <s v="1"/>
    <s v="2"/>
    <n v="150000"/>
    <n v="70000"/>
    <s v="PP001"/>
    <s v="Kaos Polo"/>
    <s v="Pakaian Pria"/>
    <s v="1"/>
    <s v="5"/>
    <n v="80000"/>
    <n v="30000"/>
    <n v="7"/>
    <n v="830000"/>
    <n v="400000"/>
    <s v="DISC20"/>
    <n v="0.2"/>
    <n v="166000"/>
    <n v="664000"/>
    <n v="430000"/>
    <n v="264000"/>
    <s v="Promo Lebaran"/>
    <x v="0"/>
    <s v="SP"/>
    <x v="0"/>
    <x v="305"/>
  </r>
  <r>
    <n v="374"/>
    <s v="0374"/>
    <s v="ORD-TK-0374-26/11/24"/>
    <s v="[{item_code: PU001, quantity: 5, rating: 2}]"/>
    <s v="PU001"/>
    <x v="7"/>
    <s v="Pakaian Unisex"/>
    <s v="5"/>
    <s v="2"/>
    <n v="160000"/>
    <n v="60000"/>
    <s v="-"/>
    <s v="-"/>
    <s v="-"/>
    <n v="0"/>
    <s v="-"/>
    <n v="0"/>
    <n v="0"/>
    <s v="-"/>
    <s v="-"/>
    <s v="-"/>
    <n v="0"/>
    <s v="-"/>
    <n v="0"/>
    <n v="0"/>
    <n v="5"/>
    <n v="800000"/>
    <n v="300000"/>
    <s v="LEBAR10"/>
    <n v="0.1"/>
    <n v="80000"/>
    <n v="720000"/>
    <n v="500000"/>
    <n v="420000"/>
    <s v="Promo Lebaran"/>
    <x v="1"/>
    <s v="TK"/>
    <x v="4"/>
    <x v="306"/>
  </r>
  <r>
    <n v="262"/>
    <s v="0262"/>
    <s v="ORD-SP-0262-27/11/24"/>
    <s v="[{item_code: PP003, quantity: 3, rating: 5}, {item_code: PW001, quantity: 1, rating: 1}]"/>
    <s v="PP003"/>
    <x v="6"/>
    <s v="Pakaian Pria"/>
    <s v="3"/>
    <s v="5"/>
    <n v="150000"/>
    <n v="70000"/>
    <s v="PW001"/>
    <s v="Dress"/>
    <s v="Pakaian Wanita"/>
    <s v="1"/>
    <s v="1"/>
    <n v="150000"/>
    <n v="55000"/>
    <s v="-"/>
    <s v="-"/>
    <s v="-"/>
    <n v="0"/>
    <s v="-"/>
    <n v="0"/>
    <n v="0"/>
    <n v="4"/>
    <n v="600000"/>
    <n v="265000"/>
    <s v="DISC10"/>
    <n v="0.1"/>
    <n v="60000"/>
    <n v="540000"/>
    <n v="335000"/>
    <n v="275000"/>
    <s v="Promo 4.4"/>
    <x v="0"/>
    <s v="SP"/>
    <x v="1"/>
    <x v="307"/>
  </r>
  <r>
    <n v="542"/>
    <s v="0542"/>
    <s v="ORD-SP-0542-27/11/24"/>
    <s v="[{item_code: PP002, quantity: 1, rating: 4}, {item_code: PW001, quantity: 2, rating: 2}, {item_code: PU001, quantity: 2, rating: 4}]"/>
    <s v="PP002"/>
    <x v="5"/>
    <s v="Pakaian Pria"/>
    <s v="1"/>
    <s v="4"/>
    <n v="60000"/>
    <n v="25000"/>
    <s v="PW001"/>
    <s v="Dress"/>
    <s v="Pakaian Wanita"/>
    <s v="2"/>
    <s v="2"/>
    <n v="150000"/>
    <n v="55000"/>
    <s v="PU001"/>
    <s v="Jaket Hoodie"/>
    <s v="Pakaian Unisex"/>
    <s v="2"/>
    <s v="4"/>
    <n v="160000"/>
    <n v="60000"/>
    <n v="5"/>
    <n v="680000"/>
    <n v="255000"/>
    <s v="DISC10"/>
    <n v="0.1"/>
    <n v="68000"/>
    <n v="612000"/>
    <n v="425000"/>
    <n v="357000"/>
    <s v="Promo 4.4"/>
    <x v="0"/>
    <s v="SP"/>
    <x v="1"/>
    <x v="307"/>
  </r>
  <r>
    <n v="638"/>
    <s v="0638"/>
    <s v="ORD-BB-0638-27/11/24"/>
    <s v="[{item_code: PW001, quantity: 4, rating: 4}]"/>
    <s v="PW001"/>
    <x v="2"/>
    <s v="Pakaian Wanita"/>
    <s v="4"/>
    <s v="4"/>
    <n v="150000"/>
    <n v="55000"/>
    <s v="-"/>
    <s v="-"/>
    <s v="-"/>
    <n v="0"/>
    <s v="-"/>
    <n v="0"/>
    <n v="0"/>
    <s v="-"/>
    <s v="-"/>
    <s v="-"/>
    <n v="0"/>
    <s v="-"/>
    <n v="0"/>
    <n v="0"/>
    <n v="4"/>
    <n v="600000"/>
    <n v="220000"/>
    <s v="BELI44"/>
    <n v="0.15"/>
    <n v="90000"/>
    <n v="510000"/>
    <n v="380000"/>
    <n v="290000"/>
    <s v="Promo 4.4"/>
    <x v="3"/>
    <s v="BB"/>
    <x v="3"/>
    <x v="307"/>
  </r>
  <r>
    <n v="181"/>
    <s v="0181"/>
    <s v="ORD-SP-0181-28/11/24"/>
    <s v="[{item_code: PW002, quantity: 5, rating: 5}, {item_code: PP003, quantity: 2, rating: 2}]"/>
    <s v="PW002"/>
    <x v="4"/>
    <s v="Pakaian Wanita"/>
    <s v="5"/>
    <s v="5"/>
    <n v="125000"/>
    <n v="50000"/>
    <s v="PP003"/>
    <s v="Jaket Jeans"/>
    <s v="Pakaian Pria"/>
    <s v="2"/>
    <s v="2"/>
    <n v="150000"/>
    <n v="70000"/>
    <s v="-"/>
    <s v="-"/>
    <s v="-"/>
    <n v="0"/>
    <s v="-"/>
    <n v="0"/>
    <n v="0"/>
    <n v="7"/>
    <n v="925000"/>
    <n v="390000"/>
    <s v="DISC10"/>
    <n v="0.1"/>
    <n v="92500"/>
    <n v="832500"/>
    <n v="535000"/>
    <n v="442500"/>
    <s v="Promo 4.4"/>
    <x v="0"/>
    <s v="SP"/>
    <x v="3"/>
    <x v="308"/>
  </r>
  <r>
    <n v="430"/>
    <s v="0430"/>
    <s v="ORD-BL-0430-28/11/24"/>
    <s v="[{item_code: SW001, quantity: 2, rating: 4}, {item_code: PW001, quantity: 1, rating: 4}]"/>
    <s v="SW001"/>
    <x v="8"/>
    <s v="Sepatu Wanita"/>
    <s v="2"/>
    <s v="4"/>
    <n v="150000"/>
    <n v="70000"/>
    <s v="PW001"/>
    <s v="Dress"/>
    <s v="Pakaian Wanita"/>
    <s v="1"/>
    <s v="4"/>
    <n v="150000"/>
    <n v="55000"/>
    <s v="-"/>
    <s v="-"/>
    <s v="-"/>
    <n v="0"/>
    <s v="-"/>
    <n v="0"/>
    <n v="0"/>
    <n v="3"/>
    <n v="450000"/>
    <n v="195000"/>
    <s v="BUKALEBAR"/>
    <n v="0.15"/>
    <n v="67500"/>
    <n v="382500"/>
    <n v="255000"/>
    <n v="187500"/>
    <s v="Promo Lebaran"/>
    <x v="2"/>
    <s v="BL"/>
    <x v="0"/>
    <x v="308"/>
  </r>
  <r>
    <n v="452"/>
    <s v="0452"/>
    <s v="ORD-SP-0452-28/11/24"/>
    <s v="[{item_code: PP003, quantity: 2, rating: 2}]"/>
    <s v="PP003"/>
    <x v="6"/>
    <s v="Pakaian Pria"/>
    <s v="2"/>
    <s v="2"/>
    <n v="150000"/>
    <n v="70000"/>
    <s v="-"/>
    <s v="-"/>
    <s v="-"/>
    <n v="0"/>
    <s v="-"/>
    <n v="0"/>
    <n v="0"/>
    <s v="-"/>
    <s v="-"/>
    <s v="-"/>
    <n v="0"/>
    <s v="-"/>
    <n v="0"/>
    <n v="0"/>
    <n v="2"/>
    <n v="300000"/>
    <n v="140000"/>
    <s v="DISC15"/>
    <n v="0.15"/>
    <n v="45000"/>
    <n v="255000"/>
    <n v="160000"/>
    <n v="115000"/>
    <s v="Promo 4.4"/>
    <x v="0"/>
    <s v="SP"/>
    <x v="3"/>
    <x v="308"/>
  </r>
  <r>
    <n v="219"/>
    <s v="0219"/>
    <s v="ORD-TK-0219-29/11/24"/>
    <s v="[{item_code: PW003, quantity: 3, rating: 5}, {item_code: PP002, quantity: 2, rating: 4}]"/>
    <s v="PW003"/>
    <x v="3"/>
    <s v="Pakaian Wanita"/>
    <s v="3"/>
    <s v="5"/>
    <n v="200000"/>
    <n v="100000"/>
    <s v="PP002"/>
    <s v="Celana Pendek"/>
    <s v="Pakaian Pria"/>
    <s v="2"/>
    <s v="4"/>
    <n v="60000"/>
    <n v="25000"/>
    <s v="-"/>
    <s v="-"/>
    <s v="-"/>
    <n v="0"/>
    <s v="-"/>
    <n v="0"/>
    <n v="0"/>
    <n v="5"/>
    <n v="720000"/>
    <n v="350000"/>
    <s v="LEBAR10"/>
    <n v="0.1"/>
    <n v="72000"/>
    <n v="648000"/>
    <n v="370000"/>
    <n v="298000"/>
    <s v="Promo Lebaran"/>
    <x v="1"/>
    <s v="TK"/>
    <x v="4"/>
    <x v="309"/>
  </r>
  <r>
    <n v="287"/>
    <s v="0287"/>
    <s v="ORD-BB-0287-29/11/24"/>
    <s v="[{item_code: PP003, quantity: 1, rating: 2}, {item_code: SP002, quantity: 2, rating: 1}, {item_code: PP002, quantity: 4, rating: 2}]"/>
    <s v="PP003"/>
    <x v="6"/>
    <s v="Pakaian Pria"/>
    <s v="1"/>
    <s v="2"/>
    <n v="150000"/>
    <n v="70000"/>
    <s v="SP002"/>
    <s v="Sandal Slip On"/>
    <s v="Sepatu Pria"/>
    <s v="2"/>
    <s v="1"/>
    <n v="120000"/>
    <n v="60000"/>
    <s v="PP002"/>
    <s v="Celana Pendek"/>
    <s v="Pakaian Pria"/>
    <s v="4"/>
    <s v="2"/>
    <n v="60000"/>
    <n v="25000"/>
    <n v="7"/>
    <n v="630000"/>
    <n v="290000"/>
    <s v="BELI44"/>
    <n v="0.15"/>
    <n v="94500"/>
    <n v="535500"/>
    <n v="340000"/>
    <n v="245500"/>
    <s v="Promo 4.4"/>
    <x v="3"/>
    <s v="BB"/>
    <x v="3"/>
    <x v="309"/>
  </r>
  <r>
    <n v="728"/>
    <s v="0728"/>
    <s v="ORD-SP-0728-29/11/24"/>
    <s v="[{item_code: PP003, quantity: 1, rating: 4}]"/>
    <s v="PP003"/>
    <x v="6"/>
    <s v="Pakaian Pria"/>
    <s v="1"/>
    <s v="4"/>
    <n v="150000"/>
    <n v="70000"/>
    <s v="-"/>
    <s v="-"/>
    <s v="-"/>
    <n v="0"/>
    <s v="-"/>
    <n v="0"/>
    <n v="0"/>
    <s v="-"/>
    <s v="-"/>
    <s v="-"/>
    <n v="0"/>
    <s v="-"/>
    <n v="0"/>
    <n v="0"/>
    <n v="1"/>
    <n v="150000"/>
    <n v="70000"/>
    <s v="-"/>
    <n v="0"/>
    <n v="0"/>
    <n v="150000"/>
    <n v="80000"/>
    <n v="80000"/>
    <s v="-"/>
    <x v="0"/>
    <s v="SP"/>
    <x v="2"/>
    <x v="309"/>
  </r>
  <r>
    <n v="898"/>
    <s v="0898"/>
    <s v="ORD-SP-0898-29/11/24"/>
    <s v="[{item_code: SP001, quantity: 3, rating: 1}, {item_code: SW001, quantity: 1, rating: 4}]"/>
    <s v="SP001"/>
    <x v="9"/>
    <s v="Sepatu Pria"/>
    <s v="3"/>
    <s v="1"/>
    <n v="300000"/>
    <n v="100000"/>
    <s v="SW001"/>
    <s v="Flat Shoes"/>
    <s v="Sepatu Wanita"/>
    <s v="1"/>
    <s v="4"/>
    <n v="150000"/>
    <n v="70000"/>
    <s v="-"/>
    <s v="-"/>
    <s v="-"/>
    <n v="0"/>
    <s v="-"/>
    <n v="0"/>
    <n v="0"/>
    <n v="4"/>
    <n v="1050000"/>
    <n v="370000"/>
    <s v="DISC10"/>
    <n v="0.1"/>
    <n v="105000"/>
    <n v="945000"/>
    <n v="680000"/>
    <n v="575000"/>
    <s v="Promo 4.4"/>
    <x v="0"/>
    <s v="SP"/>
    <x v="0"/>
    <x v="309"/>
  </r>
  <r>
    <n v="316"/>
    <s v="0316"/>
    <s v="ORD-BB-0316-30/11/24"/>
    <s v="[{item_code: PW002, quantity: 1, rating: 1}, {item_code: SP002, quantity: 1, rating: 5}, {item_code: PP001, quantity: 1, rating: 3}]"/>
    <s v="PW002"/>
    <x v="4"/>
    <s v="Pakaian Wanita"/>
    <s v="1"/>
    <s v="1"/>
    <n v="125000"/>
    <n v="50000"/>
    <s v="SP002"/>
    <s v="Sandal Slip On"/>
    <s v="Sepatu Pria"/>
    <s v="1"/>
    <s v="5"/>
    <n v="120000"/>
    <n v="60000"/>
    <s v="PP001"/>
    <s v="Kaos Polo"/>
    <s v="Pakaian Pria"/>
    <s v="1"/>
    <s v="3"/>
    <n v="80000"/>
    <n v="30000"/>
    <n v="3"/>
    <n v="325000"/>
    <n v="140000"/>
    <s v="BELI44"/>
    <n v="0.15"/>
    <n v="48750"/>
    <n v="276250"/>
    <n v="185000"/>
    <n v="136250"/>
    <s v="Promo 4.4"/>
    <x v="3"/>
    <s v="BB"/>
    <x v="3"/>
    <x v="310"/>
  </r>
  <r>
    <n v="522"/>
    <s v="0522"/>
    <s v="ORD-SP-0522-30/11/24"/>
    <s v="[{item_code: PP001, quantity: 3, rating: 4}, {item_code: PW001, quantity: 1, rating: 4}]"/>
    <s v="PP001"/>
    <x v="0"/>
    <s v="Pakaian Pria"/>
    <s v="3"/>
    <s v="4"/>
    <n v="80000"/>
    <n v="30000"/>
    <s v="PW001"/>
    <s v="Dress"/>
    <s v="Pakaian Wanita"/>
    <s v="1"/>
    <s v="4"/>
    <n v="150000"/>
    <n v="55000"/>
    <s v="-"/>
    <s v="-"/>
    <s v="-"/>
    <n v="0"/>
    <s v="-"/>
    <n v="0"/>
    <n v="0"/>
    <n v="4"/>
    <n v="390000"/>
    <n v="145000"/>
    <s v="DISC10"/>
    <n v="0.1"/>
    <n v="39000"/>
    <n v="351000"/>
    <n v="245000"/>
    <n v="206000"/>
    <s v="Promo 4.4"/>
    <x v="0"/>
    <s v="SP"/>
    <x v="2"/>
    <x v="310"/>
  </r>
  <r>
    <n v="580"/>
    <s v="0580"/>
    <s v="ORD-BB-0580-30/11/24"/>
    <s v="[{item_code: SW001, quantity: 1, rating: 5}, {item_code: SP001, quantity: 1, rating: 4}, {item_code: PW001, quantity: 1, rating: 5}]"/>
    <s v="SW001"/>
    <x v="8"/>
    <s v="Sepatu Wanita"/>
    <s v="1"/>
    <s v="5"/>
    <n v="150000"/>
    <n v="70000"/>
    <s v="SP001"/>
    <s v="Sneakers"/>
    <s v="Sepatu Pria"/>
    <s v="1"/>
    <s v="4"/>
    <n v="300000"/>
    <n v="100000"/>
    <s v="PW001"/>
    <s v="Dress"/>
    <s v="Pakaian Wanita"/>
    <s v="1"/>
    <s v="5"/>
    <n v="150000"/>
    <n v="55000"/>
    <n v="3"/>
    <n v="600000"/>
    <n v="225000"/>
    <s v="BELI44"/>
    <n v="0.15"/>
    <n v="90000"/>
    <n v="510000"/>
    <n v="375000"/>
    <n v="285000"/>
    <s v="Promo 4.4"/>
    <x v="3"/>
    <s v="BB"/>
    <x v="0"/>
    <x v="310"/>
  </r>
  <r>
    <n v="639"/>
    <s v="0639"/>
    <s v="ORD-TK-0639-30/11/24"/>
    <s v="[{item_code: PW002, quantity: 1, rating: 1}]"/>
    <s v="PW002"/>
    <x v="4"/>
    <s v="Pakaian Wanita"/>
    <s v="1"/>
    <s v="1"/>
    <n v="125000"/>
    <n v="50000"/>
    <s v="-"/>
    <s v="-"/>
    <s v="-"/>
    <n v="0"/>
    <s v="-"/>
    <n v="0"/>
    <n v="0"/>
    <s v="-"/>
    <s v="-"/>
    <s v="-"/>
    <n v="0"/>
    <s v="-"/>
    <n v="0"/>
    <n v="0"/>
    <n v="1"/>
    <n v="125000"/>
    <n v="50000"/>
    <s v="LEBAR10"/>
    <n v="0.1"/>
    <n v="12500"/>
    <n v="112500"/>
    <n v="75000"/>
    <n v="62500"/>
    <s v="Promo Lebaran"/>
    <x v="1"/>
    <s v="TK"/>
    <x v="3"/>
    <x v="310"/>
  </r>
  <r>
    <n v="74"/>
    <s v="0074"/>
    <s v="ORD-TK-0074-01/12/24"/>
    <s v="[{item_code: PW001, quantity: 3, rating: 4}]"/>
    <s v="PW001"/>
    <x v="2"/>
    <s v="Pakaian Wanita"/>
    <s v="3"/>
    <s v="4"/>
    <n v="150000"/>
    <n v="55000"/>
    <s v="-"/>
    <s v="-"/>
    <s v="-"/>
    <n v="0"/>
    <s v="-"/>
    <n v="0"/>
    <n v="0"/>
    <s v="-"/>
    <s v="-"/>
    <s v="-"/>
    <n v="0"/>
    <s v="-"/>
    <n v="0"/>
    <n v="0"/>
    <n v="3"/>
    <n v="450000"/>
    <n v="165000"/>
    <s v="DISCAPRIL"/>
    <n v="0.1"/>
    <n v="45000"/>
    <n v="405000"/>
    <n v="285000"/>
    <n v="240000"/>
    <s v="Promo 4.4"/>
    <x v="1"/>
    <s v="TK"/>
    <x v="2"/>
    <x v="311"/>
  </r>
  <r>
    <n v="140"/>
    <s v="0140"/>
    <s v="ORD-BL-0140-01/12/24"/>
    <s v="[{item_code: SP002, quantity: 3, rating: 3}, {item_code: PW001, quantity: 1, rating: 3}, {item_code: SP002, quantity: 1, rating: 4}]"/>
    <s v="SP002"/>
    <x v="1"/>
    <s v="Sepatu Pria"/>
    <s v="3"/>
    <s v="3"/>
    <n v="120000"/>
    <n v="60000"/>
    <s v="PW001"/>
    <s v="Dress"/>
    <s v="Pakaian Wanita"/>
    <s v="1"/>
    <s v="3"/>
    <n v="150000"/>
    <n v="55000"/>
    <s v="SP002"/>
    <s v="Sandal Slip On"/>
    <s v="Sepatu Pria"/>
    <s v="1"/>
    <s v="4"/>
    <n v="120000"/>
    <n v="60000"/>
    <n v="5"/>
    <n v="630000"/>
    <n v="295000"/>
    <s v="BUKALEBAR"/>
    <n v="0.15"/>
    <n v="94500"/>
    <n v="535500"/>
    <n v="335000"/>
    <n v="240500"/>
    <s v="Promo Lebaran"/>
    <x v="2"/>
    <s v="BL"/>
    <x v="4"/>
    <x v="311"/>
  </r>
  <r>
    <n v="267"/>
    <s v="0267"/>
    <s v="ORD-TK-0267-01/12/24"/>
    <s v="[{item_code: SP002, quantity: 6, rating: 1}]"/>
    <s v="SP002"/>
    <x v="1"/>
    <s v="Sepatu Pria"/>
    <s v="6"/>
    <s v="1"/>
    <n v="120000"/>
    <n v="60000"/>
    <s v="-"/>
    <s v="-"/>
    <s v="-"/>
    <n v="0"/>
    <s v="-"/>
    <n v="0"/>
    <n v="0"/>
    <s v="-"/>
    <s v="-"/>
    <s v="-"/>
    <n v="0"/>
    <s v="-"/>
    <n v="0"/>
    <n v="0"/>
    <n v="6"/>
    <n v="720000"/>
    <n v="360000"/>
    <s v="DISCAPRIL"/>
    <n v="0.1"/>
    <n v="72000"/>
    <n v="648000"/>
    <n v="360000"/>
    <n v="288000"/>
    <s v="Promo 4.4"/>
    <x v="1"/>
    <s v="TK"/>
    <x v="4"/>
    <x v="311"/>
  </r>
  <r>
    <n v="536"/>
    <s v="0536"/>
    <s v="ORD-BB-0536-01/12/24"/>
    <s v="[{item_code: PU001, quantity: 6, rating: 5}, {item_code: PW002, quantity: 1, rating: 3}]"/>
    <s v="PU001"/>
    <x v="7"/>
    <s v="Pakaian Unisex"/>
    <s v="6"/>
    <s v="5"/>
    <n v="160000"/>
    <n v="60000"/>
    <s v="PW002"/>
    <s v="Blouse"/>
    <s v="Pakaian Wanita"/>
    <s v="1"/>
    <s v="3"/>
    <n v="125000"/>
    <n v="50000"/>
    <s v="-"/>
    <s v="-"/>
    <s v="-"/>
    <n v="0"/>
    <s v="-"/>
    <n v="0"/>
    <n v="0"/>
    <n v="7"/>
    <n v="1085000"/>
    <n v="410000"/>
    <s v="BELI44"/>
    <n v="0.15"/>
    <n v="162750"/>
    <n v="922250"/>
    <n v="675000"/>
    <n v="512250"/>
    <s v="Promo 4.4"/>
    <x v="3"/>
    <s v="BB"/>
    <x v="4"/>
    <x v="311"/>
  </r>
  <r>
    <n v="581"/>
    <s v="0581"/>
    <s v="ORD-SP-0581-01/12/24"/>
    <s v="[{item_code: SP002, quantity: 7, rating: 2}]"/>
    <s v="SP002"/>
    <x v="1"/>
    <s v="Sepatu Pria"/>
    <s v="7"/>
    <s v="2"/>
    <n v="120000"/>
    <n v="60000"/>
    <s v="-"/>
    <s v="-"/>
    <s v="-"/>
    <n v="0"/>
    <s v="-"/>
    <n v="0"/>
    <n v="0"/>
    <s v="-"/>
    <s v="-"/>
    <s v="-"/>
    <n v="0"/>
    <s v="-"/>
    <n v="0"/>
    <n v="0"/>
    <n v="7"/>
    <n v="840000"/>
    <n v="420000"/>
    <s v="DISC15"/>
    <n v="0.15"/>
    <n v="126000"/>
    <n v="714000"/>
    <n v="420000"/>
    <n v="294000"/>
    <s v="Promo 4.4"/>
    <x v="0"/>
    <s v="SP"/>
    <x v="5"/>
    <x v="311"/>
  </r>
  <r>
    <n v="651"/>
    <s v="0651"/>
    <s v="ORD-BL-0651-01/12/24"/>
    <s v="[{item_code: SP002, quantity: 1, rating: 5}, {item_code: PW002, quantity: 2, rating: 2}]"/>
    <s v="SP002"/>
    <x v="1"/>
    <s v="Sepatu Pria"/>
    <s v="1"/>
    <s v="5"/>
    <n v="120000"/>
    <n v="60000"/>
    <s v="PW002"/>
    <s v="Blouse"/>
    <s v="Pakaian Wanita"/>
    <s v="2"/>
    <s v="2"/>
    <n v="125000"/>
    <n v="50000"/>
    <s v="-"/>
    <s v="-"/>
    <s v="-"/>
    <n v="0"/>
    <s v="-"/>
    <n v="0"/>
    <n v="0"/>
    <n v="3"/>
    <n v="370000"/>
    <n v="160000"/>
    <s v="BUKALEBAR"/>
    <n v="0.15"/>
    <n v="55500"/>
    <n v="314500"/>
    <n v="210000"/>
    <n v="154500"/>
    <s v="Promo Lebaran"/>
    <x v="2"/>
    <s v="BL"/>
    <x v="1"/>
    <x v="311"/>
  </r>
  <r>
    <n v="294"/>
    <s v="0294"/>
    <s v="ORD-SP-0294-02/12/24"/>
    <s v="[{item_code: PW002, quantity: 1, rating: 2}, {item_code: PW003, quantity: 1, rating: 3}]"/>
    <s v="PW002"/>
    <x v="4"/>
    <s v="Pakaian Wanita"/>
    <s v="1"/>
    <s v="2"/>
    <n v="125000"/>
    <n v="50000"/>
    <s v="PW003"/>
    <s v="Kaftan"/>
    <s v="Pakaian Wanita"/>
    <s v="1"/>
    <s v="3"/>
    <n v="200000"/>
    <n v="100000"/>
    <s v="-"/>
    <s v="-"/>
    <s v="-"/>
    <n v="0"/>
    <s v="-"/>
    <n v="0"/>
    <n v="0"/>
    <n v="2"/>
    <n v="325000"/>
    <n v="150000"/>
    <s v="DISC20"/>
    <n v="0.2"/>
    <n v="65000"/>
    <n v="260000"/>
    <n v="175000"/>
    <n v="110000"/>
    <s v="Promo Lebaran"/>
    <x v="0"/>
    <s v="SP"/>
    <x v="0"/>
    <x v="312"/>
  </r>
  <r>
    <n v="575"/>
    <s v="0575"/>
    <s v="ORD-BB-0575-02/12/24"/>
    <s v="[{item_code: PW001, quantity: 1, rating: 2}]"/>
    <s v="PW001"/>
    <x v="2"/>
    <s v="Pakaian Wanita"/>
    <s v="1"/>
    <s v="2"/>
    <n v="150000"/>
    <n v="55000"/>
    <s v="-"/>
    <s v="-"/>
    <s v="-"/>
    <n v="0"/>
    <s v="-"/>
    <n v="0"/>
    <n v="0"/>
    <s v="-"/>
    <s v="-"/>
    <s v="-"/>
    <n v="0"/>
    <s v="-"/>
    <n v="0"/>
    <n v="0"/>
    <n v="1"/>
    <n v="150000"/>
    <n v="55000"/>
    <s v="BELI44"/>
    <n v="0.15"/>
    <n v="22500"/>
    <n v="127500"/>
    <n v="95000"/>
    <n v="72500"/>
    <s v="Promo 4.4"/>
    <x v="3"/>
    <s v="BB"/>
    <x v="3"/>
    <x v="312"/>
  </r>
  <r>
    <n v="783"/>
    <s v="0783"/>
    <s v="ORD-SP-0783-02/12/24"/>
    <s v="[{item_code: PW001, quantity: 2, rating: 2}, {item_code: PW003, quantity: 1, rating: 5}, {item_code: SW001, quantity: 1, rating: 4}]"/>
    <s v="PW001"/>
    <x v="2"/>
    <s v="Pakaian Wanita"/>
    <s v="2"/>
    <s v="2"/>
    <n v="150000"/>
    <n v="55000"/>
    <s v="PW003"/>
    <s v="Kaftan"/>
    <s v="Pakaian Wanita"/>
    <s v="1"/>
    <s v="5"/>
    <n v="200000"/>
    <n v="100000"/>
    <s v="SW001"/>
    <s v="Flat Shoes"/>
    <s v="Sepatu Wanita"/>
    <s v="1"/>
    <s v="4"/>
    <n v="150000"/>
    <n v="70000"/>
    <n v="4"/>
    <n v="650000"/>
    <n v="280000"/>
    <s v="DISC15"/>
    <n v="0.15"/>
    <n v="97500"/>
    <n v="552500"/>
    <n v="370000"/>
    <n v="272500"/>
    <s v="Promo 4.4"/>
    <x v="0"/>
    <s v="SP"/>
    <x v="2"/>
    <x v="312"/>
  </r>
  <r>
    <n v="443"/>
    <s v="0443"/>
    <s v="ORD-BB-0443-03/12/24"/>
    <s v="[{item_code: SP002, quantity: 5, rating: 5}]"/>
    <s v="SP002"/>
    <x v="1"/>
    <s v="Sepatu Pria"/>
    <s v="5"/>
    <s v="5"/>
    <n v="120000"/>
    <n v="60000"/>
    <s v="-"/>
    <s v="-"/>
    <s v="-"/>
    <n v="0"/>
    <s v="-"/>
    <n v="0"/>
    <n v="0"/>
    <s v="-"/>
    <s v="-"/>
    <s v="-"/>
    <n v="0"/>
    <s v="-"/>
    <n v="0"/>
    <n v="0"/>
    <n v="5"/>
    <n v="600000"/>
    <n v="300000"/>
    <s v="BELI44"/>
    <n v="0.15"/>
    <n v="90000"/>
    <n v="510000"/>
    <n v="300000"/>
    <n v="210000"/>
    <s v="Promo 4.4"/>
    <x v="3"/>
    <s v="BB"/>
    <x v="3"/>
    <x v="313"/>
  </r>
  <r>
    <n v="873"/>
    <s v="0873"/>
    <s v="ORD-TK-0873-03/12/24"/>
    <s v="[{item_code: PP001, quantity: 1, rating: 3}, {item_code: PU001, quantity: 2, rating: 5}, {item_code: PP002, quantity: 1, rating: 4}]"/>
    <s v="PP001"/>
    <x v="0"/>
    <s v="Pakaian Pria"/>
    <s v="1"/>
    <s v="3"/>
    <n v="80000"/>
    <n v="30000"/>
    <s v="PU001"/>
    <s v="Jaket Hoodie"/>
    <s v="Pakaian Unisex"/>
    <s v="2"/>
    <s v="5"/>
    <n v="160000"/>
    <n v="60000"/>
    <s v="PP002"/>
    <s v="Celana Pendek"/>
    <s v="Pakaian Pria"/>
    <s v="1"/>
    <s v="4"/>
    <n v="60000"/>
    <n v="25000"/>
    <n v="4"/>
    <n v="460000"/>
    <n v="175000"/>
    <s v="DISCAPRIL"/>
    <n v="0.1"/>
    <n v="46000"/>
    <n v="414000"/>
    <n v="285000"/>
    <n v="239000"/>
    <s v="Promo 4.4"/>
    <x v="1"/>
    <s v="TK"/>
    <x v="2"/>
    <x v="313"/>
  </r>
  <r>
    <n v="911"/>
    <s v="0911"/>
    <s v="ORD-BB-0911-03/12/24"/>
    <s v="[{item_code: PW001, quantity: 6, rating: 2}]"/>
    <s v="PW001"/>
    <x v="2"/>
    <s v="Pakaian Wanita"/>
    <s v="6"/>
    <s v="2"/>
    <n v="150000"/>
    <n v="55000"/>
    <s v="-"/>
    <s v="-"/>
    <s v="-"/>
    <n v="0"/>
    <s v="-"/>
    <n v="0"/>
    <n v="0"/>
    <s v="-"/>
    <s v="-"/>
    <s v="-"/>
    <n v="0"/>
    <s v="-"/>
    <n v="0"/>
    <n v="0"/>
    <n v="6"/>
    <n v="900000"/>
    <n v="330000"/>
    <s v="BELI44"/>
    <n v="0.15"/>
    <n v="135000"/>
    <n v="765000"/>
    <n v="570000"/>
    <n v="435000"/>
    <s v="Promo 4.4"/>
    <x v="3"/>
    <s v="BB"/>
    <x v="2"/>
    <x v="313"/>
  </r>
  <r>
    <n v="435"/>
    <s v="0435"/>
    <s v="ORD-SP-0435-04/12/24"/>
    <s v="[{item_code: PW003, quantity: 1, rating: 3}, {item_code: PU001, quantity: 1, rating: 3}, {item_code: SW001, quantity: 4, rating: 2}]"/>
    <s v="PW003"/>
    <x v="3"/>
    <s v="Pakaian Wanita"/>
    <s v="1"/>
    <s v="3"/>
    <n v="200000"/>
    <n v="100000"/>
    <s v="PU001"/>
    <s v="Jaket Hoodie"/>
    <s v="Pakaian Unisex"/>
    <s v="1"/>
    <s v="3"/>
    <n v="160000"/>
    <n v="60000"/>
    <s v="SW001"/>
    <s v="Flat Shoes"/>
    <s v="Sepatu Wanita"/>
    <s v="4"/>
    <s v="2"/>
    <n v="150000"/>
    <n v="70000"/>
    <n v="6"/>
    <n v="960000"/>
    <n v="440000"/>
    <s v="DISC15"/>
    <n v="0.15"/>
    <n v="144000"/>
    <n v="816000"/>
    <n v="520000"/>
    <n v="376000"/>
    <s v="Promo 4.4"/>
    <x v="0"/>
    <s v="SP"/>
    <x v="2"/>
    <x v="314"/>
  </r>
  <r>
    <n v="964"/>
    <s v="0964"/>
    <s v="ORD-BB-0964-04/12/24"/>
    <s v="[{item_code: PP003, quantity: 3, rating: 3}, {item_code: PW002, quantity: 3, rating: 2}]"/>
    <s v="PP003"/>
    <x v="6"/>
    <s v="Pakaian Pria"/>
    <s v="3"/>
    <s v="3"/>
    <n v="150000"/>
    <n v="70000"/>
    <s v="PW002"/>
    <s v="Blouse"/>
    <s v="Pakaian Wanita"/>
    <s v="3"/>
    <s v="2"/>
    <n v="125000"/>
    <n v="50000"/>
    <s v="-"/>
    <s v="-"/>
    <s v="-"/>
    <n v="0"/>
    <s v="-"/>
    <n v="0"/>
    <n v="0"/>
    <n v="6"/>
    <n v="825000"/>
    <n v="360000"/>
    <s v="BELI44"/>
    <n v="0.15"/>
    <n v="123750"/>
    <n v="701250"/>
    <n v="465000"/>
    <n v="341250"/>
    <s v="Promo 4.4"/>
    <x v="3"/>
    <s v="BB"/>
    <x v="4"/>
    <x v="314"/>
  </r>
  <r>
    <n v="418"/>
    <s v="0418"/>
    <s v="ORD-BB-0418-05/12/24"/>
    <s v="[{item_code: PW001, quantity: 2, rating: 5}, {item_code: SW001, quantity: 1, rating: 5}, {item_code: SP001, quantity: 1, rating: 3}]"/>
    <s v="PW001"/>
    <x v="2"/>
    <s v="Pakaian Wanita"/>
    <s v="2"/>
    <s v="5"/>
    <n v="150000"/>
    <n v="55000"/>
    <s v="SW001"/>
    <s v="Flat Shoes"/>
    <s v="Sepatu Wanita"/>
    <s v="1"/>
    <s v="5"/>
    <n v="150000"/>
    <n v="70000"/>
    <s v="SP001"/>
    <s v="Sneakers"/>
    <s v="Sepatu Pria"/>
    <s v="1"/>
    <s v="3"/>
    <n v="300000"/>
    <n v="100000"/>
    <n v="4"/>
    <n v="750000"/>
    <n v="280000"/>
    <s v="BELI44"/>
    <n v="0.15"/>
    <n v="112500"/>
    <n v="637500"/>
    <n v="470000"/>
    <n v="357500"/>
    <s v="Promo 4.4"/>
    <x v="3"/>
    <s v="BB"/>
    <x v="2"/>
    <x v="315"/>
  </r>
  <r>
    <n v="348"/>
    <s v="0348"/>
    <s v="ORD-SP-0348-06/12/24"/>
    <s v="[{item_code: SP001, quantity: 2, rating: 5}, {item_code: SP002, quantity: 1, rating: 4}]"/>
    <s v="SP001"/>
    <x v="9"/>
    <s v="Sepatu Pria"/>
    <s v="2"/>
    <s v="5"/>
    <n v="300000"/>
    <n v="100000"/>
    <s v="SP002"/>
    <s v="Sandal Slip On"/>
    <s v="Sepatu Pria"/>
    <s v="1"/>
    <s v="4"/>
    <n v="120000"/>
    <n v="60000"/>
    <s v="-"/>
    <s v="-"/>
    <s v="-"/>
    <n v="0"/>
    <s v="-"/>
    <n v="0"/>
    <n v="0"/>
    <n v="3"/>
    <n v="720000"/>
    <n v="260000"/>
    <s v="DISC10"/>
    <n v="0.1"/>
    <n v="72000"/>
    <n v="648000"/>
    <n v="460000"/>
    <n v="388000"/>
    <s v="Promo 4.4"/>
    <x v="0"/>
    <s v="SP"/>
    <x v="3"/>
    <x v="316"/>
  </r>
  <r>
    <n v="528"/>
    <s v="0528"/>
    <s v="ORD-SP-0528-06/12/24"/>
    <s v="[{item_code: PW003, quantity: 1, rating: 4}, {item_code: PP002, quantity: 3, rating: 2}, {item_code: PP002, quantity: 1, rating: 2}]"/>
    <s v="PW003"/>
    <x v="3"/>
    <s v="Pakaian Wanita"/>
    <s v="1"/>
    <s v="4"/>
    <n v="200000"/>
    <n v="100000"/>
    <s v="PP002"/>
    <s v="Celana Pendek"/>
    <s v="Pakaian Pria"/>
    <s v="3"/>
    <s v="2"/>
    <n v="60000"/>
    <n v="25000"/>
    <s v="PP002"/>
    <s v="Celana Pendek"/>
    <s v="Pakaian Pria"/>
    <s v="1"/>
    <s v="2"/>
    <n v="60000"/>
    <n v="25000"/>
    <n v="5"/>
    <n v="440000"/>
    <n v="200000"/>
    <s v="DISC20"/>
    <n v="0.2"/>
    <n v="88000"/>
    <n v="352000"/>
    <n v="240000"/>
    <n v="152000"/>
    <s v="Promo Lebaran"/>
    <x v="0"/>
    <s v="SP"/>
    <x v="4"/>
    <x v="316"/>
  </r>
  <r>
    <n v="303"/>
    <s v="0303"/>
    <s v="ORD-SP-0303-07/12/24"/>
    <s v="[{item_code: SW001, quantity: 6, rating: 2}, {item_code: PU001, quantity: 1, rating: 3}]"/>
    <s v="SW001"/>
    <x v="8"/>
    <s v="Sepatu Wanita"/>
    <s v="6"/>
    <s v="2"/>
    <n v="150000"/>
    <n v="70000"/>
    <s v="PU001"/>
    <s v="Jaket Hoodie"/>
    <s v="Pakaian Unisex"/>
    <s v="1"/>
    <s v="3"/>
    <n v="160000"/>
    <n v="60000"/>
    <s v="-"/>
    <s v="-"/>
    <s v="-"/>
    <n v="0"/>
    <s v="-"/>
    <n v="0"/>
    <n v="0"/>
    <n v="7"/>
    <n v="1060000"/>
    <n v="480000"/>
    <s v="DISC10"/>
    <n v="0.1"/>
    <n v="106000"/>
    <n v="954000"/>
    <n v="580000"/>
    <n v="474000"/>
    <s v="Promo 4.4"/>
    <x v="0"/>
    <s v="SP"/>
    <x v="4"/>
    <x v="317"/>
  </r>
  <r>
    <n v="886"/>
    <s v="0886"/>
    <s v="ORD-SP-0886-07/12/24"/>
    <s v="[{item_code: PU001, quantity: 2, rating: 5}, {item_code: PP001, quantity: 2, rating: 5}, {item_code: SW001, quantity: 2, rating: 1}]"/>
    <s v="PU001"/>
    <x v="7"/>
    <s v="Pakaian Unisex"/>
    <s v="2"/>
    <s v="5"/>
    <n v="160000"/>
    <n v="60000"/>
    <s v="PP001"/>
    <s v="Kaos Polo"/>
    <s v="Pakaian Pria"/>
    <s v="2"/>
    <s v="5"/>
    <n v="80000"/>
    <n v="30000"/>
    <s v="SW001"/>
    <s v="Flat Shoes"/>
    <s v="Sepatu Wanita"/>
    <s v="2"/>
    <s v="1"/>
    <n v="150000"/>
    <n v="70000"/>
    <n v="6"/>
    <n v="780000"/>
    <n v="320000"/>
    <s v="DISC20"/>
    <n v="0.2"/>
    <n v="156000"/>
    <n v="624000"/>
    <n v="460000"/>
    <n v="304000"/>
    <s v="Promo Lebaran"/>
    <x v="0"/>
    <s v="SP"/>
    <x v="4"/>
    <x v="317"/>
  </r>
  <r>
    <n v="183"/>
    <s v="0183"/>
    <s v="ORD-BL-0183-08/12/24"/>
    <s v="[{item_code: PW002, quantity: 7, rating: 4}]"/>
    <s v="PW002"/>
    <x v="4"/>
    <s v="Pakaian Wanita"/>
    <s v="7"/>
    <s v="4"/>
    <n v="125000"/>
    <n v="50000"/>
    <s v="-"/>
    <s v="-"/>
    <s v="-"/>
    <n v="0"/>
    <s v="-"/>
    <n v="0"/>
    <n v="0"/>
    <s v="-"/>
    <s v="-"/>
    <s v="-"/>
    <n v="0"/>
    <s v="-"/>
    <n v="0"/>
    <n v="0"/>
    <n v="7"/>
    <n v="875000"/>
    <n v="350000"/>
    <s v="BUKALEBAR"/>
    <n v="0.15"/>
    <n v="131250"/>
    <n v="743750"/>
    <n v="525000"/>
    <n v="393750"/>
    <s v="Promo Lebaran"/>
    <x v="2"/>
    <s v="BL"/>
    <x v="0"/>
    <x v="318"/>
  </r>
  <r>
    <n v="498"/>
    <s v="0498"/>
    <s v="ORD-TK-0498-08/12/24"/>
    <s v="[{item_code: PP003, quantity: 4, rating: 5}, {item_code: PP001, quantity: 2, rating: 4}]"/>
    <s v="PP003"/>
    <x v="6"/>
    <s v="Pakaian Pria"/>
    <s v="4"/>
    <s v="5"/>
    <n v="150000"/>
    <n v="70000"/>
    <s v="PP001"/>
    <s v="Kaos Polo"/>
    <s v="Pakaian Pria"/>
    <s v="2"/>
    <s v="4"/>
    <n v="80000"/>
    <n v="30000"/>
    <s v="-"/>
    <s v="-"/>
    <s v="-"/>
    <n v="0"/>
    <s v="-"/>
    <n v="0"/>
    <n v="0"/>
    <n v="6"/>
    <n v="760000"/>
    <n v="340000"/>
    <s v="-"/>
    <n v="0"/>
    <n v="0"/>
    <n v="760000"/>
    <n v="420000"/>
    <n v="420000"/>
    <s v="-"/>
    <x v="1"/>
    <s v="TK"/>
    <x v="3"/>
    <x v="318"/>
  </r>
  <r>
    <n v="687"/>
    <s v="0687"/>
    <s v="ORD-SP-0687-08/12/24"/>
    <s v="[{item_code: PW003, quantity: 3, rating: 3}]"/>
    <s v="PW003"/>
    <x v="3"/>
    <s v="Pakaian Wanita"/>
    <s v="3"/>
    <s v="3"/>
    <n v="200000"/>
    <n v="100000"/>
    <s v="-"/>
    <s v="-"/>
    <s v="-"/>
    <n v="0"/>
    <s v="-"/>
    <n v="0"/>
    <n v="0"/>
    <s v="-"/>
    <s v="-"/>
    <s v="-"/>
    <n v="0"/>
    <s v="-"/>
    <n v="0"/>
    <n v="0"/>
    <n v="3"/>
    <n v="600000"/>
    <n v="300000"/>
    <s v="DISC20"/>
    <n v="0.2"/>
    <n v="120000"/>
    <n v="480000"/>
    <n v="300000"/>
    <n v="180000"/>
    <s v="Promo Lebaran"/>
    <x v="0"/>
    <s v="SP"/>
    <x v="3"/>
    <x v="318"/>
  </r>
  <r>
    <n v="9"/>
    <s v="0009"/>
    <s v="ORD-TK-0009-09/12/24"/>
    <s v="[{item_code: PW002, quantity: 1, rating: 3}, {item_code: PW001, quantity: 1, rating: 2}]"/>
    <s v="PW002"/>
    <x v="4"/>
    <s v="Pakaian Wanita"/>
    <s v="1"/>
    <s v="3"/>
    <n v="125000"/>
    <n v="50000"/>
    <s v="PW001"/>
    <s v="Dress"/>
    <s v="Pakaian Wanita"/>
    <s v="1"/>
    <s v="2"/>
    <n v="150000"/>
    <n v="55000"/>
    <s v="-"/>
    <s v="-"/>
    <s v="-"/>
    <n v="0"/>
    <s v="-"/>
    <n v="0"/>
    <n v="0"/>
    <n v="2"/>
    <n v="275000"/>
    <n v="105000"/>
    <s v="LEBAR10"/>
    <n v="0.1"/>
    <n v="27500"/>
    <n v="247500"/>
    <n v="170000"/>
    <n v="142500"/>
    <s v="Promo Lebaran"/>
    <x v="1"/>
    <s v="TK"/>
    <x v="2"/>
    <x v="319"/>
  </r>
  <r>
    <n v="163"/>
    <s v="0163"/>
    <s v="ORD-BL-0163-09/12/24"/>
    <s v="[{item_code: PP001, quantity: 2, rating: 3}, {item_code: SP002, quantity: 1, rating: 2}, {item_code: PU001, quantity: 1, rating: 1}]"/>
    <s v="PP001"/>
    <x v="0"/>
    <s v="Pakaian Pria"/>
    <s v="2"/>
    <s v="3"/>
    <n v="80000"/>
    <n v="30000"/>
    <s v="SP002"/>
    <s v="Sandal Slip On"/>
    <s v="Sepatu Pria"/>
    <s v="1"/>
    <s v="2"/>
    <n v="120000"/>
    <n v="60000"/>
    <s v="PU001"/>
    <s v="Jaket Hoodie"/>
    <s v="Pakaian Unisex"/>
    <s v="1"/>
    <s v="1"/>
    <n v="160000"/>
    <n v="60000"/>
    <n v="4"/>
    <n v="440000"/>
    <n v="180000"/>
    <s v="BUKALEBAR"/>
    <n v="0.15"/>
    <n v="66000"/>
    <n v="374000"/>
    <n v="260000"/>
    <n v="194000"/>
    <s v="Promo Lebaran"/>
    <x v="2"/>
    <s v="BL"/>
    <x v="1"/>
    <x v="319"/>
  </r>
  <r>
    <n v="541"/>
    <s v="0541"/>
    <s v="ORD-TK-0541-09/12/24"/>
    <s v="[{item_code: PW001, quantity: 1, rating: 2}, {item_code: PP003, quantity: 1, rating: 4}]"/>
    <s v="PW001"/>
    <x v="2"/>
    <s v="Pakaian Wanita"/>
    <s v="1"/>
    <s v="2"/>
    <n v="150000"/>
    <n v="55000"/>
    <s v="PP003"/>
    <s v="Jaket Jeans"/>
    <s v="Pakaian Pria"/>
    <s v="1"/>
    <s v="4"/>
    <n v="150000"/>
    <n v="70000"/>
    <s v="-"/>
    <s v="-"/>
    <s v="-"/>
    <n v="0"/>
    <s v="-"/>
    <n v="0"/>
    <n v="0"/>
    <n v="2"/>
    <n v="300000"/>
    <n v="125000"/>
    <s v="DISCAPRIL"/>
    <n v="0.1"/>
    <n v="30000"/>
    <n v="270000"/>
    <n v="175000"/>
    <n v="145000"/>
    <s v="Promo 4.4"/>
    <x v="1"/>
    <s v="TK"/>
    <x v="3"/>
    <x v="319"/>
  </r>
  <r>
    <n v="377"/>
    <s v="0377"/>
    <s v="ORD-SP-0377-10/12/24"/>
    <s v="[{item_code: PW001, quantity: 2, rating: 1}, {item_code: SP001, quantity: 4, rating: 3}]"/>
    <s v="PW001"/>
    <x v="2"/>
    <s v="Pakaian Wanita"/>
    <s v="2"/>
    <s v="1"/>
    <n v="150000"/>
    <n v="55000"/>
    <s v="SP001"/>
    <s v="Sneakers"/>
    <s v="Sepatu Pria"/>
    <s v="4"/>
    <s v="3"/>
    <n v="300000"/>
    <n v="100000"/>
    <s v="-"/>
    <s v="-"/>
    <s v="-"/>
    <n v="0"/>
    <s v="-"/>
    <n v="0"/>
    <n v="0"/>
    <n v="6"/>
    <n v="1500000"/>
    <n v="510000"/>
    <s v="DISC20"/>
    <n v="0.2"/>
    <n v="300000"/>
    <n v="1200000"/>
    <n v="990000"/>
    <n v="690000"/>
    <s v="Promo Lebaran"/>
    <x v="0"/>
    <s v="SP"/>
    <x v="3"/>
    <x v="320"/>
  </r>
  <r>
    <n v="426"/>
    <s v="0426"/>
    <s v="ORD-SP-0426-10/12/24"/>
    <s v="[{item_code: PP003, quantity: 1, rating: 5}]"/>
    <s v="PP003"/>
    <x v="6"/>
    <s v="Pakaian Pria"/>
    <s v="1"/>
    <s v="5"/>
    <n v="150000"/>
    <n v="70000"/>
    <s v="-"/>
    <s v="-"/>
    <s v="-"/>
    <n v="0"/>
    <s v="-"/>
    <n v="0"/>
    <n v="0"/>
    <s v="-"/>
    <s v="-"/>
    <s v="-"/>
    <n v="0"/>
    <s v="-"/>
    <n v="0"/>
    <n v="0"/>
    <n v="1"/>
    <n v="150000"/>
    <n v="70000"/>
    <s v="DISC20"/>
    <n v="0.2"/>
    <n v="30000"/>
    <n v="120000"/>
    <n v="80000"/>
    <n v="50000"/>
    <s v="Promo Lebaran"/>
    <x v="0"/>
    <s v="SP"/>
    <x v="1"/>
    <x v="320"/>
  </r>
  <r>
    <n v="526"/>
    <s v="0526"/>
    <s v="ORD-TK-0526-10/12/24"/>
    <s v="[{item_code: PP002, quantity: 1, rating: 5}, {item_code: SP002, quantity: 4, rating: 4}, {item_code: PW002, quantity: 1, rating: 5}]"/>
    <s v="PP002"/>
    <x v="5"/>
    <s v="Pakaian Pria"/>
    <s v="1"/>
    <s v="5"/>
    <n v="60000"/>
    <n v="25000"/>
    <s v="SP002"/>
    <s v="Sandal Slip On"/>
    <s v="Sepatu Pria"/>
    <s v="4"/>
    <s v="4"/>
    <n v="120000"/>
    <n v="60000"/>
    <s v="PW002"/>
    <s v="Blouse"/>
    <s v="Pakaian Wanita"/>
    <s v="1"/>
    <s v="5"/>
    <n v="125000"/>
    <n v="50000"/>
    <n v="6"/>
    <n v="665000"/>
    <n v="315000"/>
    <s v="LEBAR10"/>
    <n v="0.1"/>
    <n v="66500"/>
    <n v="598500"/>
    <n v="350000"/>
    <n v="283500"/>
    <s v="Promo Lebaran"/>
    <x v="1"/>
    <s v="TK"/>
    <x v="0"/>
    <x v="320"/>
  </r>
  <r>
    <n v="533"/>
    <s v="0533"/>
    <s v="ORD-BB-0533-10/12/24"/>
    <s v="[{item_code: PW002, quantity: 5, rating: 1}, {item_code: PP001, quantity: 2, rating: 2}]"/>
    <s v="PW002"/>
    <x v="4"/>
    <s v="Pakaian Wanita"/>
    <s v="5"/>
    <s v="1"/>
    <n v="125000"/>
    <n v="50000"/>
    <s v="PP001"/>
    <s v="Kaos Polo"/>
    <s v="Pakaian Pria"/>
    <s v="2"/>
    <s v="2"/>
    <n v="80000"/>
    <n v="30000"/>
    <s v="-"/>
    <s v="-"/>
    <s v="-"/>
    <n v="0"/>
    <s v="-"/>
    <n v="0"/>
    <n v="0"/>
    <n v="7"/>
    <n v="785000"/>
    <n v="310000"/>
    <s v="BELI44"/>
    <n v="0.15"/>
    <n v="117750"/>
    <n v="667250"/>
    <n v="475000"/>
    <n v="357250"/>
    <s v="Promo 4.4"/>
    <x v="3"/>
    <s v="BB"/>
    <x v="3"/>
    <x v="320"/>
  </r>
  <r>
    <n v="562"/>
    <s v="0562"/>
    <s v="ORD-SP-0562-10/12/24"/>
    <s v="[{item_code: PP003, quantity: 1, rating: 3}, {item_code: SP002, quantity: 6, rating: 5}]"/>
    <s v="PP003"/>
    <x v="6"/>
    <s v="Pakaian Pria"/>
    <s v="1"/>
    <s v="3"/>
    <n v="150000"/>
    <n v="70000"/>
    <s v="SP002"/>
    <s v="Sandal Slip On"/>
    <s v="Sepatu Pria"/>
    <s v="6"/>
    <s v="5"/>
    <n v="120000"/>
    <n v="60000"/>
    <s v="-"/>
    <s v="-"/>
    <s v="-"/>
    <n v="0"/>
    <s v="-"/>
    <n v="0"/>
    <n v="0"/>
    <n v="7"/>
    <n v="870000"/>
    <n v="430000"/>
    <s v="DISC10"/>
    <n v="0.1"/>
    <n v="87000"/>
    <n v="783000"/>
    <n v="440000"/>
    <n v="353000"/>
    <s v="Promo 4.4"/>
    <x v="0"/>
    <s v="SP"/>
    <x v="5"/>
    <x v="320"/>
  </r>
  <r>
    <n v="595"/>
    <s v="0595"/>
    <s v="ORD-BL-0595-10/12/24"/>
    <s v="[{item_code: PW002, quantity: 2, rating: 3}, {item_code: PW001, quantity: 2, rating: 2}, {item_code: SP001, quantity: 2, rating: 2}]"/>
    <s v="PW002"/>
    <x v="4"/>
    <s v="Pakaian Wanita"/>
    <s v="2"/>
    <s v="3"/>
    <n v="125000"/>
    <n v="50000"/>
    <s v="PW001"/>
    <s v="Dress"/>
    <s v="Pakaian Wanita"/>
    <s v="2"/>
    <s v="2"/>
    <n v="150000"/>
    <n v="55000"/>
    <s v="SP001"/>
    <s v="Sneakers"/>
    <s v="Sepatu Pria"/>
    <s v="2"/>
    <s v="2"/>
    <n v="300000"/>
    <n v="100000"/>
    <n v="6"/>
    <n v="1150000"/>
    <n v="410000"/>
    <s v="BUKALEBAR"/>
    <n v="0.15"/>
    <n v="172500"/>
    <n v="977500"/>
    <n v="740000"/>
    <n v="567500"/>
    <s v="Promo Lebaran"/>
    <x v="2"/>
    <s v="BL"/>
    <x v="4"/>
    <x v="320"/>
  </r>
  <r>
    <n v="662"/>
    <s v="0662"/>
    <s v="ORD-SP-0662-10/12/24"/>
    <s v="[{item_code: PW003, quantity: 1, rating: 5}, {item_code: PU001, quantity: 1, rating: 4}]"/>
    <s v="PW003"/>
    <x v="3"/>
    <s v="Pakaian Wanita"/>
    <s v="1"/>
    <s v="5"/>
    <n v="200000"/>
    <n v="100000"/>
    <s v="PU001"/>
    <s v="Jaket Hoodie"/>
    <s v="Pakaian Unisex"/>
    <s v="1"/>
    <s v="4"/>
    <n v="160000"/>
    <n v="60000"/>
    <s v="-"/>
    <s v="-"/>
    <s v="-"/>
    <n v="0"/>
    <s v="-"/>
    <n v="0"/>
    <n v="0"/>
    <n v="2"/>
    <n v="360000"/>
    <n v="160000"/>
    <s v="DISC15"/>
    <n v="0.15"/>
    <n v="54000"/>
    <n v="306000"/>
    <n v="200000"/>
    <n v="146000"/>
    <s v="Promo 4.4"/>
    <x v="0"/>
    <s v="SP"/>
    <x v="4"/>
    <x v="320"/>
  </r>
  <r>
    <n v="295"/>
    <s v="0295"/>
    <s v="ORD-SP-0295-12/12/24"/>
    <s v="[{item_code: PW002, quantity: 6, rating: 4}]"/>
    <s v="PW002"/>
    <x v="4"/>
    <s v="Pakaian Wanita"/>
    <s v="6"/>
    <s v="4"/>
    <n v="125000"/>
    <n v="50000"/>
    <s v="-"/>
    <s v="-"/>
    <s v="-"/>
    <n v="0"/>
    <s v="-"/>
    <n v="0"/>
    <n v="0"/>
    <s v="-"/>
    <s v="-"/>
    <s v="-"/>
    <n v="0"/>
    <s v="-"/>
    <n v="0"/>
    <n v="0"/>
    <n v="6"/>
    <n v="750000"/>
    <n v="300000"/>
    <s v="DISC10"/>
    <n v="0.1"/>
    <n v="75000"/>
    <n v="675000"/>
    <n v="450000"/>
    <n v="375000"/>
    <s v="Promo 4.4"/>
    <x v="0"/>
    <s v="SP"/>
    <x v="4"/>
    <x v="321"/>
  </r>
  <r>
    <n v="297"/>
    <s v="0297"/>
    <s v="ORD-BB-0297-12/12/24"/>
    <s v="[{item_code: PP003, quantity: 6, rating: 5}]"/>
    <s v="PP003"/>
    <x v="6"/>
    <s v="Pakaian Pria"/>
    <s v="6"/>
    <s v="5"/>
    <n v="150000"/>
    <n v="70000"/>
    <s v="-"/>
    <s v="-"/>
    <s v="-"/>
    <n v="0"/>
    <s v="-"/>
    <n v="0"/>
    <n v="0"/>
    <s v="-"/>
    <s v="-"/>
    <s v="-"/>
    <n v="0"/>
    <s v="-"/>
    <n v="0"/>
    <n v="0"/>
    <n v="6"/>
    <n v="900000"/>
    <n v="420000"/>
    <s v="-"/>
    <n v="0"/>
    <n v="0"/>
    <n v="900000"/>
    <n v="480000"/>
    <n v="480000"/>
    <s v="-"/>
    <x v="3"/>
    <s v="BB"/>
    <x v="3"/>
    <x v="321"/>
  </r>
  <r>
    <n v="574"/>
    <s v="0574"/>
    <s v="ORD-BB-0574-12/12/24"/>
    <s v="[{item_code: PP003, quantity: 2, rating: 5}]"/>
    <s v="PP003"/>
    <x v="6"/>
    <s v="Pakaian Pria"/>
    <s v="2"/>
    <s v="5"/>
    <n v="150000"/>
    <n v="70000"/>
    <s v="-"/>
    <s v="-"/>
    <s v="-"/>
    <n v="0"/>
    <s v="-"/>
    <n v="0"/>
    <n v="0"/>
    <s v="-"/>
    <s v="-"/>
    <s v="-"/>
    <n v="0"/>
    <s v="-"/>
    <n v="0"/>
    <n v="0"/>
    <n v="2"/>
    <n v="300000"/>
    <n v="140000"/>
    <s v="BELI44"/>
    <n v="0.15"/>
    <n v="45000"/>
    <n v="255000"/>
    <n v="160000"/>
    <n v="115000"/>
    <s v="Promo 4.4"/>
    <x v="3"/>
    <s v="BB"/>
    <x v="0"/>
    <x v="321"/>
  </r>
  <r>
    <n v="827"/>
    <s v="0827"/>
    <s v="ORD-SP-0827-12/12/24"/>
    <s v="[{item_code: PP001, quantity: 1, rating: 5}]"/>
    <s v="PP001"/>
    <x v="0"/>
    <s v="Pakaian Pria"/>
    <s v="1"/>
    <s v="5"/>
    <n v="80000"/>
    <n v="30000"/>
    <s v="-"/>
    <s v="-"/>
    <s v="-"/>
    <n v="0"/>
    <s v="-"/>
    <n v="0"/>
    <n v="0"/>
    <s v="-"/>
    <s v="-"/>
    <s v="-"/>
    <n v="0"/>
    <s v="-"/>
    <n v="0"/>
    <n v="0"/>
    <n v="1"/>
    <n v="80000"/>
    <n v="30000"/>
    <s v="DISC15"/>
    <n v="0.15"/>
    <n v="12000"/>
    <n v="68000"/>
    <n v="50000"/>
    <n v="38000"/>
    <s v="Promo 4.4"/>
    <x v="0"/>
    <s v="SP"/>
    <x v="1"/>
    <x v="321"/>
  </r>
  <r>
    <n v="33"/>
    <s v="0033"/>
    <s v="ORD-BB-0033-13/12/24"/>
    <s v="[{item_code: PW001, quantity: 4, rating: 1}]"/>
    <s v="PW001"/>
    <x v="2"/>
    <s v="Pakaian Wanita"/>
    <s v="4"/>
    <s v="1"/>
    <n v="150000"/>
    <n v="55000"/>
    <s v="-"/>
    <s v="-"/>
    <s v="-"/>
    <n v="0"/>
    <s v="-"/>
    <n v="0"/>
    <n v="0"/>
    <s v="-"/>
    <s v="-"/>
    <s v="-"/>
    <n v="0"/>
    <s v="-"/>
    <n v="0"/>
    <n v="0"/>
    <n v="4"/>
    <n v="600000"/>
    <n v="220000"/>
    <s v="BELI44"/>
    <n v="0.15"/>
    <n v="90000"/>
    <n v="510000"/>
    <n v="380000"/>
    <n v="290000"/>
    <s v="Promo 4.4"/>
    <x v="3"/>
    <s v="BB"/>
    <x v="3"/>
    <x v="322"/>
  </r>
  <r>
    <n v="559"/>
    <s v="0559"/>
    <s v="ORD-BL-0559-13/12/24"/>
    <s v="[{item_code: PW003, quantity: 1, rating: 3}, {item_code: PW001, quantity: 4, rating: 4}, {item_code: PW002, quantity: 1, rating: 1}]"/>
    <s v="PW003"/>
    <x v="3"/>
    <s v="Pakaian Wanita"/>
    <s v="1"/>
    <s v="3"/>
    <n v="200000"/>
    <n v="100000"/>
    <s v="PW001"/>
    <s v="Dress"/>
    <s v="Pakaian Wanita"/>
    <s v="4"/>
    <s v="4"/>
    <n v="150000"/>
    <n v="55000"/>
    <s v="PW002"/>
    <s v="Blouse"/>
    <s v="Pakaian Wanita"/>
    <s v="1"/>
    <s v="1"/>
    <n v="125000"/>
    <n v="50000"/>
    <n v="6"/>
    <n v="925000"/>
    <n v="370000"/>
    <s v="BUKALEBAR"/>
    <n v="0.15"/>
    <n v="138750"/>
    <n v="786250"/>
    <n v="555000"/>
    <n v="416250"/>
    <s v="Promo Lebaran"/>
    <x v="2"/>
    <s v="BL"/>
    <x v="2"/>
    <x v="322"/>
  </r>
  <r>
    <n v="900"/>
    <s v="0900"/>
    <s v="ORD-TK-0900-13/12/24"/>
    <s v="[{item_code: PW003, quantity: 2, rating: 2}, {item_code: SP001, quantity: 2, rating: 5}]"/>
    <s v="PW003"/>
    <x v="3"/>
    <s v="Pakaian Wanita"/>
    <s v="2"/>
    <s v="2"/>
    <n v="200000"/>
    <n v="100000"/>
    <s v="SP001"/>
    <s v="Sneakers"/>
    <s v="Sepatu Pria"/>
    <s v="2"/>
    <s v="5"/>
    <n v="300000"/>
    <n v="100000"/>
    <s v="-"/>
    <s v="-"/>
    <s v="-"/>
    <n v="0"/>
    <s v="-"/>
    <n v="0"/>
    <n v="0"/>
    <n v="4"/>
    <n v="1000000"/>
    <n v="400000"/>
    <s v="-"/>
    <n v="0"/>
    <n v="0"/>
    <n v="1000000"/>
    <n v="600000"/>
    <n v="600000"/>
    <s v="-"/>
    <x v="1"/>
    <s v="TK"/>
    <x v="2"/>
    <x v="322"/>
  </r>
  <r>
    <n v="929"/>
    <s v="0929"/>
    <s v="ORD-TK-0929-13/12/24"/>
    <s v="[{item_code: PP003, quantity: 1, rating: 5}, {item_code: PW001, quantity: 1, rating: 1}]"/>
    <s v="PP003"/>
    <x v="6"/>
    <s v="Pakaian Pria"/>
    <s v="1"/>
    <s v="5"/>
    <n v="150000"/>
    <n v="70000"/>
    <s v="PW001"/>
    <s v="Dress"/>
    <s v="Pakaian Wanita"/>
    <s v="1"/>
    <s v="1"/>
    <n v="150000"/>
    <n v="55000"/>
    <s v="-"/>
    <s v="-"/>
    <s v="-"/>
    <n v="0"/>
    <s v="-"/>
    <n v="0"/>
    <n v="0"/>
    <n v="2"/>
    <n v="300000"/>
    <n v="125000"/>
    <s v="DISCAPRIL"/>
    <n v="0.1"/>
    <n v="30000"/>
    <n v="270000"/>
    <n v="175000"/>
    <n v="145000"/>
    <s v="Promo 4.4"/>
    <x v="1"/>
    <s v="TK"/>
    <x v="3"/>
    <x v="322"/>
  </r>
  <r>
    <n v="319"/>
    <s v="0319"/>
    <s v="ORD-TK-0319-15/12/24"/>
    <s v="[{item_code: PW002, quantity: 3, rating: 4}, {item_code: PU001, quantity: 2, rating: 3}]"/>
    <s v="PW002"/>
    <x v="4"/>
    <s v="Pakaian Wanita"/>
    <s v="3"/>
    <s v="4"/>
    <n v="125000"/>
    <n v="50000"/>
    <s v="PU001"/>
    <s v="Jaket Hoodie"/>
    <s v="Pakaian Unisex"/>
    <s v="2"/>
    <s v="3"/>
    <n v="160000"/>
    <n v="60000"/>
    <s v="-"/>
    <s v="-"/>
    <s v="-"/>
    <n v="0"/>
    <s v="-"/>
    <n v="0"/>
    <n v="0"/>
    <n v="5"/>
    <n v="695000"/>
    <n v="270000"/>
    <s v="DISCAPRIL"/>
    <n v="0.1"/>
    <n v="69500"/>
    <n v="625500"/>
    <n v="425000"/>
    <n v="355500"/>
    <s v="Promo 4.4"/>
    <x v="1"/>
    <s v="TK"/>
    <x v="1"/>
    <x v="323"/>
  </r>
  <r>
    <n v="453"/>
    <s v="0453"/>
    <s v="ORD-BL-0453-15/12/24"/>
    <s v="[{item_code: PW003, quantity: 1, rating: 5}]"/>
    <s v="PW003"/>
    <x v="3"/>
    <s v="Pakaian Wanita"/>
    <s v="1"/>
    <s v="5"/>
    <n v="200000"/>
    <n v="100000"/>
    <s v="-"/>
    <s v="-"/>
    <s v="-"/>
    <n v="0"/>
    <s v="-"/>
    <n v="0"/>
    <n v="0"/>
    <s v="-"/>
    <s v="-"/>
    <s v="-"/>
    <n v="0"/>
    <s v="-"/>
    <n v="0"/>
    <n v="0"/>
    <n v="1"/>
    <n v="200000"/>
    <n v="100000"/>
    <s v="-"/>
    <n v="0"/>
    <n v="0"/>
    <n v="200000"/>
    <n v="100000"/>
    <n v="100000"/>
    <s v="-"/>
    <x v="2"/>
    <s v="BL"/>
    <x v="3"/>
    <x v="323"/>
  </r>
  <r>
    <n v="858"/>
    <s v="0858"/>
    <s v="ORD-SP-0858-15/12/24"/>
    <s v="[{item_code: SP001, quantity: 1, rating: 3}, {item_code: PP003, quantity: 1, rating: 1}, {item_code: SW001, quantity: 3, rating: 1}]"/>
    <s v="SP001"/>
    <x v="9"/>
    <s v="Sepatu Pria"/>
    <s v="1"/>
    <s v="3"/>
    <n v="300000"/>
    <n v="100000"/>
    <s v="PP003"/>
    <s v="Jaket Jeans"/>
    <s v="Pakaian Pria"/>
    <s v="1"/>
    <s v="1"/>
    <n v="150000"/>
    <n v="70000"/>
    <s v="SW001"/>
    <s v="Flat Shoes"/>
    <s v="Sepatu Wanita"/>
    <s v="3"/>
    <s v="1"/>
    <n v="150000"/>
    <n v="70000"/>
    <n v="5"/>
    <n v="900000"/>
    <n v="380000"/>
    <s v="DISC15"/>
    <n v="0.15"/>
    <n v="135000"/>
    <n v="765000"/>
    <n v="520000"/>
    <n v="385000"/>
    <s v="Promo 4.4"/>
    <x v="0"/>
    <s v="SP"/>
    <x v="1"/>
    <x v="323"/>
  </r>
  <r>
    <n v="959"/>
    <s v="0959"/>
    <s v="ORD-TK-0959-15/12/24"/>
    <s v="[{item_code: PU001, quantity: 4, rating: 3}, {item_code: PP001, quantity: 2, rating: 4}, {item_code: PW002, quantity: 1, rating: 2}]"/>
    <s v="PU001"/>
    <x v="7"/>
    <s v="Pakaian Unisex"/>
    <s v="4"/>
    <s v="3"/>
    <n v="160000"/>
    <n v="60000"/>
    <s v="PP001"/>
    <s v="Kaos Polo"/>
    <s v="Pakaian Pria"/>
    <s v="2"/>
    <s v="4"/>
    <n v="80000"/>
    <n v="30000"/>
    <s v="PW002"/>
    <s v="Blouse"/>
    <s v="Pakaian Wanita"/>
    <s v="1"/>
    <s v="2"/>
    <n v="125000"/>
    <n v="50000"/>
    <n v="7"/>
    <n v="925000"/>
    <n v="350000"/>
    <s v="LEBAR10"/>
    <n v="0.1"/>
    <n v="92500"/>
    <n v="832500"/>
    <n v="575000"/>
    <n v="482500"/>
    <s v="Promo Lebaran"/>
    <x v="1"/>
    <s v="TK"/>
    <x v="2"/>
    <x v="323"/>
  </r>
  <r>
    <n v="138"/>
    <s v="0138"/>
    <s v="ORD-TK-0138-16/12/24"/>
    <s v="[{item_code: SW001, quantity: 1, rating: 2}, {item_code: PU001, quantity: 1, rating: 4}, {item_code: PW001, quantity: 3, rating: 3}]"/>
    <s v="SW001"/>
    <x v="8"/>
    <s v="Sepatu Wanita"/>
    <s v="1"/>
    <s v="2"/>
    <n v="150000"/>
    <n v="70000"/>
    <s v="PU001"/>
    <s v="Jaket Hoodie"/>
    <s v="Pakaian Unisex"/>
    <s v="1"/>
    <s v="4"/>
    <n v="160000"/>
    <n v="60000"/>
    <s v="PW001"/>
    <s v="Dress"/>
    <s v="Pakaian Wanita"/>
    <s v="3"/>
    <s v="3"/>
    <n v="150000"/>
    <n v="55000"/>
    <n v="5"/>
    <n v="760000"/>
    <n v="295000"/>
    <s v="LEBAR10"/>
    <n v="0.1"/>
    <n v="76000"/>
    <n v="684000"/>
    <n v="465000"/>
    <n v="389000"/>
    <s v="Promo Lebaran"/>
    <x v="1"/>
    <s v="TK"/>
    <x v="4"/>
    <x v="324"/>
  </r>
  <r>
    <n v="349"/>
    <s v="0349"/>
    <s v="ORD-SP-0349-16/12/24"/>
    <s v="[{item_code: PP003, quantity: 2, rating: 2}, {item_code: PW003, quantity: 3, rating: 4}]"/>
    <s v="PP003"/>
    <x v="6"/>
    <s v="Pakaian Pria"/>
    <s v="2"/>
    <s v="2"/>
    <n v="150000"/>
    <n v="70000"/>
    <s v="PW003"/>
    <s v="Kaftan"/>
    <s v="Pakaian Wanita"/>
    <s v="3"/>
    <s v="4"/>
    <n v="200000"/>
    <n v="100000"/>
    <s v="-"/>
    <s v="-"/>
    <s v="-"/>
    <n v="0"/>
    <s v="-"/>
    <n v="0"/>
    <n v="0"/>
    <n v="5"/>
    <n v="900000"/>
    <n v="440000"/>
    <s v="-"/>
    <n v="0"/>
    <n v="0"/>
    <n v="900000"/>
    <n v="460000"/>
    <n v="460000"/>
    <s v="-"/>
    <x v="0"/>
    <s v="SP"/>
    <x v="5"/>
    <x v="324"/>
  </r>
  <r>
    <n v="84"/>
    <s v="0084"/>
    <s v="ORD-BL-0084-17/12/24"/>
    <s v="[{item_code: PW001, quantity: 2, rating: 4}, {item_code: PP001, quantity: 1, rating: 3}]"/>
    <s v="PW001"/>
    <x v="2"/>
    <s v="Pakaian Wanita"/>
    <s v="2"/>
    <s v="4"/>
    <n v="150000"/>
    <n v="55000"/>
    <s v="PP001"/>
    <s v="Kaos Polo"/>
    <s v="Pakaian Pria"/>
    <s v="1"/>
    <s v="3"/>
    <n v="80000"/>
    <n v="30000"/>
    <s v="-"/>
    <s v="-"/>
    <s v="-"/>
    <n v="0"/>
    <s v="-"/>
    <n v="0"/>
    <n v="0"/>
    <n v="3"/>
    <n v="380000"/>
    <n v="140000"/>
    <s v="BUKALEBAR"/>
    <n v="0.15"/>
    <n v="57000"/>
    <n v="323000"/>
    <n v="240000"/>
    <n v="183000"/>
    <s v="Promo Lebaran"/>
    <x v="2"/>
    <s v="BL"/>
    <x v="4"/>
    <x v="325"/>
  </r>
  <r>
    <n v="247"/>
    <s v="0247"/>
    <s v="ORD-TK-0247-17/12/24"/>
    <s v="[{item_code: PP003, quantity: 1, rating: 5}, {item_code: PU001, quantity: 3, rating: 4}]"/>
    <s v="PP003"/>
    <x v="6"/>
    <s v="Pakaian Pria"/>
    <s v="1"/>
    <s v="5"/>
    <n v="150000"/>
    <n v="70000"/>
    <s v="PU001"/>
    <s v="Jaket Hoodie"/>
    <s v="Pakaian Unisex"/>
    <s v="3"/>
    <s v="4"/>
    <n v="160000"/>
    <n v="60000"/>
    <s v="-"/>
    <s v="-"/>
    <s v="-"/>
    <n v="0"/>
    <s v="-"/>
    <n v="0"/>
    <n v="0"/>
    <n v="4"/>
    <n v="630000"/>
    <n v="250000"/>
    <s v="LEBAR10"/>
    <n v="0.1"/>
    <n v="63000"/>
    <n v="567000"/>
    <n v="380000"/>
    <n v="317000"/>
    <s v="Promo Lebaran"/>
    <x v="1"/>
    <s v="TK"/>
    <x v="4"/>
    <x v="325"/>
  </r>
  <r>
    <n v="306"/>
    <s v="0306"/>
    <s v="ORD-BB-0306-17/12/24"/>
    <s v="[{item_code: PP003, quantity: 2, rating: 4}, {item_code: PW002, quantity: 2, rating: 4}]"/>
    <s v="PP003"/>
    <x v="6"/>
    <s v="Pakaian Pria"/>
    <s v="2"/>
    <s v="4"/>
    <n v="150000"/>
    <n v="70000"/>
    <s v="PW002"/>
    <s v="Blouse"/>
    <s v="Pakaian Wanita"/>
    <s v="2"/>
    <s v="4"/>
    <n v="125000"/>
    <n v="50000"/>
    <s v="-"/>
    <s v="-"/>
    <s v="-"/>
    <n v="0"/>
    <s v="-"/>
    <n v="0"/>
    <n v="0"/>
    <n v="4"/>
    <n v="550000"/>
    <n v="240000"/>
    <s v="BELI44"/>
    <n v="0.15"/>
    <n v="82500"/>
    <n v="467500"/>
    <n v="310000"/>
    <n v="227500"/>
    <s v="Promo 4.4"/>
    <x v="3"/>
    <s v="BB"/>
    <x v="4"/>
    <x v="325"/>
  </r>
  <r>
    <n v="408"/>
    <s v="0408"/>
    <s v="ORD-TK-0408-17/12/24"/>
    <s v="[{item_code: PP003, quantity: 1, rating: 2}, {item_code: PP001, quantity: 1, rating: 2}, {item_code: SP001, quantity: 3, rating: 4}]"/>
    <s v="PP003"/>
    <x v="6"/>
    <s v="Pakaian Pria"/>
    <s v="1"/>
    <s v="2"/>
    <n v="150000"/>
    <n v="70000"/>
    <s v="PP001"/>
    <s v="Kaos Polo"/>
    <s v="Pakaian Pria"/>
    <s v="1"/>
    <s v="2"/>
    <n v="80000"/>
    <n v="30000"/>
    <s v="SP001"/>
    <s v="Sneakers"/>
    <s v="Sepatu Pria"/>
    <s v="3"/>
    <s v="4"/>
    <n v="300000"/>
    <n v="100000"/>
    <n v="5"/>
    <n v="1130000"/>
    <n v="400000"/>
    <s v="-"/>
    <n v="0"/>
    <n v="0"/>
    <n v="1130000"/>
    <n v="730000"/>
    <n v="730000"/>
    <s v="-"/>
    <x v="1"/>
    <s v="TK"/>
    <x v="3"/>
    <x v="325"/>
  </r>
  <r>
    <n v="527"/>
    <s v="0527"/>
    <s v="ORD-SP-0527-17/12/24"/>
    <s v="[{item_code: PU001, quantity: 6, rating: 4}, {item_code: PW003, quantity: 1, rating: 4}]"/>
    <s v="PU001"/>
    <x v="7"/>
    <s v="Pakaian Unisex"/>
    <s v="6"/>
    <s v="4"/>
    <n v="160000"/>
    <n v="60000"/>
    <s v="PW003"/>
    <s v="Kaftan"/>
    <s v="Pakaian Wanita"/>
    <s v="1"/>
    <s v="4"/>
    <n v="200000"/>
    <n v="100000"/>
    <s v="-"/>
    <s v="-"/>
    <s v="-"/>
    <n v="0"/>
    <s v="-"/>
    <n v="0"/>
    <n v="0"/>
    <n v="7"/>
    <n v="1160000"/>
    <n v="460000"/>
    <s v="DISC20"/>
    <n v="0.2"/>
    <n v="232000"/>
    <n v="928000"/>
    <n v="700000"/>
    <n v="468000"/>
    <s v="Promo Lebaran"/>
    <x v="0"/>
    <s v="SP"/>
    <x v="0"/>
    <x v="325"/>
  </r>
  <r>
    <n v="584"/>
    <s v="0584"/>
    <s v="ORD-SP-0584-17/12/24"/>
    <s v="[{item_code: PU001, quantity: 4, rating: 4}, {item_code: SP002, quantity: 1, rating: 4}, {item_code: PP003, quantity: 1, rating: 2}]"/>
    <s v="PU001"/>
    <x v="7"/>
    <s v="Pakaian Unisex"/>
    <s v="4"/>
    <s v="4"/>
    <n v="160000"/>
    <n v="60000"/>
    <s v="SP002"/>
    <s v="Sandal Slip On"/>
    <s v="Sepatu Pria"/>
    <s v="1"/>
    <s v="4"/>
    <n v="120000"/>
    <n v="60000"/>
    <s v="PP003"/>
    <s v="Jaket Jeans"/>
    <s v="Pakaian Pria"/>
    <s v="1"/>
    <s v="2"/>
    <n v="150000"/>
    <n v="70000"/>
    <n v="6"/>
    <n v="910000"/>
    <n v="370000"/>
    <s v="DISC10"/>
    <n v="0.1"/>
    <n v="91000"/>
    <n v="819000"/>
    <n v="540000"/>
    <n v="449000"/>
    <s v="Promo 4.4"/>
    <x v="0"/>
    <s v="SP"/>
    <x v="2"/>
    <x v="325"/>
  </r>
  <r>
    <n v="782"/>
    <s v="0782"/>
    <s v="ORD-TK-0782-17/12/24"/>
    <s v="[{item_code: PW003, quantity: 4, rating: 5}, {item_code: SW001, quantity: 3, rating: 1}]"/>
    <s v="PW003"/>
    <x v="3"/>
    <s v="Pakaian Wanita"/>
    <s v="4"/>
    <s v="5"/>
    <n v="200000"/>
    <n v="100000"/>
    <s v="SW001"/>
    <s v="Flat Shoes"/>
    <s v="Sepatu Wanita"/>
    <s v="3"/>
    <s v="1"/>
    <n v="150000"/>
    <n v="70000"/>
    <s v="-"/>
    <s v="-"/>
    <s v="-"/>
    <n v="0"/>
    <s v="-"/>
    <n v="0"/>
    <n v="0"/>
    <n v="7"/>
    <n v="1250000"/>
    <n v="610000"/>
    <s v="DISCAPRIL"/>
    <n v="0.1"/>
    <n v="125000"/>
    <n v="1125000"/>
    <n v="640000"/>
    <n v="515000"/>
    <s v="Promo 4.4"/>
    <x v="1"/>
    <s v="TK"/>
    <x v="4"/>
    <x v="325"/>
  </r>
  <r>
    <n v="878"/>
    <s v="0878"/>
    <s v="ORD-BL-0878-17/12/24"/>
    <s v="[{item_code: PU001, quantity: 1, rating: 5}, {item_code: SP001, quantity: 1, rating: 3}, {item_code: PP001, quantity: 1, rating: 1}]"/>
    <s v="PU001"/>
    <x v="7"/>
    <s v="Pakaian Unisex"/>
    <s v="1"/>
    <s v="5"/>
    <n v="160000"/>
    <n v="60000"/>
    <s v="SP001"/>
    <s v="Sneakers"/>
    <s v="Sepatu Pria"/>
    <s v="1"/>
    <s v="3"/>
    <n v="300000"/>
    <n v="100000"/>
    <s v="PP001"/>
    <s v="Kaos Polo"/>
    <s v="Pakaian Pria"/>
    <s v="1"/>
    <s v="1"/>
    <n v="80000"/>
    <n v="30000"/>
    <n v="3"/>
    <n v="540000"/>
    <n v="190000"/>
    <s v="BUKALEBAR"/>
    <n v="0.15"/>
    <n v="81000"/>
    <n v="459000"/>
    <n v="350000"/>
    <n v="269000"/>
    <s v="Promo Lebaran"/>
    <x v="2"/>
    <s v="BL"/>
    <x v="0"/>
    <x v="325"/>
  </r>
  <r>
    <n v="962"/>
    <s v="0962"/>
    <s v="ORD-TK-0962-17/12/24"/>
    <s v="[{item_code: PP002, quantity: 1, rating: 4}, {item_code: SP001, quantity: 3, rating: 1}, {item_code: SP002, quantity: 2, rating: 4}]"/>
    <s v="PP002"/>
    <x v="5"/>
    <s v="Pakaian Pria"/>
    <s v="1"/>
    <s v="4"/>
    <n v="60000"/>
    <n v="25000"/>
    <s v="SP001"/>
    <s v="Sneakers"/>
    <s v="Sepatu Pria"/>
    <s v="3"/>
    <s v="1"/>
    <n v="300000"/>
    <n v="100000"/>
    <s v="SP002"/>
    <s v="Sandal Slip On"/>
    <s v="Sepatu Pria"/>
    <s v="2"/>
    <s v="4"/>
    <n v="120000"/>
    <n v="60000"/>
    <n v="6"/>
    <n v="1200000"/>
    <n v="445000"/>
    <s v="DISCAPRIL"/>
    <n v="0.1"/>
    <n v="120000"/>
    <n v="1080000"/>
    <n v="755000"/>
    <n v="635000"/>
    <s v="Promo 4.4"/>
    <x v="1"/>
    <s v="TK"/>
    <x v="3"/>
    <x v="325"/>
  </r>
  <r>
    <n v="817"/>
    <s v="0817"/>
    <s v="ORD-BL-0817-18/12/24"/>
    <s v="[{item_code: SW001, quantity: 3, rating: 3}, {item_code: SP001, quantity: 1, rating: 4}, {item_code: SP002, quantity: 1, rating: 4}]"/>
    <s v="SW001"/>
    <x v="8"/>
    <s v="Sepatu Wanita"/>
    <s v="3"/>
    <s v="3"/>
    <n v="150000"/>
    <n v="70000"/>
    <s v="SP001"/>
    <s v="Sneakers"/>
    <s v="Sepatu Pria"/>
    <s v="1"/>
    <s v="4"/>
    <n v="300000"/>
    <n v="100000"/>
    <s v="SP002"/>
    <s v="Sandal Slip On"/>
    <s v="Sepatu Pria"/>
    <s v="1"/>
    <s v="4"/>
    <n v="120000"/>
    <n v="60000"/>
    <n v="5"/>
    <n v="870000"/>
    <n v="370000"/>
    <s v="BUKALEBAR"/>
    <n v="0.15"/>
    <n v="130500"/>
    <n v="739500"/>
    <n v="500000"/>
    <n v="369500"/>
    <s v="Promo Lebaran"/>
    <x v="2"/>
    <s v="BL"/>
    <x v="4"/>
    <x v="326"/>
  </r>
  <r>
    <n v="979"/>
    <s v="0979"/>
    <s v="ORD-SP-0979-18/12/24"/>
    <s v="[{item_code: PW002, quantity: 3, rating: 2}]"/>
    <s v="PW002"/>
    <x v="4"/>
    <s v="Pakaian Wanita"/>
    <s v="3"/>
    <s v="2"/>
    <n v="125000"/>
    <n v="50000"/>
    <s v="-"/>
    <s v="-"/>
    <s v="-"/>
    <n v="0"/>
    <s v="-"/>
    <n v="0"/>
    <n v="0"/>
    <s v="-"/>
    <s v="-"/>
    <s v="-"/>
    <n v="0"/>
    <s v="-"/>
    <n v="0"/>
    <n v="0"/>
    <n v="3"/>
    <n v="375000"/>
    <n v="150000"/>
    <s v="DISC10"/>
    <n v="0.1"/>
    <n v="37500"/>
    <n v="337500"/>
    <n v="225000"/>
    <n v="187500"/>
    <s v="Promo 4.4"/>
    <x v="0"/>
    <s v="SP"/>
    <x v="2"/>
    <x v="326"/>
  </r>
  <r>
    <n v="24"/>
    <s v="0024"/>
    <s v="ORD-TK-0024-19/12/24"/>
    <s v="[{item_code: PW003, quantity: 7, rating: 4}]"/>
    <s v="PW003"/>
    <x v="3"/>
    <s v="Pakaian Wanita"/>
    <s v="7"/>
    <s v="4"/>
    <n v="200000"/>
    <n v="100000"/>
    <s v="-"/>
    <s v="-"/>
    <s v="-"/>
    <n v="0"/>
    <s v="-"/>
    <n v="0"/>
    <n v="0"/>
    <s v="-"/>
    <s v="-"/>
    <s v="-"/>
    <n v="0"/>
    <s v="-"/>
    <n v="0"/>
    <n v="0"/>
    <n v="7"/>
    <n v="1400000"/>
    <n v="700000"/>
    <s v="DISCAPRIL"/>
    <n v="0.1"/>
    <n v="140000"/>
    <n v="1260000"/>
    <n v="700000"/>
    <n v="560000"/>
    <s v="Promo 4.4"/>
    <x v="1"/>
    <s v="TK"/>
    <x v="5"/>
    <x v="327"/>
  </r>
  <r>
    <n v="113"/>
    <s v="0113"/>
    <s v="ORD-BB-0113-19/12/24"/>
    <s v="[{item_code: SP001, quantity: 3, rating: 1}, {item_code: PW003, quantity: 1, rating: 4}]"/>
    <s v="SP001"/>
    <x v="9"/>
    <s v="Sepatu Pria"/>
    <s v="3"/>
    <s v="1"/>
    <n v="300000"/>
    <n v="100000"/>
    <s v="PW003"/>
    <s v="Kaftan"/>
    <s v="Pakaian Wanita"/>
    <s v="1"/>
    <s v="4"/>
    <n v="200000"/>
    <n v="100000"/>
    <s v="-"/>
    <s v="-"/>
    <s v="-"/>
    <n v="0"/>
    <s v="-"/>
    <n v="0"/>
    <n v="0"/>
    <n v="4"/>
    <n v="1100000"/>
    <n v="400000"/>
    <s v="-"/>
    <n v="0"/>
    <n v="0"/>
    <n v="1100000"/>
    <n v="700000"/>
    <n v="700000"/>
    <s v="-"/>
    <x v="3"/>
    <s v="BB"/>
    <x v="4"/>
    <x v="327"/>
  </r>
  <r>
    <n v="271"/>
    <s v="0271"/>
    <s v="ORD-SP-0271-19/12/24"/>
    <s v="[{item_code: PW003, quantity: 5, rating: 5}]"/>
    <s v="PW003"/>
    <x v="3"/>
    <s v="Pakaian Wanita"/>
    <s v="5"/>
    <s v="5"/>
    <n v="200000"/>
    <n v="100000"/>
    <s v="-"/>
    <s v="-"/>
    <s v="-"/>
    <n v="0"/>
    <s v="-"/>
    <n v="0"/>
    <n v="0"/>
    <s v="-"/>
    <s v="-"/>
    <s v="-"/>
    <n v="0"/>
    <s v="-"/>
    <n v="0"/>
    <n v="0"/>
    <n v="5"/>
    <n v="1000000"/>
    <n v="500000"/>
    <s v="-"/>
    <n v="0"/>
    <n v="0"/>
    <n v="1000000"/>
    <n v="500000"/>
    <n v="500000"/>
    <s v="-"/>
    <x v="0"/>
    <s v="SP"/>
    <x v="2"/>
    <x v="327"/>
  </r>
  <r>
    <n v="461"/>
    <s v="0461"/>
    <s v="ORD-SP-0461-19/12/24"/>
    <s v="[{item_code: PU001, quantity: 1, rating: 5}]"/>
    <s v="PU001"/>
    <x v="7"/>
    <s v="Pakaian Unisex"/>
    <s v="1"/>
    <s v="5"/>
    <n v="160000"/>
    <n v="60000"/>
    <s v="-"/>
    <s v="-"/>
    <s v="-"/>
    <n v="0"/>
    <s v="-"/>
    <n v="0"/>
    <n v="0"/>
    <s v="-"/>
    <s v="-"/>
    <s v="-"/>
    <n v="0"/>
    <s v="-"/>
    <n v="0"/>
    <n v="0"/>
    <n v="1"/>
    <n v="160000"/>
    <n v="60000"/>
    <s v="DISC15"/>
    <n v="0.15"/>
    <n v="24000"/>
    <n v="136000"/>
    <n v="100000"/>
    <n v="76000"/>
    <s v="Promo 4.4"/>
    <x v="0"/>
    <s v="SP"/>
    <x v="1"/>
    <x v="327"/>
  </r>
  <r>
    <n v="17"/>
    <s v="0017"/>
    <s v="ORD-BB-0017-20/12/24"/>
    <s v="[{item_code: PU001, quantity: 2, rating: 4}, {item_code: PW001, quantity: 1, rating: 5}]"/>
    <s v="PU001"/>
    <x v="7"/>
    <s v="Pakaian Unisex"/>
    <s v="2"/>
    <s v="4"/>
    <n v="160000"/>
    <n v="60000"/>
    <s v="PW001"/>
    <s v="Dress"/>
    <s v="Pakaian Wanita"/>
    <s v="1"/>
    <s v="5"/>
    <n v="150000"/>
    <n v="55000"/>
    <s v="-"/>
    <s v="-"/>
    <s v="-"/>
    <n v="0"/>
    <s v="-"/>
    <n v="0"/>
    <n v="0"/>
    <n v="3"/>
    <n v="470000"/>
    <n v="175000"/>
    <s v="BELI44"/>
    <n v="0.15"/>
    <n v="70500"/>
    <n v="399500"/>
    <n v="295000"/>
    <n v="224500"/>
    <s v="Promo 4.4"/>
    <x v="3"/>
    <s v="BB"/>
    <x v="3"/>
    <x v="328"/>
  </r>
  <r>
    <n v="180"/>
    <s v="0180"/>
    <s v="ORD-TK-0180-20/12/24"/>
    <s v="[{item_code: PP003, quantity: 2, rating: 4}, {item_code: PW003, quantity: 1, rating: 1}, {item_code: SP002, quantity: 1, rating: 1}]"/>
    <s v="PP003"/>
    <x v="6"/>
    <s v="Pakaian Pria"/>
    <s v="2"/>
    <s v="4"/>
    <n v="150000"/>
    <n v="70000"/>
    <s v="PW003"/>
    <s v="Kaftan"/>
    <s v="Pakaian Wanita"/>
    <s v="1"/>
    <s v="1"/>
    <n v="200000"/>
    <n v="100000"/>
    <s v="SP002"/>
    <s v="Sandal Slip On"/>
    <s v="Sepatu Pria"/>
    <s v="1"/>
    <s v="1"/>
    <n v="120000"/>
    <n v="60000"/>
    <n v="4"/>
    <n v="620000"/>
    <n v="300000"/>
    <s v="DISCAPRIL"/>
    <n v="0.1"/>
    <n v="62000"/>
    <n v="558000"/>
    <n v="320000"/>
    <n v="258000"/>
    <s v="Promo 4.4"/>
    <x v="1"/>
    <s v="TK"/>
    <x v="4"/>
    <x v="328"/>
  </r>
  <r>
    <n v="466"/>
    <s v="0466"/>
    <s v="ORD-SP-0466-20/12/24"/>
    <s v="[{item_code: PU001, quantity: 1, rating: 1}, {item_code: PP002, quantity: 1, rating: 4}]"/>
    <s v="PU001"/>
    <x v="7"/>
    <s v="Pakaian Unisex"/>
    <s v="1"/>
    <s v="1"/>
    <n v="160000"/>
    <n v="60000"/>
    <s v="PP002"/>
    <s v="Celana Pendek"/>
    <s v="Pakaian Pria"/>
    <s v="1"/>
    <s v="4"/>
    <n v="60000"/>
    <n v="25000"/>
    <s v="-"/>
    <s v="-"/>
    <s v="-"/>
    <n v="0"/>
    <s v="-"/>
    <n v="0"/>
    <n v="0"/>
    <n v="2"/>
    <n v="220000"/>
    <n v="85000"/>
    <s v="DISC15"/>
    <n v="0.15"/>
    <n v="33000"/>
    <n v="187000"/>
    <n v="135000"/>
    <n v="102000"/>
    <s v="Promo 4.4"/>
    <x v="0"/>
    <s v="SP"/>
    <x v="3"/>
    <x v="328"/>
  </r>
  <r>
    <n v="38"/>
    <s v="0038"/>
    <s v="ORD-BB-0038-21/12/24"/>
    <s v="[{item_code: PU001, quantity: 7, rating: 3}]"/>
    <s v="PU001"/>
    <x v="7"/>
    <s v="Pakaian Unisex"/>
    <s v="7"/>
    <s v="3"/>
    <n v="160000"/>
    <n v="60000"/>
    <s v="-"/>
    <s v="-"/>
    <s v="-"/>
    <n v="0"/>
    <s v="-"/>
    <n v="0"/>
    <n v="0"/>
    <s v="-"/>
    <s v="-"/>
    <s v="-"/>
    <n v="0"/>
    <s v="-"/>
    <n v="0"/>
    <n v="0"/>
    <n v="7"/>
    <n v="1120000"/>
    <n v="420000"/>
    <s v="BELI44"/>
    <n v="0.15"/>
    <n v="168000"/>
    <n v="952000"/>
    <n v="700000"/>
    <n v="532000"/>
    <s v="Promo 4.4"/>
    <x v="3"/>
    <s v="BB"/>
    <x v="3"/>
    <x v="329"/>
  </r>
  <r>
    <n v="755"/>
    <s v="0755"/>
    <s v="ORD-TK-0755-21/12/24"/>
    <s v="[{item_code: SP002, quantity: 2, rating: 3}]"/>
    <s v="SP002"/>
    <x v="1"/>
    <s v="Sepatu Pria"/>
    <s v="2"/>
    <s v="3"/>
    <n v="120000"/>
    <n v="60000"/>
    <s v="-"/>
    <s v="-"/>
    <s v="-"/>
    <n v="0"/>
    <s v="-"/>
    <n v="0"/>
    <n v="0"/>
    <s v="-"/>
    <s v="-"/>
    <s v="-"/>
    <n v="0"/>
    <s v="-"/>
    <n v="0"/>
    <n v="0"/>
    <n v="2"/>
    <n v="240000"/>
    <n v="120000"/>
    <s v="DISCAPRIL"/>
    <n v="0.1"/>
    <n v="24000"/>
    <n v="216000"/>
    <n v="120000"/>
    <n v="96000"/>
    <s v="Promo 4.4"/>
    <x v="1"/>
    <s v="TK"/>
    <x v="3"/>
    <x v="329"/>
  </r>
  <r>
    <n v="106"/>
    <s v="0106"/>
    <s v="ORD-TK-0106-22/12/24"/>
    <s v="[{item_code: PW003, quantity: 5, rating: 4}]"/>
    <s v="PW003"/>
    <x v="3"/>
    <s v="Pakaian Wanita"/>
    <s v="5"/>
    <s v="4"/>
    <n v="200000"/>
    <n v="100000"/>
    <s v="-"/>
    <s v="-"/>
    <s v="-"/>
    <n v="0"/>
    <s v="-"/>
    <n v="0"/>
    <n v="0"/>
    <s v="-"/>
    <s v="-"/>
    <s v="-"/>
    <n v="0"/>
    <s v="-"/>
    <n v="0"/>
    <n v="0"/>
    <n v="5"/>
    <n v="1000000"/>
    <n v="500000"/>
    <s v="LEBAR10"/>
    <n v="0.1"/>
    <n v="100000"/>
    <n v="900000"/>
    <n v="500000"/>
    <n v="400000"/>
    <s v="Promo Lebaran"/>
    <x v="1"/>
    <s v="TK"/>
    <x v="3"/>
    <x v="330"/>
  </r>
  <r>
    <n v="255"/>
    <s v="0255"/>
    <s v="ORD-TK-0255-22/12/24"/>
    <s v="[{item_code: SW001, quantity: 3, rating: 3}, {item_code: SP002, quantity: 1, rating: 3}, {item_code: PU001, quantity: 1, rating: 2}]"/>
    <s v="SW001"/>
    <x v="8"/>
    <s v="Sepatu Wanita"/>
    <s v="3"/>
    <s v="3"/>
    <n v="150000"/>
    <n v="70000"/>
    <s v="SP002"/>
    <s v="Sandal Slip On"/>
    <s v="Sepatu Pria"/>
    <s v="1"/>
    <s v="3"/>
    <n v="120000"/>
    <n v="60000"/>
    <s v="PU001"/>
    <s v="Jaket Hoodie"/>
    <s v="Pakaian Unisex"/>
    <s v="1"/>
    <s v="2"/>
    <n v="160000"/>
    <n v="60000"/>
    <n v="5"/>
    <n v="730000"/>
    <n v="330000"/>
    <s v="LEBAR10"/>
    <n v="0.1"/>
    <n v="73000"/>
    <n v="657000"/>
    <n v="400000"/>
    <n v="327000"/>
    <s v="Promo Lebaran"/>
    <x v="1"/>
    <s v="TK"/>
    <x v="4"/>
    <x v="330"/>
  </r>
  <r>
    <n v="356"/>
    <s v="0356"/>
    <s v="ORD-SP-0356-22/12/24"/>
    <s v="[{item_code: PP002, quantity: 1, rating: 1}, {item_code: SP002, quantity: 1, rating: 1}, {item_code: PU001, quantity: 1, rating: 4}]"/>
    <s v="PP002"/>
    <x v="5"/>
    <s v="Pakaian Pria"/>
    <s v="1"/>
    <s v="1"/>
    <n v="60000"/>
    <n v="25000"/>
    <s v="SP002"/>
    <s v="Sandal Slip On"/>
    <s v="Sepatu Pria"/>
    <s v="1"/>
    <s v="1"/>
    <n v="120000"/>
    <n v="60000"/>
    <s v="PU001"/>
    <s v="Jaket Hoodie"/>
    <s v="Pakaian Unisex"/>
    <s v="1"/>
    <s v="4"/>
    <n v="160000"/>
    <n v="60000"/>
    <n v="3"/>
    <n v="340000"/>
    <n v="145000"/>
    <s v="DISC20"/>
    <n v="0.2"/>
    <n v="68000"/>
    <n v="272000"/>
    <n v="195000"/>
    <n v="127000"/>
    <s v="Promo Lebaran"/>
    <x v="0"/>
    <s v="SP"/>
    <x v="3"/>
    <x v="330"/>
  </r>
  <r>
    <n v="194"/>
    <s v="0194"/>
    <s v="ORD-SP-0194-24/12/24"/>
    <s v="[{item_code: PW002, quantity: 1, rating: 3}]"/>
    <s v="PW002"/>
    <x v="4"/>
    <s v="Pakaian Wanita"/>
    <s v="1"/>
    <s v="3"/>
    <n v="125000"/>
    <n v="50000"/>
    <s v="-"/>
    <s v="-"/>
    <s v="-"/>
    <n v="0"/>
    <s v="-"/>
    <n v="0"/>
    <n v="0"/>
    <s v="-"/>
    <s v="-"/>
    <s v="-"/>
    <n v="0"/>
    <s v="-"/>
    <n v="0"/>
    <n v="0"/>
    <n v="1"/>
    <n v="125000"/>
    <n v="50000"/>
    <s v="DISC10"/>
    <n v="0.1"/>
    <n v="12500"/>
    <n v="112500"/>
    <n v="75000"/>
    <n v="62500"/>
    <s v="Promo 4.4"/>
    <x v="0"/>
    <s v="SP"/>
    <x v="3"/>
    <x v="331"/>
  </r>
  <r>
    <n v="816"/>
    <s v="0816"/>
    <s v="ORD-TK-0816-24/12/24"/>
    <s v="[{item_code: SP002, quantity: 2, rating: 5}]"/>
    <s v="SP002"/>
    <x v="1"/>
    <s v="Sepatu Pria"/>
    <s v="2"/>
    <s v="5"/>
    <n v="120000"/>
    <n v="60000"/>
    <s v="-"/>
    <s v="-"/>
    <s v="-"/>
    <n v="0"/>
    <s v="-"/>
    <n v="0"/>
    <n v="0"/>
    <s v="-"/>
    <s v="-"/>
    <s v="-"/>
    <n v="0"/>
    <s v="-"/>
    <n v="0"/>
    <n v="0"/>
    <n v="2"/>
    <n v="240000"/>
    <n v="120000"/>
    <s v="LEBAR10"/>
    <n v="0.1"/>
    <n v="24000"/>
    <n v="216000"/>
    <n v="120000"/>
    <n v="96000"/>
    <s v="Promo Lebaran"/>
    <x v="1"/>
    <s v="TK"/>
    <x v="3"/>
    <x v="331"/>
  </r>
  <r>
    <n v="875"/>
    <s v="0875"/>
    <s v="ORD-BL-0875-24/12/24"/>
    <s v="[{item_code: PW003, quantity: 4, rating: 1}, {item_code: PP003, quantity: 2, rating: 4}]"/>
    <s v="PW003"/>
    <x v="3"/>
    <s v="Pakaian Wanita"/>
    <s v="4"/>
    <s v="1"/>
    <n v="200000"/>
    <n v="100000"/>
    <s v="PP003"/>
    <s v="Jaket Jeans"/>
    <s v="Pakaian Pria"/>
    <s v="2"/>
    <s v="4"/>
    <n v="150000"/>
    <n v="70000"/>
    <s v="-"/>
    <s v="-"/>
    <s v="-"/>
    <n v="0"/>
    <s v="-"/>
    <n v="0"/>
    <n v="0"/>
    <n v="6"/>
    <n v="1100000"/>
    <n v="540000"/>
    <s v="BUKALEBAR"/>
    <n v="0.15"/>
    <n v="165000"/>
    <n v="935000"/>
    <n v="560000"/>
    <n v="395000"/>
    <s v="Promo Lebaran"/>
    <x v="2"/>
    <s v="BL"/>
    <x v="3"/>
    <x v="331"/>
  </r>
  <r>
    <n v="759"/>
    <s v="0759"/>
    <s v="ORD-BL-0759-25/12/24"/>
    <s v="[{item_code: PP001, quantity: 4, rating: 5}]"/>
    <s v="PP001"/>
    <x v="0"/>
    <s v="Pakaian Pria"/>
    <s v="4"/>
    <s v="5"/>
    <n v="80000"/>
    <n v="30000"/>
    <s v="-"/>
    <s v="-"/>
    <s v="-"/>
    <n v="0"/>
    <s v="-"/>
    <n v="0"/>
    <n v="0"/>
    <s v="-"/>
    <s v="-"/>
    <s v="-"/>
    <n v="0"/>
    <s v="-"/>
    <n v="0"/>
    <n v="0"/>
    <n v="4"/>
    <n v="320000"/>
    <n v="120000"/>
    <s v="BUKALEBAR"/>
    <n v="0.15"/>
    <n v="48000"/>
    <n v="272000"/>
    <n v="200000"/>
    <n v="152000"/>
    <s v="Promo Lebaran"/>
    <x v="2"/>
    <s v="BL"/>
    <x v="1"/>
    <x v="332"/>
  </r>
  <r>
    <n v="825"/>
    <s v="0825"/>
    <s v="ORD-BL-0825-25/12/24"/>
    <s v="[{item_code: SW001, quantity: 2, rating: 2}, {item_code: PW002, quantity: 4, rating: 1}]"/>
    <s v="SW001"/>
    <x v="8"/>
    <s v="Sepatu Wanita"/>
    <s v="2"/>
    <s v="2"/>
    <n v="150000"/>
    <n v="70000"/>
    <s v="PW002"/>
    <s v="Blouse"/>
    <s v="Pakaian Wanita"/>
    <s v="4"/>
    <s v="1"/>
    <n v="125000"/>
    <n v="50000"/>
    <s v="-"/>
    <s v="-"/>
    <s v="-"/>
    <n v="0"/>
    <s v="-"/>
    <n v="0"/>
    <n v="0"/>
    <n v="6"/>
    <n v="800000"/>
    <n v="340000"/>
    <s v="BUKALEBAR"/>
    <n v="0.15"/>
    <n v="120000"/>
    <n v="680000"/>
    <n v="460000"/>
    <n v="340000"/>
    <s v="Promo Lebaran"/>
    <x v="2"/>
    <s v="BL"/>
    <x v="3"/>
    <x v="332"/>
  </r>
  <r>
    <n v="940"/>
    <s v="0940"/>
    <s v="ORD-TK-0940-25/12/24"/>
    <s v="[{item_code: SP001, quantity: 2, rating: 5}]"/>
    <s v="SP001"/>
    <x v="9"/>
    <s v="Sepatu Pria"/>
    <s v="2"/>
    <s v="5"/>
    <n v="300000"/>
    <n v="100000"/>
    <s v="-"/>
    <s v="-"/>
    <s v="-"/>
    <n v="0"/>
    <s v="-"/>
    <n v="0"/>
    <n v="0"/>
    <s v="-"/>
    <s v="-"/>
    <s v="-"/>
    <n v="0"/>
    <s v="-"/>
    <n v="0"/>
    <n v="0"/>
    <n v="2"/>
    <n v="600000"/>
    <n v="200000"/>
    <s v="DISCAPRIL"/>
    <n v="0.1"/>
    <n v="60000"/>
    <n v="540000"/>
    <n v="400000"/>
    <n v="340000"/>
    <s v="Promo 4.4"/>
    <x v="1"/>
    <s v="TK"/>
    <x v="2"/>
    <x v="332"/>
  </r>
  <r>
    <n v="957"/>
    <s v="0957"/>
    <s v="ORD-BL-0957-26/12/24"/>
    <s v="[{item_code: SW001, quantity: 5, rating: 4}, {item_code: SW001, quantity: 1, rating: 2}]"/>
    <s v="SW001"/>
    <x v="8"/>
    <s v="Sepatu Wanita"/>
    <s v="5"/>
    <s v="4"/>
    <n v="150000"/>
    <n v="70000"/>
    <s v="SW001"/>
    <s v="Flat Shoes"/>
    <s v="Sepatu Wanita"/>
    <s v="1"/>
    <s v="2"/>
    <n v="150000"/>
    <n v="70000"/>
    <s v="-"/>
    <s v="-"/>
    <s v="-"/>
    <n v="0"/>
    <s v="-"/>
    <n v="0"/>
    <n v="0"/>
    <n v="6"/>
    <n v="900000"/>
    <n v="420000"/>
    <s v="BUKALEBAR"/>
    <n v="0.15"/>
    <n v="135000"/>
    <n v="765000"/>
    <n v="480000"/>
    <n v="345000"/>
    <s v="Promo Lebaran"/>
    <x v="2"/>
    <s v="BL"/>
    <x v="3"/>
    <x v="333"/>
  </r>
  <r>
    <n v="76"/>
    <s v="0076"/>
    <s v="ORD-SP-0076-27/12/24"/>
    <s v="[{item_code: PW002, quantity: 3, rating: 1}]"/>
    <s v="PW002"/>
    <x v="4"/>
    <s v="Pakaian Wanita"/>
    <s v="3"/>
    <s v="1"/>
    <n v="125000"/>
    <n v="50000"/>
    <s v="-"/>
    <s v="-"/>
    <s v="-"/>
    <n v="0"/>
    <s v="-"/>
    <n v="0"/>
    <n v="0"/>
    <s v="-"/>
    <s v="-"/>
    <s v="-"/>
    <n v="0"/>
    <s v="-"/>
    <n v="0"/>
    <n v="0"/>
    <n v="3"/>
    <n v="375000"/>
    <n v="150000"/>
    <s v="DISC20"/>
    <n v="0.2"/>
    <n v="75000"/>
    <n v="300000"/>
    <n v="225000"/>
    <n v="150000"/>
    <s v="Promo Lebaran"/>
    <x v="0"/>
    <s v="SP"/>
    <x v="1"/>
    <x v="334"/>
  </r>
  <r>
    <n v="176"/>
    <s v="0176"/>
    <s v="ORD-BL-0176-27/12/24"/>
    <s v="[{item_code: PU001, quantity: 1, rating: 3}, {item_code: PW003, quantity: 1, rating: 4}]"/>
    <s v="PU001"/>
    <x v="7"/>
    <s v="Pakaian Unisex"/>
    <s v="1"/>
    <s v="3"/>
    <n v="160000"/>
    <n v="60000"/>
    <s v="PW003"/>
    <s v="Kaftan"/>
    <s v="Pakaian Wanita"/>
    <s v="1"/>
    <s v="4"/>
    <n v="200000"/>
    <n v="100000"/>
    <s v="-"/>
    <s v="-"/>
    <s v="-"/>
    <n v="0"/>
    <s v="-"/>
    <n v="0"/>
    <n v="0"/>
    <n v="2"/>
    <n v="360000"/>
    <n v="160000"/>
    <s v="BUKALEBAR"/>
    <n v="0.15"/>
    <n v="54000"/>
    <n v="306000"/>
    <n v="200000"/>
    <n v="146000"/>
    <s v="Promo Lebaran"/>
    <x v="2"/>
    <s v="BL"/>
    <x v="2"/>
    <x v="334"/>
  </r>
  <r>
    <n v="87"/>
    <s v="0087"/>
    <s v="ORD-BL-0087-28/12/24"/>
    <s v="[{item_code: PP002, quantity: 5, rating: 2}, {item_code: SP001, quantity: 1, rating: 4}, {item_code: PW002, quantity: 1, rating: 4}]"/>
    <s v="PP002"/>
    <x v="5"/>
    <s v="Pakaian Pria"/>
    <s v="5"/>
    <s v="2"/>
    <n v="60000"/>
    <n v="25000"/>
    <s v="SP001"/>
    <s v="Sneakers"/>
    <s v="Sepatu Pria"/>
    <s v="1"/>
    <s v="4"/>
    <n v="300000"/>
    <n v="100000"/>
    <s v="PW002"/>
    <s v="Blouse"/>
    <s v="Pakaian Wanita"/>
    <s v="1"/>
    <s v="4"/>
    <n v="125000"/>
    <n v="50000"/>
    <n v="7"/>
    <n v="725000"/>
    <n v="275000"/>
    <s v="BUKALEBAR"/>
    <n v="0.15"/>
    <n v="108750"/>
    <n v="616250"/>
    <n v="450000"/>
    <n v="341250"/>
    <s v="Promo Lebaran"/>
    <x v="2"/>
    <s v="BL"/>
    <x v="1"/>
    <x v="335"/>
  </r>
  <r>
    <n v="590"/>
    <s v="0590"/>
    <s v="ORD-SP-0590-28/12/24"/>
    <s v="[{item_code: PP002, quantity: 1, rating: 4}, {item_code: SP001, quantity: 2, rating: 5}, {item_code: SP002, quantity: 3, rating: 5}]"/>
    <s v="PP002"/>
    <x v="5"/>
    <s v="Pakaian Pria"/>
    <s v="1"/>
    <s v="4"/>
    <n v="60000"/>
    <n v="25000"/>
    <s v="SP001"/>
    <s v="Sneakers"/>
    <s v="Sepatu Pria"/>
    <s v="2"/>
    <s v="5"/>
    <n v="300000"/>
    <n v="100000"/>
    <s v="SP002"/>
    <s v="Sandal Slip On"/>
    <s v="Sepatu Pria"/>
    <s v="3"/>
    <s v="5"/>
    <n v="120000"/>
    <n v="60000"/>
    <n v="6"/>
    <n v="1020000"/>
    <n v="405000"/>
    <s v="DISC20"/>
    <n v="0.2"/>
    <n v="204000"/>
    <n v="816000"/>
    <n v="615000"/>
    <n v="411000"/>
    <s v="Promo Lebaran"/>
    <x v="0"/>
    <s v="SP"/>
    <x v="4"/>
    <x v="335"/>
  </r>
  <r>
    <n v="905"/>
    <s v="0905"/>
    <s v="ORD-SP-0905-28/12/24"/>
    <s v="[{item_code: SP001, quantity: 3, rating: 4}, {item_code: PP003, quantity: 1, rating: 2}, {item_code: PP003, quantity: 2, rating: 2}]"/>
    <s v="SP001"/>
    <x v="9"/>
    <s v="Sepatu Pria"/>
    <s v="3"/>
    <s v="4"/>
    <n v="300000"/>
    <n v="100000"/>
    <s v="PP003"/>
    <s v="Jaket Jeans"/>
    <s v="Pakaian Pria"/>
    <s v="1"/>
    <s v="2"/>
    <n v="150000"/>
    <n v="70000"/>
    <s v="PP003"/>
    <s v="Jaket Jeans"/>
    <s v="Pakaian Pria"/>
    <s v="2"/>
    <s v="2"/>
    <n v="150000"/>
    <n v="70000"/>
    <n v="6"/>
    <n v="1350000"/>
    <n v="510000"/>
    <s v="DISC10"/>
    <n v="0.1"/>
    <n v="135000"/>
    <n v="1215000"/>
    <n v="840000"/>
    <n v="705000"/>
    <s v="Promo 4.4"/>
    <x v="0"/>
    <s v="SP"/>
    <x v="4"/>
    <x v="335"/>
  </r>
  <r>
    <n v="921"/>
    <s v="0921"/>
    <s v="ORD-SP-0921-28/12/24"/>
    <s v="[{item_code: PP002, quantity: 1, rating: 1}, {item_code: SP002, quantity: 1, rating: 3}]"/>
    <s v="PP002"/>
    <x v="5"/>
    <s v="Pakaian Pria"/>
    <s v="1"/>
    <s v="1"/>
    <n v="60000"/>
    <n v="25000"/>
    <s v="SP002"/>
    <s v="Sandal Slip On"/>
    <s v="Sepatu Pria"/>
    <s v="1"/>
    <s v="3"/>
    <n v="120000"/>
    <n v="60000"/>
    <s v="-"/>
    <s v="-"/>
    <s v="-"/>
    <n v="0"/>
    <s v="-"/>
    <n v="0"/>
    <n v="0"/>
    <n v="2"/>
    <n v="180000"/>
    <n v="85000"/>
    <s v="DISC10"/>
    <n v="0.1"/>
    <n v="18000"/>
    <n v="162000"/>
    <n v="95000"/>
    <n v="77000"/>
    <s v="Promo 4.4"/>
    <x v="0"/>
    <s v="SP"/>
    <x v="4"/>
    <x v="335"/>
  </r>
  <r>
    <n v="598"/>
    <s v="0598"/>
    <s v="ORD-BB-0598-29/12/24"/>
    <s v="[{item_code: PP003, quantity: 4, rating: 3}]"/>
    <s v="PP003"/>
    <x v="6"/>
    <s v="Pakaian Pria"/>
    <s v="4"/>
    <s v="3"/>
    <n v="150000"/>
    <n v="70000"/>
    <s v="-"/>
    <s v="-"/>
    <s v="-"/>
    <n v="0"/>
    <s v="-"/>
    <n v="0"/>
    <n v="0"/>
    <s v="-"/>
    <s v="-"/>
    <s v="-"/>
    <n v="0"/>
    <s v="-"/>
    <n v="0"/>
    <n v="0"/>
    <n v="4"/>
    <n v="600000"/>
    <n v="280000"/>
    <s v="BELI44"/>
    <n v="0.15"/>
    <n v="90000"/>
    <n v="510000"/>
    <n v="320000"/>
    <n v="230000"/>
    <s v="Promo 4.4"/>
    <x v="3"/>
    <s v="BB"/>
    <x v="3"/>
    <x v="336"/>
  </r>
  <r>
    <n v="275"/>
    <s v="0275"/>
    <s v="ORD-SP-0275-30/12/24"/>
    <s v="[{item_code: SW001, quantity: 1, rating: 1}]"/>
    <s v="SW001"/>
    <x v="8"/>
    <s v="Sepatu Wanita"/>
    <s v="1"/>
    <s v="1"/>
    <n v="150000"/>
    <n v="70000"/>
    <s v="-"/>
    <s v="-"/>
    <s v="-"/>
    <n v="0"/>
    <s v="-"/>
    <n v="0"/>
    <n v="0"/>
    <s v="-"/>
    <s v="-"/>
    <s v="-"/>
    <n v="0"/>
    <s v="-"/>
    <n v="0"/>
    <n v="0"/>
    <n v="1"/>
    <n v="150000"/>
    <n v="70000"/>
    <s v="DISC15"/>
    <n v="0.15"/>
    <n v="22500"/>
    <n v="127500"/>
    <n v="80000"/>
    <n v="57500"/>
    <s v="Promo 4.4"/>
    <x v="0"/>
    <s v="SP"/>
    <x v="2"/>
    <x v="337"/>
  </r>
  <r>
    <n v="327"/>
    <s v="0327"/>
    <s v="ORD-TK-0327-30/12/24"/>
    <s v="[{item_code: PP002, quantity: 2, rating: 5}, {item_code: PW001, quantity: 2, rating: 3}, {item_code: PW003, quantity: 1, rating: 5}]"/>
    <s v="PP002"/>
    <x v="5"/>
    <s v="Pakaian Pria"/>
    <s v="2"/>
    <s v="5"/>
    <n v="60000"/>
    <n v="25000"/>
    <s v="PW001"/>
    <s v="Dress"/>
    <s v="Pakaian Wanita"/>
    <s v="2"/>
    <s v="3"/>
    <n v="150000"/>
    <n v="55000"/>
    <s v="PW003"/>
    <s v="Kaftan"/>
    <s v="Pakaian Wanita"/>
    <s v="1"/>
    <s v="5"/>
    <n v="200000"/>
    <n v="100000"/>
    <n v="5"/>
    <n v="620000"/>
    <n v="260000"/>
    <s v="DISCAPRIL"/>
    <n v="0.1"/>
    <n v="62000"/>
    <n v="558000"/>
    <n v="360000"/>
    <n v="298000"/>
    <s v="Promo 4.4"/>
    <x v="1"/>
    <s v="TK"/>
    <x v="4"/>
    <x v="337"/>
  </r>
  <r>
    <n v="505"/>
    <s v="0505"/>
    <s v="ORD-TK-0505-30/12/24"/>
    <s v="[{item_code: PW002, quantity: 1, rating: 3}, {item_code: PU001, quantity: 1, rating: 5}]"/>
    <s v="PW002"/>
    <x v="4"/>
    <s v="Pakaian Wanita"/>
    <s v="1"/>
    <s v="3"/>
    <n v="125000"/>
    <n v="50000"/>
    <s v="PU001"/>
    <s v="Jaket Hoodie"/>
    <s v="Pakaian Unisex"/>
    <s v="1"/>
    <s v="5"/>
    <n v="160000"/>
    <n v="60000"/>
    <s v="-"/>
    <s v="-"/>
    <s v="-"/>
    <n v="0"/>
    <s v="-"/>
    <n v="0"/>
    <n v="0"/>
    <n v="2"/>
    <n v="285000"/>
    <n v="110000"/>
    <s v="LEBAR10"/>
    <n v="0.1"/>
    <n v="28500"/>
    <n v="256500"/>
    <n v="175000"/>
    <n v="146500"/>
    <s v="Promo Lebaran"/>
    <x v="1"/>
    <s v="TK"/>
    <x v="1"/>
    <x v="337"/>
  </r>
  <r>
    <n v="752"/>
    <s v="0752"/>
    <s v="ORD-SP-0752-30/12/24"/>
    <s v="[{item_code: PW003, quantity: 3, rating: 4}, {item_code: SP002, quantity: 1, rating: 3}]"/>
    <s v="PW003"/>
    <x v="3"/>
    <s v="Pakaian Wanita"/>
    <s v="3"/>
    <s v="4"/>
    <n v="200000"/>
    <n v="100000"/>
    <s v="SP002"/>
    <s v="Sandal Slip On"/>
    <s v="Sepatu Pria"/>
    <s v="1"/>
    <s v="3"/>
    <n v="120000"/>
    <n v="60000"/>
    <s v="-"/>
    <s v="-"/>
    <s v="-"/>
    <n v="0"/>
    <s v="-"/>
    <n v="0"/>
    <n v="0"/>
    <n v="4"/>
    <n v="720000"/>
    <n v="360000"/>
    <s v="DISC20"/>
    <n v="0.2"/>
    <n v="144000"/>
    <n v="576000"/>
    <n v="360000"/>
    <n v="216000"/>
    <s v="Promo Lebaran"/>
    <x v="0"/>
    <s v="SP"/>
    <x v="2"/>
    <x v="337"/>
  </r>
  <r>
    <n v="872"/>
    <s v="0872"/>
    <s v="ORD-TK-0872-30/12/24"/>
    <s v="[{item_code: PW002, quantity: 7, rating: 5}]"/>
    <s v="PW002"/>
    <x v="4"/>
    <s v="Pakaian Wanita"/>
    <s v="7"/>
    <s v="5"/>
    <n v="125000"/>
    <n v="50000"/>
    <s v="-"/>
    <s v="-"/>
    <s v="-"/>
    <n v="0"/>
    <s v="-"/>
    <n v="0"/>
    <n v="0"/>
    <s v="-"/>
    <s v="-"/>
    <s v="-"/>
    <n v="0"/>
    <s v="-"/>
    <n v="0"/>
    <n v="0"/>
    <n v="7"/>
    <n v="875000"/>
    <n v="350000"/>
    <s v="LEBAR10"/>
    <n v="0.1"/>
    <n v="87500"/>
    <n v="787500"/>
    <n v="525000"/>
    <n v="437500"/>
    <s v="Promo Lebaran"/>
    <x v="1"/>
    <s v="TK"/>
    <x v="3"/>
    <x v="337"/>
  </r>
  <r>
    <n v="914"/>
    <s v="0914"/>
    <s v="ORD-BB-0914-30/12/24"/>
    <s v="[{item_code: PW001, quantity: 4, rating: 1}]"/>
    <s v="PW001"/>
    <x v="2"/>
    <s v="Pakaian Wanita"/>
    <s v="4"/>
    <s v="1"/>
    <n v="150000"/>
    <n v="55000"/>
    <s v="-"/>
    <s v="-"/>
    <s v="-"/>
    <n v="0"/>
    <s v="-"/>
    <n v="0"/>
    <n v="0"/>
    <s v="-"/>
    <s v="-"/>
    <s v="-"/>
    <n v="0"/>
    <s v="-"/>
    <n v="0"/>
    <n v="0"/>
    <n v="4"/>
    <n v="600000"/>
    <n v="220000"/>
    <s v="BELI44"/>
    <n v="0.15"/>
    <n v="90000"/>
    <n v="510000"/>
    <n v="380000"/>
    <n v="290000"/>
    <s v="Promo 4.4"/>
    <x v="3"/>
    <s v="BB"/>
    <x v="3"/>
    <x v="337"/>
  </r>
  <r>
    <n v="945"/>
    <s v="0945"/>
    <s v="ORD-TK-0945-30/12/24"/>
    <s v="[{item_code: PW001, quantity: 6, rating: 5}, {item_code: PP002, quantity: 1, rating: 3}]"/>
    <s v="PW001"/>
    <x v="2"/>
    <s v="Pakaian Wanita"/>
    <s v="6"/>
    <s v="5"/>
    <n v="150000"/>
    <n v="55000"/>
    <s v="PP002"/>
    <s v="Celana Pendek"/>
    <s v="Pakaian Pria"/>
    <s v="1"/>
    <s v="3"/>
    <n v="60000"/>
    <n v="25000"/>
    <s v="-"/>
    <s v="-"/>
    <s v="-"/>
    <n v="0"/>
    <s v="-"/>
    <n v="0"/>
    <n v="0"/>
    <n v="7"/>
    <n v="960000"/>
    <n v="355000"/>
    <s v="DISCAPRIL"/>
    <n v="0.1"/>
    <n v="96000"/>
    <n v="864000"/>
    <n v="605000"/>
    <n v="509000"/>
    <s v="Promo 4.4"/>
    <x v="1"/>
    <s v="TK"/>
    <x v="0"/>
    <x v="337"/>
  </r>
  <r>
    <n v="995"/>
    <s v="0995"/>
    <s v="ORD-SP-0995-30/12/24"/>
    <s v="[{item_code: SW001, quantity: 5, rating: 5}, {item_code: PP002, quantity: 1, rating: 3}]"/>
    <s v="SW001"/>
    <x v="8"/>
    <s v="Sepatu Wanita"/>
    <s v="5"/>
    <s v="5"/>
    <n v="150000"/>
    <n v="70000"/>
    <s v="PP002"/>
    <s v="Celana Pendek"/>
    <s v="Pakaian Pria"/>
    <s v="1"/>
    <s v="3"/>
    <n v="60000"/>
    <n v="25000"/>
    <s v="-"/>
    <s v="-"/>
    <s v="-"/>
    <n v="0"/>
    <s v="-"/>
    <n v="0"/>
    <n v="0"/>
    <n v="6"/>
    <n v="810000"/>
    <n v="375000"/>
    <s v="DISC10"/>
    <n v="0.1"/>
    <n v="81000"/>
    <n v="729000"/>
    <n v="435000"/>
    <n v="354000"/>
    <s v="Promo 4.4"/>
    <x v="0"/>
    <s v="SP"/>
    <x v="3"/>
    <x v="337"/>
  </r>
  <r>
    <n v="196"/>
    <s v="0196"/>
    <s v="ORD-BB-0196-31/12/24"/>
    <s v="[{item_code: SP001, quantity: 6, rating: 4}, {item_code: PP001, quantity: 1, rating: 4}]"/>
    <s v="SP001"/>
    <x v="9"/>
    <s v="Sepatu Pria"/>
    <s v="6"/>
    <s v="4"/>
    <n v="300000"/>
    <n v="100000"/>
    <s v="PP001"/>
    <s v="Kaos Polo"/>
    <s v="Pakaian Pria"/>
    <s v="1"/>
    <s v="4"/>
    <n v="80000"/>
    <n v="30000"/>
    <s v="-"/>
    <s v="-"/>
    <s v="-"/>
    <n v="0"/>
    <s v="-"/>
    <n v="0"/>
    <n v="0"/>
    <n v="7"/>
    <n v="1880000"/>
    <n v="630000"/>
    <s v="BELI44"/>
    <n v="0.15"/>
    <n v="282000"/>
    <n v="1598000"/>
    <n v="1250000"/>
    <n v="968000"/>
    <s v="Promo 4.4"/>
    <x v="3"/>
    <s v="BB"/>
    <x v="3"/>
    <x v="338"/>
  </r>
  <r>
    <n v="736"/>
    <s v="0736"/>
    <s v="ORD-TK-0736-31/12/24"/>
    <s v="[{item_code: PW001, quantity: 1, rating: 3}]"/>
    <s v="PW001"/>
    <x v="2"/>
    <s v="Pakaian Wanita"/>
    <s v="1"/>
    <s v="3"/>
    <n v="150000"/>
    <n v="55000"/>
    <s v="-"/>
    <s v="-"/>
    <s v="-"/>
    <n v="0"/>
    <s v="-"/>
    <n v="0"/>
    <n v="0"/>
    <s v="-"/>
    <s v="-"/>
    <s v="-"/>
    <n v="0"/>
    <s v="-"/>
    <n v="0"/>
    <n v="0"/>
    <n v="1"/>
    <n v="150000"/>
    <n v="55000"/>
    <s v="-"/>
    <n v="0"/>
    <n v="0"/>
    <n v="150000"/>
    <n v="95000"/>
    <n v="95000"/>
    <s v="-"/>
    <x v="1"/>
    <s v="TK"/>
    <x v="0"/>
    <x v="338"/>
  </r>
  <r>
    <n v="793"/>
    <s v="0793"/>
    <s v="ORD-BL-0793-31/12/24"/>
    <s v="[{item_code: SW001, quantity: 2, rating: 2}]"/>
    <s v="SW001"/>
    <x v="8"/>
    <s v="Sepatu Wanita"/>
    <s v="2"/>
    <s v="2"/>
    <n v="150000"/>
    <n v="70000"/>
    <s v="-"/>
    <s v="-"/>
    <s v="-"/>
    <n v="0"/>
    <s v="-"/>
    <n v="0"/>
    <n v="0"/>
    <s v="-"/>
    <s v="-"/>
    <s v="-"/>
    <n v="0"/>
    <s v="-"/>
    <n v="0"/>
    <n v="0"/>
    <n v="2"/>
    <n v="300000"/>
    <n v="140000"/>
    <s v="BUKALEBAR"/>
    <n v="0.15"/>
    <n v="45000"/>
    <n v="255000"/>
    <n v="160000"/>
    <n v="115000"/>
    <s v="Promo Lebaran"/>
    <x v="2"/>
    <s v="BL"/>
    <x v="2"/>
    <x v="3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596191-DE28-486F-A3B2-D8C3F849FECB}" name="penjualan terbanya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Penjulan terbanyak">
  <location ref="H127:I129" firstHeaderRow="1" firstDataRow="1" firstDataCol="1"/>
  <pivotFields count="44">
    <pivotField showAll="0"/>
    <pivotField showAll="0"/>
    <pivotField showAll="0"/>
    <pivotField showAll="0"/>
    <pivotField showAll="0"/>
    <pivotField axis="axisRow" showAll="0" measureFilter="1">
      <items count="11">
        <item x="4"/>
        <item x="5"/>
        <item x="2"/>
        <item x="8"/>
        <item x="7"/>
        <item x="6"/>
        <item x="3"/>
        <item x="0"/>
        <item x="1"/>
        <item x="9"/>
        <item t="default"/>
      </items>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dataField="1" showAll="0" sortType="ascending"/>
    <pivotField numFmtId="165" showAll="0"/>
    <pivotField numFmtId="165" showAll="0"/>
    <pivotField showAll="0"/>
    <pivotField numFmtId="9" showAll="0"/>
    <pivotField numFmtId="167" showAll="0"/>
    <pivotField numFmtId="167" showAll="0"/>
    <pivotField numFmtId="167" showAll="0"/>
    <pivotField numFmtId="167" showAll="0"/>
    <pivotField showAll="0"/>
    <pivotField showAll="0">
      <items count="5">
        <item x="3"/>
        <item x="2"/>
        <item x="0"/>
        <item x="1"/>
        <item t="default"/>
      </items>
    </pivotField>
    <pivotField showAll="0"/>
    <pivotField showAll="0">
      <items count="8">
        <item x="0"/>
        <item m="1" x="6"/>
        <item x="3"/>
        <item x="5"/>
        <item x="1"/>
        <item x="2"/>
        <item x="4"/>
        <item t="default"/>
      </items>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2">
    <i>
      <x v="5"/>
    </i>
    <i t="grand">
      <x/>
    </i>
  </rowItems>
  <colItems count="1">
    <i/>
  </colItems>
  <dataFields count="1">
    <dataField name="Sum of Total Qty" fld="25" baseField="0" baseItem="0"/>
  </dataFields>
  <formats count="10">
    <format dxfId="9">
      <pivotArea type="all" dataOnly="0" outline="0" fieldPosition="0"/>
    </format>
    <format dxfId="8">
      <pivotArea outline="0" collapsedLevelsAreSubtotals="1" fieldPosition="0"/>
    </format>
    <format dxfId="7">
      <pivotArea field="5" type="button" dataOnly="0" labelOnly="1" outline="0" axis="axisRow" fieldPosition="0"/>
    </format>
    <format dxfId="6">
      <pivotArea dataOnly="0" labelOnly="1" grandRow="1" outline="0"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5" type="button" dataOnly="0" labelOnly="1" outline="0" axis="axisRow" fieldPosition="0"/>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filters count="1">
    <filter fld="5"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EE8353-96E1-4ADD-B66B-A63C540992E2}" name="Rasio modal kerj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123:C128" firstHeaderRow="1" firstDataRow="1" firstDataCol="1"/>
  <pivotFields count="44">
    <pivotField showAll="0"/>
    <pivotField showAll="0"/>
    <pivotField showAll="0"/>
    <pivotField showAll="0"/>
    <pivotField showAll="0"/>
    <pivotField showAll="0">
      <items count="11">
        <item x="4"/>
        <item x="5"/>
        <item x="2"/>
        <item x="8"/>
        <item x="7"/>
        <item x="6"/>
        <item x="3"/>
        <item x="0"/>
        <item x="1"/>
        <item x="9"/>
        <item t="default"/>
      </items>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showAll="0"/>
    <pivotField numFmtId="165" showAll="0"/>
    <pivotField numFmtId="165" showAll="0"/>
    <pivotField showAll="0"/>
    <pivotField numFmtId="9" showAll="0"/>
    <pivotField numFmtId="167" showAll="0"/>
    <pivotField numFmtId="167" showAll="0"/>
    <pivotField numFmtId="167" showAll="0"/>
    <pivotField numFmtId="167" showAll="0"/>
    <pivotField showAll="0"/>
    <pivotField showAll="0">
      <items count="5">
        <item x="3"/>
        <item x="2"/>
        <item x="0"/>
        <item x="1"/>
        <item t="default"/>
      </items>
    </pivotField>
    <pivotField showAll="0"/>
    <pivotField showAll="0">
      <items count="8">
        <item x="0"/>
        <item m="1" x="6"/>
        <item x="3"/>
        <item x="5"/>
        <item x="1"/>
        <item x="2"/>
        <item x="4"/>
        <item t="default"/>
      </items>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axis="axisRow" showAll="0">
      <items count="7">
        <item x="1"/>
        <item x="2"/>
        <item x="3"/>
        <item x="4"/>
        <item x="0"/>
        <item x="5"/>
        <item t="default"/>
      </items>
    </pivotField>
    <pivotField dragToRow="0" dragToCol="0" dragToPage="0" showAll="0" defaultSubtotal="0"/>
    <pivotField dragToRow="0" dragToCol="0" dragToPage="0" showAll="0" defaultSubtotal="0"/>
    <pivotField dataField="1" dragToRow="0" dragToCol="0" dragToPage="0" showAll="0" defaultSubtotal="0"/>
  </pivotFields>
  <rowFields count="1">
    <field x="40"/>
  </rowFields>
  <rowItems count="5">
    <i>
      <x/>
    </i>
    <i>
      <x v="1"/>
    </i>
    <i>
      <x v="2"/>
    </i>
    <i>
      <x v="3"/>
    </i>
    <i t="grand">
      <x/>
    </i>
  </rowItems>
  <colItems count="1">
    <i/>
  </colItems>
  <dataFields count="1">
    <dataField name="Sum of Return on equity" fld="43" baseField="0" baseItem="0"/>
  </dataFields>
  <formats count="17">
    <format dxfId="26">
      <pivotArea type="all" dataOnly="0" outline="0" fieldPosition="0"/>
    </format>
    <format dxfId="25">
      <pivotArea outline="0" collapsedLevelsAreSubtotals="1" fieldPosition="0"/>
    </format>
    <format dxfId="24">
      <pivotArea field="40" type="button" dataOnly="0" labelOnly="1" outline="0" axis="axisRow" fieldPosition="0"/>
    </format>
    <format dxfId="23">
      <pivotArea dataOnly="0" labelOnly="1" grandRow="1" outline="0"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40" type="button" dataOnly="0" labelOnly="1" outline="0" axis="axisRow" fieldPosition="0"/>
    </format>
    <format dxfId="18">
      <pivotArea dataOnly="0" labelOnly="1" fieldPosition="0">
        <references count="1">
          <reference field="40" count="4">
            <x v="0"/>
            <x v="1"/>
            <x v="2"/>
            <x v="3"/>
          </reference>
        </references>
      </pivotArea>
    </format>
    <format dxfId="17">
      <pivotArea dataOnly="0" labelOnly="1" grandRow="1" outline="0"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field="40" type="button" dataOnly="0" labelOnly="1" outline="0" axis="axisRow" fieldPosition="0"/>
    </format>
    <format dxfId="12">
      <pivotArea dataOnly="0" labelOnly="1" fieldPosition="0">
        <references count="1">
          <reference field="40" count="1">
            <x v="0"/>
          </reference>
        </references>
      </pivotArea>
    </format>
    <format dxfId="11">
      <pivotArea dataOnly="0" labelOnly="1" grandRow="1" outline="0" fieldPosition="0"/>
    </format>
    <format dxfId="10">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F4FA0A-0A8D-40BB-80D1-41314299C41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J8" firstHeaderRow="0" firstDataRow="1" firstDataCol="1"/>
  <pivotFields count="44">
    <pivotField showAll="0"/>
    <pivotField showAll="0"/>
    <pivotField showAll="0"/>
    <pivotField showAll="0"/>
    <pivotField showAll="0"/>
    <pivotField showAll="0">
      <items count="11">
        <item x="4"/>
        <item x="5"/>
        <item x="2"/>
        <item x="8"/>
        <item x="7"/>
        <item x="6"/>
        <item x="3"/>
        <item x="0"/>
        <item x="1"/>
        <item x="9"/>
        <item t="default"/>
      </items>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dataField="1" showAll="0"/>
    <pivotField dataField="1" numFmtId="165" showAll="0"/>
    <pivotField numFmtId="165" showAll="0"/>
    <pivotField showAll="0"/>
    <pivotField numFmtId="9" showAll="0"/>
    <pivotField numFmtId="167" showAll="0"/>
    <pivotField numFmtId="167" showAll="0"/>
    <pivotField numFmtId="167" showAll="0"/>
    <pivotField numFmtId="167" showAll="0"/>
    <pivotField showAll="0"/>
    <pivotField showAll="0">
      <items count="5">
        <item x="3"/>
        <item x="2"/>
        <item x="0"/>
        <item x="1"/>
        <item t="default"/>
      </items>
    </pivotField>
    <pivotField showAll="0"/>
    <pivotField axis="axisRow" showAll="0">
      <items count="8">
        <item x="0"/>
        <item m="1" x="6"/>
        <item x="3"/>
        <item x="5"/>
        <item x="1"/>
        <item x="2"/>
        <item x="4"/>
        <item t="default"/>
      </items>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37"/>
  </rowFields>
  <rowItems count="7">
    <i>
      <x/>
    </i>
    <i>
      <x v="2"/>
    </i>
    <i>
      <x v="3"/>
    </i>
    <i>
      <x v="4"/>
    </i>
    <i>
      <x v="5"/>
    </i>
    <i>
      <x v="6"/>
    </i>
    <i t="grand">
      <x/>
    </i>
  </rowItems>
  <colFields count="1">
    <field x="-2"/>
  </colFields>
  <colItems count="2">
    <i>
      <x/>
    </i>
    <i i="1">
      <x v="1"/>
    </i>
  </colItems>
  <dataFields count="2">
    <dataField name="Sum of Total Transaksi" fld="26" baseField="0" baseItem="0" numFmtId="165"/>
    <dataField name="Sum of Total Qty" fld="25" baseField="0" baseItem="0"/>
  </dataFields>
  <formats count="12">
    <format dxfId="38">
      <pivotArea type="all" dataOnly="0" outline="0" fieldPosition="0"/>
    </format>
    <format dxfId="37">
      <pivotArea outline="0" collapsedLevelsAreSubtotals="1" fieldPosition="0"/>
    </format>
    <format dxfId="36">
      <pivotArea field="37" type="button" dataOnly="0" labelOnly="1" outline="0" axis="axisRow" fieldPosition="0"/>
    </format>
    <format dxfId="35">
      <pivotArea dataOnly="0" labelOnly="1" fieldPosition="0">
        <references count="1">
          <reference field="37" count="0"/>
        </references>
      </pivotArea>
    </format>
    <format dxfId="34">
      <pivotArea dataOnly="0" labelOnly="1" grandRow="1" outline="0"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37" type="button" dataOnly="0" labelOnly="1" outline="0" axis="axisRow" fieldPosition="0"/>
    </format>
    <format dxfId="29">
      <pivotArea dataOnly="0" labelOnly="1" fieldPosition="0">
        <references count="1">
          <reference field="37" count="0"/>
        </references>
      </pivotArea>
    </format>
    <format dxfId="28">
      <pivotArea dataOnly="0" labelOnly="1" grandRow="1" outline="0" fieldPosition="0"/>
    </format>
    <format dxfId="27">
      <pivotArea dataOnly="0" labelOnly="1" outline="0" axis="axisValues" fieldPosition="0"/>
    </format>
  </format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2C819F-B12A-4CF1-937B-0B1A7AD08C13}" name="wilayah tertingg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131:C138" firstHeaderRow="1" firstDataRow="1" firstDataCol="1"/>
  <pivotFields count="44">
    <pivotField showAll="0"/>
    <pivotField showAll="0"/>
    <pivotField showAll="0"/>
    <pivotField showAll="0"/>
    <pivotField showAll="0"/>
    <pivotField showAll="0">
      <items count="11">
        <item x="4"/>
        <item x="5"/>
        <item x="2"/>
        <item x="8"/>
        <item x="7"/>
        <item x="6"/>
        <item x="3"/>
        <item x="0"/>
        <item x="1"/>
        <item x="9"/>
        <item t="default"/>
      </items>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dataField="1" showAll="0"/>
    <pivotField numFmtId="165" showAll="0"/>
    <pivotField numFmtId="165" showAll="0"/>
    <pivotField showAll="0"/>
    <pivotField numFmtId="9" showAll="0"/>
    <pivotField numFmtId="167" showAll="0"/>
    <pivotField numFmtId="167" showAll="0"/>
    <pivotField numFmtId="167" showAll="0"/>
    <pivotField numFmtId="167" showAll="0"/>
    <pivotField showAll="0"/>
    <pivotField showAll="0">
      <items count="5">
        <item x="3"/>
        <item x="2"/>
        <item x="0"/>
        <item x="1"/>
        <item t="default"/>
      </items>
    </pivotField>
    <pivotField showAll="0"/>
    <pivotField axis="axisRow" showAll="0">
      <items count="8">
        <item x="0"/>
        <item m="1" x="6"/>
        <item x="1"/>
        <item x="3"/>
        <item x="5"/>
        <item x="2"/>
        <item x="4"/>
        <item t="default"/>
      </items>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37"/>
  </rowFields>
  <rowItems count="7">
    <i>
      <x/>
    </i>
    <i>
      <x v="2"/>
    </i>
    <i>
      <x v="3"/>
    </i>
    <i>
      <x v="4"/>
    </i>
    <i>
      <x v="5"/>
    </i>
    <i>
      <x v="6"/>
    </i>
    <i t="grand">
      <x/>
    </i>
  </rowItems>
  <colItems count="1">
    <i/>
  </colItems>
  <dataFields count="1">
    <dataField name="Sum of Total Qty" fld="25" baseField="0" baseItem="0"/>
  </dataFields>
  <formats count="17">
    <format dxfId="55">
      <pivotArea type="all" dataOnly="0" outline="0" fieldPosition="0"/>
    </format>
    <format dxfId="54">
      <pivotArea outline="0" collapsedLevelsAreSubtotals="1" fieldPosition="0"/>
    </format>
    <format dxfId="53">
      <pivotArea field="40" type="button" dataOnly="0" labelOnly="1" outline="0"/>
    </format>
    <format dxfId="52">
      <pivotArea dataOnly="0" labelOnly="1" grandRow="1" outline="0"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40" type="button" dataOnly="0" labelOnly="1" outline="0"/>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40" type="button" dataOnly="0" labelOnly="1" outline="0"/>
    </format>
    <format dxfId="42">
      <pivotArea dataOnly="0" labelOnly="1" grandRow="1" outline="0" fieldPosition="0"/>
    </format>
    <format dxfId="41">
      <pivotArea dataOnly="0" labelOnly="1" outline="0" axis="axisValues" fieldPosition="0"/>
    </format>
    <format dxfId="40">
      <pivotArea collapsedLevelsAreSubtotals="1" fieldPosition="0">
        <references count="1">
          <reference field="37" count="0"/>
        </references>
      </pivotArea>
    </format>
    <format dxfId="39">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CE8A00-AB05-41EA-9E04-5DAFC16DFD48}" name="Transaksi Perbula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rowHeaderCaption="">
  <location ref="M9:O361" firstHeaderRow="0" firstDataRow="1" firstDataCol="1"/>
  <pivotFields count="44">
    <pivotField showAll="0"/>
    <pivotField showAll="0"/>
    <pivotField showAll="0"/>
    <pivotField showAll="0"/>
    <pivotField showAll="0"/>
    <pivotField showAll="0">
      <items count="11">
        <item x="4"/>
        <item x="5"/>
        <item x="2"/>
        <item x="8"/>
        <item x="7"/>
        <item x="6"/>
        <item x="3"/>
        <item x="0"/>
        <item x="1"/>
        <item x="9"/>
        <item t="default"/>
      </items>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dataField="1" showAll="0"/>
    <pivotField dataField="1" numFmtId="165" showAll="0"/>
    <pivotField numFmtId="165" showAll="0"/>
    <pivotField showAll="0"/>
    <pivotField numFmtId="9" showAll="0"/>
    <pivotField numFmtId="167" showAll="0"/>
    <pivotField numFmtId="167" showAll="0"/>
    <pivotField numFmtId="167" showAll="0"/>
    <pivotField numFmtId="167" showAll="0"/>
    <pivotField showAll="0"/>
    <pivotField showAll="0">
      <items count="5">
        <item x="3"/>
        <item x="2"/>
        <item x="0"/>
        <item x="1"/>
        <item t="default"/>
      </items>
    </pivotField>
    <pivotField showAll="0"/>
    <pivotField showAll="0">
      <items count="8">
        <item x="0"/>
        <item m="1" x="6"/>
        <item x="3"/>
        <item x="5"/>
        <item x="1"/>
        <item x="2"/>
        <item x="4"/>
        <item t="default"/>
      </items>
    </pivotField>
    <pivotField axis="axisRow"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axis="axisRow" showAll="0">
      <items count="15">
        <item x="0"/>
        <item x="1"/>
        <item x="2"/>
        <item x="3"/>
        <item x="4"/>
        <item x="5"/>
        <item x="6"/>
        <item x="7"/>
        <item x="8"/>
        <item x="9"/>
        <item x="10"/>
        <item x="11"/>
        <item x="12"/>
        <item x="13"/>
        <item t="default"/>
      </items>
    </pivotField>
    <pivotField showAll="0">
      <items count="7">
        <item sd="0" x="1"/>
        <item sd="0" x="2"/>
        <item sd="0" x="3"/>
        <item sd="0" x="4"/>
        <item x="0"/>
        <item x="5"/>
        <item t="default"/>
      </items>
    </pivotField>
    <pivotField dragToRow="0" dragToCol="0" dragToPage="0" showAll="0" defaultSubtotal="0"/>
    <pivotField dragToRow="0" dragToCol="0" dragToPage="0" showAll="0" defaultSubtotal="0"/>
    <pivotField dragToRow="0" dragToCol="0" dragToPage="0" showAll="0" defaultSubtotal="0"/>
  </pivotFields>
  <rowFields count="2">
    <field x="39"/>
    <field x="38"/>
  </rowFields>
  <rowItems count="352">
    <i>
      <x v="1"/>
    </i>
    <i r="1">
      <x v="275"/>
    </i>
    <i r="1">
      <x v="276"/>
    </i>
    <i r="1">
      <x v="277"/>
    </i>
    <i r="1">
      <x v="278"/>
    </i>
    <i r="1">
      <x v="279"/>
    </i>
    <i r="1">
      <x v="280"/>
    </i>
    <i r="1">
      <x v="282"/>
    </i>
    <i r="1">
      <x v="283"/>
    </i>
    <i r="1">
      <x v="284"/>
    </i>
    <i r="1">
      <x v="285"/>
    </i>
    <i r="1">
      <x v="286"/>
    </i>
    <i r="1">
      <x v="288"/>
    </i>
    <i r="1">
      <x v="289"/>
    </i>
    <i r="1">
      <x v="290"/>
    </i>
    <i r="1">
      <x v="291"/>
    </i>
    <i r="1">
      <x v="292"/>
    </i>
    <i r="1">
      <x v="293"/>
    </i>
    <i r="1">
      <x v="295"/>
    </i>
    <i r="1">
      <x v="296"/>
    </i>
    <i r="1">
      <x v="297"/>
    </i>
    <i r="1">
      <x v="298"/>
    </i>
    <i r="1">
      <x v="299"/>
    </i>
    <i r="1">
      <x v="300"/>
    </i>
    <i r="1">
      <x v="302"/>
    </i>
    <i r="1">
      <x v="303"/>
    </i>
    <i r="1">
      <x v="304"/>
    </i>
    <i r="1">
      <x v="305"/>
    </i>
    <i>
      <x v="2"/>
    </i>
    <i r="1">
      <x v="306"/>
    </i>
    <i r="1">
      <x v="307"/>
    </i>
    <i r="1">
      <x v="308"/>
    </i>
    <i r="1">
      <x v="309"/>
    </i>
    <i r="1">
      <x v="310"/>
    </i>
    <i r="1">
      <x v="311"/>
    </i>
    <i r="1">
      <x v="312"/>
    </i>
    <i r="1">
      <x v="313"/>
    </i>
    <i r="1">
      <x v="314"/>
    </i>
    <i r="1">
      <x v="315"/>
    </i>
    <i r="1">
      <x v="316"/>
    </i>
    <i r="1">
      <x v="317"/>
    </i>
    <i r="1">
      <x v="318"/>
    </i>
    <i r="1">
      <x v="319"/>
    </i>
    <i r="1">
      <x v="321"/>
    </i>
    <i r="1">
      <x v="322"/>
    </i>
    <i r="1">
      <x v="323"/>
    </i>
    <i r="1">
      <x v="324"/>
    </i>
    <i r="1">
      <x v="325"/>
    </i>
    <i r="1">
      <x v="326"/>
    </i>
    <i r="1">
      <x v="327"/>
    </i>
    <i r="1">
      <x v="328"/>
    </i>
    <i r="1">
      <x v="329"/>
    </i>
    <i r="1">
      <x v="330"/>
    </i>
    <i r="1">
      <x v="331"/>
    </i>
    <i r="1">
      <x v="332"/>
    </i>
    <i r="1">
      <x v="333"/>
    </i>
    <i r="1">
      <x v="334"/>
    </i>
    <i>
      <x v="3"/>
    </i>
    <i r="1">
      <x v="335"/>
    </i>
    <i r="1">
      <x v="336"/>
    </i>
    <i r="1">
      <x v="337"/>
    </i>
    <i r="1">
      <x v="338"/>
    </i>
    <i r="1">
      <x v="339"/>
    </i>
    <i r="1">
      <x v="340"/>
    </i>
    <i r="1">
      <x v="341"/>
    </i>
    <i r="1">
      <x v="342"/>
    </i>
    <i r="1">
      <x v="343"/>
    </i>
    <i r="1">
      <x v="345"/>
    </i>
    <i r="1">
      <x v="346"/>
    </i>
    <i r="1">
      <x v="347"/>
    </i>
    <i r="1">
      <x v="348"/>
    </i>
    <i r="1">
      <x v="349"/>
    </i>
    <i r="1">
      <x v="350"/>
    </i>
    <i r="1">
      <x v="351"/>
    </i>
    <i r="1">
      <x v="353"/>
    </i>
    <i r="1">
      <x v="354"/>
    </i>
    <i r="1">
      <x v="355"/>
    </i>
    <i r="1">
      <x v="356"/>
    </i>
    <i r="1">
      <x v="357"/>
    </i>
    <i r="1">
      <x v="358"/>
    </i>
    <i r="1">
      <x v="359"/>
    </i>
    <i r="1">
      <x v="360"/>
    </i>
    <i r="1">
      <x v="361"/>
    </i>
    <i r="1">
      <x v="362"/>
    </i>
    <i r="1">
      <x v="363"/>
    </i>
    <i r="1">
      <x v="364"/>
    </i>
    <i r="1">
      <x v="365"/>
    </i>
    <i>
      <x v="4"/>
    </i>
    <i r="1">
      <x v="366"/>
    </i>
    <i r="1">
      <x v="367"/>
    </i>
    <i r="1">
      <x v="369"/>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x v="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418"/>
    </i>
    <i r="1">
      <x v="419"/>
    </i>
    <i r="1">
      <x v="420"/>
    </i>
    <i r="1">
      <x v="421"/>
    </i>
    <i r="1">
      <x v="422"/>
    </i>
    <i r="1">
      <x v="423"/>
    </i>
    <i r="1">
      <x v="424"/>
    </i>
    <i r="1">
      <x v="425"/>
    </i>
    <i r="1">
      <x v="426"/>
    </i>
    <i>
      <x v="6"/>
    </i>
    <i r="1">
      <x v="427"/>
    </i>
    <i r="1">
      <x v="428"/>
    </i>
    <i r="1">
      <x v="429"/>
    </i>
    <i r="1">
      <x v="430"/>
    </i>
    <i r="1">
      <x v="431"/>
    </i>
    <i r="1">
      <x v="432"/>
    </i>
    <i r="1">
      <x v="433"/>
    </i>
    <i r="1">
      <x v="434"/>
    </i>
    <i r="1">
      <x v="435"/>
    </i>
    <i r="1">
      <x v="437"/>
    </i>
    <i r="1">
      <x v="438"/>
    </i>
    <i r="1">
      <x v="440"/>
    </i>
    <i r="1">
      <x v="441"/>
    </i>
    <i r="1">
      <x v="442"/>
    </i>
    <i r="1">
      <x v="443"/>
    </i>
    <i r="1">
      <x v="444"/>
    </i>
    <i r="1">
      <x v="445"/>
    </i>
    <i r="1">
      <x v="446"/>
    </i>
    <i r="1">
      <x v="447"/>
    </i>
    <i r="1">
      <x v="448"/>
    </i>
    <i r="1">
      <x v="449"/>
    </i>
    <i r="1">
      <x v="450"/>
    </i>
    <i r="1">
      <x v="451"/>
    </i>
    <i r="1">
      <x v="452"/>
    </i>
    <i r="1">
      <x v="453"/>
    </i>
    <i r="1">
      <x v="454"/>
    </i>
    <i r="1">
      <x v="455"/>
    </i>
    <i r="1">
      <x v="456"/>
    </i>
    <i>
      <x v="7"/>
    </i>
    <i r="1">
      <x v="457"/>
    </i>
    <i r="1">
      <x v="458"/>
    </i>
    <i r="1">
      <x v="459"/>
    </i>
    <i r="1">
      <x v="460"/>
    </i>
    <i r="1">
      <x v="461"/>
    </i>
    <i r="1">
      <x v="463"/>
    </i>
    <i r="1">
      <x v="464"/>
    </i>
    <i r="1">
      <x v="465"/>
    </i>
    <i r="1">
      <x v="466"/>
    </i>
    <i r="1">
      <x v="467"/>
    </i>
    <i r="1">
      <x v="468"/>
    </i>
    <i r="1">
      <x v="469"/>
    </i>
    <i r="1">
      <x v="471"/>
    </i>
    <i r="1">
      <x v="472"/>
    </i>
    <i r="1">
      <x v="473"/>
    </i>
    <i r="1">
      <x v="474"/>
    </i>
    <i r="1">
      <x v="475"/>
    </i>
    <i r="1">
      <x v="476"/>
    </i>
    <i r="1">
      <x v="477"/>
    </i>
    <i r="1">
      <x v="478"/>
    </i>
    <i r="1">
      <x v="479"/>
    </i>
    <i r="1">
      <x v="480"/>
    </i>
    <i r="1">
      <x v="481"/>
    </i>
    <i r="1">
      <x v="482"/>
    </i>
    <i r="1">
      <x v="483"/>
    </i>
    <i r="1">
      <x v="484"/>
    </i>
    <i r="1">
      <x v="485"/>
    </i>
    <i r="1">
      <x v="486"/>
    </i>
    <i r="1">
      <x v="487"/>
    </i>
    <i>
      <x v="8"/>
    </i>
    <i r="1">
      <x v="489"/>
    </i>
    <i r="1">
      <x v="490"/>
    </i>
    <i r="1">
      <x v="491"/>
    </i>
    <i r="1">
      <x v="492"/>
    </i>
    <i r="1">
      <x v="493"/>
    </i>
    <i r="1">
      <x v="494"/>
    </i>
    <i r="1">
      <x v="495"/>
    </i>
    <i r="1">
      <x v="496"/>
    </i>
    <i r="1">
      <x v="497"/>
    </i>
    <i r="1">
      <x v="498"/>
    </i>
    <i r="1">
      <x v="499"/>
    </i>
    <i r="1">
      <x v="500"/>
    </i>
    <i r="1">
      <x v="501"/>
    </i>
    <i r="1">
      <x v="502"/>
    </i>
    <i r="1">
      <x v="503"/>
    </i>
    <i r="1">
      <x v="504"/>
    </i>
    <i r="1">
      <x v="505"/>
    </i>
    <i r="1">
      <x v="506"/>
    </i>
    <i r="1">
      <x v="507"/>
    </i>
    <i r="1">
      <x v="508"/>
    </i>
    <i r="1">
      <x v="509"/>
    </i>
    <i r="1">
      <x v="510"/>
    </i>
    <i r="1">
      <x v="511"/>
    </i>
    <i r="1">
      <x v="512"/>
    </i>
    <i r="1">
      <x v="513"/>
    </i>
    <i r="1">
      <x v="514"/>
    </i>
    <i r="1">
      <x v="515"/>
    </i>
    <i r="1">
      <x v="516"/>
    </i>
    <i r="1">
      <x v="517"/>
    </i>
    <i r="1">
      <x v="518"/>
    </i>
    <i>
      <x v="9"/>
    </i>
    <i r="1">
      <x v="520"/>
    </i>
    <i r="1">
      <x v="521"/>
    </i>
    <i r="1">
      <x v="522"/>
    </i>
    <i r="1">
      <x v="523"/>
    </i>
    <i r="1">
      <x v="524"/>
    </i>
    <i r="1">
      <x v="525"/>
    </i>
    <i r="1">
      <x v="526"/>
    </i>
    <i r="1">
      <x v="527"/>
    </i>
    <i r="1">
      <x v="528"/>
    </i>
    <i r="1">
      <x v="529"/>
    </i>
    <i r="1">
      <x v="530"/>
    </i>
    <i r="1">
      <x v="531"/>
    </i>
    <i r="1">
      <x v="533"/>
    </i>
    <i r="1">
      <x v="534"/>
    </i>
    <i r="1">
      <x v="535"/>
    </i>
    <i r="1">
      <x v="537"/>
    </i>
    <i r="1">
      <x v="539"/>
    </i>
    <i r="1">
      <x v="540"/>
    </i>
    <i r="1">
      <x v="541"/>
    </i>
    <i r="1">
      <x v="542"/>
    </i>
    <i r="1">
      <x v="543"/>
    </i>
    <i r="1">
      <x v="544"/>
    </i>
    <i r="1">
      <x v="545"/>
    </i>
    <i r="1">
      <x v="546"/>
    </i>
    <i r="1">
      <x v="547"/>
    </i>
    <i r="1">
      <x v="548"/>
    </i>
    <i>
      <x v="10"/>
    </i>
    <i r="1">
      <x v="549"/>
    </i>
    <i r="1">
      <x v="550"/>
    </i>
    <i r="1">
      <x v="551"/>
    </i>
    <i r="1">
      <x v="552"/>
    </i>
    <i r="1">
      <x v="553"/>
    </i>
    <i r="1">
      <x v="555"/>
    </i>
    <i r="1">
      <x v="556"/>
    </i>
    <i r="1">
      <x v="557"/>
    </i>
    <i r="1">
      <x v="558"/>
    </i>
    <i r="1">
      <x v="560"/>
    </i>
    <i r="1">
      <x v="561"/>
    </i>
    <i r="1">
      <x v="562"/>
    </i>
    <i r="1">
      <x v="563"/>
    </i>
    <i r="1">
      <x v="564"/>
    </i>
    <i r="1">
      <x v="565"/>
    </i>
    <i r="1">
      <x v="566"/>
    </i>
    <i r="1">
      <x v="567"/>
    </i>
    <i r="1">
      <x v="568"/>
    </i>
    <i r="1">
      <x v="569"/>
    </i>
    <i r="1">
      <x v="570"/>
    </i>
    <i r="1">
      <x v="571"/>
    </i>
    <i r="1">
      <x v="572"/>
    </i>
    <i r="1">
      <x v="573"/>
    </i>
    <i r="1">
      <x v="574"/>
    </i>
    <i r="1">
      <x v="576"/>
    </i>
    <i r="1">
      <x v="577"/>
    </i>
    <i r="1">
      <x v="578"/>
    </i>
    <i r="1">
      <x v="579"/>
    </i>
    <i>
      <x v="11"/>
    </i>
    <i r="1">
      <x v="581"/>
    </i>
    <i r="1">
      <x v="583"/>
    </i>
    <i r="1">
      <x v="584"/>
    </i>
    <i r="1">
      <x v="585"/>
    </i>
    <i r="1">
      <x v="586"/>
    </i>
    <i r="1">
      <x v="588"/>
    </i>
    <i r="1">
      <x v="589"/>
    </i>
    <i r="1">
      <x v="590"/>
    </i>
    <i r="1">
      <x v="591"/>
    </i>
    <i r="1">
      <x v="592"/>
    </i>
    <i r="1">
      <x v="593"/>
    </i>
    <i r="1">
      <x v="594"/>
    </i>
    <i r="1">
      <x v="595"/>
    </i>
    <i r="1">
      <x v="596"/>
    </i>
    <i r="1">
      <x v="597"/>
    </i>
    <i r="1">
      <x v="598"/>
    </i>
    <i r="1">
      <x v="599"/>
    </i>
    <i r="1">
      <x v="600"/>
    </i>
    <i r="1">
      <x v="601"/>
    </i>
    <i r="1">
      <x v="602"/>
    </i>
    <i r="1">
      <x v="603"/>
    </i>
    <i r="1">
      <x v="604"/>
    </i>
    <i r="1">
      <x v="605"/>
    </i>
    <i r="1">
      <x v="606"/>
    </i>
    <i r="1">
      <x v="607"/>
    </i>
    <i r="1">
      <x v="608"/>
    </i>
    <i r="1">
      <x v="609"/>
    </i>
    <i>
      <x v="12"/>
    </i>
    <i r="1">
      <x v="610"/>
    </i>
    <i r="1">
      <x v="611"/>
    </i>
    <i r="1">
      <x v="612"/>
    </i>
    <i r="1">
      <x v="613"/>
    </i>
    <i r="1">
      <x v="614"/>
    </i>
    <i r="1">
      <x v="615"/>
    </i>
    <i r="1">
      <x v="616"/>
    </i>
    <i r="1">
      <x v="617"/>
    </i>
    <i r="1">
      <x v="618"/>
    </i>
    <i r="1">
      <x v="619"/>
    </i>
    <i r="1">
      <x v="621"/>
    </i>
    <i r="1">
      <x v="622"/>
    </i>
    <i r="1">
      <x v="624"/>
    </i>
    <i r="1">
      <x v="625"/>
    </i>
    <i r="1">
      <x v="626"/>
    </i>
    <i r="1">
      <x v="627"/>
    </i>
    <i r="1">
      <x v="628"/>
    </i>
    <i r="1">
      <x v="629"/>
    </i>
    <i r="1">
      <x v="630"/>
    </i>
    <i r="1">
      <x v="631"/>
    </i>
    <i r="1">
      <x v="633"/>
    </i>
    <i r="1">
      <x v="634"/>
    </i>
    <i r="1">
      <x v="635"/>
    </i>
    <i r="1">
      <x v="636"/>
    </i>
    <i r="1">
      <x v="637"/>
    </i>
    <i r="1">
      <x v="638"/>
    </i>
    <i r="1">
      <x v="639"/>
    </i>
    <i r="1">
      <x v="640"/>
    </i>
    <i t="grand">
      <x/>
    </i>
  </rowItems>
  <colFields count="1">
    <field x="-2"/>
  </colFields>
  <colItems count="2">
    <i>
      <x/>
    </i>
    <i i="1">
      <x v="1"/>
    </i>
  </colItems>
  <dataFields count="2">
    <dataField name="Sum of Total Qty" fld="25" baseField="0" baseItem="0"/>
    <dataField name="Sum of Total Transaksi" fld="26" baseField="0" baseItem="0" numFmtId="165"/>
  </dataFields>
  <formats count="14">
    <format dxfId="69">
      <pivotArea type="all" dataOnly="0" outline="0" fieldPosition="0"/>
    </format>
    <format dxfId="68">
      <pivotArea outline="0" collapsedLevelsAreSubtotals="1" fieldPosition="0"/>
    </format>
    <format dxfId="67">
      <pivotArea field="39" type="button" dataOnly="0" labelOnly="1" outline="0" axis="axisRow" fieldPosition="0"/>
    </format>
    <format dxfId="66">
      <pivotArea dataOnly="0" labelOnly="1" fieldPosition="0">
        <references count="1">
          <reference field="39" count="0"/>
        </references>
      </pivotArea>
    </format>
    <format dxfId="65">
      <pivotArea dataOnly="0" labelOnly="1" grandRow="1" outline="0" fieldPosition="0"/>
    </format>
    <format dxfId="64">
      <pivotArea dataOnly="0" labelOnly="1" fieldPosition="0">
        <references count="2">
          <reference field="38" count="28">
            <x v="306"/>
            <x v="307"/>
            <x v="308"/>
            <x v="309"/>
            <x v="310"/>
            <x v="311"/>
            <x v="312"/>
            <x v="313"/>
            <x v="314"/>
            <x v="315"/>
            <x v="316"/>
            <x v="317"/>
            <x v="318"/>
            <x v="319"/>
            <x v="321"/>
            <x v="322"/>
            <x v="323"/>
            <x v="324"/>
            <x v="325"/>
            <x v="326"/>
            <x v="327"/>
            <x v="328"/>
            <x v="329"/>
            <x v="330"/>
            <x v="331"/>
            <x v="332"/>
            <x v="333"/>
            <x v="334"/>
          </reference>
          <reference field="39" count="0" selected="0"/>
        </references>
      </pivotArea>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field="39" type="button" dataOnly="0" labelOnly="1" outline="0" axis="axisRow" fieldPosition="0"/>
    </format>
    <format dxfId="59">
      <pivotArea dataOnly="0" labelOnly="1" fieldPosition="0">
        <references count="1">
          <reference field="39" count="0"/>
        </references>
      </pivotArea>
    </format>
    <format dxfId="58">
      <pivotArea dataOnly="0" labelOnly="1" grandRow="1" outline="0" fieldPosition="0"/>
    </format>
    <format dxfId="57">
      <pivotArea dataOnly="0" labelOnly="1" fieldPosition="0">
        <references count="2">
          <reference field="38" count="27">
            <x v="275"/>
            <x v="276"/>
            <x v="277"/>
            <x v="278"/>
            <x v="279"/>
            <x v="280"/>
            <x v="282"/>
            <x v="283"/>
            <x v="284"/>
            <x v="285"/>
            <x v="286"/>
            <x v="288"/>
            <x v="289"/>
            <x v="290"/>
            <x v="291"/>
            <x v="292"/>
            <x v="293"/>
            <x v="295"/>
            <x v="296"/>
            <x v="297"/>
            <x v="298"/>
            <x v="299"/>
            <x v="300"/>
            <x v="302"/>
            <x v="303"/>
            <x v="304"/>
            <x v="305"/>
          </reference>
          <reference field="39" count="0" selected="0"/>
        </references>
      </pivotArea>
    </format>
    <format dxfId="56">
      <pivotArea dataOnly="0" labelOnly="1" outline="0" axis="axisValues" fieldPosition="0"/>
    </format>
  </formats>
  <chartFormats count="2">
    <chartFormat chart="2"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7B8608-8A86-4ED3-B482-CF978777DCD7}" name="Pejualan Tertinggi (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Penjulan terbanyak">
  <location ref="A43:B47" firstHeaderRow="1" firstDataRow="1" firstDataCol="1"/>
  <pivotFields count="44">
    <pivotField showAll="0"/>
    <pivotField showAll="0"/>
    <pivotField showAll="0"/>
    <pivotField showAll="0"/>
    <pivotField showAll="0"/>
    <pivotField axis="axisRow" showAll="0" measureFilter="1" sortType="ascending">
      <items count="11">
        <item x="4"/>
        <item x="5"/>
        <item x="2"/>
        <item x="8"/>
        <item x="7"/>
        <item x="6"/>
        <item x="3"/>
        <item x="0"/>
        <item x="1"/>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showAll="0"/>
    <pivotField dataField="1" numFmtId="165" showAll="0"/>
    <pivotField numFmtId="165" showAll="0"/>
    <pivotField showAll="0"/>
    <pivotField numFmtId="9" showAll="0"/>
    <pivotField numFmtId="167" showAll="0"/>
    <pivotField numFmtId="167" showAll="0"/>
    <pivotField numFmtId="167" showAll="0"/>
    <pivotField numFmtId="167" showAll="0"/>
    <pivotField showAll="0"/>
    <pivotField showAll="0">
      <items count="5">
        <item x="3"/>
        <item x="2"/>
        <item x="0"/>
        <item x="1"/>
        <item t="default"/>
      </items>
    </pivotField>
    <pivotField showAll="0"/>
    <pivotField showAll="0">
      <items count="8">
        <item x="0"/>
        <item m="1" x="6"/>
        <item x="3"/>
        <item x="5"/>
        <item x="1"/>
        <item x="2"/>
        <item x="4"/>
        <item t="default"/>
      </items>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4">
    <i>
      <x v="4"/>
    </i>
    <i>
      <x v="5"/>
    </i>
    <i>
      <x v="9"/>
    </i>
    <i t="grand">
      <x/>
    </i>
  </rowItems>
  <colItems count="1">
    <i/>
  </colItems>
  <dataFields count="1">
    <dataField name="Sum of Total Transaksi" fld="26" baseField="0" baseItem="0" numFmtId="165"/>
  </dataFields>
  <formats count="12">
    <format dxfId="81">
      <pivotArea type="all" dataOnly="0" outline="0" fieldPosition="0"/>
    </format>
    <format dxfId="80">
      <pivotArea outline="0" collapsedLevelsAreSubtotals="1" fieldPosition="0"/>
    </format>
    <format dxfId="79">
      <pivotArea field="5" type="button" dataOnly="0" labelOnly="1" outline="0" axis="axisRow" fieldPosition="0"/>
    </format>
    <format dxfId="78">
      <pivotArea dataOnly="0" labelOnly="1" fieldPosition="0">
        <references count="1">
          <reference field="5"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5" type="button" dataOnly="0" labelOnly="1" outline="0" axis="axisRow" fieldPosition="0"/>
    </format>
    <format dxfId="72">
      <pivotArea dataOnly="0" labelOnly="1" fieldPosition="0">
        <references count="1">
          <reference field="5" count="0"/>
        </references>
      </pivotArea>
    </format>
    <format dxfId="71">
      <pivotArea dataOnly="0" labelOnly="1" grandRow="1" outline="0" fieldPosition="0"/>
    </format>
    <format dxfId="70">
      <pivotArea dataOnly="0" labelOnly="1" outline="0" axis="axisValues" fieldPosition="0"/>
    </format>
  </formats>
  <chartFormats count="1">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9E0944-C4DA-4793-A87E-B0E274F7FA64}" name="Rasio disk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E129:F134" firstHeaderRow="1" firstDataRow="1" firstDataCol="1"/>
  <pivotFields count="44">
    <pivotField showAll="0"/>
    <pivotField showAll="0"/>
    <pivotField showAll="0"/>
    <pivotField showAll="0"/>
    <pivotField showAll="0"/>
    <pivotField showAll="0">
      <items count="11">
        <item x="4"/>
        <item x="5"/>
        <item x="2"/>
        <item x="8"/>
        <item x="7"/>
        <item x="6"/>
        <item x="3"/>
        <item x="0"/>
        <item x="1"/>
        <item x="9"/>
        <item t="default"/>
      </items>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showAll="0"/>
    <pivotField numFmtId="165" showAll="0"/>
    <pivotField numFmtId="165" showAll="0"/>
    <pivotField showAll="0"/>
    <pivotField numFmtId="9" showAll="0"/>
    <pivotField numFmtId="167" showAll="0"/>
    <pivotField numFmtId="167" showAll="0"/>
    <pivotField numFmtId="167" showAll="0"/>
    <pivotField numFmtId="167" showAll="0"/>
    <pivotField showAll="0"/>
    <pivotField showAll="0">
      <items count="5">
        <item x="3"/>
        <item x="2"/>
        <item x="0"/>
        <item x="1"/>
        <item t="default"/>
      </items>
    </pivotField>
    <pivotField showAll="0"/>
    <pivotField showAll="0">
      <items count="8">
        <item x="0"/>
        <item m="1" x="6"/>
        <item x="3"/>
        <item x="5"/>
        <item x="1"/>
        <item x="2"/>
        <item x="4"/>
        <item t="default"/>
      </items>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axis="axisRow" showAll="0">
      <items count="7">
        <item x="1"/>
        <item x="2"/>
        <item x="3"/>
        <item x="4"/>
        <item x="0"/>
        <item x="5"/>
        <item t="default"/>
      </items>
    </pivotField>
    <pivotField dataField="1" dragToRow="0" dragToCol="0" dragToPage="0" showAll="0" defaultSubtotal="0"/>
    <pivotField dragToRow="0" dragToCol="0" dragToPage="0" showAll="0" defaultSubtotal="0"/>
    <pivotField dragToRow="0" dragToCol="0" dragToPage="0" showAll="0" defaultSubtotal="0"/>
  </pivotFields>
  <rowFields count="1">
    <field x="40"/>
  </rowFields>
  <rowItems count="5">
    <i>
      <x/>
    </i>
    <i>
      <x v="1"/>
    </i>
    <i>
      <x v="2"/>
    </i>
    <i>
      <x v="3"/>
    </i>
    <i t="grand">
      <x/>
    </i>
  </rowItems>
  <colItems count="1">
    <i/>
  </colItems>
  <dataFields count="1">
    <dataField name="Sum of Rasio diskon" fld="41" baseField="0" baseItem="0" numFmtId="9"/>
  </dataFields>
  <formats count="18">
    <format dxfId="99">
      <pivotArea type="all" dataOnly="0" outline="0" fieldPosition="0"/>
    </format>
    <format dxfId="98">
      <pivotArea outline="0" collapsedLevelsAreSubtotals="1" fieldPosition="0"/>
    </format>
    <format dxfId="97">
      <pivotArea field="40" type="button" dataOnly="0" labelOnly="1" outline="0" axis="axisRow" fieldPosition="0"/>
    </format>
    <format dxfId="96">
      <pivotArea dataOnly="0" labelOnly="1" fieldPosition="0">
        <references count="1">
          <reference field="40" count="4">
            <x v="0"/>
            <x v="1"/>
            <x v="2"/>
            <x v="3"/>
          </reference>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40" type="button" dataOnly="0" labelOnly="1" outline="0" axis="axisRow" fieldPosition="0"/>
    </format>
    <format dxfId="90">
      <pivotArea dataOnly="0" labelOnly="1" fieldPosition="0">
        <references count="1">
          <reference field="40" count="4">
            <x v="0"/>
            <x v="1"/>
            <x v="2"/>
            <x v="3"/>
          </reference>
        </references>
      </pivotArea>
    </format>
    <format dxfId="89">
      <pivotArea dataOnly="0" labelOnly="1" grandRow="1" outline="0"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40" type="button" dataOnly="0" labelOnly="1" outline="0" axis="axisRow" fieldPosition="0"/>
    </format>
    <format dxfId="84">
      <pivotArea dataOnly="0" labelOnly="1" fieldPosition="0">
        <references count="1">
          <reference field="40" count="1">
            <x v="0"/>
          </reference>
        </references>
      </pivotArea>
    </format>
    <format dxfId="83">
      <pivotArea dataOnly="0" labelOnly="1" grandRow="1" outline="0" fieldPosition="0"/>
    </format>
    <format dxfId="82">
      <pivotArea dataOnly="0" labelOnly="1" outline="0" axis="axisValues" fieldPosition="0"/>
    </format>
  </formats>
  <chartFormats count="3">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34C19C-4724-44BE-AC76-7FA385BBBC7B}" name="Laba Bersi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2" firstHeaderRow="0" firstDataRow="1" firstDataCol="0"/>
  <pivotFields count="44">
    <pivotField showAll="0"/>
    <pivotField showAll="0"/>
    <pivotField showAll="0"/>
    <pivotField showAll="0"/>
    <pivotField showAll="0"/>
    <pivotField showAll="0">
      <items count="11">
        <item x="4"/>
        <item x="5"/>
        <item x="2"/>
        <item x="8"/>
        <item x="7"/>
        <item x="6"/>
        <item x="3"/>
        <item x="0"/>
        <item x="1"/>
        <item x="9"/>
        <item t="default"/>
      </items>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dataField="1" showAll="0"/>
    <pivotField numFmtId="165" showAll="0"/>
    <pivotField numFmtId="165" showAll="0"/>
    <pivotField showAll="0"/>
    <pivotField numFmtId="9" showAll="0"/>
    <pivotField numFmtId="167" showAll="0"/>
    <pivotField numFmtId="167" showAll="0"/>
    <pivotField numFmtId="167" showAll="0"/>
    <pivotField dataField="1" numFmtId="167" showAll="0"/>
    <pivotField showAll="0"/>
    <pivotField showAll="0">
      <items count="5">
        <item x="3"/>
        <item x="2"/>
        <item x="0"/>
        <item x="1"/>
        <item t="default"/>
      </items>
    </pivotField>
    <pivotField showAll="0"/>
    <pivotField showAll="0">
      <items count="8">
        <item x="0"/>
        <item m="1" x="6"/>
        <item x="3"/>
        <item x="5"/>
        <item x="1"/>
        <item x="2"/>
        <item x="4"/>
        <item t="default"/>
      </items>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2">
    <i>
      <x/>
    </i>
    <i i="1">
      <x v="1"/>
    </i>
  </colItems>
  <dataFields count="2">
    <dataField name="Sum of Total Qty" fld="25" baseField="0" baseItem="0"/>
    <dataField name="Sum of Laba (Descount)" fld="33" baseField="0" baseItem="0" numFmtId="167"/>
  </dataFields>
  <formats count="6">
    <format dxfId="105">
      <pivotArea type="all" dataOnly="0" outline="0" fieldPosition="0"/>
    </format>
    <format dxfId="104">
      <pivotArea outline="0" collapsedLevelsAreSubtotals="1" fieldPosition="0"/>
    </format>
    <format dxfId="103">
      <pivotArea dataOnly="0" labelOnly="1" outline="0" fieldPosition="0">
        <references count="1">
          <reference field="4294967294" count="2">
            <x v="0"/>
            <x v="1"/>
          </reference>
        </references>
      </pivotArea>
    </format>
    <format dxfId="102">
      <pivotArea type="all" dataOnly="0" outline="0" fieldPosition="0"/>
    </format>
    <format dxfId="101">
      <pivotArea outline="0" collapsedLevelsAreSubtotals="1" fieldPosition="0"/>
    </format>
    <format dxfId="10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61707A-1FEE-4F68-B134-C1F09D9355EB}" name="item laba tertinng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85:C87" firstHeaderRow="1" firstDataRow="1" firstDataCol="1"/>
  <pivotFields count="44">
    <pivotField showAll="0"/>
    <pivotField showAll="0"/>
    <pivotField showAll="0"/>
    <pivotField showAll="0"/>
    <pivotField showAll="0"/>
    <pivotField axis="axisRow" showAll="0" measureFilter="1">
      <items count="11">
        <item x="4"/>
        <item x="5"/>
        <item x="2"/>
        <item x="8"/>
        <item x="7"/>
        <item x="6"/>
        <item x="3"/>
        <item x="0"/>
        <item x="1"/>
        <item x="9"/>
        <item t="default"/>
      </items>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showAll="0"/>
    <pivotField numFmtId="165" showAll="0"/>
    <pivotField numFmtId="165" showAll="0"/>
    <pivotField showAll="0"/>
    <pivotField numFmtId="9" showAll="0"/>
    <pivotField numFmtId="167" showAll="0"/>
    <pivotField numFmtId="167" showAll="0"/>
    <pivotField numFmtId="167" showAll="0"/>
    <pivotField dataField="1" numFmtId="167" showAll="0"/>
    <pivotField showAll="0"/>
    <pivotField showAll="0">
      <items count="5">
        <item x="3"/>
        <item x="2"/>
        <item x="0"/>
        <item x="1"/>
        <item t="default"/>
      </items>
    </pivotField>
    <pivotField showAll="0"/>
    <pivotField showAll="0">
      <items count="8">
        <item x="0"/>
        <item m="1" x="6"/>
        <item x="3"/>
        <item x="5"/>
        <item x="1"/>
        <item x="2"/>
        <item x="4"/>
        <item t="default"/>
      </items>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2">
    <i>
      <x v="9"/>
    </i>
    <i t="grand">
      <x/>
    </i>
  </rowItems>
  <colItems count="1">
    <i/>
  </colItems>
  <dataFields count="1">
    <dataField name="Sum of Laba (Descount)" fld="33" baseField="0" baseItem="0" numFmtId="167"/>
  </dataFields>
  <formats count="10">
    <format dxfId="115">
      <pivotArea type="all" dataOnly="0" outline="0" fieldPosition="0"/>
    </format>
    <format dxfId="114">
      <pivotArea outline="0" collapsedLevelsAreSubtotals="1" fieldPosition="0"/>
    </format>
    <format dxfId="113">
      <pivotArea field="37" type="button" dataOnly="0" labelOnly="1" outline="0"/>
    </format>
    <format dxfId="112">
      <pivotArea dataOnly="0" labelOnly="1" grandRow="1" outline="0" fieldPosition="0"/>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field="37" type="button" dataOnly="0" labelOnly="1" outline="0"/>
    </format>
    <format dxfId="107">
      <pivotArea dataOnly="0" labelOnly="1" grandRow="1" outline="0" fieldPosition="0"/>
    </format>
    <format dxfId="106">
      <pivotArea dataOnly="0" labelOnly="1" outline="0" axis="axisValues" fieldPosition="0"/>
    </format>
  </formats>
  <pivotTableStyleInfo name="PivotStyleLight16" showRowHeaders="1" showColHeaders="1" showRowStripes="0" showColStripes="0" showLastColumn="1"/>
  <filters count="1">
    <filter fld="5"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5539FB-CEF8-4450-9AAA-044C14457C83}" name="Total Transaksi Makrketpal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5:B10" firstHeaderRow="1" firstDataRow="1" firstDataCol="1"/>
  <pivotFields count="44">
    <pivotField showAll="0"/>
    <pivotField showAll="0"/>
    <pivotField showAll="0"/>
    <pivotField showAll="0"/>
    <pivotField showAll="0"/>
    <pivotField showAll="0">
      <items count="11">
        <item x="4"/>
        <item x="5"/>
        <item x="2"/>
        <item x="8"/>
        <item x="7"/>
        <item x="6"/>
        <item x="3"/>
        <item x="0"/>
        <item x="1"/>
        <item x="9"/>
        <item t="default"/>
      </items>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showAll="0"/>
    <pivotField dataField="1" numFmtId="165" showAll="0"/>
    <pivotField numFmtId="165" showAll="0"/>
    <pivotField showAll="0"/>
    <pivotField numFmtId="9" showAll="0"/>
    <pivotField numFmtId="167" showAll="0"/>
    <pivotField numFmtId="167" showAll="0"/>
    <pivotField numFmtId="167" showAll="0"/>
    <pivotField numFmtId="167" showAll="0"/>
    <pivotField showAll="0"/>
    <pivotField axis="axisRow" showAll="0">
      <items count="5">
        <item x="3"/>
        <item x="2"/>
        <item x="0"/>
        <item x="1"/>
        <item t="default"/>
      </items>
    </pivotField>
    <pivotField showAll="0"/>
    <pivotField showAll="0">
      <items count="8">
        <item x="0"/>
        <item m="1" x="6"/>
        <item x="3"/>
        <item x="5"/>
        <item x="1"/>
        <item x="2"/>
        <item x="4"/>
        <item t="default"/>
      </items>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35"/>
  </rowFields>
  <rowItems count="5">
    <i>
      <x/>
    </i>
    <i>
      <x v="1"/>
    </i>
    <i>
      <x v="2"/>
    </i>
    <i>
      <x v="3"/>
    </i>
    <i t="grand">
      <x/>
    </i>
  </rowItems>
  <colItems count="1">
    <i/>
  </colItems>
  <dataFields count="1">
    <dataField name="Sum of Total Transaksi" fld="26" baseField="0" baseItem="0" numFmtId="165"/>
  </dataFields>
  <formats count="12">
    <format dxfId="127">
      <pivotArea type="all" dataOnly="0" outline="0" fieldPosition="0"/>
    </format>
    <format dxfId="126">
      <pivotArea outline="0" collapsedLevelsAreSubtotals="1" fieldPosition="0"/>
    </format>
    <format dxfId="125">
      <pivotArea field="35" type="button" dataOnly="0" labelOnly="1" outline="0" axis="axisRow" fieldPosition="0"/>
    </format>
    <format dxfId="124">
      <pivotArea dataOnly="0" labelOnly="1" fieldPosition="0">
        <references count="1">
          <reference field="35" count="0"/>
        </references>
      </pivotArea>
    </format>
    <format dxfId="123">
      <pivotArea dataOnly="0" labelOnly="1" grandRow="1" outline="0" fieldPosition="0"/>
    </format>
    <format dxfId="122">
      <pivotArea dataOnly="0" labelOnly="1" outline="0" axis="axisValues" fieldPosition="0"/>
    </format>
    <format dxfId="121">
      <pivotArea type="all" dataOnly="0" outline="0" fieldPosition="0"/>
    </format>
    <format dxfId="120">
      <pivotArea outline="0" collapsedLevelsAreSubtotals="1" fieldPosition="0"/>
    </format>
    <format dxfId="119">
      <pivotArea field="35" type="button" dataOnly="0" labelOnly="1" outline="0" axis="axisRow" fieldPosition="0"/>
    </format>
    <format dxfId="118">
      <pivotArea dataOnly="0" labelOnly="1" fieldPosition="0">
        <references count="1">
          <reference field="35" count="0"/>
        </references>
      </pivotArea>
    </format>
    <format dxfId="117">
      <pivotArea dataOnly="0" labelOnly="1" grandRow="1" outline="0" fieldPosition="0"/>
    </format>
    <format dxfId="116">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36CD09-9309-47BF-972F-1C68ED0A6718}" name="Modal Perkuar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C149:D154" firstHeaderRow="1" firstDataRow="1" firstDataCol="1"/>
  <pivotFields count="44">
    <pivotField showAll="0"/>
    <pivotField showAll="0"/>
    <pivotField showAll="0"/>
    <pivotField showAll="0"/>
    <pivotField showAll="0"/>
    <pivotField showAll="0">
      <items count="11">
        <item x="4"/>
        <item x="5"/>
        <item x="2"/>
        <item x="8"/>
        <item x="7"/>
        <item x="6"/>
        <item x="3"/>
        <item x="0"/>
        <item x="1"/>
        <item x="9"/>
        <item t="default"/>
      </items>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showAll="0"/>
    <pivotField numFmtId="165" showAll="0"/>
    <pivotField dataField="1" numFmtId="165" showAll="0"/>
    <pivotField showAll="0"/>
    <pivotField numFmtId="9" showAll="0"/>
    <pivotField numFmtId="167" showAll="0"/>
    <pivotField numFmtId="167" showAll="0"/>
    <pivotField numFmtId="167" showAll="0"/>
    <pivotField numFmtId="167" showAll="0"/>
    <pivotField showAll="0"/>
    <pivotField showAll="0">
      <items count="5">
        <item x="3"/>
        <item x="2"/>
        <item x="0"/>
        <item x="1"/>
        <item t="default"/>
      </items>
    </pivotField>
    <pivotField showAll="0"/>
    <pivotField showAll="0">
      <items count="8">
        <item x="0"/>
        <item m="1" x="6"/>
        <item x="3"/>
        <item x="5"/>
        <item x="1"/>
        <item x="2"/>
        <item x="4"/>
        <item t="default"/>
      </items>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axis="axisRow" showAll="0">
      <items count="7">
        <item x="1"/>
        <item x="2"/>
        <item x="3"/>
        <item x="4"/>
        <item x="0"/>
        <item x="5"/>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40"/>
  </rowFields>
  <rowItems count="5">
    <i>
      <x/>
    </i>
    <i>
      <x v="1"/>
    </i>
    <i>
      <x v="2"/>
    </i>
    <i>
      <x v="3"/>
    </i>
    <i t="grand">
      <x/>
    </i>
  </rowItems>
  <colItems count="1">
    <i/>
  </colItems>
  <dataFields count="1">
    <dataField name="Sum of Total Modal" fld="27" baseField="0" baseItem="0" numFmtId="42"/>
  </dataFields>
  <formats count="16">
    <format dxfId="143">
      <pivotArea type="all" dataOnly="0" outline="0" fieldPosition="0"/>
    </format>
    <format dxfId="142">
      <pivotArea outline="0" collapsedLevelsAreSubtotals="1" fieldPosition="0"/>
    </format>
    <format dxfId="141">
      <pivotArea field="40" type="button" dataOnly="0" labelOnly="1" outline="0" axis="axisRow" fieldPosition="0"/>
    </format>
    <format dxfId="140">
      <pivotArea dataOnly="0" labelOnly="1" grandRow="1" outline="0"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field="40" type="button" dataOnly="0" labelOnly="1" outline="0" axis="axisRow" fieldPosition="0"/>
    </format>
    <format dxfId="135">
      <pivotArea dataOnly="0" labelOnly="1" grandRow="1" outline="0" fieldPosition="0"/>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field="40" type="button" dataOnly="0" labelOnly="1" outline="0" axis="axisRow" fieldPosition="0"/>
    </format>
    <format dxfId="130">
      <pivotArea dataOnly="0" labelOnly="1" grandRow="1" outline="0" fieldPosition="0"/>
    </format>
    <format dxfId="129">
      <pivotArea dataOnly="0" labelOnly="1" outline="0" axis="axisValues" fieldPosition="0"/>
    </format>
    <format dxfId="128">
      <pivotArea outline="0" collapsedLevelsAreSubtotals="1" fieldPosition="0"/>
    </format>
  </formats>
  <chartFormats count="1">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1B9A3D6-1BB1-4707-B4B2-DA107480782B}" name="penghasilan perkuar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B114:D119" firstHeaderRow="0" firstDataRow="1" firstDataCol="1"/>
  <pivotFields count="44">
    <pivotField showAll="0"/>
    <pivotField showAll="0"/>
    <pivotField showAll="0"/>
    <pivotField showAll="0"/>
    <pivotField showAll="0"/>
    <pivotField showAll="0">
      <items count="11">
        <item x="4"/>
        <item x="5"/>
        <item x="2"/>
        <item x="8"/>
        <item x="7"/>
        <item x="6"/>
        <item x="3"/>
        <item x="0"/>
        <item x="1"/>
        <item x="9"/>
        <item t="default"/>
      </items>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showAll="0"/>
    <pivotField numFmtId="165" showAll="0"/>
    <pivotField numFmtId="165" showAll="0"/>
    <pivotField showAll="0"/>
    <pivotField numFmtId="9" showAll="0"/>
    <pivotField numFmtId="167" showAll="0"/>
    <pivotField numFmtId="167" showAll="0"/>
    <pivotField dataField="1" numFmtId="167" showAll="0"/>
    <pivotField dataField="1" numFmtId="167" showAll="0"/>
    <pivotField showAll="0"/>
    <pivotField showAll="0">
      <items count="5">
        <item x="3"/>
        <item x="2"/>
        <item x="0"/>
        <item x="1"/>
        <item t="default"/>
      </items>
    </pivotField>
    <pivotField showAll="0"/>
    <pivotField showAll="0">
      <items count="8">
        <item x="0"/>
        <item m="1" x="6"/>
        <item x="3"/>
        <item x="5"/>
        <item x="1"/>
        <item x="2"/>
        <item x="4"/>
        <item t="default"/>
      </items>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axis="axisRow" showAll="0">
      <items count="7">
        <item x="1"/>
        <item x="2"/>
        <item x="3"/>
        <item x="4"/>
        <item x="0"/>
        <item x="5"/>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40"/>
  </rowFields>
  <rowItems count="5">
    <i>
      <x/>
    </i>
    <i>
      <x v="1"/>
    </i>
    <i>
      <x v="2"/>
    </i>
    <i>
      <x v="3"/>
    </i>
    <i t="grand">
      <x/>
    </i>
  </rowItems>
  <colFields count="1">
    <field x="-2"/>
  </colFields>
  <colItems count="2">
    <i>
      <x/>
    </i>
    <i i="1">
      <x v="1"/>
    </i>
  </colItems>
  <dataFields count="2">
    <dataField name="Sum of Laba (Descount)" fld="33" baseField="0" baseItem="0" numFmtId="167"/>
    <dataField name="Sum of Laba" fld="32" baseField="0" baseItem="0" numFmtId="167"/>
  </dataFields>
  <formats count="12">
    <format dxfId="155">
      <pivotArea type="all" dataOnly="0" outline="0" fieldPosition="0"/>
    </format>
    <format dxfId="154">
      <pivotArea outline="0" collapsedLevelsAreSubtotals="1" fieldPosition="0"/>
    </format>
    <format dxfId="153">
      <pivotArea field="40" type="button" dataOnly="0" labelOnly="1" outline="0" axis="axisRow" fieldPosition="0"/>
    </format>
    <format dxfId="152">
      <pivotArea dataOnly="0" labelOnly="1" fieldPosition="0">
        <references count="1">
          <reference field="40" count="4">
            <x v="0"/>
            <x v="1"/>
            <x v="2"/>
            <x v="3"/>
          </reference>
        </references>
      </pivotArea>
    </format>
    <format dxfId="151">
      <pivotArea dataOnly="0" labelOnly="1" grandRow="1" outline="0" fieldPosition="0"/>
    </format>
    <format dxfId="150">
      <pivotArea dataOnly="0" labelOnly="1" outline="0" axis="axisValues" fieldPosition="0"/>
    </format>
    <format dxfId="149">
      <pivotArea type="all" dataOnly="0" outline="0" fieldPosition="0"/>
    </format>
    <format dxfId="148">
      <pivotArea outline="0" collapsedLevelsAreSubtotals="1" fieldPosition="0"/>
    </format>
    <format dxfId="147">
      <pivotArea field="40" type="button" dataOnly="0" labelOnly="1" outline="0" axis="axisRow" fieldPosition="0"/>
    </format>
    <format dxfId="146">
      <pivotArea dataOnly="0" labelOnly="1" fieldPosition="0">
        <references count="1">
          <reference field="40" count="1">
            <x v="0"/>
          </reference>
        </references>
      </pivotArea>
    </format>
    <format dxfId="145">
      <pivotArea dataOnly="0" labelOnly="1" grandRow="1" outline="0" fieldPosition="0"/>
    </format>
    <format dxfId="144">
      <pivotArea dataOnly="0" labelOnly="1" outline="0" axis="axisValues" fieldPosition="0"/>
    </format>
  </formats>
  <chartFormats count="4">
    <chartFormat chart="2"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653829E-165D-4D80-B412-5C4304A4AFE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68:I73" firstHeaderRow="0" firstDataRow="1" firstDataCol="1"/>
  <pivotFields count="44">
    <pivotField showAll="0"/>
    <pivotField showAll="0"/>
    <pivotField showAll="0"/>
    <pivotField showAll="0"/>
    <pivotField showAll="0"/>
    <pivotField showAll="0">
      <items count="11">
        <item x="4"/>
        <item x="5"/>
        <item x="2"/>
        <item x="8"/>
        <item x="7"/>
        <item x="6"/>
        <item x="3"/>
        <item x="0"/>
        <item x="1"/>
        <item x="9"/>
        <item t="default"/>
      </items>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showAll="0"/>
    <pivotField dataField="1" numFmtId="165" showAll="0"/>
    <pivotField numFmtId="165" showAll="0"/>
    <pivotField showAll="0"/>
    <pivotField numFmtId="9" showAll="0"/>
    <pivotField dataField="1" numFmtId="167" showAll="0"/>
    <pivotField numFmtId="167" showAll="0"/>
    <pivotField dataField="1" numFmtId="167" showAll="0"/>
    <pivotField dataField="1" numFmtId="167" showAll="0"/>
    <pivotField showAll="0"/>
    <pivotField showAll="0">
      <items count="5">
        <item x="3"/>
        <item x="2"/>
        <item x="0"/>
        <item x="1"/>
        <item t="default"/>
      </items>
    </pivotField>
    <pivotField showAll="0"/>
    <pivotField showAll="0">
      <items count="8">
        <item x="0"/>
        <item m="1" x="6"/>
        <item x="3"/>
        <item x="5"/>
        <item x="1"/>
        <item x="2"/>
        <item x="4"/>
        <item t="default"/>
      </items>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axis="axisRow" showAll="0">
      <items count="7">
        <item x="1"/>
        <item x="2"/>
        <item x="3"/>
        <item x="4"/>
        <item x="0"/>
        <item x="5"/>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40"/>
  </rowFields>
  <rowItems count="5">
    <i>
      <x/>
    </i>
    <i>
      <x v="1"/>
    </i>
    <i>
      <x v="2"/>
    </i>
    <i>
      <x v="3"/>
    </i>
    <i t="grand">
      <x/>
    </i>
  </rowItems>
  <colFields count="1">
    <field x="-2"/>
  </colFields>
  <colItems count="7">
    <i>
      <x/>
    </i>
    <i i="1">
      <x v="1"/>
    </i>
    <i i="2">
      <x v="2"/>
    </i>
    <i i="3">
      <x v="3"/>
    </i>
    <i i="4">
      <x v="4"/>
    </i>
    <i i="5">
      <x v="5"/>
    </i>
    <i i="6">
      <x v="6"/>
    </i>
  </colItems>
  <dataFields count="7">
    <dataField name="Sum of Total Transaksi" fld="26" baseField="0" baseItem="0" numFmtId="165"/>
    <dataField name="Sum of Potongan Diskon" fld="30" baseField="0" baseItem="0" numFmtId="167"/>
    <dataField name="Sum of Laba" fld="32" baseField="0" baseItem="0" numFmtId="167"/>
    <dataField name="Sum of Rasio diskon" fld="41" baseField="0" baseItem="0" numFmtId="167"/>
    <dataField name="Sum of Laba (Descount)" fld="33" baseField="0" baseItem="0" numFmtId="167"/>
    <dataField name="Sum of Profit Margin on sales" fld="42" baseField="0" baseItem="0" numFmtId="9"/>
    <dataField name="Sum of Return on equity" fld="43" baseField="0" baseItem="0" numFmtId="9"/>
  </dataFields>
  <formats count="16">
    <format dxfId="171">
      <pivotArea collapsedLevelsAreSubtotals="1" fieldPosition="0">
        <references count="2">
          <reference field="4294967294" count="1" selected="0">
            <x v="3"/>
          </reference>
          <reference field="40" count="4">
            <x v="0"/>
            <x v="1"/>
            <x v="2"/>
            <x v="3"/>
          </reference>
        </references>
      </pivotArea>
    </format>
    <format dxfId="170">
      <pivotArea field="40" grandRow="1" outline="0" collapsedLevelsAreSubtotals="1" axis="axisRow" fieldPosition="0">
        <references count="1">
          <reference field="4294967294" count="1" selected="0">
            <x v="3"/>
          </reference>
        </references>
      </pivotArea>
    </format>
    <format dxfId="169">
      <pivotArea outline="0" collapsedLevelsAreSubtotals="1" fieldPosition="0">
        <references count="1">
          <reference field="4294967294" count="1" selected="0">
            <x v="5"/>
          </reference>
        </references>
      </pivotArea>
    </format>
    <format dxfId="168">
      <pivotArea outline="0" collapsedLevelsAreSubtotals="1" fieldPosition="0">
        <references count="1">
          <reference field="4294967294" count="1" selected="0">
            <x v="6"/>
          </reference>
        </references>
      </pivotArea>
    </format>
    <format dxfId="167">
      <pivotArea type="all" dataOnly="0" outline="0" fieldPosition="0"/>
    </format>
    <format dxfId="166">
      <pivotArea outline="0" collapsedLevelsAreSubtotals="1" fieldPosition="0"/>
    </format>
    <format dxfId="165">
      <pivotArea field="40" type="button" dataOnly="0" labelOnly="1" outline="0" axis="axisRow" fieldPosition="0"/>
    </format>
    <format dxfId="164">
      <pivotArea dataOnly="0" labelOnly="1" fieldPosition="0">
        <references count="1">
          <reference field="40" count="3">
            <x v="0"/>
            <x v="1"/>
            <x v="2"/>
          </reference>
        </references>
      </pivotArea>
    </format>
    <format dxfId="163">
      <pivotArea dataOnly="0" labelOnly="1" grandRow="1" outline="0" fieldPosition="0"/>
    </format>
    <format dxfId="162">
      <pivotArea dataOnly="0" labelOnly="1" outline="0" fieldPosition="0">
        <references count="1">
          <reference field="4294967294" count="7">
            <x v="0"/>
            <x v="1"/>
            <x v="2"/>
            <x v="3"/>
            <x v="4"/>
            <x v="5"/>
            <x v="6"/>
          </reference>
        </references>
      </pivotArea>
    </format>
    <format dxfId="161">
      <pivotArea type="all" dataOnly="0" outline="0" fieldPosition="0"/>
    </format>
    <format dxfId="160">
      <pivotArea outline="0" collapsedLevelsAreSubtotals="1" fieldPosition="0"/>
    </format>
    <format dxfId="159">
      <pivotArea field="40" type="button" dataOnly="0" labelOnly="1" outline="0" axis="axisRow" fieldPosition="0"/>
    </format>
    <format dxfId="158">
      <pivotArea dataOnly="0" labelOnly="1" fieldPosition="0">
        <references count="1">
          <reference field="40" count="1">
            <x v="0"/>
          </reference>
        </references>
      </pivotArea>
    </format>
    <format dxfId="157">
      <pivotArea dataOnly="0" labelOnly="1" grandRow="1" outline="0" fieldPosition="0"/>
    </format>
    <format dxfId="156">
      <pivotArea dataOnly="0" labelOnly="1" outline="0" fieldPosition="0">
        <references count="1">
          <reference field="4294967294" count="7">
            <x v="0"/>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C4879D0-A6A8-488C-B495-EAD2B931EAC3}" name="Total Transaks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44">
    <pivotField showAll="0"/>
    <pivotField showAll="0"/>
    <pivotField showAll="0"/>
    <pivotField showAll="0"/>
    <pivotField showAll="0"/>
    <pivotField showAll="0">
      <items count="11">
        <item x="4"/>
        <item x="5"/>
        <item x="2"/>
        <item x="8"/>
        <item x="7"/>
        <item x="6"/>
        <item x="3"/>
        <item x="0"/>
        <item x="1"/>
        <item x="9"/>
        <item t="default"/>
      </items>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showAll="0"/>
    <pivotField dataField="1" numFmtId="165" showAll="0"/>
    <pivotField numFmtId="165" showAll="0"/>
    <pivotField showAll="0"/>
    <pivotField numFmtId="9" showAll="0"/>
    <pivotField numFmtId="167" showAll="0"/>
    <pivotField numFmtId="167" showAll="0"/>
    <pivotField numFmtId="167" showAll="0"/>
    <pivotField numFmtId="167" showAll="0"/>
    <pivotField showAll="0"/>
    <pivotField showAll="0">
      <items count="5">
        <item x="3"/>
        <item x="2"/>
        <item x="0"/>
        <item x="1"/>
        <item t="default"/>
      </items>
    </pivotField>
    <pivotField showAll="0"/>
    <pivotField showAll="0">
      <items count="8">
        <item x="0"/>
        <item m="1" x="6"/>
        <item x="3"/>
        <item x="5"/>
        <item x="1"/>
        <item x="2"/>
        <item x="4"/>
        <item t="default"/>
      </items>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Total Transaksi" fld="26" baseField="0" baseItem="0" numFmtId="165"/>
  </dataFields>
  <formats count="6">
    <format dxfId="177">
      <pivotArea type="all" dataOnly="0" outline="0" fieldPosition="0"/>
    </format>
    <format dxfId="176">
      <pivotArea outline="0" collapsedLevelsAreSubtotals="1" fieldPosition="0"/>
    </format>
    <format dxfId="175">
      <pivotArea dataOnly="0" labelOnly="1" outline="0" axis="axisValues" fieldPosition="0"/>
    </format>
    <format dxfId="174">
      <pivotArea type="all" dataOnly="0" outline="0" fieldPosition="0"/>
    </format>
    <format dxfId="173">
      <pivotArea outline="0" collapsedLevelsAreSubtotals="1" fieldPosition="0"/>
    </format>
    <format dxfId="17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7904ED9-2CA3-4E99-BC17-B5C11BBEA5B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0:A41" firstHeaderRow="1" firstDataRow="1" firstDataCol="0"/>
  <pivotFields count="44">
    <pivotField showAll="0"/>
    <pivotField showAll="0"/>
    <pivotField showAll="0"/>
    <pivotField showAll="0"/>
    <pivotField showAll="0"/>
    <pivotField showAll="0">
      <items count="11">
        <item x="4"/>
        <item x="5"/>
        <item x="2"/>
        <item x="8"/>
        <item x="7"/>
        <item x="6"/>
        <item x="3"/>
        <item x="0"/>
        <item x="1"/>
        <item x="9"/>
        <item t="default"/>
      </items>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showAll="0"/>
    <pivotField numFmtId="165" showAll="0"/>
    <pivotField dataField="1" numFmtId="165" showAll="0"/>
    <pivotField showAll="0"/>
    <pivotField numFmtId="9" showAll="0"/>
    <pivotField numFmtId="167" showAll="0"/>
    <pivotField numFmtId="167" showAll="0"/>
    <pivotField numFmtId="167" showAll="0"/>
    <pivotField numFmtId="167" showAll="0"/>
    <pivotField showAll="0"/>
    <pivotField showAll="0"/>
    <pivotField showAll="0"/>
    <pivotField showAll="0">
      <items count="8">
        <item x="0"/>
        <item m="1" x="6"/>
        <item x="3"/>
        <item x="5"/>
        <item x="1"/>
        <item x="2"/>
        <item x="4"/>
        <item t="default"/>
      </items>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Total Modal" fld="27" baseField="0" baseItem="0" numFmtId="165"/>
  </dataFields>
  <formats count="6">
    <format dxfId="183">
      <pivotArea type="all" dataOnly="0" outline="0" fieldPosition="0"/>
    </format>
    <format dxfId="182">
      <pivotArea outline="0" collapsedLevelsAreSubtotals="1" fieldPosition="0"/>
    </format>
    <format dxfId="181">
      <pivotArea dataOnly="0" labelOnly="1" outline="0" axis="axisValues" fieldPosition="0"/>
    </format>
    <format dxfId="180">
      <pivotArea type="all" dataOnly="0" outline="0" fieldPosition="0"/>
    </format>
    <format dxfId="179">
      <pivotArea outline="0" collapsedLevelsAreSubtotals="1" fieldPosition="0"/>
    </format>
    <format dxfId="17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A1B3508-D0E6-4790-B29C-F9780EC64327}" name="Total Quantity Marketpla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5:E10" firstHeaderRow="1" firstDataRow="1" firstDataCol="1"/>
  <pivotFields count="44">
    <pivotField showAll="0"/>
    <pivotField showAll="0"/>
    <pivotField showAll="0"/>
    <pivotField showAll="0"/>
    <pivotField showAll="0"/>
    <pivotField showAll="0">
      <items count="11">
        <item x="4"/>
        <item x="5"/>
        <item x="2"/>
        <item x="8"/>
        <item x="7"/>
        <item x="6"/>
        <item x="3"/>
        <item x="0"/>
        <item x="1"/>
        <item x="9"/>
        <item t="default"/>
      </items>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dataField="1" showAll="0"/>
    <pivotField numFmtId="165" showAll="0"/>
    <pivotField numFmtId="165" showAll="0"/>
    <pivotField showAll="0"/>
    <pivotField numFmtId="9" showAll="0"/>
    <pivotField numFmtId="167" showAll="0"/>
    <pivotField numFmtId="167" showAll="0"/>
    <pivotField numFmtId="167" showAll="0"/>
    <pivotField numFmtId="167" showAll="0"/>
    <pivotField showAll="0"/>
    <pivotField axis="axisRow" showAll="0">
      <items count="5">
        <item x="3"/>
        <item x="2"/>
        <item x="0"/>
        <item x="1"/>
        <item t="default"/>
      </items>
    </pivotField>
    <pivotField showAll="0"/>
    <pivotField showAll="0">
      <items count="8">
        <item x="0"/>
        <item m="1" x="6"/>
        <item x="3"/>
        <item x="5"/>
        <item x="1"/>
        <item x="2"/>
        <item x="4"/>
        <item t="default"/>
      </items>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35"/>
  </rowFields>
  <rowItems count="5">
    <i>
      <x/>
    </i>
    <i>
      <x v="1"/>
    </i>
    <i>
      <x v="2"/>
    </i>
    <i>
      <x v="3"/>
    </i>
    <i t="grand">
      <x/>
    </i>
  </rowItems>
  <colItems count="1">
    <i/>
  </colItems>
  <dataFields count="1">
    <dataField name="Sum of Total Qty" fld="25" baseField="31" baseItem="0" numFmtId="10">
      <extLst>
        <ext xmlns:x14="http://schemas.microsoft.com/office/spreadsheetml/2009/9/main" uri="{E15A36E0-9728-4e99-A89B-3F7291B0FE68}">
          <x14:dataField pivotShowAs="percentOfParentRow"/>
        </ext>
      </extLst>
    </dataField>
  </dataFields>
  <formats count="12">
    <format dxfId="195">
      <pivotArea type="all" dataOnly="0" outline="0" fieldPosition="0"/>
    </format>
    <format dxfId="194">
      <pivotArea outline="0" collapsedLevelsAreSubtotals="1" fieldPosition="0"/>
    </format>
    <format dxfId="193">
      <pivotArea field="35" type="button" dataOnly="0" labelOnly="1" outline="0" axis="axisRow" fieldPosition="0"/>
    </format>
    <format dxfId="192">
      <pivotArea dataOnly="0" labelOnly="1" fieldPosition="0">
        <references count="1">
          <reference field="35" count="0"/>
        </references>
      </pivotArea>
    </format>
    <format dxfId="191">
      <pivotArea dataOnly="0" labelOnly="1" grandRow="1" outline="0" fieldPosition="0"/>
    </format>
    <format dxfId="190">
      <pivotArea dataOnly="0" labelOnly="1" outline="0" axis="axisValues" fieldPosition="0"/>
    </format>
    <format dxfId="189">
      <pivotArea type="all" dataOnly="0" outline="0" fieldPosition="0"/>
    </format>
    <format dxfId="188">
      <pivotArea outline="0" collapsedLevelsAreSubtotals="1" fieldPosition="0"/>
    </format>
    <format dxfId="187">
      <pivotArea field="35" type="button" dataOnly="0" labelOnly="1" outline="0" axis="axisRow" fieldPosition="0"/>
    </format>
    <format dxfId="186">
      <pivotArea dataOnly="0" labelOnly="1" fieldPosition="0">
        <references count="1">
          <reference field="35" count="0"/>
        </references>
      </pivotArea>
    </format>
    <format dxfId="185">
      <pivotArea dataOnly="0" labelOnly="1" grandRow="1" outline="0" fieldPosition="0"/>
    </format>
    <format dxfId="1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9F23D6F-B723-4D8A-B0EA-5C1D4181E362}" name="penjualan marketpla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76:D81" firstHeaderRow="0" firstDataRow="1" firstDataCol="1"/>
  <pivotFields count="44">
    <pivotField showAll="0"/>
    <pivotField showAll="0"/>
    <pivotField showAll="0"/>
    <pivotField showAll="0"/>
    <pivotField showAll="0"/>
    <pivotField showAll="0">
      <items count="11">
        <item x="4"/>
        <item x="5"/>
        <item x="2"/>
        <item x="8"/>
        <item x="7"/>
        <item x="6"/>
        <item x="3"/>
        <item x="0"/>
        <item x="1"/>
        <item x="9"/>
        <item t="default"/>
      </items>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dataField="1" showAll="0"/>
    <pivotField dataField="1" numFmtId="165" showAll="0"/>
    <pivotField numFmtId="165" showAll="0"/>
    <pivotField showAll="0"/>
    <pivotField numFmtId="9" showAll="0"/>
    <pivotField numFmtId="167" showAll="0"/>
    <pivotField numFmtId="167" showAll="0"/>
    <pivotField numFmtId="167" showAll="0"/>
    <pivotField numFmtId="167" showAll="0"/>
    <pivotField showAll="0"/>
    <pivotField axis="axisRow" showAll="0">
      <items count="5">
        <item x="3"/>
        <item x="2"/>
        <item x="0"/>
        <item x="1"/>
        <item t="default"/>
      </items>
    </pivotField>
    <pivotField showAll="0"/>
    <pivotField showAll="0">
      <items count="8">
        <item x="0"/>
        <item m="1" x="6"/>
        <item x="3"/>
        <item x="5"/>
        <item x="1"/>
        <item x="2"/>
        <item x="4"/>
        <item t="default"/>
      </items>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35"/>
  </rowFields>
  <rowItems count="5">
    <i>
      <x/>
    </i>
    <i>
      <x v="1"/>
    </i>
    <i>
      <x v="2"/>
    </i>
    <i>
      <x v="3"/>
    </i>
    <i t="grand">
      <x/>
    </i>
  </rowItems>
  <colFields count="1">
    <field x="-2"/>
  </colFields>
  <colItems count="2">
    <i>
      <x/>
    </i>
    <i i="1">
      <x v="1"/>
    </i>
  </colItems>
  <dataFields count="2">
    <dataField name="Sum of Total Transaksi" fld="26" baseField="0" baseItem="0" numFmtId="165"/>
    <dataField name="Sum of Total Qty" fld="25" baseField="0" baseItem="0"/>
  </dataFields>
  <formats count="10">
    <format dxfId="205">
      <pivotArea type="all" dataOnly="0" outline="0" fieldPosition="0"/>
    </format>
    <format dxfId="204">
      <pivotArea outline="0" collapsedLevelsAreSubtotals="1" fieldPosition="0"/>
    </format>
    <format dxfId="203">
      <pivotArea field="37" type="button" dataOnly="0" labelOnly="1" outline="0"/>
    </format>
    <format dxfId="202">
      <pivotArea dataOnly="0" labelOnly="1" grandRow="1" outline="0" fieldPosition="0"/>
    </format>
    <format dxfId="201">
      <pivotArea dataOnly="0" labelOnly="1" outline="0" axis="axisValues" fieldPosition="0"/>
    </format>
    <format dxfId="200">
      <pivotArea type="all" dataOnly="0" outline="0" fieldPosition="0"/>
    </format>
    <format dxfId="199">
      <pivotArea outline="0" collapsedLevelsAreSubtotals="1" fieldPosition="0"/>
    </format>
    <format dxfId="198">
      <pivotArea field="37" type="button" dataOnly="0" labelOnly="1" outline="0"/>
    </format>
    <format dxfId="197">
      <pivotArea dataOnly="0" labelOnly="1" grandRow="1" outline="0" fieldPosition="0"/>
    </format>
    <format dxfId="1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ABC55D7-674E-475D-935F-FEF860E5E42C}" name="Penjualan Tertinggi (Su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Penjulan terbanyak">
  <location ref="A19:B30" firstHeaderRow="1" firstDataRow="1" firstDataCol="1"/>
  <pivotFields count="44">
    <pivotField showAll="0"/>
    <pivotField showAll="0"/>
    <pivotField showAll="0"/>
    <pivotField showAll="0"/>
    <pivotField showAll="0"/>
    <pivotField axis="axisRow" showAll="0" sortType="ascending">
      <items count="11">
        <item x="4"/>
        <item x="5"/>
        <item x="2"/>
        <item x="8"/>
        <item x="7"/>
        <item x="6"/>
        <item x="3"/>
        <item x="0"/>
        <item x="1"/>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showAll="0"/>
    <pivotField dataField="1" numFmtId="165" showAll="0"/>
    <pivotField numFmtId="165" showAll="0"/>
    <pivotField showAll="0"/>
    <pivotField numFmtId="9" showAll="0"/>
    <pivotField numFmtId="167" showAll="0"/>
    <pivotField numFmtId="167" showAll="0"/>
    <pivotField numFmtId="167" showAll="0"/>
    <pivotField numFmtId="167" showAll="0"/>
    <pivotField showAll="0"/>
    <pivotField showAll="0">
      <items count="5">
        <item x="3"/>
        <item x="2"/>
        <item x="0"/>
        <item x="1"/>
        <item t="default"/>
      </items>
    </pivotField>
    <pivotField showAll="0"/>
    <pivotField showAll="0">
      <items count="8">
        <item x="0"/>
        <item m="1" x="6"/>
        <item x="3"/>
        <item x="5"/>
        <item x="1"/>
        <item x="2"/>
        <item x="4"/>
        <item t="default"/>
      </items>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11">
    <i>
      <x v="7"/>
    </i>
    <i>
      <x v="1"/>
    </i>
    <i>
      <x v="3"/>
    </i>
    <i>
      <x/>
    </i>
    <i>
      <x v="2"/>
    </i>
    <i>
      <x v="6"/>
    </i>
    <i>
      <x v="8"/>
    </i>
    <i>
      <x v="4"/>
    </i>
    <i>
      <x v="5"/>
    </i>
    <i>
      <x v="9"/>
    </i>
    <i t="grand">
      <x/>
    </i>
  </rowItems>
  <colItems count="1">
    <i/>
  </colItems>
  <dataFields count="1">
    <dataField name="Sum of Total Transaksi" fld="26" baseField="0" baseItem="0" numFmtId="165"/>
  </dataFields>
  <formats count="12">
    <format dxfId="217">
      <pivotArea type="all" dataOnly="0" outline="0" fieldPosition="0"/>
    </format>
    <format dxfId="216">
      <pivotArea outline="0" collapsedLevelsAreSubtotals="1" fieldPosition="0"/>
    </format>
    <format dxfId="215">
      <pivotArea field="5" type="button" dataOnly="0" labelOnly="1" outline="0" axis="axisRow" fieldPosition="0"/>
    </format>
    <format dxfId="214">
      <pivotArea dataOnly="0" labelOnly="1" fieldPosition="0">
        <references count="1">
          <reference field="5" count="0"/>
        </references>
      </pivotArea>
    </format>
    <format dxfId="213">
      <pivotArea dataOnly="0" labelOnly="1" grandRow="1" outline="0" fieldPosition="0"/>
    </format>
    <format dxfId="212">
      <pivotArea dataOnly="0" labelOnly="1" outline="0" axis="axisValues" fieldPosition="0"/>
    </format>
    <format dxfId="211">
      <pivotArea type="all" dataOnly="0" outline="0" fieldPosition="0"/>
    </format>
    <format dxfId="210">
      <pivotArea outline="0" collapsedLevelsAreSubtotals="1" fieldPosition="0"/>
    </format>
    <format dxfId="209">
      <pivotArea field="5" type="button" dataOnly="0" labelOnly="1" outline="0" axis="axisRow" fieldPosition="0"/>
    </format>
    <format dxfId="208">
      <pivotArea dataOnly="0" labelOnly="1" fieldPosition="0">
        <references count="1">
          <reference field="5" count="0"/>
        </references>
      </pivotArea>
    </format>
    <format dxfId="207">
      <pivotArea dataOnly="0" labelOnly="1" grandRow="1" outline="0" fieldPosition="0"/>
    </format>
    <format dxfId="206">
      <pivotArea dataOnly="0" labelOnly="1" outline="0" axis="axisValues" fieldPosition="0"/>
    </format>
  </formats>
  <chartFormats count="2">
    <chartFormat chart="4" format="3"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DCDE0D6-ACE5-4A3C-ABA6-DAB908AD0CF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0:D41" firstHeaderRow="0" firstDataRow="1" firstDataCol="0"/>
  <pivotFields count="44">
    <pivotField showAll="0"/>
    <pivotField showAll="0"/>
    <pivotField showAll="0"/>
    <pivotField showAll="0"/>
    <pivotField showAll="0"/>
    <pivotField showAll="0">
      <items count="11">
        <item x="4"/>
        <item x="5"/>
        <item x="2"/>
        <item x="8"/>
        <item x="7"/>
        <item x="6"/>
        <item x="3"/>
        <item x="0"/>
        <item x="1"/>
        <item x="9"/>
        <item t="default"/>
      </items>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showAll="0"/>
    <pivotField numFmtId="165" showAll="0"/>
    <pivotField numFmtId="165" showAll="0"/>
    <pivotField showAll="0"/>
    <pivotField numFmtId="9" showAll="0"/>
    <pivotField dataField="1" numFmtId="167" showAll="0"/>
    <pivotField numFmtId="167" showAll="0"/>
    <pivotField dataField="1" numFmtId="167" showAll="0"/>
    <pivotField dataField="1" numFmtId="167" showAll="0"/>
    <pivotField showAll="0"/>
    <pivotField showAll="0"/>
    <pivotField showAll="0"/>
    <pivotField showAll="0">
      <items count="8">
        <item x="0"/>
        <item m="1" x="6"/>
        <item x="3"/>
        <item x="5"/>
        <item x="1"/>
        <item x="2"/>
        <item x="4"/>
        <item t="default"/>
      </items>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Sum of Laba" fld="32" baseField="0" baseItem="0" numFmtId="167"/>
    <dataField name="Sum of Laba (Descount)" fld="33" baseField="0" baseItem="0" numFmtId="167"/>
    <dataField name="Sum of Potongan Diskon" fld="30" baseField="0" baseItem="0" numFmtId="167"/>
  </dataFields>
  <formats count="6">
    <format dxfId="223">
      <pivotArea type="all" dataOnly="0" outline="0" fieldPosition="0"/>
    </format>
    <format dxfId="222">
      <pivotArea outline="0" collapsedLevelsAreSubtotals="1" fieldPosition="0"/>
    </format>
    <format dxfId="221">
      <pivotArea dataOnly="0" labelOnly="1" outline="0" axis="axisValues" fieldPosition="0"/>
    </format>
    <format dxfId="220">
      <pivotArea type="all" dataOnly="0" outline="0" fieldPosition="0"/>
    </format>
    <format dxfId="219">
      <pivotArea outline="0" collapsedLevelsAreSubtotals="1" fieldPosition="0"/>
    </format>
    <format dxfId="2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4EB43D8-D245-4F5D-9F0A-7080CF322A2C}" name="Item yang paling menguntungkan tertingg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enjulan terbanyak">
  <location ref="E43:F47" firstHeaderRow="1" firstDataRow="1" firstDataCol="1"/>
  <pivotFields count="44">
    <pivotField showAll="0"/>
    <pivotField showAll="0"/>
    <pivotField showAll="0"/>
    <pivotField showAll="0"/>
    <pivotField showAll="0"/>
    <pivotField axis="axisRow" showAll="0" measureFilter="1" sortType="ascending">
      <items count="11">
        <item x="4"/>
        <item x="5"/>
        <item x="2"/>
        <item x="8"/>
        <item x="7"/>
        <item x="6"/>
        <item x="3"/>
        <item x="0"/>
        <item x="1"/>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showAll="0"/>
    <pivotField numFmtId="165" showAll="0"/>
    <pivotField numFmtId="165" showAll="0"/>
    <pivotField showAll="0"/>
    <pivotField numFmtId="9" showAll="0"/>
    <pivotField numFmtId="167" showAll="0"/>
    <pivotField numFmtId="167" showAll="0"/>
    <pivotField numFmtId="167" showAll="0"/>
    <pivotField dataField="1" numFmtId="167" showAll="0"/>
    <pivotField showAll="0"/>
    <pivotField showAll="0">
      <items count="5">
        <item x="3"/>
        <item x="2"/>
        <item x="0"/>
        <item x="1"/>
        <item t="default"/>
      </items>
    </pivotField>
    <pivotField showAll="0"/>
    <pivotField showAll="0">
      <items count="8">
        <item x="0"/>
        <item m="1" x="6"/>
        <item x="3"/>
        <item x="5"/>
        <item x="1"/>
        <item x="2"/>
        <item x="4"/>
        <item t="default"/>
      </items>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4">
    <i>
      <x v="4"/>
    </i>
    <i>
      <x v="5"/>
    </i>
    <i>
      <x v="9"/>
    </i>
    <i t="grand">
      <x/>
    </i>
  </rowItems>
  <colItems count="1">
    <i/>
  </colItems>
  <dataFields count="1">
    <dataField name="Sum of Laba (Descount)" fld="33" baseField="0" baseItem="0" numFmtId="167"/>
  </dataFields>
  <formats count="12">
    <format dxfId="235">
      <pivotArea type="all" dataOnly="0" outline="0" fieldPosition="0"/>
    </format>
    <format dxfId="234">
      <pivotArea outline="0" collapsedLevelsAreSubtotals="1" fieldPosition="0"/>
    </format>
    <format dxfId="233">
      <pivotArea field="5" type="button" dataOnly="0" labelOnly="1" outline="0" axis="axisRow" fieldPosition="0"/>
    </format>
    <format dxfId="232">
      <pivotArea dataOnly="0" labelOnly="1" fieldPosition="0">
        <references count="1">
          <reference field="5" count="0"/>
        </references>
      </pivotArea>
    </format>
    <format dxfId="231">
      <pivotArea dataOnly="0" labelOnly="1" grandRow="1" outline="0" fieldPosition="0"/>
    </format>
    <format dxfId="230">
      <pivotArea dataOnly="0" labelOnly="1" outline="0" axis="axisValues" fieldPosition="0"/>
    </format>
    <format dxfId="229">
      <pivotArea type="all" dataOnly="0" outline="0" fieldPosition="0"/>
    </format>
    <format dxfId="228">
      <pivotArea outline="0" collapsedLevelsAreSubtotals="1" fieldPosition="0"/>
    </format>
    <format dxfId="227">
      <pivotArea field="5" type="button" dataOnly="0" labelOnly="1" outline="0" axis="axisRow" fieldPosition="0"/>
    </format>
    <format dxfId="226">
      <pivotArea dataOnly="0" labelOnly="1" fieldPosition="0">
        <references count="1">
          <reference field="5" count="0"/>
        </references>
      </pivotArea>
    </format>
    <format dxfId="225">
      <pivotArea dataOnly="0" labelOnly="1" grandRow="1" outline="0" fieldPosition="0"/>
    </format>
    <format dxfId="224">
      <pivotArea dataOnly="0" labelOnly="1" outline="0" axis="axisValues" fieldPosition="0"/>
    </format>
  </formats>
  <pivotTableStyleInfo name="PivotStyleLight16" showRowHeaders="1" showColHeaders="1" showRowStripes="0" showColStripes="0" showLastColumn="1"/>
  <filters count="1">
    <filter fld="5"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3928CC1-4952-42CF-861E-AE09B7E97DF7}" name="Rasio keuntunga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H114:I119" firstHeaderRow="1" firstDataRow="1" firstDataCol="1"/>
  <pivotFields count="44">
    <pivotField showAll="0"/>
    <pivotField showAll="0"/>
    <pivotField showAll="0"/>
    <pivotField showAll="0"/>
    <pivotField showAll="0"/>
    <pivotField showAll="0">
      <items count="11">
        <item x="4"/>
        <item x="5"/>
        <item x="2"/>
        <item x="8"/>
        <item x="7"/>
        <item x="6"/>
        <item x="3"/>
        <item x="0"/>
        <item x="1"/>
        <item x="9"/>
        <item t="default"/>
      </items>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showAll="0"/>
    <pivotField numFmtId="165" showAll="0"/>
    <pivotField numFmtId="165" showAll="0"/>
    <pivotField showAll="0"/>
    <pivotField numFmtId="9" showAll="0"/>
    <pivotField numFmtId="167" showAll="0"/>
    <pivotField numFmtId="167" showAll="0"/>
    <pivotField numFmtId="167" showAll="0"/>
    <pivotField numFmtId="167" showAll="0"/>
    <pivotField showAll="0"/>
    <pivotField showAll="0">
      <items count="5">
        <item x="3"/>
        <item x="2"/>
        <item x="0"/>
        <item x="1"/>
        <item t="default"/>
      </items>
    </pivotField>
    <pivotField showAll="0"/>
    <pivotField showAll="0">
      <items count="8">
        <item x="0"/>
        <item m="1" x="6"/>
        <item x="3"/>
        <item x="5"/>
        <item x="1"/>
        <item x="2"/>
        <item x="4"/>
        <item t="default"/>
      </items>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axis="axisRow" showAll="0">
      <items count="7">
        <item x="1"/>
        <item x="2"/>
        <item x="3"/>
        <item x="4"/>
        <item x="0"/>
        <item x="5"/>
        <item t="default"/>
      </items>
    </pivotField>
    <pivotField dragToRow="0" dragToCol="0" dragToPage="0" showAll="0" defaultSubtotal="0"/>
    <pivotField dataField="1" dragToRow="0" dragToCol="0" dragToPage="0" showAll="0" defaultSubtotal="0"/>
    <pivotField dragToRow="0" dragToCol="0" dragToPage="0" showAll="0" defaultSubtotal="0"/>
  </pivotFields>
  <rowFields count="1">
    <field x="40"/>
  </rowFields>
  <rowItems count="5">
    <i>
      <x/>
    </i>
    <i>
      <x v="1"/>
    </i>
    <i>
      <x v="2"/>
    </i>
    <i>
      <x v="3"/>
    </i>
    <i t="grand">
      <x/>
    </i>
  </rowItems>
  <colItems count="1">
    <i/>
  </colItems>
  <dataFields count="1">
    <dataField name="Sum of Profit Margin on sales" fld="42" baseField="0" baseItem="0"/>
  </dataFields>
  <formats count="18">
    <format dxfId="253">
      <pivotArea type="all" dataOnly="0" outline="0" fieldPosition="0"/>
    </format>
    <format dxfId="252">
      <pivotArea outline="0" collapsedLevelsAreSubtotals="1" fieldPosition="0"/>
    </format>
    <format dxfId="251">
      <pivotArea field="40" type="button" dataOnly="0" labelOnly="1" outline="0" axis="axisRow" fieldPosition="0"/>
    </format>
    <format dxfId="250">
      <pivotArea dataOnly="0" labelOnly="1" fieldPosition="0">
        <references count="1">
          <reference field="40" count="4">
            <x v="0"/>
            <x v="1"/>
            <x v="2"/>
            <x v="3"/>
          </reference>
        </references>
      </pivotArea>
    </format>
    <format dxfId="249">
      <pivotArea dataOnly="0" labelOnly="1" grandRow="1" outline="0" fieldPosition="0"/>
    </format>
    <format dxfId="248">
      <pivotArea dataOnly="0" labelOnly="1" outline="0" axis="axisValues" fieldPosition="0"/>
    </format>
    <format dxfId="247">
      <pivotArea type="all" dataOnly="0" outline="0" fieldPosition="0"/>
    </format>
    <format dxfId="246">
      <pivotArea outline="0" collapsedLevelsAreSubtotals="1" fieldPosition="0"/>
    </format>
    <format dxfId="245">
      <pivotArea field="40" type="button" dataOnly="0" labelOnly="1" outline="0" axis="axisRow" fieldPosition="0"/>
    </format>
    <format dxfId="244">
      <pivotArea dataOnly="0" labelOnly="1" fieldPosition="0">
        <references count="1">
          <reference field="40" count="4">
            <x v="0"/>
            <x v="1"/>
            <x v="2"/>
            <x v="3"/>
          </reference>
        </references>
      </pivotArea>
    </format>
    <format dxfId="243">
      <pivotArea dataOnly="0" labelOnly="1" grandRow="1" outline="0" fieldPosition="0"/>
    </format>
    <format dxfId="242">
      <pivotArea dataOnly="0" labelOnly="1" outline="0" axis="axisValues" fieldPosition="0"/>
    </format>
    <format dxfId="241">
      <pivotArea type="all" dataOnly="0" outline="0" fieldPosition="0"/>
    </format>
    <format dxfId="240">
      <pivotArea outline="0" collapsedLevelsAreSubtotals="1" fieldPosition="0"/>
    </format>
    <format dxfId="239">
      <pivotArea field="40" type="button" dataOnly="0" labelOnly="1" outline="0" axis="axisRow" fieldPosition="0"/>
    </format>
    <format dxfId="238">
      <pivotArea dataOnly="0" labelOnly="1" fieldPosition="0">
        <references count="1">
          <reference field="40" count="1">
            <x v="0"/>
          </reference>
        </references>
      </pivotArea>
    </format>
    <format dxfId="237">
      <pivotArea dataOnly="0" labelOnly="1" grandRow="1" outline="0" fieldPosition="0"/>
    </format>
    <format dxfId="236">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0B5C176-141D-400D-8938-406F0F31B3CC}" name="Total Mod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1:D2" firstHeaderRow="1" firstDataRow="1" firstDataCol="0"/>
  <pivotFields count="44">
    <pivotField showAll="0"/>
    <pivotField showAll="0"/>
    <pivotField showAll="0"/>
    <pivotField showAll="0"/>
    <pivotField showAll="0"/>
    <pivotField showAll="0">
      <items count="11">
        <item x="4"/>
        <item x="5"/>
        <item x="2"/>
        <item x="8"/>
        <item x="7"/>
        <item x="6"/>
        <item x="3"/>
        <item x="0"/>
        <item x="1"/>
        <item x="9"/>
        <item t="default"/>
      </items>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showAll="0"/>
    <pivotField numFmtId="165" showAll="0"/>
    <pivotField dataField="1" numFmtId="165" showAll="0"/>
    <pivotField showAll="0"/>
    <pivotField numFmtId="9" showAll="0"/>
    <pivotField numFmtId="167" showAll="0"/>
    <pivotField numFmtId="167" showAll="0"/>
    <pivotField numFmtId="167" showAll="0"/>
    <pivotField numFmtId="167" showAll="0"/>
    <pivotField showAll="0"/>
    <pivotField showAll="0">
      <items count="5">
        <item x="3"/>
        <item x="2"/>
        <item x="0"/>
        <item x="1"/>
        <item t="default"/>
      </items>
    </pivotField>
    <pivotField showAll="0"/>
    <pivotField showAll="0">
      <items count="8">
        <item x="0"/>
        <item m="1" x="6"/>
        <item x="3"/>
        <item x="5"/>
        <item x="1"/>
        <item x="2"/>
        <item x="4"/>
        <item t="default"/>
      </items>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Total Modal" fld="27" baseField="0" baseItem="0" numFmtId="165"/>
  </dataFields>
  <formats count="6">
    <format dxfId="259">
      <pivotArea type="all" dataOnly="0" outline="0" fieldPosition="0"/>
    </format>
    <format dxfId="258">
      <pivotArea outline="0" collapsedLevelsAreSubtotals="1" fieldPosition="0"/>
    </format>
    <format dxfId="257">
      <pivotArea dataOnly="0" labelOnly="1" outline="0" axis="axisValues" fieldPosition="0"/>
    </format>
    <format dxfId="256">
      <pivotArea type="all" dataOnly="0" outline="0" fieldPosition="0"/>
    </format>
    <format dxfId="255">
      <pivotArea outline="0" collapsedLevelsAreSubtotals="1" fieldPosition="0"/>
    </format>
    <format dxfId="2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B122819-FB3E-426F-BAD9-208DF2CD008C}" name="item modal pali tingg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91:C93" firstHeaderRow="1" firstDataRow="1" firstDataCol="1"/>
  <pivotFields count="44">
    <pivotField showAll="0"/>
    <pivotField showAll="0"/>
    <pivotField showAll="0"/>
    <pivotField showAll="0"/>
    <pivotField showAll="0"/>
    <pivotField axis="axisRow" showAll="0" measureFilter="1">
      <items count="11">
        <item x="4"/>
        <item x="5"/>
        <item x="2"/>
        <item x="8"/>
        <item x="7"/>
        <item x="6"/>
        <item x="3"/>
        <item x="0"/>
        <item x="1"/>
        <item x="9"/>
        <item t="default"/>
      </items>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showAll="0"/>
    <pivotField numFmtId="165" showAll="0"/>
    <pivotField dataField="1" numFmtId="165" showAll="0"/>
    <pivotField showAll="0"/>
    <pivotField numFmtId="9" showAll="0"/>
    <pivotField numFmtId="167" showAll="0"/>
    <pivotField numFmtId="167" showAll="0"/>
    <pivotField numFmtId="167" showAll="0"/>
    <pivotField numFmtId="167" showAll="0"/>
    <pivotField showAll="0"/>
    <pivotField showAll="0">
      <items count="5">
        <item x="3"/>
        <item x="2"/>
        <item x="0"/>
        <item x="1"/>
        <item t="default"/>
      </items>
    </pivotField>
    <pivotField showAll="0"/>
    <pivotField showAll="0">
      <items count="8">
        <item x="0"/>
        <item m="1" x="6"/>
        <item x="3"/>
        <item x="5"/>
        <item x="1"/>
        <item x="2"/>
        <item x="4"/>
        <item t="default"/>
      </items>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2">
    <i>
      <x v="9"/>
    </i>
    <i t="grand">
      <x/>
    </i>
  </rowItems>
  <colItems count="1">
    <i/>
  </colItems>
  <dataFields count="1">
    <dataField name="Sum of Total Modal" fld="27" baseField="0" baseItem="0" numFmtId="165"/>
  </dataFields>
  <formats count="10">
    <format dxfId="269">
      <pivotArea type="all" dataOnly="0" outline="0" fieldPosition="0"/>
    </format>
    <format dxfId="268">
      <pivotArea outline="0" collapsedLevelsAreSubtotals="1" fieldPosition="0"/>
    </format>
    <format dxfId="267">
      <pivotArea field="37" type="button" dataOnly="0" labelOnly="1" outline="0"/>
    </format>
    <format dxfId="266">
      <pivotArea dataOnly="0" labelOnly="1" grandRow="1" outline="0" fieldPosition="0"/>
    </format>
    <format dxfId="265">
      <pivotArea dataOnly="0" labelOnly="1" outline="0" axis="axisValues" fieldPosition="0"/>
    </format>
    <format dxfId="264">
      <pivotArea type="all" dataOnly="0" outline="0" fieldPosition="0"/>
    </format>
    <format dxfId="263">
      <pivotArea outline="0" collapsedLevelsAreSubtotals="1" fieldPosition="0"/>
    </format>
    <format dxfId="262">
      <pivotArea field="37" type="button" dataOnly="0" labelOnly="1" outline="0"/>
    </format>
    <format dxfId="261">
      <pivotArea dataOnly="0" labelOnly="1" grandRow="1" outline="0" fieldPosition="0"/>
    </format>
    <format dxfId="260">
      <pivotArea dataOnly="0" labelOnly="1" outline="0" axis="axisValues" fieldPosition="0"/>
    </format>
  </formats>
  <pivotTableStyleInfo name="PivotStyleLight16" showRowHeaders="1" showColHeaders="1" showRowStripes="0" showColStripes="0" showLastColumn="1"/>
  <filters count="1">
    <filter fld="5"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567B835-9A40-4C66-BB60-E1BE936B9391}" name="Total Transaksi Perwilayah (Su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3:F20" firstHeaderRow="1" firstDataRow="1" firstDataCol="1"/>
  <pivotFields count="44">
    <pivotField showAll="0"/>
    <pivotField showAll="0"/>
    <pivotField showAll="0"/>
    <pivotField showAll="0"/>
    <pivotField showAll="0"/>
    <pivotField showAll="0">
      <items count="11">
        <item x="4"/>
        <item x="5"/>
        <item x="2"/>
        <item x="8"/>
        <item x="7"/>
        <item x="6"/>
        <item x="3"/>
        <item x="0"/>
        <item x="1"/>
        <item x="9"/>
        <item t="default"/>
      </items>
    </pivotField>
    <pivotField showAll="0"/>
    <pivotField showAll="0"/>
    <pivotField showAll="0"/>
    <pivotField numFmtId="166" showAll="0"/>
    <pivotField numFmtId="166"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numFmtId="166" showAll="0"/>
    <pivotField numFmtId="168" showAll="0"/>
    <pivotField showAll="0"/>
    <pivotField dataField="1" numFmtId="165" showAll="0"/>
    <pivotField numFmtId="165" showAll="0"/>
    <pivotField showAll="0"/>
    <pivotField numFmtId="9" showAll="0"/>
    <pivotField numFmtId="167" showAll="0"/>
    <pivotField numFmtId="167" showAll="0"/>
    <pivotField numFmtId="167" showAll="0"/>
    <pivotField numFmtId="167" showAll="0"/>
    <pivotField showAll="0"/>
    <pivotField showAll="0">
      <items count="5">
        <item x="3"/>
        <item x="2"/>
        <item x="0"/>
        <item x="1"/>
        <item t="default"/>
      </items>
    </pivotField>
    <pivotField showAll="0"/>
    <pivotField axis="axisRow" showAll="0" sortType="ascending">
      <items count="8">
        <item x="0"/>
        <item m="1" x="6"/>
        <item x="3"/>
        <item x="5"/>
        <item x="1"/>
        <item x="2"/>
        <item x="4"/>
        <item t="default"/>
      </items>
      <autoSortScope>
        <pivotArea dataOnly="0" outline="0" fieldPosition="0">
          <references count="1">
            <reference field="4294967294" count="1" selected="0">
              <x v="0"/>
            </reference>
          </references>
        </pivotArea>
      </autoSortScope>
    </pivotField>
    <pivotField numFmtId="14" showAll="0">
      <items count="1001">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x="0"/>
        <item x="1"/>
        <item x="2"/>
        <item x="3"/>
        <item x="4"/>
        <item x="5"/>
        <item m="1" x="614"/>
        <item x="6"/>
        <item x="7"/>
        <item x="8"/>
        <item x="9"/>
        <item x="10"/>
        <item m="1" x="615"/>
        <item x="11"/>
        <item x="12"/>
        <item x="13"/>
        <item x="14"/>
        <item x="15"/>
        <item x="16"/>
        <item m="1" x="616"/>
        <item x="17"/>
        <item x="18"/>
        <item x="19"/>
        <item x="20"/>
        <item x="21"/>
        <item x="22"/>
        <item m="1" x="617"/>
        <item x="23"/>
        <item x="24"/>
        <item x="25"/>
        <item x="26"/>
        <item x="27"/>
        <item x="28"/>
        <item x="29"/>
        <item x="30"/>
        <item x="31"/>
        <item x="32"/>
        <item x="33"/>
        <item x="34"/>
        <item x="35"/>
        <item x="36"/>
        <item x="37"/>
        <item x="38"/>
        <item x="39"/>
        <item x="40"/>
        <item m="1" x="618"/>
        <item x="41"/>
        <item x="42"/>
        <item x="43"/>
        <item x="44"/>
        <item x="45"/>
        <item x="46"/>
        <item x="47"/>
        <item x="48"/>
        <item x="49"/>
        <item x="50"/>
        <item x="51"/>
        <item x="52"/>
        <item x="53"/>
        <item x="54"/>
        <item x="55"/>
        <item x="56"/>
        <item x="57"/>
        <item x="58"/>
        <item x="59"/>
        <item x="60"/>
        <item x="61"/>
        <item x="62"/>
        <item x="63"/>
        <item m="1" x="619"/>
        <item x="64"/>
        <item x="65"/>
        <item x="66"/>
        <item x="67"/>
        <item x="68"/>
        <item x="69"/>
        <item x="70"/>
        <item m="1" x="620"/>
        <item x="71"/>
        <item x="72"/>
        <item x="73"/>
        <item x="74"/>
        <item x="75"/>
        <item x="76"/>
        <item x="77"/>
        <item x="78"/>
        <item x="79"/>
        <item x="80"/>
        <item x="81"/>
        <item x="82"/>
        <item x="83"/>
        <item x="84"/>
        <item x="85"/>
        <item m="1" x="621"/>
        <item x="86"/>
        <item m="1" x="622"/>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m="1" x="623"/>
        <item x="152"/>
        <item x="153"/>
        <item m="1" x="624"/>
        <item x="154"/>
        <item x="155"/>
        <item x="156"/>
        <item x="157"/>
        <item x="158"/>
        <item x="159"/>
        <item x="160"/>
        <item x="161"/>
        <item x="162"/>
        <item x="163"/>
        <item x="164"/>
        <item x="165"/>
        <item x="166"/>
        <item x="167"/>
        <item x="168"/>
        <item x="169"/>
        <item x="170"/>
        <item x="171"/>
        <item x="172"/>
        <item x="173"/>
        <item x="174"/>
        <item x="175"/>
        <item m="1" x="625"/>
        <item x="176"/>
        <item x="177"/>
        <item x="178"/>
        <item x="179"/>
        <item x="180"/>
        <item x="181"/>
        <item x="182"/>
        <item m="1" x="626"/>
        <item x="183"/>
        <item x="184"/>
        <item x="185"/>
        <item x="186"/>
        <item x="187"/>
        <item x="188"/>
        <item x="189"/>
        <item x="190"/>
        <item x="191"/>
        <item x="192"/>
        <item x="193"/>
        <item x="194"/>
        <item x="195"/>
        <item x="196"/>
        <item x="197"/>
        <item x="198"/>
        <item x="199"/>
        <item m="1" x="627"/>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m="1" x="628"/>
        <item x="230"/>
        <item x="231"/>
        <item x="232"/>
        <item x="233"/>
        <item x="234"/>
        <item x="235"/>
        <item x="236"/>
        <item x="237"/>
        <item x="238"/>
        <item x="239"/>
        <item x="240"/>
        <item x="241"/>
        <item m="1" x="629"/>
        <item x="242"/>
        <item x="243"/>
        <item x="244"/>
        <item m="1" x="630"/>
        <item x="245"/>
        <item m="1" x="631"/>
        <item x="246"/>
        <item x="247"/>
        <item x="248"/>
        <item x="249"/>
        <item x="250"/>
        <item x="251"/>
        <item x="252"/>
        <item x="253"/>
        <item x="254"/>
        <item x="255"/>
        <item x="256"/>
        <item x="257"/>
        <item x="258"/>
        <item x="259"/>
        <item x="260"/>
        <item m="1" x="632"/>
        <item x="261"/>
        <item x="262"/>
        <item x="263"/>
        <item x="264"/>
        <item m="1" x="633"/>
        <item x="265"/>
        <item x="266"/>
        <item x="267"/>
        <item x="268"/>
        <item x="269"/>
        <item x="270"/>
        <item x="271"/>
        <item x="272"/>
        <item x="273"/>
        <item x="274"/>
        <item x="275"/>
        <item x="276"/>
        <item x="277"/>
        <item x="278"/>
        <item x="279"/>
        <item m="1" x="634"/>
        <item x="280"/>
        <item x="281"/>
        <item x="282"/>
        <item x="283"/>
        <item m="1" x="635"/>
        <item x="284"/>
        <item m="1" x="636"/>
        <item x="285"/>
        <item x="286"/>
        <item x="287"/>
        <item x="288"/>
        <item m="1" x="63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m="1" x="638"/>
        <item x="321"/>
        <item x="322"/>
        <item m="1" x="639"/>
        <item x="323"/>
        <item x="324"/>
        <item x="325"/>
        <item x="326"/>
        <item x="327"/>
        <item x="328"/>
        <item x="329"/>
        <item x="330"/>
        <item m="1" x="640"/>
        <item x="331"/>
        <item x="332"/>
        <item x="333"/>
        <item x="334"/>
        <item x="335"/>
        <item x="336"/>
        <item x="337"/>
        <item x="338"/>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37"/>
  </rowFields>
  <rowItems count="7">
    <i>
      <x v="3"/>
    </i>
    <i>
      <x/>
    </i>
    <i>
      <x v="4"/>
    </i>
    <i>
      <x v="5"/>
    </i>
    <i>
      <x v="6"/>
    </i>
    <i>
      <x v="2"/>
    </i>
    <i t="grand">
      <x/>
    </i>
  </rowItems>
  <colItems count="1">
    <i/>
  </colItems>
  <dataFields count="1">
    <dataField name="Sum of Total Transaksi" fld="26" baseField="0" baseItem="0" numFmtId="165"/>
  </dataFields>
  <formats count="12">
    <format dxfId="281">
      <pivotArea type="all" dataOnly="0" outline="0" fieldPosition="0"/>
    </format>
    <format dxfId="280">
      <pivotArea outline="0" collapsedLevelsAreSubtotals="1" fieldPosition="0"/>
    </format>
    <format dxfId="279">
      <pivotArea field="37" type="button" dataOnly="0" labelOnly="1" outline="0" axis="axisRow" fieldPosition="0"/>
    </format>
    <format dxfId="278">
      <pivotArea dataOnly="0" labelOnly="1" fieldPosition="0">
        <references count="1">
          <reference field="37" count="0"/>
        </references>
      </pivotArea>
    </format>
    <format dxfId="277">
      <pivotArea dataOnly="0" labelOnly="1" grandRow="1" outline="0" fieldPosition="0"/>
    </format>
    <format dxfId="276">
      <pivotArea dataOnly="0" labelOnly="1" outline="0" axis="axisValues" fieldPosition="0"/>
    </format>
    <format dxfId="275">
      <pivotArea type="all" dataOnly="0" outline="0" fieldPosition="0"/>
    </format>
    <format dxfId="274">
      <pivotArea outline="0" collapsedLevelsAreSubtotals="1" fieldPosition="0"/>
    </format>
    <format dxfId="273">
      <pivotArea field="37" type="button" dataOnly="0" labelOnly="1" outline="0" axis="axisRow" fieldPosition="0"/>
    </format>
    <format dxfId="272">
      <pivotArea dataOnly="0" labelOnly="1" fieldPosition="0">
        <references count="1">
          <reference field="37" count="0"/>
        </references>
      </pivotArea>
    </format>
    <format dxfId="271">
      <pivotArea dataOnly="0" labelOnly="1" grandRow="1" outline="0" fieldPosition="0"/>
    </format>
    <format dxfId="27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anggal_terjual" xr10:uid="{7A84EEA2-6A9E-4AAD-AFA0-05D034CA4E1C}" sourceName="Months (Tanggal terjual)">
  <pivotTables>
    <pivotTable tabId="13" name="item laba tertinngi"/>
    <pivotTable tabId="13" name="item modal pali tinggi"/>
    <pivotTable tabId="13" name="Item yang paling menguntungkan tertinggi"/>
    <pivotTable tabId="13" name="Pejualan Tertinggi (Qty)"/>
    <pivotTable tabId="13" name="penjualan marketplace"/>
    <pivotTable tabId="13" name="penjualan terbanyak"/>
    <pivotTable tabId="13" name="Total Quantity Marketplace"/>
    <pivotTable tabId="13" name="Total Transaksi"/>
    <pivotTable tabId="13" name="Total Transaksi Makrketpalce"/>
    <pivotTable tabId="13" name="Total Transaksi Perwilayah (Sum)"/>
    <pivotTable tabId="13" name="wilayah tertinggi"/>
    <pivotTable tabId="13" name="Penjualan Tertinggi (Sum)"/>
    <pivotTable tabId="13" name="PivotTable2"/>
    <pivotTable tabId="13" name="PivotTable3"/>
    <pivotTable tabId="13" name="PivotTable6"/>
    <pivotTable tabId="13" name="PivotTable7"/>
    <pivotTable tabId="13" name="Total Modal"/>
    <pivotTable tabId="13" name="Transaksi Perbulan"/>
    <pivotTable tabId="13" name="Laba Bersih"/>
  </pivotTables>
  <data>
    <tabular pivotCacheId="1279055065">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Tanggal_terjual" xr10:uid="{1AAD6D6A-7DB6-4EEE-9195-6470E1B49E4D}" sourceName="Quarters (Tanggal terjual)">
  <pivotTables>
    <pivotTable tabId="13" name="item laba tertinngi"/>
    <pivotTable tabId="13" name="item modal pali tinggi"/>
    <pivotTable tabId="13" name="Item yang paling menguntungkan tertinggi"/>
    <pivotTable tabId="13" name="Laba Bersih"/>
    <pivotTable tabId="13" name="Pejualan Tertinggi (Qty)"/>
    <pivotTable tabId="13" name="penjualan marketplace"/>
    <pivotTable tabId="13" name="penjualan terbanyak"/>
    <pivotTable tabId="13" name="PivotTable3"/>
    <pivotTable tabId="13" name="Total Quantity Marketplace"/>
    <pivotTable tabId="13" name="Total Transaksi"/>
    <pivotTable tabId="13" name="Total Transaksi Makrketpalce"/>
    <pivotTable tabId="13" name="Total Transaksi Perwilayah (Sum)"/>
    <pivotTable tabId="13" name="wilayah tertinggi"/>
    <pivotTable tabId="13" name="Penjualan Tertinggi (Sum)"/>
    <pivotTable tabId="13" name="PivotTable2"/>
    <pivotTable tabId="13" name="PivotTable6"/>
    <pivotTable tabId="13" name="PivotTable7"/>
    <pivotTable tabId="13" name="Total Modal"/>
  </pivotTables>
  <data>
    <tabular pivotCacheId="1279055065">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place" xr10:uid="{BF6E9B25-03B6-4B95-B458-AA62B7DE3699}" sourceName="Marketplace">
  <pivotTables>
    <pivotTable tabId="13" name="Rasio modal kerja"/>
    <pivotTable tabId="13" name="item laba tertinngi"/>
    <pivotTable tabId="13" name="item modal pali tinggi"/>
    <pivotTable tabId="13" name="Item yang paling menguntungkan tertinggi"/>
    <pivotTable tabId="13" name="Laba Bersih"/>
    <pivotTable tabId="13" name="Modal Perkuartal"/>
    <pivotTable tabId="13" name="Pejualan Tertinggi (Qty)"/>
    <pivotTable tabId="13" name="penghasilan perkuartal"/>
    <pivotTable tabId="13" name="penjualan terbanyak"/>
    <pivotTable tabId="13" name="Penjualan Tertinggi (Sum)"/>
    <pivotTable tabId="13" name="PivotTable2"/>
    <pivotTable tabId="13" name="PivotTable3"/>
    <pivotTable tabId="13" name="Total Modal"/>
    <pivotTable tabId="13" name="Total Quantity Marketplace"/>
    <pivotTable tabId="13" name="Total Transaksi"/>
    <pivotTable tabId="13" name="Total Transaksi Perwilayah (Sum)"/>
    <pivotTable tabId="13" name="Transaksi Perbulan"/>
    <pivotTable tabId="13" name="Rasio diskon"/>
    <pivotTable tabId="13" name="Rasio keuntungan"/>
    <pivotTable tabId="13" name="wilayah tertinggi"/>
  </pivotTables>
  <data>
    <tabular pivotCacheId="1279055065">
      <items count="4">
        <i x="3"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enis_item" xr10:uid="{1ED47EAC-DFF5-4258-AA4B-8E83F10C6812}" sourceName="Jenis item">
  <pivotTables>
    <pivotTable tabId="13" name="Penjualan Tertinggi (Sum)"/>
    <pivotTable tabId="13" name="Laba Bersih"/>
    <pivotTable tabId="13" name="Modal Perkuartal"/>
    <pivotTable tabId="13" name="penghasilan perkuartal"/>
    <pivotTable tabId="13" name="penjualan marketplace"/>
    <pivotTable tabId="13" name="PivotTable2"/>
    <pivotTable tabId="13" name="PivotTable3"/>
    <pivotTable tabId="13" name="PivotTable6"/>
    <pivotTable tabId="13" name="PivotTable7"/>
    <pivotTable tabId="13" name="Rasio diskon"/>
    <pivotTable tabId="13" name="Rasio keuntungan"/>
    <pivotTable tabId="13" name="Rasio modal kerja"/>
    <pivotTable tabId="13" name="Total Modal"/>
    <pivotTable tabId="13" name="Total Quantity Marketplace"/>
    <pivotTable tabId="13" name="Total Transaksi"/>
    <pivotTable tabId="13" name="Total Transaksi Makrketpalce"/>
    <pivotTable tabId="13" name="Total Transaksi Perwilayah (Sum)"/>
    <pivotTable tabId="13" name="Transaksi Perbulan"/>
    <pivotTable tabId="13" name="wilayah tertinggi"/>
  </pivotTables>
  <data>
    <tabular pivotCacheId="1279055065">
      <items count="10">
        <i x="4" s="1"/>
        <i x="5" s="1"/>
        <i x="2" s="1"/>
        <i x="8" s="1"/>
        <i x="7" s="1"/>
        <i x="6" s="1"/>
        <i x="3" s="1"/>
        <i x="0" s="1"/>
        <i x="1" s="1"/>
        <i x="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kasi_pembeli" xr10:uid="{1848D2F9-ABCF-4A41-88D1-6DA5BD471F91}" sourceName="Lokasi pembeli">
  <pivotTables>
    <pivotTable tabId="13" name="Pejualan Tertinggi (Qty)"/>
    <pivotTable tabId="13" name="item laba tertinngi"/>
    <pivotTable tabId="13" name="item modal pali tinggi"/>
    <pivotTable tabId="13" name="Item yang paling menguntungkan tertinggi"/>
    <pivotTable tabId="13" name="Laba Bersih"/>
    <pivotTable tabId="13" name="Modal Perkuartal"/>
    <pivotTable tabId="13" name="penghasilan perkuartal"/>
    <pivotTable tabId="13" name="penjualan marketplace"/>
    <pivotTable tabId="13" name="penjualan terbanyak"/>
    <pivotTable tabId="13" name="PivotTable3"/>
    <pivotTable tabId="13" name="Rasio diskon"/>
    <pivotTable tabId="13" name="Rasio keuntungan"/>
    <pivotTable tabId="13" name="Rasio modal kerja"/>
    <pivotTable tabId="13" name="Total Modal"/>
    <pivotTable tabId="13" name="Total Quantity Marketplace"/>
    <pivotTable tabId="13" name="Total Transaksi"/>
    <pivotTable tabId="13" name="Total Transaksi Makrketpalce"/>
    <pivotTable tabId="13" name="Transaksi Perbulan"/>
    <pivotTable tabId="13" name="Penjualan Tertinggi (Sum)"/>
    <pivotTable tabId="13" name="PivotTable2"/>
    <pivotTable tabId="13" name="PivotTable6"/>
    <pivotTable tabId="13" name="PivotTable7"/>
  </pivotTables>
  <data>
    <tabular pivotCacheId="1279055065">
      <items count="7">
        <i x="0" s="1"/>
        <i x="3" s="1"/>
        <i x="5" s="1"/>
        <i x="1" s="1"/>
        <i x="2" s="1"/>
        <i x="4"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Tanggal terjual) 1" xr10:uid="{66F77ADF-040C-426F-8277-F76233CF3B12}" cache="Slicer_Months__Tanggal_terjual" caption="Months (Tanggal terjual)" columnCount="4" rowHeight="432000"/>
  <slicer name="Quarters (Tanggal terjual) 1" xr10:uid="{FBFE220D-5924-4189-AB32-D67E29C89F86}" cache="Slicer_Quarters__Tanggal_terjual" caption="Quarters (Tanggal terjual)" rowHeight="225425"/>
  <slicer name="Marketplace 1" xr10:uid="{470260EA-44A6-48AA-A427-D7C68D2EC30B}" cache="Slicer_Marketplace" caption="Marketplace" columnCount="2" rowHeight="225425"/>
  <slicer name="Jenis item 1" xr10:uid="{864FBE98-8B34-4AB2-BF05-BB723D155F80}" cache="Slicer_Jenis_item" caption="Jenis item" rowHeight="225425"/>
  <slicer name="Lokasi pembeli 1" xr10:uid="{BCE190EF-C649-4092-B165-DE0DF9F912A0}" cache="Slicer_Lokasi_pembeli" caption="Lokasi pembeli"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E8E7DF-F8DC-4CF5-AE74-22BFC23C272B}" name="Table4" displayName="Table4" ref="A1:B5" totalsRowShown="0">
  <autoFilter ref="A1:B5" xr:uid="{52E8E7DF-F8DC-4CF5-AE74-22BFC23C272B}"/>
  <tableColumns count="2">
    <tableColumn id="1" xr3:uid="{95EB7BFD-B1C4-4AA7-9468-27A344391A32}" name="No"/>
    <tableColumn id="2" xr3:uid="{7E6574A7-431C-4563-85F5-FF9F448D1A53}" name="Nama Kelompok"/>
  </tableColumns>
  <tableStyleInfo name="TableStyleLight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 /><Relationship Id="rId1" Type="http://schemas.openxmlformats.org/officeDocument/2006/relationships/vmlDrawing" Target="../drawings/vmlDrawing1.vml" /></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 /><Relationship Id="rId13" Type="http://schemas.openxmlformats.org/officeDocument/2006/relationships/pivotTable" Target="../pivotTables/pivotTable13.xml" /><Relationship Id="rId18" Type="http://schemas.openxmlformats.org/officeDocument/2006/relationships/pivotTable" Target="../pivotTables/pivotTable18.xml" /><Relationship Id="rId26" Type="http://schemas.openxmlformats.org/officeDocument/2006/relationships/drawing" Target="../drawings/drawing1.xml" /><Relationship Id="rId3" Type="http://schemas.openxmlformats.org/officeDocument/2006/relationships/pivotTable" Target="../pivotTables/pivotTable3.xml" /><Relationship Id="rId21" Type="http://schemas.openxmlformats.org/officeDocument/2006/relationships/pivotTable" Target="../pivotTables/pivotTable21.xml" /><Relationship Id="rId7" Type="http://schemas.openxmlformats.org/officeDocument/2006/relationships/pivotTable" Target="../pivotTables/pivotTable7.xml" /><Relationship Id="rId12" Type="http://schemas.openxmlformats.org/officeDocument/2006/relationships/pivotTable" Target="../pivotTables/pivotTable12.xml" /><Relationship Id="rId17" Type="http://schemas.openxmlformats.org/officeDocument/2006/relationships/pivotTable" Target="../pivotTables/pivotTable17.xml" /><Relationship Id="rId25" Type="http://schemas.openxmlformats.org/officeDocument/2006/relationships/printerSettings" Target="../printerSettings/printerSettings2.bin" /><Relationship Id="rId2" Type="http://schemas.openxmlformats.org/officeDocument/2006/relationships/pivotTable" Target="../pivotTables/pivotTable2.xml" /><Relationship Id="rId16" Type="http://schemas.openxmlformats.org/officeDocument/2006/relationships/pivotTable" Target="../pivotTables/pivotTable16.xml" /><Relationship Id="rId20" Type="http://schemas.openxmlformats.org/officeDocument/2006/relationships/pivotTable" Target="../pivotTables/pivotTable20.xml" /><Relationship Id="rId1" Type="http://schemas.openxmlformats.org/officeDocument/2006/relationships/pivotTable" Target="../pivotTables/pivotTable1.xml" /><Relationship Id="rId6" Type="http://schemas.openxmlformats.org/officeDocument/2006/relationships/pivotTable" Target="../pivotTables/pivotTable6.xml" /><Relationship Id="rId11" Type="http://schemas.openxmlformats.org/officeDocument/2006/relationships/pivotTable" Target="../pivotTables/pivotTable11.xml" /><Relationship Id="rId24" Type="http://schemas.openxmlformats.org/officeDocument/2006/relationships/pivotTable" Target="../pivotTables/pivotTable24.xml" /><Relationship Id="rId5" Type="http://schemas.openxmlformats.org/officeDocument/2006/relationships/pivotTable" Target="../pivotTables/pivotTable5.xml" /><Relationship Id="rId15" Type="http://schemas.openxmlformats.org/officeDocument/2006/relationships/pivotTable" Target="../pivotTables/pivotTable15.xml" /><Relationship Id="rId23" Type="http://schemas.openxmlformats.org/officeDocument/2006/relationships/pivotTable" Target="../pivotTables/pivotTable23.xml" /><Relationship Id="rId10" Type="http://schemas.openxmlformats.org/officeDocument/2006/relationships/pivotTable" Target="../pivotTables/pivotTable10.xml" /><Relationship Id="rId19" Type="http://schemas.openxmlformats.org/officeDocument/2006/relationships/pivotTable" Target="../pivotTables/pivotTable19.xml" /><Relationship Id="rId4" Type="http://schemas.openxmlformats.org/officeDocument/2006/relationships/pivotTable" Target="../pivotTables/pivotTable4.xml" /><Relationship Id="rId9" Type="http://schemas.openxmlformats.org/officeDocument/2006/relationships/pivotTable" Target="../pivotTables/pivotTable9.xml" /><Relationship Id="rId14" Type="http://schemas.openxmlformats.org/officeDocument/2006/relationships/pivotTable" Target="../pivotTables/pivotTable14.xml" /><Relationship Id="rId22" Type="http://schemas.openxmlformats.org/officeDocument/2006/relationships/pivotTable" Target="../pivotTables/pivotTable22.xml" /></Relationships>
</file>

<file path=xl/worksheets/_rels/sheet7.xml.rels><?xml version="1.0" encoding="UTF-8" standalone="yes"?>
<Relationships xmlns="http://schemas.openxmlformats.org/package/2006/relationships"><Relationship Id="rId2" Type="http://schemas.microsoft.com/office/2007/relationships/slicer" Target="../slicers/slicer1.xml" /><Relationship Id="rId1" Type="http://schemas.openxmlformats.org/officeDocument/2006/relationships/drawing" Target="../drawings/drawing2.xml" /></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57"/>
  <sheetViews>
    <sheetView topLeftCell="A7" zoomScale="145" zoomScaleNormal="145" workbookViewId="0">
      <selection activeCell="B13" sqref="B13"/>
    </sheetView>
  </sheetViews>
  <sheetFormatPr defaultColWidth="12.67578125" defaultRowHeight="15.75" customHeight="1" x14ac:dyDescent="0.15"/>
  <cols>
    <col min="1" max="1" width="24.8125" style="11" customWidth="1"/>
    <col min="2" max="16384" width="12.67578125" style="11"/>
  </cols>
  <sheetData>
    <row r="1" spans="1:10" ht="13.5" x14ac:dyDescent="0.15">
      <c r="A1" s="13" t="s">
        <v>41</v>
      </c>
      <c r="B1" s="1"/>
      <c r="C1" s="1"/>
      <c r="D1" s="1"/>
      <c r="E1" s="1"/>
      <c r="F1" s="1"/>
    </row>
    <row r="2" spans="1:10" ht="12.75" x14ac:dyDescent="0.15">
      <c r="A2" s="1" t="s">
        <v>926</v>
      </c>
      <c r="B2" s="1"/>
      <c r="C2" s="1"/>
      <c r="D2" s="1"/>
      <c r="E2" s="1"/>
      <c r="F2" s="1"/>
    </row>
    <row r="3" spans="1:10" ht="12.75" x14ac:dyDescent="0.15">
      <c r="A3" s="1"/>
      <c r="B3" s="1" t="s">
        <v>42</v>
      </c>
      <c r="C3" s="1" t="s">
        <v>957</v>
      </c>
      <c r="D3" s="1"/>
      <c r="E3" s="1"/>
      <c r="F3" s="1"/>
    </row>
    <row r="4" spans="1:10" ht="12.75" x14ac:dyDescent="0.15">
      <c r="A4" s="1"/>
      <c r="B4" s="1"/>
      <c r="C4" s="1" t="s">
        <v>958</v>
      </c>
      <c r="D4" s="1"/>
      <c r="E4" s="1"/>
      <c r="F4" s="1"/>
    </row>
    <row r="5" spans="1:10" ht="12.75" x14ac:dyDescent="0.15">
      <c r="A5" s="11" t="s">
        <v>927</v>
      </c>
      <c r="B5" s="1"/>
      <c r="C5" s="1"/>
      <c r="D5" s="1"/>
      <c r="E5" s="1"/>
      <c r="F5" s="1"/>
      <c r="J5" s="11" t="s">
        <v>930</v>
      </c>
    </row>
    <row r="6" spans="1:10" ht="12.75" x14ac:dyDescent="0.15">
      <c r="A6" s="11" t="s">
        <v>928</v>
      </c>
      <c r="B6" s="1"/>
      <c r="C6" s="1"/>
      <c r="D6" s="1"/>
      <c r="E6" s="1"/>
      <c r="F6" s="1"/>
    </row>
    <row r="7" spans="1:10" ht="12.75" x14ac:dyDescent="0.15">
      <c r="A7" s="11" t="s">
        <v>929</v>
      </c>
      <c r="B7" s="1"/>
      <c r="C7" s="1"/>
      <c r="D7" s="1"/>
      <c r="E7" s="1"/>
      <c r="F7" s="1"/>
    </row>
    <row r="8" spans="1:10" ht="12.75" x14ac:dyDescent="0.15">
      <c r="A8" s="1" t="s">
        <v>953</v>
      </c>
      <c r="B8" s="1"/>
      <c r="C8" s="1"/>
      <c r="D8" s="1"/>
      <c r="E8" s="1"/>
      <c r="F8" s="1"/>
    </row>
    <row r="9" spans="1:10" ht="12.75" x14ac:dyDescent="0.15">
      <c r="A9" s="1" t="s">
        <v>954</v>
      </c>
      <c r="B9" s="1"/>
      <c r="C9" s="1"/>
      <c r="D9" s="1"/>
      <c r="E9" s="1"/>
      <c r="F9" s="1"/>
    </row>
    <row r="10" spans="1:10" ht="12.75" x14ac:dyDescent="0.15">
      <c r="A10" s="1" t="s">
        <v>955</v>
      </c>
    </row>
    <row r="11" spans="1:10" ht="15.75" customHeight="1" x14ac:dyDescent="0.15">
      <c r="A11" s="1" t="s">
        <v>956</v>
      </c>
    </row>
    <row r="12" spans="1:10" ht="15.75" customHeight="1" x14ac:dyDescent="0.15">
      <c r="A12" s="1" t="s">
        <v>952</v>
      </c>
      <c r="B12" s="1"/>
    </row>
    <row r="13" spans="1:10" ht="15.75" customHeight="1" x14ac:dyDescent="0.15">
      <c r="A13" s="1" t="s">
        <v>9</v>
      </c>
      <c r="B13" s="1" t="s">
        <v>975</v>
      </c>
    </row>
    <row r="14" spans="1:10" ht="15.75" customHeight="1" x14ac:dyDescent="0.15">
      <c r="A14" s="1" t="s">
        <v>6</v>
      </c>
      <c r="B14" s="1" t="s">
        <v>976</v>
      </c>
    </row>
    <row r="15" spans="1:10" ht="15.75" customHeight="1" x14ac:dyDescent="0.15">
      <c r="A15" s="1" t="s">
        <v>13</v>
      </c>
      <c r="B15" s="1" t="s">
        <v>977</v>
      </c>
    </row>
    <row r="16" spans="1:10" ht="15.75" customHeight="1" x14ac:dyDescent="0.15">
      <c r="A16" s="1" t="s">
        <v>11</v>
      </c>
      <c r="B16" s="1" t="s">
        <v>978</v>
      </c>
    </row>
    <row r="17" spans="1:2" ht="15.75" customHeight="1" x14ac:dyDescent="0.15">
      <c r="A17" s="1"/>
    </row>
    <row r="18" spans="1:2" ht="15.75" customHeight="1" x14ac:dyDescent="0.15">
      <c r="A18" s="14" t="s">
        <v>48</v>
      </c>
    </row>
    <row r="19" spans="1:2" ht="15.75" customHeight="1" x14ac:dyDescent="0.15">
      <c r="A19" s="11" t="str" cm="1">
        <f t="array" ref="A19:A57">TRANSPOSE('Main Data'!A2:AM2)</f>
        <v>No</v>
      </c>
      <c r="B19" s="11" t="s">
        <v>49</v>
      </c>
    </row>
    <row r="20" spans="1:2" ht="15.75" customHeight="1" x14ac:dyDescent="0.15">
      <c r="A20" s="11" t="str">
        <v>Code_No</v>
      </c>
      <c r="B20" s="11" t="s">
        <v>50</v>
      </c>
    </row>
    <row r="21" spans="1:2" ht="15.75" customHeight="1" x14ac:dyDescent="0.15">
      <c r="A21" s="11" t="str">
        <v>OrderID</v>
      </c>
      <c r="B21" s="11" t="s">
        <v>931</v>
      </c>
    </row>
    <row r="22" spans="1:2" ht="15.75" customHeight="1" x14ac:dyDescent="0.15">
      <c r="A22" s="11" t="str">
        <v>Item</v>
      </c>
      <c r="B22" s="11" t="s">
        <v>934</v>
      </c>
    </row>
    <row r="23" spans="1:2" ht="15.75" customHeight="1" x14ac:dyDescent="0.15">
      <c r="A23" s="11" t="str">
        <v>Item A</v>
      </c>
      <c r="B23" s="11" t="s">
        <v>935</v>
      </c>
    </row>
    <row r="24" spans="1:2" ht="15.75" customHeight="1" x14ac:dyDescent="0.15">
      <c r="A24" s="11" t="str">
        <v>Jenis item</v>
      </c>
      <c r="B24" s="11" t="s">
        <v>949</v>
      </c>
    </row>
    <row r="25" spans="1:2" ht="15.75" customHeight="1" x14ac:dyDescent="0.15">
      <c r="A25" s="11" t="str">
        <v>Kategori</v>
      </c>
      <c r="B25" s="11" t="s">
        <v>936</v>
      </c>
    </row>
    <row r="26" spans="1:2" ht="15.75" customHeight="1" x14ac:dyDescent="0.15">
      <c r="A26" s="11" t="str">
        <v>Qty A</v>
      </c>
      <c r="B26" s="11" t="s">
        <v>937</v>
      </c>
    </row>
    <row r="27" spans="1:2" ht="15.75" customHeight="1" x14ac:dyDescent="0.15">
      <c r="A27" s="11" t="str">
        <v>Rating A</v>
      </c>
      <c r="B27" s="11" t="s">
        <v>938</v>
      </c>
    </row>
    <row r="28" spans="1:2" ht="15.75" customHeight="1" x14ac:dyDescent="0.15">
      <c r="A28" s="11" t="str">
        <v>Harga Barang A</v>
      </c>
      <c r="B28" s="11" t="s">
        <v>950</v>
      </c>
    </row>
    <row r="29" spans="1:2" ht="15.75" customHeight="1" x14ac:dyDescent="0.15">
      <c r="A29" s="11" t="str">
        <v>Modal Barang A</v>
      </c>
      <c r="B29" s="11" t="s">
        <v>939</v>
      </c>
    </row>
    <row r="30" spans="1:2" ht="15.75" customHeight="1" x14ac:dyDescent="0.15">
      <c r="A30" s="11" t="str">
        <v>Item B</v>
      </c>
      <c r="B30" s="11" t="s">
        <v>940</v>
      </c>
    </row>
    <row r="31" spans="1:2" ht="15.75" customHeight="1" x14ac:dyDescent="0.15">
      <c r="A31" s="11" t="str">
        <v>Jenis Item</v>
      </c>
      <c r="B31" s="11" t="s">
        <v>941</v>
      </c>
    </row>
    <row r="32" spans="1:2" ht="15.75" customHeight="1" x14ac:dyDescent="0.15">
      <c r="A32" s="11" t="str">
        <v>Kategori</v>
      </c>
      <c r="B32" s="11" t="s">
        <v>951</v>
      </c>
    </row>
    <row r="33" spans="1:2" ht="15.75" customHeight="1" x14ac:dyDescent="0.15">
      <c r="A33" s="11" t="str">
        <v>Qty B</v>
      </c>
      <c r="B33" s="11" t="s">
        <v>933</v>
      </c>
    </row>
    <row r="34" spans="1:2" ht="15.75" customHeight="1" x14ac:dyDescent="0.15">
      <c r="A34" s="11" t="str">
        <v>Rating B</v>
      </c>
      <c r="B34" s="11" t="s">
        <v>932</v>
      </c>
    </row>
    <row r="35" spans="1:2" ht="15.75" customHeight="1" x14ac:dyDescent="0.15">
      <c r="A35" s="11" t="str">
        <v>Harga Barang B</v>
      </c>
      <c r="B35" s="11" t="s">
        <v>942</v>
      </c>
    </row>
    <row r="36" spans="1:2" ht="15.75" customHeight="1" x14ac:dyDescent="0.15">
      <c r="A36" s="11" t="str">
        <v>Modal Barang B</v>
      </c>
      <c r="B36" s="11" t="s">
        <v>945</v>
      </c>
    </row>
    <row r="37" spans="1:2" ht="15.75" customHeight="1" x14ac:dyDescent="0.15">
      <c r="A37" s="11" t="str">
        <v>Item C</v>
      </c>
      <c r="B37" s="11" t="s">
        <v>51</v>
      </c>
    </row>
    <row r="38" spans="1:2" ht="15.75" customHeight="1" x14ac:dyDescent="0.15">
      <c r="A38" s="11" t="str">
        <v>Jenis Item</v>
      </c>
      <c r="B38" s="11" t="s">
        <v>52</v>
      </c>
    </row>
    <row r="39" spans="1:2" ht="15.75" customHeight="1" x14ac:dyDescent="0.15">
      <c r="A39" s="11" t="str">
        <v>Kategori</v>
      </c>
      <c r="B39" s="11" t="s">
        <v>944</v>
      </c>
    </row>
    <row r="40" spans="1:2" ht="15.75" customHeight="1" x14ac:dyDescent="0.15">
      <c r="A40" s="11" t="str">
        <v>Qty C</v>
      </c>
      <c r="B40" s="11" t="s">
        <v>943</v>
      </c>
    </row>
    <row r="41" spans="1:2" ht="15.75" customHeight="1" x14ac:dyDescent="0.15">
      <c r="A41" s="11" t="str">
        <v>Rating C</v>
      </c>
      <c r="B41" s="11" t="s">
        <v>53</v>
      </c>
    </row>
    <row r="42" spans="1:2" ht="15.75" customHeight="1" x14ac:dyDescent="0.15">
      <c r="A42" s="11" t="str">
        <v>Harga Barang C</v>
      </c>
    </row>
    <row r="43" spans="1:2" ht="15.75" customHeight="1" x14ac:dyDescent="0.15">
      <c r="A43" s="11" t="str">
        <v>Modal Barang C</v>
      </c>
    </row>
    <row r="44" spans="1:2" ht="15.75" customHeight="1" x14ac:dyDescent="0.15">
      <c r="A44" s="11" t="str">
        <v>Total Qty</v>
      </c>
    </row>
    <row r="45" spans="1:2" ht="15.75" customHeight="1" x14ac:dyDescent="0.15">
      <c r="A45" s="11" t="str">
        <v>Total Transaksi</v>
      </c>
    </row>
    <row r="46" spans="1:2" ht="15.75" customHeight="1" x14ac:dyDescent="0.15">
      <c r="A46" s="11" t="str">
        <v>Total Modal</v>
      </c>
    </row>
    <row r="47" spans="1:2" ht="15.75" customHeight="1" x14ac:dyDescent="0.15">
      <c r="A47" s="11" t="str">
        <v>Kode diskon</v>
      </c>
    </row>
    <row r="48" spans="1:2" ht="15.75" customHeight="1" x14ac:dyDescent="0.15">
      <c r="A48" s="11" t="str">
        <v>Diskon</v>
      </c>
    </row>
    <row r="49" spans="1:1" ht="15.75" customHeight="1" x14ac:dyDescent="0.15">
      <c r="A49" s="11" t="str">
        <v>Potongan Diskon</v>
      </c>
    </row>
    <row r="50" spans="1:1" ht="15.75" customHeight="1" x14ac:dyDescent="0.15">
      <c r="A50" s="11" t="str">
        <v>Harga Setelah Diskon</v>
      </c>
    </row>
    <row r="51" spans="1:1" ht="15.75" customHeight="1" x14ac:dyDescent="0.15">
      <c r="A51" s="11" t="str">
        <v>Laba</v>
      </c>
    </row>
    <row r="52" spans="1:1" ht="15.75" customHeight="1" x14ac:dyDescent="0.15">
      <c r="A52" s="11" t="str">
        <v>Laba (Descount)</v>
      </c>
    </row>
    <row r="53" spans="1:1" ht="15.75" customHeight="1" x14ac:dyDescent="0.15">
      <c r="A53" s="11" t="str">
        <v>Jenis promo</v>
      </c>
    </row>
    <row r="54" spans="1:1" ht="15.75" customHeight="1" x14ac:dyDescent="0.15">
      <c r="A54" s="11" t="str">
        <v>Marketplace</v>
      </c>
    </row>
    <row r="55" spans="1:1" ht="15.75" customHeight="1" x14ac:dyDescent="0.15">
      <c r="A55" s="11" t="str">
        <v>Kode Marketplace</v>
      </c>
    </row>
    <row r="56" spans="1:1" ht="15.75" customHeight="1" x14ac:dyDescent="0.15">
      <c r="A56" s="11" t="str">
        <v>Lokasi pembeli</v>
      </c>
    </row>
    <row r="57" spans="1:1" ht="15.75" customHeight="1" x14ac:dyDescent="0.15">
      <c r="A57" s="11" t="str">
        <v>Tanggal Terjual</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9"/>
  <sheetViews>
    <sheetView workbookViewId="0">
      <selection activeCell="C4" sqref="C4"/>
    </sheetView>
  </sheetViews>
  <sheetFormatPr defaultColWidth="12.67578125" defaultRowHeight="15.75" customHeight="1" x14ac:dyDescent="0.15"/>
  <sheetData>
    <row r="1" spans="1:4" ht="15.75" customHeight="1" x14ac:dyDescent="0.15">
      <c r="A1" s="57" t="s">
        <v>43</v>
      </c>
      <c r="B1" s="58"/>
      <c r="C1" s="58"/>
      <c r="D1" s="58"/>
    </row>
    <row r="2" spans="1:4" ht="15.75" customHeight="1" x14ac:dyDescent="0.15">
      <c r="A2" s="7" t="s">
        <v>44</v>
      </c>
      <c r="B2" s="7" t="s">
        <v>45</v>
      </c>
      <c r="C2" s="7" t="s">
        <v>46</v>
      </c>
      <c r="D2" s="8" t="s">
        <v>47</v>
      </c>
    </row>
    <row r="3" spans="1:4" ht="15.75" customHeight="1" x14ac:dyDescent="0.15">
      <c r="A3" s="9" t="s">
        <v>6</v>
      </c>
      <c r="B3" s="9" t="s">
        <v>28</v>
      </c>
      <c r="C3" s="9" t="s">
        <v>5</v>
      </c>
      <c r="D3" s="10">
        <v>0.1</v>
      </c>
    </row>
    <row r="4" spans="1:4" ht="15.75" customHeight="1" x14ac:dyDescent="0.15">
      <c r="A4" s="9" t="s">
        <v>6</v>
      </c>
      <c r="B4" s="9" t="s">
        <v>28</v>
      </c>
      <c r="C4" s="9" t="s">
        <v>12</v>
      </c>
      <c r="D4" s="10">
        <v>0.15</v>
      </c>
    </row>
    <row r="5" spans="1:4" ht="15.75" customHeight="1" x14ac:dyDescent="0.15">
      <c r="A5" s="9" t="s">
        <v>6</v>
      </c>
      <c r="B5" s="9" t="s">
        <v>8</v>
      </c>
      <c r="C5" s="9" t="s">
        <v>7</v>
      </c>
      <c r="D5" s="10">
        <v>0.2</v>
      </c>
    </row>
    <row r="6" spans="1:4" ht="15.75" customHeight="1" x14ac:dyDescent="0.15">
      <c r="A6" s="9" t="s">
        <v>9</v>
      </c>
      <c r="B6" s="9" t="s">
        <v>28</v>
      </c>
      <c r="C6" s="9" t="s">
        <v>29</v>
      </c>
      <c r="D6" s="10">
        <v>0.1</v>
      </c>
    </row>
    <row r="7" spans="1:4" ht="15.75" customHeight="1" x14ac:dyDescent="0.15">
      <c r="A7" s="9" t="s">
        <v>9</v>
      </c>
      <c r="B7" s="9" t="s">
        <v>8</v>
      </c>
      <c r="C7" s="9" t="s">
        <v>30</v>
      </c>
      <c r="D7" s="10">
        <v>0.1</v>
      </c>
    </row>
    <row r="8" spans="1:4" ht="15.75" customHeight="1" x14ac:dyDescent="0.15">
      <c r="A8" s="9" t="s">
        <v>11</v>
      </c>
      <c r="B8" s="9" t="s">
        <v>8</v>
      </c>
      <c r="C8" s="9" t="s">
        <v>31</v>
      </c>
      <c r="D8" s="10">
        <v>0.15</v>
      </c>
    </row>
    <row r="9" spans="1:4" ht="15.75" customHeight="1" x14ac:dyDescent="0.15">
      <c r="A9" s="9" t="s">
        <v>13</v>
      </c>
      <c r="B9" s="9" t="s">
        <v>28</v>
      </c>
      <c r="C9" s="9" t="s">
        <v>27</v>
      </c>
      <c r="D9" s="10">
        <v>0.15</v>
      </c>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25"/>
  <sheetViews>
    <sheetView topLeftCell="A13" zoomScale="150" workbookViewId="0">
      <selection activeCell="E18" sqref="E18"/>
    </sheetView>
  </sheetViews>
  <sheetFormatPr defaultColWidth="12.67578125" defaultRowHeight="15.75" customHeight="1" x14ac:dyDescent="0.15"/>
  <cols>
    <col min="1" max="1" width="14.29296875" bestFit="1" customWidth="1"/>
    <col min="2" max="2" width="13.75390625" bestFit="1" customWidth="1"/>
    <col min="4" max="4" width="14.29296875" bestFit="1" customWidth="1"/>
    <col min="5" max="5" width="15.1015625" bestFit="1" customWidth="1"/>
    <col min="6" max="6" width="14.29296875" bestFit="1" customWidth="1"/>
  </cols>
  <sheetData>
    <row r="1" spans="1:7" ht="15.75" customHeight="1" x14ac:dyDescent="0.15">
      <c r="A1" s="57" t="s">
        <v>32</v>
      </c>
      <c r="B1" s="57"/>
      <c r="C1" s="57"/>
      <c r="D1" s="57"/>
      <c r="E1" s="57"/>
      <c r="F1" s="57"/>
    </row>
    <row r="2" spans="1:7" ht="15.75" customHeight="1" x14ac:dyDescent="0.15">
      <c r="A2" s="20"/>
      <c r="B2" s="20"/>
      <c r="C2" s="24">
        <v>1</v>
      </c>
      <c r="D2" s="24">
        <v>2</v>
      </c>
      <c r="E2" s="24">
        <v>3</v>
      </c>
      <c r="F2" s="24">
        <v>4</v>
      </c>
    </row>
    <row r="3" spans="1:7" ht="15.75" customHeight="1" x14ac:dyDescent="0.15">
      <c r="A3" s="5" t="s">
        <v>33</v>
      </c>
      <c r="B3" s="5" t="s">
        <v>34</v>
      </c>
      <c r="C3" s="5" t="s">
        <v>55</v>
      </c>
      <c r="D3" s="6" t="s">
        <v>54</v>
      </c>
      <c r="E3" s="6" t="s">
        <v>35</v>
      </c>
      <c r="F3" s="5" t="s">
        <v>965</v>
      </c>
    </row>
    <row r="4" spans="1:7" ht="15.75" customHeight="1" x14ac:dyDescent="0.15">
      <c r="A4" s="1" t="s">
        <v>36</v>
      </c>
      <c r="B4" s="1" t="s">
        <v>56</v>
      </c>
      <c r="C4" s="1" t="s">
        <v>59</v>
      </c>
      <c r="D4" s="22">
        <v>150000</v>
      </c>
      <c r="E4" s="22">
        <v>55000</v>
      </c>
      <c r="F4" s="23">
        <f>D4-E4</f>
        <v>95000</v>
      </c>
      <c r="G4" s="1"/>
    </row>
    <row r="5" spans="1:7" ht="15.75" customHeight="1" x14ac:dyDescent="0.15">
      <c r="A5" s="1" t="s">
        <v>36</v>
      </c>
      <c r="B5" s="1" t="s">
        <v>57</v>
      </c>
      <c r="C5" s="1" t="s">
        <v>60</v>
      </c>
      <c r="D5" s="22">
        <v>125000</v>
      </c>
      <c r="E5" s="22">
        <v>50000</v>
      </c>
      <c r="F5" s="23">
        <f t="shared" ref="F5:F13" si="0">D5-E5</f>
        <v>75000</v>
      </c>
      <c r="G5" s="1"/>
    </row>
    <row r="6" spans="1:7" ht="15.75" customHeight="1" x14ac:dyDescent="0.15">
      <c r="A6" s="1" t="s">
        <v>36</v>
      </c>
      <c r="B6" s="1" t="s">
        <v>18</v>
      </c>
      <c r="C6" s="1" t="s">
        <v>61</v>
      </c>
      <c r="D6" s="22">
        <v>200000</v>
      </c>
      <c r="E6" s="22">
        <v>100000</v>
      </c>
      <c r="F6" s="23">
        <f t="shared" si="0"/>
        <v>100000</v>
      </c>
    </row>
    <row r="7" spans="1:7" ht="15.75" customHeight="1" x14ac:dyDescent="0.15">
      <c r="A7" s="1" t="s">
        <v>37</v>
      </c>
      <c r="B7" s="1" t="s">
        <v>19</v>
      </c>
      <c r="C7" s="1" t="s">
        <v>62</v>
      </c>
      <c r="D7" s="22">
        <v>80000</v>
      </c>
      <c r="E7" s="22">
        <v>30000</v>
      </c>
      <c r="F7" s="23">
        <f t="shared" si="0"/>
        <v>50000</v>
      </c>
    </row>
    <row r="8" spans="1:7" ht="15.75" customHeight="1" x14ac:dyDescent="0.15">
      <c r="A8" s="1" t="s">
        <v>37</v>
      </c>
      <c r="B8" s="1" t="s">
        <v>14</v>
      </c>
      <c r="C8" s="1" t="s">
        <v>63</v>
      </c>
      <c r="D8" s="22">
        <v>60000</v>
      </c>
      <c r="E8" s="22">
        <v>25000</v>
      </c>
      <c r="F8" s="23">
        <f t="shared" si="0"/>
        <v>35000</v>
      </c>
    </row>
    <row r="9" spans="1:7" ht="15.75" customHeight="1" x14ac:dyDescent="0.15">
      <c r="A9" s="1" t="s">
        <v>37</v>
      </c>
      <c r="B9" s="1" t="s">
        <v>17</v>
      </c>
      <c r="C9" s="1" t="s">
        <v>64</v>
      </c>
      <c r="D9" s="22">
        <v>150000</v>
      </c>
      <c r="E9" s="22">
        <v>70000</v>
      </c>
      <c r="F9" s="23">
        <f t="shared" si="0"/>
        <v>80000</v>
      </c>
    </row>
    <row r="10" spans="1:7" ht="15.75" customHeight="1" x14ac:dyDescent="0.15">
      <c r="A10" s="1" t="s">
        <v>38</v>
      </c>
      <c r="B10" s="1" t="s">
        <v>16</v>
      </c>
      <c r="C10" s="1" t="s">
        <v>65</v>
      </c>
      <c r="D10" s="22">
        <v>160000</v>
      </c>
      <c r="E10" s="22">
        <v>60000</v>
      </c>
      <c r="F10" s="23">
        <f t="shared" si="0"/>
        <v>100000</v>
      </c>
    </row>
    <row r="11" spans="1:7" ht="15.75" customHeight="1" x14ac:dyDescent="0.15">
      <c r="A11" s="1" t="s">
        <v>39</v>
      </c>
      <c r="B11" s="1" t="s">
        <v>58</v>
      </c>
      <c r="C11" s="1" t="s">
        <v>66</v>
      </c>
      <c r="D11" s="22">
        <v>300000</v>
      </c>
      <c r="E11" s="22">
        <v>100000</v>
      </c>
      <c r="F11" s="23">
        <f t="shared" si="0"/>
        <v>200000</v>
      </c>
    </row>
    <row r="12" spans="1:7" ht="15.75" customHeight="1" x14ac:dyDescent="0.15">
      <c r="A12" s="1" t="s">
        <v>39</v>
      </c>
      <c r="B12" s="1" t="s">
        <v>20</v>
      </c>
      <c r="C12" s="1" t="s">
        <v>67</v>
      </c>
      <c r="D12" s="22">
        <v>120000</v>
      </c>
      <c r="E12" s="22">
        <v>60000</v>
      </c>
      <c r="F12" s="23">
        <f t="shared" si="0"/>
        <v>60000</v>
      </c>
    </row>
    <row r="13" spans="1:7" ht="15.75" customHeight="1" x14ac:dyDescent="0.15">
      <c r="A13" s="1" t="s">
        <v>40</v>
      </c>
      <c r="B13" s="1" t="s">
        <v>15</v>
      </c>
      <c r="C13" s="1" t="s">
        <v>68</v>
      </c>
      <c r="D13" s="22">
        <v>150000</v>
      </c>
      <c r="E13" s="22">
        <v>70000</v>
      </c>
      <c r="F13" s="23">
        <f t="shared" si="0"/>
        <v>80000</v>
      </c>
    </row>
    <row r="14" spans="1:7" ht="15.75" customHeight="1" x14ac:dyDescent="0.15">
      <c r="D14" s="22"/>
    </row>
    <row r="15" spans="1:7" ht="15.75" customHeight="1" x14ac:dyDescent="0.15">
      <c r="A15" s="5" t="s">
        <v>55</v>
      </c>
      <c r="B15" s="5" t="s">
        <v>33</v>
      </c>
    </row>
    <row r="16" spans="1:7" ht="15.75" customHeight="1" x14ac:dyDescent="0.15">
      <c r="A16" s="1" t="s">
        <v>59</v>
      </c>
      <c r="B16" s="1" t="s">
        <v>36</v>
      </c>
    </row>
    <row r="17" spans="1:2" ht="15.75" customHeight="1" x14ac:dyDescent="0.15">
      <c r="A17" s="1" t="s">
        <v>60</v>
      </c>
      <c r="B17" s="1" t="s">
        <v>36</v>
      </c>
    </row>
    <row r="18" spans="1:2" ht="15.75" customHeight="1" x14ac:dyDescent="0.15">
      <c r="A18" s="1" t="s">
        <v>61</v>
      </c>
      <c r="B18" s="1" t="s">
        <v>36</v>
      </c>
    </row>
    <row r="19" spans="1:2" ht="15.75" customHeight="1" x14ac:dyDescent="0.15">
      <c r="A19" s="1" t="s">
        <v>62</v>
      </c>
      <c r="B19" s="1" t="s">
        <v>37</v>
      </c>
    </row>
    <row r="20" spans="1:2" ht="15.75" customHeight="1" x14ac:dyDescent="0.15">
      <c r="A20" s="1" t="s">
        <v>63</v>
      </c>
      <c r="B20" s="1" t="s">
        <v>37</v>
      </c>
    </row>
    <row r="21" spans="1:2" ht="15.75" customHeight="1" x14ac:dyDescent="0.15">
      <c r="A21" s="1" t="s">
        <v>64</v>
      </c>
      <c r="B21" s="1" t="s">
        <v>37</v>
      </c>
    </row>
    <row r="22" spans="1:2" ht="15.75" customHeight="1" x14ac:dyDescent="0.15">
      <c r="A22" s="1" t="s">
        <v>65</v>
      </c>
      <c r="B22" s="1" t="s">
        <v>38</v>
      </c>
    </row>
    <row r="23" spans="1:2" ht="15.75" customHeight="1" x14ac:dyDescent="0.15">
      <c r="A23" s="1" t="s">
        <v>66</v>
      </c>
      <c r="B23" s="1" t="s">
        <v>39</v>
      </c>
    </row>
    <row r="24" spans="1:2" ht="15.75" customHeight="1" x14ac:dyDescent="0.15">
      <c r="A24" s="1" t="s">
        <v>67</v>
      </c>
      <c r="B24" s="1" t="s">
        <v>39</v>
      </c>
    </row>
    <row r="25" spans="1:2" ht="15.75" customHeight="1" x14ac:dyDescent="0.15">
      <c r="A25" s="1" t="s">
        <v>68</v>
      </c>
      <c r="B25" s="1" t="s">
        <v>40</v>
      </c>
    </row>
  </sheetData>
  <mergeCells count="1">
    <mergeCell ref="A1:F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6E974-2ED4-4F07-A717-4EC8FC875A80}">
  <dimension ref="A1:B1000"/>
  <sheetViews>
    <sheetView topLeftCell="A13" workbookViewId="0">
      <selection activeCell="B1" sqref="B1:B1048576"/>
    </sheetView>
  </sheetViews>
  <sheetFormatPr defaultRowHeight="12.75" x14ac:dyDescent="0.15"/>
  <cols>
    <col min="1" max="1" width="10.11328125" bestFit="1" customWidth="1"/>
    <col min="2" max="2" width="9.84375" style="15" bestFit="1" customWidth="1"/>
  </cols>
  <sheetData>
    <row r="1" spans="1:2" x14ac:dyDescent="0.15">
      <c r="A1" s="32">
        <f ca="1">DATE(2024,RANDBETWEEN(1,12),RANDBETWEEN(1,31))</f>
        <v>45590</v>
      </c>
      <c r="B1" s="15">
        <v>45418</v>
      </c>
    </row>
    <row r="2" spans="1:2" x14ac:dyDescent="0.15">
      <c r="A2" s="32">
        <f t="shared" ref="A2:A65" ca="1" si="0">DATE(2024,RANDBETWEEN(1,12),RANDBETWEEN(1,31))</f>
        <v>45451</v>
      </c>
      <c r="B2" s="15">
        <v>45458</v>
      </c>
    </row>
    <row r="3" spans="1:2" x14ac:dyDescent="0.15">
      <c r="A3" s="32">
        <f t="shared" ca="1" si="0"/>
        <v>45635</v>
      </c>
      <c r="B3" s="15">
        <v>45503</v>
      </c>
    </row>
    <row r="4" spans="1:2" x14ac:dyDescent="0.15">
      <c r="A4" s="32">
        <f t="shared" ca="1" si="0"/>
        <v>45323</v>
      </c>
      <c r="B4" s="15">
        <v>45525</v>
      </c>
    </row>
    <row r="5" spans="1:2" x14ac:dyDescent="0.15">
      <c r="A5" s="32">
        <f t="shared" ca="1" si="0"/>
        <v>45427</v>
      </c>
      <c r="B5" s="15">
        <v>45324</v>
      </c>
    </row>
    <row r="6" spans="1:2" x14ac:dyDescent="0.15">
      <c r="A6" s="32">
        <f t="shared" ca="1" si="0"/>
        <v>45624</v>
      </c>
      <c r="B6" s="15">
        <v>45498</v>
      </c>
    </row>
    <row r="7" spans="1:2" x14ac:dyDescent="0.15">
      <c r="A7" s="32">
        <f t="shared" ca="1" si="0"/>
        <v>45400</v>
      </c>
      <c r="B7" s="15">
        <v>45359</v>
      </c>
    </row>
    <row r="8" spans="1:2" x14ac:dyDescent="0.15">
      <c r="A8" s="32">
        <f t="shared" ca="1" si="0"/>
        <v>45419</v>
      </c>
      <c r="B8" s="15">
        <v>45494</v>
      </c>
    </row>
    <row r="9" spans="1:2" x14ac:dyDescent="0.15">
      <c r="A9" s="32">
        <f t="shared" ca="1" si="0"/>
        <v>45339</v>
      </c>
      <c r="B9" s="15">
        <v>45635</v>
      </c>
    </row>
    <row r="10" spans="1:2" x14ac:dyDescent="0.15">
      <c r="A10" s="32">
        <f t="shared" ca="1" si="0"/>
        <v>45333</v>
      </c>
      <c r="B10" s="15">
        <v>45374</v>
      </c>
    </row>
    <row r="11" spans="1:2" x14ac:dyDescent="0.15">
      <c r="A11" s="32">
        <f t="shared" ca="1" si="0"/>
        <v>45554</v>
      </c>
      <c r="B11" s="15">
        <v>45422</v>
      </c>
    </row>
    <row r="12" spans="1:2" x14ac:dyDescent="0.15">
      <c r="A12" s="32">
        <f t="shared" ca="1" si="0"/>
        <v>45600</v>
      </c>
      <c r="B12" s="15">
        <v>45511</v>
      </c>
    </row>
    <row r="13" spans="1:2" x14ac:dyDescent="0.15">
      <c r="A13" s="32">
        <f t="shared" ca="1" si="0"/>
        <v>45445</v>
      </c>
      <c r="B13" s="15">
        <v>45409</v>
      </c>
    </row>
    <row r="14" spans="1:2" x14ac:dyDescent="0.15">
      <c r="A14" s="32">
        <f t="shared" ca="1" si="0"/>
        <v>45501</v>
      </c>
      <c r="B14" s="15">
        <v>45362</v>
      </c>
    </row>
    <row r="15" spans="1:2" x14ac:dyDescent="0.15">
      <c r="A15" s="32">
        <f t="shared" ca="1" si="0"/>
        <v>45296</v>
      </c>
      <c r="B15" s="15">
        <v>45530</v>
      </c>
    </row>
    <row r="16" spans="1:2" x14ac:dyDescent="0.15">
      <c r="A16" s="32">
        <f t="shared" ca="1" si="0"/>
        <v>45625</v>
      </c>
      <c r="B16" s="15">
        <v>45518</v>
      </c>
    </row>
    <row r="17" spans="1:2" x14ac:dyDescent="0.15">
      <c r="A17" s="32">
        <f t="shared" ca="1" si="0"/>
        <v>45348</v>
      </c>
      <c r="B17" s="15">
        <v>45646</v>
      </c>
    </row>
    <row r="18" spans="1:2" x14ac:dyDescent="0.15">
      <c r="A18" s="32">
        <f t="shared" ca="1" si="0"/>
        <v>45509</v>
      </c>
      <c r="B18" s="15">
        <v>45510</v>
      </c>
    </row>
    <row r="19" spans="1:2" x14ac:dyDescent="0.15">
      <c r="A19" s="32">
        <f t="shared" ca="1" si="0"/>
        <v>45457</v>
      </c>
      <c r="B19" s="15">
        <v>45494</v>
      </c>
    </row>
    <row r="20" spans="1:2" x14ac:dyDescent="0.15">
      <c r="A20" s="32">
        <f t="shared" ca="1" si="0"/>
        <v>45551</v>
      </c>
      <c r="B20" s="15">
        <v>45612</v>
      </c>
    </row>
    <row r="21" spans="1:2" x14ac:dyDescent="0.15">
      <c r="A21" s="32">
        <f t="shared" ca="1" si="0"/>
        <v>45637</v>
      </c>
      <c r="B21" s="15">
        <v>45368</v>
      </c>
    </row>
    <row r="22" spans="1:2" x14ac:dyDescent="0.15">
      <c r="A22" s="32">
        <f t="shared" ca="1" si="0"/>
        <v>45414</v>
      </c>
      <c r="B22" s="15">
        <v>45347</v>
      </c>
    </row>
    <row r="23" spans="1:2" x14ac:dyDescent="0.15">
      <c r="A23" s="32">
        <f t="shared" ca="1" si="0"/>
        <v>45651</v>
      </c>
      <c r="B23" s="15">
        <v>45322</v>
      </c>
    </row>
    <row r="24" spans="1:2" x14ac:dyDescent="0.15">
      <c r="A24" s="32">
        <f t="shared" ca="1" si="0"/>
        <v>45642</v>
      </c>
      <c r="B24" s="15">
        <v>45645</v>
      </c>
    </row>
    <row r="25" spans="1:2" x14ac:dyDescent="0.15">
      <c r="A25" s="32">
        <f t="shared" ca="1" si="0"/>
        <v>45620</v>
      </c>
      <c r="B25" s="15">
        <v>45416</v>
      </c>
    </row>
    <row r="26" spans="1:2" x14ac:dyDescent="0.15">
      <c r="A26" s="32">
        <f t="shared" ca="1" si="0"/>
        <v>45428</v>
      </c>
      <c r="B26" s="15">
        <v>45356</v>
      </c>
    </row>
    <row r="27" spans="1:2" x14ac:dyDescent="0.15">
      <c r="A27" s="32">
        <f t="shared" ca="1" si="0"/>
        <v>45497</v>
      </c>
      <c r="B27" s="15">
        <v>45587</v>
      </c>
    </row>
    <row r="28" spans="1:2" x14ac:dyDescent="0.15">
      <c r="A28" s="32">
        <f t="shared" ca="1" si="0"/>
        <v>45494</v>
      </c>
      <c r="B28" s="15">
        <v>45509</v>
      </c>
    </row>
    <row r="29" spans="1:2" x14ac:dyDescent="0.15">
      <c r="A29" s="32">
        <f t="shared" ca="1" si="0"/>
        <v>45369</v>
      </c>
      <c r="B29" s="15">
        <v>45374</v>
      </c>
    </row>
    <row r="30" spans="1:2" x14ac:dyDescent="0.15">
      <c r="A30" s="32">
        <f t="shared" ca="1" si="0"/>
        <v>45383</v>
      </c>
      <c r="B30" s="15">
        <v>45477</v>
      </c>
    </row>
    <row r="31" spans="1:2" x14ac:dyDescent="0.15">
      <c r="A31" s="32">
        <f t="shared" ca="1" si="0"/>
        <v>45466</v>
      </c>
      <c r="B31" s="15">
        <v>45343</v>
      </c>
    </row>
    <row r="32" spans="1:2" x14ac:dyDescent="0.15">
      <c r="A32" s="32">
        <f t="shared" ca="1" si="0"/>
        <v>45385</v>
      </c>
      <c r="B32" s="15">
        <v>45400</v>
      </c>
    </row>
    <row r="33" spans="1:2" x14ac:dyDescent="0.15">
      <c r="A33" s="32">
        <f t="shared" ca="1" si="0"/>
        <v>45625</v>
      </c>
      <c r="B33" s="15">
        <v>45639</v>
      </c>
    </row>
    <row r="34" spans="1:2" x14ac:dyDescent="0.15">
      <c r="A34" s="32">
        <f t="shared" ca="1" si="0"/>
        <v>45652</v>
      </c>
      <c r="B34" s="15">
        <v>45508</v>
      </c>
    </row>
    <row r="35" spans="1:2" x14ac:dyDescent="0.15">
      <c r="A35" s="32">
        <f t="shared" ca="1" si="0"/>
        <v>45531</v>
      </c>
      <c r="B35" s="15">
        <v>45413</v>
      </c>
    </row>
    <row r="36" spans="1:2" x14ac:dyDescent="0.15">
      <c r="A36" s="32">
        <f t="shared" ca="1" si="0"/>
        <v>45531</v>
      </c>
      <c r="B36" s="15">
        <v>45359</v>
      </c>
    </row>
    <row r="37" spans="1:2" x14ac:dyDescent="0.15">
      <c r="A37" s="32">
        <f t="shared" ca="1" si="0"/>
        <v>45618</v>
      </c>
      <c r="B37" s="15">
        <v>45425</v>
      </c>
    </row>
    <row r="38" spans="1:2" x14ac:dyDescent="0.15">
      <c r="A38" s="32">
        <f t="shared" ca="1" si="0"/>
        <v>45456</v>
      </c>
      <c r="B38" s="15">
        <v>45647</v>
      </c>
    </row>
    <row r="39" spans="1:2" x14ac:dyDescent="0.15">
      <c r="A39" s="32">
        <f t="shared" ca="1" si="0"/>
        <v>45656</v>
      </c>
      <c r="B39" s="15">
        <v>45585</v>
      </c>
    </row>
    <row r="40" spans="1:2" x14ac:dyDescent="0.15">
      <c r="A40" s="32">
        <f t="shared" ca="1" si="0"/>
        <v>45465</v>
      </c>
      <c r="B40" s="15">
        <v>45295</v>
      </c>
    </row>
    <row r="41" spans="1:2" x14ac:dyDescent="0.15">
      <c r="A41" s="32">
        <f t="shared" ca="1" si="0"/>
        <v>45389</v>
      </c>
      <c r="B41" s="15">
        <v>45511</v>
      </c>
    </row>
    <row r="42" spans="1:2" x14ac:dyDescent="0.15">
      <c r="A42" s="32">
        <f t="shared" ca="1" si="0"/>
        <v>45455</v>
      </c>
      <c r="B42" s="15">
        <v>45339</v>
      </c>
    </row>
    <row r="43" spans="1:2" x14ac:dyDescent="0.15">
      <c r="A43" s="32">
        <f t="shared" ca="1" si="0"/>
        <v>45384</v>
      </c>
      <c r="B43" s="15">
        <v>45547</v>
      </c>
    </row>
    <row r="44" spans="1:2" x14ac:dyDescent="0.15">
      <c r="A44" s="32">
        <f t="shared" ca="1" si="0"/>
        <v>45431</v>
      </c>
      <c r="B44" s="15">
        <v>45477</v>
      </c>
    </row>
    <row r="45" spans="1:2" x14ac:dyDescent="0.15">
      <c r="A45" s="32">
        <f t="shared" ca="1" si="0"/>
        <v>45499</v>
      </c>
      <c r="B45" s="15">
        <v>45314</v>
      </c>
    </row>
    <row r="46" spans="1:2" x14ac:dyDescent="0.15">
      <c r="A46" s="32">
        <f t="shared" ca="1" si="0"/>
        <v>45308</v>
      </c>
      <c r="B46" s="15">
        <v>45403</v>
      </c>
    </row>
    <row r="47" spans="1:2" x14ac:dyDescent="0.15">
      <c r="A47" s="32">
        <f t="shared" ca="1" si="0"/>
        <v>45605</v>
      </c>
      <c r="B47" s="15">
        <v>45460</v>
      </c>
    </row>
    <row r="48" spans="1:2" x14ac:dyDescent="0.15">
      <c r="A48" s="32">
        <f t="shared" ca="1" si="0"/>
        <v>45591</v>
      </c>
      <c r="B48" s="15">
        <v>45577</v>
      </c>
    </row>
    <row r="49" spans="1:2" x14ac:dyDescent="0.15">
      <c r="A49" s="32">
        <f t="shared" ca="1" si="0"/>
        <v>45461</v>
      </c>
      <c r="B49" s="15">
        <v>45594</v>
      </c>
    </row>
    <row r="50" spans="1:2" x14ac:dyDescent="0.15">
      <c r="A50" s="32">
        <f t="shared" ca="1" si="0"/>
        <v>45529</v>
      </c>
      <c r="B50" s="15">
        <v>45548</v>
      </c>
    </row>
    <row r="51" spans="1:2" x14ac:dyDescent="0.15">
      <c r="A51" s="32">
        <f t="shared" ca="1" si="0"/>
        <v>45468</v>
      </c>
      <c r="B51" s="15">
        <v>45524</v>
      </c>
    </row>
    <row r="52" spans="1:2" x14ac:dyDescent="0.15">
      <c r="A52" s="32">
        <f t="shared" ca="1" si="0"/>
        <v>45593</v>
      </c>
      <c r="B52" s="15">
        <v>45619</v>
      </c>
    </row>
    <row r="53" spans="1:2" x14ac:dyDescent="0.15">
      <c r="A53" s="32">
        <f t="shared" ca="1" si="0"/>
        <v>45336</v>
      </c>
      <c r="B53" s="15">
        <v>45371</v>
      </c>
    </row>
    <row r="54" spans="1:2" x14ac:dyDescent="0.15">
      <c r="A54" s="32">
        <f t="shared" ca="1" si="0"/>
        <v>45368</v>
      </c>
      <c r="B54" s="15">
        <v>45403</v>
      </c>
    </row>
    <row r="55" spans="1:2" x14ac:dyDescent="0.15">
      <c r="A55" s="32">
        <f t="shared" ca="1" si="0"/>
        <v>45486</v>
      </c>
      <c r="B55" s="15">
        <v>45368</v>
      </c>
    </row>
    <row r="56" spans="1:2" x14ac:dyDescent="0.15">
      <c r="A56" s="32">
        <f t="shared" ca="1" si="0"/>
        <v>45654</v>
      </c>
      <c r="B56" s="15">
        <v>45548</v>
      </c>
    </row>
    <row r="57" spans="1:2" x14ac:dyDescent="0.15">
      <c r="A57" s="32">
        <f t="shared" ca="1" si="0"/>
        <v>45600</v>
      </c>
      <c r="B57" s="15">
        <v>45384</v>
      </c>
    </row>
    <row r="58" spans="1:2" x14ac:dyDescent="0.15">
      <c r="A58" s="32">
        <f t="shared" ca="1" si="0"/>
        <v>45474</v>
      </c>
      <c r="B58" s="15">
        <v>45417</v>
      </c>
    </row>
    <row r="59" spans="1:2" x14ac:dyDescent="0.15">
      <c r="A59" s="32">
        <f t="shared" ca="1" si="0"/>
        <v>45488</v>
      </c>
      <c r="B59" s="15">
        <v>45493</v>
      </c>
    </row>
    <row r="60" spans="1:2" x14ac:dyDescent="0.15">
      <c r="A60" s="32">
        <f t="shared" ca="1" si="0"/>
        <v>45437</v>
      </c>
      <c r="B60" s="15">
        <v>45341</v>
      </c>
    </row>
    <row r="61" spans="1:2" x14ac:dyDescent="0.15">
      <c r="A61" s="32">
        <f t="shared" ca="1" si="0"/>
        <v>45483</v>
      </c>
      <c r="B61" s="15">
        <v>45550</v>
      </c>
    </row>
    <row r="62" spans="1:2" x14ac:dyDescent="0.15">
      <c r="A62" s="32">
        <f t="shared" ca="1" si="0"/>
        <v>45343</v>
      </c>
      <c r="B62" s="15">
        <v>45609</v>
      </c>
    </row>
    <row r="63" spans="1:2" x14ac:dyDescent="0.15">
      <c r="A63" s="32">
        <f t="shared" ca="1" si="0"/>
        <v>45460</v>
      </c>
      <c r="B63" s="15">
        <v>45424</v>
      </c>
    </row>
    <row r="64" spans="1:2" x14ac:dyDescent="0.15">
      <c r="A64" s="32">
        <f t="shared" ca="1" si="0"/>
        <v>45526</v>
      </c>
      <c r="B64" s="15">
        <v>45543</v>
      </c>
    </row>
    <row r="65" spans="1:2" x14ac:dyDescent="0.15">
      <c r="A65" s="32">
        <f t="shared" ca="1" si="0"/>
        <v>45390</v>
      </c>
      <c r="B65" s="15">
        <v>45495</v>
      </c>
    </row>
    <row r="66" spans="1:2" x14ac:dyDescent="0.15">
      <c r="A66" s="32">
        <f t="shared" ref="A66:A129" ca="1" si="1">DATE(2024,RANDBETWEEN(1,12),RANDBETWEEN(1,31))</f>
        <v>45449</v>
      </c>
      <c r="B66" s="15">
        <v>45336</v>
      </c>
    </row>
    <row r="67" spans="1:2" x14ac:dyDescent="0.15">
      <c r="A67" s="32">
        <f t="shared" ca="1" si="1"/>
        <v>45447</v>
      </c>
      <c r="B67" s="15">
        <v>45316</v>
      </c>
    </row>
    <row r="68" spans="1:2" x14ac:dyDescent="0.15">
      <c r="A68" s="32">
        <f t="shared" ca="1" si="1"/>
        <v>45560</v>
      </c>
      <c r="B68" s="15">
        <v>45378</v>
      </c>
    </row>
    <row r="69" spans="1:2" x14ac:dyDescent="0.15">
      <c r="A69" s="32">
        <f t="shared" ca="1" si="1"/>
        <v>45540</v>
      </c>
      <c r="B69" s="15">
        <v>45295</v>
      </c>
    </row>
    <row r="70" spans="1:2" x14ac:dyDescent="0.15">
      <c r="A70" s="32">
        <f t="shared" ca="1" si="1"/>
        <v>45295</v>
      </c>
      <c r="B70" s="15">
        <v>45507</v>
      </c>
    </row>
    <row r="71" spans="1:2" x14ac:dyDescent="0.15">
      <c r="A71" s="32">
        <f t="shared" ca="1" si="1"/>
        <v>45639</v>
      </c>
      <c r="B71" s="15">
        <v>45308</v>
      </c>
    </row>
    <row r="72" spans="1:2" x14ac:dyDescent="0.15">
      <c r="A72" s="32">
        <f t="shared" ca="1" si="1"/>
        <v>45298</v>
      </c>
      <c r="B72" s="15">
        <v>45463</v>
      </c>
    </row>
    <row r="73" spans="1:2" x14ac:dyDescent="0.15">
      <c r="A73" s="32">
        <f t="shared" ca="1" si="1"/>
        <v>45307</v>
      </c>
      <c r="B73" s="15">
        <v>45327</v>
      </c>
    </row>
    <row r="74" spans="1:2" x14ac:dyDescent="0.15">
      <c r="A74" s="32">
        <f t="shared" ca="1" si="1"/>
        <v>45531</v>
      </c>
      <c r="B74" s="15">
        <v>45627</v>
      </c>
    </row>
    <row r="75" spans="1:2" x14ac:dyDescent="0.15">
      <c r="A75" s="32">
        <f t="shared" ca="1" si="1"/>
        <v>45381</v>
      </c>
      <c r="B75" s="15">
        <v>45438</v>
      </c>
    </row>
    <row r="76" spans="1:2" x14ac:dyDescent="0.15">
      <c r="A76" s="32">
        <f t="shared" ca="1" si="1"/>
        <v>45437</v>
      </c>
      <c r="B76" s="15">
        <v>45653</v>
      </c>
    </row>
    <row r="77" spans="1:2" x14ac:dyDescent="0.15">
      <c r="A77" s="32">
        <f t="shared" ca="1" si="1"/>
        <v>45352</v>
      </c>
      <c r="B77" s="15">
        <v>45381</v>
      </c>
    </row>
    <row r="78" spans="1:2" x14ac:dyDescent="0.15">
      <c r="A78" s="32">
        <f t="shared" ca="1" si="1"/>
        <v>45512</v>
      </c>
      <c r="B78" s="15">
        <v>45558</v>
      </c>
    </row>
    <row r="79" spans="1:2" x14ac:dyDescent="0.15">
      <c r="A79" s="32">
        <f t="shared" ca="1" si="1"/>
        <v>45636</v>
      </c>
      <c r="B79" s="15">
        <v>45501</v>
      </c>
    </row>
    <row r="80" spans="1:2" x14ac:dyDescent="0.15">
      <c r="A80" s="32">
        <f t="shared" ca="1" si="1"/>
        <v>45586</v>
      </c>
      <c r="B80" s="15">
        <v>45477</v>
      </c>
    </row>
    <row r="81" spans="1:2" x14ac:dyDescent="0.15">
      <c r="A81" s="32">
        <f t="shared" ca="1" si="1"/>
        <v>45493</v>
      </c>
      <c r="B81" s="15">
        <v>45418</v>
      </c>
    </row>
    <row r="82" spans="1:2" x14ac:dyDescent="0.15">
      <c r="A82" s="32">
        <f t="shared" ca="1" si="1"/>
        <v>45492</v>
      </c>
      <c r="B82" s="15">
        <v>45409</v>
      </c>
    </row>
    <row r="83" spans="1:2" x14ac:dyDescent="0.15">
      <c r="A83" s="32">
        <f t="shared" ca="1" si="1"/>
        <v>45512</v>
      </c>
      <c r="B83" s="15">
        <v>45350</v>
      </c>
    </row>
    <row r="84" spans="1:2" x14ac:dyDescent="0.15">
      <c r="A84" s="32">
        <f t="shared" ca="1" si="1"/>
        <v>45507</v>
      </c>
      <c r="B84" s="15">
        <v>45643</v>
      </c>
    </row>
    <row r="85" spans="1:2" x14ac:dyDescent="0.15">
      <c r="A85" s="32">
        <f t="shared" ca="1" si="1"/>
        <v>45378</v>
      </c>
      <c r="B85" s="15">
        <v>45594</v>
      </c>
    </row>
    <row r="86" spans="1:2" x14ac:dyDescent="0.15">
      <c r="A86" s="32">
        <f t="shared" ca="1" si="1"/>
        <v>45541</v>
      </c>
      <c r="B86" s="15">
        <v>45596</v>
      </c>
    </row>
    <row r="87" spans="1:2" x14ac:dyDescent="0.15">
      <c r="A87" s="32">
        <f t="shared" ca="1" si="1"/>
        <v>45452</v>
      </c>
      <c r="B87" s="15">
        <v>45654</v>
      </c>
    </row>
    <row r="88" spans="1:2" x14ac:dyDescent="0.15">
      <c r="A88" s="32">
        <f t="shared" ca="1" si="1"/>
        <v>45344</v>
      </c>
      <c r="B88" s="15">
        <v>45353</v>
      </c>
    </row>
    <row r="89" spans="1:2" x14ac:dyDescent="0.15">
      <c r="A89" s="32">
        <f t="shared" ca="1" si="1"/>
        <v>45386</v>
      </c>
      <c r="B89" s="15">
        <v>45424</v>
      </c>
    </row>
    <row r="90" spans="1:2" x14ac:dyDescent="0.15">
      <c r="A90" s="32">
        <f t="shared" ca="1" si="1"/>
        <v>45368</v>
      </c>
      <c r="B90" s="15">
        <v>45429</v>
      </c>
    </row>
    <row r="91" spans="1:2" x14ac:dyDescent="0.15">
      <c r="A91" s="32">
        <f t="shared" ca="1" si="1"/>
        <v>45294</v>
      </c>
      <c r="B91" s="15">
        <v>45483</v>
      </c>
    </row>
    <row r="92" spans="1:2" x14ac:dyDescent="0.15">
      <c r="A92" s="32">
        <f t="shared" ca="1" si="1"/>
        <v>45342</v>
      </c>
      <c r="B92" s="15">
        <v>45562</v>
      </c>
    </row>
    <row r="93" spans="1:2" x14ac:dyDescent="0.15">
      <c r="A93" s="32">
        <f t="shared" ca="1" si="1"/>
        <v>45647</v>
      </c>
      <c r="B93" s="15">
        <v>45430</v>
      </c>
    </row>
    <row r="94" spans="1:2" x14ac:dyDescent="0.15">
      <c r="A94" s="32">
        <f t="shared" ca="1" si="1"/>
        <v>45573</v>
      </c>
      <c r="B94" s="15">
        <v>45614</v>
      </c>
    </row>
    <row r="95" spans="1:2" x14ac:dyDescent="0.15">
      <c r="A95" s="32">
        <f t="shared" ca="1" si="1"/>
        <v>45519</v>
      </c>
      <c r="B95" s="15">
        <v>45594</v>
      </c>
    </row>
    <row r="96" spans="1:2" x14ac:dyDescent="0.15">
      <c r="A96" s="32">
        <f t="shared" ca="1" si="1"/>
        <v>45426</v>
      </c>
      <c r="B96" s="15">
        <v>45401</v>
      </c>
    </row>
    <row r="97" spans="1:2" x14ac:dyDescent="0.15">
      <c r="A97" s="32">
        <f t="shared" ca="1" si="1"/>
        <v>45352</v>
      </c>
      <c r="B97" s="15">
        <v>45579</v>
      </c>
    </row>
    <row r="98" spans="1:2" x14ac:dyDescent="0.15">
      <c r="A98" s="32">
        <f t="shared" ca="1" si="1"/>
        <v>45545</v>
      </c>
      <c r="B98" s="15">
        <v>45593</v>
      </c>
    </row>
    <row r="99" spans="1:2" x14ac:dyDescent="0.15">
      <c r="A99" s="32">
        <f t="shared" ca="1" si="1"/>
        <v>45607</v>
      </c>
      <c r="B99" s="15">
        <v>45413</v>
      </c>
    </row>
    <row r="100" spans="1:2" x14ac:dyDescent="0.15">
      <c r="A100" s="32">
        <f t="shared" ca="1" si="1"/>
        <v>45394</v>
      </c>
      <c r="B100" s="15">
        <v>45463</v>
      </c>
    </row>
    <row r="101" spans="1:2" x14ac:dyDescent="0.15">
      <c r="A101" s="32">
        <f t="shared" ca="1" si="1"/>
        <v>45363</v>
      </c>
      <c r="B101" s="15">
        <v>45603</v>
      </c>
    </row>
    <row r="102" spans="1:2" x14ac:dyDescent="0.15">
      <c r="A102" s="32">
        <f t="shared" ca="1" si="1"/>
        <v>45406</v>
      </c>
      <c r="B102" s="15">
        <v>45560</v>
      </c>
    </row>
    <row r="103" spans="1:2" x14ac:dyDescent="0.15">
      <c r="A103" s="32">
        <f t="shared" ca="1" si="1"/>
        <v>45310</v>
      </c>
      <c r="B103" s="15">
        <v>45474</v>
      </c>
    </row>
    <row r="104" spans="1:2" x14ac:dyDescent="0.15">
      <c r="A104" s="32">
        <f t="shared" ca="1" si="1"/>
        <v>45315</v>
      </c>
      <c r="B104" s="15">
        <v>45482</v>
      </c>
    </row>
    <row r="105" spans="1:2" x14ac:dyDescent="0.15">
      <c r="A105" s="32">
        <f t="shared" ca="1" si="1"/>
        <v>45480</v>
      </c>
      <c r="B105" s="15">
        <v>45491</v>
      </c>
    </row>
    <row r="106" spans="1:2" x14ac:dyDescent="0.15">
      <c r="A106" s="32">
        <f t="shared" ca="1" si="1"/>
        <v>45499</v>
      </c>
      <c r="B106" s="15">
        <v>45648</v>
      </c>
    </row>
    <row r="107" spans="1:2" x14ac:dyDescent="0.15">
      <c r="A107" s="32">
        <f t="shared" ca="1" si="1"/>
        <v>45583</v>
      </c>
      <c r="B107" s="15">
        <v>45388</v>
      </c>
    </row>
    <row r="108" spans="1:2" x14ac:dyDescent="0.15">
      <c r="A108" s="32">
        <f t="shared" ca="1" si="1"/>
        <v>45653</v>
      </c>
      <c r="B108" s="15">
        <v>45380</v>
      </c>
    </row>
    <row r="109" spans="1:2" x14ac:dyDescent="0.15">
      <c r="A109" s="32">
        <f t="shared" ca="1" si="1"/>
        <v>45472</v>
      </c>
      <c r="B109" s="15">
        <v>45452</v>
      </c>
    </row>
    <row r="110" spans="1:2" x14ac:dyDescent="0.15">
      <c r="A110" s="32">
        <f t="shared" ca="1" si="1"/>
        <v>45501</v>
      </c>
      <c r="B110" s="15">
        <v>45568</v>
      </c>
    </row>
    <row r="111" spans="1:2" x14ac:dyDescent="0.15">
      <c r="A111" s="32">
        <f t="shared" ca="1" si="1"/>
        <v>45295</v>
      </c>
      <c r="B111" s="15">
        <v>45389</v>
      </c>
    </row>
    <row r="112" spans="1:2" x14ac:dyDescent="0.15">
      <c r="A112" s="32">
        <f t="shared" ca="1" si="1"/>
        <v>45477</v>
      </c>
      <c r="B112" s="15">
        <v>45310</v>
      </c>
    </row>
    <row r="113" spans="1:2" x14ac:dyDescent="0.15">
      <c r="A113" s="32">
        <f t="shared" ca="1" si="1"/>
        <v>45584</v>
      </c>
      <c r="B113" s="15">
        <v>45645</v>
      </c>
    </row>
    <row r="114" spans="1:2" x14ac:dyDescent="0.15">
      <c r="A114" s="32">
        <f t="shared" ca="1" si="1"/>
        <v>45509</v>
      </c>
      <c r="B114" s="15">
        <v>45377</v>
      </c>
    </row>
    <row r="115" spans="1:2" x14ac:dyDescent="0.15">
      <c r="A115" s="32">
        <f t="shared" ca="1" si="1"/>
        <v>45318</v>
      </c>
      <c r="B115" s="15">
        <v>45530</v>
      </c>
    </row>
    <row r="116" spans="1:2" x14ac:dyDescent="0.15">
      <c r="A116" s="32">
        <f t="shared" ca="1" si="1"/>
        <v>45595</v>
      </c>
      <c r="B116" s="15">
        <v>45587</v>
      </c>
    </row>
    <row r="117" spans="1:2" x14ac:dyDescent="0.15">
      <c r="A117" s="32">
        <f t="shared" ca="1" si="1"/>
        <v>45426</v>
      </c>
      <c r="B117" s="15">
        <v>45578</v>
      </c>
    </row>
    <row r="118" spans="1:2" x14ac:dyDescent="0.15">
      <c r="A118" s="32">
        <f t="shared" ca="1" si="1"/>
        <v>45369</v>
      </c>
      <c r="B118" s="15">
        <v>45528</v>
      </c>
    </row>
    <row r="119" spans="1:2" x14ac:dyDescent="0.15">
      <c r="A119" s="32">
        <f t="shared" ca="1" si="1"/>
        <v>45451</v>
      </c>
      <c r="B119" s="15">
        <v>45611</v>
      </c>
    </row>
    <row r="120" spans="1:2" x14ac:dyDescent="0.15">
      <c r="A120" s="32">
        <f t="shared" ca="1" si="1"/>
        <v>45621</v>
      </c>
      <c r="B120" s="15">
        <v>45386</v>
      </c>
    </row>
    <row r="121" spans="1:2" x14ac:dyDescent="0.15">
      <c r="A121" s="32">
        <f t="shared" ca="1" si="1"/>
        <v>45367</v>
      </c>
      <c r="B121" s="15">
        <v>45372</v>
      </c>
    </row>
    <row r="122" spans="1:2" x14ac:dyDescent="0.15">
      <c r="A122" s="32">
        <f t="shared" ca="1" si="1"/>
        <v>45653</v>
      </c>
      <c r="B122" s="15">
        <v>45598</v>
      </c>
    </row>
    <row r="123" spans="1:2" x14ac:dyDescent="0.15">
      <c r="A123" s="32">
        <f t="shared" ca="1" si="1"/>
        <v>45436</v>
      </c>
      <c r="B123" s="15">
        <v>45414</v>
      </c>
    </row>
    <row r="124" spans="1:2" x14ac:dyDescent="0.15">
      <c r="A124" s="32">
        <f t="shared" ca="1" si="1"/>
        <v>45324</v>
      </c>
      <c r="B124" s="15">
        <v>45349</v>
      </c>
    </row>
    <row r="125" spans="1:2" x14ac:dyDescent="0.15">
      <c r="A125" s="32">
        <f t="shared" ca="1" si="1"/>
        <v>45386</v>
      </c>
      <c r="B125" s="15">
        <v>45379</v>
      </c>
    </row>
    <row r="126" spans="1:2" x14ac:dyDescent="0.15">
      <c r="A126" s="32">
        <f t="shared" ca="1" si="1"/>
        <v>45368</v>
      </c>
      <c r="B126" s="15">
        <v>45366</v>
      </c>
    </row>
    <row r="127" spans="1:2" x14ac:dyDescent="0.15">
      <c r="A127" s="32">
        <f t="shared" ca="1" si="1"/>
        <v>45354</v>
      </c>
      <c r="B127" s="15">
        <v>45393</v>
      </c>
    </row>
    <row r="128" spans="1:2" x14ac:dyDescent="0.15">
      <c r="A128" s="32">
        <f t="shared" ca="1" si="1"/>
        <v>45536</v>
      </c>
      <c r="B128" s="15">
        <v>45615</v>
      </c>
    </row>
    <row r="129" spans="1:2" x14ac:dyDescent="0.15">
      <c r="A129" s="32">
        <f t="shared" ca="1" si="1"/>
        <v>45368</v>
      </c>
      <c r="B129" s="15">
        <v>45353</v>
      </c>
    </row>
    <row r="130" spans="1:2" x14ac:dyDescent="0.15">
      <c r="A130" s="32">
        <f t="shared" ref="A130:A193" ca="1" si="2">DATE(2024,RANDBETWEEN(1,12),RANDBETWEEN(1,31))</f>
        <v>45326</v>
      </c>
      <c r="B130" s="15">
        <v>45586</v>
      </c>
    </row>
    <row r="131" spans="1:2" x14ac:dyDescent="0.15">
      <c r="A131" s="32">
        <f t="shared" ca="1" si="2"/>
        <v>45426</v>
      </c>
      <c r="B131" s="15">
        <v>45586</v>
      </c>
    </row>
    <row r="132" spans="1:2" x14ac:dyDescent="0.15">
      <c r="A132" s="32">
        <f t="shared" ca="1" si="2"/>
        <v>45351</v>
      </c>
      <c r="B132" s="15">
        <v>45366</v>
      </c>
    </row>
    <row r="133" spans="1:2" x14ac:dyDescent="0.15">
      <c r="A133" s="32">
        <f t="shared" ca="1" si="2"/>
        <v>45364</v>
      </c>
      <c r="B133" s="15">
        <v>45397</v>
      </c>
    </row>
    <row r="134" spans="1:2" x14ac:dyDescent="0.15">
      <c r="A134" s="32">
        <f t="shared" ca="1" si="2"/>
        <v>45604</v>
      </c>
      <c r="B134" s="15">
        <v>45478</v>
      </c>
    </row>
    <row r="135" spans="1:2" x14ac:dyDescent="0.15">
      <c r="A135" s="32">
        <f t="shared" ca="1" si="2"/>
        <v>45607</v>
      </c>
      <c r="B135" s="15">
        <v>45322</v>
      </c>
    </row>
    <row r="136" spans="1:2" x14ac:dyDescent="0.15">
      <c r="A136" s="32">
        <f t="shared" ca="1" si="2"/>
        <v>45652</v>
      </c>
      <c r="B136" s="15">
        <v>45407</v>
      </c>
    </row>
    <row r="137" spans="1:2" x14ac:dyDescent="0.15">
      <c r="A137" s="32">
        <f t="shared" ca="1" si="2"/>
        <v>45648</v>
      </c>
      <c r="B137" s="15">
        <v>45518</v>
      </c>
    </row>
    <row r="138" spans="1:2" x14ac:dyDescent="0.15">
      <c r="A138" s="32">
        <f t="shared" ca="1" si="2"/>
        <v>45418</v>
      </c>
      <c r="B138" s="15">
        <v>45642</v>
      </c>
    </row>
    <row r="139" spans="1:2" x14ac:dyDescent="0.15">
      <c r="A139" s="32">
        <f t="shared" ca="1" si="2"/>
        <v>45626</v>
      </c>
      <c r="B139" s="15">
        <v>45449</v>
      </c>
    </row>
    <row r="140" spans="1:2" x14ac:dyDescent="0.15">
      <c r="A140" s="32">
        <f t="shared" ca="1" si="2"/>
        <v>45326</v>
      </c>
      <c r="B140" s="15">
        <v>45627</v>
      </c>
    </row>
    <row r="141" spans="1:2" x14ac:dyDescent="0.15">
      <c r="A141" s="32">
        <f t="shared" ca="1" si="2"/>
        <v>45315</v>
      </c>
      <c r="B141" s="15">
        <v>45375</v>
      </c>
    </row>
    <row r="142" spans="1:2" x14ac:dyDescent="0.15">
      <c r="A142" s="32">
        <f t="shared" ca="1" si="2"/>
        <v>45473</v>
      </c>
      <c r="B142" s="15">
        <v>45508</v>
      </c>
    </row>
    <row r="143" spans="1:2" x14ac:dyDescent="0.15">
      <c r="A143" s="32">
        <f t="shared" ca="1" si="2"/>
        <v>45581</v>
      </c>
      <c r="B143" s="15">
        <v>45294</v>
      </c>
    </row>
    <row r="144" spans="1:2" x14ac:dyDescent="0.15">
      <c r="A144" s="32">
        <f t="shared" ca="1" si="2"/>
        <v>45396</v>
      </c>
      <c r="B144" s="15">
        <v>45322</v>
      </c>
    </row>
    <row r="145" spans="1:2" x14ac:dyDescent="0.15">
      <c r="A145" s="32">
        <f t="shared" ca="1" si="2"/>
        <v>45321</v>
      </c>
      <c r="B145" s="15">
        <v>45403</v>
      </c>
    </row>
    <row r="146" spans="1:2" x14ac:dyDescent="0.15">
      <c r="A146" s="32">
        <f t="shared" ca="1" si="2"/>
        <v>45297</v>
      </c>
      <c r="B146" s="15">
        <v>45353</v>
      </c>
    </row>
    <row r="147" spans="1:2" x14ac:dyDescent="0.15">
      <c r="A147" s="32">
        <f t="shared" ca="1" si="2"/>
        <v>45413</v>
      </c>
      <c r="B147" s="15">
        <v>45432</v>
      </c>
    </row>
    <row r="148" spans="1:2" x14ac:dyDescent="0.15">
      <c r="A148" s="32">
        <f t="shared" ca="1" si="2"/>
        <v>45628</v>
      </c>
      <c r="B148" s="15">
        <v>45314</v>
      </c>
    </row>
    <row r="149" spans="1:2" x14ac:dyDescent="0.15">
      <c r="A149" s="32">
        <f t="shared" ca="1" si="2"/>
        <v>45406</v>
      </c>
      <c r="B149" s="15">
        <v>45500</v>
      </c>
    </row>
    <row r="150" spans="1:2" x14ac:dyDescent="0.15">
      <c r="A150" s="32">
        <f t="shared" ca="1" si="2"/>
        <v>45637</v>
      </c>
      <c r="B150" s="15">
        <v>45544</v>
      </c>
    </row>
    <row r="151" spans="1:2" x14ac:dyDescent="0.15">
      <c r="A151" s="32">
        <f t="shared" ca="1" si="2"/>
        <v>45608</v>
      </c>
      <c r="B151" s="15">
        <v>45328</v>
      </c>
    </row>
    <row r="152" spans="1:2" x14ac:dyDescent="0.15">
      <c r="A152" s="32">
        <f t="shared" ca="1" si="2"/>
        <v>45543</v>
      </c>
      <c r="B152" s="15">
        <v>45595</v>
      </c>
    </row>
    <row r="153" spans="1:2" x14ac:dyDescent="0.15">
      <c r="A153" s="32">
        <f t="shared" ca="1" si="2"/>
        <v>45608</v>
      </c>
      <c r="B153" s="15">
        <v>45434</v>
      </c>
    </row>
    <row r="154" spans="1:2" x14ac:dyDescent="0.15">
      <c r="A154" s="32">
        <f t="shared" ca="1" si="2"/>
        <v>45527</v>
      </c>
      <c r="B154" s="15">
        <v>45519</v>
      </c>
    </row>
    <row r="155" spans="1:2" x14ac:dyDescent="0.15">
      <c r="A155" s="32">
        <f t="shared" ca="1" si="2"/>
        <v>45482</v>
      </c>
      <c r="B155" s="15">
        <v>45580</v>
      </c>
    </row>
    <row r="156" spans="1:2" x14ac:dyDescent="0.15">
      <c r="A156" s="32">
        <f t="shared" ca="1" si="2"/>
        <v>45553</v>
      </c>
      <c r="B156" s="15">
        <v>45350</v>
      </c>
    </row>
    <row r="157" spans="1:2" x14ac:dyDescent="0.15">
      <c r="A157" s="32">
        <f t="shared" ca="1" si="2"/>
        <v>45501</v>
      </c>
      <c r="B157" s="15">
        <v>45509</v>
      </c>
    </row>
    <row r="158" spans="1:2" x14ac:dyDescent="0.15">
      <c r="A158" s="32">
        <f t="shared" ca="1" si="2"/>
        <v>45299</v>
      </c>
      <c r="B158" s="15">
        <v>45526</v>
      </c>
    </row>
    <row r="159" spans="1:2" x14ac:dyDescent="0.15">
      <c r="A159" s="32">
        <f t="shared" ca="1" si="2"/>
        <v>45624</v>
      </c>
      <c r="B159" s="15">
        <v>45463</v>
      </c>
    </row>
    <row r="160" spans="1:2" x14ac:dyDescent="0.15">
      <c r="A160" s="32">
        <f t="shared" ca="1" si="2"/>
        <v>45541</v>
      </c>
      <c r="B160" s="15">
        <v>45583</v>
      </c>
    </row>
    <row r="161" spans="1:2" x14ac:dyDescent="0.15">
      <c r="A161" s="32">
        <f t="shared" ca="1" si="2"/>
        <v>45558</v>
      </c>
      <c r="B161" s="15">
        <v>45413</v>
      </c>
    </row>
    <row r="162" spans="1:2" x14ac:dyDescent="0.15">
      <c r="A162" s="32">
        <f t="shared" ca="1" si="2"/>
        <v>45562</v>
      </c>
      <c r="B162" s="15">
        <v>45567</v>
      </c>
    </row>
    <row r="163" spans="1:2" x14ac:dyDescent="0.15">
      <c r="A163" s="32">
        <f t="shared" ca="1" si="2"/>
        <v>45331</v>
      </c>
      <c r="B163" s="15">
        <v>45635</v>
      </c>
    </row>
    <row r="164" spans="1:2" x14ac:dyDescent="0.15">
      <c r="A164" s="32">
        <f t="shared" ca="1" si="2"/>
        <v>45436</v>
      </c>
      <c r="B164" s="15">
        <v>45557</v>
      </c>
    </row>
    <row r="165" spans="1:2" x14ac:dyDescent="0.15">
      <c r="A165" s="32">
        <f t="shared" ca="1" si="2"/>
        <v>45501</v>
      </c>
      <c r="B165" s="15">
        <v>45583</v>
      </c>
    </row>
    <row r="166" spans="1:2" x14ac:dyDescent="0.15">
      <c r="A166" s="32">
        <f t="shared" ca="1" si="2"/>
        <v>45439</v>
      </c>
      <c r="B166" s="15">
        <v>45414</v>
      </c>
    </row>
    <row r="167" spans="1:2" x14ac:dyDescent="0.15">
      <c r="A167" s="32">
        <f t="shared" ca="1" si="2"/>
        <v>45460</v>
      </c>
      <c r="B167" s="15">
        <v>45491</v>
      </c>
    </row>
    <row r="168" spans="1:2" x14ac:dyDescent="0.15">
      <c r="A168" s="32">
        <f t="shared" ca="1" si="2"/>
        <v>45494</v>
      </c>
      <c r="B168" s="15">
        <v>45548</v>
      </c>
    </row>
    <row r="169" spans="1:2" x14ac:dyDescent="0.15">
      <c r="A169" s="32">
        <f t="shared" ca="1" si="2"/>
        <v>45630</v>
      </c>
      <c r="B169" s="15">
        <v>45467</v>
      </c>
    </row>
    <row r="170" spans="1:2" x14ac:dyDescent="0.15">
      <c r="A170" s="32">
        <f t="shared" ca="1" si="2"/>
        <v>45368</v>
      </c>
      <c r="B170" s="15">
        <v>45468</v>
      </c>
    </row>
    <row r="171" spans="1:2" x14ac:dyDescent="0.15">
      <c r="A171" s="32">
        <f t="shared" ca="1" si="2"/>
        <v>45313</v>
      </c>
      <c r="B171" s="15">
        <v>45353</v>
      </c>
    </row>
    <row r="172" spans="1:2" x14ac:dyDescent="0.15">
      <c r="A172" s="32">
        <f t="shared" ca="1" si="2"/>
        <v>45468</v>
      </c>
      <c r="B172" s="15">
        <v>45405</v>
      </c>
    </row>
    <row r="173" spans="1:2" x14ac:dyDescent="0.15">
      <c r="A173" s="32">
        <f t="shared" ca="1" si="2"/>
        <v>45483</v>
      </c>
      <c r="B173" s="15">
        <v>45586</v>
      </c>
    </row>
    <row r="174" spans="1:2" x14ac:dyDescent="0.15">
      <c r="A174" s="32">
        <f t="shared" ca="1" si="2"/>
        <v>45506</v>
      </c>
      <c r="B174" s="15">
        <v>45376</v>
      </c>
    </row>
    <row r="175" spans="1:2" x14ac:dyDescent="0.15">
      <c r="A175" s="32">
        <f t="shared" ca="1" si="2"/>
        <v>45573</v>
      </c>
      <c r="B175" s="15">
        <v>45373</v>
      </c>
    </row>
    <row r="176" spans="1:2" x14ac:dyDescent="0.15">
      <c r="A176" s="32">
        <f t="shared" ca="1" si="2"/>
        <v>45588</v>
      </c>
      <c r="B176" s="15">
        <v>45653</v>
      </c>
    </row>
    <row r="177" spans="1:2" x14ac:dyDescent="0.15">
      <c r="A177" s="32">
        <f t="shared" ca="1" si="2"/>
        <v>45545</v>
      </c>
      <c r="B177" s="15">
        <v>45307</v>
      </c>
    </row>
    <row r="178" spans="1:2" x14ac:dyDescent="0.15">
      <c r="A178" s="32">
        <f t="shared" ca="1" si="2"/>
        <v>45359</v>
      </c>
      <c r="B178" s="15">
        <v>45353</v>
      </c>
    </row>
    <row r="179" spans="1:2" x14ac:dyDescent="0.15">
      <c r="A179" s="32">
        <f t="shared" ca="1" si="2"/>
        <v>45468</v>
      </c>
      <c r="B179" s="15">
        <v>45439</v>
      </c>
    </row>
    <row r="180" spans="1:2" x14ac:dyDescent="0.15">
      <c r="A180" s="32">
        <f t="shared" ca="1" si="2"/>
        <v>45640</v>
      </c>
      <c r="B180" s="15">
        <v>45646</v>
      </c>
    </row>
    <row r="181" spans="1:2" x14ac:dyDescent="0.15">
      <c r="A181" s="32">
        <f t="shared" ca="1" si="2"/>
        <v>45375</v>
      </c>
      <c r="B181" s="15">
        <v>45624</v>
      </c>
    </row>
    <row r="182" spans="1:2" x14ac:dyDescent="0.15">
      <c r="A182" s="32">
        <f t="shared" ca="1" si="2"/>
        <v>45344</v>
      </c>
      <c r="B182" s="15">
        <v>45596</v>
      </c>
    </row>
    <row r="183" spans="1:2" x14ac:dyDescent="0.15">
      <c r="A183" s="32">
        <f t="shared" ca="1" si="2"/>
        <v>45333</v>
      </c>
      <c r="B183" s="15">
        <v>45634</v>
      </c>
    </row>
    <row r="184" spans="1:2" x14ac:dyDescent="0.15">
      <c r="A184" s="32">
        <f t="shared" ca="1" si="2"/>
        <v>45606</v>
      </c>
      <c r="B184" s="15">
        <v>45309</v>
      </c>
    </row>
    <row r="185" spans="1:2" x14ac:dyDescent="0.15">
      <c r="A185" s="32">
        <f t="shared" ca="1" si="2"/>
        <v>45573</v>
      </c>
      <c r="B185" s="15">
        <v>45569</v>
      </c>
    </row>
    <row r="186" spans="1:2" x14ac:dyDescent="0.15">
      <c r="A186" s="32">
        <f t="shared" ca="1" si="2"/>
        <v>45297</v>
      </c>
      <c r="B186" s="15">
        <v>45525</v>
      </c>
    </row>
    <row r="187" spans="1:2" x14ac:dyDescent="0.15">
      <c r="A187" s="32">
        <f t="shared" ca="1" si="2"/>
        <v>45506</v>
      </c>
      <c r="B187" s="15">
        <v>45534</v>
      </c>
    </row>
    <row r="188" spans="1:2" x14ac:dyDescent="0.15">
      <c r="A188" s="32">
        <f t="shared" ca="1" si="2"/>
        <v>45411</v>
      </c>
      <c r="B188" s="15">
        <v>45317</v>
      </c>
    </row>
    <row r="189" spans="1:2" x14ac:dyDescent="0.15">
      <c r="A189" s="32">
        <f t="shared" ca="1" si="2"/>
        <v>45546</v>
      </c>
      <c r="B189" s="15">
        <v>45393</v>
      </c>
    </row>
    <row r="190" spans="1:2" x14ac:dyDescent="0.15">
      <c r="A190" s="32">
        <f t="shared" ca="1" si="2"/>
        <v>45330</v>
      </c>
      <c r="B190" s="15">
        <v>45612</v>
      </c>
    </row>
    <row r="191" spans="1:2" x14ac:dyDescent="0.15">
      <c r="A191" s="32">
        <f t="shared" ca="1" si="2"/>
        <v>45573</v>
      </c>
      <c r="B191" s="15">
        <v>45545</v>
      </c>
    </row>
    <row r="192" spans="1:2" x14ac:dyDescent="0.15">
      <c r="A192" s="32">
        <f t="shared" ca="1" si="2"/>
        <v>45580</v>
      </c>
      <c r="B192" s="15">
        <v>45294</v>
      </c>
    </row>
    <row r="193" spans="1:2" x14ac:dyDescent="0.15">
      <c r="A193" s="32">
        <f t="shared" ca="1" si="2"/>
        <v>45363</v>
      </c>
      <c r="B193" s="15">
        <v>45577</v>
      </c>
    </row>
    <row r="194" spans="1:2" x14ac:dyDescent="0.15">
      <c r="A194" s="32">
        <f t="shared" ref="A194:A257" ca="1" si="3">DATE(2024,RANDBETWEEN(1,12),RANDBETWEEN(1,31))</f>
        <v>45540</v>
      </c>
      <c r="B194" s="15">
        <v>45650</v>
      </c>
    </row>
    <row r="195" spans="1:2" x14ac:dyDescent="0.15">
      <c r="A195" s="32">
        <f t="shared" ca="1" si="3"/>
        <v>45556</v>
      </c>
      <c r="B195" s="15">
        <v>45477</v>
      </c>
    </row>
    <row r="196" spans="1:2" x14ac:dyDescent="0.15">
      <c r="A196" s="32">
        <f t="shared" ca="1" si="3"/>
        <v>45515</v>
      </c>
      <c r="B196" s="15">
        <v>45657</v>
      </c>
    </row>
    <row r="197" spans="1:2" x14ac:dyDescent="0.15">
      <c r="A197" s="32">
        <f t="shared" ca="1" si="3"/>
        <v>45321</v>
      </c>
      <c r="B197" s="15">
        <v>45491</v>
      </c>
    </row>
    <row r="198" spans="1:2" x14ac:dyDescent="0.15">
      <c r="A198" s="32">
        <f t="shared" ca="1" si="3"/>
        <v>45654</v>
      </c>
      <c r="B198" s="15">
        <v>45607</v>
      </c>
    </row>
    <row r="199" spans="1:2" x14ac:dyDescent="0.15">
      <c r="A199" s="32">
        <f t="shared" ca="1" si="3"/>
        <v>45444</v>
      </c>
      <c r="B199" s="15">
        <v>45508</v>
      </c>
    </row>
    <row r="200" spans="1:2" x14ac:dyDescent="0.15">
      <c r="A200" s="32">
        <f t="shared" ca="1" si="3"/>
        <v>45637</v>
      </c>
      <c r="B200" s="15">
        <v>45547</v>
      </c>
    </row>
    <row r="201" spans="1:2" x14ac:dyDescent="0.15">
      <c r="A201" s="32">
        <f t="shared" ca="1" si="3"/>
        <v>45436</v>
      </c>
      <c r="B201" s="15">
        <v>45438</v>
      </c>
    </row>
    <row r="202" spans="1:2" x14ac:dyDescent="0.15">
      <c r="A202" s="32">
        <f t="shared" ca="1" si="3"/>
        <v>45429</v>
      </c>
      <c r="B202" s="15">
        <v>45327</v>
      </c>
    </row>
    <row r="203" spans="1:2" x14ac:dyDescent="0.15">
      <c r="A203" s="32">
        <f t="shared" ca="1" si="3"/>
        <v>45479</v>
      </c>
      <c r="B203" s="15">
        <v>45502</v>
      </c>
    </row>
    <row r="204" spans="1:2" x14ac:dyDescent="0.15">
      <c r="A204" s="32">
        <f t="shared" ca="1" si="3"/>
        <v>45600</v>
      </c>
      <c r="B204" s="15">
        <v>45504</v>
      </c>
    </row>
    <row r="205" spans="1:2" x14ac:dyDescent="0.15">
      <c r="A205" s="32">
        <f t="shared" ca="1" si="3"/>
        <v>45652</v>
      </c>
      <c r="B205" s="15">
        <v>45413</v>
      </c>
    </row>
    <row r="206" spans="1:2" x14ac:dyDescent="0.15">
      <c r="A206" s="32">
        <f t="shared" ca="1" si="3"/>
        <v>45483</v>
      </c>
      <c r="B206" s="15">
        <v>45437</v>
      </c>
    </row>
    <row r="207" spans="1:2" x14ac:dyDescent="0.15">
      <c r="A207" s="32">
        <f t="shared" ca="1" si="3"/>
        <v>45421</v>
      </c>
      <c r="B207" s="15">
        <v>45484</v>
      </c>
    </row>
    <row r="208" spans="1:2" x14ac:dyDescent="0.15">
      <c r="A208" s="32">
        <f t="shared" ca="1" si="3"/>
        <v>45407</v>
      </c>
      <c r="B208" s="15">
        <v>45392</v>
      </c>
    </row>
    <row r="209" spans="1:2" x14ac:dyDescent="0.15">
      <c r="A209" s="32">
        <f t="shared" ca="1" si="3"/>
        <v>45448</v>
      </c>
      <c r="B209" s="15">
        <v>45353</v>
      </c>
    </row>
    <row r="210" spans="1:2" x14ac:dyDescent="0.15">
      <c r="A210" s="32">
        <f t="shared" ca="1" si="3"/>
        <v>45302</v>
      </c>
      <c r="B210" s="15">
        <v>45485</v>
      </c>
    </row>
    <row r="211" spans="1:2" x14ac:dyDescent="0.15">
      <c r="A211" s="32">
        <f t="shared" ca="1" si="3"/>
        <v>45560</v>
      </c>
      <c r="B211" s="15">
        <v>45347</v>
      </c>
    </row>
    <row r="212" spans="1:2" x14ac:dyDescent="0.15">
      <c r="A212" s="32">
        <f t="shared" ca="1" si="3"/>
        <v>45367</v>
      </c>
      <c r="B212" s="15">
        <v>45531</v>
      </c>
    </row>
    <row r="213" spans="1:2" x14ac:dyDescent="0.15">
      <c r="A213" s="32">
        <f t="shared" ca="1" si="3"/>
        <v>45305</v>
      </c>
      <c r="B213" s="15">
        <v>45432</v>
      </c>
    </row>
    <row r="214" spans="1:2" x14ac:dyDescent="0.15">
      <c r="A214" s="32">
        <f t="shared" ca="1" si="3"/>
        <v>45445</v>
      </c>
      <c r="B214" s="15">
        <v>45362</v>
      </c>
    </row>
    <row r="215" spans="1:2" x14ac:dyDescent="0.15">
      <c r="A215" s="32">
        <f t="shared" ca="1" si="3"/>
        <v>45617</v>
      </c>
      <c r="B215" s="15">
        <v>45575</v>
      </c>
    </row>
    <row r="216" spans="1:2" x14ac:dyDescent="0.15">
      <c r="A216" s="32">
        <f t="shared" ca="1" si="3"/>
        <v>45416</v>
      </c>
      <c r="B216" s="15">
        <v>45566</v>
      </c>
    </row>
    <row r="217" spans="1:2" x14ac:dyDescent="0.15">
      <c r="A217" s="32">
        <f t="shared" ca="1" si="3"/>
        <v>45633</v>
      </c>
      <c r="B217" s="15">
        <v>45430</v>
      </c>
    </row>
    <row r="218" spans="1:2" x14ac:dyDescent="0.15">
      <c r="A218" s="32">
        <f t="shared" ca="1" si="3"/>
        <v>45572</v>
      </c>
      <c r="B218" s="15">
        <v>45388</v>
      </c>
    </row>
    <row r="219" spans="1:2" x14ac:dyDescent="0.15">
      <c r="A219" s="32">
        <f t="shared" ca="1" si="3"/>
        <v>45602</v>
      </c>
      <c r="B219" s="15">
        <v>45625</v>
      </c>
    </row>
    <row r="220" spans="1:2" x14ac:dyDescent="0.15">
      <c r="A220" s="32">
        <f t="shared" ca="1" si="3"/>
        <v>45356</v>
      </c>
      <c r="B220" s="15">
        <v>45538</v>
      </c>
    </row>
    <row r="221" spans="1:2" x14ac:dyDescent="0.15">
      <c r="A221" s="32">
        <f t="shared" ca="1" si="3"/>
        <v>45297</v>
      </c>
      <c r="B221" s="15">
        <v>45554</v>
      </c>
    </row>
    <row r="222" spans="1:2" x14ac:dyDescent="0.15">
      <c r="A222" s="32">
        <f t="shared" ca="1" si="3"/>
        <v>45620</v>
      </c>
      <c r="B222" s="15">
        <v>45620</v>
      </c>
    </row>
    <row r="223" spans="1:2" x14ac:dyDescent="0.15">
      <c r="A223" s="32">
        <f t="shared" ca="1" si="3"/>
        <v>45634</v>
      </c>
      <c r="B223" s="15">
        <v>45342</v>
      </c>
    </row>
    <row r="224" spans="1:2" x14ac:dyDescent="0.15">
      <c r="A224" s="32">
        <f t="shared" ca="1" si="3"/>
        <v>45423</v>
      </c>
      <c r="B224" s="15">
        <v>45544</v>
      </c>
    </row>
    <row r="225" spans="1:2" x14ac:dyDescent="0.15">
      <c r="A225" s="32">
        <f t="shared" ca="1" si="3"/>
        <v>45469</v>
      </c>
      <c r="B225" s="15">
        <v>45545</v>
      </c>
    </row>
    <row r="226" spans="1:2" x14ac:dyDescent="0.15">
      <c r="A226" s="32">
        <f t="shared" ca="1" si="3"/>
        <v>45429</v>
      </c>
      <c r="B226" s="15">
        <v>45472</v>
      </c>
    </row>
    <row r="227" spans="1:2" x14ac:dyDescent="0.15">
      <c r="A227" s="32">
        <f t="shared" ca="1" si="3"/>
        <v>45647</v>
      </c>
      <c r="B227" s="15">
        <v>45508</v>
      </c>
    </row>
    <row r="228" spans="1:2" x14ac:dyDescent="0.15">
      <c r="A228" s="32">
        <f t="shared" ca="1" si="3"/>
        <v>45571</v>
      </c>
      <c r="B228" s="15">
        <v>45601</v>
      </c>
    </row>
    <row r="229" spans="1:2" x14ac:dyDescent="0.15">
      <c r="A229" s="32">
        <f t="shared" ca="1" si="3"/>
        <v>45422</v>
      </c>
      <c r="B229" s="15">
        <v>45352</v>
      </c>
    </row>
    <row r="230" spans="1:2" x14ac:dyDescent="0.15">
      <c r="A230" s="32">
        <f t="shared" ca="1" si="3"/>
        <v>45528</v>
      </c>
      <c r="B230" s="15">
        <v>45425</v>
      </c>
    </row>
    <row r="231" spans="1:2" x14ac:dyDescent="0.15">
      <c r="A231" s="32">
        <f t="shared" ca="1" si="3"/>
        <v>45457</v>
      </c>
      <c r="B231" s="15">
        <v>45545</v>
      </c>
    </row>
    <row r="232" spans="1:2" x14ac:dyDescent="0.15">
      <c r="A232" s="32">
        <f t="shared" ca="1" si="3"/>
        <v>45582</v>
      </c>
      <c r="B232" s="15">
        <v>45539</v>
      </c>
    </row>
    <row r="233" spans="1:2" x14ac:dyDescent="0.15">
      <c r="A233" s="32">
        <f t="shared" ca="1" si="3"/>
        <v>45475</v>
      </c>
      <c r="B233" s="15">
        <v>45612</v>
      </c>
    </row>
    <row r="234" spans="1:2" x14ac:dyDescent="0.15">
      <c r="A234" s="32">
        <f t="shared" ca="1" si="3"/>
        <v>45337</v>
      </c>
      <c r="B234" s="15">
        <v>45506</v>
      </c>
    </row>
    <row r="235" spans="1:2" x14ac:dyDescent="0.15">
      <c r="A235" s="32">
        <f t="shared" ca="1" si="3"/>
        <v>45293</v>
      </c>
      <c r="B235" s="15">
        <v>45333</v>
      </c>
    </row>
    <row r="236" spans="1:2" x14ac:dyDescent="0.15">
      <c r="A236" s="32">
        <f t="shared" ca="1" si="3"/>
        <v>45487</v>
      </c>
      <c r="B236" s="15">
        <v>45447</v>
      </c>
    </row>
    <row r="237" spans="1:2" x14ac:dyDescent="0.15">
      <c r="A237" s="32">
        <f t="shared" ca="1" si="3"/>
        <v>45313</v>
      </c>
      <c r="B237" s="15">
        <v>45531</v>
      </c>
    </row>
    <row r="238" spans="1:2" x14ac:dyDescent="0.15">
      <c r="A238" s="32">
        <f t="shared" ca="1" si="3"/>
        <v>45640</v>
      </c>
      <c r="B238" s="15">
        <v>45434</v>
      </c>
    </row>
    <row r="239" spans="1:2" x14ac:dyDescent="0.15">
      <c r="A239" s="32">
        <f t="shared" ca="1" si="3"/>
        <v>45412</v>
      </c>
      <c r="B239" s="15">
        <v>45409</v>
      </c>
    </row>
    <row r="240" spans="1:2" x14ac:dyDescent="0.15">
      <c r="A240" s="32">
        <f t="shared" ca="1" si="3"/>
        <v>45477</v>
      </c>
      <c r="B240" s="15">
        <v>45307</v>
      </c>
    </row>
    <row r="241" spans="1:2" x14ac:dyDescent="0.15">
      <c r="A241" s="32">
        <f t="shared" ca="1" si="3"/>
        <v>45515</v>
      </c>
      <c r="B241" s="15">
        <v>45426</v>
      </c>
    </row>
    <row r="242" spans="1:2" x14ac:dyDescent="0.15">
      <c r="A242" s="32">
        <f t="shared" ca="1" si="3"/>
        <v>45451</v>
      </c>
      <c r="B242" s="15">
        <v>45376</v>
      </c>
    </row>
    <row r="243" spans="1:2" x14ac:dyDescent="0.15">
      <c r="A243" s="32">
        <f t="shared" ca="1" si="3"/>
        <v>45473</v>
      </c>
      <c r="B243" s="15">
        <v>45435</v>
      </c>
    </row>
    <row r="244" spans="1:2" x14ac:dyDescent="0.15">
      <c r="A244" s="32">
        <f t="shared" ca="1" si="3"/>
        <v>45460</v>
      </c>
      <c r="B244" s="15">
        <v>45431</v>
      </c>
    </row>
    <row r="245" spans="1:2" x14ac:dyDescent="0.15">
      <c r="A245" s="32">
        <f t="shared" ca="1" si="3"/>
        <v>45455</v>
      </c>
      <c r="B245" s="15">
        <v>45530</v>
      </c>
    </row>
    <row r="246" spans="1:2" x14ac:dyDescent="0.15">
      <c r="A246" s="32">
        <f t="shared" ca="1" si="3"/>
        <v>45502</v>
      </c>
      <c r="B246" s="15">
        <v>45292</v>
      </c>
    </row>
    <row r="247" spans="1:2" x14ac:dyDescent="0.15">
      <c r="A247" s="32">
        <f t="shared" ca="1" si="3"/>
        <v>45425</v>
      </c>
      <c r="B247" s="15">
        <v>45643</v>
      </c>
    </row>
    <row r="248" spans="1:2" x14ac:dyDescent="0.15">
      <c r="A248" s="32">
        <f t="shared" ca="1" si="3"/>
        <v>45486</v>
      </c>
      <c r="B248" s="15">
        <v>45551</v>
      </c>
    </row>
    <row r="249" spans="1:2" x14ac:dyDescent="0.15">
      <c r="A249" s="32">
        <f t="shared" ca="1" si="3"/>
        <v>45392</v>
      </c>
      <c r="B249" s="15">
        <v>45450</v>
      </c>
    </row>
    <row r="250" spans="1:2" x14ac:dyDescent="0.15">
      <c r="A250" s="32">
        <f t="shared" ca="1" si="3"/>
        <v>45424</v>
      </c>
      <c r="B250" s="15">
        <v>45409</v>
      </c>
    </row>
    <row r="251" spans="1:2" x14ac:dyDescent="0.15">
      <c r="A251" s="32">
        <f t="shared" ca="1" si="3"/>
        <v>45397</v>
      </c>
      <c r="B251" s="15">
        <v>45566</v>
      </c>
    </row>
    <row r="252" spans="1:2" x14ac:dyDescent="0.15">
      <c r="A252" s="32">
        <f t="shared" ca="1" si="3"/>
        <v>45565</v>
      </c>
      <c r="B252" s="15">
        <v>45363</v>
      </c>
    </row>
    <row r="253" spans="1:2" x14ac:dyDescent="0.15">
      <c r="A253" s="32">
        <f t="shared" ca="1" si="3"/>
        <v>45311</v>
      </c>
      <c r="B253" s="15">
        <v>45388</v>
      </c>
    </row>
    <row r="254" spans="1:2" x14ac:dyDescent="0.15">
      <c r="A254" s="32">
        <f t="shared" ca="1" si="3"/>
        <v>45464</v>
      </c>
      <c r="B254" s="15">
        <v>45417</v>
      </c>
    </row>
    <row r="255" spans="1:2" x14ac:dyDescent="0.15">
      <c r="A255" s="32">
        <f t="shared" ca="1" si="3"/>
        <v>45307</v>
      </c>
      <c r="B255" s="15">
        <v>45648</v>
      </c>
    </row>
    <row r="256" spans="1:2" x14ac:dyDescent="0.15">
      <c r="A256" s="32">
        <f t="shared" ca="1" si="3"/>
        <v>45479</v>
      </c>
      <c r="B256" s="15">
        <v>45442</v>
      </c>
    </row>
    <row r="257" spans="1:2" x14ac:dyDescent="0.15">
      <c r="A257" s="32">
        <f t="shared" ca="1" si="3"/>
        <v>45383</v>
      </c>
      <c r="B257" s="15">
        <v>45570</v>
      </c>
    </row>
    <row r="258" spans="1:2" x14ac:dyDescent="0.15">
      <c r="A258" s="32">
        <f t="shared" ref="A258:A321" ca="1" si="4">DATE(2024,RANDBETWEEN(1,12),RANDBETWEEN(1,31))</f>
        <v>45562</v>
      </c>
      <c r="B258" s="15">
        <v>45353</v>
      </c>
    </row>
    <row r="259" spans="1:2" x14ac:dyDescent="0.15">
      <c r="A259" s="32">
        <f t="shared" ca="1" si="4"/>
        <v>45598</v>
      </c>
      <c r="B259" s="15">
        <v>45319</v>
      </c>
    </row>
    <row r="260" spans="1:2" x14ac:dyDescent="0.15">
      <c r="A260" s="32">
        <f t="shared" ca="1" si="4"/>
        <v>45528</v>
      </c>
      <c r="B260" s="15">
        <v>45436</v>
      </c>
    </row>
    <row r="261" spans="1:2" x14ac:dyDescent="0.15">
      <c r="A261" s="32">
        <f t="shared" ca="1" si="4"/>
        <v>45517</v>
      </c>
      <c r="B261" s="15">
        <v>45460</v>
      </c>
    </row>
    <row r="262" spans="1:2" x14ac:dyDescent="0.15">
      <c r="A262" s="32">
        <f t="shared" ca="1" si="4"/>
        <v>45460</v>
      </c>
      <c r="B262" s="15">
        <v>45623</v>
      </c>
    </row>
    <row r="263" spans="1:2" x14ac:dyDescent="0.15">
      <c r="A263" s="32">
        <f t="shared" ca="1" si="4"/>
        <v>45317</v>
      </c>
      <c r="B263" s="15">
        <v>45367</v>
      </c>
    </row>
    <row r="264" spans="1:2" x14ac:dyDescent="0.15">
      <c r="A264" s="32">
        <f t="shared" ca="1" si="4"/>
        <v>45339</v>
      </c>
      <c r="B264" s="15">
        <v>45426</v>
      </c>
    </row>
    <row r="265" spans="1:2" x14ac:dyDescent="0.15">
      <c r="A265" s="32">
        <f t="shared" ca="1" si="4"/>
        <v>45619</v>
      </c>
      <c r="B265" s="15">
        <v>45335</v>
      </c>
    </row>
    <row r="266" spans="1:2" x14ac:dyDescent="0.15">
      <c r="A266" s="32">
        <f t="shared" ca="1" si="4"/>
        <v>45440</v>
      </c>
      <c r="B266" s="15">
        <v>45330</v>
      </c>
    </row>
    <row r="267" spans="1:2" x14ac:dyDescent="0.15">
      <c r="A267" s="32">
        <f t="shared" ca="1" si="4"/>
        <v>45570</v>
      </c>
      <c r="B267" s="15">
        <v>45627</v>
      </c>
    </row>
    <row r="268" spans="1:2" x14ac:dyDescent="0.15">
      <c r="A268" s="32">
        <f t="shared" ca="1" si="4"/>
        <v>45562</v>
      </c>
      <c r="B268" s="15">
        <v>45610</v>
      </c>
    </row>
    <row r="269" spans="1:2" x14ac:dyDescent="0.15">
      <c r="A269" s="32">
        <f t="shared" ca="1" si="4"/>
        <v>45621</v>
      </c>
      <c r="B269" s="15">
        <v>45490</v>
      </c>
    </row>
    <row r="270" spans="1:2" x14ac:dyDescent="0.15">
      <c r="A270" s="32">
        <f t="shared" ca="1" si="4"/>
        <v>45542</v>
      </c>
      <c r="B270" s="15">
        <v>45358</v>
      </c>
    </row>
    <row r="271" spans="1:2" x14ac:dyDescent="0.15">
      <c r="A271" s="32">
        <f t="shared" ca="1" si="4"/>
        <v>45340</v>
      </c>
      <c r="B271" s="15">
        <v>45645</v>
      </c>
    </row>
    <row r="272" spans="1:2" x14ac:dyDescent="0.15">
      <c r="A272" s="32">
        <f t="shared" ca="1" si="4"/>
        <v>45560</v>
      </c>
      <c r="B272" s="15">
        <v>45539</v>
      </c>
    </row>
    <row r="273" spans="1:2" x14ac:dyDescent="0.15">
      <c r="A273" s="32">
        <f t="shared" ca="1" si="4"/>
        <v>45303</v>
      </c>
      <c r="B273" s="15">
        <v>45443</v>
      </c>
    </row>
    <row r="274" spans="1:2" x14ac:dyDescent="0.15">
      <c r="A274" s="32">
        <f t="shared" ca="1" si="4"/>
        <v>45445</v>
      </c>
      <c r="B274" s="15">
        <v>45331</v>
      </c>
    </row>
    <row r="275" spans="1:2" x14ac:dyDescent="0.15">
      <c r="A275" s="32">
        <f t="shared" ca="1" si="4"/>
        <v>45631</v>
      </c>
      <c r="B275" s="15">
        <v>45656</v>
      </c>
    </row>
    <row r="276" spans="1:2" x14ac:dyDescent="0.15">
      <c r="A276" s="32">
        <f t="shared" ca="1" si="4"/>
        <v>45554</v>
      </c>
      <c r="B276" s="15">
        <v>45407</v>
      </c>
    </row>
    <row r="277" spans="1:2" x14ac:dyDescent="0.15">
      <c r="A277" s="32">
        <f t="shared" ca="1" si="4"/>
        <v>45498</v>
      </c>
      <c r="B277" s="15">
        <v>45388</v>
      </c>
    </row>
    <row r="278" spans="1:2" x14ac:dyDescent="0.15">
      <c r="A278" s="32">
        <f t="shared" ca="1" si="4"/>
        <v>45529</v>
      </c>
      <c r="B278" s="15">
        <v>45384</v>
      </c>
    </row>
    <row r="279" spans="1:2" x14ac:dyDescent="0.15">
      <c r="A279" s="32">
        <f t="shared" ca="1" si="4"/>
        <v>45570</v>
      </c>
      <c r="B279" s="15">
        <v>45297</v>
      </c>
    </row>
    <row r="280" spans="1:2" x14ac:dyDescent="0.15">
      <c r="A280" s="32">
        <f t="shared" ca="1" si="4"/>
        <v>45393</v>
      </c>
      <c r="B280" s="15">
        <v>45357</v>
      </c>
    </row>
    <row r="281" spans="1:2" x14ac:dyDescent="0.15">
      <c r="A281" s="32">
        <f t="shared" ca="1" si="4"/>
        <v>45495</v>
      </c>
      <c r="B281" s="15">
        <v>45470</v>
      </c>
    </row>
    <row r="282" spans="1:2" x14ac:dyDescent="0.15">
      <c r="A282" s="32">
        <f t="shared" ca="1" si="4"/>
        <v>45590</v>
      </c>
      <c r="B282" s="15">
        <v>45428</v>
      </c>
    </row>
    <row r="283" spans="1:2" x14ac:dyDescent="0.15">
      <c r="A283" s="32">
        <f t="shared" ca="1" si="4"/>
        <v>45438</v>
      </c>
      <c r="B283" s="15">
        <v>45471</v>
      </c>
    </row>
    <row r="284" spans="1:2" x14ac:dyDescent="0.15">
      <c r="A284" s="32">
        <f t="shared" ca="1" si="4"/>
        <v>45654</v>
      </c>
      <c r="B284" s="15">
        <v>45515</v>
      </c>
    </row>
    <row r="285" spans="1:2" x14ac:dyDescent="0.15">
      <c r="A285" s="32">
        <f t="shared" ca="1" si="4"/>
        <v>45506</v>
      </c>
      <c r="B285" s="15">
        <v>45412</v>
      </c>
    </row>
    <row r="286" spans="1:2" x14ac:dyDescent="0.15">
      <c r="A286" s="32">
        <f t="shared" ca="1" si="4"/>
        <v>45435</v>
      </c>
      <c r="B286" s="15">
        <v>45495</v>
      </c>
    </row>
    <row r="287" spans="1:2" x14ac:dyDescent="0.15">
      <c r="A287" s="32">
        <f t="shared" ca="1" si="4"/>
        <v>45597</v>
      </c>
      <c r="B287" s="15">
        <v>45625</v>
      </c>
    </row>
    <row r="288" spans="1:2" x14ac:dyDescent="0.15">
      <c r="A288" s="32">
        <f t="shared" ca="1" si="4"/>
        <v>45428</v>
      </c>
      <c r="B288" s="15">
        <v>45352</v>
      </c>
    </row>
    <row r="289" spans="1:2" x14ac:dyDescent="0.15">
      <c r="A289" s="32">
        <f t="shared" ca="1" si="4"/>
        <v>45575</v>
      </c>
      <c r="B289" s="15">
        <v>45396</v>
      </c>
    </row>
    <row r="290" spans="1:2" x14ac:dyDescent="0.15">
      <c r="A290" s="32">
        <f t="shared" ca="1" si="4"/>
        <v>45547</v>
      </c>
      <c r="B290" s="15">
        <v>45579</v>
      </c>
    </row>
    <row r="291" spans="1:2" x14ac:dyDescent="0.15">
      <c r="A291" s="32">
        <f t="shared" ca="1" si="4"/>
        <v>45442</v>
      </c>
      <c r="B291" s="15">
        <v>45538</v>
      </c>
    </row>
    <row r="292" spans="1:2" x14ac:dyDescent="0.15">
      <c r="A292" s="32">
        <f t="shared" ca="1" si="4"/>
        <v>45471</v>
      </c>
      <c r="B292" s="15">
        <v>45590</v>
      </c>
    </row>
    <row r="293" spans="1:2" x14ac:dyDescent="0.15">
      <c r="A293" s="32">
        <f t="shared" ca="1" si="4"/>
        <v>45619</v>
      </c>
      <c r="B293" s="15">
        <v>45572</v>
      </c>
    </row>
    <row r="294" spans="1:2" x14ac:dyDescent="0.15">
      <c r="A294" s="32">
        <f t="shared" ca="1" si="4"/>
        <v>45401</v>
      </c>
      <c r="B294" s="15">
        <v>45628</v>
      </c>
    </row>
    <row r="295" spans="1:2" x14ac:dyDescent="0.15">
      <c r="A295" s="32">
        <f t="shared" ca="1" si="4"/>
        <v>45463</v>
      </c>
      <c r="B295" s="15">
        <v>45638</v>
      </c>
    </row>
    <row r="296" spans="1:2" x14ac:dyDescent="0.15">
      <c r="A296" s="32">
        <f t="shared" ca="1" si="4"/>
        <v>45503</v>
      </c>
      <c r="B296" s="15">
        <v>45496</v>
      </c>
    </row>
    <row r="297" spans="1:2" x14ac:dyDescent="0.15">
      <c r="A297" s="32">
        <f t="shared" ca="1" si="4"/>
        <v>45433</v>
      </c>
      <c r="B297" s="15">
        <v>45638</v>
      </c>
    </row>
    <row r="298" spans="1:2" x14ac:dyDescent="0.15">
      <c r="A298" s="32">
        <f t="shared" ca="1" si="4"/>
        <v>45502</v>
      </c>
      <c r="B298" s="15">
        <v>45522</v>
      </c>
    </row>
    <row r="299" spans="1:2" x14ac:dyDescent="0.15">
      <c r="A299" s="32">
        <f t="shared" ca="1" si="4"/>
        <v>45333</v>
      </c>
      <c r="B299" s="15">
        <v>45546</v>
      </c>
    </row>
    <row r="300" spans="1:2" x14ac:dyDescent="0.15">
      <c r="A300" s="32">
        <f t="shared" ca="1" si="4"/>
        <v>45336</v>
      </c>
      <c r="B300" s="15">
        <v>45350</v>
      </c>
    </row>
    <row r="301" spans="1:2" x14ac:dyDescent="0.15">
      <c r="A301" s="32">
        <f t="shared" ca="1" si="4"/>
        <v>45593</v>
      </c>
      <c r="B301" s="15">
        <v>45373</v>
      </c>
    </row>
    <row r="302" spans="1:2" x14ac:dyDescent="0.15">
      <c r="A302" s="32">
        <f t="shared" ca="1" si="4"/>
        <v>45467</v>
      </c>
      <c r="B302" s="15">
        <v>45358</v>
      </c>
    </row>
    <row r="303" spans="1:2" x14ac:dyDescent="0.15">
      <c r="A303" s="32">
        <f t="shared" ca="1" si="4"/>
        <v>45611</v>
      </c>
      <c r="B303" s="15">
        <v>45633</v>
      </c>
    </row>
    <row r="304" spans="1:2" x14ac:dyDescent="0.15">
      <c r="A304" s="32">
        <f t="shared" ca="1" si="4"/>
        <v>45522</v>
      </c>
      <c r="B304" s="15">
        <v>45400</v>
      </c>
    </row>
    <row r="305" spans="1:2" x14ac:dyDescent="0.15">
      <c r="A305" s="32">
        <f t="shared" ca="1" si="4"/>
        <v>45432</v>
      </c>
      <c r="B305" s="15">
        <v>45296</v>
      </c>
    </row>
    <row r="306" spans="1:2" x14ac:dyDescent="0.15">
      <c r="A306" s="32">
        <f t="shared" ca="1" si="4"/>
        <v>45457</v>
      </c>
      <c r="B306" s="15">
        <v>45643</v>
      </c>
    </row>
    <row r="307" spans="1:2" x14ac:dyDescent="0.15">
      <c r="A307" s="32">
        <f t="shared" ca="1" si="4"/>
        <v>45340</v>
      </c>
      <c r="B307" s="15">
        <v>45310</v>
      </c>
    </row>
    <row r="308" spans="1:2" x14ac:dyDescent="0.15">
      <c r="A308" s="32">
        <f t="shared" ca="1" si="4"/>
        <v>45404</v>
      </c>
      <c r="B308" s="15">
        <v>45365</v>
      </c>
    </row>
    <row r="309" spans="1:2" x14ac:dyDescent="0.15">
      <c r="A309" s="32">
        <f t="shared" ca="1" si="4"/>
        <v>45324</v>
      </c>
      <c r="B309" s="15">
        <v>45500</v>
      </c>
    </row>
    <row r="310" spans="1:2" x14ac:dyDescent="0.15">
      <c r="A310" s="32">
        <f t="shared" ca="1" si="4"/>
        <v>45379</v>
      </c>
      <c r="B310" s="15">
        <v>45489</v>
      </c>
    </row>
    <row r="311" spans="1:2" x14ac:dyDescent="0.15">
      <c r="A311" s="32">
        <f t="shared" ca="1" si="4"/>
        <v>45449</v>
      </c>
      <c r="B311" s="15">
        <v>45312</v>
      </c>
    </row>
    <row r="312" spans="1:2" x14ac:dyDescent="0.15">
      <c r="A312" s="32">
        <f t="shared" ca="1" si="4"/>
        <v>45636</v>
      </c>
      <c r="B312" s="15">
        <v>45444</v>
      </c>
    </row>
    <row r="313" spans="1:2" x14ac:dyDescent="0.15">
      <c r="A313" s="32">
        <f t="shared" ca="1" si="4"/>
        <v>45622</v>
      </c>
      <c r="B313" s="15">
        <v>45380</v>
      </c>
    </row>
    <row r="314" spans="1:2" x14ac:dyDescent="0.15">
      <c r="A314" s="32">
        <f t="shared" ca="1" si="4"/>
        <v>45600</v>
      </c>
      <c r="B314" s="15">
        <v>45301</v>
      </c>
    </row>
    <row r="315" spans="1:2" x14ac:dyDescent="0.15">
      <c r="A315" s="32">
        <f t="shared" ca="1" si="4"/>
        <v>45533</v>
      </c>
      <c r="B315" s="15">
        <v>45548</v>
      </c>
    </row>
    <row r="316" spans="1:2" x14ac:dyDescent="0.15">
      <c r="A316" s="32">
        <f t="shared" ca="1" si="4"/>
        <v>45479</v>
      </c>
      <c r="B316" s="15">
        <v>45626</v>
      </c>
    </row>
    <row r="317" spans="1:2" x14ac:dyDescent="0.15">
      <c r="A317" s="32">
        <f t="shared" ca="1" si="4"/>
        <v>45373</v>
      </c>
      <c r="B317" s="15">
        <v>45295</v>
      </c>
    </row>
    <row r="318" spans="1:2" x14ac:dyDescent="0.15">
      <c r="A318" s="32">
        <f t="shared" ca="1" si="4"/>
        <v>45438</v>
      </c>
      <c r="B318" s="15">
        <v>45581</v>
      </c>
    </row>
    <row r="319" spans="1:2" x14ac:dyDescent="0.15">
      <c r="A319" s="32">
        <f t="shared" ca="1" si="4"/>
        <v>45445</v>
      </c>
      <c r="B319" s="15">
        <v>45641</v>
      </c>
    </row>
    <row r="320" spans="1:2" x14ac:dyDescent="0.15">
      <c r="A320" s="32">
        <f t="shared" ca="1" si="4"/>
        <v>45381</v>
      </c>
      <c r="B320" s="15">
        <v>45565</v>
      </c>
    </row>
    <row r="321" spans="1:2" x14ac:dyDescent="0.15">
      <c r="A321" s="32">
        <f t="shared" ca="1" si="4"/>
        <v>45302</v>
      </c>
      <c r="B321" s="15">
        <v>45407</v>
      </c>
    </row>
    <row r="322" spans="1:2" x14ac:dyDescent="0.15">
      <c r="A322" s="32">
        <f t="shared" ref="A322:A385" ca="1" si="5">DATE(2024,RANDBETWEEN(1,12),RANDBETWEEN(1,31))</f>
        <v>45622</v>
      </c>
      <c r="B322" s="15">
        <v>45412</v>
      </c>
    </row>
    <row r="323" spans="1:2" x14ac:dyDescent="0.15">
      <c r="A323" s="32">
        <f t="shared" ca="1" si="5"/>
        <v>45295</v>
      </c>
      <c r="B323" s="15">
        <v>45370</v>
      </c>
    </row>
    <row r="324" spans="1:2" x14ac:dyDescent="0.15">
      <c r="A324" s="32">
        <f t="shared" ca="1" si="5"/>
        <v>45362</v>
      </c>
      <c r="B324" s="15">
        <v>45519</v>
      </c>
    </row>
    <row r="325" spans="1:2" x14ac:dyDescent="0.15">
      <c r="A325" s="32">
        <f t="shared" ca="1" si="5"/>
        <v>45555</v>
      </c>
      <c r="B325" s="15">
        <v>45446</v>
      </c>
    </row>
    <row r="326" spans="1:2" x14ac:dyDescent="0.15">
      <c r="A326" s="32">
        <f t="shared" ca="1" si="5"/>
        <v>45576</v>
      </c>
      <c r="B326" s="15">
        <v>45356</v>
      </c>
    </row>
    <row r="327" spans="1:2" x14ac:dyDescent="0.15">
      <c r="A327" s="32">
        <f t="shared" ca="1" si="5"/>
        <v>45554</v>
      </c>
      <c r="B327" s="15">
        <v>45656</v>
      </c>
    </row>
    <row r="328" spans="1:2" x14ac:dyDescent="0.15">
      <c r="A328" s="32">
        <f t="shared" ca="1" si="5"/>
        <v>45496</v>
      </c>
      <c r="B328" s="15">
        <v>45355</v>
      </c>
    </row>
    <row r="329" spans="1:2" x14ac:dyDescent="0.15">
      <c r="A329" s="32">
        <f t="shared" ca="1" si="5"/>
        <v>45423</v>
      </c>
      <c r="B329" s="15">
        <v>45330</v>
      </c>
    </row>
    <row r="330" spans="1:2" x14ac:dyDescent="0.15">
      <c r="A330" s="32">
        <f t="shared" ca="1" si="5"/>
        <v>45539</v>
      </c>
      <c r="B330" s="15">
        <v>45594</v>
      </c>
    </row>
    <row r="331" spans="1:2" x14ac:dyDescent="0.15">
      <c r="A331" s="32">
        <f t="shared" ca="1" si="5"/>
        <v>45431</v>
      </c>
      <c r="B331" s="15">
        <v>45329</v>
      </c>
    </row>
    <row r="332" spans="1:2" x14ac:dyDescent="0.15">
      <c r="A332" s="32">
        <f t="shared" ca="1" si="5"/>
        <v>45352</v>
      </c>
      <c r="B332" s="15">
        <v>45413</v>
      </c>
    </row>
    <row r="333" spans="1:2" x14ac:dyDescent="0.15">
      <c r="A333" s="32">
        <f t="shared" ca="1" si="5"/>
        <v>45447</v>
      </c>
      <c r="B333" s="15">
        <v>45359</v>
      </c>
    </row>
    <row r="334" spans="1:2" x14ac:dyDescent="0.15">
      <c r="A334" s="32">
        <f t="shared" ca="1" si="5"/>
        <v>45413</v>
      </c>
      <c r="B334" s="15">
        <v>45366</v>
      </c>
    </row>
    <row r="335" spans="1:2" x14ac:dyDescent="0.15">
      <c r="A335" s="32">
        <f t="shared" ca="1" si="5"/>
        <v>45328</v>
      </c>
      <c r="B335" s="15">
        <v>45382</v>
      </c>
    </row>
    <row r="336" spans="1:2" x14ac:dyDescent="0.15">
      <c r="A336" s="32">
        <f t="shared" ca="1" si="5"/>
        <v>45400</v>
      </c>
      <c r="B336" s="15">
        <v>45575</v>
      </c>
    </row>
    <row r="337" spans="1:2" x14ac:dyDescent="0.15">
      <c r="A337" s="32">
        <f t="shared" ca="1" si="5"/>
        <v>45546</v>
      </c>
      <c r="B337" s="15">
        <v>45317</v>
      </c>
    </row>
    <row r="338" spans="1:2" x14ac:dyDescent="0.15">
      <c r="A338" s="32">
        <f t="shared" ca="1" si="5"/>
        <v>45319</v>
      </c>
      <c r="B338" s="15">
        <v>45354</v>
      </c>
    </row>
    <row r="339" spans="1:2" x14ac:dyDescent="0.15">
      <c r="A339" s="32">
        <f t="shared" ca="1" si="5"/>
        <v>45515</v>
      </c>
      <c r="B339" s="15">
        <v>45556</v>
      </c>
    </row>
    <row r="340" spans="1:2" x14ac:dyDescent="0.15">
      <c r="A340" s="32">
        <f t="shared" ca="1" si="5"/>
        <v>45501</v>
      </c>
      <c r="B340" s="15">
        <v>45448</v>
      </c>
    </row>
    <row r="341" spans="1:2" x14ac:dyDescent="0.15">
      <c r="A341" s="32">
        <f t="shared" ca="1" si="5"/>
        <v>45424</v>
      </c>
      <c r="B341" s="15">
        <v>45585</v>
      </c>
    </row>
    <row r="342" spans="1:2" x14ac:dyDescent="0.15">
      <c r="A342" s="32">
        <f t="shared" ca="1" si="5"/>
        <v>45407</v>
      </c>
      <c r="B342" s="15">
        <v>45464</v>
      </c>
    </row>
    <row r="343" spans="1:2" x14ac:dyDescent="0.15">
      <c r="A343" s="32">
        <f t="shared" ca="1" si="5"/>
        <v>45554</v>
      </c>
      <c r="B343" s="15">
        <v>45343</v>
      </c>
    </row>
    <row r="344" spans="1:2" x14ac:dyDescent="0.15">
      <c r="A344" s="32">
        <f t="shared" ca="1" si="5"/>
        <v>45553</v>
      </c>
      <c r="B344" s="15">
        <v>45541</v>
      </c>
    </row>
    <row r="345" spans="1:2" x14ac:dyDescent="0.15">
      <c r="A345" s="32">
        <f t="shared" ca="1" si="5"/>
        <v>45429</v>
      </c>
      <c r="B345" s="15">
        <v>45561</v>
      </c>
    </row>
    <row r="346" spans="1:2" x14ac:dyDescent="0.15">
      <c r="A346" s="32">
        <f t="shared" ca="1" si="5"/>
        <v>45516</v>
      </c>
      <c r="B346" s="15">
        <v>45564</v>
      </c>
    </row>
    <row r="347" spans="1:2" x14ac:dyDescent="0.15">
      <c r="A347" s="32">
        <f t="shared" ca="1" si="5"/>
        <v>45355</v>
      </c>
      <c r="B347" s="15">
        <v>45470</v>
      </c>
    </row>
    <row r="348" spans="1:2" x14ac:dyDescent="0.15">
      <c r="A348" s="32">
        <f t="shared" ca="1" si="5"/>
        <v>45451</v>
      </c>
      <c r="B348" s="15">
        <v>45632</v>
      </c>
    </row>
    <row r="349" spans="1:2" x14ac:dyDescent="0.15">
      <c r="A349" s="32">
        <f t="shared" ca="1" si="5"/>
        <v>45528</v>
      </c>
      <c r="B349" s="15">
        <v>45642</v>
      </c>
    </row>
    <row r="350" spans="1:2" x14ac:dyDescent="0.15">
      <c r="A350" s="32">
        <f t="shared" ca="1" si="5"/>
        <v>45310</v>
      </c>
      <c r="B350" s="15">
        <v>45422</v>
      </c>
    </row>
    <row r="351" spans="1:2" x14ac:dyDescent="0.15">
      <c r="A351" s="32">
        <f t="shared" ca="1" si="5"/>
        <v>45308</v>
      </c>
      <c r="B351" s="15">
        <v>45527</v>
      </c>
    </row>
    <row r="352" spans="1:2" x14ac:dyDescent="0.15">
      <c r="A352" s="32">
        <f t="shared" ca="1" si="5"/>
        <v>45378</v>
      </c>
      <c r="B352" s="15">
        <v>45575</v>
      </c>
    </row>
    <row r="353" spans="1:2" x14ac:dyDescent="0.15">
      <c r="A353" s="32">
        <f t="shared" ca="1" si="5"/>
        <v>45638</v>
      </c>
      <c r="B353" s="15">
        <v>45324</v>
      </c>
    </row>
    <row r="354" spans="1:2" x14ac:dyDescent="0.15">
      <c r="A354" s="32">
        <f t="shared" ca="1" si="5"/>
        <v>45344</v>
      </c>
      <c r="B354" s="15">
        <v>45360</v>
      </c>
    </row>
    <row r="355" spans="1:2" x14ac:dyDescent="0.15">
      <c r="A355" s="32">
        <f t="shared" ca="1" si="5"/>
        <v>45361</v>
      </c>
      <c r="B355" s="15">
        <v>45529</v>
      </c>
    </row>
    <row r="356" spans="1:2" x14ac:dyDescent="0.15">
      <c r="A356" s="32">
        <f t="shared" ca="1" si="5"/>
        <v>45522</v>
      </c>
      <c r="B356" s="15">
        <v>45648</v>
      </c>
    </row>
    <row r="357" spans="1:2" x14ac:dyDescent="0.15">
      <c r="A357" s="32">
        <f t="shared" ca="1" si="5"/>
        <v>45651</v>
      </c>
      <c r="B357" s="15">
        <v>45543</v>
      </c>
    </row>
    <row r="358" spans="1:2" x14ac:dyDescent="0.15">
      <c r="A358" s="32">
        <f t="shared" ca="1" si="5"/>
        <v>45434</v>
      </c>
      <c r="B358" s="15">
        <v>45521</v>
      </c>
    </row>
    <row r="359" spans="1:2" x14ac:dyDescent="0.15">
      <c r="A359" s="32">
        <f t="shared" ca="1" si="5"/>
        <v>45467</v>
      </c>
      <c r="B359" s="15">
        <v>45481</v>
      </c>
    </row>
    <row r="360" spans="1:2" x14ac:dyDescent="0.15">
      <c r="A360" s="32">
        <f t="shared" ca="1" si="5"/>
        <v>45348</v>
      </c>
      <c r="B360" s="15">
        <v>45427</v>
      </c>
    </row>
    <row r="361" spans="1:2" x14ac:dyDescent="0.15">
      <c r="A361" s="32">
        <f t="shared" ca="1" si="5"/>
        <v>45492</v>
      </c>
      <c r="B361" s="15">
        <v>45552</v>
      </c>
    </row>
    <row r="362" spans="1:2" x14ac:dyDescent="0.15">
      <c r="A362" s="32">
        <f t="shared" ca="1" si="5"/>
        <v>45373</v>
      </c>
      <c r="B362" s="15">
        <v>45359</v>
      </c>
    </row>
    <row r="363" spans="1:2" x14ac:dyDescent="0.15">
      <c r="A363" s="32">
        <f t="shared" ca="1" si="5"/>
        <v>45396</v>
      </c>
      <c r="B363" s="15">
        <v>45413</v>
      </c>
    </row>
    <row r="364" spans="1:2" x14ac:dyDescent="0.15">
      <c r="A364" s="32">
        <f t="shared" ca="1" si="5"/>
        <v>45334</v>
      </c>
      <c r="B364" s="15">
        <v>45492</v>
      </c>
    </row>
    <row r="365" spans="1:2" x14ac:dyDescent="0.15">
      <c r="A365" s="32">
        <f t="shared" ca="1" si="5"/>
        <v>45548</v>
      </c>
      <c r="B365" s="15">
        <v>45360</v>
      </c>
    </row>
    <row r="366" spans="1:2" x14ac:dyDescent="0.15">
      <c r="A366" s="32">
        <f t="shared" ca="1" si="5"/>
        <v>45295</v>
      </c>
      <c r="B366" s="15">
        <v>45426</v>
      </c>
    </row>
    <row r="367" spans="1:2" x14ac:dyDescent="0.15">
      <c r="A367" s="32">
        <f t="shared" ca="1" si="5"/>
        <v>45615</v>
      </c>
      <c r="B367" s="15">
        <v>45297</v>
      </c>
    </row>
    <row r="368" spans="1:2" x14ac:dyDescent="0.15">
      <c r="A368" s="32">
        <f t="shared" ca="1" si="5"/>
        <v>45405</v>
      </c>
      <c r="B368" s="15">
        <v>45418</v>
      </c>
    </row>
    <row r="369" spans="1:2" x14ac:dyDescent="0.15">
      <c r="A369" s="32">
        <f t="shared" ca="1" si="5"/>
        <v>45317</v>
      </c>
      <c r="B369" s="15">
        <v>45550</v>
      </c>
    </row>
    <row r="370" spans="1:2" x14ac:dyDescent="0.15">
      <c r="A370" s="32">
        <f t="shared" ca="1" si="5"/>
        <v>45566</v>
      </c>
      <c r="B370" s="15">
        <v>45486</v>
      </c>
    </row>
    <row r="371" spans="1:2" x14ac:dyDescent="0.15">
      <c r="A371" s="32">
        <f t="shared" ca="1" si="5"/>
        <v>45337</v>
      </c>
      <c r="B371" s="15">
        <v>45398</v>
      </c>
    </row>
    <row r="372" spans="1:2" x14ac:dyDescent="0.15">
      <c r="A372" s="32">
        <f t="shared" ca="1" si="5"/>
        <v>45565</v>
      </c>
      <c r="B372" s="15">
        <v>45609</v>
      </c>
    </row>
    <row r="373" spans="1:2" x14ac:dyDescent="0.15">
      <c r="A373" s="32">
        <f t="shared" ca="1" si="5"/>
        <v>45305</v>
      </c>
      <c r="B373" s="15">
        <v>45305</v>
      </c>
    </row>
    <row r="374" spans="1:2" x14ac:dyDescent="0.15">
      <c r="A374" s="32">
        <f t="shared" ca="1" si="5"/>
        <v>45425</v>
      </c>
      <c r="B374" s="15">
        <v>45622</v>
      </c>
    </row>
    <row r="375" spans="1:2" x14ac:dyDescent="0.15">
      <c r="A375" s="32">
        <f t="shared" ca="1" si="5"/>
        <v>45296</v>
      </c>
      <c r="B375" s="15">
        <v>45563</v>
      </c>
    </row>
    <row r="376" spans="1:2" x14ac:dyDescent="0.15">
      <c r="A376" s="32">
        <f t="shared" ca="1" si="5"/>
        <v>45484</v>
      </c>
      <c r="B376" s="15">
        <v>45490</v>
      </c>
    </row>
    <row r="377" spans="1:2" x14ac:dyDescent="0.15">
      <c r="A377" s="32">
        <f t="shared" ca="1" si="5"/>
        <v>45362</v>
      </c>
      <c r="B377" s="15">
        <v>45636</v>
      </c>
    </row>
    <row r="378" spans="1:2" x14ac:dyDescent="0.15">
      <c r="A378" s="32">
        <f t="shared" ca="1" si="5"/>
        <v>45318</v>
      </c>
      <c r="B378" s="15">
        <v>45438</v>
      </c>
    </row>
    <row r="379" spans="1:2" x14ac:dyDescent="0.15">
      <c r="A379" s="32">
        <f t="shared" ca="1" si="5"/>
        <v>45479</v>
      </c>
      <c r="B379" s="15">
        <v>45374</v>
      </c>
    </row>
    <row r="380" spans="1:2" x14ac:dyDescent="0.15">
      <c r="A380" s="32">
        <f t="shared" ca="1" si="5"/>
        <v>45436</v>
      </c>
      <c r="B380" s="15">
        <v>45557</v>
      </c>
    </row>
    <row r="381" spans="1:2" x14ac:dyDescent="0.15">
      <c r="A381" s="32">
        <f t="shared" ca="1" si="5"/>
        <v>45555</v>
      </c>
      <c r="B381" s="15">
        <v>45358</v>
      </c>
    </row>
    <row r="382" spans="1:2" x14ac:dyDescent="0.15">
      <c r="A382" s="32">
        <f t="shared" ca="1" si="5"/>
        <v>45423</v>
      </c>
      <c r="B382" s="15">
        <v>45335</v>
      </c>
    </row>
    <row r="383" spans="1:2" x14ac:dyDescent="0.15">
      <c r="A383" s="32">
        <f t="shared" ca="1" si="5"/>
        <v>45535</v>
      </c>
      <c r="B383" s="15">
        <v>45325</v>
      </c>
    </row>
    <row r="384" spans="1:2" x14ac:dyDescent="0.15">
      <c r="A384" s="32">
        <f t="shared" ca="1" si="5"/>
        <v>45430</v>
      </c>
      <c r="B384" s="15">
        <v>45411</v>
      </c>
    </row>
    <row r="385" spans="1:2" x14ac:dyDescent="0.15">
      <c r="A385" s="32">
        <f t="shared" ca="1" si="5"/>
        <v>45446</v>
      </c>
      <c r="B385" s="15">
        <v>45386</v>
      </c>
    </row>
    <row r="386" spans="1:2" x14ac:dyDescent="0.15">
      <c r="A386" s="32">
        <f t="shared" ref="A386:A449" ca="1" si="6">DATE(2024,RANDBETWEEN(1,12),RANDBETWEEN(1,31))</f>
        <v>45384</v>
      </c>
      <c r="B386" s="15">
        <v>45546</v>
      </c>
    </row>
    <row r="387" spans="1:2" x14ac:dyDescent="0.15">
      <c r="A387" s="32">
        <f t="shared" ca="1" si="6"/>
        <v>45521</v>
      </c>
      <c r="B387" s="15">
        <v>45523</v>
      </c>
    </row>
    <row r="388" spans="1:2" x14ac:dyDescent="0.15">
      <c r="A388" s="32">
        <f t="shared" ca="1" si="6"/>
        <v>45455</v>
      </c>
      <c r="B388" s="15">
        <v>45559</v>
      </c>
    </row>
    <row r="389" spans="1:2" x14ac:dyDescent="0.15">
      <c r="A389" s="32">
        <f t="shared" ca="1" si="6"/>
        <v>45524</v>
      </c>
      <c r="B389" s="15">
        <v>45473</v>
      </c>
    </row>
    <row r="390" spans="1:2" x14ac:dyDescent="0.15">
      <c r="A390" s="32">
        <f t="shared" ca="1" si="6"/>
        <v>45411</v>
      </c>
      <c r="B390" s="15">
        <v>45485</v>
      </c>
    </row>
    <row r="391" spans="1:2" x14ac:dyDescent="0.15">
      <c r="A391" s="32">
        <f t="shared" ca="1" si="6"/>
        <v>45587</v>
      </c>
      <c r="B391" s="15">
        <v>45615</v>
      </c>
    </row>
    <row r="392" spans="1:2" x14ac:dyDescent="0.15">
      <c r="A392" s="32">
        <f t="shared" ca="1" si="6"/>
        <v>45321</v>
      </c>
      <c r="B392" s="15">
        <v>45406</v>
      </c>
    </row>
    <row r="393" spans="1:2" x14ac:dyDescent="0.15">
      <c r="A393" s="32">
        <f t="shared" ca="1" si="6"/>
        <v>45335</v>
      </c>
      <c r="B393" s="15">
        <v>45573</v>
      </c>
    </row>
    <row r="394" spans="1:2" x14ac:dyDescent="0.15">
      <c r="A394" s="32">
        <f t="shared" ca="1" si="6"/>
        <v>45391</v>
      </c>
      <c r="B394" s="15">
        <v>45490</v>
      </c>
    </row>
    <row r="395" spans="1:2" x14ac:dyDescent="0.15">
      <c r="A395" s="32">
        <f t="shared" ca="1" si="6"/>
        <v>45361</v>
      </c>
      <c r="B395" s="15">
        <v>45325</v>
      </c>
    </row>
    <row r="396" spans="1:2" x14ac:dyDescent="0.15">
      <c r="A396" s="32">
        <f t="shared" ca="1" si="6"/>
        <v>45424</v>
      </c>
      <c r="B396" s="15">
        <v>45331</v>
      </c>
    </row>
    <row r="397" spans="1:2" x14ac:dyDescent="0.15">
      <c r="A397" s="32">
        <f t="shared" ca="1" si="6"/>
        <v>45645</v>
      </c>
      <c r="B397" s="15">
        <v>45333</v>
      </c>
    </row>
    <row r="398" spans="1:2" x14ac:dyDescent="0.15">
      <c r="A398" s="32">
        <f t="shared" ca="1" si="6"/>
        <v>45595</v>
      </c>
      <c r="B398" s="15">
        <v>45339</v>
      </c>
    </row>
    <row r="399" spans="1:2" x14ac:dyDescent="0.15">
      <c r="A399" s="32">
        <f t="shared" ca="1" si="6"/>
        <v>45524</v>
      </c>
      <c r="B399" s="15">
        <v>45545</v>
      </c>
    </row>
    <row r="400" spans="1:2" x14ac:dyDescent="0.15">
      <c r="A400" s="32">
        <f t="shared" ca="1" si="6"/>
        <v>45599</v>
      </c>
      <c r="B400" s="15">
        <v>45438</v>
      </c>
    </row>
    <row r="401" spans="1:2" x14ac:dyDescent="0.15">
      <c r="A401" s="32">
        <f t="shared" ca="1" si="6"/>
        <v>45556</v>
      </c>
      <c r="B401" s="15">
        <v>45338</v>
      </c>
    </row>
    <row r="402" spans="1:2" x14ac:dyDescent="0.15">
      <c r="A402" s="32">
        <f t="shared" ca="1" si="6"/>
        <v>45447</v>
      </c>
      <c r="B402" s="15">
        <v>45570</v>
      </c>
    </row>
    <row r="403" spans="1:2" x14ac:dyDescent="0.15">
      <c r="A403" s="32">
        <f t="shared" ca="1" si="6"/>
        <v>45607</v>
      </c>
      <c r="B403" s="15">
        <v>45340</v>
      </c>
    </row>
    <row r="404" spans="1:2" x14ac:dyDescent="0.15">
      <c r="A404" s="32">
        <f t="shared" ca="1" si="6"/>
        <v>45356</v>
      </c>
      <c r="B404" s="15">
        <v>45356</v>
      </c>
    </row>
    <row r="405" spans="1:2" x14ac:dyDescent="0.15">
      <c r="A405" s="32">
        <f t="shared" ca="1" si="6"/>
        <v>45300</v>
      </c>
      <c r="B405" s="15">
        <v>45292</v>
      </c>
    </row>
    <row r="406" spans="1:2" x14ac:dyDescent="0.15">
      <c r="A406" s="32">
        <f t="shared" ca="1" si="6"/>
        <v>45413</v>
      </c>
      <c r="B406" s="15">
        <v>45471</v>
      </c>
    </row>
    <row r="407" spans="1:2" x14ac:dyDescent="0.15">
      <c r="A407" s="32">
        <f t="shared" ca="1" si="6"/>
        <v>45511</v>
      </c>
      <c r="B407" s="15">
        <v>45513</v>
      </c>
    </row>
    <row r="408" spans="1:2" x14ac:dyDescent="0.15">
      <c r="A408" s="32">
        <f t="shared" ca="1" si="6"/>
        <v>45442</v>
      </c>
      <c r="B408" s="15">
        <v>45643</v>
      </c>
    </row>
    <row r="409" spans="1:2" x14ac:dyDescent="0.15">
      <c r="A409" s="32">
        <f t="shared" ca="1" si="6"/>
        <v>45483</v>
      </c>
      <c r="B409" s="15">
        <v>45588</v>
      </c>
    </row>
    <row r="410" spans="1:2" x14ac:dyDescent="0.15">
      <c r="A410" s="32">
        <f t="shared" ca="1" si="6"/>
        <v>45302</v>
      </c>
      <c r="B410" s="15">
        <v>45317</v>
      </c>
    </row>
    <row r="411" spans="1:2" x14ac:dyDescent="0.15">
      <c r="A411" s="32">
        <f t="shared" ca="1" si="6"/>
        <v>45335</v>
      </c>
      <c r="B411" s="15">
        <v>45568</v>
      </c>
    </row>
    <row r="412" spans="1:2" x14ac:dyDescent="0.15">
      <c r="A412" s="32">
        <f t="shared" ca="1" si="6"/>
        <v>45504</v>
      </c>
      <c r="B412" s="15">
        <v>45523</v>
      </c>
    </row>
    <row r="413" spans="1:2" x14ac:dyDescent="0.15">
      <c r="A413" s="32">
        <f t="shared" ca="1" si="6"/>
        <v>45599</v>
      </c>
      <c r="B413" s="15">
        <v>45316</v>
      </c>
    </row>
    <row r="414" spans="1:2" x14ac:dyDescent="0.15">
      <c r="A414" s="32">
        <f t="shared" ca="1" si="6"/>
        <v>45547</v>
      </c>
      <c r="B414" s="15">
        <v>45349</v>
      </c>
    </row>
    <row r="415" spans="1:2" x14ac:dyDescent="0.15">
      <c r="A415" s="32">
        <f t="shared" ca="1" si="6"/>
        <v>45640</v>
      </c>
      <c r="B415" s="15">
        <v>45503</v>
      </c>
    </row>
    <row r="416" spans="1:2" x14ac:dyDescent="0.15">
      <c r="A416" s="32">
        <f t="shared" ca="1" si="6"/>
        <v>45328</v>
      </c>
      <c r="B416" s="15">
        <v>45327</v>
      </c>
    </row>
    <row r="417" spans="1:2" x14ac:dyDescent="0.15">
      <c r="A417" s="32">
        <f t="shared" ca="1" si="6"/>
        <v>45578</v>
      </c>
      <c r="B417" s="15">
        <v>45569</v>
      </c>
    </row>
    <row r="418" spans="1:2" x14ac:dyDescent="0.15">
      <c r="A418" s="32">
        <f t="shared" ca="1" si="6"/>
        <v>45373</v>
      </c>
      <c r="B418" s="15">
        <v>45631</v>
      </c>
    </row>
    <row r="419" spans="1:2" x14ac:dyDescent="0.15">
      <c r="A419" s="32">
        <f t="shared" ca="1" si="6"/>
        <v>45351</v>
      </c>
      <c r="B419" s="15">
        <v>45341</v>
      </c>
    </row>
    <row r="420" spans="1:2" x14ac:dyDescent="0.15">
      <c r="A420" s="32">
        <f t="shared" ca="1" si="6"/>
        <v>45627</v>
      </c>
      <c r="B420" s="15">
        <v>45578</v>
      </c>
    </row>
    <row r="421" spans="1:2" x14ac:dyDescent="0.15">
      <c r="A421" s="32">
        <f t="shared" ca="1" si="6"/>
        <v>45593</v>
      </c>
      <c r="B421" s="15">
        <v>45522</v>
      </c>
    </row>
    <row r="422" spans="1:2" x14ac:dyDescent="0.15">
      <c r="A422" s="32">
        <f t="shared" ca="1" si="6"/>
        <v>45534</v>
      </c>
      <c r="B422" s="15">
        <v>45299</v>
      </c>
    </row>
    <row r="423" spans="1:2" x14ac:dyDescent="0.15">
      <c r="A423" s="32">
        <f t="shared" ca="1" si="6"/>
        <v>45521</v>
      </c>
      <c r="B423" s="15">
        <v>45390</v>
      </c>
    </row>
    <row r="424" spans="1:2" x14ac:dyDescent="0.15">
      <c r="A424" s="32">
        <f t="shared" ca="1" si="6"/>
        <v>45563</v>
      </c>
      <c r="B424" s="15">
        <v>45509</v>
      </c>
    </row>
    <row r="425" spans="1:2" x14ac:dyDescent="0.15">
      <c r="A425" s="32">
        <f t="shared" ca="1" si="6"/>
        <v>45600</v>
      </c>
      <c r="B425" s="15">
        <v>45342</v>
      </c>
    </row>
    <row r="426" spans="1:2" x14ac:dyDescent="0.15">
      <c r="A426" s="32">
        <f t="shared" ca="1" si="6"/>
        <v>45531</v>
      </c>
      <c r="B426" s="15">
        <v>45636</v>
      </c>
    </row>
    <row r="427" spans="1:2" x14ac:dyDescent="0.15">
      <c r="A427" s="32">
        <f t="shared" ca="1" si="6"/>
        <v>45458</v>
      </c>
      <c r="B427" s="15">
        <v>45427</v>
      </c>
    </row>
    <row r="428" spans="1:2" x14ac:dyDescent="0.15">
      <c r="A428" s="32">
        <f t="shared" ca="1" si="6"/>
        <v>45495</v>
      </c>
      <c r="B428" s="15">
        <v>45448</v>
      </c>
    </row>
    <row r="429" spans="1:2" x14ac:dyDescent="0.15">
      <c r="A429" s="32">
        <f t="shared" ca="1" si="6"/>
        <v>45330</v>
      </c>
      <c r="B429" s="15">
        <v>45303</v>
      </c>
    </row>
    <row r="430" spans="1:2" x14ac:dyDescent="0.15">
      <c r="A430" s="32">
        <f t="shared" ca="1" si="6"/>
        <v>45495</v>
      </c>
      <c r="B430" s="15">
        <v>45624</v>
      </c>
    </row>
    <row r="431" spans="1:2" x14ac:dyDescent="0.15">
      <c r="A431" s="32">
        <f t="shared" ca="1" si="6"/>
        <v>45472</v>
      </c>
      <c r="B431" s="15">
        <v>45434</v>
      </c>
    </row>
    <row r="432" spans="1:2" x14ac:dyDescent="0.15">
      <c r="A432" s="32">
        <f t="shared" ca="1" si="6"/>
        <v>45495</v>
      </c>
      <c r="B432" s="15">
        <v>45621</v>
      </c>
    </row>
    <row r="433" spans="1:2" x14ac:dyDescent="0.15">
      <c r="A433" s="32">
        <f t="shared" ca="1" si="6"/>
        <v>45327</v>
      </c>
      <c r="B433" s="15">
        <v>45321</v>
      </c>
    </row>
    <row r="434" spans="1:2" x14ac:dyDescent="0.15">
      <c r="A434" s="32">
        <f t="shared" ca="1" si="6"/>
        <v>45543</v>
      </c>
      <c r="B434" s="15">
        <v>45397</v>
      </c>
    </row>
    <row r="435" spans="1:2" x14ac:dyDescent="0.15">
      <c r="A435" s="32">
        <f t="shared" ca="1" si="6"/>
        <v>45502</v>
      </c>
      <c r="B435" s="15">
        <v>45630</v>
      </c>
    </row>
    <row r="436" spans="1:2" x14ac:dyDescent="0.15">
      <c r="A436" s="32">
        <f t="shared" ca="1" si="6"/>
        <v>45406</v>
      </c>
      <c r="B436" s="15">
        <v>45353</v>
      </c>
    </row>
    <row r="437" spans="1:2" x14ac:dyDescent="0.15">
      <c r="A437" s="32">
        <f t="shared" ca="1" si="6"/>
        <v>45519</v>
      </c>
      <c r="B437" s="15">
        <v>45617</v>
      </c>
    </row>
    <row r="438" spans="1:2" x14ac:dyDescent="0.15">
      <c r="A438" s="32">
        <f t="shared" ca="1" si="6"/>
        <v>45493</v>
      </c>
      <c r="B438" s="15">
        <v>45533</v>
      </c>
    </row>
    <row r="439" spans="1:2" x14ac:dyDescent="0.15">
      <c r="A439" s="32">
        <f t="shared" ca="1" si="6"/>
        <v>45399</v>
      </c>
      <c r="B439" s="15">
        <v>45583</v>
      </c>
    </row>
    <row r="440" spans="1:2" x14ac:dyDescent="0.15">
      <c r="A440" s="32">
        <f t="shared" ca="1" si="6"/>
        <v>45362</v>
      </c>
      <c r="B440" s="15">
        <v>45449</v>
      </c>
    </row>
    <row r="441" spans="1:2" x14ac:dyDescent="0.15">
      <c r="A441" s="32">
        <f t="shared" ca="1" si="6"/>
        <v>45350</v>
      </c>
      <c r="B441" s="15">
        <v>45557</v>
      </c>
    </row>
    <row r="442" spans="1:2" x14ac:dyDescent="0.15">
      <c r="A442" s="32">
        <f t="shared" ca="1" si="6"/>
        <v>45299</v>
      </c>
      <c r="B442" s="15">
        <v>45590</v>
      </c>
    </row>
    <row r="443" spans="1:2" x14ac:dyDescent="0.15">
      <c r="A443" s="32">
        <f t="shared" ca="1" si="6"/>
        <v>45430</v>
      </c>
      <c r="B443" s="15">
        <v>45629</v>
      </c>
    </row>
    <row r="444" spans="1:2" x14ac:dyDescent="0.15">
      <c r="A444" s="32">
        <f t="shared" ca="1" si="6"/>
        <v>45452</v>
      </c>
      <c r="B444" s="15">
        <v>45467</v>
      </c>
    </row>
    <row r="445" spans="1:2" x14ac:dyDescent="0.15">
      <c r="A445" s="32">
        <f t="shared" ca="1" si="6"/>
        <v>45478</v>
      </c>
      <c r="B445" s="15">
        <v>45380</v>
      </c>
    </row>
    <row r="446" spans="1:2" x14ac:dyDescent="0.15">
      <c r="A446" s="32">
        <f t="shared" ca="1" si="6"/>
        <v>45594</v>
      </c>
      <c r="B446" s="15">
        <v>45600</v>
      </c>
    </row>
    <row r="447" spans="1:2" x14ac:dyDescent="0.15">
      <c r="A447" s="32">
        <f t="shared" ca="1" si="6"/>
        <v>45593</v>
      </c>
      <c r="B447" s="15">
        <v>45522</v>
      </c>
    </row>
    <row r="448" spans="1:2" x14ac:dyDescent="0.15">
      <c r="A448" s="32">
        <f t="shared" ca="1" si="6"/>
        <v>45600</v>
      </c>
      <c r="B448" s="15">
        <v>45390</v>
      </c>
    </row>
    <row r="449" spans="1:2" x14ac:dyDescent="0.15">
      <c r="A449" s="32">
        <f t="shared" ca="1" si="6"/>
        <v>45349</v>
      </c>
      <c r="B449" s="15">
        <v>45332</v>
      </c>
    </row>
    <row r="450" spans="1:2" x14ac:dyDescent="0.15">
      <c r="A450" s="32">
        <f t="shared" ref="A450:A513" ca="1" si="7">DATE(2024,RANDBETWEEN(1,12),RANDBETWEEN(1,31))</f>
        <v>45387</v>
      </c>
      <c r="B450" s="15">
        <v>45565</v>
      </c>
    </row>
    <row r="451" spans="1:2" x14ac:dyDescent="0.15">
      <c r="A451" s="32">
        <f t="shared" ca="1" si="7"/>
        <v>45627</v>
      </c>
      <c r="B451" s="15">
        <v>45323</v>
      </c>
    </row>
    <row r="452" spans="1:2" x14ac:dyDescent="0.15">
      <c r="A452" s="32">
        <f t="shared" ca="1" si="7"/>
        <v>45479</v>
      </c>
      <c r="B452" s="15">
        <v>45624</v>
      </c>
    </row>
    <row r="453" spans="1:2" x14ac:dyDescent="0.15">
      <c r="A453" s="32">
        <f t="shared" ca="1" si="7"/>
        <v>45499</v>
      </c>
      <c r="B453" s="15">
        <v>45641</v>
      </c>
    </row>
    <row r="454" spans="1:2" x14ac:dyDescent="0.15">
      <c r="A454" s="32">
        <f t="shared" ca="1" si="7"/>
        <v>45430</v>
      </c>
      <c r="B454" s="15">
        <v>45472</v>
      </c>
    </row>
    <row r="455" spans="1:2" x14ac:dyDescent="0.15">
      <c r="A455" s="32">
        <f t="shared" ca="1" si="7"/>
        <v>45633</v>
      </c>
      <c r="B455" s="15">
        <v>45439</v>
      </c>
    </row>
    <row r="456" spans="1:2" x14ac:dyDescent="0.15">
      <c r="A456" s="32">
        <f t="shared" ca="1" si="7"/>
        <v>45501</v>
      </c>
      <c r="B456" s="15">
        <v>45444</v>
      </c>
    </row>
    <row r="457" spans="1:2" x14ac:dyDescent="0.15">
      <c r="A457" s="32">
        <f t="shared" ca="1" si="7"/>
        <v>45298</v>
      </c>
      <c r="B457" s="15">
        <v>45466</v>
      </c>
    </row>
    <row r="458" spans="1:2" x14ac:dyDescent="0.15">
      <c r="A458" s="32">
        <f t="shared" ca="1" si="7"/>
        <v>45457</v>
      </c>
      <c r="B458" s="15">
        <v>45317</v>
      </c>
    </row>
    <row r="459" spans="1:2" x14ac:dyDescent="0.15">
      <c r="A459" s="32">
        <f t="shared" ca="1" si="7"/>
        <v>45564</v>
      </c>
      <c r="B459" s="15">
        <v>45463</v>
      </c>
    </row>
    <row r="460" spans="1:2" x14ac:dyDescent="0.15">
      <c r="A460" s="32">
        <f t="shared" ca="1" si="7"/>
        <v>45546</v>
      </c>
      <c r="B460" s="15">
        <v>45310</v>
      </c>
    </row>
    <row r="461" spans="1:2" x14ac:dyDescent="0.15">
      <c r="A461" s="32">
        <f t="shared" ca="1" si="7"/>
        <v>45345</v>
      </c>
      <c r="B461" s="15">
        <v>45645</v>
      </c>
    </row>
    <row r="462" spans="1:2" x14ac:dyDescent="0.15">
      <c r="A462" s="32">
        <f t="shared" ca="1" si="7"/>
        <v>45305</v>
      </c>
      <c r="B462" s="15">
        <v>45617</v>
      </c>
    </row>
    <row r="463" spans="1:2" x14ac:dyDescent="0.15">
      <c r="A463" s="32">
        <f t="shared" ca="1" si="7"/>
        <v>45459</v>
      </c>
      <c r="B463" s="15">
        <v>45496</v>
      </c>
    </row>
    <row r="464" spans="1:2" x14ac:dyDescent="0.15">
      <c r="A464" s="32">
        <f t="shared" ca="1" si="7"/>
        <v>45531</v>
      </c>
      <c r="B464" s="15">
        <v>45544</v>
      </c>
    </row>
    <row r="465" spans="1:2" x14ac:dyDescent="0.15">
      <c r="A465" s="32">
        <f t="shared" ca="1" si="7"/>
        <v>45364</v>
      </c>
      <c r="B465" s="15">
        <v>45365</v>
      </c>
    </row>
    <row r="466" spans="1:2" x14ac:dyDescent="0.15">
      <c r="A466" s="32">
        <f t="shared" ca="1" si="7"/>
        <v>45618</v>
      </c>
      <c r="B466" s="15">
        <v>45646</v>
      </c>
    </row>
    <row r="467" spans="1:2" x14ac:dyDescent="0.15">
      <c r="A467" s="32">
        <f t="shared" ca="1" si="7"/>
        <v>45453</v>
      </c>
      <c r="B467" s="15">
        <v>45451</v>
      </c>
    </row>
    <row r="468" spans="1:2" x14ac:dyDescent="0.15">
      <c r="A468" s="32">
        <f t="shared" ca="1" si="7"/>
        <v>45552</v>
      </c>
      <c r="B468" s="15">
        <v>45401</v>
      </c>
    </row>
    <row r="469" spans="1:2" x14ac:dyDescent="0.15">
      <c r="A469" s="32">
        <f t="shared" ca="1" si="7"/>
        <v>45302</v>
      </c>
      <c r="B469" s="15">
        <v>45423</v>
      </c>
    </row>
    <row r="470" spans="1:2" x14ac:dyDescent="0.15">
      <c r="A470" s="32">
        <f t="shared" ca="1" si="7"/>
        <v>45541</v>
      </c>
      <c r="B470" s="15">
        <v>45513</v>
      </c>
    </row>
    <row r="471" spans="1:2" x14ac:dyDescent="0.15">
      <c r="A471" s="32">
        <f t="shared" ca="1" si="7"/>
        <v>45489</v>
      </c>
      <c r="B471" s="15">
        <v>45527</v>
      </c>
    </row>
    <row r="472" spans="1:2" x14ac:dyDescent="0.15">
      <c r="A472" s="32">
        <f t="shared" ca="1" si="7"/>
        <v>45623</v>
      </c>
      <c r="B472" s="15">
        <v>45365</v>
      </c>
    </row>
    <row r="473" spans="1:2" x14ac:dyDescent="0.15">
      <c r="A473" s="32">
        <f t="shared" ca="1" si="7"/>
        <v>45598</v>
      </c>
      <c r="B473" s="15">
        <v>45496</v>
      </c>
    </row>
    <row r="474" spans="1:2" x14ac:dyDescent="0.15">
      <c r="A474" s="32">
        <f t="shared" ca="1" si="7"/>
        <v>45353</v>
      </c>
      <c r="B474" s="15">
        <v>45341</v>
      </c>
    </row>
    <row r="475" spans="1:2" x14ac:dyDescent="0.15">
      <c r="A475" s="32">
        <f t="shared" ca="1" si="7"/>
        <v>45410</v>
      </c>
      <c r="B475" s="15">
        <v>45616</v>
      </c>
    </row>
    <row r="476" spans="1:2" x14ac:dyDescent="0.15">
      <c r="A476" s="32">
        <f t="shared" ca="1" si="7"/>
        <v>45341</v>
      </c>
      <c r="B476" s="15">
        <v>45353</v>
      </c>
    </row>
    <row r="477" spans="1:2" x14ac:dyDescent="0.15">
      <c r="A477" s="32">
        <f t="shared" ca="1" si="7"/>
        <v>45495</v>
      </c>
      <c r="B477" s="15">
        <v>45489</v>
      </c>
    </row>
    <row r="478" spans="1:2" x14ac:dyDescent="0.15">
      <c r="A478" s="32">
        <f t="shared" ca="1" si="7"/>
        <v>45505</v>
      </c>
      <c r="B478" s="15">
        <v>45435</v>
      </c>
    </row>
    <row r="479" spans="1:2" x14ac:dyDescent="0.15">
      <c r="A479" s="32">
        <f t="shared" ca="1" si="7"/>
        <v>45627</v>
      </c>
      <c r="B479" s="15">
        <v>45574</v>
      </c>
    </row>
    <row r="480" spans="1:2" x14ac:dyDescent="0.15">
      <c r="A480" s="32">
        <f t="shared" ca="1" si="7"/>
        <v>45306</v>
      </c>
      <c r="B480" s="15">
        <v>45421</v>
      </c>
    </row>
    <row r="481" spans="1:2" x14ac:dyDescent="0.15">
      <c r="A481" s="32">
        <f t="shared" ca="1" si="7"/>
        <v>45403</v>
      </c>
      <c r="B481" s="15">
        <v>45330</v>
      </c>
    </row>
    <row r="482" spans="1:2" x14ac:dyDescent="0.15">
      <c r="A482" s="32">
        <f t="shared" ca="1" si="7"/>
        <v>45303</v>
      </c>
      <c r="B482" s="15">
        <v>45435</v>
      </c>
    </row>
    <row r="483" spans="1:2" x14ac:dyDescent="0.15">
      <c r="A483" s="32">
        <f t="shared" ca="1" si="7"/>
        <v>45357</v>
      </c>
      <c r="B483" s="15">
        <v>45607</v>
      </c>
    </row>
    <row r="484" spans="1:2" x14ac:dyDescent="0.15">
      <c r="A484" s="32">
        <f t="shared" ca="1" si="7"/>
        <v>45465</v>
      </c>
      <c r="B484" s="15">
        <v>45362</v>
      </c>
    </row>
    <row r="485" spans="1:2" x14ac:dyDescent="0.15">
      <c r="A485" s="32">
        <f t="shared" ca="1" si="7"/>
        <v>45352</v>
      </c>
      <c r="B485" s="15">
        <v>45617</v>
      </c>
    </row>
    <row r="486" spans="1:2" x14ac:dyDescent="0.15">
      <c r="A486" s="32">
        <f t="shared" ca="1" si="7"/>
        <v>45630</v>
      </c>
      <c r="B486" s="15">
        <v>45346</v>
      </c>
    </row>
    <row r="487" spans="1:2" x14ac:dyDescent="0.15">
      <c r="A487" s="32">
        <f t="shared" ca="1" si="7"/>
        <v>45430</v>
      </c>
      <c r="B487" s="15">
        <v>45308</v>
      </c>
    </row>
    <row r="488" spans="1:2" x14ac:dyDescent="0.15">
      <c r="A488" s="32">
        <f t="shared" ca="1" si="7"/>
        <v>45481</v>
      </c>
      <c r="B488" s="15">
        <v>45570</v>
      </c>
    </row>
    <row r="489" spans="1:2" x14ac:dyDescent="0.15">
      <c r="A489" s="32">
        <f t="shared" ca="1" si="7"/>
        <v>45515</v>
      </c>
      <c r="B489" s="15">
        <v>45557</v>
      </c>
    </row>
    <row r="490" spans="1:2" x14ac:dyDescent="0.15">
      <c r="A490" s="32">
        <f t="shared" ca="1" si="7"/>
        <v>45331</v>
      </c>
      <c r="B490" s="15">
        <v>45518</v>
      </c>
    </row>
    <row r="491" spans="1:2" x14ac:dyDescent="0.15">
      <c r="A491" s="32">
        <f t="shared" ca="1" si="7"/>
        <v>45520</v>
      </c>
      <c r="B491" s="15">
        <v>45416</v>
      </c>
    </row>
    <row r="492" spans="1:2" x14ac:dyDescent="0.15">
      <c r="A492" s="32">
        <f t="shared" ca="1" si="7"/>
        <v>45538</v>
      </c>
      <c r="B492" s="15">
        <v>45488</v>
      </c>
    </row>
    <row r="493" spans="1:2" x14ac:dyDescent="0.15">
      <c r="A493" s="32">
        <f t="shared" ca="1" si="7"/>
        <v>45325</v>
      </c>
      <c r="B493" s="15">
        <v>45510</v>
      </c>
    </row>
    <row r="494" spans="1:2" x14ac:dyDescent="0.15">
      <c r="A494" s="32">
        <f t="shared" ca="1" si="7"/>
        <v>45449</v>
      </c>
      <c r="B494" s="15">
        <v>45541</v>
      </c>
    </row>
    <row r="495" spans="1:2" x14ac:dyDescent="0.15">
      <c r="A495" s="32">
        <f t="shared" ca="1" si="7"/>
        <v>45509</v>
      </c>
      <c r="B495" s="15">
        <v>45557</v>
      </c>
    </row>
    <row r="496" spans="1:2" x14ac:dyDescent="0.15">
      <c r="A496" s="32">
        <f t="shared" ca="1" si="7"/>
        <v>45400</v>
      </c>
      <c r="B496" s="15">
        <v>45570</v>
      </c>
    </row>
    <row r="497" spans="1:2" x14ac:dyDescent="0.15">
      <c r="A497" s="32">
        <f t="shared" ca="1" si="7"/>
        <v>45447</v>
      </c>
      <c r="B497" s="15">
        <v>45605</v>
      </c>
    </row>
    <row r="498" spans="1:2" x14ac:dyDescent="0.15">
      <c r="A498" s="32">
        <f t="shared" ca="1" si="7"/>
        <v>45319</v>
      </c>
      <c r="B498" s="15">
        <v>45634</v>
      </c>
    </row>
    <row r="499" spans="1:2" x14ac:dyDescent="0.15">
      <c r="A499" s="32">
        <f t="shared" ca="1" si="7"/>
        <v>45431</v>
      </c>
      <c r="B499" s="15">
        <v>45299</v>
      </c>
    </row>
    <row r="500" spans="1:2" x14ac:dyDescent="0.15">
      <c r="A500" s="32">
        <f t="shared" ca="1" si="7"/>
        <v>45649</v>
      </c>
      <c r="B500" s="15">
        <v>45491</v>
      </c>
    </row>
    <row r="501" spans="1:2" x14ac:dyDescent="0.15">
      <c r="A501" s="32">
        <f t="shared" ca="1" si="7"/>
        <v>45498</v>
      </c>
      <c r="B501" s="15">
        <v>45559</v>
      </c>
    </row>
    <row r="502" spans="1:2" x14ac:dyDescent="0.15">
      <c r="A502" s="32">
        <f t="shared" ca="1" si="7"/>
        <v>45389</v>
      </c>
      <c r="B502" s="15">
        <v>45560</v>
      </c>
    </row>
    <row r="503" spans="1:2" x14ac:dyDescent="0.15">
      <c r="A503" s="32">
        <f t="shared" ca="1" si="7"/>
        <v>45619</v>
      </c>
      <c r="B503" s="15">
        <v>45377</v>
      </c>
    </row>
    <row r="504" spans="1:2" x14ac:dyDescent="0.15">
      <c r="A504" s="32">
        <f t="shared" ca="1" si="7"/>
        <v>45494</v>
      </c>
      <c r="B504" s="15">
        <v>45466</v>
      </c>
    </row>
    <row r="505" spans="1:2" x14ac:dyDescent="0.15">
      <c r="A505" s="32">
        <f t="shared" ca="1" si="7"/>
        <v>45607</v>
      </c>
      <c r="B505" s="15">
        <v>45656</v>
      </c>
    </row>
    <row r="506" spans="1:2" x14ac:dyDescent="0.15">
      <c r="A506" s="32">
        <f t="shared" ca="1" si="7"/>
        <v>45544</v>
      </c>
      <c r="B506" s="15">
        <v>45323</v>
      </c>
    </row>
    <row r="507" spans="1:2" x14ac:dyDescent="0.15">
      <c r="A507" s="32">
        <f t="shared" ca="1" si="7"/>
        <v>45579</v>
      </c>
      <c r="B507" s="15">
        <v>45356</v>
      </c>
    </row>
    <row r="508" spans="1:2" x14ac:dyDescent="0.15">
      <c r="A508" s="32">
        <f t="shared" ca="1" si="7"/>
        <v>45613</v>
      </c>
      <c r="B508" s="15">
        <v>45560</v>
      </c>
    </row>
    <row r="509" spans="1:2" x14ac:dyDescent="0.15">
      <c r="A509" s="32">
        <f t="shared" ca="1" si="7"/>
        <v>45501</v>
      </c>
      <c r="B509" s="15">
        <v>45489</v>
      </c>
    </row>
    <row r="510" spans="1:2" x14ac:dyDescent="0.15">
      <c r="A510" s="32">
        <f t="shared" ca="1" si="7"/>
        <v>45417</v>
      </c>
      <c r="B510" s="15">
        <v>45455</v>
      </c>
    </row>
    <row r="511" spans="1:2" x14ac:dyDescent="0.15">
      <c r="A511" s="32">
        <f t="shared" ca="1" si="7"/>
        <v>45477</v>
      </c>
      <c r="B511" s="15">
        <v>45297</v>
      </c>
    </row>
    <row r="512" spans="1:2" x14ac:dyDescent="0.15">
      <c r="A512" s="32">
        <f t="shared" ca="1" si="7"/>
        <v>45514</v>
      </c>
      <c r="B512" s="15">
        <v>45619</v>
      </c>
    </row>
    <row r="513" spans="1:2" x14ac:dyDescent="0.15">
      <c r="A513" s="32">
        <f t="shared" ca="1" si="7"/>
        <v>45418</v>
      </c>
      <c r="B513" s="15">
        <v>45500</v>
      </c>
    </row>
    <row r="514" spans="1:2" x14ac:dyDescent="0.15">
      <c r="A514" s="32">
        <f t="shared" ref="A514:A577" ca="1" si="8">DATE(2024,RANDBETWEEN(1,12),RANDBETWEEN(1,31))</f>
        <v>45594</v>
      </c>
      <c r="B514" s="15">
        <v>45535</v>
      </c>
    </row>
    <row r="515" spans="1:2" x14ac:dyDescent="0.15">
      <c r="A515" s="32">
        <f t="shared" ca="1" si="8"/>
        <v>45610</v>
      </c>
      <c r="B515" s="15">
        <v>45418</v>
      </c>
    </row>
    <row r="516" spans="1:2" x14ac:dyDescent="0.15">
      <c r="A516" s="32">
        <f t="shared" ca="1" si="8"/>
        <v>45394</v>
      </c>
      <c r="B516" s="15">
        <v>45424</v>
      </c>
    </row>
    <row r="517" spans="1:2" x14ac:dyDescent="0.15">
      <c r="A517" s="32">
        <f t="shared" ca="1" si="8"/>
        <v>45381</v>
      </c>
      <c r="B517" s="15">
        <v>45414</v>
      </c>
    </row>
    <row r="518" spans="1:2" x14ac:dyDescent="0.15">
      <c r="A518" s="32">
        <f t="shared" ca="1" si="8"/>
        <v>45441</v>
      </c>
      <c r="B518" s="15">
        <v>45399</v>
      </c>
    </row>
    <row r="519" spans="1:2" x14ac:dyDescent="0.15">
      <c r="A519" s="32">
        <f t="shared" ca="1" si="8"/>
        <v>45308</v>
      </c>
      <c r="B519" s="15">
        <v>45514</v>
      </c>
    </row>
    <row r="520" spans="1:2" x14ac:dyDescent="0.15">
      <c r="A520" s="32">
        <f t="shared" ca="1" si="8"/>
        <v>45519</v>
      </c>
      <c r="B520" s="15">
        <v>45590</v>
      </c>
    </row>
    <row r="521" spans="1:2" x14ac:dyDescent="0.15">
      <c r="A521" s="32">
        <f t="shared" ca="1" si="8"/>
        <v>45370</v>
      </c>
      <c r="B521" s="15">
        <v>45378</v>
      </c>
    </row>
    <row r="522" spans="1:2" x14ac:dyDescent="0.15">
      <c r="A522" s="32">
        <f t="shared" ca="1" si="8"/>
        <v>45575</v>
      </c>
      <c r="B522" s="15">
        <v>45626</v>
      </c>
    </row>
    <row r="523" spans="1:2" x14ac:dyDescent="0.15">
      <c r="A523" s="32">
        <f t="shared" ca="1" si="8"/>
        <v>45325</v>
      </c>
      <c r="B523" s="15">
        <v>45431</v>
      </c>
    </row>
    <row r="524" spans="1:2" x14ac:dyDescent="0.15">
      <c r="A524" s="32">
        <f t="shared" ca="1" si="8"/>
        <v>45593</v>
      </c>
      <c r="B524" s="15">
        <v>45413</v>
      </c>
    </row>
    <row r="525" spans="1:2" x14ac:dyDescent="0.15">
      <c r="A525" s="32">
        <f t="shared" ca="1" si="8"/>
        <v>45422</v>
      </c>
      <c r="B525" s="15">
        <v>45614</v>
      </c>
    </row>
    <row r="526" spans="1:2" x14ac:dyDescent="0.15">
      <c r="A526" s="32">
        <f t="shared" ca="1" si="8"/>
        <v>45431</v>
      </c>
      <c r="B526" s="15">
        <v>45636</v>
      </c>
    </row>
    <row r="527" spans="1:2" x14ac:dyDescent="0.15">
      <c r="A527" s="32">
        <f t="shared" ca="1" si="8"/>
        <v>45317</v>
      </c>
      <c r="B527" s="15">
        <v>45643</v>
      </c>
    </row>
    <row r="528" spans="1:2" x14ac:dyDescent="0.15">
      <c r="A528" s="32">
        <f t="shared" ca="1" si="8"/>
        <v>45638</v>
      </c>
      <c r="B528" s="15">
        <v>45632</v>
      </c>
    </row>
    <row r="529" spans="1:2" x14ac:dyDescent="0.15">
      <c r="A529" s="32">
        <f t="shared" ca="1" si="8"/>
        <v>45387</v>
      </c>
      <c r="B529" s="15">
        <v>45384</v>
      </c>
    </row>
    <row r="530" spans="1:2" x14ac:dyDescent="0.15">
      <c r="A530" s="32">
        <f t="shared" ca="1" si="8"/>
        <v>45625</v>
      </c>
      <c r="B530" s="15">
        <v>45516</v>
      </c>
    </row>
    <row r="531" spans="1:2" x14ac:dyDescent="0.15">
      <c r="A531" s="32">
        <f t="shared" ca="1" si="8"/>
        <v>45558</v>
      </c>
      <c r="B531" s="15">
        <v>45327</v>
      </c>
    </row>
    <row r="532" spans="1:2" x14ac:dyDescent="0.15">
      <c r="A532" s="32">
        <f t="shared" ca="1" si="8"/>
        <v>45302</v>
      </c>
      <c r="B532" s="15">
        <v>45527</v>
      </c>
    </row>
    <row r="533" spans="1:2" x14ac:dyDescent="0.15">
      <c r="A533" s="32">
        <f t="shared" ca="1" si="8"/>
        <v>45573</v>
      </c>
      <c r="B533" s="15">
        <v>45636</v>
      </c>
    </row>
    <row r="534" spans="1:2" x14ac:dyDescent="0.15">
      <c r="A534" s="32">
        <f t="shared" ca="1" si="8"/>
        <v>45327</v>
      </c>
      <c r="B534" s="15">
        <v>45586</v>
      </c>
    </row>
    <row r="535" spans="1:2" x14ac:dyDescent="0.15">
      <c r="A535" s="32">
        <f t="shared" ca="1" si="8"/>
        <v>45599</v>
      </c>
      <c r="B535" s="15">
        <v>45535</v>
      </c>
    </row>
    <row r="536" spans="1:2" x14ac:dyDescent="0.15">
      <c r="A536" s="32">
        <f t="shared" ca="1" si="8"/>
        <v>45607</v>
      </c>
      <c r="B536" s="15">
        <v>45627</v>
      </c>
    </row>
    <row r="537" spans="1:2" x14ac:dyDescent="0.15">
      <c r="A537" s="32">
        <f t="shared" ca="1" si="8"/>
        <v>45650</v>
      </c>
      <c r="B537" s="15">
        <v>45580</v>
      </c>
    </row>
    <row r="538" spans="1:2" x14ac:dyDescent="0.15">
      <c r="A538" s="32">
        <f t="shared" ca="1" si="8"/>
        <v>45442</v>
      </c>
      <c r="B538" s="15">
        <v>45614</v>
      </c>
    </row>
    <row r="539" spans="1:2" x14ac:dyDescent="0.15">
      <c r="A539" s="32">
        <f t="shared" ca="1" si="8"/>
        <v>45401</v>
      </c>
      <c r="B539" s="15">
        <v>45452</v>
      </c>
    </row>
    <row r="540" spans="1:2" x14ac:dyDescent="0.15">
      <c r="A540" s="32">
        <f t="shared" ca="1" si="8"/>
        <v>45531</v>
      </c>
      <c r="B540" s="15">
        <v>45359</v>
      </c>
    </row>
    <row r="541" spans="1:2" x14ac:dyDescent="0.15">
      <c r="A541" s="32">
        <f t="shared" ca="1" si="8"/>
        <v>45462</v>
      </c>
      <c r="B541" s="15">
        <v>45635</v>
      </c>
    </row>
    <row r="542" spans="1:2" x14ac:dyDescent="0.15">
      <c r="A542" s="32">
        <f t="shared" ca="1" si="8"/>
        <v>45431</v>
      </c>
      <c r="B542" s="15">
        <v>45623</v>
      </c>
    </row>
    <row r="543" spans="1:2" x14ac:dyDescent="0.15">
      <c r="A543" s="32">
        <f t="shared" ca="1" si="8"/>
        <v>45584</v>
      </c>
      <c r="B543" s="15">
        <v>45394</v>
      </c>
    </row>
    <row r="544" spans="1:2" x14ac:dyDescent="0.15">
      <c r="A544" s="32">
        <f t="shared" ca="1" si="8"/>
        <v>45316</v>
      </c>
      <c r="B544" s="15">
        <v>45608</v>
      </c>
    </row>
    <row r="545" spans="1:2" x14ac:dyDescent="0.15">
      <c r="A545" s="32">
        <f t="shared" ca="1" si="8"/>
        <v>45521</v>
      </c>
      <c r="B545" s="15">
        <v>45317</v>
      </c>
    </row>
    <row r="546" spans="1:2" x14ac:dyDescent="0.15">
      <c r="A546" s="32">
        <f t="shared" ca="1" si="8"/>
        <v>45333</v>
      </c>
      <c r="B546" s="15">
        <v>45388</v>
      </c>
    </row>
    <row r="547" spans="1:2" x14ac:dyDescent="0.15">
      <c r="A547" s="32">
        <f t="shared" ca="1" si="8"/>
        <v>45415</v>
      </c>
      <c r="B547" s="15">
        <v>45578</v>
      </c>
    </row>
    <row r="548" spans="1:2" x14ac:dyDescent="0.15">
      <c r="A548" s="32">
        <f t="shared" ca="1" si="8"/>
        <v>45523</v>
      </c>
      <c r="B548" s="15">
        <v>45471</v>
      </c>
    </row>
    <row r="549" spans="1:2" x14ac:dyDescent="0.15">
      <c r="A549" s="32">
        <f t="shared" ca="1" si="8"/>
        <v>45438</v>
      </c>
      <c r="B549" s="15">
        <v>45475</v>
      </c>
    </row>
    <row r="550" spans="1:2" x14ac:dyDescent="0.15">
      <c r="A550" s="32">
        <f t="shared" ca="1" si="8"/>
        <v>45307</v>
      </c>
      <c r="B550" s="15">
        <v>45550</v>
      </c>
    </row>
    <row r="551" spans="1:2" x14ac:dyDescent="0.15">
      <c r="A551" s="32">
        <f t="shared" ca="1" si="8"/>
        <v>45389</v>
      </c>
      <c r="B551" s="15">
        <v>45562</v>
      </c>
    </row>
    <row r="552" spans="1:2" x14ac:dyDescent="0.15">
      <c r="A552" s="32">
        <f t="shared" ca="1" si="8"/>
        <v>45306</v>
      </c>
      <c r="B552" s="15">
        <v>45543</v>
      </c>
    </row>
    <row r="553" spans="1:2" x14ac:dyDescent="0.15">
      <c r="A553" s="32">
        <f t="shared" ca="1" si="8"/>
        <v>45356</v>
      </c>
      <c r="B553" s="15">
        <v>45402</v>
      </c>
    </row>
    <row r="554" spans="1:2" x14ac:dyDescent="0.15">
      <c r="A554" s="32">
        <f t="shared" ca="1" si="8"/>
        <v>45481</v>
      </c>
      <c r="B554" s="15">
        <v>45497</v>
      </c>
    </row>
    <row r="555" spans="1:2" x14ac:dyDescent="0.15">
      <c r="A555" s="32">
        <f t="shared" ca="1" si="8"/>
        <v>45306</v>
      </c>
      <c r="B555" s="15">
        <v>45354</v>
      </c>
    </row>
    <row r="556" spans="1:2" x14ac:dyDescent="0.15">
      <c r="A556" s="32">
        <f t="shared" ca="1" si="8"/>
        <v>45540</v>
      </c>
      <c r="B556" s="15">
        <v>45302</v>
      </c>
    </row>
    <row r="557" spans="1:2" x14ac:dyDescent="0.15">
      <c r="A557" s="32">
        <f t="shared" ca="1" si="8"/>
        <v>45562</v>
      </c>
      <c r="B557" s="15">
        <v>45614</v>
      </c>
    </row>
    <row r="558" spans="1:2" x14ac:dyDescent="0.15">
      <c r="A558" s="32">
        <f t="shared" ca="1" si="8"/>
        <v>45425</v>
      </c>
      <c r="B558" s="15">
        <v>45315</v>
      </c>
    </row>
    <row r="559" spans="1:2" x14ac:dyDescent="0.15">
      <c r="A559" s="32">
        <f t="shared" ca="1" si="8"/>
        <v>45327</v>
      </c>
      <c r="B559" s="15">
        <v>45639</v>
      </c>
    </row>
    <row r="560" spans="1:2" x14ac:dyDescent="0.15">
      <c r="A560" s="32">
        <f t="shared" ca="1" si="8"/>
        <v>45610</v>
      </c>
      <c r="B560" s="15">
        <v>45310</v>
      </c>
    </row>
    <row r="561" spans="1:2" x14ac:dyDescent="0.15">
      <c r="A561" s="32">
        <f t="shared" ca="1" si="8"/>
        <v>45399</v>
      </c>
      <c r="B561" s="15">
        <v>45416</v>
      </c>
    </row>
    <row r="562" spans="1:2" x14ac:dyDescent="0.15">
      <c r="A562" s="32">
        <f t="shared" ca="1" si="8"/>
        <v>45549</v>
      </c>
      <c r="B562" s="15">
        <v>45636</v>
      </c>
    </row>
    <row r="563" spans="1:2" x14ac:dyDescent="0.15">
      <c r="A563" s="32">
        <f t="shared" ca="1" si="8"/>
        <v>45618</v>
      </c>
      <c r="B563" s="15">
        <v>45441</v>
      </c>
    </row>
    <row r="564" spans="1:2" x14ac:dyDescent="0.15">
      <c r="A564" s="32">
        <f t="shared" ca="1" si="8"/>
        <v>45452</v>
      </c>
      <c r="B564" s="15">
        <v>45355</v>
      </c>
    </row>
    <row r="565" spans="1:2" x14ac:dyDescent="0.15">
      <c r="A565" s="32">
        <f t="shared" ca="1" si="8"/>
        <v>45385</v>
      </c>
      <c r="B565" s="15">
        <v>45404</v>
      </c>
    </row>
    <row r="566" spans="1:2" x14ac:dyDescent="0.15">
      <c r="A566" s="32">
        <f t="shared" ca="1" si="8"/>
        <v>45474</v>
      </c>
      <c r="B566" s="15">
        <v>45617</v>
      </c>
    </row>
    <row r="567" spans="1:2" x14ac:dyDescent="0.15">
      <c r="A567" s="32">
        <f t="shared" ca="1" si="8"/>
        <v>45358</v>
      </c>
      <c r="B567" s="15">
        <v>45444</v>
      </c>
    </row>
    <row r="568" spans="1:2" x14ac:dyDescent="0.15">
      <c r="A568" s="32">
        <f t="shared" ca="1" si="8"/>
        <v>45594</v>
      </c>
      <c r="B568" s="15">
        <v>45342</v>
      </c>
    </row>
    <row r="569" spans="1:2" x14ac:dyDescent="0.15">
      <c r="A569" s="32">
        <f t="shared" ca="1" si="8"/>
        <v>45302</v>
      </c>
      <c r="B569" s="15">
        <v>45457</v>
      </c>
    </row>
    <row r="570" spans="1:2" x14ac:dyDescent="0.15">
      <c r="A570" s="32">
        <f t="shared" ca="1" si="8"/>
        <v>45442</v>
      </c>
      <c r="B570" s="15">
        <v>45469</v>
      </c>
    </row>
    <row r="571" spans="1:2" x14ac:dyDescent="0.15">
      <c r="A571" s="32">
        <f t="shared" ca="1" si="8"/>
        <v>45345</v>
      </c>
      <c r="B571" s="15">
        <v>45591</v>
      </c>
    </row>
    <row r="572" spans="1:2" x14ac:dyDescent="0.15">
      <c r="A572" s="32">
        <f t="shared" ca="1" si="8"/>
        <v>45646</v>
      </c>
      <c r="B572" s="15">
        <v>45412</v>
      </c>
    </row>
    <row r="573" spans="1:2" x14ac:dyDescent="0.15">
      <c r="A573" s="32">
        <f t="shared" ca="1" si="8"/>
        <v>45355</v>
      </c>
      <c r="B573" s="15">
        <v>45315</v>
      </c>
    </row>
    <row r="574" spans="1:2" x14ac:dyDescent="0.15">
      <c r="A574" s="32">
        <f t="shared" ca="1" si="8"/>
        <v>45559</v>
      </c>
      <c r="B574" s="15">
        <v>45638</v>
      </c>
    </row>
    <row r="575" spans="1:2" x14ac:dyDescent="0.15">
      <c r="A575" s="32">
        <f t="shared" ca="1" si="8"/>
        <v>45594</v>
      </c>
      <c r="B575" s="15">
        <v>45628</v>
      </c>
    </row>
    <row r="576" spans="1:2" x14ac:dyDescent="0.15">
      <c r="A576" s="32">
        <f t="shared" ca="1" si="8"/>
        <v>45514</v>
      </c>
      <c r="B576" s="15">
        <v>45414</v>
      </c>
    </row>
    <row r="577" spans="1:2" x14ac:dyDescent="0.15">
      <c r="A577" s="32">
        <f t="shared" ca="1" si="8"/>
        <v>45420</v>
      </c>
      <c r="B577" s="15">
        <v>45364</v>
      </c>
    </row>
    <row r="578" spans="1:2" x14ac:dyDescent="0.15">
      <c r="A578" s="32">
        <f t="shared" ref="A578:A641" ca="1" si="9">DATE(2024,RANDBETWEEN(1,12),RANDBETWEEN(1,31))</f>
        <v>45366</v>
      </c>
      <c r="B578" s="15">
        <v>45437</v>
      </c>
    </row>
    <row r="579" spans="1:2" x14ac:dyDescent="0.15">
      <c r="A579" s="32">
        <f t="shared" ca="1" si="9"/>
        <v>45574</v>
      </c>
      <c r="B579" s="15">
        <v>45346</v>
      </c>
    </row>
    <row r="580" spans="1:2" x14ac:dyDescent="0.15">
      <c r="A580" s="32">
        <f t="shared" ca="1" si="9"/>
        <v>45458</v>
      </c>
      <c r="B580" s="15">
        <v>45626</v>
      </c>
    </row>
    <row r="581" spans="1:2" x14ac:dyDescent="0.15">
      <c r="A581" s="32">
        <f t="shared" ca="1" si="9"/>
        <v>45622</v>
      </c>
      <c r="B581" s="15">
        <v>45627</v>
      </c>
    </row>
    <row r="582" spans="1:2" x14ac:dyDescent="0.15">
      <c r="A582" s="32">
        <f t="shared" ca="1" si="9"/>
        <v>45528</v>
      </c>
      <c r="B582" s="15">
        <v>45400</v>
      </c>
    </row>
    <row r="583" spans="1:2" x14ac:dyDescent="0.15">
      <c r="A583" s="32">
        <f t="shared" ca="1" si="9"/>
        <v>45438</v>
      </c>
      <c r="B583" s="15">
        <v>45526</v>
      </c>
    </row>
    <row r="584" spans="1:2" x14ac:dyDescent="0.15">
      <c r="A584" s="32">
        <f t="shared" ca="1" si="9"/>
        <v>45474</v>
      </c>
      <c r="B584" s="15">
        <v>45643</v>
      </c>
    </row>
    <row r="585" spans="1:2" x14ac:dyDescent="0.15">
      <c r="A585" s="32">
        <f t="shared" ca="1" si="9"/>
        <v>45320</v>
      </c>
      <c r="B585" s="15">
        <v>45508</v>
      </c>
    </row>
    <row r="586" spans="1:2" x14ac:dyDescent="0.15">
      <c r="A586" s="32">
        <f t="shared" ca="1" si="9"/>
        <v>45358</v>
      </c>
      <c r="B586" s="15">
        <v>45586</v>
      </c>
    </row>
    <row r="587" spans="1:2" x14ac:dyDescent="0.15">
      <c r="A587" s="32">
        <f t="shared" ca="1" si="9"/>
        <v>45411</v>
      </c>
      <c r="B587" s="15">
        <v>45438</v>
      </c>
    </row>
    <row r="588" spans="1:2" x14ac:dyDescent="0.15">
      <c r="A588" s="32">
        <f t="shared" ca="1" si="9"/>
        <v>45480</v>
      </c>
      <c r="B588" s="15">
        <v>45351</v>
      </c>
    </row>
    <row r="589" spans="1:2" x14ac:dyDescent="0.15">
      <c r="A589" s="32">
        <f t="shared" ca="1" si="9"/>
        <v>45618</v>
      </c>
      <c r="B589" s="15">
        <v>45511</v>
      </c>
    </row>
    <row r="590" spans="1:2" x14ac:dyDescent="0.15">
      <c r="A590" s="32">
        <f t="shared" ca="1" si="9"/>
        <v>45297</v>
      </c>
      <c r="B590" s="15">
        <v>45654</v>
      </c>
    </row>
    <row r="591" spans="1:2" x14ac:dyDescent="0.15">
      <c r="A591" s="32">
        <f t="shared" ca="1" si="9"/>
        <v>45409</v>
      </c>
      <c r="B591" s="15">
        <v>45530</v>
      </c>
    </row>
    <row r="592" spans="1:2" x14ac:dyDescent="0.15">
      <c r="A592" s="32">
        <f t="shared" ca="1" si="9"/>
        <v>45561</v>
      </c>
      <c r="B592" s="15">
        <v>45367</v>
      </c>
    </row>
    <row r="593" spans="1:2" x14ac:dyDescent="0.15">
      <c r="A593" s="32">
        <f t="shared" ca="1" si="9"/>
        <v>45536</v>
      </c>
      <c r="B593" s="15">
        <v>45538</v>
      </c>
    </row>
    <row r="594" spans="1:2" x14ac:dyDescent="0.15">
      <c r="A594" s="32">
        <f t="shared" ca="1" si="9"/>
        <v>45507</v>
      </c>
      <c r="B594" s="15">
        <v>45434</v>
      </c>
    </row>
    <row r="595" spans="1:2" x14ac:dyDescent="0.15">
      <c r="A595" s="32">
        <f t="shared" ca="1" si="9"/>
        <v>45499</v>
      </c>
      <c r="B595" s="15">
        <v>45636</v>
      </c>
    </row>
    <row r="596" spans="1:2" x14ac:dyDescent="0.15">
      <c r="A596" s="32">
        <f t="shared" ca="1" si="9"/>
        <v>45305</v>
      </c>
      <c r="B596" s="15">
        <v>45525</v>
      </c>
    </row>
    <row r="597" spans="1:2" x14ac:dyDescent="0.15">
      <c r="A597" s="32">
        <f t="shared" ca="1" si="9"/>
        <v>45536</v>
      </c>
      <c r="B597" s="15">
        <v>45580</v>
      </c>
    </row>
    <row r="598" spans="1:2" x14ac:dyDescent="0.15">
      <c r="A598" s="32">
        <f t="shared" ca="1" si="9"/>
        <v>45320</v>
      </c>
      <c r="B598" s="15">
        <v>45655</v>
      </c>
    </row>
    <row r="599" spans="1:2" x14ac:dyDescent="0.15">
      <c r="A599" s="32">
        <f t="shared" ca="1" si="9"/>
        <v>45553</v>
      </c>
      <c r="B599" s="15">
        <v>45343</v>
      </c>
    </row>
    <row r="600" spans="1:2" x14ac:dyDescent="0.15">
      <c r="A600" s="32">
        <f t="shared" ca="1" si="9"/>
        <v>45362</v>
      </c>
      <c r="B600" s="15">
        <v>45375</v>
      </c>
    </row>
    <row r="601" spans="1:2" x14ac:dyDescent="0.15">
      <c r="A601" s="32">
        <f t="shared" ca="1" si="9"/>
        <v>45366</v>
      </c>
      <c r="B601" s="15">
        <v>45370</v>
      </c>
    </row>
    <row r="602" spans="1:2" x14ac:dyDescent="0.15">
      <c r="A602" s="32">
        <f t="shared" ca="1" si="9"/>
        <v>45450</v>
      </c>
      <c r="B602" s="15">
        <v>45493</v>
      </c>
    </row>
    <row r="603" spans="1:2" x14ac:dyDescent="0.15">
      <c r="A603" s="32">
        <f t="shared" ca="1" si="9"/>
        <v>45622</v>
      </c>
      <c r="B603" s="15">
        <v>45478</v>
      </c>
    </row>
    <row r="604" spans="1:2" x14ac:dyDescent="0.15">
      <c r="A604" s="32">
        <f t="shared" ca="1" si="9"/>
        <v>45362</v>
      </c>
      <c r="B604" s="15">
        <v>45398</v>
      </c>
    </row>
    <row r="605" spans="1:2" x14ac:dyDescent="0.15">
      <c r="A605" s="32">
        <f t="shared" ca="1" si="9"/>
        <v>45402</v>
      </c>
      <c r="B605" s="15">
        <v>45475</v>
      </c>
    </row>
    <row r="606" spans="1:2" x14ac:dyDescent="0.15">
      <c r="A606" s="32">
        <f t="shared" ca="1" si="9"/>
        <v>45625</v>
      </c>
      <c r="B606" s="15">
        <v>45519</v>
      </c>
    </row>
    <row r="607" spans="1:2" x14ac:dyDescent="0.15">
      <c r="A607" s="32">
        <f t="shared" ca="1" si="9"/>
        <v>45537</v>
      </c>
      <c r="B607" s="15">
        <v>45358</v>
      </c>
    </row>
    <row r="608" spans="1:2" x14ac:dyDescent="0.15">
      <c r="A608" s="32">
        <f t="shared" ca="1" si="9"/>
        <v>45311</v>
      </c>
      <c r="B608" s="15">
        <v>45380</v>
      </c>
    </row>
    <row r="609" spans="1:2" x14ac:dyDescent="0.15">
      <c r="A609" s="32">
        <f t="shared" ca="1" si="9"/>
        <v>45359</v>
      </c>
      <c r="B609" s="15">
        <v>45371</v>
      </c>
    </row>
    <row r="610" spans="1:2" x14ac:dyDescent="0.15">
      <c r="A610" s="32">
        <f t="shared" ca="1" si="9"/>
        <v>45495</v>
      </c>
      <c r="B610" s="15">
        <v>45293</v>
      </c>
    </row>
    <row r="611" spans="1:2" x14ac:dyDescent="0.15">
      <c r="A611" s="32">
        <f t="shared" ca="1" si="9"/>
        <v>45520</v>
      </c>
      <c r="B611" s="15">
        <v>45474</v>
      </c>
    </row>
    <row r="612" spans="1:2" x14ac:dyDescent="0.15">
      <c r="A612" s="32">
        <f t="shared" ca="1" si="9"/>
        <v>45555</v>
      </c>
      <c r="B612" s="15">
        <v>45427</v>
      </c>
    </row>
    <row r="613" spans="1:2" x14ac:dyDescent="0.15">
      <c r="A613" s="32">
        <f t="shared" ca="1" si="9"/>
        <v>45520</v>
      </c>
      <c r="B613" s="15">
        <v>45422</v>
      </c>
    </row>
    <row r="614" spans="1:2" x14ac:dyDescent="0.15">
      <c r="A614" s="32">
        <f t="shared" ca="1" si="9"/>
        <v>45484</v>
      </c>
      <c r="B614" s="15">
        <v>45446</v>
      </c>
    </row>
    <row r="615" spans="1:2" x14ac:dyDescent="0.15">
      <c r="A615" s="32">
        <f t="shared" ca="1" si="9"/>
        <v>45416</v>
      </c>
      <c r="B615" s="15">
        <v>45434</v>
      </c>
    </row>
    <row r="616" spans="1:2" x14ac:dyDescent="0.15">
      <c r="A616" s="32">
        <f t="shared" ca="1" si="9"/>
        <v>45389</v>
      </c>
      <c r="B616" s="15">
        <v>45511</v>
      </c>
    </row>
    <row r="617" spans="1:2" x14ac:dyDescent="0.15">
      <c r="A617" s="32">
        <f t="shared" ca="1" si="9"/>
        <v>45529</v>
      </c>
      <c r="B617" s="15">
        <v>45317</v>
      </c>
    </row>
    <row r="618" spans="1:2" x14ac:dyDescent="0.15">
      <c r="A618" s="32">
        <f t="shared" ca="1" si="9"/>
        <v>45551</v>
      </c>
      <c r="B618" s="15">
        <v>45496</v>
      </c>
    </row>
    <row r="619" spans="1:2" x14ac:dyDescent="0.15">
      <c r="A619" s="32">
        <f t="shared" ca="1" si="9"/>
        <v>45444</v>
      </c>
      <c r="B619" s="15">
        <v>45485</v>
      </c>
    </row>
    <row r="620" spans="1:2" x14ac:dyDescent="0.15">
      <c r="A620" s="32">
        <f t="shared" ca="1" si="9"/>
        <v>45405</v>
      </c>
      <c r="B620" s="15">
        <v>45459</v>
      </c>
    </row>
    <row r="621" spans="1:2" x14ac:dyDescent="0.15">
      <c r="A621" s="32">
        <f t="shared" ca="1" si="9"/>
        <v>45336</v>
      </c>
      <c r="B621" s="15">
        <v>45352</v>
      </c>
    </row>
    <row r="622" spans="1:2" x14ac:dyDescent="0.15">
      <c r="A622" s="32">
        <f t="shared" ca="1" si="9"/>
        <v>45477</v>
      </c>
      <c r="B622" s="15">
        <v>45400</v>
      </c>
    </row>
    <row r="623" spans="1:2" x14ac:dyDescent="0.15">
      <c r="A623" s="32">
        <f t="shared" ca="1" si="9"/>
        <v>45339</v>
      </c>
      <c r="B623" s="15">
        <v>45383</v>
      </c>
    </row>
    <row r="624" spans="1:2" x14ac:dyDescent="0.15">
      <c r="A624" s="32">
        <f t="shared" ca="1" si="9"/>
        <v>45361</v>
      </c>
      <c r="B624" s="15">
        <v>45436</v>
      </c>
    </row>
    <row r="625" spans="1:2" x14ac:dyDescent="0.15">
      <c r="A625" s="32">
        <f t="shared" ca="1" si="9"/>
        <v>45655</v>
      </c>
      <c r="B625" s="15">
        <v>45510</v>
      </c>
    </row>
    <row r="626" spans="1:2" x14ac:dyDescent="0.15">
      <c r="A626" s="32">
        <f t="shared" ca="1" si="9"/>
        <v>45450</v>
      </c>
      <c r="B626" s="15">
        <v>45438</v>
      </c>
    </row>
    <row r="627" spans="1:2" x14ac:dyDescent="0.15">
      <c r="A627" s="32">
        <f t="shared" ca="1" si="9"/>
        <v>45638</v>
      </c>
      <c r="B627" s="15">
        <v>45582</v>
      </c>
    </row>
    <row r="628" spans="1:2" x14ac:dyDescent="0.15">
      <c r="A628" s="32">
        <f t="shared" ca="1" si="9"/>
        <v>45647</v>
      </c>
      <c r="B628" s="15">
        <v>45365</v>
      </c>
    </row>
    <row r="629" spans="1:2" x14ac:dyDescent="0.15">
      <c r="A629" s="32">
        <f t="shared" ca="1" si="9"/>
        <v>45507</v>
      </c>
      <c r="B629" s="15">
        <v>45399</v>
      </c>
    </row>
    <row r="630" spans="1:2" x14ac:dyDescent="0.15">
      <c r="A630" s="32">
        <f t="shared" ca="1" si="9"/>
        <v>45548</v>
      </c>
      <c r="B630" s="15">
        <v>45353</v>
      </c>
    </row>
    <row r="631" spans="1:2" x14ac:dyDescent="0.15">
      <c r="A631" s="32">
        <f t="shared" ca="1" si="9"/>
        <v>45638</v>
      </c>
      <c r="B631" s="15">
        <v>45312</v>
      </c>
    </row>
    <row r="632" spans="1:2" x14ac:dyDescent="0.15">
      <c r="A632" s="32">
        <f t="shared" ca="1" si="9"/>
        <v>45626</v>
      </c>
      <c r="B632" s="15">
        <v>45296</v>
      </c>
    </row>
    <row r="633" spans="1:2" x14ac:dyDescent="0.15">
      <c r="A633" s="32">
        <f t="shared" ca="1" si="9"/>
        <v>45445</v>
      </c>
      <c r="B633" s="15">
        <v>45352</v>
      </c>
    </row>
    <row r="634" spans="1:2" x14ac:dyDescent="0.15">
      <c r="A634" s="32">
        <f t="shared" ca="1" si="9"/>
        <v>45369</v>
      </c>
      <c r="B634" s="15">
        <v>45328</v>
      </c>
    </row>
    <row r="635" spans="1:2" x14ac:dyDescent="0.15">
      <c r="A635" s="32">
        <f t="shared" ca="1" si="9"/>
        <v>45412</v>
      </c>
      <c r="B635" s="15">
        <v>45421</v>
      </c>
    </row>
    <row r="636" spans="1:2" x14ac:dyDescent="0.15">
      <c r="A636" s="32">
        <f t="shared" ca="1" si="9"/>
        <v>45363</v>
      </c>
      <c r="B636" s="15">
        <v>45504</v>
      </c>
    </row>
    <row r="637" spans="1:2" x14ac:dyDescent="0.15">
      <c r="A637" s="32">
        <f t="shared" ca="1" si="9"/>
        <v>45520</v>
      </c>
      <c r="B637" s="15">
        <v>45370</v>
      </c>
    </row>
    <row r="638" spans="1:2" x14ac:dyDescent="0.15">
      <c r="A638" s="32">
        <f t="shared" ca="1" si="9"/>
        <v>45323</v>
      </c>
      <c r="B638" s="15">
        <v>45623</v>
      </c>
    </row>
    <row r="639" spans="1:2" x14ac:dyDescent="0.15">
      <c r="A639" s="32">
        <f t="shared" ca="1" si="9"/>
        <v>45571</v>
      </c>
      <c r="B639" s="15">
        <v>45626</v>
      </c>
    </row>
    <row r="640" spans="1:2" x14ac:dyDescent="0.15">
      <c r="A640" s="32">
        <f t="shared" ca="1" si="9"/>
        <v>45353</v>
      </c>
      <c r="B640" s="15">
        <v>45478</v>
      </c>
    </row>
    <row r="641" spans="1:2" x14ac:dyDescent="0.15">
      <c r="A641" s="32">
        <f t="shared" ca="1" si="9"/>
        <v>45355</v>
      </c>
      <c r="B641" s="15">
        <v>45526</v>
      </c>
    </row>
    <row r="642" spans="1:2" x14ac:dyDescent="0.15">
      <c r="A642" s="32">
        <f t="shared" ref="A642:A705" ca="1" si="10">DATE(2024,RANDBETWEEN(1,12),RANDBETWEEN(1,31))</f>
        <v>45554</v>
      </c>
      <c r="B642" s="15">
        <v>45517</v>
      </c>
    </row>
    <row r="643" spans="1:2" x14ac:dyDescent="0.15">
      <c r="A643" s="32">
        <f t="shared" ca="1" si="10"/>
        <v>45471</v>
      </c>
      <c r="B643" s="15">
        <v>45432</v>
      </c>
    </row>
    <row r="644" spans="1:2" x14ac:dyDescent="0.15">
      <c r="A644" s="32">
        <f t="shared" ca="1" si="10"/>
        <v>45568</v>
      </c>
      <c r="B644" s="15">
        <v>45339</v>
      </c>
    </row>
    <row r="645" spans="1:2" x14ac:dyDescent="0.15">
      <c r="A645" s="32">
        <f t="shared" ca="1" si="10"/>
        <v>45504</v>
      </c>
      <c r="B645" s="15">
        <v>45613</v>
      </c>
    </row>
    <row r="646" spans="1:2" x14ac:dyDescent="0.15">
      <c r="A646" s="32">
        <f t="shared" ca="1" si="10"/>
        <v>45508</v>
      </c>
      <c r="B646" s="15">
        <v>45504</v>
      </c>
    </row>
    <row r="647" spans="1:2" x14ac:dyDescent="0.15">
      <c r="A647" s="32">
        <f t="shared" ca="1" si="10"/>
        <v>45383</v>
      </c>
      <c r="B647" s="15">
        <v>45474</v>
      </c>
    </row>
    <row r="648" spans="1:2" x14ac:dyDescent="0.15">
      <c r="A648" s="32">
        <f t="shared" ca="1" si="10"/>
        <v>45408</v>
      </c>
      <c r="B648" s="15">
        <v>45299</v>
      </c>
    </row>
    <row r="649" spans="1:2" x14ac:dyDescent="0.15">
      <c r="A649" s="32">
        <f t="shared" ca="1" si="10"/>
        <v>45577</v>
      </c>
      <c r="B649" s="15">
        <v>45619</v>
      </c>
    </row>
    <row r="650" spans="1:2" x14ac:dyDescent="0.15">
      <c r="A650" s="32">
        <f t="shared" ca="1" si="10"/>
        <v>45294</v>
      </c>
      <c r="B650" s="15">
        <v>45468</v>
      </c>
    </row>
    <row r="651" spans="1:2" x14ac:dyDescent="0.15">
      <c r="A651" s="32">
        <f t="shared" ca="1" si="10"/>
        <v>45626</v>
      </c>
      <c r="B651" s="15">
        <v>45627</v>
      </c>
    </row>
    <row r="652" spans="1:2" x14ac:dyDescent="0.15">
      <c r="A652" s="32">
        <f t="shared" ca="1" si="10"/>
        <v>45430</v>
      </c>
      <c r="B652" s="15">
        <v>45476</v>
      </c>
    </row>
    <row r="653" spans="1:2" x14ac:dyDescent="0.15">
      <c r="A653" s="32">
        <f t="shared" ca="1" si="10"/>
        <v>45406</v>
      </c>
      <c r="B653" s="15">
        <v>45541</v>
      </c>
    </row>
    <row r="654" spans="1:2" x14ac:dyDescent="0.15">
      <c r="A654" s="32">
        <f t="shared" ca="1" si="10"/>
        <v>45340</v>
      </c>
      <c r="B654" s="15">
        <v>45352</v>
      </c>
    </row>
    <row r="655" spans="1:2" x14ac:dyDescent="0.15">
      <c r="A655" s="32">
        <f t="shared" ca="1" si="10"/>
        <v>45533</v>
      </c>
      <c r="B655" s="15">
        <v>45489</v>
      </c>
    </row>
    <row r="656" spans="1:2" x14ac:dyDescent="0.15">
      <c r="A656" s="32">
        <f t="shared" ca="1" si="10"/>
        <v>45483</v>
      </c>
      <c r="B656" s="15">
        <v>45617</v>
      </c>
    </row>
    <row r="657" spans="1:2" x14ac:dyDescent="0.15">
      <c r="A657" s="32">
        <f t="shared" ca="1" si="10"/>
        <v>45648</v>
      </c>
      <c r="B657" s="15">
        <v>45557</v>
      </c>
    </row>
    <row r="658" spans="1:2" x14ac:dyDescent="0.15">
      <c r="A658" s="32">
        <f t="shared" ca="1" si="10"/>
        <v>45368</v>
      </c>
      <c r="B658" s="15">
        <v>45591</v>
      </c>
    </row>
    <row r="659" spans="1:2" x14ac:dyDescent="0.15">
      <c r="A659" s="32">
        <f t="shared" ca="1" si="10"/>
        <v>45463</v>
      </c>
      <c r="B659" s="15">
        <v>45523</v>
      </c>
    </row>
    <row r="660" spans="1:2" x14ac:dyDescent="0.15">
      <c r="A660" s="32">
        <f t="shared" ca="1" si="10"/>
        <v>45595</v>
      </c>
      <c r="B660" s="15">
        <v>45349</v>
      </c>
    </row>
    <row r="661" spans="1:2" x14ac:dyDescent="0.15">
      <c r="A661" s="32">
        <f t="shared" ca="1" si="10"/>
        <v>45527</v>
      </c>
      <c r="B661" s="15">
        <v>45474</v>
      </c>
    </row>
    <row r="662" spans="1:2" x14ac:dyDescent="0.15">
      <c r="A662" s="32">
        <f t="shared" ca="1" si="10"/>
        <v>45481</v>
      </c>
      <c r="B662" s="15">
        <v>45636</v>
      </c>
    </row>
    <row r="663" spans="1:2" x14ac:dyDescent="0.15">
      <c r="A663" s="32">
        <f t="shared" ca="1" si="10"/>
        <v>45411</v>
      </c>
      <c r="B663" s="15">
        <v>45383</v>
      </c>
    </row>
    <row r="664" spans="1:2" x14ac:dyDescent="0.15">
      <c r="A664" s="32">
        <f t="shared" ca="1" si="10"/>
        <v>45611</v>
      </c>
      <c r="B664" s="15">
        <v>45504</v>
      </c>
    </row>
    <row r="665" spans="1:2" x14ac:dyDescent="0.15">
      <c r="A665" s="32">
        <f t="shared" ca="1" si="10"/>
        <v>45535</v>
      </c>
      <c r="B665" s="15">
        <v>45532</v>
      </c>
    </row>
    <row r="666" spans="1:2" x14ac:dyDescent="0.15">
      <c r="A666" s="32">
        <f t="shared" ca="1" si="10"/>
        <v>45380</v>
      </c>
      <c r="B666" s="15">
        <v>45410</v>
      </c>
    </row>
    <row r="667" spans="1:2" x14ac:dyDescent="0.15">
      <c r="A667" s="32">
        <f t="shared" ca="1" si="10"/>
        <v>45382</v>
      </c>
      <c r="B667" s="15">
        <v>45408</v>
      </c>
    </row>
    <row r="668" spans="1:2" x14ac:dyDescent="0.15">
      <c r="A668" s="32">
        <f t="shared" ca="1" si="10"/>
        <v>45472</v>
      </c>
      <c r="B668" s="15">
        <v>45558</v>
      </c>
    </row>
    <row r="669" spans="1:2" x14ac:dyDescent="0.15">
      <c r="A669" s="32">
        <f t="shared" ca="1" si="10"/>
        <v>45395</v>
      </c>
      <c r="B669" s="15">
        <v>45448</v>
      </c>
    </row>
    <row r="670" spans="1:2" x14ac:dyDescent="0.15">
      <c r="A670" s="32">
        <f t="shared" ca="1" si="10"/>
        <v>45312</v>
      </c>
      <c r="B670" s="15">
        <v>45552</v>
      </c>
    </row>
    <row r="671" spans="1:2" x14ac:dyDescent="0.15">
      <c r="A671" s="32">
        <f t="shared" ca="1" si="10"/>
        <v>45612</v>
      </c>
      <c r="B671" s="15">
        <v>45329</v>
      </c>
    </row>
    <row r="672" spans="1:2" x14ac:dyDescent="0.15">
      <c r="A672" s="32">
        <f t="shared" ca="1" si="10"/>
        <v>45556</v>
      </c>
      <c r="B672" s="15">
        <v>45510</v>
      </c>
    </row>
    <row r="673" spans="1:2" x14ac:dyDescent="0.15">
      <c r="A673" s="32">
        <f t="shared" ca="1" si="10"/>
        <v>45627</v>
      </c>
      <c r="B673" s="15">
        <v>45525</v>
      </c>
    </row>
    <row r="674" spans="1:2" x14ac:dyDescent="0.15">
      <c r="A674" s="32">
        <f t="shared" ca="1" si="10"/>
        <v>45550</v>
      </c>
      <c r="B674" s="15">
        <v>45373</v>
      </c>
    </row>
    <row r="675" spans="1:2" x14ac:dyDescent="0.15">
      <c r="A675" s="32">
        <f t="shared" ca="1" si="10"/>
        <v>45602</v>
      </c>
      <c r="B675" s="15">
        <v>45465</v>
      </c>
    </row>
    <row r="676" spans="1:2" x14ac:dyDescent="0.15">
      <c r="A676" s="32">
        <f t="shared" ca="1" si="10"/>
        <v>45506</v>
      </c>
      <c r="B676" s="15">
        <v>45552</v>
      </c>
    </row>
    <row r="677" spans="1:2" x14ac:dyDescent="0.15">
      <c r="A677" s="32">
        <f t="shared" ca="1" si="10"/>
        <v>45603</v>
      </c>
      <c r="B677" s="15">
        <v>45509</v>
      </c>
    </row>
    <row r="678" spans="1:2" x14ac:dyDescent="0.15">
      <c r="A678" s="32">
        <f t="shared" ca="1" si="10"/>
        <v>45499</v>
      </c>
      <c r="B678" s="15">
        <v>45430</v>
      </c>
    </row>
    <row r="679" spans="1:2" x14ac:dyDescent="0.15">
      <c r="A679" s="32">
        <f t="shared" ca="1" si="10"/>
        <v>45562</v>
      </c>
      <c r="B679" s="15">
        <v>45346</v>
      </c>
    </row>
    <row r="680" spans="1:2" x14ac:dyDescent="0.15">
      <c r="A680" s="32">
        <f t="shared" ca="1" si="10"/>
        <v>45644</v>
      </c>
      <c r="B680" s="15">
        <v>45616</v>
      </c>
    </row>
    <row r="681" spans="1:2" x14ac:dyDescent="0.15">
      <c r="A681" s="32">
        <f t="shared" ca="1" si="10"/>
        <v>45390</v>
      </c>
      <c r="B681" s="15">
        <v>45325</v>
      </c>
    </row>
    <row r="682" spans="1:2" x14ac:dyDescent="0.15">
      <c r="A682" s="32">
        <f t="shared" ca="1" si="10"/>
        <v>45319</v>
      </c>
      <c r="B682" s="15">
        <v>45359</v>
      </c>
    </row>
    <row r="683" spans="1:2" x14ac:dyDescent="0.15">
      <c r="A683" s="32">
        <f t="shared" ca="1" si="10"/>
        <v>45308</v>
      </c>
      <c r="B683" s="15">
        <v>45567</v>
      </c>
    </row>
    <row r="684" spans="1:2" x14ac:dyDescent="0.15">
      <c r="A684" s="32">
        <f t="shared" ca="1" si="10"/>
        <v>45641</v>
      </c>
      <c r="B684" s="15">
        <v>45602</v>
      </c>
    </row>
    <row r="685" spans="1:2" x14ac:dyDescent="0.15">
      <c r="A685" s="32">
        <f t="shared" ca="1" si="10"/>
        <v>45451</v>
      </c>
      <c r="B685" s="15">
        <v>45428</v>
      </c>
    </row>
    <row r="686" spans="1:2" x14ac:dyDescent="0.15">
      <c r="A686" s="32">
        <f t="shared" ca="1" si="10"/>
        <v>45539</v>
      </c>
      <c r="B686" s="15">
        <v>45614</v>
      </c>
    </row>
    <row r="687" spans="1:2" x14ac:dyDescent="0.15">
      <c r="A687" s="32">
        <f t="shared" ca="1" si="10"/>
        <v>45353</v>
      </c>
      <c r="B687" s="15">
        <v>45634</v>
      </c>
    </row>
    <row r="688" spans="1:2" x14ac:dyDescent="0.15">
      <c r="A688" s="32">
        <f t="shared" ca="1" si="10"/>
        <v>45407</v>
      </c>
      <c r="B688" s="15">
        <v>45354</v>
      </c>
    </row>
    <row r="689" spans="1:2" x14ac:dyDescent="0.15">
      <c r="A689" s="32">
        <f t="shared" ca="1" si="10"/>
        <v>45619</v>
      </c>
      <c r="B689" s="15">
        <v>45353</v>
      </c>
    </row>
    <row r="690" spans="1:2" x14ac:dyDescent="0.15">
      <c r="A690" s="32">
        <f t="shared" ca="1" si="10"/>
        <v>45293</v>
      </c>
      <c r="B690" s="15">
        <v>45621</v>
      </c>
    </row>
    <row r="691" spans="1:2" x14ac:dyDescent="0.15">
      <c r="A691" s="32">
        <f t="shared" ca="1" si="10"/>
        <v>45308</v>
      </c>
      <c r="B691" s="15">
        <v>45295</v>
      </c>
    </row>
    <row r="692" spans="1:2" x14ac:dyDescent="0.15">
      <c r="A692" s="32">
        <f t="shared" ca="1" si="10"/>
        <v>45573</v>
      </c>
      <c r="B692" s="15">
        <v>45446</v>
      </c>
    </row>
    <row r="693" spans="1:2" x14ac:dyDescent="0.15">
      <c r="A693" s="32">
        <f t="shared" ca="1" si="10"/>
        <v>45620</v>
      </c>
      <c r="B693" s="15">
        <v>45341</v>
      </c>
    </row>
    <row r="694" spans="1:2" x14ac:dyDescent="0.15">
      <c r="A694" s="32">
        <f t="shared" ca="1" si="10"/>
        <v>45509</v>
      </c>
      <c r="B694" s="15">
        <v>45490</v>
      </c>
    </row>
    <row r="695" spans="1:2" x14ac:dyDescent="0.15">
      <c r="A695" s="32">
        <f t="shared" ca="1" si="10"/>
        <v>45433</v>
      </c>
      <c r="B695" s="15">
        <v>45430</v>
      </c>
    </row>
    <row r="696" spans="1:2" x14ac:dyDescent="0.15">
      <c r="A696" s="32">
        <f t="shared" ca="1" si="10"/>
        <v>45436</v>
      </c>
      <c r="B696" s="15">
        <v>45466</v>
      </c>
    </row>
    <row r="697" spans="1:2" x14ac:dyDescent="0.15">
      <c r="A697" s="32">
        <f t="shared" ca="1" si="10"/>
        <v>45481</v>
      </c>
      <c r="B697" s="15">
        <v>45412</v>
      </c>
    </row>
    <row r="698" spans="1:2" x14ac:dyDescent="0.15">
      <c r="A698" s="32">
        <f t="shared" ca="1" si="10"/>
        <v>45335</v>
      </c>
      <c r="B698" s="15">
        <v>45323</v>
      </c>
    </row>
    <row r="699" spans="1:2" x14ac:dyDescent="0.15">
      <c r="A699" s="32">
        <f t="shared" ca="1" si="10"/>
        <v>45364</v>
      </c>
      <c r="B699" s="15">
        <v>45303</v>
      </c>
    </row>
    <row r="700" spans="1:2" x14ac:dyDescent="0.15">
      <c r="A700" s="32">
        <f t="shared" ca="1" si="10"/>
        <v>45429</v>
      </c>
      <c r="B700" s="15">
        <v>45321</v>
      </c>
    </row>
    <row r="701" spans="1:2" x14ac:dyDescent="0.15">
      <c r="A701" s="32">
        <f t="shared" ca="1" si="10"/>
        <v>45603</v>
      </c>
      <c r="B701" s="15">
        <v>45446</v>
      </c>
    </row>
    <row r="702" spans="1:2" x14ac:dyDescent="0.15">
      <c r="A702" s="32">
        <f t="shared" ca="1" si="10"/>
        <v>45376</v>
      </c>
      <c r="B702" s="15">
        <v>45559</v>
      </c>
    </row>
    <row r="703" spans="1:2" x14ac:dyDescent="0.15">
      <c r="A703" s="32">
        <f t="shared" ca="1" si="10"/>
        <v>45544</v>
      </c>
      <c r="B703" s="15">
        <v>45305</v>
      </c>
    </row>
    <row r="704" spans="1:2" x14ac:dyDescent="0.15">
      <c r="A704" s="32">
        <f t="shared" ca="1" si="10"/>
        <v>45591</v>
      </c>
      <c r="B704" s="15">
        <v>45499</v>
      </c>
    </row>
    <row r="705" spans="1:2" x14ac:dyDescent="0.15">
      <c r="A705" s="32">
        <f t="shared" ca="1" si="10"/>
        <v>45410</v>
      </c>
      <c r="B705" s="15">
        <v>45461</v>
      </c>
    </row>
    <row r="706" spans="1:2" x14ac:dyDescent="0.15">
      <c r="A706" s="32">
        <f t="shared" ref="A706:A769" ca="1" si="11">DATE(2024,RANDBETWEEN(1,12),RANDBETWEEN(1,31))</f>
        <v>45483</v>
      </c>
      <c r="B706" s="15">
        <v>45315</v>
      </c>
    </row>
    <row r="707" spans="1:2" x14ac:dyDescent="0.15">
      <c r="A707" s="32">
        <f t="shared" ca="1" si="11"/>
        <v>45578</v>
      </c>
      <c r="B707" s="15">
        <v>45595</v>
      </c>
    </row>
    <row r="708" spans="1:2" x14ac:dyDescent="0.15">
      <c r="A708" s="32">
        <f t="shared" ca="1" si="11"/>
        <v>45447</v>
      </c>
      <c r="B708" s="15">
        <v>45540</v>
      </c>
    </row>
    <row r="709" spans="1:2" x14ac:dyDescent="0.15">
      <c r="A709" s="32">
        <f t="shared" ca="1" si="11"/>
        <v>45474</v>
      </c>
      <c r="B709" s="15">
        <v>45488</v>
      </c>
    </row>
    <row r="710" spans="1:2" x14ac:dyDescent="0.15">
      <c r="A710" s="32">
        <f t="shared" ca="1" si="11"/>
        <v>45457</v>
      </c>
      <c r="B710" s="15">
        <v>45332</v>
      </c>
    </row>
    <row r="711" spans="1:2" x14ac:dyDescent="0.15">
      <c r="A711" s="32">
        <f t="shared" ca="1" si="11"/>
        <v>45572</v>
      </c>
      <c r="B711" s="15">
        <v>45302</v>
      </c>
    </row>
    <row r="712" spans="1:2" x14ac:dyDescent="0.15">
      <c r="A712" s="32">
        <f t="shared" ca="1" si="11"/>
        <v>45343</v>
      </c>
      <c r="B712" s="15">
        <v>45376</v>
      </c>
    </row>
    <row r="713" spans="1:2" x14ac:dyDescent="0.15">
      <c r="A713" s="32">
        <f t="shared" ca="1" si="11"/>
        <v>45610</v>
      </c>
      <c r="B713" s="15">
        <v>45562</v>
      </c>
    </row>
    <row r="714" spans="1:2" x14ac:dyDescent="0.15">
      <c r="A714" s="32">
        <f t="shared" ca="1" si="11"/>
        <v>45455</v>
      </c>
      <c r="B714" s="15">
        <v>45525</v>
      </c>
    </row>
    <row r="715" spans="1:2" x14ac:dyDescent="0.15">
      <c r="A715" s="32">
        <f t="shared" ca="1" si="11"/>
        <v>45308</v>
      </c>
      <c r="B715" s="15">
        <v>45300</v>
      </c>
    </row>
    <row r="716" spans="1:2" x14ac:dyDescent="0.15">
      <c r="A716" s="32">
        <f t="shared" ca="1" si="11"/>
        <v>45566</v>
      </c>
      <c r="B716" s="15">
        <v>45543</v>
      </c>
    </row>
    <row r="717" spans="1:2" x14ac:dyDescent="0.15">
      <c r="A717" s="32">
        <f t="shared" ca="1" si="11"/>
        <v>45477</v>
      </c>
      <c r="B717" s="15">
        <v>45315</v>
      </c>
    </row>
    <row r="718" spans="1:2" x14ac:dyDescent="0.15">
      <c r="A718" s="32">
        <f t="shared" ca="1" si="11"/>
        <v>45405</v>
      </c>
      <c r="B718" s="15">
        <v>45431</v>
      </c>
    </row>
    <row r="719" spans="1:2" x14ac:dyDescent="0.15">
      <c r="A719" s="32">
        <f t="shared" ca="1" si="11"/>
        <v>45596</v>
      </c>
      <c r="B719" s="15">
        <v>45458</v>
      </c>
    </row>
    <row r="720" spans="1:2" x14ac:dyDescent="0.15">
      <c r="A720" s="32">
        <f t="shared" ca="1" si="11"/>
        <v>45557</v>
      </c>
      <c r="B720" s="15">
        <v>45310</v>
      </c>
    </row>
    <row r="721" spans="1:2" x14ac:dyDescent="0.15">
      <c r="A721" s="32">
        <f t="shared" ca="1" si="11"/>
        <v>45534</v>
      </c>
      <c r="B721" s="15">
        <v>45496</v>
      </c>
    </row>
    <row r="722" spans="1:2" x14ac:dyDescent="0.15">
      <c r="A722" s="32">
        <f t="shared" ca="1" si="11"/>
        <v>45477</v>
      </c>
      <c r="B722" s="15">
        <v>45572</v>
      </c>
    </row>
    <row r="723" spans="1:2" x14ac:dyDescent="0.15">
      <c r="A723" s="32">
        <f t="shared" ca="1" si="11"/>
        <v>45570</v>
      </c>
      <c r="B723" s="15">
        <v>45457</v>
      </c>
    </row>
    <row r="724" spans="1:2" x14ac:dyDescent="0.15">
      <c r="A724" s="32">
        <f t="shared" ca="1" si="11"/>
        <v>45353</v>
      </c>
      <c r="B724" s="15">
        <v>45493</v>
      </c>
    </row>
    <row r="725" spans="1:2" x14ac:dyDescent="0.15">
      <c r="A725" s="32">
        <f t="shared" ca="1" si="11"/>
        <v>45425</v>
      </c>
      <c r="B725" s="15">
        <v>45491</v>
      </c>
    </row>
    <row r="726" spans="1:2" x14ac:dyDescent="0.15">
      <c r="A726" s="32">
        <f t="shared" ca="1" si="11"/>
        <v>45379</v>
      </c>
      <c r="B726" s="15">
        <v>45493</v>
      </c>
    </row>
    <row r="727" spans="1:2" x14ac:dyDescent="0.15">
      <c r="A727" s="32">
        <f t="shared" ca="1" si="11"/>
        <v>45555</v>
      </c>
      <c r="B727" s="15">
        <v>45346</v>
      </c>
    </row>
    <row r="728" spans="1:2" x14ac:dyDescent="0.15">
      <c r="A728" s="32">
        <f t="shared" ca="1" si="11"/>
        <v>45540</v>
      </c>
      <c r="B728" s="15">
        <v>45625</v>
      </c>
    </row>
    <row r="729" spans="1:2" x14ac:dyDescent="0.15">
      <c r="A729" s="32">
        <f t="shared" ca="1" si="11"/>
        <v>45451</v>
      </c>
      <c r="B729" s="15">
        <v>45326</v>
      </c>
    </row>
    <row r="730" spans="1:2" x14ac:dyDescent="0.15">
      <c r="A730" s="32">
        <f t="shared" ca="1" si="11"/>
        <v>45401</v>
      </c>
      <c r="B730" s="15">
        <v>45494</v>
      </c>
    </row>
    <row r="731" spans="1:2" x14ac:dyDescent="0.15">
      <c r="A731" s="32">
        <f t="shared" ca="1" si="11"/>
        <v>45457</v>
      </c>
      <c r="B731" s="15">
        <v>45435</v>
      </c>
    </row>
    <row r="732" spans="1:2" x14ac:dyDescent="0.15">
      <c r="A732" s="32">
        <f t="shared" ca="1" si="11"/>
        <v>45582</v>
      </c>
      <c r="B732" s="15">
        <v>45405</v>
      </c>
    </row>
    <row r="733" spans="1:2" x14ac:dyDescent="0.15">
      <c r="A733" s="32">
        <f t="shared" ca="1" si="11"/>
        <v>45475</v>
      </c>
      <c r="B733" s="15">
        <v>45530</v>
      </c>
    </row>
    <row r="734" spans="1:2" x14ac:dyDescent="0.15">
      <c r="A734" s="32">
        <f t="shared" ca="1" si="11"/>
        <v>45344</v>
      </c>
      <c r="B734" s="15">
        <v>45566</v>
      </c>
    </row>
    <row r="735" spans="1:2" x14ac:dyDescent="0.15">
      <c r="A735" s="32">
        <f t="shared" ca="1" si="11"/>
        <v>45585</v>
      </c>
      <c r="B735" s="15">
        <v>45572</v>
      </c>
    </row>
    <row r="736" spans="1:2" x14ac:dyDescent="0.15">
      <c r="A736" s="32">
        <f t="shared" ca="1" si="11"/>
        <v>45393</v>
      </c>
      <c r="B736" s="15">
        <v>45657</v>
      </c>
    </row>
    <row r="737" spans="1:2" x14ac:dyDescent="0.15">
      <c r="A737" s="32">
        <f t="shared" ca="1" si="11"/>
        <v>45293</v>
      </c>
      <c r="B737" s="15">
        <v>45480</v>
      </c>
    </row>
    <row r="738" spans="1:2" x14ac:dyDescent="0.15">
      <c r="A738" s="32">
        <f t="shared" ca="1" si="11"/>
        <v>45594</v>
      </c>
      <c r="B738" s="15">
        <v>45428</v>
      </c>
    </row>
    <row r="739" spans="1:2" x14ac:dyDescent="0.15">
      <c r="A739" s="32">
        <f t="shared" ca="1" si="11"/>
        <v>45356</v>
      </c>
      <c r="B739" s="15">
        <v>45301</v>
      </c>
    </row>
    <row r="740" spans="1:2" x14ac:dyDescent="0.15">
      <c r="A740" s="32">
        <f t="shared" ca="1" si="11"/>
        <v>45616</v>
      </c>
      <c r="B740" s="15">
        <v>45423</v>
      </c>
    </row>
    <row r="741" spans="1:2" x14ac:dyDescent="0.15">
      <c r="A741" s="32">
        <f t="shared" ca="1" si="11"/>
        <v>45563</v>
      </c>
      <c r="B741" s="15">
        <v>45424</v>
      </c>
    </row>
    <row r="742" spans="1:2" x14ac:dyDescent="0.15">
      <c r="A742" s="32">
        <f t="shared" ca="1" si="11"/>
        <v>45588</v>
      </c>
      <c r="B742" s="15">
        <v>45539</v>
      </c>
    </row>
    <row r="743" spans="1:2" x14ac:dyDescent="0.15">
      <c r="A743" s="32">
        <f t="shared" ca="1" si="11"/>
        <v>45367</v>
      </c>
      <c r="B743" s="15">
        <v>45308</v>
      </c>
    </row>
    <row r="744" spans="1:2" x14ac:dyDescent="0.15">
      <c r="A744" s="32">
        <f t="shared" ca="1" si="11"/>
        <v>45591</v>
      </c>
      <c r="B744" s="15">
        <v>45584</v>
      </c>
    </row>
    <row r="745" spans="1:2" x14ac:dyDescent="0.15">
      <c r="A745" s="32">
        <f t="shared" ca="1" si="11"/>
        <v>45525</v>
      </c>
      <c r="B745" s="15">
        <v>45431</v>
      </c>
    </row>
    <row r="746" spans="1:2" x14ac:dyDescent="0.15">
      <c r="A746" s="32">
        <f t="shared" ca="1" si="11"/>
        <v>45318</v>
      </c>
      <c r="B746" s="15">
        <v>45535</v>
      </c>
    </row>
    <row r="747" spans="1:2" x14ac:dyDescent="0.15">
      <c r="A747" s="32">
        <f t="shared" ca="1" si="11"/>
        <v>45492</v>
      </c>
      <c r="B747" s="15">
        <v>45562</v>
      </c>
    </row>
    <row r="748" spans="1:2" x14ac:dyDescent="0.15">
      <c r="A748" s="32">
        <f t="shared" ca="1" si="11"/>
        <v>45617</v>
      </c>
      <c r="B748" s="15">
        <v>45413</v>
      </c>
    </row>
    <row r="749" spans="1:2" x14ac:dyDescent="0.15">
      <c r="A749" s="32">
        <f t="shared" ca="1" si="11"/>
        <v>45480</v>
      </c>
      <c r="B749" s="15">
        <v>45338</v>
      </c>
    </row>
    <row r="750" spans="1:2" x14ac:dyDescent="0.15">
      <c r="A750" s="32">
        <f t="shared" ca="1" si="11"/>
        <v>45629</v>
      </c>
      <c r="B750" s="15">
        <v>45300</v>
      </c>
    </row>
    <row r="751" spans="1:2" x14ac:dyDescent="0.15">
      <c r="A751" s="32">
        <f t="shared" ca="1" si="11"/>
        <v>45461</v>
      </c>
      <c r="B751" s="15">
        <v>45535</v>
      </c>
    </row>
    <row r="752" spans="1:2" x14ac:dyDescent="0.15">
      <c r="A752" s="32">
        <f t="shared" ca="1" si="11"/>
        <v>45310</v>
      </c>
      <c r="B752" s="15">
        <v>45656</v>
      </c>
    </row>
    <row r="753" spans="1:2" x14ac:dyDescent="0.15">
      <c r="A753" s="32">
        <f t="shared" ca="1" si="11"/>
        <v>45522</v>
      </c>
      <c r="B753" s="15">
        <v>45462</v>
      </c>
    </row>
    <row r="754" spans="1:2" x14ac:dyDescent="0.15">
      <c r="A754" s="32">
        <f t="shared" ca="1" si="11"/>
        <v>45407</v>
      </c>
      <c r="B754" s="15">
        <v>45373</v>
      </c>
    </row>
    <row r="755" spans="1:2" x14ac:dyDescent="0.15">
      <c r="A755" s="32">
        <f t="shared" ca="1" si="11"/>
        <v>45350</v>
      </c>
      <c r="B755" s="15">
        <v>45647</v>
      </c>
    </row>
    <row r="756" spans="1:2" x14ac:dyDescent="0.15">
      <c r="A756" s="32">
        <f t="shared" ca="1" si="11"/>
        <v>45615</v>
      </c>
      <c r="B756" s="15">
        <v>45350</v>
      </c>
    </row>
    <row r="757" spans="1:2" x14ac:dyDescent="0.15">
      <c r="A757" s="32">
        <f t="shared" ca="1" si="11"/>
        <v>45402</v>
      </c>
      <c r="B757" s="15">
        <v>45375</v>
      </c>
    </row>
    <row r="758" spans="1:2" x14ac:dyDescent="0.15">
      <c r="A758" s="32">
        <f t="shared" ca="1" si="11"/>
        <v>45348</v>
      </c>
      <c r="B758" s="15">
        <v>45397</v>
      </c>
    </row>
    <row r="759" spans="1:2" x14ac:dyDescent="0.15">
      <c r="A759" s="32">
        <f t="shared" ca="1" si="11"/>
        <v>45602</v>
      </c>
      <c r="B759" s="15">
        <v>45651</v>
      </c>
    </row>
    <row r="760" spans="1:2" x14ac:dyDescent="0.15">
      <c r="A760" s="32">
        <f t="shared" ca="1" si="11"/>
        <v>45656</v>
      </c>
      <c r="B760" s="15">
        <v>45618</v>
      </c>
    </row>
    <row r="761" spans="1:2" x14ac:dyDescent="0.15">
      <c r="A761" s="32">
        <f t="shared" ca="1" si="11"/>
        <v>45434</v>
      </c>
      <c r="B761" s="15">
        <v>45491</v>
      </c>
    </row>
    <row r="762" spans="1:2" x14ac:dyDescent="0.15">
      <c r="A762" s="32">
        <f t="shared" ca="1" si="11"/>
        <v>45632</v>
      </c>
      <c r="B762" s="15">
        <v>45567</v>
      </c>
    </row>
    <row r="763" spans="1:2" x14ac:dyDescent="0.15">
      <c r="A763" s="32">
        <f t="shared" ca="1" si="11"/>
        <v>45586</v>
      </c>
      <c r="B763" s="15">
        <v>45436</v>
      </c>
    </row>
    <row r="764" spans="1:2" x14ac:dyDescent="0.15">
      <c r="A764" s="32">
        <f t="shared" ca="1" si="11"/>
        <v>45416</v>
      </c>
      <c r="B764" s="15">
        <v>45606</v>
      </c>
    </row>
    <row r="765" spans="1:2" x14ac:dyDescent="0.15">
      <c r="A765" s="32">
        <f t="shared" ca="1" si="11"/>
        <v>45363</v>
      </c>
      <c r="B765" s="15">
        <v>45562</v>
      </c>
    </row>
    <row r="766" spans="1:2" x14ac:dyDescent="0.15">
      <c r="A766" s="32">
        <f t="shared" ca="1" si="11"/>
        <v>45351</v>
      </c>
      <c r="B766" s="15">
        <v>45567</v>
      </c>
    </row>
    <row r="767" spans="1:2" x14ac:dyDescent="0.15">
      <c r="A767" s="32">
        <f t="shared" ca="1" si="11"/>
        <v>45459</v>
      </c>
      <c r="B767" s="15">
        <v>45518</v>
      </c>
    </row>
    <row r="768" spans="1:2" x14ac:dyDescent="0.15">
      <c r="A768" s="32">
        <f t="shared" ca="1" si="11"/>
        <v>45631</v>
      </c>
      <c r="B768" s="15">
        <v>45313</v>
      </c>
    </row>
    <row r="769" spans="1:2" x14ac:dyDescent="0.15">
      <c r="A769" s="32">
        <f t="shared" ca="1" si="11"/>
        <v>45557</v>
      </c>
      <c r="B769" s="15">
        <v>45455</v>
      </c>
    </row>
    <row r="770" spans="1:2" x14ac:dyDescent="0.15">
      <c r="A770" s="32">
        <f t="shared" ref="A770:A833" ca="1" si="12">DATE(2024,RANDBETWEEN(1,12),RANDBETWEEN(1,31))</f>
        <v>45394</v>
      </c>
      <c r="B770" s="15">
        <v>45574</v>
      </c>
    </row>
    <row r="771" spans="1:2" x14ac:dyDescent="0.15">
      <c r="A771" s="32">
        <f t="shared" ca="1" si="12"/>
        <v>45640</v>
      </c>
      <c r="B771" s="15">
        <v>45420</v>
      </c>
    </row>
    <row r="772" spans="1:2" x14ac:dyDescent="0.15">
      <c r="A772" s="32">
        <f t="shared" ca="1" si="12"/>
        <v>45577</v>
      </c>
      <c r="B772" s="15">
        <v>45426</v>
      </c>
    </row>
    <row r="773" spans="1:2" x14ac:dyDescent="0.15">
      <c r="A773" s="32">
        <f t="shared" ca="1" si="12"/>
        <v>45556</v>
      </c>
      <c r="B773" s="15">
        <v>45334</v>
      </c>
    </row>
    <row r="774" spans="1:2" x14ac:dyDescent="0.15">
      <c r="A774" s="32">
        <f t="shared" ca="1" si="12"/>
        <v>45600</v>
      </c>
      <c r="B774" s="15">
        <v>45474</v>
      </c>
    </row>
    <row r="775" spans="1:2" x14ac:dyDescent="0.15">
      <c r="A775" s="32">
        <f t="shared" ca="1" si="12"/>
        <v>45302</v>
      </c>
      <c r="B775" s="15">
        <v>45501</v>
      </c>
    </row>
    <row r="776" spans="1:2" x14ac:dyDescent="0.15">
      <c r="A776" s="32">
        <f t="shared" ca="1" si="12"/>
        <v>45398</v>
      </c>
      <c r="B776" s="15">
        <v>45351</v>
      </c>
    </row>
    <row r="777" spans="1:2" x14ac:dyDescent="0.15">
      <c r="A777" s="32">
        <f t="shared" ca="1" si="12"/>
        <v>45355</v>
      </c>
      <c r="B777" s="15">
        <v>45348</v>
      </c>
    </row>
    <row r="778" spans="1:2" x14ac:dyDescent="0.15">
      <c r="A778" s="32">
        <f t="shared" ca="1" si="12"/>
        <v>45519</v>
      </c>
      <c r="B778" s="15">
        <v>45575</v>
      </c>
    </row>
    <row r="779" spans="1:2" x14ac:dyDescent="0.15">
      <c r="A779" s="32">
        <f t="shared" ca="1" si="12"/>
        <v>45565</v>
      </c>
      <c r="B779" s="15">
        <v>45483</v>
      </c>
    </row>
    <row r="780" spans="1:2" x14ac:dyDescent="0.15">
      <c r="A780" s="32">
        <f t="shared" ca="1" si="12"/>
        <v>45302</v>
      </c>
      <c r="B780" s="15">
        <v>45465</v>
      </c>
    </row>
    <row r="781" spans="1:2" x14ac:dyDescent="0.15">
      <c r="A781" s="32">
        <f t="shared" ca="1" si="12"/>
        <v>45461</v>
      </c>
      <c r="B781" s="15">
        <v>45351</v>
      </c>
    </row>
    <row r="782" spans="1:2" x14ac:dyDescent="0.15">
      <c r="A782" s="32">
        <f t="shared" ca="1" si="12"/>
        <v>45433</v>
      </c>
      <c r="B782" s="15">
        <v>45643</v>
      </c>
    </row>
    <row r="783" spans="1:2" x14ac:dyDescent="0.15">
      <c r="A783" s="32">
        <f t="shared" ca="1" si="12"/>
        <v>45461</v>
      </c>
      <c r="B783" s="15">
        <v>45628</v>
      </c>
    </row>
    <row r="784" spans="1:2" x14ac:dyDescent="0.15">
      <c r="A784" s="32">
        <f t="shared" ca="1" si="12"/>
        <v>45610</v>
      </c>
      <c r="B784" s="15">
        <v>45621</v>
      </c>
    </row>
    <row r="785" spans="1:2" x14ac:dyDescent="0.15">
      <c r="A785" s="32">
        <f t="shared" ca="1" si="12"/>
        <v>45607</v>
      </c>
      <c r="B785" s="15">
        <v>45440</v>
      </c>
    </row>
    <row r="786" spans="1:2" x14ac:dyDescent="0.15">
      <c r="A786" s="32">
        <f t="shared" ca="1" si="12"/>
        <v>45641</v>
      </c>
      <c r="B786" s="15">
        <v>45489</v>
      </c>
    </row>
    <row r="787" spans="1:2" x14ac:dyDescent="0.15">
      <c r="A787" s="32">
        <f t="shared" ca="1" si="12"/>
        <v>45344</v>
      </c>
      <c r="B787" s="15">
        <v>45500</v>
      </c>
    </row>
    <row r="788" spans="1:2" x14ac:dyDescent="0.15">
      <c r="A788" s="32">
        <f t="shared" ca="1" si="12"/>
        <v>45557</v>
      </c>
      <c r="B788" s="15">
        <v>45532</v>
      </c>
    </row>
    <row r="789" spans="1:2" x14ac:dyDescent="0.15">
      <c r="A789" s="32">
        <f t="shared" ca="1" si="12"/>
        <v>45383</v>
      </c>
      <c r="B789" s="15">
        <v>45372</v>
      </c>
    </row>
    <row r="790" spans="1:2" x14ac:dyDescent="0.15">
      <c r="A790" s="32">
        <f t="shared" ca="1" si="12"/>
        <v>45467</v>
      </c>
      <c r="B790" s="15">
        <v>45610</v>
      </c>
    </row>
    <row r="791" spans="1:2" x14ac:dyDescent="0.15">
      <c r="A791" s="32">
        <f t="shared" ca="1" si="12"/>
        <v>45348</v>
      </c>
      <c r="B791" s="15">
        <v>45461</v>
      </c>
    </row>
    <row r="792" spans="1:2" x14ac:dyDescent="0.15">
      <c r="A792" s="32">
        <f t="shared" ca="1" si="12"/>
        <v>45526</v>
      </c>
      <c r="B792" s="15">
        <v>45559</v>
      </c>
    </row>
    <row r="793" spans="1:2" x14ac:dyDescent="0.15">
      <c r="A793" s="32">
        <f t="shared" ca="1" si="12"/>
        <v>45515</v>
      </c>
      <c r="B793" s="15">
        <v>45657</v>
      </c>
    </row>
    <row r="794" spans="1:2" x14ac:dyDescent="0.15">
      <c r="A794" s="32">
        <f t="shared" ca="1" si="12"/>
        <v>45464</v>
      </c>
      <c r="B794" s="15">
        <v>45415</v>
      </c>
    </row>
    <row r="795" spans="1:2" x14ac:dyDescent="0.15">
      <c r="A795" s="32">
        <f t="shared" ca="1" si="12"/>
        <v>45335</v>
      </c>
      <c r="B795" s="15">
        <v>45306</v>
      </c>
    </row>
    <row r="796" spans="1:2" x14ac:dyDescent="0.15">
      <c r="A796" s="32">
        <f t="shared" ca="1" si="12"/>
        <v>45433</v>
      </c>
      <c r="B796" s="15">
        <v>45554</v>
      </c>
    </row>
    <row r="797" spans="1:2" x14ac:dyDescent="0.15">
      <c r="A797" s="32">
        <f t="shared" ca="1" si="12"/>
        <v>45428</v>
      </c>
      <c r="B797" s="15">
        <v>45403</v>
      </c>
    </row>
    <row r="798" spans="1:2" x14ac:dyDescent="0.15">
      <c r="A798" s="32">
        <f t="shared" ca="1" si="12"/>
        <v>45641</v>
      </c>
      <c r="B798" s="15">
        <v>45542</v>
      </c>
    </row>
    <row r="799" spans="1:2" x14ac:dyDescent="0.15">
      <c r="A799" s="32">
        <f t="shared" ca="1" si="12"/>
        <v>45653</v>
      </c>
      <c r="B799" s="15">
        <v>45389</v>
      </c>
    </row>
    <row r="800" spans="1:2" x14ac:dyDescent="0.15">
      <c r="A800" s="32">
        <f t="shared" ca="1" si="12"/>
        <v>45379</v>
      </c>
      <c r="B800" s="15">
        <v>45614</v>
      </c>
    </row>
    <row r="801" spans="1:2" x14ac:dyDescent="0.15">
      <c r="A801" s="32">
        <f t="shared" ca="1" si="12"/>
        <v>45596</v>
      </c>
      <c r="B801" s="15">
        <v>45334</v>
      </c>
    </row>
    <row r="802" spans="1:2" x14ac:dyDescent="0.15">
      <c r="A802" s="32">
        <f t="shared" ca="1" si="12"/>
        <v>45431</v>
      </c>
      <c r="B802" s="15">
        <v>45379</v>
      </c>
    </row>
    <row r="803" spans="1:2" x14ac:dyDescent="0.15">
      <c r="A803" s="32">
        <f t="shared" ca="1" si="12"/>
        <v>45369</v>
      </c>
      <c r="B803" s="15">
        <v>45520</v>
      </c>
    </row>
    <row r="804" spans="1:2" x14ac:dyDescent="0.15">
      <c r="A804" s="32">
        <f t="shared" ca="1" si="12"/>
        <v>45341</v>
      </c>
      <c r="B804" s="15">
        <v>45594</v>
      </c>
    </row>
    <row r="805" spans="1:2" x14ac:dyDescent="0.15">
      <c r="A805" s="32">
        <f t="shared" ca="1" si="12"/>
        <v>45362</v>
      </c>
      <c r="B805" s="15">
        <v>45443</v>
      </c>
    </row>
    <row r="806" spans="1:2" x14ac:dyDescent="0.15">
      <c r="A806" s="32">
        <f t="shared" ca="1" si="12"/>
        <v>45620</v>
      </c>
      <c r="B806" s="15">
        <v>45431</v>
      </c>
    </row>
    <row r="807" spans="1:2" x14ac:dyDescent="0.15">
      <c r="A807" s="32">
        <f t="shared" ca="1" si="12"/>
        <v>45413</v>
      </c>
      <c r="B807" s="15">
        <v>45356</v>
      </c>
    </row>
    <row r="808" spans="1:2" x14ac:dyDescent="0.15">
      <c r="A808" s="32">
        <f t="shared" ca="1" si="12"/>
        <v>45468</v>
      </c>
      <c r="B808" s="15">
        <v>45608</v>
      </c>
    </row>
    <row r="809" spans="1:2" x14ac:dyDescent="0.15">
      <c r="A809" s="32">
        <f t="shared" ca="1" si="12"/>
        <v>45326</v>
      </c>
      <c r="B809" s="15">
        <v>45520</v>
      </c>
    </row>
    <row r="810" spans="1:2" x14ac:dyDescent="0.15">
      <c r="A810" s="32">
        <f t="shared" ca="1" si="12"/>
        <v>45316</v>
      </c>
      <c r="B810" s="15">
        <v>45316</v>
      </c>
    </row>
    <row r="811" spans="1:2" x14ac:dyDescent="0.15">
      <c r="A811" s="32">
        <f t="shared" ca="1" si="12"/>
        <v>45648</v>
      </c>
      <c r="B811" s="15">
        <v>45320</v>
      </c>
    </row>
    <row r="812" spans="1:2" x14ac:dyDescent="0.15">
      <c r="A812" s="32">
        <f t="shared" ca="1" si="12"/>
        <v>45517</v>
      </c>
      <c r="B812" s="15">
        <v>45314</v>
      </c>
    </row>
    <row r="813" spans="1:2" x14ac:dyDescent="0.15">
      <c r="A813" s="32">
        <f t="shared" ca="1" si="12"/>
        <v>45614</v>
      </c>
      <c r="B813" s="15">
        <v>45580</v>
      </c>
    </row>
    <row r="814" spans="1:2" x14ac:dyDescent="0.15">
      <c r="A814" s="32">
        <f t="shared" ca="1" si="12"/>
        <v>45337</v>
      </c>
      <c r="B814" s="15">
        <v>45513</v>
      </c>
    </row>
    <row r="815" spans="1:2" x14ac:dyDescent="0.15">
      <c r="A815" s="32">
        <f t="shared" ca="1" si="12"/>
        <v>45376</v>
      </c>
      <c r="B815" s="15">
        <v>45509</v>
      </c>
    </row>
    <row r="816" spans="1:2" x14ac:dyDescent="0.15">
      <c r="A816" s="32">
        <f t="shared" ca="1" si="12"/>
        <v>45418</v>
      </c>
      <c r="B816" s="15">
        <v>45650</v>
      </c>
    </row>
    <row r="817" spans="1:2" x14ac:dyDescent="0.15">
      <c r="A817" s="32">
        <f t="shared" ca="1" si="12"/>
        <v>45493</v>
      </c>
      <c r="B817" s="15">
        <v>45644</v>
      </c>
    </row>
    <row r="818" spans="1:2" x14ac:dyDescent="0.15">
      <c r="A818" s="32">
        <f t="shared" ca="1" si="12"/>
        <v>45625</v>
      </c>
      <c r="B818" s="15">
        <v>45424</v>
      </c>
    </row>
    <row r="819" spans="1:2" x14ac:dyDescent="0.15">
      <c r="A819" s="32">
        <f t="shared" ca="1" si="12"/>
        <v>45596</v>
      </c>
      <c r="B819" s="15">
        <v>45464</v>
      </c>
    </row>
    <row r="820" spans="1:2" x14ac:dyDescent="0.15">
      <c r="A820" s="32">
        <f t="shared" ca="1" si="12"/>
        <v>45343</v>
      </c>
      <c r="B820" s="15">
        <v>45293</v>
      </c>
    </row>
    <row r="821" spans="1:2" x14ac:dyDescent="0.15">
      <c r="A821" s="32">
        <f t="shared" ca="1" si="12"/>
        <v>45614</v>
      </c>
      <c r="B821" s="15">
        <v>45441</v>
      </c>
    </row>
    <row r="822" spans="1:2" x14ac:dyDescent="0.15">
      <c r="A822" s="32">
        <f t="shared" ca="1" si="12"/>
        <v>45309</v>
      </c>
      <c r="B822" s="15">
        <v>45486</v>
      </c>
    </row>
    <row r="823" spans="1:2" x14ac:dyDescent="0.15">
      <c r="A823" s="32">
        <f t="shared" ca="1" si="12"/>
        <v>45601</v>
      </c>
      <c r="B823" s="15">
        <v>45537</v>
      </c>
    </row>
    <row r="824" spans="1:2" x14ac:dyDescent="0.15">
      <c r="A824" s="32">
        <f t="shared" ca="1" si="12"/>
        <v>45561</v>
      </c>
      <c r="B824" s="15">
        <v>45478</v>
      </c>
    </row>
    <row r="825" spans="1:2" x14ac:dyDescent="0.15">
      <c r="A825" s="32">
        <f t="shared" ca="1" si="12"/>
        <v>45407</v>
      </c>
      <c r="B825" s="15">
        <v>45651</v>
      </c>
    </row>
    <row r="826" spans="1:2" x14ac:dyDescent="0.15">
      <c r="A826" s="32">
        <f t="shared" ca="1" si="12"/>
        <v>45469</v>
      </c>
      <c r="B826" s="15">
        <v>45299</v>
      </c>
    </row>
    <row r="827" spans="1:2" x14ac:dyDescent="0.15">
      <c r="A827" s="32">
        <f t="shared" ca="1" si="12"/>
        <v>45347</v>
      </c>
      <c r="B827" s="15">
        <v>45638</v>
      </c>
    </row>
    <row r="828" spans="1:2" x14ac:dyDescent="0.15">
      <c r="A828" s="32">
        <f t="shared" ca="1" si="12"/>
        <v>45429</v>
      </c>
      <c r="B828" s="15">
        <v>45344</v>
      </c>
    </row>
    <row r="829" spans="1:2" x14ac:dyDescent="0.15">
      <c r="A829" s="32">
        <f t="shared" ca="1" si="12"/>
        <v>45440</v>
      </c>
      <c r="B829" s="15">
        <v>45460</v>
      </c>
    </row>
    <row r="830" spans="1:2" x14ac:dyDescent="0.15">
      <c r="A830" s="32">
        <f t="shared" ca="1" si="12"/>
        <v>45638</v>
      </c>
      <c r="B830" s="15">
        <v>45325</v>
      </c>
    </row>
    <row r="831" spans="1:2" x14ac:dyDescent="0.15">
      <c r="A831" s="32">
        <f t="shared" ca="1" si="12"/>
        <v>45483</v>
      </c>
      <c r="B831" s="15">
        <v>45515</v>
      </c>
    </row>
    <row r="832" spans="1:2" x14ac:dyDescent="0.15">
      <c r="A832" s="32">
        <f t="shared" ca="1" si="12"/>
        <v>45437</v>
      </c>
      <c r="B832" s="15">
        <v>45330</v>
      </c>
    </row>
    <row r="833" spans="1:2" x14ac:dyDescent="0.15">
      <c r="A833" s="32">
        <f t="shared" ca="1" si="12"/>
        <v>45629</v>
      </c>
      <c r="B833" s="15">
        <v>45490</v>
      </c>
    </row>
    <row r="834" spans="1:2" x14ac:dyDescent="0.15">
      <c r="A834" s="32">
        <f t="shared" ref="A834:A897" ca="1" si="13">DATE(2024,RANDBETWEEN(1,12),RANDBETWEEN(1,31))</f>
        <v>45654</v>
      </c>
      <c r="B834" s="15">
        <v>45396</v>
      </c>
    </row>
    <row r="835" spans="1:2" x14ac:dyDescent="0.15">
      <c r="A835" s="32">
        <f t="shared" ca="1" si="13"/>
        <v>45389</v>
      </c>
      <c r="B835" s="15">
        <v>45490</v>
      </c>
    </row>
    <row r="836" spans="1:2" x14ac:dyDescent="0.15">
      <c r="A836" s="32">
        <f t="shared" ca="1" si="13"/>
        <v>45569</v>
      </c>
      <c r="B836" s="15">
        <v>45313</v>
      </c>
    </row>
    <row r="837" spans="1:2" x14ac:dyDescent="0.15">
      <c r="A837" s="32">
        <f t="shared" ca="1" si="13"/>
        <v>45472</v>
      </c>
      <c r="B837" s="15">
        <v>45373</v>
      </c>
    </row>
    <row r="838" spans="1:2" x14ac:dyDescent="0.15">
      <c r="A838" s="32">
        <f t="shared" ca="1" si="13"/>
        <v>45644</v>
      </c>
      <c r="B838" s="15">
        <v>45425</v>
      </c>
    </row>
    <row r="839" spans="1:2" x14ac:dyDescent="0.15">
      <c r="A839" s="32">
        <f t="shared" ca="1" si="13"/>
        <v>45534</v>
      </c>
      <c r="B839" s="15">
        <v>45542</v>
      </c>
    </row>
    <row r="840" spans="1:2" x14ac:dyDescent="0.15">
      <c r="A840" s="32">
        <f t="shared" ca="1" si="13"/>
        <v>45531</v>
      </c>
      <c r="B840" s="15">
        <v>45526</v>
      </c>
    </row>
    <row r="841" spans="1:2" x14ac:dyDescent="0.15">
      <c r="A841" s="32">
        <f t="shared" ca="1" si="13"/>
        <v>45478</v>
      </c>
      <c r="B841" s="15">
        <v>45485</v>
      </c>
    </row>
    <row r="842" spans="1:2" x14ac:dyDescent="0.15">
      <c r="A842" s="32">
        <f t="shared" ca="1" si="13"/>
        <v>45324</v>
      </c>
      <c r="B842" s="15">
        <v>45534</v>
      </c>
    </row>
    <row r="843" spans="1:2" x14ac:dyDescent="0.15">
      <c r="A843" s="32">
        <f t="shared" ca="1" si="13"/>
        <v>45308</v>
      </c>
      <c r="B843" s="15">
        <v>45484</v>
      </c>
    </row>
    <row r="844" spans="1:2" x14ac:dyDescent="0.15">
      <c r="A844" s="32">
        <f t="shared" ca="1" si="13"/>
        <v>45567</v>
      </c>
      <c r="B844" s="15">
        <v>45541</v>
      </c>
    </row>
    <row r="845" spans="1:2" x14ac:dyDescent="0.15">
      <c r="A845" s="32">
        <f t="shared" ca="1" si="13"/>
        <v>45539</v>
      </c>
      <c r="B845" s="15">
        <v>45373</v>
      </c>
    </row>
    <row r="846" spans="1:2" x14ac:dyDescent="0.15">
      <c r="A846" s="32">
        <f t="shared" ca="1" si="13"/>
        <v>45505</v>
      </c>
      <c r="B846" s="15">
        <v>45418</v>
      </c>
    </row>
    <row r="847" spans="1:2" x14ac:dyDescent="0.15">
      <c r="A847" s="32">
        <f t="shared" ca="1" si="13"/>
        <v>45319</v>
      </c>
      <c r="B847" s="15">
        <v>45400</v>
      </c>
    </row>
    <row r="848" spans="1:2" x14ac:dyDescent="0.15">
      <c r="A848" s="32">
        <f t="shared" ca="1" si="13"/>
        <v>45633</v>
      </c>
      <c r="B848" s="15">
        <v>45342</v>
      </c>
    </row>
    <row r="849" spans="1:2" x14ac:dyDescent="0.15">
      <c r="A849" s="32">
        <f t="shared" ca="1" si="13"/>
        <v>45447</v>
      </c>
      <c r="B849" s="15">
        <v>45395</v>
      </c>
    </row>
    <row r="850" spans="1:2" x14ac:dyDescent="0.15">
      <c r="A850" s="32">
        <f t="shared" ca="1" si="13"/>
        <v>45548</v>
      </c>
      <c r="B850" s="15">
        <v>45348</v>
      </c>
    </row>
    <row r="851" spans="1:2" x14ac:dyDescent="0.15">
      <c r="A851" s="32">
        <f t="shared" ca="1" si="13"/>
        <v>45352</v>
      </c>
      <c r="B851" s="15">
        <v>45510</v>
      </c>
    </row>
    <row r="852" spans="1:2" x14ac:dyDescent="0.15">
      <c r="A852" s="32">
        <f t="shared" ca="1" si="13"/>
        <v>45399</v>
      </c>
      <c r="B852" s="15">
        <v>45593</v>
      </c>
    </row>
    <row r="853" spans="1:2" x14ac:dyDescent="0.15">
      <c r="A853" s="32">
        <f t="shared" ca="1" si="13"/>
        <v>45380</v>
      </c>
      <c r="B853" s="15">
        <v>45433</v>
      </c>
    </row>
    <row r="854" spans="1:2" x14ac:dyDescent="0.15">
      <c r="A854" s="32">
        <f t="shared" ca="1" si="13"/>
        <v>45307</v>
      </c>
      <c r="B854" s="15">
        <v>45562</v>
      </c>
    </row>
    <row r="855" spans="1:2" x14ac:dyDescent="0.15">
      <c r="A855" s="32">
        <f t="shared" ca="1" si="13"/>
        <v>45504</v>
      </c>
      <c r="B855" s="15">
        <v>45348</v>
      </c>
    </row>
    <row r="856" spans="1:2" x14ac:dyDescent="0.15">
      <c r="A856" s="32">
        <f t="shared" ca="1" si="13"/>
        <v>45381</v>
      </c>
      <c r="B856" s="15">
        <v>45521</v>
      </c>
    </row>
    <row r="857" spans="1:2" x14ac:dyDescent="0.15">
      <c r="A857" s="32">
        <f t="shared" ca="1" si="13"/>
        <v>45310</v>
      </c>
      <c r="B857" s="15">
        <v>45379</v>
      </c>
    </row>
    <row r="858" spans="1:2" x14ac:dyDescent="0.15">
      <c r="A858" s="32">
        <f t="shared" ca="1" si="13"/>
        <v>45495</v>
      </c>
      <c r="B858" s="15">
        <v>45641</v>
      </c>
    </row>
    <row r="859" spans="1:2" x14ac:dyDescent="0.15">
      <c r="A859" s="32">
        <f t="shared" ca="1" si="13"/>
        <v>45504</v>
      </c>
      <c r="B859" s="15">
        <v>45446</v>
      </c>
    </row>
    <row r="860" spans="1:2" x14ac:dyDescent="0.15">
      <c r="A860" s="32">
        <f t="shared" ca="1" si="13"/>
        <v>45575</v>
      </c>
      <c r="B860" s="15">
        <v>45534</v>
      </c>
    </row>
    <row r="861" spans="1:2" x14ac:dyDescent="0.15">
      <c r="A861" s="32">
        <f t="shared" ca="1" si="13"/>
        <v>45634</v>
      </c>
      <c r="B861" s="15">
        <v>45405</v>
      </c>
    </row>
    <row r="862" spans="1:2" x14ac:dyDescent="0.15">
      <c r="A862" s="32">
        <f t="shared" ca="1" si="13"/>
        <v>45347</v>
      </c>
      <c r="B862" s="15">
        <v>45341</v>
      </c>
    </row>
    <row r="863" spans="1:2" x14ac:dyDescent="0.15">
      <c r="A863" s="32">
        <f t="shared" ca="1" si="13"/>
        <v>45571</v>
      </c>
      <c r="B863" s="15">
        <v>45566</v>
      </c>
    </row>
    <row r="864" spans="1:2" x14ac:dyDescent="0.15">
      <c r="A864" s="32">
        <f t="shared" ca="1" si="13"/>
        <v>45598</v>
      </c>
      <c r="B864" s="15">
        <v>45496</v>
      </c>
    </row>
    <row r="865" spans="1:2" x14ac:dyDescent="0.15">
      <c r="A865" s="32">
        <f t="shared" ca="1" si="13"/>
        <v>45505</v>
      </c>
      <c r="B865" s="15">
        <v>45437</v>
      </c>
    </row>
    <row r="866" spans="1:2" x14ac:dyDescent="0.15">
      <c r="A866" s="32">
        <f t="shared" ca="1" si="13"/>
        <v>45428</v>
      </c>
      <c r="B866" s="15">
        <v>45433</v>
      </c>
    </row>
    <row r="867" spans="1:2" x14ac:dyDescent="0.15">
      <c r="A867" s="32">
        <f t="shared" ca="1" si="13"/>
        <v>45453</v>
      </c>
      <c r="B867" s="15">
        <v>45358</v>
      </c>
    </row>
    <row r="868" spans="1:2" x14ac:dyDescent="0.15">
      <c r="A868" s="32">
        <f t="shared" ca="1" si="13"/>
        <v>45511</v>
      </c>
      <c r="B868" s="15">
        <v>45402</v>
      </c>
    </row>
    <row r="869" spans="1:2" x14ac:dyDescent="0.15">
      <c r="A869" s="32">
        <f t="shared" ca="1" si="13"/>
        <v>45522</v>
      </c>
      <c r="B869" s="15">
        <v>45541</v>
      </c>
    </row>
    <row r="870" spans="1:2" x14ac:dyDescent="0.15">
      <c r="A870" s="32">
        <f t="shared" ca="1" si="13"/>
        <v>45386</v>
      </c>
      <c r="B870" s="15">
        <v>45603</v>
      </c>
    </row>
    <row r="871" spans="1:2" x14ac:dyDescent="0.15">
      <c r="A871" s="32">
        <f t="shared" ca="1" si="13"/>
        <v>45492</v>
      </c>
      <c r="B871" s="15">
        <v>45465</v>
      </c>
    </row>
    <row r="872" spans="1:2" x14ac:dyDescent="0.15">
      <c r="A872" s="32">
        <f t="shared" ca="1" si="13"/>
        <v>45505</v>
      </c>
      <c r="B872" s="15">
        <v>45656</v>
      </c>
    </row>
    <row r="873" spans="1:2" x14ac:dyDescent="0.15">
      <c r="A873" s="32">
        <f t="shared" ca="1" si="13"/>
        <v>45627</v>
      </c>
      <c r="B873" s="15">
        <v>45629</v>
      </c>
    </row>
    <row r="874" spans="1:2" x14ac:dyDescent="0.15">
      <c r="A874" s="32">
        <f t="shared" ca="1" si="13"/>
        <v>45477</v>
      </c>
      <c r="B874" s="15">
        <v>45474</v>
      </c>
    </row>
    <row r="875" spans="1:2" x14ac:dyDescent="0.15">
      <c r="A875" s="32">
        <f t="shared" ca="1" si="13"/>
        <v>45507</v>
      </c>
      <c r="B875" s="15">
        <v>45650</v>
      </c>
    </row>
    <row r="876" spans="1:2" x14ac:dyDescent="0.15">
      <c r="A876" s="32">
        <f t="shared" ca="1" si="13"/>
        <v>45516</v>
      </c>
      <c r="B876" s="15">
        <v>45345</v>
      </c>
    </row>
    <row r="877" spans="1:2" x14ac:dyDescent="0.15">
      <c r="A877" s="32">
        <f t="shared" ca="1" si="13"/>
        <v>45634</v>
      </c>
      <c r="B877" s="15">
        <v>45334</v>
      </c>
    </row>
    <row r="878" spans="1:2" x14ac:dyDescent="0.15">
      <c r="A878" s="32">
        <f t="shared" ca="1" si="13"/>
        <v>45471</v>
      </c>
      <c r="B878" s="15">
        <v>45643</v>
      </c>
    </row>
    <row r="879" spans="1:2" x14ac:dyDescent="0.15">
      <c r="A879" s="32">
        <f t="shared" ca="1" si="13"/>
        <v>45529</v>
      </c>
      <c r="B879" s="15">
        <v>45589</v>
      </c>
    </row>
    <row r="880" spans="1:2" x14ac:dyDescent="0.15">
      <c r="A880" s="32">
        <f t="shared" ca="1" si="13"/>
        <v>45653</v>
      </c>
      <c r="B880" s="15">
        <v>45484</v>
      </c>
    </row>
    <row r="881" spans="1:2" x14ac:dyDescent="0.15">
      <c r="A881" s="32">
        <f t="shared" ca="1" si="13"/>
        <v>45345</v>
      </c>
      <c r="B881" s="15">
        <v>45544</v>
      </c>
    </row>
    <row r="882" spans="1:2" x14ac:dyDescent="0.15">
      <c r="A882" s="32">
        <f t="shared" ca="1" si="13"/>
        <v>45507</v>
      </c>
      <c r="B882" s="15">
        <v>45567</v>
      </c>
    </row>
    <row r="883" spans="1:2" x14ac:dyDescent="0.15">
      <c r="A883" s="32">
        <f t="shared" ca="1" si="13"/>
        <v>45589</v>
      </c>
      <c r="B883" s="15">
        <v>45588</v>
      </c>
    </row>
    <row r="884" spans="1:2" x14ac:dyDescent="0.15">
      <c r="A884" s="32">
        <f t="shared" ca="1" si="13"/>
        <v>45354</v>
      </c>
      <c r="B884" s="15">
        <v>45415</v>
      </c>
    </row>
    <row r="885" spans="1:2" x14ac:dyDescent="0.15">
      <c r="A885" s="32">
        <f t="shared" ca="1" si="13"/>
        <v>45579</v>
      </c>
      <c r="B885" s="15">
        <v>45527</v>
      </c>
    </row>
    <row r="886" spans="1:2" x14ac:dyDescent="0.15">
      <c r="A886" s="32">
        <f t="shared" ca="1" si="13"/>
        <v>45547</v>
      </c>
      <c r="B886" s="15">
        <v>45633</v>
      </c>
    </row>
    <row r="887" spans="1:2" x14ac:dyDescent="0.15">
      <c r="A887" s="32">
        <f t="shared" ca="1" si="13"/>
        <v>45451</v>
      </c>
      <c r="B887" s="15">
        <v>45473</v>
      </c>
    </row>
    <row r="888" spans="1:2" x14ac:dyDescent="0.15">
      <c r="A888" s="32">
        <f t="shared" ca="1" si="13"/>
        <v>45574</v>
      </c>
      <c r="B888" s="15">
        <v>45439</v>
      </c>
    </row>
    <row r="889" spans="1:2" x14ac:dyDescent="0.15">
      <c r="A889" s="32">
        <f t="shared" ca="1" si="13"/>
        <v>45424</v>
      </c>
      <c r="B889" s="15">
        <v>45480</v>
      </c>
    </row>
    <row r="890" spans="1:2" x14ac:dyDescent="0.15">
      <c r="A890" s="32">
        <f t="shared" ca="1" si="13"/>
        <v>45645</v>
      </c>
      <c r="B890" s="15">
        <v>45468</v>
      </c>
    </row>
    <row r="891" spans="1:2" x14ac:dyDescent="0.15">
      <c r="A891" s="32">
        <f t="shared" ca="1" si="13"/>
        <v>45524</v>
      </c>
      <c r="B891" s="15">
        <v>45560</v>
      </c>
    </row>
    <row r="892" spans="1:2" x14ac:dyDescent="0.15">
      <c r="A892" s="32">
        <f t="shared" ca="1" si="13"/>
        <v>45588</v>
      </c>
      <c r="B892" s="15">
        <v>45533</v>
      </c>
    </row>
    <row r="893" spans="1:2" x14ac:dyDescent="0.15">
      <c r="A893" s="32">
        <f t="shared" ca="1" si="13"/>
        <v>45403</v>
      </c>
      <c r="B893" s="15">
        <v>45532</v>
      </c>
    </row>
    <row r="894" spans="1:2" x14ac:dyDescent="0.15">
      <c r="A894" s="32">
        <f t="shared" ca="1" si="13"/>
        <v>45415</v>
      </c>
      <c r="B894" s="15">
        <v>45299</v>
      </c>
    </row>
    <row r="895" spans="1:2" x14ac:dyDescent="0.15">
      <c r="A895" s="32">
        <f t="shared" ca="1" si="13"/>
        <v>45654</v>
      </c>
      <c r="B895" s="15">
        <v>45443</v>
      </c>
    </row>
    <row r="896" spans="1:2" x14ac:dyDescent="0.15">
      <c r="A896" s="32">
        <f t="shared" ca="1" si="13"/>
        <v>45521</v>
      </c>
      <c r="B896" s="15">
        <v>45506</v>
      </c>
    </row>
    <row r="897" spans="1:2" x14ac:dyDescent="0.15">
      <c r="A897" s="32">
        <f t="shared" ca="1" si="13"/>
        <v>45614</v>
      </c>
      <c r="B897" s="15">
        <v>45410</v>
      </c>
    </row>
    <row r="898" spans="1:2" x14ac:dyDescent="0.15">
      <c r="A898" s="32">
        <f t="shared" ref="A898:A961" ca="1" si="14">DATE(2024,RANDBETWEEN(1,12),RANDBETWEEN(1,31))</f>
        <v>45418</v>
      </c>
      <c r="B898" s="15">
        <v>45625</v>
      </c>
    </row>
    <row r="899" spans="1:2" x14ac:dyDescent="0.15">
      <c r="A899" s="32">
        <f t="shared" ca="1" si="14"/>
        <v>45563</v>
      </c>
      <c r="B899" s="15">
        <v>45552</v>
      </c>
    </row>
    <row r="900" spans="1:2" x14ac:dyDescent="0.15">
      <c r="A900" s="32">
        <f t="shared" ca="1" si="14"/>
        <v>45564</v>
      </c>
      <c r="B900" s="15">
        <v>45639</v>
      </c>
    </row>
    <row r="901" spans="1:2" x14ac:dyDescent="0.15">
      <c r="A901" s="32">
        <f t="shared" ca="1" si="14"/>
        <v>45570</v>
      </c>
      <c r="B901" s="15">
        <v>45391</v>
      </c>
    </row>
    <row r="902" spans="1:2" x14ac:dyDescent="0.15">
      <c r="A902" s="32">
        <f t="shared" ca="1" si="14"/>
        <v>45598</v>
      </c>
      <c r="B902" s="15">
        <v>45346</v>
      </c>
    </row>
    <row r="903" spans="1:2" x14ac:dyDescent="0.15">
      <c r="A903" s="32">
        <f t="shared" ca="1" si="14"/>
        <v>45341</v>
      </c>
      <c r="B903" s="15">
        <v>45595</v>
      </c>
    </row>
    <row r="904" spans="1:2" x14ac:dyDescent="0.15">
      <c r="A904" s="32">
        <f t="shared" ca="1" si="14"/>
        <v>45563</v>
      </c>
      <c r="B904" s="15">
        <v>45548</v>
      </c>
    </row>
    <row r="905" spans="1:2" x14ac:dyDescent="0.15">
      <c r="A905" s="32">
        <f t="shared" ca="1" si="14"/>
        <v>45645</v>
      </c>
      <c r="B905" s="15">
        <v>45654</v>
      </c>
    </row>
    <row r="906" spans="1:2" x14ac:dyDescent="0.15">
      <c r="A906" s="32">
        <f t="shared" ca="1" si="14"/>
        <v>45299</v>
      </c>
      <c r="B906" s="15">
        <v>45427</v>
      </c>
    </row>
    <row r="907" spans="1:2" x14ac:dyDescent="0.15">
      <c r="A907" s="32">
        <f t="shared" ca="1" si="14"/>
        <v>45296</v>
      </c>
      <c r="B907" s="15">
        <v>45492</v>
      </c>
    </row>
    <row r="908" spans="1:2" x14ac:dyDescent="0.15">
      <c r="A908" s="32">
        <f t="shared" ca="1" si="14"/>
        <v>45588</v>
      </c>
      <c r="B908" s="15">
        <v>45336</v>
      </c>
    </row>
    <row r="909" spans="1:2" x14ac:dyDescent="0.15">
      <c r="A909" s="32">
        <f t="shared" ca="1" si="14"/>
        <v>45610</v>
      </c>
      <c r="B909" s="15">
        <v>45542</v>
      </c>
    </row>
    <row r="910" spans="1:2" x14ac:dyDescent="0.15">
      <c r="A910" s="32">
        <f t="shared" ca="1" si="14"/>
        <v>45407</v>
      </c>
      <c r="B910" s="15">
        <v>45591</v>
      </c>
    </row>
    <row r="911" spans="1:2" x14ac:dyDescent="0.15">
      <c r="A911" s="32">
        <f t="shared" ca="1" si="14"/>
        <v>45321</v>
      </c>
      <c r="B911" s="15">
        <v>45629</v>
      </c>
    </row>
    <row r="912" spans="1:2" x14ac:dyDescent="0.15">
      <c r="A912" s="32">
        <f t="shared" ca="1" si="14"/>
        <v>45534</v>
      </c>
      <c r="B912" s="15">
        <v>45373</v>
      </c>
    </row>
    <row r="913" spans="1:2" x14ac:dyDescent="0.15">
      <c r="A913" s="32">
        <f t="shared" ca="1" si="14"/>
        <v>45535</v>
      </c>
      <c r="B913" s="15">
        <v>45299</v>
      </c>
    </row>
    <row r="914" spans="1:2" x14ac:dyDescent="0.15">
      <c r="A914" s="32">
        <f t="shared" ca="1" si="14"/>
        <v>45334</v>
      </c>
      <c r="B914" s="15">
        <v>45656</v>
      </c>
    </row>
    <row r="915" spans="1:2" x14ac:dyDescent="0.15">
      <c r="A915" s="32">
        <f t="shared" ca="1" si="14"/>
        <v>45447</v>
      </c>
      <c r="B915" s="15">
        <v>45454</v>
      </c>
    </row>
    <row r="916" spans="1:2" x14ac:dyDescent="0.15">
      <c r="A916" s="32">
        <f t="shared" ca="1" si="14"/>
        <v>45639</v>
      </c>
      <c r="B916" s="15">
        <v>45499</v>
      </c>
    </row>
    <row r="917" spans="1:2" x14ac:dyDescent="0.15">
      <c r="A917" s="32">
        <f t="shared" ca="1" si="14"/>
        <v>45529</v>
      </c>
      <c r="B917" s="15">
        <v>45494</v>
      </c>
    </row>
    <row r="918" spans="1:2" x14ac:dyDescent="0.15">
      <c r="A918" s="32">
        <f t="shared" ca="1" si="14"/>
        <v>45392</v>
      </c>
      <c r="B918" s="15">
        <v>45512</v>
      </c>
    </row>
    <row r="919" spans="1:2" x14ac:dyDescent="0.15">
      <c r="A919" s="32">
        <f t="shared" ca="1" si="14"/>
        <v>45500</v>
      </c>
      <c r="B919" s="15">
        <v>45302</v>
      </c>
    </row>
    <row r="920" spans="1:2" x14ac:dyDescent="0.15">
      <c r="A920" s="32">
        <f t="shared" ca="1" si="14"/>
        <v>45513</v>
      </c>
      <c r="B920" s="15">
        <v>45527</v>
      </c>
    </row>
    <row r="921" spans="1:2" x14ac:dyDescent="0.15">
      <c r="A921" s="32">
        <f t="shared" ca="1" si="14"/>
        <v>45627</v>
      </c>
      <c r="B921" s="15">
        <v>45654</v>
      </c>
    </row>
    <row r="922" spans="1:2" x14ac:dyDescent="0.15">
      <c r="A922" s="32">
        <f t="shared" ca="1" si="14"/>
        <v>45401</v>
      </c>
      <c r="B922" s="15">
        <v>45341</v>
      </c>
    </row>
    <row r="923" spans="1:2" x14ac:dyDescent="0.15">
      <c r="A923" s="32">
        <f t="shared" ca="1" si="14"/>
        <v>45413</v>
      </c>
      <c r="B923" s="15">
        <v>45600</v>
      </c>
    </row>
    <row r="924" spans="1:2" x14ac:dyDescent="0.15">
      <c r="A924" s="32">
        <f t="shared" ca="1" si="14"/>
        <v>45578</v>
      </c>
      <c r="B924" s="15">
        <v>45488</v>
      </c>
    </row>
    <row r="925" spans="1:2" x14ac:dyDescent="0.15">
      <c r="A925" s="32">
        <f t="shared" ca="1" si="14"/>
        <v>45432</v>
      </c>
      <c r="B925" s="15">
        <v>45565</v>
      </c>
    </row>
    <row r="926" spans="1:2" x14ac:dyDescent="0.15">
      <c r="A926" s="32">
        <f t="shared" ca="1" si="14"/>
        <v>45654</v>
      </c>
      <c r="B926" s="15">
        <v>45467</v>
      </c>
    </row>
    <row r="927" spans="1:2" x14ac:dyDescent="0.15">
      <c r="A927" s="32">
        <f t="shared" ca="1" si="14"/>
        <v>45591</v>
      </c>
      <c r="B927" s="15">
        <v>45495</v>
      </c>
    </row>
    <row r="928" spans="1:2" x14ac:dyDescent="0.15">
      <c r="A928" s="32">
        <f t="shared" ca="1" si="14"/>
        <v>45296</v>
      </c>
      <c r="B928" s="15">
        <v>45484</v>
      </c>
    </row>
    <row r="929" spans="1:2" x14ac:dyDescent="0.15">
      <c r="A929" s="32">
        <f t="shared" ca="1" si="14"/>
        <v>45409</v>
      </c>
      <c r="B929" s="15">
        <v>45639</v>
      </c>
    </row>
    <row r="930" spans="1:2" x14ac:dyDescent="0.15">
      <c r="A930" s="32">
        <f t="shared" ca="1" si="14"/>
        <v>45415</v>
      </c>
      <c r="B930" s="15">
        <v>45589</v>
      </c>
    </row>
    <row r="931" spans="1:2" x14ac:dyDescent="0.15">
      <c r="A931" s="32">
        <f t="shared" ca="1" si="14"/>
        <v>45530</v>
      </c>
      <c r="B931" s="15">
        <v>45474</v>
      </c>
    </row>
    <row r="932" spans="1:2" x14ac:dyDescent="0.15">
      <c r="A932" s="32">
        <f t="shared" ca="1" si="14"/>
        <v>45373</v>
      </c>
      <c r="B932" s="15">
        <v>45491</v>
      </c>
    </row>
    <row r="933" spans="1:2" x14ac:dyDescent="0.15">
      <c r="A933" s="32">
        <f t="shared" ca="1" si="14"/>
        <v>45302</v>
      </c>
      <c r="B933" s="15">
        <v>45401</v>
      </c>
    </row>
    <row r="934" spans="1:2" x14ac:dyDescent="0.15">
      <c r="A934" s="32">
        <f t="shared" ca="1" si="14"/>
        <v>45539</v>
      </c>
      <c r="B934" s="15">
        <v>45541</v>
      </c>
    </row>
    <row r="935" spans="1:2" x14ac:dyDescent="0.15">
      <c r="A935" s="32">
        <f t="shared" ca="1" si="14"/>
        <v>45382</v>
      </c>
      <c r="B935" s="15">
        <v>45499</v>
      </c>
    </row>
    <row r="936" spans="1:2" x14ac:dyDescent="0.15">
      <c r="A936" s="32">
        <f t="shared" ca="1" si="14"/>
        <v>45543</v>
      </c>
      <c r="B936" s="15">
        <v>45513</v>
      </c>
    </row>
    <row r="937" spans="1:2" x14ac:dyDescent="0.15">
      <c r="A937" s="32">
        <f t="shared" ca="1" si="14"/>
        <v>45295</v>
      </c>
      <c r="B937" s="15">
        <v>45566</v>
      </c>
    </row>
    <row r="938" spans="1:2" x14ac:dyDescent="0.15">
      <c r="A938" s="32">
        <f t="shared" ca="1" si="14"/>
        <v>45438</v>
      </c>
      <c r="B938" s="15">
        <v>45314</v>
      </c>
    </row>
    <row r="939" spans="1:2" x14ac:dyDescent="0.15">
      <c r="A939" s="32">
        <f t="shared" ca="1" si="14"/>
        <v>45652</v>
      </c>
      <c r="B939" s="15">
        <v>45334</v>
      </c>
    </row>
    <row r="940" spans="1:2" x14ac:dyDescent="0.15">
      <c r="A940" s="32">
        <f t="shared" ca="1" si="14"/>
        <v>45470</v>
      </c>
      <c r="B940" s="15">
        <v>45651</v>
      </c>
    </row>
    <row r="941" spans="1:2" x14ac:dyDescent="0.15">
      <c r="A941" s="32">
        <f t="shared" ca="1" si="14"/>
        <v>45388</v>
      </c>
      <c r="B941" s="15">
        <v>45380</v>
      </c>
    </row>
    <row r="942" spans="1:2" x14ac:dyDescent="0.15">
      <c r="A942" s="32">
        <f t="shared" ca="1" si="14"/>
        <v>45579</v>
      </c>
      <c r="B942" s="15">
        <v>45410</v>
      </c>
    </row>
    <row r="943" spans="1:2" x14ac:dyDescent="0.15">
      <c r="A943" s="32">
        <f t="shared" ca="1" si="14"/>
        <v>45438</v>
      </c>
      <c r="B943" s="15">
        <v>45519</v>
      </c>
    </row>
    <row r="944" spans="1:2" x14ac:dyDescent="0.15">
      <c r="A944" s="32">
        <f t="shared" ca="1" si="14"/>
        <v>45318</v>
      </c>
      <c r="B944" s="15">
        <v>45529</v>
      </c>
    </row>
    <row r="945" spans="1:2" x14ac:dyDescent="0.15">
      <c r="A945" s="32">
        <f t="shared" ca="1" si="14"/>
        <v>45478</v>
      </c>
      <c r="B945" s="15">
        <v>45656</v>
      </c>
    </row>
    <row r="946" spans="1:2" x14ac:dyDescent="0.15">
      <c r="A946" s="32">
        <f t="shared" ca="1" si="14"/>
        <v>45489</v>
      </c>
      <c r="B946" s="15">
        <v>45483</v>
      </c>
    </row>
    <row r="947" spans="1:2" x14ac:dyDescent="0.15">
      <c r="A947" s="32">
        <f t="shared" ca="1" si="14"/>
        <v>45350</v>
      </c>
      <c r="B947" s="15">
        <v>45473</v>
      </c>
    </row>
    <row r="948" spans="1:2" x14ac:dyDescent="0.15">
      <c r="A948" s="32">
        <f t="shared" ca="1" si="14"/>
        <v>45645</v>
      </c>
      <c r="B948" s="15">
        <v>45428</v>
      </c>
    </row>
    <row r="949" spans="1:2" x14ac:dyDescent="0.15">
      <c r="A949" s="32">
        <f t="shared" ca="1" si="14"/>
        <v>45403</v>
      </c>
      <c r="B949" s="15">
        <v>45570</v>
      </c>
    </row>
    <row r="950" spans="1:2" x14ac:dyDescent="0.15">
      <c r="A950" s="32">
        <f t="shared" ca="1" si="14"/>
        <v>45586</v>
      </c>
      <c r="B950" s="15">
        <v>45467</v>
      </c>
    </row>
    <row r="951" spans="1:2" x14ac:dyDescent="0.15">
      <c r="A951" s="32">
        <f t="shared" ca="1" si="14"/>
        <v>45562</v>
      </c>
      <c r="B951" s="15">
        <v>45530</v>
      </c>
    </row>
    <row r="952" spans="1:2" x14ac:dyDescent="0.15">
      <c r="A952" s="32">
        <f t="shared" ca="1" si="14"/>
        <v>45582</v>
      </c>
      <c r="B952" s="15">
        <v>45323</v>
      </c>
    </row>
    <row r="953" spans="1:2" x14ac:dyDescent="0.15">
      <c r="A953" s="32">
        <f t="shared" ca="1" si="14"/>
        <v>45413</v>
      </c>
      <c r="B953" s="15">
        <v>45546</v>
      </c>
    </row>
    <row r="954" spans="1:2" x14ac:dyDescent="0.15">
      <c r="A954" s="32">
        <f t="shared" ca="1" si="14"/>
        <v>45586</v>
      </c>
      <c r="B954" s="15">
        <v>45476</v>
      </c>
    </row>
    <row r="955" spans="1:2" x14ac:dyDescent="0.15">
      <c r="A955" s="32">
        <f t="shared" ca="1" si="14"/>
        <v>45521</v>
      </c>
      <c r="B955" s="15">
        <v>45569</v>
      </c>
    </row>
    <row r="956" spans="1:2" x14ac:dyDescent="0.15">
      <c r="A956" s="32">
        <f t="shared" ca="1" si="14"/>
        <v>45351</v>
      </c>
      <c r="B956" s="15">
        <v>45472</v>
      </c>
    </row>
    <row r="957" spans="1:2" x14ac:dyDescent="0.15">
      <c r="A957" s="32">
        <f t="shared" ca="1" si="14"/>
        <v>45345</v>
      </c>
      <c r="B957" s="15">
        <v>45652</v>
      </c>
    </row>
    <row r="958" spans="1:2" x14ac:dyDescent="0.15">
      <c r="A958" s="32">
        <f t="shared" ca="1" si="14"/>
        <v>45469</v>
      </c>
      <c r="B958" s="15">
        <v>45559</v>
      </c>
    </row>
    <row r="959" spans="1:2" x14ac:dyDescent="0.15">
      <c r="A959" s="32">
        <f t="shared" ca="1" si="14"/>
        <v>45411</v>
      </c>
      <c r="B959" s="15">
        <v>45641</v>
      </c>
    </row>
    <row r="960" spans="1:2" x14ac:dyDescent="0.15">
      <c r="A960" s="32">
        <f t="shared" ca="1" si="14"/>
        <v>45434</v>
      </c>
      <c r="B960" s="15">
        <v>45573</v>
      </c>
    </row>
    <row r="961" spans="1:2" x14ac:dyDescent="0.15">
      <c r="A961" s="32">
        <f t="shared" ca="1" si="14"/>
        <v>45599</v>
      </c>
      <c r="B961" s="15">
        <v>45614</v>
      </c>
    </row>
    <row r="962" spans="1:2" x14ac:dyDescent="0.15">
      <c r="A962" s="32">
        <f t="shared" ref="A962:A1000" ca="1" si="15">DATE(2024,RANDBETWEEN(1,12),RANDBETWEEN(1,31))</f>
        <v>45575</v>
      </c>
      <c r="B962" s="15">
        <v>45643</v>
      </c>
    </row>
    <row r="963" spans="1:2" x14ac:dyDescent="0.15">
      <c r="A963" s="32">
        <f t="shared" ca="1" si="15"/>
        <v>45406</v>
      </c>
      <c r="B963" s="15">
        <v>45427</v>
      </c>
    </row>
    <row r="964" spans="1:2" x14ac:dyDescent="0.15">
      <c r="A964" s="32">
        <f t="shared" ca="1" si="15"/>
        <v>45323</v>
      </c>
      <c r="B964" s="15">
        <v>45630</v>
      </c>
    </row>
    <row r="965" spans="1:2" x14ac:dyDescent="0.15">
      <c r="A965" s="32">
        <f t="shared" ca="1" si="15"/>
        <v>45648</v>
      </c>
      <c r="B965" s="15">
        <v>45547</v>
      </c>
    </row>
    <row r="966" spans="1:2" x14ac:dyDescent="0.15">
      <c r="A966" s="32">
        <f t="shared" ca="1" si="15"/>
        <v>45369</v>
      </c>
      <c r="B966" s="15">
        <v>45567</v>
      </c>
    </row>
    <row r="967" spans="1:2" x14ac:dyDescent="0.15">
      <c r="A967" s="32">
        <f t="shared" ca="1" si="15"/>
        <v>45482</v>
      </c>
      <c r="B967" s="15">
        <v>45562</v>
      </c>
    </row>
    <row r="968" spans="1:2" x14ac:dyDescent="0.15">
      <c r="A968" s="32">
        <f t="shared" ca="1" si="15"/>
        <v>45643</v>
      </c>
      <c r="B968" s="15">
        <v>45499</v>
      </c>
    </row>
    <row r="969" spans="1:2" x14ac:dyDescent="0.15">
      <c r="A969" s="32">
        <f t="shared" ca="1" si="15"/>
        <v>45351</v>
      </c>
      <c r="B969" s="15">
        <v>45546</v>
      </c>
    </row>
    <row r="970" spans="1:2" x14ac:dyDescent="0.15">
      <c r="A970" s="32">
        <f t="shared" ca="1" si="15"/>
        <v>45424</v>
      </c>
      <c r="B970" s="15">
        <v>45338</v>
      </c>
    </row>
    <row r="971" spans="1:2" x14ac:dyDescent="0.15">
      <c r="A971" s="32">
        <f t="shared" ca="1" si="15"/>
        <v>45624</v>
      </c>
      <c r="B971" s="15">
        <v>45451</v>
      </c>
    </row>
    <row r="972" spans="1:2" x14ac:dyDescent="0.15">
      <c r="A972" s="32">
        <f t="shared" ca="1" si="15"/>
        <v>45325</v>
      </c>
      <c r="B972" s="15">
        <v>45524</v>
      </c>
    </row>
    <row r="973" spans="1:2" x14ac:dyDescent="0.15">
      <c r="A973" s="32">
        <f t="shared" ca="1" si="15"/>
        <v>45319</v>
      </c>
      <c r="B973" s="15">
        <v>45367</v>
      </c>
    </row>
    <row r="974" spans="1:2" x14ac:dyDescent="0.15">
      <c r="A974" s="32">
        <f t="shared" ca="1" si="15"/>
        <v>45566</v>
      </c>
      <c r="B974" s="15">
        <v>45490</v>
      </c>
    </row>
    <row r="975" spans="1:2" x14ac:dyDescent="0.15">
      <c r="A975" s="32">
        <f t="shared" ca="1" si="15"/>
        <v>45505</v>
      </c>
      <c r="B975" s="15">
        <v>45466</v>
      </c>
    </row>
    <row r="976" spans="1:2" x14ac:dyDescent="0.15">
      <c r="A976" s="32">
        <f t="shared" ca="1" si="15"/>
        <v>45564</v>
      </c>
      <c r="B976" s="15">
        <v>45316</v>
      </c>
    </row>
    <row r="977" spans="1:2" x14ac:dyDescent="0.15">
      <c r="A977" s="32">
        <f t="shared" ca="1" si="15"/>
        <v>45597</v>
      </c>
      <c r="B977" s="15">
        <v>45350</v>
      </c>
    </row>
    <row r="978" spans="1:2" x14ac:dyDescent="0.15">
      <c r="A978" s="32">
        <f t="shared" ca="1" si="15"/>
        <v>45467</v>
      </c>
      <c r="B978" s="15">
        <v>45582</v>
      </c>
    </row>
    <row r="979" spans="1:2" x14ac:dyDescent="0.15">
      <c r="A979" s="32">
        <f t="shared" ca="1" si="15"/>
        <v>45441</v>
      </c>
      <c r="B979" s="15">
        <v>45644</v>
      </c>
    </row>
    <row r="980" spans="1:2" x14ac:dyDescent="0.15">
      <c r="A980" s="32">
        <f t="shared" ca="1" si="15"/>
        <v>45348</v>
      </c>
      <c r="B980" s="15">
        <v>45512</v>
      </c>
    </row>
    <row r="981" spans="1:2" x14ac:dyDescent="0.15">
      <c r="A981" s="32">
        <f t="shared" ca="1" si="15"/>
        <v>45313</v>
      </c>
      <c r="B981" s="15">
        <v>45378</v>
      </c>
    </row>
    <row r="982" spans="1:2" x14ac:dyDescent="0.15">
      <c r="A982" s="32">
        <f t="shared" ca="1" si="15"/>
        <v>45395</v>
      </c>
      <c r="B982" s="15">
        <v>45352</v>
      </c>
    </row>
    <row r="983" spans="1:2" x14ac:dyDescent="0.15">
      <c r="A983" s="32">
        <f t="shared" ca="1" si="15"/>
        <v>45485</v>
      </c>
      <c r="B983" s="15">
        <v>45593</v>
      </c>
    </row>
    <row r="984" spans="1:2" x14ac:dyDescent="0.15">
      <c r="A984" s="32">
        <f t="shared" ca="1" si="15"/>
        <v>45398</v>
      </c>
      <c r="B984" s="15">
        <v>45302</v>
      </c>
    </row>
    <row r="985" spans="1:2" x14ac:dyDescent="0.15">
      <c r="A985" s="32">
        <f t="shared" ca="1" si="15"/>
        <v>45408</v>
      </c>
      <c r="B985" s="15">
        <v>45541</v>
      </c>
    </row>
    <row r="986" spans="1:2" x14ac:dyDescent="0.15">
      <c r="A986" s="32">
        <f t="shared" ca="1" si="15"/>
        <v>45420</v>
      </c>
      <c r="B986" s="15">
        <v>45458</v>
      </c>
    </row>
    <row r="987" spans="1:2" x14ac:dyDescent="0.15">
      <c r="A987" s="32">
        <f t="shared" ca="1" si="15"/>
        <v>45368</v>
      </c>
      <c r="B987" s="15">
        <v>45529</v>
      </c>
    </row>
    <row r="988" spans="1:2" x14ac:dyDescent="0.15">
      <c r="A988" s="32">
        <f t="shared" ca="1" si="15"/>
        <v>45646</v>
      </c>
      <c r="B988" s="15">
        <v>45419</v>
      </c>
    </row>
    <row r="989" spans="1:2" x14ac:dyDescent="0.15">
      <c r="A989" s="32">
        <f t="shared" ca="1" si="15"/>
        <v>45376</v>
      </c>
      <c r="B989" s="15">
        <v>45319</v>
      </c>
    </row>
    <row r="990" spans="1:2" x14ac:dyDescent="0.15">
      <c r="A990" s="32">
        <f t="shared" ca="1" si="15"/>
        <v>45632</v>
      </c>
      <c r="B990" s="15">
        <v>45512</v>
      </c>
    </row>
    <row r="991" spans="1:2" x14ac:dyDescent="0.15">
      <c r="A991" s="32">
        <f t="shared" ca="1" si="15"/>
        <v>45352</v>
      </c>
      <c r="B991" s="15">
        <v>45326</v>
      </c>
    </row>
    <row r="992" spans="1:2" x14ac:dyDescent="0.15">
      <c r="A992" s="32">
        <f t="shared" ca="1" si="15"/>
        <v>45654</v>
      </c>
      <c r="B992" s="15">
        <v>45463</v>
      </c>
    </row>
    <row r="993" spans="1:2" x14ac:dyDescent="0.15">
      <c r="A993" s="32">
        <f t="shared" ca="1" si="15"/>
        <v>45482</v>
      </c>
      <c r="B993" s="15">
        <v>45461</v>
      </c>
    </row>
    <row r="994" spans="1:2" x14ac:dyDescent="0.15">
      <c r="A994" s="32">
        <f t="shared" ca="1" si="15"/>
        <v>45302</v>
      </c>
      <c r="B994" s="15">
        <v>45564</v>
      </c>
    </row>
    <row r="995" spans="1:2" x14ac:dyDescent="0.15">
      <c r="A995" s="32">
        <f t="shared" ca="1" si="15"/>
        <v>45581</v>
      </c>
      <c r="B995" s="15">
        <v>45656</v>
      </c>
    </row>
    <row r="996" spans="1:2" x14ac:dyDescent="0.15">
      <c r="A996" s="32">
        <f t="shared" ca="1" si="15"/>
        <v>45618</v>
      </c>
      <c r="B996" s="15">
        <v>45445</v>
      </c>
    </row>
    <row r="997" spans="1:2" x14ac:dyDescent="0.15">
      <c r="A997" s="32">
        <f t="shared" ca="1" si="15"/>
        <v>45346</v>
      </c>
      <c r="B997" s="15">
        <v>45497</v>
      </c>
    </row>
    <row r="998" spans="1:2" x14ac:dyDescent="0.15">
      <c r="A998" s="32">
        <f t="shared" ca="1" si="15"/>
        <v>45321</v>
      </c>
      <c r="B998" s="15">
        <v>45586</v>
      </c>
    </row>
    <row r="999" spans="1:2" x14ac:dyDescent="0.15">
      <c r="A999" s="32">
        <f t="shared" ca="1" si="15"/>
        <v>45327</v>
      </c>
      <c r="B999" s="15">
        <v>45588</v>
      </c>
    </row>
    <row r="1000" spans="1:2" x14ac:dyDescent="0.15">
      <c r="A1000" s="32">
        <f t="shared" ca="1" si="15"/>
        <v>45596</v>
      </c>
      <c r="B1000" s="15">
        <v>45566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E1048558"/>
  <sheetViews>
    <sheetView topLeftCell="A987" zoomScale="89" zoomScaleNormal="89" workbookViewId="0">
      <pane xSplit="3" topLeftCell="AL987" activePane="topRight" state="frozen"/>
      <selection activeCell="A987" sqref="A987"/>
      <selection pane="topRight" activeCell="AL1002" sqref="AL1002"/>
    </sheetView>
  </sheetViews>
  <sheetFormatPr defaultColWidth="12.67578125" defaultRowHeight="15.75" customHeight="1" x14ac:dyDescent="0.15"/>
  <cols>
    <col min="1" max="1" width="10.78515625" customWidth="1"/>
    <col min="2" max="2" width="17.93359375" bestFit="1" customWidth="1"/>
    <col min="3" max="3" width="64.1875" bestFit="1" customWidth="1"/>
    <col min="4" max="4" width="123.390625" bestFit="1" customWidth="1"/>
    <col min="5" max="5" width="14.5625" bestFit="1" customWidth="1"/>
    <col min="6" max="6" width="18.7421875" bestFit="1" customWidth="1"/>
    <col min="7" max="7" width="17.125" bestFit="1" customWidth="1"/>
    <col min="8" max="8" width="13.88671875" bestFit="1" customWidth="1"/>
    <col min="9" max="9" width="17.125" bestFit="1" customWidth="1"/>
    <col min="10" max="11" width="25.08203125" style="19" bestFit="1" customWidth="1"/>
    <col min="12" max="12" width="14.5625" bestFit="1" customWidth="1"/>
    <col min="13" max="14" width="14.5625" customWidth="1"/>
    <col min="15" max="15" width="13.88671875" bestFit="1" customWidth="1"/>
    <col min="16" max="16" width="13.88671875" customWidth="1"/>
    <col min="17" max="17" width="25.08203125" style="19" customWidth="1"/>
    <col min="18" max="18" width="25.08203125" style="19" bestFit="1" customWidth="1"/>
    <col min="19" max="19" width="14.5625" bestFit="1" customWidth="1"/>
    <col min="20" max="21" width="14.5625" customWidth="1"/>
    <col min="22" max="22" width="13.88671875" bestFit="1" customWidth="1"/>
    <col min="23" max="23" width="17.125" bestFit="1" customWidth="1"/>
    <col min="24" max="25" width="25.08203125" style="19" bestFit="1" customWidth="1"/>
    <col min="26" max="26" width="17.6640625" bestFit="1" customWidth="1"/>
    <col min="27" max="27" width="24.54296875" bestFit="1" customWidth="1"/>
    <col min="28" max="28" width="20.359375" bestFit="1" customWidth="1"/>
    <col min="29" max="29" width="21.3046875" bestFit="1" customWidth="1"/>
    <col min="30" max="30" width="15.1015625" style="17" bestFit="1" customWidth="1"/>
    <col min="31" max="31" width="26.56640625" style="17" bestFit="1" customWidth="1"/>
    <col min="32" max="32" width="31.82421875" style="17" bestFit="1" customWidth="1"/>
    <col min="33" max="33" width="23.05859375" style="17" customWidth="1"/>
    <col min="34" max="34" width="19.8203125" style="17" bestFit="1" customWidth="1"/>
    <col min="35" max="35" width="20.90234375" bestFit="1" customWidth="1"/>
    <col min="36" max="36" width="21.3046875" bestFit="1" customWidth="1"/>
    <col min="37" max="37" width="28.046875" bestFit="1" customWidth="1"/>
    <col min="38" max="38" width="14.96875" bestFit="1" customWidth="1"/>
    <col min="39" max="39" width="27.64453125" bestFit="1" customWidth="1"/>
    <col min="40" max="40" width="31.95703125" style="15" customWidth="1"/>
    <col min="41" max="41" width="15.5078125" style="15" bestFit="1" customWidth="1"/>
    <col min="42" max="43" width="12.9453125" bestFit="1" customWidth="1"/>
    <col min="44" max="44" width="11.73046875" bestFit="1" customWidth="1"/>
    <col min="45" max="48" width="12.67578125" bestFit="1" customWidth="1"/>
    <col min="49" max="51" width="12.9453125" bestFit="1" customWidth="1"/>
    <col min="52" max="52" width="11.73046875" bestFit="1" customWidth="1"/>
    <col min="53" max="54" width="11.19140625" bestFit="1" customWidth="1"/>
    <col min="55" max="55" width="11.4609375" bestFit="1" customWidth="1"/>
    <col min="56" max="57" width="5.2578125" bestFit="1" customWidth="1"/>
    <col min="58" max="58" width="4.04296875" bestFit="1" customWidth="1"/>
  </cols>
  <sheetData>
    <row r="1" spans="1:57" ht="15.75" customHeight="1" x14ac:dyDescent="0.15">
      <c r="C1" s="1" t="str">
        <f ca="1">_xlfn.FORMULATEXT(C3)</f>
        <v>=CONCATENATE("ORD";"-";AK3;"-";B3;"-";TEXT(AM3;"dd/mm/yy"))</v>
      </c>
      <c r="J1"/>
      <c r="K1"/>
      <c r="P1" s="25" t="str">
        <f ca="1">_xlfn.FORMULATEXT(K3)</f>
        <v>=VLOOKUP(E3;Katalog!$C$3:$F$13;3;0)</v>
      </c>
      <c r="Q1" s="25"/>
      <c r="R1" s="25"/>
      <c r="X1"/>
      <c r="Y1"/>
      <c r="AB1" s="19"/>
      <c r="AC1" s="19"/>
      <c r="AD1"/>
      <c r="AE1"/>
      <c r="AF1"/>
      <c r="AG1"/>
      <c r="AH1"/>
      <c r="AN1" s="19"/>
      <c r="AO1" s="19"/>
      <c r="AT1" s="17"/>
      <c r="AU1" s="17"/>
      <c r="AV1" s="17"/>
      <c r="AW1" s="17"/>
      <c r="BB1" s="15"/>
    </row>
    <row r="2" spans="1:57" ht="15.75" customHeight="1" x14ac:dyDescent="0.15">
      <c r="A2" s="33" t="s">
        <v>21</v>
      </c>
      <c r="B2" s="33" t="s">
        <v>980</v>
      </c>
      <c r="C2" s="33" t="s">
        <v>22</v>
      </c>
      <c r="D2" s="33" t="s">
        <v>919</v>
      </c>
      <c r="E2" s="34" t="s">
        <v>69</v>
      </c>
      <c r="F2" s="34" t="s">
        <v>974</v>
      </c>
      <c r="G2" s="34" t="s">
        <v>33</v>
      </c>
      <c r="H2" s="34" t="s">
        <v>23</v>
      </c>
      <c r="I2" s="34" t="s">
        <v>946</v>
      </c>
      <c r="J2" s="34" t="s">
        <v>72</v>
      </c>
      <c r="K2" s="34" t="s">
        <v>966</v>
      </c>
      <c r="L2" s="35" t="s">
        <v>70</v>
      </c>
      <c r="M2" s="35" t="s">
        <v>1023</v>
      </c>
      <c r="N2" s="35" t="s">
        <v>33</v>
      </c>
      <c r="O2" s="35" t="s">
        <v>24</v>
      </c>
      <c r="P2" s="35" t="s">
        <v>947</v>
      </c>
      <c r="Q2" s="35" t="s">
        <v>73</v>
      </c>
      <c r="R2" s="35" t="s">
        <v>973</v>
      </c>
      <c r="S2" s="37" t="s">
        <v>71</v>
      </c>
      <c r="T2" s="37" t="s">
        <v>1023</v>
      </c>
      <c r="U2" s="37" t="s">
        <v>33</v>
      </c>
      <c r="V2" s="37" t="s">
        <v>25</v>
      </c>
      <c r="W2" s="37" t="s">
        <v>948</v>
      </c>
      <c r="X2" s="37" t="s">
        <v>74</v>
      </c>
      <c r="Y2" s="37" t="s">
        <v>986</v>
      </c>
      <c r="Z2" s="38" t="s">
        <v>26</v>
      </c>
      <c r="AA2" s="38" t="s">
        <v>920</v>
      </c>
      <c r="AB2" s="38" t="s">
        <v>983</v>
      </c>
      <c r="AC2" s="33" t="s">
        <v>0</v>
      </c>
      <c r="AD2" s="39" t="s">
        <v>1</v>
      </c>
      <c r="AE2" s="39" t="s">
        <v>984</v>
      </c>
      <c r="AF2" s="39" t="s">
        <v>985</v>
      </c>
      <c r="AG2" s="39" t="s">
        <v>965</v>
      </c>
      <c r="AH2" s="39" t="s">
        <v>995</v>
      </c>
      <c r="AI2" s="33" t="s">
        <v>2</v>
      </c>
      <c r="AJ2" s="33" t="s">
        <v>3</v>
      </c>
      <c r="AK2" s="33" t="s">
        <v>979</v>
      </c>
      <c r="AL2" s="33" t="s">
        <v>4</v>
      </c>
      <c r="AM2" s="33" t="s">
        <v>998</v>
      </c>
      <c r="AN2" s="27" t="s">
        <v>961</v>
      </c>
      <c r="AO2" s="27" t="s">
        <v>962</v>
      </c>
      <c r="AP2" s="27" t="s">
        <v>963</v>
      </c>
      <c r="AQ2" s="27" t="s">
        <v>964</v>
      </c>
      <c r="AR2" s="27" t="s">
        <v>967</v>
      </c>
      <c r="AS2" s="27" t="s">
        <v>968</v>
      </c>
      <c r="AT2" s="33" t="s">
        <v>959</v>
      </c>
      <c r="AU2" s="33" t="s">
        <v>960</v>
      </c>
      <c r="AV2" s="33" t="s">
        <v>969</v>
      </c>
      <c r="AW2" s="33" t="s">
        <v>970</v>
      </c>
      <c r="AX2" s="27" t="s">
        <v>971</v>
      </c>
      <c r="AY2" s="27" t="s">
        <v>972</v>
      </c>
      <c r="AZ2" s="36" t="s">
        <v>988</v>
      </c>
      <c r="BA2" s="36" t="s">
        <v>989</v>
      </c>
      <c r="BB2" s="36" t="s">
        <v>990</v>
      </c>
      <c r="BC2" s="36" t="s">
        <v>991</v>
      </c>
      <c r="BD2" s="36" t="s">
        <v>992</v>
      </c>
      <c r="BE2" s="36" t="s">
        <v>993</v>
      </c>
    </row>
    <row r="3" spans="1:57" ht="15" x14ac:dyDescent="0.2">
      <c r="A3" s="2">
        <v>246</v>
      </c>
      <c r="B3" s="2" t="str">
        <f t="shared" ref="B3:B66" si="0">TEXT(A3,"0000")</f>
        <v>0246</v>
      </c>
      <c r="C3" t="str">
        <f t="shared" ref="C3:C66" si="1">CONCATENATE("ORD","-",AK3,"-",B3,"-",TEXT(AM3,"dd/mm/yy"))</f>
        <v>ORD-SP-0246-01/01/24</v>
      </c>
      <c r="D3" s="3" t="s">
        <v>311</v>
      </c>
      <c r="E3" t="str">
        <f>MID(D3,AT3+2,AU3-AT3-2)</f>
        <v>PP001</v>
      </c>
      <c r="F3" t="str">
        <f>INDEX(Katalog!$B$4:$B$13,MATCH('Main Data'!E3,Katalog!$C$4:$C$13,0))</f>
        <v>Kaos Polo</v>
      </c>
      <c r="G3" t="str">
        <f>VLOOKUP(E3,Katalog!$A$15:$B$25,2,0)</f>
        <v>Pakaian Pria</v>
      </c>
      <c r="H3" t="str">
        <f t="shared" ref="H3:H34" si="2">MID(D3,AN3+2,AO3-AN3-2)</f>
        <v>2</v>
      </c>
      <c r="I3" t="str">
        <f t="shared" ref="I3:I66" si="3">MID(D3,AP3+2,AQ3-AP3-2)</f>
        <v>3</v>
      </c>
      <c r="J3" s="18">
        <f>VLOOKUP(E3,Katalog!$C$3:$F$13,2,0)</f>
        <v>80000</v>
      </c>
      <c r="K3" s="18">
        <f>VLOOKUP(E3,Katalog!$C$3:$F$13,3,0)</f>
        <v>30000</v>
      </c>
      <c r="L3" t="str">
        <f t="shared" ref="L3:L66" si="4">IFERROR(MID(D3,AR3+2,AS3-AR3-2),"-")</f>
        <v>PW002</v>
      </c>
      <c r="M3" t="str">
        <f>IFERROR(INDEX(Katalog!$B$4:$B$13,MATCH('Main Data'!L3,Katalog!$C$4:$C$13,0)), "-")</f>
        <v>Blouse</v>
      </c>
      <c r="N3" t="str">
        <f>IFERROR(VLOOKUP(L3,Katalog!$A$15:$B$25,2,0),"-")</f>
        <v>Pakaian Wanita</v>
      </c>
      <c r="O3" t="str">
        <f t="shared" ref="O3:O66" si="5">IFERROR(MID(D3,AV3+2,AW3-AV3-2),0)</f>
        <v>1</v>
      </c>
      <c r="P3" t="str">
        <f t="shared" ref="P3:P66" si="6">IFERROR(MID(D3,AX3+2,AY3-AX3-2),"-")</f>
        <v>4</v>
      </c>
      <c r="Q3" s="18">
        <f>IFERROR(VLOOKUP(L3,Katalog!$C$3:$F$13,2,0),0)</f>
        <v>125000</v>
      </c>
      <c r="R3" s="18">
        <f>IFERROR(VLOOKUP(L3,Katalog!$C$3:$F$13,3,0),0)</f>
        <v>50000</v>
      </c>
      <c r="S3" t="str">
        <f t="shared" ref="S3:S66" si="7">IFERROR(MID(D3,AZ3+2,BA3-AZ3-2),"-")</f>
        <v>-</v>
      </c>
      <c r="T3" t="str">
        <f>IFERROR(INDEX(Katalog!$B$4:$B$13,MATCH('Main Data'!S3,Katalog!$C$4:$C$13,0)),"-")</f>
        <v>-</v>
      </c>
      <c r="U3" t="str">
        <f>IFERROR(VLOOKUP(S3,Katalog!$A$15:$B$25,2,0),"-")</f>
        <v>-</v>
      </c>
      <c r="V3">
        <f t="shared" ref="V3:V66" si="8">IFERROR(MID(D3,BB3+2,BC3-BB3-2),0)</f>
        <v>0</v>
      </c>
      <c r="W3" s="28" t="str">
        <f t="shared" ref="W3:W66" si="9">IFERROR(MID(D3,BD3+2,BE3-BD3-2),"-")</f>
        <v>-</v>
      </c>
      <c r="X3" s="18">
        <f>IFERROR(VLOOKUP(S3,Katalog!$C$3:$F$13,2,0),0)</f>
        <v>0</v>
      </c>
      <c r="Y3" s="30">
        <f>IFERROR(VLOOKUP(S3,Katalog!$C$3:$F$13,3,0),0)</f>
        <v>0</v>
      </c>
      <c r="Z3" s="2">
        <f t="shared" ref="Z3:Z66" si="10">H3+O3+V3</f>
        <v>3</v>
      </c>
      <c r="AA3" s="4">
        <f t="shared" ref="AA3:AA66" si="11">J3*H3+Q3*O3+X3*V3</f>
        <v>285000</v>
      </c>
      <c r="AB3" s="4">
        <f t="shared" ref="AB3:AB66" si="12">K3*H3+R3*O3+Y3*V3</f>
        <v>110000</v>
      </c>
      <c r="AC3" s="4" t="s">
        <v>12</v>
      </c>
      <c r="AD3" s="16">
        <f>IFERROR(VLOOKUP(AC3,'Kode Diskon'!$C$2:$D$9,2,0),0)</f>
        <v>0.15</v>
      </c>
      <c r="AE3" s="31">
        <f t="shared" ref="AE3:AE66" si="13">AA3*AD3</f>
        <v>42750</v>
      </c>
      <c r="AF3" s="31">
        <f t="shared" ref="AF3:AF66" si="14">AA3-AE3</f>
        <v>242250</v>
      </c>
      <c r="AG3" s="31">
        <f t="shared" ref="AG3:AG66" si="15">AA3-AB3</f>
        <v>175000</v>
      </c>
      <c r="AH3" s="31">
        <f t="shared" ref="AH3:AH66" si="16">AF3-AB3</f>
        <v>132250</v>
      </c>
      <c r="AI3" s="4" t="s">
        <v>28</v>
      </c>
      <c r="AJ3" s="4" t="s">
        <v>6</v>
      </c>
      <c r="AK3" s="4" t="str">
        <f>IFERROR(VLOOKUP(AJ3,'Guide '!$A$13:$B$16,2,0),"-")</f>
        <v>SP</v>
      </c>
      <c r="AL3" s="4" t="s">
        <v>922</v>
      </c>
      <c r="AM3" s="40">
        <v>45292</v>
      </c>
      <c r="AN3">
        <f t="shared" ref="AN3:AN66" si="17">FIND(":",D3,AT3+1)</f>
        <v>29</v>
      </c>
      <c r="AO3">
        <f t="shared" ref="AO3:AO66" si="18">FIND(",",D3,AU3+1)</f>
        <v>32</v>
      </c>
      <c r="AP3">
        <f t="shared" ref="AP3:AP66" si="19">FIND(":",D3,AN3+1)</f>
        <v>40</v>
      </c>
      <c r="AQ3">
        <f t="shared" ref="AQ3:AQ66" si="20">FIND("}",D3,AO3+1)</f>
        <v>43</v>
      </c>
      <c r="AR3" s="26">
        <f t="shared" ref="AR3:AR66" si="21">IFERROR(FIND(":",D3,AP3+1),"-")</f>
        <v>56</v>
      </c>
      <c r="AS3" s="26">
        <f t="shared" ref="AS3:AS66" si="22">IFERROR(FIND(",",D3,AQ3+2),"-")</f>
        <v>63</v>
      </c>
      <c r="AT3" s="21">
        <f t="shared" ref="AT3:AT66" si="23">FIND(":",D3)</f>
        <v>12</v>
      </c>
      <c r="AU3" s="21">
        <f t="shared" ref="AU3:AU66" si="24">FIND(",",D3)</f>
        <v>19</v>
      </c>
      <c r="AV3">
        <f t="shared" ref="AV3:AV66" si="25">IFERROR(FIND(":",D3,AR3+1),"-")</f>
        <v>73</v>
      </c>
      <c r="AW3">
        <f t="shared" ref="AW3:AW66" si="26">IFERROR(FIND(",",D3,AS3+1),"-")</f>
        <v>76</v>
      </c>
      <c r="AX3">
        <f t="shared" ref="AX3:AX66" si="27">IFERROR(FIND(":",D3,AV3+1),"-")</f>
        <v>84</v>
      </c>
      <c r="AY3">
        <f t="shared" ref="AY3:AY66" si="28">IFERROR(FIND("}",D3,AW3+1),"-")</f>
        <v>87</v>
      </c>
      <c r="AZ3" t="str">
        <f t="shared" ref="AZ3:AZ66" si="29">IFERROR(FIND(":",D3,AX3+1),"-")</f>
        <v>-</v>
      </c>
      <c r="BA3" t="str">
        <f t="shared" ref="BA3:BA66" si="30">IFERROR(FIND(",",D3,AY3+2),"-")</f>
        <v>-</v>
      </c>
      <c r="BB3" t="str">
        <f t="shared" ref="BB3:BB66" si="31">IFERROR(FIND(":",D3,AZ3+1),"-")</f>
        <v>-</v>
      </c>
      <c r="BC3" t="str">
        <f t="shared" ref="BC3:BC66" si="32">IFERROR(FIND(",",D3,BA3+1),"-")</f>
        <v>-</v>
      </c>
      <c r="BD3" s="29" t="str">
        <f t="shared" ref="BD3:BD66" si="33">IFERROR(FIND(":",D3,BB3+1),"-")</f>
        <v>-</v>
      </c>
      <c r="BE3" s="29" t="str">
        <f t="shared" ref="BE3:BE66" si="34">IFERROR(FIND("}",D3,BC3+1),"-")</f>
        <v>-</v>
      </c>
    </row>
    <row r="4" spans="1:57" ht="15" x14ac:dyDescent="0.2">
      <c r="A4" s="2">
        <v>405</v>
      </c>
      <c r="B4" s="2" t="str">
        <f t="shared" si="0"/>
        <v>0405</v>
      </c>
      <c r="C4" t="str">
        <f t="shared" si="1"/>
        <v>ORD-SP-0405-01/01/24</v>
      </c>
      <c r="D4" s="3" t="s">
        <v>451</v>
      </c>
      <c r="E4" t="str">
        <f t="shared" ref="E4:E66" si="35">MID(D4,AT4+2,AU4-AT4-2)</f>
        <v>PP001</v>
      </c>
      <c r="F4" t="str">
        <f>INDEX(Katalog!$B$4:$B$13,MATCH('Main Data'!E4,Katalog!$C$4:$C$13,0))</f>
        <v>Kaos Polo</v>
      </c>
      <c r="G4" t="str">
        <f>VLOOKUP(E4,Katalog!$A$15:$B$25,2,0)</f>
        <v>Pakaian Pria</v>
      </c>
      <c r="H4" t="str">
        <f t="shared" si="2"/>
        <v>4</v>
      </c>
      <c r="I4" t="str">
        <f t="shared" si="3"/>
        <v>5</v>
      </c>
      <c r="J4" s="18">
        <f>VLOOKUP(E4,Katalog!$C$3:$F$13,2,0)</f>
        <v>80000</v>
      </c>
      <c r="K4" s="18">
        <f>VLOOKUP(E4,Katalog!$C$3:$F$13,3,0)</f>
        <v>30000</v>
      </c>
      <c r="L4" t="str">
        <f t="shared" si="4"/>
        <v>PW003</v>
      </c>
      <c r="M4" t="str">
        <f>IFERROR(INDEX(Katalog!$B$4:$B$13,MATCH('Main Data'!L4,Katalog!$C$4:$C$13,0)), "-")</f>
        <v>Kaftan</v>
      </c>
      <c r="N4" t="str">
        <f>IFERROR(VLOOKUP(L4,Katalog!$A$15:$B$25,2,0),"-")</f>
        <v>Pakaian Wanita</v>
      </c>
      <c r="O4" t="str">
        <f t="shared" si="5"/>
        <v>1</v>
      </c>
      <c r="P4" t="str">
        <f t="shared" si="6"/>
        <v>2</v>
      </c>
      <c r="Q4" s="18">
        <f>IFERROR(VLOOKUP(L4,Katalog!$C$3:$F$13,2,0),0)</f>
        <v>200000</v>
      </c>
      <c r="R4" s="18">
        <f>IFERROR(VLOOKUP(L4,Katalog!$C$3:$F$13,3,0),0)</f>
        <v>100000</v>
      </c>
      <c r="S4" t="str">
        <f t="shared" si="7"/>
        <v>PW002</v>
      </c>
      <c r="T4" t="str">
        <f>IFERROR(INDEX(Katalog!$B$4:$B$13,MATCH('Main Data'!S4,Katalog!$C$4:$C$13,0)),"-")</f>
        <v>Blouse</v>
      </c>
      <c r="U4" t="str">
        <f>IFERROR(VLOOKUP(S4,Katalog!$A$15:$B$25,2,0),"-")</f>
        <v>Pakaian Wanita</v>
      </c>
      <c r="V4" t="str">
        <f t="shared" si="8"/>
        <v>2</v>
      </c>
      <c r="W4" s="28" t="str">
        <f t="shared" si="9"/>
        <v>1</v>
      </c>
      <c r="X4" s="18">
        <f>IFERROR(VLOOKUP(S4,Katalog!$C$3:$F$13,2,0),0)</f>
        <v>125000</v>
      </c>
      <c r="Y4" s="30">
        <f>IFERROR(VLOOKUP(S4,Katalog!$C$3:$F$13,3,0),0)</f>
        <v>50000</v>
      </c>
      <c r="Z4" s="2">
        <f t="shared" si="10"/>
        <v>7</v>
      </c>
      <c r="AA4" s="4">
        <f t="shared" si="11"/>
        <v>770000</v>
      </c>
      <c r="AB4" s="4">
        <f t="shared" si="12"/>
        <v>320000</v>
      </c>
      <c r="AC4" s="4" t="s">
        <v>7</v>
      </c>
      <c r="AD4" s="16">
        <f>IFERROR(VLOOKUP(AC4,'Kode Diskon'!$C$2:$D$9,2,0),0)</f>
        <v>0.2</v>
      </c>
      <c r="AE4" s="31">
        <f t="shared" si="13"/>
        <v>154000</v>
      </c>
      <c r="AF4" s="31">
        <f t="shared" si="14"/>
        <v>616000</v>
      </c>
      <c r="AG4" s="31">
        <f t="shared" si="15"/>
        <v>450000</v>
      </c>
      <c r="AH4" s="31">
        <f t="shared" si="16"/>
        <v>296000</v>
      </c>
      <c r="AI4" s="4" t="s">
        <v>8</v>
      </c>
      <c r="AJ4" s="4" t="s">
        <v>6</v>
      </c>
      <c r="AK4" s="4" t="str">
        <f>IFERROR(VLOOKUP(AJ4,'Guide '!$A$13:$B$16,2,0),"-")</f>
        <v>SP</v>
      </c>
      <c r="AL4" s="4" t="s">
        <v>921</v>
      </c>
      <c r="AM4" s="40">
        <v>45292</v>
      </c>
      <c r="AN4">
        <f t="shared" si="17"/>
        <v>29</v>
      </c>
      <c r="AO4">
        <f t="shared" si="18"/>
        <v>32</v>
      </c>
      <c r="AP4">
        <f t="shared" si="19"/>
        <v>40</v>
      </c>
      <c r="AQ4">
        <f t="shared" si="20"/>
        <v>43</v>
      </c>
      <c r="AR4" s="26">
        <f t="shared" si="21"/>
        <v>56</v>
      </c>
      <c r="AS4" s="26">
        <f t="shared" si="22"/>
        <v>63</v>
      </c>
      <c r="AT4" s="21">
        <f t="shared" si="23"/>
        <v>12</v>
      </c>
      <c r="AU4" s="21">
        <f t="shared" si="24"/>
        <v>19</v>
      </c>
      <c r="AV4">
        <f t="shared" si="25"/>
        <v>73</v>
      </c>
      <c r="AW4">
        <f t="shared" si="26"/>
        <v>76</v>
      </c>
      <c r="AX4">
        <f t="shared" si="27"/>
        <v>84</v>
      </c>
      <c r="AY4">
        <f t="shared" si="28"/>
        <v>87</v>
      </c>
      <c r="AZ4">
        <f t="shared" si="29"/>
        <v>100</v>
      </c>
      <c r="BA4">
        <f t="shared" si="30"/>
        <v>107</v>
      </c>
      <c r="BB4">
        <f t="shared" si="31"/>
        <v>117</v>
      </c>
      <c r="BC4">
        <f t="shared" si="32"/>
        <v>120</v>
      </c>
      <c r="BD4" s="29">
        <f t="shared" si="33"/>
        <v>128</v>
      </c>
      <c r="BE4" s="29">
        <f t="shared" si="34"/>
        <v>131</v>
      </c>
    </row>
    <row r="5" spans="1:57" ht="15" x14ac:dyDescent="0.2">
      <c r="A5" s="2">
        <v>610</v>
      </c>
      <c r="B5" s="2" t="str">
        <f t="shared" si="0"/>
        <v>0610</v>
      </c>
      <c r="C5" t="str">
        <f t="shared" si="1"/>
        <v>ORD-TK-0610-02/01/24</v>
      </c>
      <c r="D5" s="3" t="s">
        <v>622</v>
      </c>
      <c r="E5" t="str">
        <f t="shared" si="35"/>
        <v>PP001</v>
      </c>
      <c r="F5" t="str">
        <f>INDEX(Katalog!$B$4:$B$13,MATCH('Main Data'!E5,Katalog!$C$4:$C$13,0))</f>
        <v>Kaos Polo</v>
      </c>
      <c r="G5" t="str">
        <f>VLOOKUP(E5,Katalog!$A$15:$B$25,2,0)</f>
        <v>Pakaian Pria</v>
      </c>
      <c r="H5" t="str">
        <f t="shared" si="2"/>
        <v>6</v>
      </c>
      <c r="I5" t="str">
        <f t="shared" si="3"/>
        <v>1</v>
      </c>
      <c r="J5" s="18">
        <f>VLOOKUP(E5,Katalog!$C$3:$F$13,2,0)</f>
        <v>80000</v>
      </c>
      <c r="K5" s="18">
        <f>VLOOKUP(E5,Katalog!$C$3:$F$13,3,0)</f>
        <v>30000</v>
      </c>
      <c r="L5" t="str">
        <f t="shared" si="4"/>
        <v>PW003</v>
      </c>
      <c r="M5" t="str">
        <f>IFERROR(INDEX(Katalog!$B$4:$B$13,MATCH('Main Data'!L5,Katalog!$C$4:$C$13,0)), "-")</f>
        <v>Kaftan</v>
      </c>
      <c r="N5" t="str">
        <f>IFERROR(VLOOKUP(L5,Katalog!$A$15:$B$25,2,0),"-")</f>
        <v>Pakaian Wanita</v>
      </c>
      <c r="O5" t="str">
        <f t="shared" si="5"/>
        <v>1</v>
      </c>
      <c r="P5" t="str">
        <f t="shared" si="6"/>
        <v>2</v>
      </c>
      <c r="Q5" s="18">
        <f>IFERROR(VLOOKUP(L5,Katalog!$C$3:$F$13,2,0),0)</f>
        <v>200000</v>
      </c>
      <c r="R5" s="18">
        <f>IFERROR(VLOOKUP(L5,Katalog!$C$3:$F$13,3,0),0)</f>
        <v>100000</v>
      </c>
      <c r="S5" t="str">
        <f t="shared" si="7"/>
        <v>-</v>
      </c>
      <c r="T5" t="str">
        <f>IFERROR(INDEX(Katalog!$B$4:$B$13,MATCH('Main Data'!S5,Katalog!$C$4:$C$13,0)),"-")</f>
        <v>-</v>
      </c>
      <c r="U5" t="str">
        <f>IFERROR(VLOOKUP(S5,Katalog!$A$15:$B$25,2,0),"-")</f>
        <v>-</v>
      </c>
      <c r="V5">
        <f t="shared" si="8"/>
        <v>0</v>
      </c>
      <c r="W5" s="28" t="str">
        <f t="shared" si="9"/>
        <v>-</v>
      </c>
      <c r="X5" s="18">
        <f>IFERROR(VLOOKUP(S5,Katalog!$C$3:$F$13,2,0),0)</f>
        <v>0</v>
      </c>
      <c r="Y5" s="30">
        <f>IFERROR(VLOOKUP(S5,Katalog!$C$3:$F$13,3,0),0)</f>
        <v>0</v>
      </c>
      <c r="Z5" s="2">
        <f t="shared" si="10"/>
        <v>7</v>
      </c>
      <c r="AA5" s="4">
        <f t="shared" si="11"/>
        <v>680000</v>
      </c>
      <c r="AB5" s="4">
        <f t="shared" si="12"/>
        <v>280000</v>
      </c>
      <c r="AC5" s="4" t="s">
        <v>10</v>
      </c>
      <c r="AD5" s="16">
        <f>IFERROR(VLOOKUP(AC5,'Kode Diskon'!$C$2:$D$9,2,0),0)</f>
        <v>0</v>
      </c>
      <c r="AE5" s="31">
        <f t="shared" si="13"/>
        <v>0</v>
      </c>
      <c r="AF5" s="31">
        <f t="shared" si="14"/>
        <v>680000</v>
      </c>
      <c r="AG5" s="31">
        <f t="shared" si="15"/>
        <v>400000</v>
      </c>
      <c r="AH5" s="31">
        <f t="shared" si="16"/>
        <v>400000</v>
      </c>
      <c r="AI5" s="4" t="s">
        <v>10</v>
      </c>
      <c r="AJ5" s="4" t="s">
        <v>9</v>
      </c>
      <c r="AK5" s="4" t="str">
        <f>IFERROR(VLOOKUP(AJ5,'Guide '!$A$13:$B$16,2,0),"-")</f>
        <v>TK</v>
      </c>
      <c r="AL5" s="4" t="s">
        <v>924</v>
      </c>
      <c r="AM5" s="40">
        <v>45293</v>
      </c>
      <c r="AN5">
        <f t="shared" si="17"/>
        <v>29</v>
      </c>
      <c r="AO5">
        <f t="shared" si="18"/>
        <v>32</v>
      </c>
      <c r="AP5">
        <f t="shared" si="19"/>
        <v>40</v>
      </c>
      <c r="AQ5">
        <f t="shared" si="20"/>
        <v>43</v>
      </c>
      <c r="AR5" s="26">
        <f t="shared" si="21"/>
        <v>56</v>
      </c>
      <c r="AS5" s="26">
        <f t="shared" si="22"/>
        <v>63</v>
      </c>
      <c r="AT5" s="21">
        <f t="shared" si="23"/>
        <v>12</v>
      </c>
      <c r="AU5" s="21">
        <f t="shared" si="24"/>
        <v>19</v>
      </c>
      <c r="AV5">
        <f t="shared" si="25"/>
        <v>73</v>
      </c>
      <c r="AW5">
        <f t="shared" si="26"/>
        <v>76</v>
      </c>
      <c r="AX5">
        <f t="shared" si="27"/>
        <v>84</v>
      </c>
      <c r="AY5">
        <f t="shared" si="28"/>
        <v>87</v>
      </c>
      <c r="AZ5" t="str">
        <f t="shared" si="29"/>
        <v>-</v>
      </c>
      <c r="BA5" t="str">
        <f t="shared" si="30"/>
        <v>-</v>
      </c>
      <c r="BB5" t="str">
        <f t="shared" si="31"/>
        <v>-</v>
      </c>
      <c r="BC5" t="str">
        <f t="shared" si="32"/>
        <v>-</v>
      </c>
      <c r="BD5" s="29" t="str">
        <f t="shared" si="33"/>
        <v>-</v>
      </c>
      <c r="BE5" s="29" t="str">
        <f t="shared" si="34"/>
        <v>-</v>
      </c>
    </row>
    <row r="6" spans="1:57" ht="15" x14ac:dyDescent="0.2">
      <c r="A6" s="2">
        <v>820</v>
      </c>
      <c r="B6" s="2" t="str">
        <f t="shared" si="0"/>
        <v>0820</v>
      </c>
      <c r="C6" t="str">
        <f t="shared" si="1"/>
        <v>ORD-BL-0820-02/01/24</v>
      </c>
      <c r="D6" s="3" t="s">
        <v>781</v>
      </c>
      <c r="E6" t="str">
        <f t="shared" si="35"/>
        <v>PP001</v>
      </c>
      <c r="F6" t="str">
        <f>INDEX(Katalog!$B$4:$B$13,MATCH('Main Data'!E6,Katalog!$C$4:$C$13,0))</f>
        <v>Kaos Polo</v>
      </c>
      <c r="G6" t="str">
        <f>VLOOKUP(E6,Katalog!$A$15:$B$25,2,0)</f>
        <v>Pakaian Pria</v>
      </c>
      <c r="H6" t="str">
        <f t="shared" si="2"/>
        <v>3</v>
      </c>
      <c r="I6" t="str">
        <f t="shared" si="3"/>
        <v>1</v>
      </c>
      <c r="J6" s="18">
        <f>VLOOKUP(E6,Katalog!$C$3:$F$13,2,0)</f>
        <v>80000</v>
      </c>
      <c r="K6" s="18">
        <f>VLOOKUP(E6,Katalog!$C$3:$F$13,3,0)</f>
        <v>30000</v>
      </c>
      <c r="L6" t="str">
        <f t="shared" si="4"/>
        <v>PP002</v>
      </c>
      <c r="M6" t="str">
        <f>IFERROR(INDEX(Katalog!$B$4:$B$13,MATCH('Main Data'!L6,Katalog!$C$4:$C$13,0)), "-")</f>
        <v>Celana Pendek</v>
      </c>
      <c r="N6" t="str">
        <f>IFERROR(VLOOKUP(L6,Katalog!$A$15:$B$25,2,0),"-")</f>
        <v>Pakaian Pria</v>
      </c>
      <c r="O6" t="str">
        <f t="shared" si="5"/>
        <v>1</v>
      </c>
      <c r="P6" t="str">
        <f t="shared" si="6"/>
        <v>2</v>
      </c>
      <c r="Q6" s="18">
        <f>IFERROR(VLOOKUP(L6,Katalog!$C$3:$F$13,2,0),0)</f>
        <v>60000</v>
      </c>
      <c r="R6" s="18">
        <f>IFERROR(VLOOKUP(L6,Katalog!$C$3:$F$13,3,0),0)</f>
        <v>25000</v>
      </c>
      <c r="S6" t="str">
        <f t="shared" si="7"/>
        <v>PW002</v>
      </c>
      <c r="T6" t="str">
        <f>IFERROR(INDEX(Katalog!$B$4:$B$13,MATCH('Main Data'!S6,Katalog!$C$4:$C$13,0)),"-")</f>
        <v>Blouse</v>
      </c>
      <c r="U6" t="str">
        <f>IFERROR(VLOOKUP(S6,Katalog!$A$15:$B$25,2,0),"-")</f>
        <v>Pakaian Wanita</v>
      </c>
      <c r="V6" t="str">
        <f t="shared" si="8"/>
        <v>1</v>
      </c>
      <c r="W6" s="28" t="str">
        <f t="shared" si="9"/>
        <v>1</v>
      </c>
      <c r="X6" s="18">
        <f>IFERROR(VLOOKUP(S6,Katalog!$C$3:$F$13,2,0),0)</f>
        <v>125000</v>
      </c>
      <c r="Y6" s="30">
        <f>IFERROR(VLOOKUP(S6,Katalog!$C$3:$F$13,3,0),0)</f>
        <v>50000</v>
      </c>
      <c r="Z6" s="2">
        <f t="shared" si="10"/>
        <v>5</v>
      </c>
      <c r="AA6" s="4">
        <f t="shared" si="11"/>
        <v>425000</v>
      </c>
      <c r="AB6" s="4">
        <f t="shared" si="12"/>
        <v>165000</v>
      </c>
      <c r="AC6" s="4" t="s">
        <v>31</v>
      </c>
      <c r="AD6" s="16">
        <f>IFERROR(VLOOKUP(AC6,'Kode Diskon'!$C$2:$D$9,2,0),0)</f>
        <v>0.15</v>
      </c>
      <c r="AE6" s="31">
        <f t="shared" si="13"/>
        <v>63750</v>
      </c>
      <c r="AF6" s="31">
        <f t="shared" si="14"/>
        <v>361250</v>
      </c>
      <c r="AG6" s="31">
        <f t="shared" si="15"/>
        <v>260000</v>
      </c>
      <c r="AH6" s="31">
        <f t="shared" si="16"/>
        <v>196250</v>
      </c>
      <c r="AI6" s="4" t="s">
        <v>8</v>
      </c>
      <c r="AJ6" s="4" t="s">
        <v>11</v>
      </c>
      <c r="AK6" s="4" t="str">
        <f>IFERROR(VLOOKUP(AJ6,'Guide '!$A$13:$B$16,2,0),"-")</f>
        <v>BL</v>
      </c>
      <c r="AL6" s="4" t="s">
        <v>925</v>
      </c>
      <c r="AM6" s="40">
        <v>45293</v>
      </c>
      <c r="AN6">
        <f t="shared" si="17"/>
        <v>29</v>
      </c>
      <c r="AO6">
        <f t="shared" si="18"/>
        <v>32</v>
      </c>
      <c r="AP6">
        <f t="shared" si="19"/>
        <v>40</v>
      </c>
      <c r="AQ6">
        <f t="shared" si="20"/>
        <v>43</v>
      </c>
      <c r="AR6" s="26">
        <f t="shared" si="21"/>
        <v>56</v>
      </c>
      <c r="AS6" s="26">
        <f t="shared" si="22"/>
        <v>63</v>
      </c>
      <c r="AT6" s="21">
        <f t="shared" si="23"/>
        <v>12</v>
      </c>
      <c r="AU6" s="21">
        <f t="shared" si="24"/>
        <v>19</v>
      </c>
      <c r="AV6">
        <f t="shared" si="25"/>
        <v>73</v>
      </c>
      <c r="AW6">
        <f t="shared" si="26"/>
        <v>76</v>
      </c>
      <c r="AX6">
        <f t="shared" si="27"/>
        <v>84</v>
      </c>
      <c r="AY6">
        <f t="shared" si="28"/>
        <v>87</v>
      </c>
      <c r="AZ6">
        <f t="shared" si="29"/>
        <v>100</v>
      </c>
      <c r="BA6">
        <f t="shared" si="30"/>
        <v>107</v>
      </c>
      <c r="BB6">
        <f t="shared" si="31"/>
        <v>117</v>
      </c>
      <c r="BC6">
        <f t="shared" si="32"/>
        <v>120</v>
      </c>
      <c r="BD6" s="29">
        <f t="shared" si="33"/>
        <v>128</v>
      </c>
      <c r="BE6" s="29">
        <f t="shared" si="34"/>
        <v>131</v>
      </c>
    </row>
    <row r="7" spans="1:57" ht="15" x14ac:dyDescent="0.2">
      <c r="A7" s="2">
        <v>143</v>
      </c>
      <c r="B7" s="2" t="str">
        <f t="shared" si="0"/>
        <v>0143</v>
      </c>
      <c r="C7" t="str">
        <f t="shared" si="1"/>
        <v>ORD-SP-0143-03/01/24</v>
      </c>
      <c r="D7" s="3" t="s">
        <v>213</v>
      </c>
      <c r="E7" t="str">
        <f t="shared" si="35"/>
        <v>SP002</v>
      </c>
      <c r="F7" t="str">
        <f>INDEX(Katalog!$B$4:$B$13,MATCH('Main Data'!E7,Katalog!$C$4:$C$13,0))</f>
        <v>Sandal Slip On</v>
      </c>
      <c r="G7" t="str">
        <f>VLOOKUP(E7,Katalog!$A$15:$B$25,2,0)</f>
        <v>Sepatu Pria</v>
      </c>
      <c r="H7" t="str">
        <f t="shared" si="2"/>
        <v>2</v>
      </c>
      <c r="I7" t="str">
        <f t="shared" si="3"/>
        <v>5</v>
      </c>
      <c r="J7" s="18">
        <f>VLOOKUP(E7,Katalog!$C$3:$F$13,2,0)</f>
        <v>120000</v>
      </c>
      <c r="K7" s="18">
        <f>VLOOKUP(E7,Katalog!$C$3:$F$13,3,0)</f>
        <v>60000</v>
      </c>
      <c r="L7" t="str">
        <f t="shared" si="4"/>
        <v>PP002</v>
      </c>
      <c r="M7" t="str">
        <f>IFERROR(INDEX(Katalog!$B$4:$B$13,MATCH('Main Data'!L7,Katalog!$C$4:$C$13,0)), "-")</f>
        <v>Celana Pendek</v>
      </c>
      <c r="N7" t="str">
        <f>IFERROR(VLOOKUP(L7,Katalog!$A$15:$B$25,2,0),"-")</f>
        <v>Pakaian Pria</v>
      </c>
      <c r="O7" t="str">
        <f t="shared" si="5"/>
        <v>3</v>
      </c>
      <c r="P7" t="str">
        <f t="shared" si="6"/>
        <v>5</v>
      </c>
      <c r="Q7" s="18">
        <f>IFERROR(VLOOKUP(L7,Katalog!$C$3:$F$13,2,0),0)</f>
        <v>60000</v>
      </c>
      <c r="R7" s="18">
        <f>IFERROR(VLOOKUP(L7,Katalog!$C$3:$F$13,3,0),0)</f>
        <v>25000</v>
      </c>
      <c r="S7" t="str">
        <f t="shared" si="7"/>
        <v>-</v>
      </c>
      <c r="T7" t="str">
        <f>IFERROR(INDEX(Katalog!$B$4:$B$13,MATCH('Main Data'!S7,Katalog!$C$4:$C$13,0)),"-")</f>
        <v>-</v>
      </c>
      <c r="U7" t="str">
        <f>IFERROR(VLOOKUP(S7,Katalog!$A$15:$B$25,2,0),"-")</f>
        <v>-</v>
      </c>
      <c r="V7">
        <f t="shared" si="8"/>
        <v>0</v>
      </c>
      <c r="W7" s="28" t="str">
        <f t="shared" si="9"/>
        <v>-</v>
      </c>
      <c r="X7" s="18">
        <f>IFERROR(VLOOKUP(S7,Katalog!$C$3:$F$13,2,0),0)</f>
        <v>0</v>
      </c>
      <c r="Y7" s="30">
        <f>IFERROR(VLOOKUP(S7,Katalog!$C$3:$F$13,3,0),0)</f>
        <v>0</v>
      </c>
      <c r="Z7" s="2">
        <f t="shared" si="10"/>
        <v>5</v>
      </c>
      <c r="AA7" s="4">
        <f t="shared" si="11"/>
        <v>420000</v>
      </c>
      <c r="AB7" s="4">
        <f t="shared" si="12"/>
        <v>195000</v>
      </c>
      <c r="AC7" s="4" t="s">
        <v>7</v>
      </c>
      <c r="AD7" s="16">
        <f>IFERROR(VLOOKUP(AC7,'Kode Diskon'!$C$2:$D$9,2,0),0)</f>
        <v>0.2</v>
      </c>
      <c r="AE7" s="31">
        <f t="shared" si="13"/>
        <v>84000</v>
      </c>
      <c r="AF7" s="31">
        <f t="shared" si="14"/>
        <v>336000</v>
      </c>
      <c r="AG7" s="31">
        <f t="shared" si="15"/>
        <v>225000</v>
      </c>
      <c r="AH7" s="31">
        <f t="shared" si="16"/>
        <v>141000</v>
      </c>
      <c r="AI7" s="4" t="s">
        <v>8</v>
      </c>
      <c r="AJ7" s="4" t="s">
        <v>6</v>
      </c>
      <c r="AK7" s="4" t="str">
        <f>IFERROR(VLOOKUP(AJ7,'Guide '!$A$13:$B$16,2,0),"-")</f>
        <v>SP</v>
      </c>
      <c r="AL7" s="4" t="s">
        <v>925</v>
      </c>
      <c r="AM7" s="40">
        <v>45294</v>
      </c>
      <c r="AN7">
        <f t="shared" si="17"/>
        <v>29</v>
      </c>
      <c r="AO7">
        <f t="shared" si="18"/>
        <v>32</v>
      </c>
      <c r="AP7">
        <f t="shared" si="19"/>
        <v>40</v>
      </c>
      <c r="AQ7">
        <f t="shared" si="20"/>
        <v>43</v>
      </c>
      <c r="AR7" s="26">
        <f t="shared" si="21"/>
        <v>56</v>
      </c>
      <c r="AS7" s="26">
        <f t="shared" si="22"/>
        <v>63</v>
      </c>
      <c r="AT7" s="21">
        <f t="shared" si="23"/>
        <v>12</v>
      </c>
      <c r="AU7" s="21">
        <f t="shared" si="24"/>
        <v>19</v>
      </c>
      <c r="AV7">
        <f t="shared" si="25"/>
        <v>73</v>
      </c>
      <c r="AW7">
        <f t="shared" si="26"/>
        <v>76</v>
      </c>
      <c r="AX7">
        <f t="shared" si="27"/>
        <v>84</v>
      </c>
      <c r="AY7">
        <f t="shared" si="28"/>
        <v>87</v>
      </c>
      <c r="AZ7" t="str">
        <f t="shared" si="29"/>
        <v>-</v>
      </c>
      <c r="BA7" t="str">
        <f t="shared" si="30"/>
        <v>-</v>
      </c>
      <c r="BB7" t="str">
        <f t="shared" si="31"/>
        <v>-</v>
      </c>
      <c r="BC7" t="str">
        <f t="shared" si="32"/>
        <v>-</v>
      </c>
      <c r="BD7" s="29" t="str">
        <f t="shared" si="33"/>
        <v>-</v>
      </c>
      <c r="BE7" s="29" t="str">
        <f t="shared" si="34"/>
        <v>-</v>
      </c>
    </row>
    <row r="8" spans="1:57" ht="15" x14ac:dyDescent="0.2">
      <c r="A8" s="2">
        <v>192</v>
      </c>
      <c r="B8" s="2" t="str">
        <f t="shared" si="0"/>
        <v>0192</v>
      </c>
      <c r="C8" t="str">
        <f t="shared" si="1"/>
        <v>ORD-BB-0192-03/01/24</v>
      </c>
      <c r="D8" s="3" t="s">
        <v>261</v>
      </c>
      <c r="E8" t="str">
        <f t="shared" si="35"/>
        <v>PW001</v>
      </c>
      <c r="F8" t="str">
        <f>INDEX(Katalog!$B$4:$B$13,MATCH('Main Data'!E8,Katalog!$C$4:$C$13,0))</f>
        <v>Dress</v>
      </c>
      <c r="G8" t="str">
        <f>VLOOKUP(E8,Katalog!$A$15:$B$25,2,0)</f>
        <v>Pakaian Wanita</v>
      </c>
      <c r="H8" t="str">
        <f t="shared" si="2"/>
        <v>1</v>
      </c>
      <c r="I8" t="str">
        <f t="shared" si="3"/>
        <v>2</v>
      </c>
      <c r="J8" s="18">
        <f>VLOOKUP(E8,Katalog!$C$3:$F$13,2,0)</f>
        <v>150000</v>
      </c>
      <c r="K8" s="18">
        <f>VLOOKUP(E8,Katalog!$C$3:$F$13,3,0)</f>
        <v>55000</v>
      </c>
      <c r="L8" t="str">
        <f t="shared" si="4"/>
        <v>SW001</v>
      </c>
      <c r="M8" t="str">
        <f>IFERROR(INDEX(Katalog!$B$4:$B$13,MATCH('Main Data'!L8,Katalog!$C$4:$C$13,0)), "-")</f>
        <v>Flat Shoes</v>
      </c>
      <c r="N8" t="str">
        <f>IFERROR(VLOOKUP(L8,Katalog!$A$15:$B$25,2,0),"-")</f>
        <v>Sepatu Wanita</v>
      </c>
      <c r="O8" t="str">
        <f t="shared" si="5"/>
        <v>1</v>
      </c>
      <c r="P8" t="str">
        <f t="shared" si="6"/>
        <v>3</v>
      </c>
      <c r="Q8" s="18">
        <f>IFERROR(VLOOKUP(L8,Katalog!$C$3:$F$13,2,0),0)</f>
        <v>150000</v>
      </c>
      <c r="R8" s="18">
        <f>IFERROR(VLOOKUP(L8,Katalog!$C$3:$F$13,3,0),0)</f>
        <v>70000</v>
      </c>
      <c r="S8" t="str">
        <f t="shared" si="7"/>
        <v>-</v>
      </c>
      <c r="T8" t="str">
        <f>IFERROR(INDEX(Katalog!$B$4:$B$13,MATCH('Main Data'!S8,Katalog!$C$4:$C$13,0)),"-")</f>
        <v>-</v>
      </c>
      <c r="U8" t="str">
        <f>IFERROR(VLOOKUP(S8,Katalog!$A$15:$B$25,2,0),"-")</f>
        <v>-</v>
      </c>
      <c r="V8">
        <f t="shared" si="8"/>
        <v>0</v>
      </c>
      <c r="W8" s="28" t="str">
        <f t="shared" si="9"/>
        <v>-</v>
      </c>
      <c r="X8" s="18">
        <f>IFERROR(VLOOKUP(S8,Katalog!$C$3:$F$13,2,0),0)</f>
        <v>0</v>
      </c>
      <c r="Y8" s="30">
        <f>IFERROR(VLOOKUP(S8,Katalog!$C$3:$F$13,3,0),0)</f>
        <v>0</v>
      </c>
      <c r="Z8" s="2">
        <f t="shared" si="10"/>
        <v>2</v>
      </c>
      <c r="AA8" s="4">
        <f t="shared" si="11"/>
        <v>300000</v>
      </c>
      <c r="AB8" s="4">
        <f t="shared" si="12"/>
        <v>125000</v>
      </c>
      <c r="AC8" s="4" t="s">
        <v>27</v>
      </c>
      <c r="AD8" s="16">
        <f>IFERROR(VLOOKUP(AC8,'Kode Diskon'!$C$2:$D$9,2,0),0)</f>
        <v>0.15</v>
      </c>
      <c r="AE8" s="31">
        <f t="shared" si="13"/>
        <v>45000</v>
      </c>
      <c r="AF8" s="31">
        <f t="shared" si="14"/>
        <v>255000</v>
      </c>
      <c r="AG8" s="31">
        <f t="shared" si="15"/>
        <v>175000</v>
      </c>
      <c r="AH8" s="31">
        <f t="shared" si="16"/>
        <v>130000</v>
      </c>
      <c r="AI8" s="4" t="s">
        <v>28</v>
      </c>
      <c r="AJ8" s="4" t="s">
        <v>13</v>
      </c>
      <c r="AK8" s="4" t="str">
        <f>IFERROR(VLOOKUP(AJ8,'Guide '!$A$13:$B$16,2,0),"-")</f>
        <v>BB</v>
      </c>
      <c r="AL8" s="4" t="s">
        <v>925</v>
      </c>
      <c r="AM8" s="40">
        <v>45294</v>
      </c>
      <c r="AN8">
        <f t="shared" si="17"/>
        <v>29</v>
      </c>
      <c r="AO8">
        <f t="shared" si="18"/>
        <v>32</v>
      </c>
      <c r="AP8">
        <f t="shared" si="19"/>
        <v>40</v>
      </c>
      <c r="AQ8">
        <f t="shared" si="20"/>
        <v>43</v>
      </c>
      <c r="AR8" s="26">
        <f t="shared" si="21"/>
        <v>56</v>
      </c>
      <c r="AS8" s="26">
        <f t="shared" si="22"/>
        <v>63</v>
      </c>
      <c r="AT8" s="21">
        <f t="shared" si="23"/>
        <v>12</v>
      </c>
      <c r="AU8" s="21">
        <f t="shared" si="24"/>
        <v>19</v>
      </c>
      <c r="AV8">
        <f t="shared" si="25"/>
        <v>73</v>
      </c>
      <c r="AW8">
        <f t="shared" si="26"/>
        <v>76</v>
      </c>
      <c r="AX8">
        <f t="shared" si="27"/>
        <v>84</v>
      </c>
      <c r="AY8">
        <f t="shared" si="28"/>
        <v>87</v>
      </c>
      <c r="AZ8" t="str">
        <f t="shared" si="29"/>
        <v>-</v>
      </c>
      <c r="BA8" t="str">
        <f t="shared" si="30"/>
        <v>-</v>
      </c>
      <c r="BB8" t="str">
        <f t="shared" si="31"/>
        <v>-</v>
      </c>
      <c r="BC8" t="str">
        <f t="shared" si="32"/>
        <v>-</v>
      </c>
      <c r="BD8" s="29" t="str">
        <f t="shared" si="33"/>
        <v>-</v>
      </c>
      <c r="BE8" s="29" t="str">
        <f t="shared" si="34"/>
        <v>-</v>
      </c>
    </row>
    <row r="9" spans="1:57" ht="15" x14ac:dyDescent="0.2">
      <c r="A9" s="2">
        <v>40</v>
      </c>
      <c r="B9" s="2" t="str">
        <f t="shared" si="0"/>
        <v>0040</v>
      </c>
      <c r="C9" t="str">
        <f t="shared" si="1"/>
        <v>ORD-TK-0040-04/01/24</v>
      </c>
      <c r="D9" s="3" t="s">
        <v>114</v>
      </c>
      <c r="E9" t="str">
        <f t="shared" si="35"/>
        <v>PW003</v>
      </c>
      <c r="F9" t="str">
        <f>INDEX(Katalog!$B$4:$B$13,MATCH('Main Data'!E9,Katalog!$C$4:$C$13,0))</f>
        <v>Kaftan</v>
      </c>
      <c r="G9" t="str">
        <f>VLOOKUP(E9,Katalog!$A$15:$B$25,2,0)</f>
        <v>Pakaian Wanita</v>
      </c>
      <c r="H9" t="str">
        <f t="shared" si="2"/>
        <v>2</v>
      </c>
      <c r="I9" t="str">
        <f t="shared" si="3"/>
        <v>5</v>
      </c>
      <c r="J9" s="18">
        <f>VLOOKUP(E9,Katalog!$C$3:$F$13,2,0)</f>
        <v>200000</v>
      </c>
      <c r="K9" s="18">
        <f>VLOOKUP(E9,Katalog!$C$3:$F$13,3,0)</f>
        <v>100000</v>
      </c>
      <c r="L9" t="str">
        <f t="shared" si="4"/>
        <v>PP002</v>
      </c>
      <c r="M9" t="str">
        <f>IFERROR(INDEX(Katalog!$B$4:$B$13,MATCH('Main Data'!L9,Katalog!$C$4:$C$13,0)), "-")</f>
        <v>Celana Pendek</v>
      </c>
      <c r="N9" t="str">
        <f>IFERROR(VLOOKUP(L9,Katalog!$A$15:$B$25,2,0),"-")</f>
        <v>Pakaian Pria</v>
      </c>
      <c r="O9" t="str">
        <f t="shared" si="5"/>
        <v>3</v>
      </c>
      <c r="P9" t="str">
        <f t="shared" si="6"/>
        <v>3</v>
      </c>
      <c r="Q9" s="18">
        <f>IFERROR(VLOOKUP(L9,Katalog!$C$3:$F$13,2,0),0)</f>
        <v>60000</v>
      </c>
      <c r="R9" s="18">
        <f>IFERROR(VLOOKUP(L9,Katalog!$C$3:$F$13,3,0),0)</f>
        <v>25000</v>
      </c>
      <c r="S9" t="str">
        <f t="shared" si="7"/>
        <v>PP001</v>
      </c>
      <c r="T9" t="str">
        <f>IFERROR(INDEX(Katalog!$B$4:$B$13,MATCH('Main Data'!S9,Katalog!$C$4:$C$13,0)),"-")</f>
        <v>Kaos Polo</v>
      </c>
      <c r="U9" t="str">
        <f>IFERROR(VLOOKUP(S9,Katalog!$A$15:$B$25,2,0),"-")</f>
        <v>Pakaian Pria</v>
      </c>
      <c r="V9" t="str">
        <f t="shared" si="8"/>
        <v>2</v>
      </c>
      <c r="W9" s="28" t="str">
        <f t="shared" si="9"/>
        <v>3</v>
      </c>
      <c r="X9" s="18">
        <f>IFERROR(VLOOKUP(S9,Katalog!$C$3:$F$13,2,0),0)</f>
        <v>80000</v>
      </c>
      <c r="Y9" s="30">
        <f>IFERROR(VLOOKUP(S9,Katalog!$C$3:$F$13,3,0),0)</f>
        <v>30000</v>
      </c>
      <c r="Z9" s="2">
        <f t="shared" si="10"/>
        <v>7</v>
      </c>
      <c r="AA9" s="4">
        <f t="shared" si="11"/>
        <v>740000</v>
      </c>
      <c r="AB9" s="4">
        <f t="shared" si="12"/>
        <v>335000</v>
      </c>
      <c r="AC9" s="4" t="s">
        <v>10</v>
      </c>
      <c r="AD9" s="16">
        <f>IFERROR(VLOOKUP(AC9,'Kode Diskon'!$C$2:$D$9,2,0),0)</f>
        <v>0</v>
      </c>
      <c r="AE9" s="31">
        <f t="shared" si="13"/>
        <v>0</v>
      </c>
      <c r="AF9" s="31">
        <f t="shared" si="14"/>
        <v>740000</v>
      </c>
      <c r="AG9" s="31">
        <f t="shared" si="15"/>
        <v>405000</v>
      </c>
      <c r="AH9" s="31">
        <f t="shared" si="16"/>
        <v>405000</v>
      </c>
      <c r="AI9" s="4" t="s">
        <v>10</v>
      </c>
      <c r="AJ9" s="4" t="s">
        <v>9</v>
      </c>
      <c r="AK9" s="4" t="str">
        <f>IFERROR(VLOOKUP(AJ9,'Guide '!$A$13:$B$16,2,0),"-")</f>
        <v>TK</v>
      </c>
      <c r="AL9" s="4" t="s">
        <v>925</v>
      </c>
      <c r="AM9" s="40">
        <v>45295</v>
      </c>
      <c r="AN9">
        <f t="shared" si="17"/>
        <v>29</v>
      </c>
      <c r="AO9">
        <f t="shared" si="18"/>
        <v>32</v>
      </c>
      <c r="AP9">
        <f t="shared" si="19"/>
        <v>40</v>
      </c>
      <c r="AQ9">
        <f t="shared" si="20"/>
        <v>43</v>
      </c>
      <c r="AR9" s="26">
        <f t="shared" si="21"/>
        <v>56</v>
      </c>
      <c r="AS9" s="26">
        <f t="shared" si="22"/>
        <v>63</v>
      </c>
      <c r="AT9" s="21">
        <f t="shared" si="23"/>
        <v>12</v>
      </c>
      <c r="AU9" s="21">
        <f t="shared" si="24"/>
        <v>19</v>
      </c>
      <c r="AV9">
        <f t="shared" si="25"/>
        <v>73</v>
      </c>
      <c r="AW9">
        <f t="shared" si="26"/>
        <v>76</v>
      </c>
      <c r="AX9">
        <f t="shared" si="27"/>
        <v>84</v>
      </c>
      <c r="AY9">
        <f t="shared" si="28"/>
        <v>87</v>
      </c>
      <c r="AZ9">
        <f t="shared" si="29"/>
        <v>100</v>
      </c>
      <c r="BA9">
        <f t="shared" si="30"/>
        <v>107</v>
      </c>
      <c r="BB9">
        <f t="shared" si="31"/>
        <v>117</v>
      </c>
      <c r="BC9">
        <f t="shared" si="32"/>
        <v>120</v>
      </c>
      <c r="BD9" s="29">
        <f t="shared" si="33"/>
        <v>128</v>
      </c>
      <c r="BE9" s="29">
        <f t="shared" si="34"/>
        <v>131</v>
      </c>
    </row>
    <row r="10" spans="1:57" ht="15" x14ac:dyDescent="0.2">
      <c r="A10" s="2">
        <v>69</v>
      </c>
      <c r="B10" s="2" t="str">
        <f t="shared" si="0"/>
        <v>0069</v>
      </c>
      <c r="C10" t="str">
        <f t="shared" si="1"/>
        <v>ORD-TK-0069-04/01/24</v>
      </c>
      <c r="D10" s="3" t="s">
        <v>142</v>
      </c>
      <c r="E10" t="str">
        <f t="shared" si="35"/>
        <v>PW002</v>
      </c>
      <c r="F10" t="str">
        <f>INDEX(Katalog!$B$4:$B$13,MATCH('Main Data'!E10,Katalog!$C$4:$C$13,0))</f>
        <v>Blouse</v>
      </c>
      <c r="G10" t="str">
        <f>VLOOKUP(E10,Katalog!$A$15:$B$25,2,0)</f>
        <v>Pakaian Wanita</v>
      </c>
      <c r="H10" t="str">
        <f t="shared" si="2"/>
        <v>4</v>
      </c>
      <c r="I10" t="str">
        <f t="shared" si="3"/>
        <v>5</v>
      </c>
      <c r="J10" s="18">
        <f>VLOOKUP(E10,Katalog!$C$3:$F$13,2,0)</f>
        <v>125000</v>
      </c>
      <c r="K10" s="18">
        <f>VLOOKUP(E10,Katalog!$C$3:$F$13,3,0)</f>
        <v>50000</v>
      </c>
      <c r="L10" t="str">
        <f t="shared" si="4"/>
        <v>PP003</v>
      </c>
      <c r="M10" t="str">
        <f>IFERROR(INDEX(Katalog!$B$4:$B$13,MATCH('Main Data'!L10,Katalog!$C$4:$C$13,0)), "-")</f>
        <v>Jaket Jeans</v>
      </c>
      <c r="N10" t="str">
        <f>IFERROR(VLOOKUP(L10,Katalog!$A$15:$B$25,2,0),"-")</f>
        <v>Pakaian Pria</v>
      </c>
      <c r="O10" t="str">
        <f t="shared" si="5"/>
        <v>3</v>
      </c>
      <c r="P10" t="str">
        <f t="shared" si="6"/>
        <v>1</v>
      </c>
      <c r="Q10" s="18">
        <f>IFERROR(VLOOKUP(L10,Katalog!$C$3:$F$13,2,0),0)</f>
        <v>150000</v>
      </c>
      <c r="R10" s="18">
        <f>IFERROR(VLOOKUP(L10,Katalog!$C$3:$F$13,3,0),0)</f>
        <v>70000</v>
      </c>
      <c r="S10" t="str">
        <f t="shared" si="7"/>
        <v>-</v>
      </c>
      <c r="T10" t="str">
        <f>IFERROR(INDEX(Katalog!$B$4:$B$13,MATCH('Main Data'!S10,Katalog!$C$4:$C$13,0)),"-")</f>
        <v>-</v>
      </c>
      <c r="U10" t="str">
        <f>IFERROR(VLOOKUP(S10,Katalog!$A$15:$B$25,2,0),"-")</f>
        <v>-</v>
      </c>
      <c r="V10">
        <f t="shared" si="8"/>
        <v>0</v>
      </c>
      <c r="W10" s="28" t="str">
        <f t="shared" si="9"/>
        <v>-</v>
      </c>
      <c r="X10" s="18">
        <f>IFERROR(VLOOKUP(S10,Katalog!$C$3:$F$13,2,0),0)</f>
        <v>0</v>
      </c>
      <c r="Y10" s="30">
        <f>IFERROR(VLOOKUP(S10,Katalog!$C$3:$F$13,3,0),0)</f>
        <v>0</v>
      </c>
      <c r="Z10" s="2">
        <f t="shared" si="10"/>
        <v>7</v>
      </c>
      <c r="AA10" s="4">
        <f t="shared" si="11"/>
        <v>950000</v>
      </c>
      <c r="AB10" s="4">
        <f t="shared" si="12"/>
        <v>410000</v>
      </c>
      <c r="AC10" s="4" t="s">
        <v>30</v>
      </c>
      <c r="AD10" s="16">
        <f>IFERROR(VLOOKUP(AC10,'Kode Diskon'!$C$2:$D$9,2,0),0)</f>
        <v>0.1</v>
      </c>
      <c r="AE10" s="31">
        <f t="shared" si="13"/>
        <v>95000</v>
      </c>
      <c r="AF10" s="31">
        <f t="shared" si="14"/>
        <v>855000</v>
      </c>
      <c r="AG10" s="31">
        <f t="shared" si="15"/>
        <v>540000</v>
      </c>
      <c r="AH10" s="31">
        <f t="shared" si="16"/>
        <v>445000</v>
      </c>
      <c r="AI10" s="4" t="s">
        <v>8</v>
      </c>
      <c r="AJ10" s="4" t="s">
        <v>9</v>
      </c>
      <c r="AK10" s="4" t="str">
        <f>IFERROR(VLOOKUP(AJ10,'Guide '!$A$13:$B$16,2,0),"-")</f>
        <v>TK</v>
      </c>
      <c r="AL10" s="4" t="s">
        <v>921</v>
      </c>
      <c r="AM10" s="40">
        <v>45295</v>
      </c>
      <c r="AN10">
        <f t="shared" si="17"/>
        <v>29</v>
      </c>
      <c r="AO10">
        <f t="shared" si="18"/>
        <v>32</v>
      </c>
      <c r="AP10">
        <f t="shared" si="19"/>
        <v>40</v>
      </c>
      <c r="AQ10">
        <f t="shared" si="20"/>
        <v>43</v>
      </c>
      <c r="AR10" s="26">
        <f t="shared" si="21"/>
        <v>56</v>
      </c>
      <c r="AS10" s="26">
        <f t="shared" si="22"/>
        <v>63</v>
      </c>
      <c r="AT10" s="21">
        <f t="shared" si="23"/>
        <v>12</v>
      </c>
      <c r="AU10" s="21">
        <f t="shared" si="24"/>
        <v>19</v>
      </c>
      <c r="AV10">
        <f t="shared" si="25"/>
        <v>73</v>
      </c>
      <c r="AW10">
        <f t="shared" si="26"/>
        <v>76</v>
      </c>
      <c r="AX10">
        <f t="shared" si="27"/>
        <v>84</v>
      </c>
      <c r="AY10">
        <f t="shared" si="28"/>
        <v>87</v>
      </c>
      <c r="AZ10" t="str">
        <f t="shared" si="29"/>
        <v>-</v>
      </c>
      <c r="BA10" t="str">
        <f t="shared" si="30"/>
        <v>-</v>
      </c>
      <c r="BB10" t="str">
        <f t="shared" si="31"/>
        <v>-</v>
      </c>
      <c r="BC10" t="str">
        <f t="shared" si="32"/>
        <v>-</v>
      </c>
      <c r="BD10" s="29" t="str">
        <f t="shared" si="33"/>
        <v>-</v>
      </c>
      <c r="BE10" s="29" t="str">
        <f t="shared" si="34"/>
        <v>-</v>
      </c>
    </row>
    <row r="11" spans="1:57" ht="15" x14ac:dyDescent="0.2">
      <c r="A11" s="2">
        <v>317</v>
      </c>
      <c r="B11" s="2" t="str">
        <f t="shared" si="0"/>
        <v>0317</v>
      </c>
      <c r="C11" t="str">
        <f t="shared" si="1"/>
        <v>ORD-SP-0317-04/01/24</v>
      </c>
      <c r="D11" s="3" t="s">
        <v>372</v>
      </c>
      <c r="E11" t="str">
        <f t="shared" si="35"/>
        <v>PP001</v>
      </c>
      <c r="F11" t="str">
        <f>INDEX(Katalog!$B$4:$B$13,MATCH('Main Data'!E11,Katalog!$C$4:$C$13,0))</f>
        <v>Kaos Polo</v>
      </c>
      <c r="G11" t="str">
        <f>VLOOKUP(E11,Katalog!$A$15:$B$25,2,0)</f>
        <v>Pakaian Pria</v>
      </c>
      <c r="H11" t="str">
        <f t="shared" si="2"/>
        <v>6</v>
      </c>
      <c r="I11" t="str">
        <f t="shared" si="3"/>
        <v>1</v>
      </c>
      <c r="J11" s="18">
        <f>VLOOKUP(E11,Katalog!$C$3:$F$13,2,0)</f>
        <v>80000</v>
      </c>
      <c r="K11" s="18">
        <f>VLOOKUP(E11,Katalog!$C$3:$F$13,3,0)</f>
        <v>30000</v>
      </c>
      <c r="L11" t="str">
        <f t="shared" si="4"/>
        <v>-</v>
      </c>
      <c r="M11" t="str">
        <f>IFERROR(INDEX(Katalog!$B$4:$B$13,MATCH('Main Data'!L11,Katalog!$C$4:$C$13,0)), "-")</f>
        <v>-</v>
      </c>
      <c r="N11" t="str">
        <f>IFERROR(VLOOKUP(L11,Katalog!$A$15:$B$25,2,0),"-")</f>
        <v>-</v>
      </c>
      <c r="O11">
        <f t="shared" si="5"/>
        <v>0</v>
      </c>
      <c r="P11" t="str">
        <f t="shared" si="6"/>
        <v>-</v>
      </c>
      <c r="Q11" s="18">
        <f>IFERROR(VLOOKUP(L11,Katalog!$C$3:$F$13,2,0),0)</f>
        <v>0</v>
      </c>
      <c r="R11" s="18">
        <f>IFERROR(VLOOKUP(L11,Katalog!$C$3:$F$13,3,0),0)</f>
        <v>0</v>
      </c>
      <c r="S11" t="str">
        <f t="shared" si="7"/>
        <v>-</v>
      </c>
      <c r="T11" t="str">
        <f>IFERROR(INDEX(Katalog!$B$4:$B$13,MATCH('Main Data'!S11,Katalog!$C$4:$C$13,0)),"-")</f>
        <v>-</v>
      </c>
      <c r="U11" t="str">
        <f>IFERROR(VLOOKUP(S11,Katalog!$A$15:$B$25,2,0),"-")</f>
        <v>-</v>
      </c>
      <c r="V11">
        <f t="shared" si="8"/>
        <v>0</v>
      </c>
      <c r="W11" s="28" t="str">
        <f t="shared" si="9"/>
        <v>-</v>
      </c>
      <c r="X11" s="18">
        <f>IFERROR(VLOOKUP(S11,Katalog!$C$3:$F$13,2,0),0)</f>
        <v>0</v>
      </c>
      <c r="Y11" s="30">
        <f>IFERROR(VLOOKUP(S11,Katalog!$C$3:$F$13,3,0),0)</f>
        <v>0</v>
      </c>
      <c r="Z11" s="2">
        <f t="shared" si="10"/>
        <v>6</v>
      </c>
      <c r="AA11" s="4">
        <f t="shared" si="11"/>
        <v>480000</v>
      </c>
      <c r="AB11" s="4">
        <f t="shared" si="12"/>
        <v>180000</v>
      </c>
      <c r="AC11" s="4" t="s">
        <v>7</v>
      </c>
      <c r="AD11" s="16">
        <f>IFERROR(VLOOKUP(AC11,'Kode Diskon'!$C$2:$D$9,2,0),0)</f>
        <v>0.2</v>
      </c>
      <c r="AE11" s="31">
        <f t="shared" si="13"/>
        <v>96000</v>
      </c>
      <c r="AF11" s="31">
        <f t="shared" si="14"/>
        <v>384000</v>
      </c>
      <c r="AG11" s="31">
        <f t="shared" si="15"/>
        <v>300000</v>
      </c>
      <c r="AH11" s="31">
        <f t="shared" si="16"/>
        <v>204000</v>
      </c>
      <c r="AI11" s="4" t="s">
        <v>8</v>
      </c>
      <c r="AJ11" s="4" t="s">
        <v>6</v>
      </c>
      <c r="AK11" s="4" t="str">
        <f>IFERROR(VLOOKUP(AJ11,'Guide '!$A$13:$B$16,2,0),"-")</f>
        <v>SP</v>
      </c>
      <c r="AL11" s="4" t="s">
        <v>924</v>
      </c>
      <c r="AM11" s="40">
        <v>45295</v>
      </c>
      <c r="AN11">
        <f t="shared" si="17"/>
        <v>29</v>
      </c>
      <c r="AO11">
        <f t="shared" si="18"/>
        <v>32</v>
      </c>
      <c r="AP11">
        <f t="shared" si="19"/>
        <v>40</v>
      </c>
      <c r="AQ11">
        <f t="shared" si="20"/>
        <v>43</v>
      </c>
      <c r="AR11" s="26" t="str">
        <f t="shared" si="21"/>
        <v>-</v>
      </c>
      <c r="AS11" s="26" t="str">
        <f t="shared" si="22"/>
        <v>-</v>
      </c>
      <c r="AT11" s="21">
        <f t="shared" si="23"/>
        <v>12</v>
      </c>
      <c r="AU11" s="21">
        <f t="shared" si="24"/>
        <v>19</v>
      </c>
      <c r="AV11" t="str">
        <f t="shared" si="25"/>
        <v>-</v>
      </c>
      <c r="AW11" t="str">
        <f t="shared" si="26"/>
        <v>-</v>
      </c>
      <c r="AX11" t="str">
        <f t="shared" si="27"/>
        <v>-</v>
      </c>
      <c r="AY11" t="str">
        <f t="shared" si="28"/>
        <v>-</v>
      </c>
      <c r="AZ11" t="str">
        <f t="shared" si="29"/>
        <v>-</v>
      </c>
      <c r="BA11" t="str">
        <f t="shared" si="30"/>
        <v>-</v>
      </c>
      <c r="BB11" t="str">
        <f t="shared" si="31"/>
        <v>-</v>
      </c>
      <c r="BC11" t="str">
        <f t="shared" si="32"/>
        <v>-</v>
      </c>
      <c r="BD11" s="29" t="str">
        <f t="shared" si="33"/>
        <v>-</v>
      </c>
      <c r="BE11" s="29" t="str">
        <f t="shared" si="34"/>
        <v>-</v>
      </c>
    </row>
    <row r="12" spans="1:57" ht="15" x14ac:dyDescent="0.2">
      <c r="A12" s="2">
        <v>691</v>
      </c>
      <c r="B12" s="2" t="str">
        <f t="shared" si="0"/>
        <v>0691</v>
      </c>
      <c r="C12" t="str">
        <f t="shared" si="1"/>
        <v>ORD-SP-0691-04/01/24</v>
      </c>
      <c r="D12" s="3" t="s">
        <v>687</v>
      </c>
      <c r="E12" t="str">
        <f t="shared" si="35"/>
        <v>PW003</v>
      </c>
      <c r="F12" t="str">
        <f>INDEX(Katalog!$B$4:$B$13,MATCH('Main Data'!E12,Katalog!$C$4:$C$13,0))</f>
        <v>Kaftan</v>
      </c>
      <c r="G12" t="str">
        <f>VLOOKUP(E12,Katalog!$A$15:$B$25,2,0)</f>
        <v>Pakaian Wanita</v>
      </c>
      <c r="H12" t="str">
        <f t="shared" si="2"/>
        <v>3</v>
      </c>
      <c r="I12" t="str">
        <f t="shared" si="3"/>
        <v>4</v>
      </c>
      <c r="J12" s="18">
        <f>VLOOKUP(E12,Katalog!$C$3:$F$13,2,0)</f>
        <v>200000</v>
      </c>
      <c r="K12" s="18">
        <f>VLOOKUP(E12,Katalog!$C$3:$F$13,3,0)</f>
        <v>100000</v>
      </c>
      <c r="L12" t="str">
        <f t="shared" si="4"/>
        <v>SP001</v>
      </c>
      <c r="M12" t="str">
        <f>IFERROR(INDEX(Katalog!$B$4:$B$13,MATCH('Main Data'!L12,Katalog!$C$4:$C$13,0)), "-")</f>
        <v>Sneakers</v>
      </c>
      <c r="N12" t="str">
        <f>IFERROR(VLOOKUP(L12,Katalog!$A$15:$B$25,2,0),"-")</f>
        <v>Sepatu Pria</v>
      </c>
      <c r="O12" t="str">
        <f t="shared" si="5"/>
        <v>3</v>
      </c>
      <c r="P12" t="str">
        <f t="shared" si="6"/>
        <v>3</v>
      </c>
      <c r="Q12" s="18">
        <f>IFERROR(VLOOKUP(L12,Katalog!$C$3:$F$13,2,0),0)</f>
        <v>300000</v>
      </c>
      <c r="R12" s="18">
        <f>IFERROR(VLOOKUP(L12,Katalog!$C$3:$F$13,3,0),0)</f>
        <v>100000</v>
      </c>
      <c r="S12" t="str">
        <f t="shared" si="7"/>
        <v>PW001</v>
      </c>
      <c r="T12" t="str">
        <f>IFERROR(INDEX(Katalog!$B$4:$B$13,MATCH('Main Data'!S12,Katalog!$C$4:$C$13,0)),"-")</f>
        <v>Dress</v>
      </c>
      <c r="U12" t="str">
        <f>IFERROR(VLOOKUP(S12,Katalog!$A$15:$B$25,2,0),"-")</f>
        <v>Pakaian Wanita</v>
      </c>
      <c r="V12" t="str">
        <f t="shared" si="8"/>
        <v>1</v>
      </c>
      <c r="W12" s="28" t="str">
        <f t="shared" si="9"/>
        <v>2</v>
      </c>
      <c r="X12" s="18">
        <f>IFERROR(VLOOKUP(S12,Katalog!$C$3:$F$13,2,0),0)</f>
        <v>150000</v>
      </c>
      <c r="Y12" s="30">
        <f>IFERROR(VLOOKUP(S12,Katalog!$C$3:$F$13,3,0),0)</f>
        <v>55000</v>
      </c>
      <c r="Z12" s="2">
        <f t="shared" si="10"/>
        <v>7</v>
      </c>
      <c r="AA12" s="4">
        <f t="shared" si="11"/>
        <v>1650000</v>
      </c>
      <c r="AB12" s="4">
        <f t="shared" si="12"/>
        <v>655000</v>
      </c>
      <c r="AC12" s="4" t="s">
        <v>12</v>
      </c>
      <c r="AD12" s="16">
        <f>IFERROR(VLOOKUP(AC12,'Kode Diskon'!$C$2:$D$9,2,0),0)</f>
        <v>0.15</v>
      </c>
      <c r="AE12" s="31">
        <f t="shared" si="13"/>
        <v>247500</v>
      </c>
      <c r="AF12" s="31">
        <f t="shared" si="14"/>
        <v>1402500</v>
      </c>
      <c r="AG12" s="31">
        <f t="shared" si="15"/>
        <v>995000</v>
      </c>
      <c r="AH12" s="31">
        <f t="shared" si="16"/>
        <v>747500</v>
      </c>
      <c r="AI12" s="4" t="s">
        <v>28</v>
      </c>
      <c r="AJ12" s="4" t="s">
        <v>6</v>
      </c>
      <c r="AK12" s="4" t="str">
        <f>IFERROR(VLOOKUP(AJ12,'Guide '!$A$13:$B$16,2,0),"-")</f>
        <v>SP</v>
      </c>
      <c r="AL12" s="4" t="s">
        <v>921</v>
      </c>
      <c r="AM12" s="40">
        <v>45295</v>
      </c>
      <c r="AN12">
        <f t="shared" si="17"/>
        <v>29</v>
      </c>
      <c r="AO12">
        <f t="shared" si="18"/>
        <v>32</v>
      </c>
      <c r="AP12">
        <f t="shared" si="19"/>
        <v>40</v>
      </c>
      <c r="AQ12">
        <f t="shared" si="20"/>
        <v>43</v>
      </c>
      <c r="AR12" s="26">
        <f t="shared" si="21"/>
        <v>56</v>
      </c>
      <c r="AS12" s="26">
        <f t="shared" si="22"/>
        <v>63</v>
      </c>
      <c r="AT12" s="21">
        <f t="shared" si="23"/>
        <v>12</v>
      </c>
      <c r="AU12" s="21">
        <f t="shared" si="24"/>
        <v>19</v>
      </c>
      <c r="AV12">
        <f t="shared" si="25"/>
        <v>73</v>
      </c>
      <c r="AW12">
        <f t="shared" si="26"/>
        <v>76</v>
      </c>
      <c r="AX12">
        <f t="shared" si="27"/>
        <v>84</v>
      </c>
      <c r="AY12">
        <f t="shared" si="28"/>
        <v>87</v>
      </c>
      <c r="AZ12">
        <f t="shared" si="29"/>
        <v>100</v>
      </c>
      <c r="BA12">
        <f t="shared" si="30"/>
        <v>107</v>
      </c>
      <c r="BB12">
        <f t="shared" si="31"/>
        <v>117</v>
      </c>
      <c r="BC12">
        <f t="shared" si="32"/>
        <v>120</v>
      </c>
      <c r="BD12" s="29">
        <f t="shared" si="33"/>
        <v>128</v>
      </c>
      <c r="BE12" s="29">
        <f t="shared" si="34"/>
        <v>131</v>
      </c>
    </row>
    <row r="13" spans="1:57" ht="15" x14ac:dyDescent="0.2">
      <c r="A13" s="2">
        <v>305</v>
      </c>
      <c r="B13" s="2" t="str">
        <f t="shared" si="0"/>
        <v>0305</v>
      </c>
      <c r="C13" t="str">
        <f t="shared" si="1"/>
        <v>ORD-SP-0305-05/01/24</v>
      </c>
      <c r="D13" s="3" t="s">
        <v>360</v>
      </c>
      <c r="E13" t="str">
        <f t="shared" si="35"/>
        <v>PP002</v>
      </c>
      <c r="F13" t="str">
        <f>INDEX(Katalog!$B$4:$B$13,MATCH('Main Data'!E13,Katalog!$C$4:$C$13,0))</f>
        <v>Celana Pendek</v>
      </c>
      <c r="G13" t="str">
        <f>VLOOKUP(E13,Katalog!$A$15:$B$25,2,0)</f>
        <v>Pakaian Pria</v>
      </c>
      <c r="H13" t="str">
        <f t="shared" si="2"/>
        <v>1</v>
      </c>
      <c r="I13" t="str">
        <f t="shared" si="3"/>
        <v>2</v>
      </c>
      <c r="J13" s="18">
        <f>VLOOKUP(E13,Katalog!$C$3:$F$13,2,0)</f>
        <v>60000</v>
      </c>
      <c r="K13" s="18">
        <f>VLOOKUP(E13,Katalog!$C$3:$F$13,3,0)</f>
        <v>25000</v>
      </c>
      <c r="L13" t="str">
        <f t="shared" si="4"/>
        <v>PW003</v>
      </c>
      <c r="M13" t="str">
        <f>IFERROR(INDEX(Katalog!$B$4:$B$13,MATCH('Main Data'!L13,Katalog!$C$4:$C$13,0)), "-")</f>
        <v>Kaftan</v>
      </c>
      <c r="N13" t="str">
        <f>IFERROR(VLOOKUP(L13,Katalog!$A$15:$B$25,2,0),"-")</f>
        <v>Pakaian Wanita</v>
      </c>
      <c r="O13" t="str">
        <f t="shared" si="5"/>
        <v>4</v>
      </c>
      <c r="P13" t="str">
        <f t="shared" si="6"/>
        <v>3</v>
      </c>
      <c r="Q13" s="18">
        <f>IFERROR(VLOOKUP(L13,Katalog!$C$3:$F$13,2,0),0)</f>
        <v>200000</v>
      </c>
      <c r="R13" s="18">
        <f>IFERROR(VLOOKUP(L13,Katalog!$C$3:$F$13,3,0),0)</f>
        <v>100000</v>
      </c>
      <c r="S13" t="str">
        <f t="shared" si="7"/>
        <v>-</v>
      </c>
      <c r="T13" t="str">
        <f>IFERROR(INDEX(Katalog!$B$4:$B$13,MATCH('Main Data'!S13,Katalog!$C$4:$C$13,0)),"-")</f>
        <v>-</v>
      </c>
      <c r="U13" t="str">
        <f>IFERROR(VLOOKUP(S13,Katalog!$A$15:$B$25,2,0),"-")</f>
        <v>-</v>
      </c>
      <c r="V13">
        <f t="shared" si="8"/>
        <v>0</v>
      </c>
      <c r="W13" s="28" t="str">
        <f t="shared" si="9"/>
        <v>-</v>
      </c>
      <c r="X13" s="18">
        <f>IFERROR(VLOOKUP(S13,Katalog!$C$3:$F$13,2,0),0)</f>
        <v>0</v>
      </c>
      <c r="Y13" s="30">
        <f>IFERROR(VLOOKUP(S13,Katalog!$C$3:$F$13,3,0),0)</f>
        <v>0</v>
      </c>
      <c r="Z13" s="2">
        <f t="shared" si="10"/>
        <v>5</v>
      </c>
      <c r="AA13" s="4">
        <f t="shared" si="11"/>
        <v>860000</v>
      </c>
      <c r="AB13" s="4">
        <f t="shared" si="12"/>
        <v>425000</v>
      </c>
      <c r="AC13" s="4" t="s">
        <v>5</v>
      </c>
      <c r="AD13" s="16">
        <f>IFERROR(VLOOKUP(AC13,'Kode Diskon'!$C$2:$D$9,2,0),0)</f>
        <v>0.1</v>
      </c>
      <c r="AE13" s="31">
        <f t="shared" si="13"/>
        <v>86000</v>
      </c>
      <c r="AF13" s="31">
        <f t="shared" si="14"/>
        <v>774000</v>
      </c>
      <c r="AG13" s="31">
        <f t="shared" si="15"/>
        <v>435000</v>
      </c>
      <c r="AH13" s="31">
        <f t="shared" si="16"/>
        <v>349000</v>
      </c>
      <c r="AI13" s="4" t="s">
        <v>28</v>
      </c>
      <c r="AJ13" s="4" t="s">
        <v>6</v>
      </c>
      <c r="AK13" s="4" t="str">
        <f>IFERROR(VLOOKUP(AJ13,'Guide '!$A$13:$B$16,2,0),"-")</f>
        <v>SP</v>
      </c>
      <c r="AL13" s="4" t="s">
        <v>924</v>
      </c>
      <c r="AM13" s="40">
        <v>45296</v>
      </c>
      <c r="AN13">
        <f t="shared" si="17"/>
        <v>29</v>
      </c>
      <c r="AO13">
        <f t="shared" si="18"/>
        <v>32</v>
      </c>
      <c r="AP13">
        <f t="shared" si="19"/>
        <v>40</v>
      </c>
      <c r="AQ13">
        <f t="shared" si="20"/>
        <v>43</v>
      </c>
      <c r="AR13" s="26">
        <f t="shared" si="21"/>
        <v>56</v>
      </c>
      <c r="AS13" s="26">
        <f t="shared" si="22"/>
        <v>63</v>
      </c>
      <c r="AT13" s="21">
        <f t="shared" si="23"/>
        <v>12</v>
      </c>
      <c r="AU13" s="21">
        <f t="shared" si="24"/>
        <v>19</v>
      </c>
      <c r="AV13">
        <f t="shared" si="25"/>
        <v>73</v>
      </c>
      <c r="AW13">
        <f t="shared" si="26"/>
        <v>76</v>
      </c>
      <c r="AX13">
        <f t="shared" si="27"/>
        <v>84</v>
      </c>
      <c r="AY13">
        <f t="shared" si="28"/>
        <v>87</v>
      </c>
      <c r="AZ13" t="str">
        <f t="shared" si="29"/>
        <v>-</v>
      </c>
      <c r="BA13" t="str">
        <f t="shared" si="30"/>
        <v>-</v>
      </c>
      <c r="BB13" t="str">
        <f t="shared" si="31"/>
        <v>-</v>
      </c>
      <c r="BC13" t="str">
        <f t="shared" si="32"/>
        <v>-</v>
      </c>
      <c r="BD13" s="29" t="str">
        <f t="shared" si="33"/>
        <v>-</v>
      </c>
      <c r="BE13" s="29" t="str">
        <f t="shared" si="34"/>
        <v>-</v>
      </c>
    </row>
    <row r="14" spans="1:57" ht="15" x14ac:dyDescent="0.2">
      <c r="A14" s="2">
        <v>632</v>
      </c>
      <c r="B14" s="2" t="str">
        <f t="shared" si="0"/>
        <v>0632</v>
      </c>
      <c r="C14" t="str">
        <f t="shared" si="1"/>
        <v>ORD-SP-0632-05/01/24</v>
      </c>
      <c r="D14" s="3" t="s">
        <v>641</v>
      </c>
      <c r="E14" t="str">
        <f t="shared" si="35"/>
        <v>PW003</v>
      </c>
      <c r="F14" t="str">
        <f>INDEX(Katalog!$B$4:$B$13,MATCH('Main Data'!E14,Katalog!$C$4:$C$13,0))</f>
        <v>Kaftan</v>
      </c>
      <c r="G14" t="str">
        <f>VLOOKUP(E14,Katalog!$A$15:$B$25,2,0)</f>
        <v>Pakaian Wanita</v>
      </c>
      <c r="H14" t="str">
        <f t="shared" si="2"/>
        <v>1</v>
      </c>
      <c r="I14" t="str">
        <f t="shared" si="3"/>
        <v>4</v>
      </c>
      <c r="J14" s="18">
        <f>VLOOKUP(E14,Katalog!$C$3:$F$13,2,0)</f>
        <v>200000</v>
      </c>
      <c r="K14" s="18">
        <f>VLOOKUP(E14,Katalog!$C$3:$F$13,3,0)</f>
        <v>100000</v>
      </c>
      <c r="L14" t="str">
        <f t="shared" si="4"/>
        <v>PW001</v>
      </c>
      <c r="M14" t="str">
        <f>IFERROR(INDEX(Katalog!$B$4:$B$13,MATCH('Main Data'!L14,Katalog!$C$4:$C$13,0)), "-")</f>
        <v>Dress</v>
      </c>
      <c r="N14" t="str">
        <f>IFERROR(VLOOKUP(L14,Katalog!$A$15:$B$25,2,0),"-")</f>
        <v>Pakaian Wanita</v>
      </c>
      <c r="O14" t="str">
        <f t="shared" si="5"/>
        <v>3</v>
      </c>
      <c r="P14" t="str">
        <f t="shared" si="6"/>
        <v>2</v>
      </c>
      <c r="Q14" s="18">
        <f>IFERROR(VLOOKUP(L14,Katalog!$C$3:$F$13,2,0),0)</f>
        <v>150000</v>
      </c>
      <c r="R14" s="18">
        <f>IFERROR(VLOOKUP(L14,Katalog!$C$3:$F$13,3,0),0)</f>
        <v>55000</v>
      </c>
      <c r="S14" t="str">
        <f t="shared" si="7"/>
        <v>-</v>
      </c>
      <c r="T14" t="str">
        <f>IFERROR(INDEX(Katalog!$B$4:$B$13,MATCH('Main Data'!S14,Katalog!$C$4:$C$13,0)),"-")</f>
        <v>-</v>
      </c>
      <c r="U14" t="str">
        <f>IFERROR(VLOOKUP(S14,Katalog!$A$15:$B$25,2,0),"-")</f>
        <v>-</v>
      </c>
      <c r="V14">
        <f t="shared" si="8"/>
        <v>0</v>
      </c>
      <c r="W14" s="28" t="str">
        <f t="shared" si="9"/>
        <v>-</v>
      </c>
      <c r="X14" s="18">
        <f>IFERROR(VLOOKUP(S14,Katalog!$C$3:$F$13,2,0),0)</f>
        <v>0</v>
      </c>
      <c r="Y14" s="30">
        <f>IFERROR(VLOOKUP(S14,Katalog!$C$3:$F$13,3,0),0)</f>
        <v>0</v>
      </c>
      <c r="Z14" s="2">
        <f t="shared" si="10"/>
        <v>4</v>
      </c>
      <c r="AA14" s="4">
        <f t="shared" si="11"/>
        <v>650000</v>
      </c>
      <c r="AB14" s="4">
        <f t="shared" si="12"/>
        <v>265000</v>
      </c>
      <c r="AC14" s="4" t="s">
        <v>7</v>
      </c>
      <c r="AD14" s="16">
        <f>IFERROR(VLOOKUP(AC14,'Kode Diskon'!$C$2:$D$9,2,0),0)</f>
        <v>0.2</v>
      </c>
      <c r="AE14" s="31">
        <f t="shared" si="13"/>
        <v>130000</v>
      </c>
      <c r="AF14" s="31">
        <f t="shared" si="14"/>
        <v>520000</v>
      </c>
      <c r="AG14" s="31">
        <f t="shared" si="15"/>
        <v>385000</v>
      </c>
      <c r="AH14" s="31">
        <f t="shared" si="16"/>
        <v>255000</v>
      </c>
      <c r="AI14" s="4" t="s">
        <v>8</v>
      </c>
      <c r="AJ14" s="4" t="s">
        <v>6</v>
      </c>
      <c r="AK14" s="4" t="str">
        <f>IFERROR(VLOOKUP(AJ14,'Guide '!$A$13:$B$16,2,0),"-")</f>
        <v>SP</v>
      </c>
      <c r="AL14" s="4" t="s">
        <v>925</v>
      </c>
      <c r="AM14" s="40">
        <v>45296</v>
      </c>
      <c r="AN14">
        <f t="shared" si="17"/>
        <v>29</v>
      </c>
      <c r="AO14">
        <f t="shared" si="18"/>
        <v>32</v>
      </c>
      <c r="AP14">
        <f t="shared" si="19"/>
        <v>40</v>
      </c>
      <c r="AQ14">
        <f t="shared" si="20"/>
        <v>43</v>
      </c>
      <c r="AR14" s="26">
        <f t="shared" si="21"/>
        <v>56</v>
      </c>
      <c r="AS14" s="26">
        <f t="shared" si="22"/>
        <v>63</v>
      </c>
      <c r="AT14" s="21">
        <f t="shared" si="23"/>
        <v>12</v>
      </c>
      <c r="AU14" s="21">
        <f t="shared" si="24"/>
        <v>19</v>
      </c>
      <c r="AV14">
        <f t="shared" si="25"/>
        <v>73</v>
      </c>
      <c r="AW14">
        <f t="shared" si="26"/>
        <v>76</v>
      </c>
      <c r="AX14">
        <f t="shared" si="27"/>
        <v>84</v>
      </c>
      <c r="AY14">
        <f t="shared" si="28"/>
        <v>87</v>
      </c>
      <c r="AZ14" t="str">
        <f t="shared" si="29"/>
        <v>-</v>
      </c>
      <c r="BA14" t="str">
        <f t="shared" si="30"/>
        <v>-</v>
      </c>
      <c r="BB14" t="str">
        <f t="shared" si="31"/>
        <v>-</v>
      </c>
      <c r="BC14" t="str">
        <f t="shared" si="32"/>
        <v>-</v>
      </c>
      <c r="BD14" s="29" t="str">
        <f t="shared" si="33"/>
        <v>-</v>
      </c>
      <c r="BE14" s="29" t="str">
        <f t="shared" si="34"/>
        <v>-</v>
      </c>
    </row>
    <row r="15" spans="1:57" ht="15" x14ac:dyDescent="0.2">
      <c r="A15" s="2">
        <v>279</v>
      </c>
      <c r="B15" s="2" t="str">
        <f t="shared" si="0"/>
        <v>0279</v>
      </c>
      <c r="C15" t="str">
        <f t="shared" si="1"/>
        <v>ORD-SP-0279-06/01/24</v>
      </c>
      <c r="D15" s="3" t="s">
        <v>116</v>
      </c>
      <c r="E15" t="str">
        <f t="shared" si="35"/>
        <v>PP003</v>
      </c>
      <c r="F15" t="str">
        <f>INDEX(Katalog!$B$4:$B$13,MATCH('Main Data'!E15,Katalog!$C$4:$C$13,0))</f>
        <v>Jaket Jeans</v>
      </c>
      <c r="G15" t="str">
        <f>VLOOKUP(E15,Katalog!$A$15:$B$25,2,0)</f>
        <v>Pakaian Pria</v>
      </c>
      <c r="H15" t="str">
        <f t="shared" si="2"/>
        <v>1</v>
      </c>
      <c r="I15" t="str">
        <f t="shared" si="3"/>
        <v>5</v>
      </c>
      <c r="J15" s="18">
        <f>VLOOKUP(E15,Katalog!$C$3:$F$13,2,0)</f>
        <v>150000</v>
      </c>
      <c r="K15" s="18">
        <f>VLOOKUP(E15,Katalog!$C$3:$F$13,3,0)</f>
        <v>70000</v>
      </c>
      <c r="L15" t="str">
        <f t="shared" si="4"/>
        <v>-</v>
      </c>
      <c r="M15" t="str">
        <f>IFERROR(INDEX(Katalog!$B$4:$B$13,MATCH('Main Data'!L15,Katalog!$C$4:$C$13,0)), "-")</f>
        <v>-</v>
      </c>
      <c r="N15" t="str">
        <f>IFERROR(VLOOKUP(L15,Katalog!$A$15:$B$25,2,0),"-")</f>
        <v>-</v>
      </c>
      <c r="O15">
        <f t="shared" si="5"/>
        <v>0</v>
      </c>
      <c r="P15" t="str">
        <f t="shared" si="6"/>
        <v>-</v>
      </c>
      <c r="Q15" s="18">
        <f>IFERROR(VLOOKUP(L15,Katalog!$C$3:$F$13,2,0),0)</f>
        <v>0</v>
      </c>
      <c r="R15" s="18">
        <f>IFERROR(VLOOKUP(L15,Katalog!$C$3:$F$13,3,0),0)</f>
        <v>0</v>
      </c>
      <c r="S15" t="str">
        <f t="shared" si="7"/>
        <v>-</v>
      </c>
      <c r="T15" t="str">
        <f>IFERROR(INDEX(Katalog!$B$4:$B$13,MATCH('Main Data'!S15,Katalog!$C$4:$C$13,0)),"-")</f>
        <v>-</v>
      </c>
      <c r="U15" t="str">
        <f>IFERROR(VLOOKUP(S15,Katalog!$A$15:$B$25,2,0),"-")</f>
        <v>-</v>
      </c>
      <c r="V15">
        <f t="shared" si="8"/>
        <v>0</v>
      </c>
      <c r="W15" s="28" t="str">
        <f t="shared" si="9"/>
        <v>-</v>
      </c>
      <c r="X15" s="18">
        <f>IFERROR(VLOOKUP(S15,Katalog!$C$3:$F$13,2,0),0)</f>
        <v>0</v>
      </c>
      <c r="Y15" s="30">
        <f>IFERROR(VLOOKUP(S15,Katalog!$C$3:$F$13,3,0),0)</f>
        <v>0</v>
      </c>
      <c r="Z15" s="2">
        <f t="shared" si="10"/>
        <v>1</v>
      </c>
      <c r="AA15" s="4">
        <f t="shared" si="11"/>
        <v>150000</v>
      </c>
      <c r="AB15" s="4">
        <f t="shared" si="12"/>
        <v>70000</v>
      </c>
      <c r="AC15" s="4" t="s">
        <v>12</v>
      </c>
      <c r="AD15" s="16">
        <f>IFERROR(VLOOKUP(AC15,'Kode Diskon'!$C$2:$D$9,2,0),0)</f>
        <v>0.15</v>
      </c>
      <c r="AE15" s="31">
        <f t="shared" si="13"/>
        <v>22500</v>
      </c>
      <c r="AF15" s="31">
        <f t="shared" si="14"/>
        <v>127500</v>
      </c>
      <c r="AG15" s="31">
        <f t="shared" si="15"/>
        <v>80000</v>
      </c>
      <c r="AH15" s="31">
        <f t="shared" si="16"/>
        <v>57500</v>
      </c>
      <c r="AI15" s="4" t="s">
        <v>28</v>
      </c>
      <c r="AJ15" s="4" t="s">
        <v>6</v>
      </c>
      <c r="AK15" s="4" t="str">
        <f>IFERROR(VLOOKUP(AJ15,'Guide '!$A$13:$B$16,2,0),"-")</f>
        <v>SP</v>
      </c>
      <c r="AL15" s="4" t="s">
        <v>924</v>
      </c>
      <c r="AM15" s="40">
        <v>45297</v>
      </c>
      <c r="AN15">
        <f t="shared" si="17"/>
        <v>29</v>
      </c>
      <c r="AO15">
        <f t="shared" si="18"/>
        <v>32</v>
      </c>
      <c r="AP15">
        <f t="shared" si="19"/>
        <v>40</v>
      </c>
      <c r="AQ15">
        <f t="shared" si="20"/>
        <v>43</v>
      </c>
      <c r="AR15" s="26" t="str">
        <f t="shared" si="21"/>
        <v>-</v>
      </c>
      <c r="AS15" s="26" t="str">
        <f t="shared" si="22"/>
        <v>-</v>
      </c>
      <c r="AT15" s="21">
        <f t="shared" si="23"/>
        <v>12</v>
      </c>
      <c r="AU15" s="21">
        <f t="shared" si="24"/>
        <v>19</v>
      </c>
      <c r="AV15" t="str">
        <f t="shared" si="25"/>
        <v>-</v>
      </c>
      <c r="AW15" t="str">
        <f t="shared" si="26"/>
        <v>-</v>
      </c>
      <c r="AX15" t="str">
        <f t="shared" si="27"/>
        <v>-</v>
      </c>
      <c r="AY15" t="str">
        <f t="shared" si="28"/>
        <v>-</v>
      </c>
      <c r="AZ15" t="str">
        <f t="shared" si="29"/>
        <v>-</v>
      </c>
      <c r="BA15" t="str">
        <f t="shared" si="30"/>
        <v>-</v>
      </c>
      <c r="BB15" t="str">
        <f t="shared" si="31"/>
        <v>-</v>
      </c>
      <c r="BC15" t="str">
        <f t="shared" si="32"/>
        <v>-</v>
      </c>
      <c r="BD15" s="29" t="str">
        <f t="shared" si="33"/>
        <v>-</v>
      </c>
      <c r="BE15" s="29" t="str">
        <f t="shared" si="34"/>
        <v>-</v>
      </c>
    </row>
    <row r="16" spans="1:57" ht="15" x14ac:dyDescent="0.2">
      <c r="A16" s="2">
        <v>367</v>
      </c>
      <c r="B16" s="2" t="str">
        <f t="shared" si="0"/>
        <v>0367</v>
      </c>
      <c r="C16" t="str">
        <f t="shared" si="1"/>
        <v>ORD-TK-0367-06/01/24</v>
      </c>
      <c r="D16" s="3" t="s">
        <v>418</v>
      </c>
      <c r="E16" t="str">
        <f t="shared" si="35"/>
        <v>PP003</v>
      </c>
      <c r="F16" t="str">
        <f>INDEX(Katalog!$B$4:$B$13,MATCH('Main Data'!E16,Katalog!$C$4:$C$13,0))</f>
        <v>Jaket Jeans</v>
      </c>
      <c r="G16" t="str">
        <f>VLOOKUP(E16,Katalog!$A$15:$B$25,2,0)</f>
        <v>Pakaian Pria</v>
      </c>
      <c r="H16" t="str">
        <f t="shared" si="2"/>
        <v>4</v>
      </c>
      <c r="I16" t="str">
        <f t="shared" si="3"/>
        <v>5</v>
      </c>
      <c r="J16" s="18">
        <f>VLOOKUP(E16,Katalog!$C$3:$F$13,2,0)</f>
        <v>150000</v>
      </c>
      <c r="K16" s="18">
        <f>VLOOKUP(E16,Katalog!$C$3:$F$13,3,0)</f>
        <v>70000</v>
      </c>
      <c r="L16" t="str">
        <f t="shared" si="4"/>
        <v>SP002</v>
      </c>
      <c r="M16" t="str">
        <f>IFERROR(INDEX(Katalog!$B$4:$B$13,MATCH('Main Data'!L16,Katalog!$C$4:$C$13,0)), "-")</f>
        <v>Sandal Slip On</v>
      </c>
      <c r="N16" t="str">
        <f>IFERROR(VLOOKUP(L16,Katalog!$A$15:$B$25,2,0),"-")</f>
        <v>Sepatu Pria</v>
      </c>
      <c r="O16" t="str">
        <f t="shared" si="5"/>
        <v>2</v>
      </c>
      <c r="P16" t="str">
        <f t="shared" si="6"/>
        <v>4</v>
      </c>
      <c r="Q16" s="18">
        <f>IFERROR(VLOOKUP(L16,Katalog!$C$3:$F$13,2,0),0)</f>
        <v>120000</v>
      </c>
      <c r="R16" s="18">
        <f>IFERROR(VLOOKUP(L16,Katalog!$C$3:$F$13,3,0),0)</f>
        <v>60000</v>
      </c>
      <c r="S16" t="str">
        <f t="shared" si="7"/>
        <v>-</v>
      </c>
      <c r="T16" t="str">
        <f>IFERROR(INDEX(Katalog!$B$4:$B$13,MATCH('Main Data'!S16,Katalog!$C$4:$C$13,0)),"-")</f>
        <v>-</v>
      </c>
      <c r="U16" t="str">
        <f>IFERROR(VLOOKUP(S16,Katalog!$A$15:$B$25,2,0),"-")</f>
        <v>-</v>
      </c>
      <c r="V16">
        <f t="shared" si="8"/>
        <v>0</v>
      </c>
      <c r="W16" s="28" t="str">
        <f t="shared" si="9"/>
        <v>-</v>
      </c>
      <c r="X16" s="18">
        <f>IFERROR(VLOOKUP(S16,Katalog!$C$3:$F$13,2,0),0)</f>
        <v>0</v>
      </c>
      <c r="Y16" s="30">
        <f>IFERROR(VLOOKUP(S16,Katalog!$C$3:$F$13,3,0),0)</f>
        <v>0</v>
      </c>
      <c r="Z16" s="2">
        <f t="shared" si="10"/>
        <v>6</v>
      </c>
      <c r="AA16" s="4">
        <f t="shared" si="11"/>
        <v>840000</v>
      </c>
      <c r="AB16" s="4">
        <f t="shared" si="12"/>
        <v>400000</v>
      </c>
      <c r="AC16" s="4" t="s">
        <v>10</v>
      </c>
      <c r="AD16" s="16">
        <f>IFERROR(VLOOKUP(AC16,'Kode Diskon'!$C$2:$D$9,2,0),0)</f>
        <v>0</v>
      </c>
      <c r="AE16" s="31">
        <f t="shared" si="13"/>
        <v>0</v>
      </c>
      <c r="AF16" s="31">
        <f t="shared" si="14"/>
        <v>840000</v>
      </c>
      <c r="AG16" s="31">
        <f t="shared" si="15"/>
        <v>440000</v>
      </c>
      <c r="AH16" s="31">
        <f t="shared" si="16"/>
        <v>440000</v>
      </c>
      <c r="AI16" s="4" t="s">
        <v>10</v>
      </c>
      <c r="AJ16" s="4" t="s">
        <v>9</v>
      </c>
      <c r="AK16" s="4" t="str">
        <f>IFERROR(VLOOKUP(AJ16,'Guide '!$A$13:$B$16,2,0),"-")</f>
        <v>TK</v>
      </c>
      <c r="AL16" s="4" t="s">
        <v>925</v>
      </c>
      <c r="AM16" s="40">
        <v>45297</v>
      </c>
      <c r="AN16">
        <f t="shared" si="17"/>
        <v>29</v>
      </c>
      <c r="AO16">
        <f t="shared" si="18"/>
        <v>32</v>
      </c>
      <c r="AP16">
        <f t="shared" si="19"/>
        <v>40</v>
      </c>
      <c r="AQ16">
        <f t="shared" si="20"/>
        <v>43</v>
      </c>
      <c r="AR16" s="26">
        <f t="shared" si="21"/>
        <v>56</v>
      </c>
      <c r="AS16" s="26">
        <f t="shared" si="22"/>
        <v>63</v>
      </c>
      <c r="AT16" s="21">
        <f t="shared" si="23"/>
        <v>12</v>
      </c>
      <c r="AU16" s="21">
        <f t="shared" si="24"/>
        <v>19</v>
      </c>
      <c r="AV16">
        <f t="shared" si="25"/>
        <v>73</v>
      </c>
      <c r="AW16">
        <f t="shared" si="26"/>
        <v>76</v>
      </c>
      <c r="AX16">
        <f t="shared" si="27"/>
        <v>84</v>
      </c>
      <c r="AY16">
        <f t="shared" si="28"/>
        <v>87</v>
      </c>
      <c r="AZ16" t="str">
        <f t="shared" si="29"/>
        <v>-</v>
      </c>
      <c r="BA16" t="str">
        <f t="shared" si="30"/>
        <v>-</v>
      </c>
      <c r="BB16" t="str">
        <f t="shared" si="31"/>
        <v>-</v>
      </c>
      <c r="BC16" t="str">
        <f t="shared" si="32"/>
        <v>-</v>
      </c>
      <c r="BD16" s="29" t="str">
        <f t="shared" si="33"/>
        <v>-</v>
      </c>
      <c r="BE16" s="29" t="str">
        <f t="shared" si="34"/>
        <v>-</v>
      </c>
    </row>
    <row r="17" spans="1:57" ht="15" x14ac:dyDescent="0.2">
      <c r="A17" s="2">
        <v>511</v>
      </c>
      <c r="B17" s="2" t="str">
        <f t="shared" si="0"/>
        <v>0511</v>
      </c>
      <c r="C17" t="str">
        <f t="shared" si="1"/>
        <v>ORD-BL-0511-06/01/24</v>
      </c>
      <c r="D17" s="3" t="s">
        <v>499</v>
      </c>
      <c r="E17" t="str">
        <f t="shared" si="35"/>
        <v>PU001</v>
      </c>
      <c r="F17" t="str">
        <f>INDEX(Katalog!$B$4:$B$13,MATCH('Main Data'!E17,Katalog!$C$4:$C$13,0))</f>
        <v>Jaket Hoodie</v>
      </c>
      <c r="G17" t="str">
        <f>VLOOKUP(E17,Katalog!$A$15:$B$25,2,0)</f>
        <v>Pakaian Unisex</v>
      </c>
      <c r="H17" t="str">
        <f t="shared" si="2"/>
        <v>1</v>
      </c>
      <c r="I17" t="str">
        <f t="shared" si="3"/>
        <v>5</v>
      </c>
      <c r="J17" s="18">
        <f>VLOOKUP(E17,Katalog!$C$3:$F$13,2,0)</f>
        <v>160000</v>
      </c>
      <c r="K17" s="18">
        <f>VLOOKUP(E17,Katalog!$C$3:$F$13,3,0)</f>
        <v>60000</v>
      </c>
      <c r="L17" t="str">
        <f t="shared" si="4"/>
        <v>-</v>
      </c>
      <c r="M17" t="str">
        <f>IFERROR(INDEX(Katalog!$B$4:$B$13,MATCH('Main Data'!L17,Katalog!$C$4:$C$13,0)), "-")</f>
        <v>-</v>
      </c>
      <c r="N17" t="str">
        <f>IFERROR(VLOOKUP(L17,Katalog!$A$15:$B$25,2,0),"-")</f>
        <v>-</v>
      </c>
      <c r="O17">
        <f t="shared" si="5"/>
        <v>0</v>
      </c>
      <c r="P17" t="str">
        <f t="shared" si="6"/>
        <v>-</v>
      </c>
      <c r="Q17" s="18">
        <f>IFERROR(VLOOKUP(L17,Katalog!$C$3:$F$13,2,0),0)</f>
        <v>0</v>
      </c>
      <c r="R17" s="18">
        <f>IFERROR(VLOOKUP(L17,Katalog!$C$3:$F$13,3,0),0)</f>
        <v>0</v>
      </c>
      <c r="S17" t="str">
        <f t="shared" si="7"/>
        <v>-</v>
      </c>
      <c r="T17" t="str">
        <f>IFERROR(INDEX(Katalog!$B$4:$B$13,MATCH('Main Data'!S17,Katalog!$C$4:$C$13,0)),"-")</f>
        <v>-</v>
      </c>
      <c r="U17" t="str">
        <f>IFERROR(VLOOKUP(S17,Katalog!$A$15:$B$25,2,0),"-")</f>
        <v>-</v>
      </c>
      <c r="V17">
        <f t="shared" si="8"/>
        <v>0</v>
      </c>
      <c r="W17" s="28" t="str">
        <f t="shared" si="9"/>
        <v>-</v>
      </c>
      <c r="X17" s="18">
        <f>IFERROR(VLOOKUP(S17,Katalog!$C$3:$F$13,2,0),0)</f>
        <v>0</v>
      </c>
      <c r="Y17" s="30">
        <f>IFERROR(VLOOKUP(S17,Katalog!$C$3:$F$13,3,0),0)</f>
        <v>0</v>
      </c>
      <c r="Z17" s="2">
        <f t="shared" si="10"/>
        <v>1</v>
      </c>
      <c r="AA17" s="4">
        <f t="shared" si="11"/>
        <v>160000</v>
      </c>
      <c r="AB17" s="4">
        <f t="shared" si="12"/>
        <v>60000</v>
      </c>
      <c r="AC17" s="4" t="s">
        <v>31</v>
      </c>
      <c r="AD17" s="16">
        <f>IFERROR(VLOOKUP(AC17,'Kode Diskon'!$C$2:$D$9,2,0),0)</f>
        <v>0.15</v>
      </c>
      <c r="AE17" s="31">
        <f t="shared" si="13"/>
        <v>24000</v>
      </c>
      <c r="AF17" s="31">
        <f t="shared" si="14"/>
        <v>136000</v>
      </c>
      <c r="AG17" s="31">
        <f t="shared" si="15"/>
        <v>100000</v>
      </c>
      <c r="AH17" s="31">
        <f t="shared" si="16"/>
        <v>76000</v>
      </c>
      <c r="AI17" s="4" t="s">
        <v>8</v>
      </c>
      <c r="AJ17" s="4" t="s">
        <v>11</v>
      </c>
      <c r="AK17" s="4" t="str">
        <f>IFERROR(VLOOKUP(AJ17,'Guide '!$A$13:$B$16,2,0),"-")</f>
        <v>BL</v>
      </c>
      <c r="AL17" s="4" t="s">
        <v>921</v>
      </c>
      <c r="AM17" s="40">
        <v>45297</v>
      </c>
      <c r="AN17">
        <f t="shared" si="17"/>
        <v>29</v>
      </c>
      <c r="AO17">
        <f t="shared" si="18"/>
        <v>32</v>
      </c>
      <c r="AP17">
        <f t="shared" si="19"/>
        <v>40</v>
      </c>
      <c r="AQ17">
        <f t="shared" si="20"/>
        <v>43</v>
      </c>
      <c r="AR17" s="26" t="str">
        <f t="shared" si="21"/>
        <v>-</v>
      </c>
      <c r="AS17" s="26" t="str">
        <f t="shared" si="22"/>
        <v>-</v>
      </c>
      <c r="AT17" s="21">
        <f t="shared" si="23"/>
        <v>12</v>
      </c>
      <c r="AU17" s="21">
        <f t="shared" si="24"/>
        <v>19</v>
      </c>
      <c r="AV17" t="str">
        <f t="shared" si="25"/>
        <v>-</v>
      </c>
      <c r="AW17" t="str">
        <f t="shared" si="26"/>
        <v>-</v>
      </c>
      <c r="AX17" t="str">
        <f t="shared" si="27"/>
        <v>-</v>
      </c>
      <c r="AY17" t="str">
        <f t="shared" si="28"/>
        <v>-</v>
      </c>
      <c r="AZ17" t="str">
        <f t="shared" si="29"/>
        <v>-</v>
      </c>
      <c r="BA17" t="str">
        <f t="shared" si="30"/>
        <v>-</v>
      </c>
      <c r="BB17" t="str">
        <f t="shared" si="31"/>
        <v>-</v>
      </c>
      <c r="BC17" t="str">
        <f t="shared" si="32"/>
        <v>-</v>
      </c>
      <c r="BD17" s="29" t="str">
        <f t="shared" si="33"/>
        <v>-</v>
      </c>
      <c r="BE17" s="29" t="str">
        <f t="shared" si="34"/>
        <v>-</v>
      </c>
    </row>
    <row r="18" spans="1:57" ht="15" x14ac:dyDescent="0.2">
      <c r="A18" s="2">
        <v>422</v>
      </c>
      <c r="B18" s="2" t="str">
        <f t="shared" si="0"/>
        <v>0422</v>
      </c>
      <c r="C18" t="str">
        <f t="shared" si="1"/>
        <v>ORD-SP-0422-08/01/24</v>
      </c>
      <c r="D18" s="3" t="s">
        <v>465</v>
      </c>
      <c r="E18" t="str">
        <f t="shared" si="35"/>
        <v>PP003</v>
      </c>
      <c r="F18" t="str">
        <f>INDEX(Katalog!$B$4:$B$13,MATCH('Main Data'!E18,Katalog!$C$4:$C$13,0))</f>
        <v>Jaket Jeans</v>
      </c>
      <c r="G18" t="str">
        <f>VLOOKUP(E18,Katalog!$A$15:$B$25,2,0)</f>
        <v>Pakaian Pria</v>
      </c>
      <c r="H18" t="str">
        <f t="shared" si="2"/>
        <v>1</v>
      </c>
      <c r="I18" t="str">
        <f t="shared" si="3"/>
        <v>3</v>
      </c>
      <c r="J18" s="18">
        <f>VLOOKUP(E18,Katalog!$C$3:$F$13,2,0)</f>
        <v>150000</v>
      </c>
      <c r="K18" s="18">
        <f>VLOOKUP(E18,Katalog!$C$3:$F$13,3,0)</f>
        <v>70000</v>
      </c>
      <c r="L18" t="str">
        <f t="shared" si="4"/>
        <v>PP002</v>
      </c>
      <c r="M18" t="str">
        <f>IFERROR(INDEX(Katalog!$B$4:$B$13,MATCH('Main Data'!L18,Katalog!$C$4:$C$13,0)), "-")</f>
        <v>Celana Pendek</v>
      </c>
      <c r="N18" t="str">
        <f>IFERROR(VLOOKUP(L18,Katalog!$A$15:$B$25,2,0),"-")</f>
        <v>Pakaian Pria</v>
      </c>
      <c r="O18" t="str">
        <f t="shared" si="5"/>
        <v>5</v>
      </c>
      <c r="P18" t="str">
        <f t="shared" si="6"/>
        <v>2</v>
      </c>
      <c r="Q18" s="18">
        <f>IFERROR(VLOOKUP(L18,Katalog!$C$3:$F$13,2,0),0)</f>
        <v>60000</v>
      </c>
      <c r="R18" s="18">
        <f>IFERROR(VLOOKUP(L18,Katalog!$C$3:$F$13,3,0),0)</f>
        <v>25000</v>
      </c>
      <c r="S18" t="str">
        <f t="shared" si="7"/>
        <v>-</v>
      </c>
      <c r="T18" t="str">
        <f>IFERROR(INDEX(Katalog!$B$4:$B$13,MATCH('Main Data'!S18,Katalog!$C$4:$C$13,0)),"-")</f>
        <v>-</v>
      </c>
      <c r="U18" t="str">
        <f>IFERROR(VLOOKUP(S18,Katalog!$A$15:$B$25,2,0),"-")</f>
        <v>-</v>
      </c>
      <c r="V18">
        <f t="shared" si="8"/>
        <v>0</v>
      </c>
      <c r="W18" s="28" t="str">
        <f t="shared" si="9"/>
        <v>-</v>
      </c>
      <c r="X18" s="18">
        <f>IFERROR(VLOOKUP(S18,Katalog!$C$3:$F$13,2,0),0)</f>
        <v>0</v>
      </c>
      <c r="Y18" s="30">
        <f>IFERROR(VLOOKUP(S18,Katalog!$C$3:$F$13,3,0),0)</f>
        <v>0</v>
      </c>
      <c r="Z18" s="2">
        <f t="shared" si="10"/>
        <v>6</v>
      </c>
      <c r="AA18" s="4">
        <f t="shared" si="11"/>
        <v>450000</v>
      </c>
      <c r="AB18" s="4">
        <f t="shared" si="12"/>
        <v>195000</v>
      </c>
      <c r="AC18" s="4" t="s">
        <v>10</v>
      </c>
      <c r="AD18" s="16">
        <f>IFERROR(VLOOKUP(AC18,'Kode Diskon'!$C$2:$D$9,2,0),0)</f>
        <v>0</v>
      </c>
      <c r="AE18" s="31">
        <f t="shared" si="13"/>
        <v>0</v>
      </c>
      <c r="AF18" s="31">
        <f t="shared" si="14"/>
        <v>450000</v>
      </c>
      <c r="AG18" s="31">
        <f t="shared" si="15"/>
        <v>255000</v>
      </c>
      <c r="AH18" s="31">
        <f t="shared" si="16"/>
        <v>255000</v>
      </c>
      <c r="AI18" s="4" t="s">
        <v>10</v>
      </c>
      <c r="AJ18" s="4" t="s">
        <v>6</v>
      </c>
      <c r="AK18" s="4" t="str">
        <f>IFERROR(VLOOKUP(AJ18,'Guide '!$A$13:$B$16,2,0),"-")</f>
        <v>SP</v>
      </c>
      <c r="AL18" s="4" t="s">
        <v>921</v>
      </c>
      <c r="AM18" s="40">
        <v>45299</v>
      </c>
      <c r="AN18">
        <f t="shared" si="17"/>
        <v>29</v>
      </c>
      <c r="AO18">
        <f t="shared" si="18"/>
        <v>32</v>
      </c>
      <c r="AP18">
        <f t="shared" si="19"/>
        <v>40</v>
      </c>
      <c r="AQ18">
        <f t="shared" si="20"/>
        <v>43</v>
      </c>
      <c r="AR18" s="26">
        <f t="shared" si="21"/>
        <v>56</v>
      </c>
      <c r="AS18" s="26">
        <f t="shared" si="22"/>
        <v>63</v>
      </c>
      <c r="AT18" s="21">
        <f t="shared" si="23"/>
        <v>12</v>
      </c>
      <c r="AU18" s="21">
        <f t="shared" si="24"/>
        <v>19</v>
      </c>
      <c r="AV18">
        <f t="shared" si="25"/>
        <v>73</v>
      </c>
      <c r="AW18">
        <f t="shared" si="26"/>
        <v>76</v>
      </c>
      <c r="AX18">
        <f t="shared" si="27"/>
        <v>84</v>
      </c>
      <c r="AY18">
        <f t="shared" si="28"/>
        <v>87</v>
      </c>
      <c r="AZ18" t="str">
        <f t="shared" si="29"/>
        <v>-</v>
      </c>
      <c r="BA18" t="str">
        <f t="shared" si="30"/>
        <v>-</v>
      </c>
      <c r="BB18" t="str">
        <f t="shared" si="31"/>
        <v>-</v>
      </c>
      <c r="BC18" t="str">
        <f t="shared" si="32"/>
        <v>-</v>
      </c>
      <c r="BD18" s="29" t="str">
        <f t="shared" si="33"/>
        <v>-</v>
      </c>
      <c r="BE18" s="29" t="str">
        <f t="shared" si="34"/>
        <v>-</v>
      </c>
    </row>
    <row r="19" spans="1:57" ht="15" x14ac:dyDescent="0.2">
      <c r="A19" s="2">
        <v>499</v>
      </c>
      <c r="B19" s="2" t="str">
        <f t="shared" si="0"/>
        <v>0499</v>
      </c>
      <c r="C19" t="str">
        <f t="shared" si="1"/>
        <v>ORD-TK-0499-08/01/24</v>
      </c>
      <c r="D19" s="3" t="s">
        <v>529</v>
      </c>
      <c r="E19" t="str">
        <f t="shared" si="35"/>
        <v>SW001</v>
      </c>
      <c r="F19" t="str">
        <f>INDEX(Katalog!$B$4:$B$13,MATCH('Main Data'!E19,Katalog!$C$4:$C$13,0))</f>
        <v>Flat Shoes</v>
      </c>
      <c r="G19" t="str">
        <f>VLOOKUP(E19,Katalog!$A$15:$B$25,2,0)</f>
        <v>Sepatu Wanita</v>
      </c>
      <c r="H19" t="str">
        <f t="shared" si="2"/>
        <v>2</v>
      </c>
      <c r="I19" t="str">
        <f t="shared" si="3"/>
        <v>4</v>
      </c>
      <c r="J19" s="18">
        <f>VLOOKUP(E19,Katalog!$C$3:$F$13,2,0)</f>
        <v>150000</v>
      </c>
      <c r="K19" s="18">
        <f>VLOOKUP(E19,Katalog!$C$3:$F$13,3,0)</f>
        <v>70000</v>
      </c>
      <c r="L19" t="str">
        <f t="shared" si="4"/>
        <v>PP001</v>
      </c>
      <c r="M19" t="str">
        <f>IFERROR(INDEX(Katalog!$B$4:$B$13,MATCH('Main Data'!L19,Katalog!$C$4:$C$13,0)), "-")</f>
        <v>Kaos Polo</v>
      </c>
      <c r="N19" t="str">
        <f>IFERROR(VLOOKUP(L19,Katalog!$A$15:$B$25,2,0),"-")</f>
        <v>Pakaian Pria</v>
      </c>
      <c r="O19" t="str">
        <f t="shared" si="5"/>
        <v>1</v>
      </c>
      <c r="P19" t="str">
        <f t="shared" si="6"/>
        <v>5</v>
      </c>
      <c r="Q19" s="18">
        <f>IFERROR(VLOOKUP(L19,Katalog!$C$3:$F$13,2,0),0)</f>
        <v>80000</v>
      </c>
      <c r="R19" s="18">
        <f>IFERROR(VLOOKUP(L19,Katalog!$C$3:$F$13,3,0),0)</f>
        <v>30000</v>
      </c>
      <c r="S19" t="str">
        <f t="shared" si="7"/>
        <v>-</v>
      </c>
      <c r="T19" t="str">
        <f>IFERROR(INDEX(Katalog!$B$4:$B$13,MATCH('Main Data'!S19,Katalog!$C$4:$C$13,0)),"-")</f>
        <v>-</v>
      </c>
      <c r="U19" t="str">
        <f>IFERROR(VLOOKUP(S19,Katalog!$A$15:$B$25,2,0),"-")</f>
        <v>-</v>
      </c>
      <c r="V19">
        <f t="shared" si="8"/>
        <v>0</v>
      </c>
      <c r="W19" s="28" t="str">
        <f t="shared" si="9"/>
        <v>-</v>
      </c>
      <c r="X19" s="18">
        <f>IFERROR(VLOOKUP(S19,Katalog!$C$3:$F$13,2,0),0)</f>
        <v>0</v>
      </c>
      <c r="Y19" s="30">
        <f>IFERROR(VLOOKUP(S19,Katalog!$C$3:$F$13,3,0),0)</f>
        <v>0</v>
      </c>
      <c r="Z19" s="2">
        <f t="shared" si="10"/>
        <v>3</v>
      </c>
      <c r="AA19" s="4">
        <f t="shared" si="11"/>
        <v>380000</v>
      </c>
      <c r="AB19" s="4">
        <f t="shared" si="12"/>
        <v>170000</v>
      </c>
      <c r="AC19" s="4" t="s">
        <v>29</v>
      </c>
      <c r="AD19" s="16">
        <f>IFERROR(VLOOKUP(AC19,'Kode Diskon'!$C$2:$D$9,2,0),0)</f>
        <v>0.1</v>
      </c>
      <c r="AE19" s="31">
        <f t="shared" si="13"/>
        <v>38000</v>
      </c>
      <c r="AF19" s="31">
        <f t="shared" si="14"/>
        <v>342000</v>
      </c>
      <c r="AG19" s="31">
        <f t="shared" si="15"/>
        <v>210000</v>
      </c>
      <c r="AH19" s="31">
        <f t="shared" si="16"/>
        <v>172000</v>
      </c>
      <c r="AI19" s="4" t="s">
        <v>28</v>
      </c>
      <c r="AJ19" s="4" t="s">
        <v>9</v>
      </c>
      <c r="AK19" s="4" t="str">
        <f>IFERROR(VLOOKUP(AJ19,'Guide '!$A$13:$B$16,2,0),"-")</f>
        <v>TK</v>
      </c>
      <c r="AL19" s="4" t="s">
        <v>922</v>
      </c>
      <c r="AM19" s="40">
        <v>45299</v>
      </c>
      <c r="AN19">
        <f t="shared" si="17"/>
        <v>29</v>
      </c>
      <c r="AO19">
        <f t="shared" si="18"/>
        <v>32</v>
      </c>
      <c r="AP19">
        <f t="shared" si="19"/>
        <v>40</v>
      </c>
      <c r="AQ19">
        <f t="shared" si="20"/>
        <v>43</v>
      </c>
      <c r="AR19" s="26">
        <f t="shared" si="21"/>
        <v>56</v>
      </c>
      <c r="AS19" s="26">
        <f t="shared" si="22"/>
        <v>63</v>
      </c>
      <c r="AT19" s="21">
        <f t="shared" si="23"/>
        <v>12</v>
      </c>
      <c r="AU19" s="21">
        <f t="shared" si="24"/>
        <v>19</v>
      </c>
      <c r="AV19">
        <f t="shared" si="25"/>
        <v>73</v>
      </c>
      <c r="AW19">
        <f t="shared" si="26"/>
        <v>76</v>
      </c>
      <c r="AX19">
        <f t="shared" si="27"/>
        <v>84</v>
      </c>
      <c r="AY19">
        <f t="shared" si="28"/>
        <v>87</v>
      </c>
      <c r="AZ19" t="str">
        <f t="shared" si="29"/>
        <v>-</v>
      </c>
      <c r="BA19" t="str">
        <f t="shared" si="30"/>
        <v>-</v>
      </c>
      <c r="BB19" t="str">
        <f t="shared" si="31"/>
        <v>-</v>
      </c>
      <c r="BC19" t="str">
        <f t="shared" si="32"/>
        <v>-</v>
      </c>
      <c r="BD19" s="29" t="str">
        <f t="shared" si="33"/>
        <v>-</v>
      </c>
      <c r="BE19" s="29" t="str">
        <f t="shared" si="34"/>
        <v>-</v>
      </c>
    </row>
    <row r="20" spans="1:57" ht="15" x14ac:dyDescent="0.2">
      <c r="A20" s="2">
        <v>648</v>
      </c>
      <c r="B20" s="2" t="str">
        <f t="shared" si="0"/>
        <v>0648</v>
      </c>
      <c r="C20" t="str">
        <f t="shared" si="1"/>
        <v>ORD-BL-0648-08/01/24</v>
      </c>
      <c r="D20" s="3" t="s">
        <v>651</v>
      </c>
      <c r="E20" t="str">
        <f t="shared" si="35"/>
        <v>PW002</v>
      </c>
      <c r="F20" t="str">
        <f>INDEX(Katalog!$B$4:$B$13,MATCH('Main Data'!E20,Katalog!$C$4:$C$13,0))</f>
        <v>Blouse</v>
      </c>
      <c r="G20" t="str">
        <f>VLOOKUP(E20,Katalog!$A$15:$B$25,2,0)</f>
        <v>Pakaian Wanita</v>
      </c>
      <c r="H20" t="str">
        <f t="shared" si="2"/>
        <v>3</v>
      </c>
      <c r="I20" t="str">
        <f t="shared" si="3"/>
        <v>5</v>
      </c>
      <c r="J20" s="18">
        <f>VLOOKUP(E20,Katalog!$C$3:$F$13,2,0)</f>
        <v>125000</v>
      </c>
      <c r="K20" s="18">
        <f>VLOOKUP(E20,Katalog!$C$3:$F$13,3,0)</f>
        <v>50000</v>
      </c>
      <c r="L20" t="str">
        <f t="shared" si="4"/>
        <v>SW001</v>
      </c>
      <c r="M20" t="str">
        <f>IFERROR(INDEX(Katalog!$B$4:$B$13,MATCH('Main Data'!L20,Katalog!$C$4:$C$13,0)), "-")</f>
        <v>Flat Shoes</v>
      </c>
      <c r="N20" t="str">
        <f>IFERROR(VLOOKUP(L20,Katalog!$A$15:$B$25,2,0),"-")</f>
        <v>Sepatu Wanita</v>
      </c>
      <c r="O20" t="str">
        <f t="shared" si="5"/>
        <v>3</v>
      </c>
      <c r="P20" t="str">
        <f t="shared" si="6"/>
        <v>1</v>
      </c>
      <c r="Q20" s="18">
        <f>IFERROR(VLOOKUP(L20,Katalog!$C$3:$F$13,2,0),0)</f>
        <v>150000</v>
      </c>
      <c r="R20" s="18">
        <f>IFERROR(VLOOKUP(L20,Katalog!$C$3:$F$13,3,0),0)</f>
        <v>70000</v>
      </c>
      <c r="S20" t="str">
        <f t="shared" si="7"/>
        <v>-</v>
      </c>
      <c r="T20" t="str">
        <f>IFERROR(INDEX(Katalog!$B$4:$B$13,MATCH('Main Data'!S20,Katalog!$C$4:$C$13,0)),"-")</f>
        <v>-</v>
      </c>
      <c r="U20" t="str">
        <f>IFERROR(VLOOKUP(S20,Katalog!$A$15:$B$25,2,0),"-")</f>
        <v>-</v>
      </c>
      <c r="V20">
        <f t="shared" si="8"/>
        <v>0</v>
      </c>
      <c r="W20" s="28" t="str">
        <f t="shared" si="9"/>
        <v>-</v>
      </c>
      <c r="X20" s="18">
        <f>IFERROR(VLOOKUP(S20,Katalog!$C$3:$F$13,2,0),0)</f>
        <v>0</v>
      </c>
      <c r="Y20" s="30">
        <f>IFERROR(VLOOKUP(S20,Katalog!$C$3:$F$13,3,0),0)</f>
        <v>0</v>
      </c>
      <c r="Z20" s="2">
        <f t="shared" si="10"/>
        <v>6</v>
      </c>
      <c r="AA20" s="4">
        <f t="shared" si="11"/>
        <v>825000</v>
      </c>
      <c r="AB20" s="4">
        <f t="shared" si="12"/>
        <v>360000</v>
      </c>
      <c r="AC20" s="4" t="s">
        <v>31</v>
      </c>
      <c r="AD20" s="16">
        <f>IFERROR(VLOOKUP(AC20,'Kode Diskon'!$C$2:$D$9,2,0),0)</f>
        <v>0.15</v>
      </c>
      <c r="AE20" s="31">
        <f t="shared" si="13"/>
        <v>123750</v>
      </c>
      <c r="AF20" s="31">
        <f t="shared" si="14"/>
        <v>701250</v>
      </c>
      <c r="AG20" s="31">
        <f t="shared" si="15"/>
        <v>465000</v>
      </c>
      <c r="AH20" s="31">
        <f t="shared" si="16"/>
        <v>341250</v>
      </c>
      <c r="AI20" s="4" t="s">
        <v>8</v>
      </c>
      <c r="AJ20" s="4" t="s">
        <v>11</v>
      </c>
      <c r="AK20" s="4" t="str">
        <f>IFERROR(VLOOKUP(AJ20,'Guide '!$A$13:$B$16,2,0),"-")</f>
        <v>BL</v>
      </c>
      <c r="AL20" s="4" t="s">
        <v>924</v>
      </c>
      <c r="AM20" s="40">
        <v>45299</v>
      </c>
      <c r="AN20">
        <f t="shared" si="17"/>
        <v>29</v>
      </c>
      <c r="AO20">
        <f t="shared" si="18"/>
        <v>32</v>
      </c>
      <c r="AP20">
        <f t="shared" si="19"/>
        <v>40</v>
      </c>
      <c r="AQ20">
        <f t="shared" si="20"/>
        <v>43</v>
      </c>
      <c r="AR20" s="26">
        <f t="shared" si="21"/>
        <v>56</v>
      </c>
      <c r="AS20" s="26">
        <f t="shared" si="22"/>
        <v>63</v>
      </c>
      <c r="AT20" s="21">
        <f t="shared" si="23"/>
        <v>12</v>
      </c>
      <c r="AU20" s="21">
        <f t="shared" si="24"/>
        <v>19</v>
      </c>
      <c r="AV20">
        <f t="shared" si="25"/>
        <v>73</v>
      </c>
      <c r="AW20">
        <f t="shared" si="26"/>
        <v>76</v>
      </c>
      <c r="AX20">
        <f t="shared" si="27"/>
        <v>84</v>
      </c>
      <c r="AY20">
        <f t="shared" si="28"/>
        <v>87</v>
      </c>
      <c r="AZ20" t="str">
        <f t="shared" si="29"/>
        <v>-</v>
      </c>
      <c r="BA20" t="str">
        <f t="shared" si="30"/>
        <v>-</v>
      </c>
      <c r="BB20" t="str">
        <f t="shared" si="31"/>
        <v>-</v>
      </c>
      <c r="BC20" t="str">
        <f t="shared" si="32"/>
        <v>-</v>
      </c>
      <c r="BD20" s="29" t="str">
        <f t="shared" si="33"/>
        <v>-</v>
      </c>
      <c r="BE20" s="29" t="str">
        <f t="shared" si="34"/>
        <v>-</v>
      </c>
    </row>
    <row r="21" spans="1:57" ht="15" x14ac:dyDescent="0.2">
      <c r="A21" s="2">
        <v>826</v>
      </c>
      <c r="B21" s="2" t="str">
        <f t="shared" si="0"/>
        <v>0826</v>
      </c>
      <c r="C21" t="str">
        <f t="shared" si="1"/>
        <v>ORD-BL-0826-08/01/24</v>
      </c>
      <c r="D21" s="3" t="s">
        <v>786</v>
      </c>
      <c r="E21" t="str">
        <f t="shared" si="35"/>
        <v>PU001</v>
      </c>
      <c r="F21" t="str">
        <f>INDEX(Katalog!$B$4:$B$13,MATCH('Main Data'!E21,Katalog!$C$4:$C$13,0))</f>
        <v>Jaket Hoodie</v>
      </c>
      <c r="G21" t="str">
        <f>VLOOKUP(E21,Katalog!$A$15:$B$25,2,0)</f>
        <v>Pakaian Unisex</v>
      </c>
      <c r="H21" t="str">
        <f t="shared" si="2"/>
        <v>4</v>
      </c>
      <c r="I21" t="str">
        <f t="shared" si="3"/>
        <v>3</v>
      </c>
      <c r="J21" s="18">
        <f>VLOOKUP(E21,Katalog!$C$3:$F$13,2,0)</f>
        <v>160000</v>
      </c>
      <c r="K21" s="18">
        <f>VLOOKUP(E21,Katalog!$C$3:$F$13,3,0)</f>
        <v>60000</v>
      </c>
      <c r="L21" t="str">
        <f t="shared" si="4"/>
        <v>PW002</v>
      </c>
      <c r="M21" t="str">
        <f>IFERROR(INDEX(Katalog!$B$4:$B$13,MATCH('Main Data'!L21,Katalog!$C$4:$C$13,0)), "-")</f>
        <v>Blouse</v>
      </c>
      <c r="N21" t="str">
        <f>IFERROR(VLOOKUP(L21,Katalog!$A$15:$B$25,2,0),"-")</f>
        <v>Pakaian Wanita</v>
      </c>
      <c r="O21" t="str">
        <f t="shared" si="5"/>
        <v>1</v>
      </c>
      <c r="P21" t="str">
        <f t="shared" si="6"/>
        <v>5</v>
      </c>
      <c r="Q21" s="18">
        <f>IFERROR(VLOOKUP(L21,Katalog!$C$3:$F$13,2,0),0)</f>
        <v>125000</v>
      </c>
      <c r="R21" s="18">
        <f>IFERROR(VLOOKUP(L21,Katalog!$C$3:$F$13,3,0),0)</f>
        <v>50000</v>
      </c>
      <c r="S21" t="str">
        <f t="shared" si="7"/>
        <v>-</v>
      </c>
      <c r="T21" t="str">
        <f>IFERROR(INDEX(Katalog!$B$4:$B$13,MATCH('Main Data'!S21,Katalog!$C$4:$C$13,0)),"-")</f>
        <v>-</v>
      </c>
      <c r="U21" t="str">
        <f>IFERROR(VLOOKUP(S21,Katalog!$A$15:$B$25,2,0),"-")</f>
        <v>-</v>
      </c>
      <c r="V21">
        <f t="shared" si="8"/>
        <v>0</v>
      </c>
      <c r="W21" s="28" t="str">
        <f t="shared" si="9"/>
        <v>-</v>
      </c>
      <c r="X21" s="18">
        <f>IFERROR(VLOOKUP(S21,Katalog!$C$3:$F$13,2,0),0)</f>
        <v>0</v>
      </c>
      <c r="Y21" s="30">
        <f>IFERROR(VLOOKUP(S21,Katalog!$C$3:$F$13,3,0),0)</f>
        <v>0</v>
      </c>
      <c r="Z21" s="2">
        <f t="shared" si="10"/>
        <v>5</v>
      </c>
      <c r="AA21" s="4">
        <f t="shared" si="11"/>
        <v>765000</v>
      </c>
      <c r="AB21" s="4">
        <f t="shared" si="12"/>
        <v>290000</v>
      </c>
      <c r="AC21" s="4" t="s">
        <v>31</v>
      </c>
      <c r="AD21" s="16">
        <f>IFERROR(VLOOKUP(AC21,'Kode Diskon'!$C$2:$D$9,2,0),0)</f>
        <v>0.15</v>
      </c>
      <c r="AE21" s="31">
        <f t="shared" si="13"/>
        <v>114750</v>
      </c>
      <c r="AF21" s="31">
        <f t="shared" si="14"/>
        <v>650250</v>
      </c>
      <c r="AG21" s="31">
        <f t="shared" si="15"/>
        <v>475000</v>
      </c>
      <c r="AH21" s="31">
        <f t="shared" si="16"/>
        <v>360250</v>
      </c>
      <c r="AI21" s="4" t="s">
        <v>8</v>
      </c>
      <c r="AJ21" s="4" t="s">
        <v>11</v>
      </c>
      <c r="AK21" s="4" t="str">
        <f>IFERROR(VLOOKUP(AJ21,'Guide '!$A$13:$B$16,2,0),"-")</f>
        <v>BL</v>
      </c>
      <c r="AL21" s="4" t="s">
        <v>925</v>
      </c>
      <c r="AM21" s="40">
        <v>45299</v>
      </c>
      <c r="AN21">
        <f t="shared" si="17"/>
        <v>29</v>
      </c>
      <c r="AO21">
        <f t="shared" si="18"/>
        <v>32</v>
      </c>
      <c r="AP21">
        <f t="shared" si="19"/>
        <v>40</v>
      </c>
      <c r="AQ21">
        <f t="shared" si="20"/>
        <v>43</v>
      </c>
      <c r="AR21" s="26">
        <f t="shared" si="21"/>
        <v>56</v>
      </c>
      <c r="AS21" s="26">
        <f t="shared" si="22"/>
        <v>63</v>
      </c>
      <c r="AT21" s="21">
        <f t="shared" si="23"/>
        <v>12</v>
      </c>
      <c r="AU21" s="21">
        <f t="shared" si="24"/>
        <v>19</v>
      </c>
      <c r="AV21">
        <f t="shared" si="25"/>
        <v>73</v>
      </c>
      <c r="AW21">
        <f t="shared" si="26"/>
        <v>76</v>
      </c>
      <c r="AX21">
        <f t="shared" si="27"/>
        <v>84</v>
      </c>
      <c r="AY21">
        <f t="shared" si="28"/>
        <v>87</v>
      </c>
      <c r="AZ21" t="str">
        <f t="shared" si="29"/>
        <v>-</v>
      </c>
      <c r="BA21" t="str">
        <f t="shared" si="30"/>
        <v>-</v>
      </c>
      <c r="BB21" t="str">
        <f t="shared" si="31"/>
        <v>-</v>
      </c>
      <c r="BC21" t="str">
        <f t="shared" si="32"/>
        <v>-</v>
      </c>
      <c r="BD21" s="29" t="str">
        <f t="shared" si="33"/>
        <v>-</v>
      </c>
      <c r="BE21" s="29" t="str">
        <f t="shared" si="34"/>
        <v>-</v>
      </c>
    </row>
    <row r="22" spans="1:57" ht="15" x14ac:dyDescent="0.2">
      <c r="A22" s="2">
        <v>894</v>
      </c>
      <c r="B22" s="2" t="str">
        <f t="shared" si="0"/>
        <v>0894</v>
      </c>
      <c r="C22" t="str">
        <f t="shared" si="1"/>
        <v>ORD-BL-0894-08/01/24</v>
      </c>
      <c r="D22" s="3" t="s">
        <v>834</v>
      </c>
      <c r="E22" t="str">
        <f t="shared" si="35"/>
        <v>SP001</v>
      </c>
      <c r="F22" t="str">
        <f>INDEX(Katalog!$B$4:$B$13,MATCH('Main Data'!E22,Katalog!$C$4:$C$13,0))</f>
        <v>Sneakers</v>
      </c>
      <c r="G22" t="str">
        <f>VLOOKUP(E22,Katalog!$A$15:$B$25,2,0)</f>
        <v>Sepatu Pria</v>
      </c>
      <c r="H22" t="str">
        <f t="shared" si="2"/>
        <v>4</v>
      </c>
      <c r="I22" t="str">
        <f t="shared" si="3"/>
        <v>2</v>
      </c>
      <c r="J22" s="18">
        <f>VLOOKUP(E22,Katalog!$C$3:$F$13,2,0)</f>
        <v>300000</v>
      </c>
      <c r="K22" s="18">
        <f>VLOOKUP(E22,Katalog!$C$3:$F$13,3,0)</f>
        <v>100000</v>
      </c>
      <c r="L22" t="str">
        <f t="shared" si="4"/>
        <v>PW001</v>
      </c>
      <c r="M22" t="str">
        <f>IFERROR(INDEX(Katalog!$B$4:$B$13,MATCH('Main Data'!L22,Katalog!$C$4:$C$13,0)), "-")</f>
        <v>Dress</v>
      </c>
      <c r="N22" t="str">
        <f>IFERROR(VLOOKUP(L22,Katalog!$A$15:$B$25,2,0),"-")</f>
        <v>Pakaian Wanita</v>
      </c>
      <c r="O22" t="str">
        <f t="shared" si="5"/>
        <v>3</v>
      </c>
      <c r="P22" t="str">
        <f t="shared" si="6"/>
        <v>4</v>
      </c>
      <c r="Q22" s="18">
        <f>IFERROR(VLOOKUP(L22,Katalog!$C$3:$F$13,2,0),0)</f>
        <v>150000</v>
      </c>
      <c r="R22" s="18">
        <f>IFERROR(VLOOKUP(L22,Katalog!$C$3:$F$13,3,0),0)</f>
        <v>55000</v>
      </c>
      <c r="S22" t="str">
        <f t="shared" si="7"/>
        <v>-</v>
      </c>
      <c r="T22" t="str">
        <f>IFERROR(INDEX(Katalog!$B$4:$B$13,MATCH('Main Data'!S22,Katalog!$C$4:$C$13,0)),"-")</f>
        <v>-</v>
      </c>
      <c r="U22" t="str">
        <f>IFERROR(VLOOKUP(S22,Katalog!$A$15:$B$25,2,0),"-")</f>
        <v>-</v>
      </c>
      <c r="V22">
        <f t="shared" si="8"/>
        <v>0</v>
      </c>
      <c r="W22" s="28" t="str">
        <f t="shared" si="9"/>
        <v>-</v>
      </c>
      <c r="X22" s="18">
        <f>IFERROR(VLOOKUP(S22,Katalog!$C$3:$F$13,2,0),0)</f>
        <v>0</v>
      </c>
      <c r="Y22" s="30">
        <f>IFERROR(VLOOKUP(S22,Katalog!$C$3:$F$13,3,0),0)</f>
        <v>0</v>
      </c>
      <c r="Z22" s="2">
        <f t="shared" si="10"/>
        <v>7</v>
      </c>
      <c r="AA22" s="4">
        <f t="shared" si="11"/>
        <v>1650000</v>
      </c>
      <c r="AB22" s="4">
        <f t="shared" si="12"/>
        <v>565000</v>
      </c>
      <c r="AC22" s="4" t="s">
        <v>31</v>
      </c>
      <c r="AD22" s="16">
        <f>IFERROR(VLOOKUP(AC22,'Kode Diskon'!$C$2:$D$9,2,0),0)</f>
        <v>0.15</v>
      </c>
      <c r="AE22" s="31">
        <f t="shared" si="13"/>
        <v>247500</v>
      </c>
      <c r="AF22" s="31">
        <f t="shared" si="14"/>
        <v>1402500</v>
      </c>
      <c r="AG22" s="31">
        <f t="shared" si="15"/>
        <v>1085000</v>
      </c>
      <c r="AH22" s="31">
        <f t="shared" si="16"/>
        <v>837500</v>
      </c>
      <c r="AI22" s="4" t="s">
        <v>8</v>
      </c>
      <c r="AJ22" s="4" t="s">
        <v>11</v>
      </c>
      <c r="AK22" s="4" t="str">
        <f>IFERROR(VLOOKUP(AJ22,'Guide '!$A$13:$B$16,2,0),"-")</f>
        <v>BL</v>
      </c>
      <c r="AL22" s="4" t="s">
        <v>922</v>
      </c>
      <c r="AM22" s="40">
        <v>45299</v>
      </c>
      <c r="AN22">
        <f t="shared" si="17"/>
        <v>29</v>
      </c>
      <c r="AO22">
        <f t="shared" si="18"/>
        <v>32</v>
      </c>
      <c r="AP22">
        <f t="shared" si="19"/>
        <v>40</v>
      </c>
      <c r="AQ22">
        <f t="shared" si="20"/>
        <v>43</v>
      </c>
      <c r="AR22" s="26">
        <f t="shared" si="21"/>
        <v>56</v>
      </c>
      <c r="AS22" s="26">
        <f t="shared" si="22"/>
        <v>63</v>
      </c>
      <c r="AT22" s="21">
        <f t="shared" si="23"/>
        <v>12</v>
      </c>
      <c r="AU22" s="21">
        <f t="shared" si="24"/>
        <v>19</v>
      </c>
      <c r="AV22">
        <f t="shared" si="25"/>
        <v>73</v>
      </c>
      <c r="AW22">
        <f t="shared" si="26"/>
        <v>76</v>
      </c>
      <c r="AX22">
        <f t="shared" si="27"/>
        <v>84</v>
      </c>
      <c r="AY22">
        <f t="shared" si="28"/>
        <v>87</v>
      </c>
      <c r="AZ22" t="str">
        <f t="shared" si="29"/>
        <v>-</v>
      </c>
      <c r="BA22" t="str">
        <f t="shared" si="30"/>
        <v>-</v>
      </c>
      <c r="BB22" t="str">
        <f t="shared" si="31"/>
        <v>-</v>
      </c>
      <c r="BC22" t="str">
        <f t="shared" si="32"/>
        <v>-</v>
      </c>
      <c r="BD22" s="29" t="str">
        <f t="shared" si="33"/>
        <v>-</v>
      </c>
      <c r="BE22" s="29" t="str">
        <f t="shared" si="34"/>
        <v>-</v>
      </c>
    </row>
    <row r="23" spans="1:57" ht="15" x14ac:dyDescent="0.2">
      <c r="A23" s="2">
        <v>913</v>
      </c>
      <c r="B23" s="2" t="str">
        <f t="shared" si="0"/>
        <v>0913</v>
      </c>
      <c r="C23" t="str">
        <f t="shared" si="1"/>
        <v>ORD-BL-0913-08/01/24</v>
      </c>
      <c r="D23" s="3" t="s">
        <v>849</v>
      </c>
      <c r="E23" t="str">
        <f t="shared" si="35"/>
        <v>PW002</v>
      </c>
      <c r="F23" t="str">
        <f>INDEX(Katalog!$B$4:$B$13,MATCH('Main Data'!E23,Katalog!$C$4:$C$13,0))</f>
        <v>Blouse</v>
      </c>
      <c r="G23" t="str">
        <f>VLOOKUP(E23,Katalog!$A$15:$B$25,2,0)</f>
        <v>Pakaian Wanita</v>
      </c>
      <c r="H23" t="str">
        <f t="shared" si="2"/>
        <v>2</v>
      </c>
      <c r="I23" t="str">
        <f t="shared" si="3"/>
        <v>3</v>
      </c>
      <c r="J23" s="18">
        <f>VLOOKUP(E23,Katalog!$C$3:$F$13,2,0)</f>
        <v>125000</v>
      </c>
      <c r="K23" s="18">
        <f>VLOOKUP(E23,Katalog!$C$3:$F$13,3,0)</f>
        <v>50000</v>
      </c>
      <c r="L23" t="str">
        <f t="shared" si="4"/>
        <v>PW001</v>
      </c>
      <c r="M23" t="str">
        <f>IFERROR(INDEX(Katalog!$B$4:$B$13,MATCH('Main Data'!L23,Katalog!$C$4:$C$13,0)), "-")</f>
        <v>Dress</v>
      </c>
      <c r="N23" t="str">
        <f>IFERROR(VLOOKUP(L23,Katalog!$A$15:$B$25,2,0),"-")</f>
        <v>Pakaian Wanita</v>
      </c>
      <c r="O23" t="str">
        <f t="shared" si="5"/>
        <v>1</v>
      </c>
      <c r="P23" t="str">
        <f t="shared" si="6"/>
        <v>5</v>
      </c>
      <c r="Q23" s="18">
        <f>IFERROR(VLOOKUP(L23,Katalog!$C$3:$F$13,2,0),0)</f>
        <v>150000</v>
      </c>
      <c r="R23" s="18">
        <f>IFERROR(VLOOKUP(L23,Katalog!$C$3:$F$13,3,0),0)</f>
        <v>55000</v>
      </c>
      <c r="S23" t="str">
        <f t="shared" si="7"/>
        <v>-</v>
      </c>
      <c r="T23" t="str">
        <f>IFERROR(INDEX(Katalog!$B$4:$B$13,MATCH('Main Data'!S23,Katalog!$C$4:$C$13,0)),"-")</f>
        <v>-</v>
      </c>
      <c r="U23" t="str">
        <f>IFERROR(VLOOKUP(S23,Katalog!$A$15:$B$25,2,0),"-")</f>
        <v>-</v>
      </c>
      <c r="V23">
        <f t="shared" si="8"/>
        <v>0</v>
      </c>
      <c r="W23" s="28" t="str">
        <f t="shared" si="9"/>
        <v>-</v>
      </c>
      <c r="X23" s="18">
        <f>IFERROR(VLOOKUP(S23,Katalog!$C$3:$F$13,2,0),0)</f>
        <v>0</v>
      </c>
      <c r="Y23" s="30">
        <f>IFERROR(VLOOKUP(S23,Katalog!$C$3:$F$13,3,0),0)</f>
        <v>0</v>
      </c>
      <c r="Z23" s="2">
        <f t="shared" si="10"/>
        <v>3</v>
      </c>
      <c r="AA23" s="4">
        <f t="shared" si="11"/>
        <v>400000</v>
      </c>
      <c r="AB23" s="4">
        <f t="shared" si="12"/>
        <v>155000</v>
      </c>
      <c r="AC23" s="4" t="s">
        <v>31</v>
      </c>
      <c r="AD23" s="16">
        <f>IFERROR(VLOOKUP(AC23,'Kode Diskon'!$C$2:$D$9,2,0),0)</f>
        <v>0.15</v>
      </c>
      <c r="AE23" s="31">
        <f t="shared" si="13"/>
        <v>60000</v>
      </c>
      <c r="AF23" s="31">
        <f t="shared" si="14"/>
        <v>340000</v>
      </c>
      <c r="AG23" s="31">
        <f t="shared" si="15"/>
        <v>245000</v>
      </c>
      <c r="AH23" s="31">
        <f t="shared" si="16"/>
        <v>185000</v>
      </c>
      <c r="AI23" s="4" t="s">
        <v>8</v>
      </c>
      <c r="AJ23" s="4" t="s">
        <v>11</v>
      </c>
      <c r="AK23" s="4" t="str">
        <f>IFERROR(VLOOKUP(AJ23,'Guide '!$A$13:$B$16,2,0),"-")</f>
        <v>BL</v>
      </c>
      <c r="AL23" s="4" t="s">
        <v>924</v>
      </c>
      <c r="AM23" s="40">
        <v>45299</v>
      </c>
      <c r="AN23">
        <f t="shared" si="17"/>
        <v>29</v>
      </c>
      <c r="AO23">
        <f t="shared" si="18"/>
        <v>32</v>
      </c>
      <c r="AP23">
        <f t="shared" si="19"/>
        <v>40</v>
      </c>
      <c r="AQ23">
        <f t="shared" si="20"/>
        <v>43</v>
      </c>
      <c r="AR23" s="26">
        <f t="shared" si="21"/>
        <v>56</v>
      </c>
      <c r="AS23" s="26">
        <f t="shared" si="22"/>
        <v>63</v>
      </c>
      <c r="AT23" s="21">
        <f t="shared" si="23"/>
        <v>12</v>
      </c>
      <c r="AU23" s="21">
        <f t="shared" si="24"/>
        <v>19</v>
      </c>
      <c r="AV23">
        <f t="shared" si="25"/>
        <v>73</v>
      </c>
      <c r="AW23">
        <f t="shared" si="26"/>
        <v>76</v>
      </c>
      <c r="AX23">
        <f t="shared" si="27"/>
        <v>84</v>
      </c>
      <c r="AY23">
        <f t="shared" si="28"/>
        <v>87</v>
      </c>
      <c r="AZ23" t="str">
        <f t="shared" si="29"/>
        <v>-</v>
      </c>
      <c r="BA23" t="str">
        <f t="shared" si="30"/>
        <v>-</v>
      </c>
      <c r="BB23" t="str">
        <f t="shared" si="31"/>
        <v>-</v>
      </c>
      <c r="BC23" t="str">
        <f t="shared" si="32"/>
        <v>-</v>
      </c>
      <c r="BD23" s="29" t="str">
        <f t="shared" si="33"/>
        <v>-</v>
      </c>
      <c r="BE23" s="29" t="str">
        <f t="shared" si="34"/>
        <v>-</v>
      </c>
    </row>
    <row r="24" spans="1:57" ht="15" x14ac:dyDescent="0.2">
      <c r="A24" s="2">
        <v>715</v>
      </c>
      <c r="B24" s="2" t="str">
        <f t="shared" si="0"/>
        <v>0715</v>
      </c>
      <c r="C24" t="str">
        <f t="shared" si="1"/>
        <v>ORD-SP-0715-09/01/24</v>
      </c>
      <c r="D24" s="3" t="s">
        <v>704</v>
      </c>
      <c r="E24" t="str">
        <f t="shared" si="35"/>
        <v>PW001</v>
      </c>
      <c r="F24" t="str">
        <f>INDEX(Katalog!$B$4:$B$13,MATCH('Main Data'!E24,Katalog!$C$4:$C$13,0))</f>
        <v>Dress</v>
      </c>
      <c r="G24" t="str">
        <f>VLOOKUP(E24,Katalog!$A$15:$B$25,2,0)</f>
        <v>Pakaian Wanita</v>
      </c>
      <c r="H24" t="str">
        <f t="shared" si="2"/>
        <v>2</v>
      </c>
      <c r="I24" t="str">
        <f t="shared" si="3"/>
        <v>5</v>
      </c>
      <c r="J24" s="18">
        <f>VLOOKUP(E24,Katalog!$C$3:$F$13,2,0)</f>
        <v>150000</v>
      </c>
      <c r="K24" s="18">
        <f>VLOOKUP(E24,Katalog!$C$3:$F$13,3,0)</f>
        <v>55000</v>
      </c>
      <c r="L24" t="str">
        <f t="shared" si="4"/>
        <v>SW001</v>
      </c>
      <c r="M24" t="str">
        <f>IFERROR(INDEX(Katalog!$B$4:$B$13,MATCH('Main Data'!L24,Katalog!$C$4:$C$13,0)), "-")</f>
        <v>Flat Shoes</v>
      </c>
      <c r="N24" t="str">
        <f>IFERROR(VLOOKUP(L24,Katalog!$A$15:$B$25,2,0),"-")</f>
        <v>Sepatu Wanita</v>
      </c>
      <c r="O24" t="str">
        <f t="shared" si="5"/>
        <v>2</v>
      </c>
      <c r="P24" t="str">
        <f t="shared" si="6"/>
        <v>1</v>
      </c>
      <c r="Q24" s="18">
        <f>IFERROR(VLOOKUP(L24,Katalog!$C$3:$F$13,2,0),0)</f>
        <v>150000</v>
      </c>
      <c r="R24" s="18">
        <f>IFERROR(VLOOKUP(L24,Katalog!$C$3:$F$13,3,0),0)</f>
        <v>70000</v>
      </c>
      <c r="S24" t="str">
        <f t="shared" si="7"/>
        <v>SP002</v>
      </c>
      <c r="T24" t="str">
        <f>IFERROR(INDEX(Katalog!$B$4:$B$13,MATCH('Main Data'!S24,Katalog!$C$4:$C$13,0)),"-")</f>
        <v>Sandal Slip On</v>
      </c>
      <c r="U24" t="str">
        <f>IFERROR(VLOOKUP(S24,Katalog!$A$15:$B$25,2,0),"-")</f>
        <v>Sepatu Pria</v>
      </c>
      <c r="V24" t="str">
        <f t="shared" si="8"/>
        <v>3</v>
      </c>
      <c r="W24" s="28" t="str">
        <f t="shared" si="9"/>
        <v>5</v>
      </c>
      <c r="X24" s="18">
        <f>IFERROR(VLOOKUP(S24,Katalog!$C$3:$F$13,2,0),0)</f>
        <v>120000</v>
      </c>
      <c r="Y24" s="30">
        <f>IFERROR(VLOOKUP(S24,Katalog!$C$3:$F$13,3,0),0)</f>
        <v>60000</v>
      </c>
      <c r="Z24" s="2">
        <f t="shared" si="10"/>
        <v>7</v>
      </c>
      <c r="AA24" s="4">
        <f t="shared" si="11"/>
        <v>960000</v>
      </c>
      <c r="AB24" s="4">
        <f t="shared" si="12"/>
        <v>430000</v>
      </c>
      <c r="AC24" s="4" t="s">
        <v>7</v>
      </c>
      <c r="AD24" s="16">
        <f>IFERROR(VLOOKUP(AC24,'Kode Diskon'!$C$2:$D$9,2,0),0)</f>
        <v>0.2</v>
      </c>
      <c r="AE24" s="31">
        <f t="shared" si="13"/>
        <v>192000</v>
      </c>
      <c r="AF24" s="31">
        <f t="shared" si="14"/>
        <v>768000</v>
      </c>
      <c r="AG24" s="31">
        <f t="shared" si="15"/>
        <v>530000</v>
      </c>
      <c r="AH24" s="31">
        <f t="shared" si="16"/>
        <v>338000</v>
      </c>
      <c r="AI24" s="4" t="s">
        <v>8</v>
      </c>
      <c r="AJ24" s="4" t="s">
        <v>6</v>
      </c>
      <c r="AK24" s="4" t="str">
        <f>IFERROR(VLOOKUP(AJ24,'Guide '!$A$13:$B$16,2,0),"-")</f>
        <v>SP</v>
      </c>
      <c r="AL24" s="4" t="s">
        <v>925</v>
      </c>
      <c r="AM24" s="40">
        <v>45300</v>
      </c>
      <c r="AN24">
        <f t="shared" si="17"/>
        <v>29</v>
      </c>
      <c r="AO24">
        <f t="shared" si="18"/>
        <v>32</v>
      </c>
      <c r="AP24">
        <f t="shared" si="19"/>
        <v>40</v>
      </c>
      <c r="AQ24">
        <f t="shared" si="20"/>
        <v>43</v>
      </c>
      <c r="AR24" s="26">
        <f t="shared" si="21"/>
        <v>56</v>
      </c>
      <c r="AS24" s="26">
        <f t="shared" si="22"/>
        <v>63</v>
      </c>
      <c r="AT24" s="21">
        <f t="shared" si="23"/>
        <v>12</v>
      </c>
      <c r="AU24" s="21">
        <f t="shared" si="24"/>
        <v>19</v>
      </c>
      <c r="AV24">
        <f t="shared" si="25"/>
        <v>73</v>
      </c>
      <c r="AW24">
        <f t="shared" si="26"/>
        <v>76</v>
      </c>
      <c r="AX24">
        <f t="shared" si="27"/>
        <v>84</v>
      </c>
      <c r="AY24">
        <f t="shared" si="28"/>
        <v>87</v>
      </c>
      <c r="AZ24">
        <f t="shared" si="29"/>
        <v>100</v>
      </c>
      <c r="BA24">
        <f t="shared" si="30"/>
        <v>107</v>
      </c>
      <c r="BB24">
        <f t="shared" si="31"/>
        <v>117</v>
      </c>
      <c r="BC24">
        <f t="shared" si="32"/>
        <v>120</v>
      </c>
      <c r="BD24" s="29">
        <f t="shared" si="33"/>
        <v>128</v>
      </c>
      <c r="BE24" s="29">
        <f t="shared" si="34"/>
        <v>131</v>
      </c>
    </row>
    <row r="25" spans="1:57" ht="15" x14ac:dyDescent="0.2">
      <c r="A25" s="2">
        <v>750</v>
      </c>
      <c r="B25" s="2" t="str">
        <f t="shared" si="0"/>
        <v>0750</v>
      </c>
      <c r="C25" t="str">
        <f t="shared" si="1"/>
        <v>ORD-SP-0750-09/01/24</v>
      </c>
      <c r="D25" s="3" t="s">
        <v>731</v>
      </c>
      <c r="E25" t="str">
        <f t="shared" si="35"/>
        <v>PU001</v>
      </c>
      <c r="F25" t="str">
        <f>INDEX(Katalog!$B$4:$B$13,MATCH('Main Data'!E25,Katalog!$C$4:$C$13,0))</f>
        <v>Jaket Hoodie</v>
      </c>
      <c r="G25" t="str">
        <f>VLOOKUP(E25,Katalog!$A$15:$B$25,2,0)</f>
        <v>Pakaian Unisex</v>
      </c>
      <c r="H25" t="str">
        <f t="shared" si="2"/>
        <v>1</v>
      </c>
      <c r="I25" t="str">
        <f t="shared" si="3"/>
        <v>1</v>
      </c>
      <c r="J25" s="18">
        <f>VLOOKUP(E25,Katalog!$C$3:$F$13,2,0)</f>
        <v>160000</v>
      </c>
      <c r="K25" s="18">
        <f>VLOOKUP(E25,Katalog!$C$3:$F$13,3,0)</f>
        <v>60000</v>
      </c>
      <c r="L25" t="str">
        <f t="shared" si="4"/>
        <v>SW001</v>
      </c>
      <c r="M25" t="str">
        <f>IFERROR(INDEX(Katalog!$B$4:$B$13,MATCH('Main Data'!L25,Katalog!$C$4:$C$13,0)), "-")</f>
        <v>Flat Shoes</v>
      </c>
      <c r="N25" t="str">
        <f>IFERROR(VLOOKUP(L25,Katalog!$A$15:$B$25,2,0),"-")</f>
        <v>Sepatu Wanita</v>
      </c>
      <c r="O25" t="str">
        <f t="shared" si="5"/>
        <v>3</v>
      </c>
      <c r="P25" t="str">
        <f t="shared" si="6"/>
        <v>1</v>
      </c>
      <c r="Q25" s="18">
        <f>IFERROR(VLOOKUP(L25,Katalog!$C$3:$F$13,2,0),0)</f>
        <v>150000</v>
      </c>
      <c r="R25" s="18">
        <f>IFERROR(VLOOKUP(L25,Katalog!$C$3:$F$13,3,0),0)</f>
        <v>70000</v>
      </c>
      <c r="S25" t="str">
        <f t="shared" si="7"/>
        <v>-</v>
      </c>
      <c r="T25" t="str">
        <f>IFERROR(INDEX(Katalog!$B$4:$B$13,MATCH('Main Data'!S25,Katalog!$C$4:$C$13,0)),"-")</f>
        <v>-</v>
      </c>
      <c r="U25" t="str">
        <f>IFERROR(VLOOKUP(S25,Katalog!$A$15:$B$25,2,0),"-")</f>
        <v>-</v>
      </c>
      <c r="V25">
        <f t="shared" si="8"/>
        <v>0</v>
      </c>
      <c r="W25" s="28" t="str">
        <f t="shared" si="9"/>
        <v>-</v>
      </c>
      <c r="X25" s="18">
        <f>IFERROR(VLOOKUP(S25,Katalog!$C$3:$F$13,2,0),0)</f>
        <v>0</v>
      </c>
      <c r="Y25" s="30">
        <f>IFERROR(VLOOKUP(S25,Katalog!$C$3:$F$13,3,0),0)</f>
        <v>0</v>
      </c>
      <c r="Z25" s="2">
        <f t="shared" si="10"/>
        <v>4</v>
      </c>
      <c r="AA25" s="4">
        <f t="shared" si="11"/>
        <v>610000</v>
      </c>
      <c r="AB25" s="4">
        <f t="shared" si="12"/>
        <v>270000</v>
      </c>
      <c r="AC25" s="4" t="s">
        <v>7</v>
      </c>
      <c r="AD25" s="16">
        <f>IFERROR(VLOOKUP(AC25,'Kode Diskon'!$C$2:$D$9,2,0),0)</f>
        <v>0.2</v>
      </c>
      <c r="AE25" s="31">
        <f t="shared" si="13"/>
        <v>122000</v>
      </c>
      <c r="AF25" s="31">
        <f t="shared" si="14"/>
        <v>488000</v>
      </c>
      <c r="AG25" s="31">
        <f t="shared" si="15"/>
        <v>340000</v>
      </c>
      <c r="AH25" s="31">
        <f t="shared" si="16"/>
        <v>218000</v>
      </c>
      <c r="AI25" s="4" t="s">
        <v>8</v>
      </c>
      <c r="AJ25" s="4" t="s">
        <v>6</v>
      </c>
      <c r="AK25" s="4" t="str">
        <f>IFERROR(VLOOKUP(AJ25,'Guide '!$A$13:$B$16,2,0),"-")</f>
        <v>SP</v>
      </c>
      <c r="AL25" s="4" t="s">
        <v>925</v>
      </c>
      <c r="AM25" s="40">
        <v>45300</v>
      </c>
      <c r="AN25">
        <f t="shared" si="17"/>
        <v>29</v>
      </c>
      <c r="AO25">
        <f t="shared" si="18"/>
        <v>32</v>
      </c>
      <c r="AP25">
        <f t="shared" si="19"/>
        <v>40</v>
      </c>
      <c r="AQ25">
        <f t="shared" si="20"/>
        <v>43</v>
      </c>
      <c r="AR25" s="26">
        <f t="shared" si="21"/>
        <v>56</v>
      </c>
      <c r="AS25" s="26">
        <f t="shared" si="22"/>
        <v>63</v>
      </c>
      <c r="AT25" s="21">
        <f t="shared" si="23"/>
        <v>12</v>
      </c>
      <c r="AU25" s="21">
        <f t="shared" si="24"/>
        <v>19</v>
      </c>
      <c r="AV25">
        <f t="shared" si="25"/>
        <v>73</v>
      </c>
      <c r="AW25">
        <f t="shared" si="26"/>
        <v>76</v>
      </c>
      <c r="AX25">
        <f t="shared" si="27"/>
        <v>84</v>
      </c>
      <c r="AY25">
        <f t="shared" si="28"/>
        <v>87</v>
      </c>
      <c r="AZ25" t="str">
        <f t="shared" si="29"/>
        <v>-</v>
      </c>
      <c r="BA25" t="str">
        <f t="shared" si="30"/>
        <v>-</v>
      </c>
      <c r="BB25" t="str">
        <f t="shared" si="31"/>
        <v>-</v>
      </c>
      <c r="BC25" t="str">
        <f t="shared" si="32"/>
        <v>-</v>
      </c>
      <c r="BD25" s="29" t="str">
        <f t="shared" si="33"/>
        <v>-</v>
      </c>
      <c r="BE25" s="29" t="str">
        <f t="shared" si="34"/>
        <v>-</v>
      </c>
    </row>
    <row r="26" spans="1:57" ht="15" x14ac:dyDescent="0.2">
      <c r="A26" s="2">
        <v>314</v>
      </c>
      <c r="B26" s="2" t="str">
        <f t="shared" si="0"/>
        <v>0314</v>
      </c>
      <c r="C26" t="str">
        <f t="shared" si="1"/>
        <v>ORD-SP-0314-10/01/24</v>
      </c>
      <c r="D26" s="3" t="s">
        <v>369</v>
      </c>
      <c r="E26" t="str">
        <f t="shared" si="35"/>
        <v>PW002</v>
      </c>
      <c r="F26" t="str">
        <f>INDEX(Katalog!$B$4:$B$13,MATCH('Main Data'!E26,Katalog!$C$4:$C$13,0))</f>
        <v>Blouse</v>
      </c>
      <c r="G26" t="str">
        <f>VLOOKUP(E26,Katalog!$A$15:$B$25,2,0)</f>
        <v>Pakaian Wanita</v>
      </c>
      <c r="H26" t="str">
        <f t="shared" si="2"/>
        <v>3</v>
      </c>
      <c r="I26" t="str">
        <f t="shared" si="3"/>
        <v>2</v>
      </c>
      <c r="J26" s="18">
        <f>VLOOKUP(E26,Katalog!$C$3:$F$13,2,0)</f>
        <v>125000</v>
      </c>
      <c r="K26" s="18">
        <f>VLOOKUP(E26,Katalog!$C$3:$F$13,3,0)</f>
        <v>50000</v>
      </c>
      <c r="L26" t="str">
        <f t="shared" si="4"/>
        <v>-</v>
      </c>
      <c r="M26" t="str">
        <f>IFERROR(INDEX(Katalog!$B$4:$B$13,MATCH('Main Data'!L26,Katalog!$C$4:$C$13,0)), "-")</f>
        <v>-</v>
      </c>
      <c r="N26" t="str">
        <f>IFERROR(VLOOKUP(L26,Katalog!$A$15:$B$25,2,0),"-")</f>
        <v>-</v>
      </c>
      <c r="O26">
        <f t="shared" si="5"/>
        <v>0</v>
      </c>
      <c r="P26" t="str">
        <f t="shared" si="6"/>
        <v>-</v>
      </c>
      <c r="Q26" s="18">
        <f>IFERROR(VLOOKUP(L26,Katalog!$C$3:$F$13,2,0),0)</f>
        <v>0</v>
      </c>
      <c r="R26" s="18">
        <f>IFERROR(VLOOKUP(L26,Katalog!$C$3:$F$13,3,0),0)</f>
        <v>0</v>
      </c>
      <c r="S26" t="str">
        <f t="shared" si="7"/>
        <v>-</v>
      </c>
      <c r="T26" t="str">
        <f>IFERROR(INDEX(Katalog!$B$4:$B$13,MATCH('Main Data'!S26,Katalog!$C$4:$C$13,0)),"-")</f>
        <v>-</v>
      </c>
      <c r="U26" t="str">
        <f>IFERROR(VLOOKUP(S26,Katalog!$A$15:$B$25,2,0),"-")</f>
        <v>-</v>
      </c>
      <c r="V26">
        <f t="shared" si="8"/>
        <v>0</v>
      </c>
      <c r="W26" s="28" t="str">
        <f t="shared" si="9"/>
        <v>-</v>
      </c>
      <c r="X26" s="18">
        <f>IFERROR(VLOOKUP(S26,Katalog!$C$3:$F$13,2,0),0)</f>
        <v>0</v>
      </c>
      <c r="Y26" s="30">
        <f>IFERROR(VLOOKUP(S26,Katalog!$C$3:$F$13,3,0),0)</f>
        <v>0</v>
      </c>
      <c r="Z26" s="2">
        <f t="shared" si="10"/>
        <v>3</v>
      </c>
      <c r="AA26" s="4">
        <f t="shared" si="11"/>
        <v>375000</v>
      </c>
      <c r="AB26" s="4">
        <f t="shared" si="12"/>
        <v>150000</v>
      </c>
      <c r="AC26" s="4" t="s">
        <v>5</v>
      </c>
      <c r="AD26" s="16">
        <f>IFERROR(VLOOKUP(AC26,'Kode Diskon'!$C$2:$D$9,2,0),0)</f>
        <v>0.1</v>
      </c>
      <c r="AE26" s="31">
        <f t="shared" si="13"/>
        <v>37500</v>
      </c>
      <c r="AF26" s="31">
        <f t="shared" si="14"/>
        <v>337500</v>
      </c>
      <c r="AG26" s="31">
        <f t="shared" si="15"/>
        <v>225000</v>
      </c>
      <c r="AH26" s="31">
        <f t="shared" si="16"/>
        <v>187500</v>
      </c>
      <c r="AI26" s="4" t="s">
        <v>28</v>
      </c>
      <c r="AJ26" s="4" t="s">
        <v>6</v>
      </c>
      <c r="AK26" s="4" t="str">
        <f>IFERROR(VLOOKUP(AJ26,'Guide '!$A$13:$B$16,2,0),"-")</f>
        <v>SP</v>
      </c>
      <c r="AL26" s="4" t="s">
        <v>925</v>
      </c>
      <c r="AM26" s="40">
        <v>45301</v>
      </c>
      <c r="AN26">
        <f t="shared" si="17"/>
        <v>29</v>
      </c>
      <c r="AO26">
        <f t="shared" si="18"/>
        <v>32</v>
      </c>
      <c r="AP26">
        <f t="shared" si="19"/>
        <v>40</v>
      </c>
      <c r="AQ26">
        <f t="shared" si="20"/>
        <v>43</v>
      </c>
      <c r="AR26" s="26" t="str">
        <f t="shared" si="21"/>
        <v>-</v>
      </c>
      <c r="AS26" s="26" t="str">
        <f t="shared" si="22"/>
        <v>-</v>
      </c>
      <c r="AT26" s="21">
        <f t="shared" si="23"/>
        <v>12</v>
      </c>
      <c r="AU26" s="21">
        <f t="shared" si="24"/>
        <v>19</v>
      </c>
      <c r="AV26" t="str">
        <f t="shared" si="25"/>
        <v>-</v>
      </c>
      <c r="AW26" t="str">
        <f t="shared" si="26"/>
        <v>-</v>
      </c>
      <c r="AX26" t="str">
        <f t="shared" si="27"/>
        <v>-</v>
      </c>
      <c r="AY26" t="str">
        <f t="shared" si="28"/>
        <v>-</v>
      </c>
      <c r="AZ26" t="str">
        <f t="shared" si="29"/>
        <v>-</v>
      </c>
      <c r="BA26" t="str">
        <f t="shared" si="30"/>
        <v>-</v>
      </c>
      <c r="BB26" t="str">
        <f t="shared" si="31"/>
        <v>-</v>
      </c>
      <c r="BC26" t="str">
        <f t="shared" si="32"/>
        <v>-</v>
      </c>
      <c r="BD26" s="29" t="str">
        <f t="shared" si="33"/>
        <v>-</v>
      </c>
      <c r="BE26" s="29" t="str">
        <f t="shared" si="34"/>
        <v>-</v>
      </c>
    </row>
    <row r="27" spans="1:57" ht="15" x14ac:dyDescent="0.2">
      <c r="A27" s="2">
        <v>739</v>
      </c>
      <c r="B27" s="2" t="str">
        <f t="shared" si="0"/>
        <v>0739</v>
      </c>
      <c r="C27" t="str">
        <f t="shared" si="1"/>
        <v>ORD-TK-0739-10/01/24</v>
      </c>
      <c r="D27" s="3" t="s">
        <v>723</v>
      </c>
      <c r="E27" t="str">
        <f t="shared" si="35"/>
        <v>SP001</v>
      </c>
      <c r="F27" t="str">
        <f>INDEX(Katalog!$B$4:$B$13,MATCH('Main Data'!E27,Katalog!$C$4:$C$13,0))</f>
        <v>Sneakers</v>
      </c>
      <c r="G27" t="str">
        <f>VLOOKUP(E27,Katalog!$A$15:$B$25,2,0)</f>
        <v>Sepatu Pria</v>
      </c>
      <c r="H27" t="str">
        <f t="shared" si="2"/>
        <v>1</v>
      </c>
      <c r="I27" t="str">
        <f t="shared" si="3"/>
        <v>1</v>
      </c>
      <c r="J27" s="18">
        <f>VLOOKUP(E27,Katalog!$C$3:$F$13,2,0)</f>
        <v>300000</v>
      </c>
      <c r="K27" s="18">
        <f>VLOOKUP(E27,Katalog!$C$3:$F$13,3,0)</f>
        <v>100000</v>
      </c>
      <c r="L27" t="str">
        <f t="shared" si="4"/>
        <v>SP002</v>
      </c>
      <c r="M27" t="str">
        <f>IFERROR(INDEX(Katalog!$B$4:$B$13,MATCH('Main Data'!L27,Katalog!$C$4:$C$13,0)), "-")</f>
        <v>Sandal Slip On</v>
      </c>
      <c r="N27" t="str">
        <f>IFERROR(VLOOKUP(L27,Katalog!$A$15:$B$25,2,0),"-")</f>
        <v>Sepatu Pria</v>
      </c>
      <c r="O27" t="str">
        <f t="shared" si="5"/>
        <v>1</v>
      </c>
      <c r="P27" t="str">
        <f t="shared" si="6"/>
        <v>2</v>
      </c>
      <c r="Q27" s="18">
        <f>IFERROR(VLOOKUP(L27,Katalog!$C$3:$F$13,2,0),0)</f>
        <v>120000</v>
      </c>
      <c r="R27" s="18">
        <f>IFERROR(VLOOKUP(L27,Katalog!$C$3:$F$13,3,0),0)</f>
        <v>60000</v>
      </c>
      <c r="S27" t="str">
        <f t="shared" si="7"/>
        <v>PU001</v>
      </c>
      <c r="T27" t="str">
        <f>IFERROR(INDEX(Katalog!$B$4:$B$13,MATCH('Main Data'!S27,Katalog!$C$4:$C$13,0)),"-")</f>
        <v>Jaket Hoodie</v>
      </c>
      <c r="U27" t="str">
        <f>IFERROR(VLOOKUP(S27,Katalog!$A$15:$B$25,2,0),"-")</f>
        <v>Pakaian Unisex</v>
      </c>
      <c r="V27" t="str">
        <f t="shared" si="8"/>
        <v>4</v>
      </c>
      <c r="W27" s="28" t="str">
        <f t="shared" si="9"/>
        <v>1</v>
      </c>
      <c r="X27" s="18">
        <f>IFERROR(VLOOKUP(S27,Katalog!$C$3:$F$13,2,0),0)</f>
        <v>160000</v>
      </c>
      <c r="Y27" s="30">
        <f>IFERROR(VLOOKUP(S27,Katalog!$C$3:$F$13,3,0),0)</f>
        <v>60000</v>
      </c>
      <c r="Z27" s="2">
        <f t="shared" si="10"/>
        <v>6</v>
      </c>
      <c r="AA27" s="4">
        <f t="shared" si="11"/>
        <v>1060000</v>
      </c>
      <c r="AB27" s="4">
        <f t="shared" si="12"/>
        <v>400000</v>
      </c>
      <c r="AC27" s="4" t="s">
        <v>29</v>
      </c>
      <c r="AD27" s="16">
        <f>IFERROR(VLOOKUP(AC27,'Kode Diskon'!$C$2:$D$9,2,0),0)</f>
        <v>0.1</v>
      </c>
      <c r="AE27" s="31">
        <f t="shared" si="13"/>
        <v>106000</v>
      </c>
      <c r="AF27" s="31">
        <f t="shared" si="14"/>
        <v>954000</v>
      </c>
      <c r="AG27" s="31">
        <f t="shared" si="15"/>
        <v>660000</v>
      </c>
      <c r="AH27" s="31">
        <f t="shared" si="16"/>
        <v>554000</v>
      </c>
      <c r="AI27" s="4" t="s">
        <v>28</v>
      </c>
      <c r="AJ27" s="4" t="s">
        <v>9</v>
      </c>
      <c r="AK27" s="4" t="str">
        <f>IFERROR(VLOOKUP(AJ27,'Guide '!$A$13:$B$16,2,0),"-")</f>
        <v>TK</v>
      </c>
      <c r="AL27" s="4" t="s">
        <v>925</v>
      </c>
      <c r="AM27" s="40">
        <v>45301</v>
      </c>
      <c r="AN27">
        <f t="shared" si="17"/>
        <v>29</v>
      </c>
      <c r="AO27">
        <f t="shared" si="18"/>
        <v>32</v>
      </c>
      <c r="AP27">
        <f t="shared" si="19"/>
        <v>40</v>
      </c>
      <c r="AQ27">
        <f t="shared" si="20"/>
        <v>43</v>
      </c>
      <c r="AR27" s="26">
        <f t="shared" si="21"/>
        <v>56</v>
      </c>
      <c r="AS27" s="26">
        <f t="shared" si="22"/>
        <v>63</v>
      </c>
      <c r="AT27" s="21">
        <f t="shared" si="23"/>
        <v>12</v>
      </c>
      <c r="AU27" s="21">
        <f t="shared" si="24"/>
        <v>19</v>
      </c>
      <c r="AV27">
        <f t="shared" si="25"/>
        <v>73</v>
      </c>
      <c r="AW27">
        <f t="shared" si="26"/>
        <v>76</v>
      </c>
      <c r="AX27">
        <f t="shared" si="27"/>
        <v>84</v>
      </c>
      <c r="AY27">
        <f t="shared" si="28"/>
        <v>87</v>
      </c>
      <c r="AZ27">
        <f t="shared" si="29"/>
        <v>100</v>
      </c>
      <c r="BA27">
        <f t="shared" si="30"/>
        <v>107</v>
      </c>
      <c r="BB27">
        <f t="shared" si="31"/>
        <v>117</v>
      </c>
      <c r="BC27">
        <f t="shared" si="32"/>
        <v>120</v>
      </c>
      <c r="BD27" s="29">
        <f t="shared" si="33"/>
        <v>128</v>
      </c>
      <c r="BE27" s="29">
        <f t="shared" si="34"/>
        <v>131</v>
      </c>
    </row>
    <row r="28" spans="1:57" ht="15" x14ac:dyDescent="0.2">
      <c r="A28" s="2">
        <v>556</v>
      </c>
      <c r="B28" s="2" t="str">
        <f t="shared" si="0"/>
        <v>0556</v>
      </c>
      <c r="C28" t="str">
        <f t="shared" si="1"/>
        <v>ORD-BB-0556-11/01/24</v>
      </c>
      <c r="D28" s="3" t="s">
        <v>578</v>
      </c>
      <c r="E28" t="str">
        <f t="shared" si="35"/>
        <v>SP001</v>
      </c>
      <c r="F28" t="str">
        <f>INDEX(Katalog!$B$4:$B$13,MATCH('Main Data'!E28,Katalog!$C$4:$C$13,0))</f>
        <v>Sneakers</v>
      </c>
      <c r="G28" t="str">
        <f>VLOOKUP(E28,Katalog!$A$15:$B$25,2,0)</f>
        <v>Sepatu Pria</v>
      </c>
      <c r="H28" t="str">
        <f t="shared" si="2"/>
        <v>5</v>
      </c>
      <c r="I28" t="str">
        <f t="shared" si="3"/>
        <v>2</v>
      </c>
      <c r="J28" s="18">
        <f>VLOOKUP(E28,Katalog!$C$3:$F$13,2,0)</f>
        <v>300000</v>
      </c>
      <c r="K28" s="18">
        <f>VLOOKUP(E28,Katalog!$C$3:$F$13,3,0)</f>
        <v>100000</v>
      </c>
      <c r="L28" t="str">
        <f t="shared" si="4"/>
        <v>SP002</v>
      </c>
      <c r="M28" t="str">
        <f>IFERROR(INDEX(Katalog!$B$4:$B$13,MATCH('Main Data'!L28,Katalog!$C$4:$C$13,0)), "-")</f>
        <v>Sandal Slip On</v>
      </c>
      <c r="N28" t="str">
        <f>IFERROR(VLOOKUP(L28,Katalog!$A$15:$B$25,2,0),"-")</f>
        <v>Sepatu Pria</v>
      </c>
      <c r="O28" t="str">
        <f t="shared" si="5"/>
        <v>2</v>
      </c>
      <c r="P28" t="str">
        <f t="shared" si="6"/>
        <v>5</v>
      </c>
      <c r="Q28" s="18">
        <f>IFERROR(VLOOKUP(L28,Katalog!$C$3:$F$13,2,0),0)</f>
        <v>120000</v>
      </c>
      <c r="R28" s="18">
        <f>IFERROR(VLOOKUP(L28,Katalog!$C$3:$F$13,3,0),0)</f>
        <v>60000</v>
      </c>
      <c r="S28" t="str">
        <f t="shared" si="7"/>
        <v>-</v>
      </c>
      <c r="T28" t="str">
        <f>IFERROR(INDEX(Katalog!$B$4:$B$13,MATCH('Main Data'!S28,Katalog!$C$4:$C$13,0)),"-")</f>
        <v>-</v>
      </c>
      <c r="U28" t="str">
        <f>IFERROR(VLOOKUP(S28,Katalog!$A$15:$B$25,2,0),"-")</f>
        <v>-</v>
      </c>
      <c r="V28">
        <f t="shared" si="8"/>
        <v>0</v>
      </c>
      <c r="W28" s="28" t="str">
        <f t="shared" si="9"/>
        <v>-</v>
      </c>
      <c r="X28" s="18">
        <f>IFERROR(VLOOKUP(S28,Katalog!$C$3:$F$13,2,0),0)</f>
        <v>0</v>
      </c>
      <c r="Y28" s="30">
        <f>IFERROR(VLOOKUP(S28,Katalog!$C$3:$F$13,3,0),0)</f>
        <v>0</v>
      </c>
      <c r="Z28" s="2">
        <f t="shared" si="10"/>
        <v>7</v>
      </c>
      <c r="AA28" s="4">
        <f t="shared" si="11"/>
        <v>1740000</v>
      </c>
      <c r="AB28" s="4">
        <f t="shared" si="12"/>
        <v>620000</v>
      </c>
      <c r="AC28" s="4" t="s">
        <v>27</v>
      </c>
      <c r="AD28" s="16">
        <f>IFERROR(VLOOKUP(AC28,'Kode Diskon'!$C$2:$D$9,2,0),0)</f>
        <v>0.15</v>
      </c>
      <c r="AE28" s="31">
        <f t="shared" si="13"/>
        <v>261000</v>
      </c>
      <c r="AF28" s="31">
        <f t="shared" si="14"/>
        <v>1479000</v>
      </c>
      <c r="AG28" s="31">
        <f t="shared" si="15"/>
        <v>1120000</v>
      </c>
      <c r="AH28" s="31">
        <f t="shared" si="16"/>
        <v>859000</v>
      </c>
      <c r="AI28" s="4" t="s">
        <v>28</v>
      </c>
      <c r="AJ28" s="4" t="s">
        <v>13</v>
      </c>
      <c r="AK28" s="4" t="str">
        <f>IFERROR(VLOOKUP(AJ28,'Guide '!$A$13:$B$16,2,0),"-")</f>
        <v>BB</v>
      </c>
      <c r="AL28" s="4" t="s">
        <v>922</v>
      </c>
      <c r="AM28" s="40">
        <v>45302</v>
      </c>
      <c r="AN28">
        <f t="shared" si="17"/>
        <v>29</v>
      </c>
      <c r="AO28">
        <f t="shared" si="18"/>
        <v>32</v>
      </c>
      <c r="AP28">
        <f t="shared" si="19"/>
        <v>40</v>
      </c>
      <c r="AQ28">
        <f t="shared" si="20"/>
        <v>43</v>
      </c>
      <c r="AR28" s="26">
        <f t="shared" si="21"/>
        <v>56</v>
      </c>
      <c r="AS28" s="26">
        <f t="shared" si="22"/>
        <v>63</v>
      </c>
      <c r="AT28" s="21">
        <f t="shared" si="23"/>
        <v>12</v>
      </c>
      <c r="AU28" s="21">
        <f t="shared" si="24"/>
        <v>19</v>
      </c>
      <c r="AV28">
        <f t="shared" si="25"/>
        <v>73</v>
      </c>
      <c r="AW28">
        <f t="shared" si="26"/>
        <v>76</v>
      </c>
      <c r="AX28">
        <f t="shared" si="27"/>
        <v>84</v>
      </c>
      <c r="AY28">
        <f t="shared" si="28"/>
        <v>87</v>
      </c>
      <c r="AZ28" t="str">
        <f t="shared" si="29"/>
        <v>-</v>
      </c>
      <c r="BA28" t="str">
        <f t="shared" si="30"/>
        <v>-</v>
      </c>
      <c r="BB28" t="str">
        <f t="shared" si="31"/>
        <v>-</v>
      </c>
      <c r="BC28" t="str">
        <f t="shared" si="32"/>
        <v>-</v>
      </c>
      <c r="BD28" s="29" t="str">
        <f t="shared" si="33"/>
        <v>-</v>
      </c>
      <c r="BE28" s="29" t="str">
        <f t="shared" si="34"/>
        <v>-</v>
      </c>
    </row>
    <row r="29" spans="1:57" ht="15" x14ac:dyDescent="0.2">
      <c r="A29" s="2">
        <v>711</v>
      </c>
      <c r="B29" s="2" t="str">
        <f t="shared" si="0"/>
        <v>0711</v>
      </c>
      <c r="C29" t="str">
        <f t="shared" si="1"/>
        <v>ORD-TK-0711-11/01/24</v>
      </c>
      <c r="D29" s="3" t="s">
        <v>700</v>
      </c>
      <c r="E29" t="str">
        <f t="shared" si="35"/>
        <v>PW001</v>
      </c>
      <c r="F29" t="str">
        <f>INDEX(Katalog!$B$4:$B$13,MATCH('Main Data'!E29,Katalog!$C$4:$C$13,0))</f>
        <v>Dress</v>
      </c>
      <c r="G29" t="str">
        <f>VLOOKUP(E29,Katalog!$A$15:$B$25,2,0)</f>
        <v>Pakaian Wanita</v>
      </c>
      <c r="H29" t="str">
        <f t="shared" si="2"/>
        <v>2</v>
      </c>
      <c r="I29" t="str">
        <f t="shared" si="3"/>
        <v>5</v>
      </c>
      <c r="J29" s="18">
        <f>VLOOKUP(E29,Katalog!$C$3:$F$13,2,0)</f>
        <v>150000</v>
      </c>
      <c r="K29" s="18">
        <f>VLOOKUP(E29,Katalog!$C$3:$F$13,3,0)</f>
        <v>55000</v>
      </c>
      <c r="L29" t="str">
        <f t="shared" si="4"/>
        <v>SP002</v>
      </c>
      <c r="M29" t="str">
        <f>IFERROR(INDEX(Katalog!$B$4:$B$13,MATCH('Main Data'!L29,Katalog!$C$4:$C$13,0)), "-")</f>
        <v>Sandal Slip On</v>
      </c>
      <c r="N29" t="str">
        <f>IFERROR(VLOOKUP(L29,Katalog!$A$15:$B$25,2,0),"-")</f>
        <v>Sepatu Pria</v>
      </c>
      <c r="O29" t="str">
        <f t="shared" si="5"/>
        <v>3</v>
      </c>
      <c r="P29" t="str">
        <f t="shared" si="6"/>
        <v>2</v>
      </c>
      <c r="Q29" s="18">
        <f>IFERROR(VLOOKUP(L29,Katalog!$C$3:$F$13,2,0),0)</f>
        <v>120000</v>
      </c>
      <c r="R29" s="18">
        <f>IFERROR(VLOOKUP(L29,Katalog!$C$3:$F$13,3,0),0)</f>
        <v>60000</v>
      </c>
      <c r="S29" t="str">
        <f t="shared" si="7"/>
        <v>PW003</v>
      </c>
      <c r="T29" t="str">
        <f>IFERROR(INDEX(Katalog!$B$4:$B$13,MATCH('Main Data'!S29,Katalog!$C$4:$C$13,0)),"-")</f>
        <v>Kaftan</v>
      </c>
      <c r="U29" t="str">
        <f>IFERROR(VLOOKUP(S29,Katalog!$A$15:$B$25,2,0),"-")</f>
        <v>Pakaian Wanita</v>
      </c>
      <c r="V29" t="str">
        <f t="shared" si="8"/>
        <v>2</v>
      </c>
      <c r="W29" s="28" t="str">
        <f t="shared" si="9"/>
        <v>4</v>
      </c>
      <c r="X29" s="18">
        <f>IFERROR(VLOOKUP(S29,Katalog!$C$3:$F$13,2,0),0)</f>
        <v>200000</v>
      </c>
      <c r="Y29" s="30">
        <f>IFERROR(VLOOKUP(S29,Katalog!$C$3:$F$13,3,0),0)</f>
        <v>100000</v>
      </c>
      <c r="Z29" s="2">
        <f t="shared" si="10"/>
        <v>7</v>
      </c>
      <c r="AA29" s="4">
        <f t="shared" si="11"/>
        <v>1060000</v>
      </c>
      <c r="AB29" s="4">
        <f t="shared" si="12"/>
        <v>490000</v>
      </c>
      <c r="AC29" s="4" t="s">
        <v>30</v>
      </c>
      <c r="AD29" s="16">
        <f>IFERROR(VLOOKUP(AC29,'Kode Diskon'!$C$2:$D$9,2,0),0)</f>
        <v>0.1</v>
      </c>
      <c r="AE29" s="31">
        <f t="shared" si="13"/>
        <v>106000</v>
      </c>
      <c r="AF29" s="31">
        <f t="shared" si="14"/>
        <v>954000</v>
      </c>
      <c r="AG29" s="31">
        <f t="shared" si="15"/>
        <v>570000</v>
      </c>
      <c r="AH29" s="31">
        <f t="shared" si="16"/>
        <v>464000</v>
      </c>
      <c r="AI29" s="4" t="s">
        <v>8</v>
      </c>
      <c r="AJ29" s="4" t="s">
        <v>9</v>
      </c>
      <c r="AK29" s="4" t="str">
        <f>IFERROR(VLOOKUP(AJ29,'Guide '!$A$13:$B$16,2,0),"-")</f>
        <v>TK</v>
      </c>
      <c r="AL29" s="4" t="s">
        <v>921</v>
      </c>
      <c r="AM29" s="40">
        <v>45302</v>
      </c>
      <c r="AN29">
        <f t="shared" si="17"/>
        <v>29</v>
      </c>
      <c r="AO29">
        <f t="shared" si="18"/>
        <v>32</v>
      </c>
      <c r="AP29">
        <f t="shared" si="19"/>
        <v>40</v>
      </c>
      <c r="AQ29">
        <f t="shared" si="20"/>
        <v>43</v>
      </c>
      <c r="AR29" s="26">
        <f t="shared" si="21"/>
        <v>56</v>
      </c>
      <c r="AS29" s="26">
        <f t="shared" si="22"/>
        <v>63</v>
      </c>
      <c r="AT29" s="21">
        <f t="shared" si="23"/>
        <v>12</v>
      </c>
      <c r="AU29" s="21">
        <f t="shared" si="24"/>
        <v>19</v>
      </c>
      <c r="AV29">
        <f t="shared" si="25"/>
        <v>73</v>
      </c>
      <c r="AW29">
        <f t="shared" si="26"/>
        <v>76</v>
      </c>
      <c r="AX29">
        <f t="shared" si="27"/>
        <v>84</v>
      </c>
      <c r="AY29">
        <f t="shared" si="28"/>
        <v>87</v>
      </c>
      <c r="AZ29">
        <f t="shared" si="29"/>
        <v>100</v>
      </c>
      <c r="BA29">
        <f t="shared" si="30"/>
        <v>107</v>
      </c>
      <c r="BB29">
        <f t="shared" si="31"/>
        <v>117</v>
      </c>
      <c r="BC29">
        <f t="shared" si="32"/>
        <v>120</v>
      </c>
      <c r="BD29" s="29">
        <f t="shared" si="33"/>
        <v>128</v>
      </c>
      <c r="BE29" s="29">
        <f t="shared" si="34"/>
        <v>131</v>
      </c>
    </row>
    <row r="30" spans="1:57" ht="15" x14ac:dyDescent="0.2">
      <c r="A30" s="2">
        <v>919</v>
      </c>
      <c r="B30" s="2" t="str">
        <f t="shared" si="0"/>
        <v>0919</v>
      </c>
      <c r="C30" t="str">
        <f t="shared" si="1"/>
        <v>ORD-SP-0919-11/01/24</v>
      </c>
      <c r="D30" s="3" t="s">
        <v>106</v>
      </c>
      <c r="E30" t="str">
        <f t="shared" si="35"/>
        <v>PP003</v>
      </c>
      <c r="F30" t="str">
        <f>INDEX(Katalog!$B$4:$B$13,MATCH('Main Data'!E30,Katalog!$C$4:$C$13,0))</f>
        <v>Jaket Jeans</v>
      </c>
      <c r="G30" t="str">
        <f>VLOOKUP(E30,Katalog!$A$15:$B$25,2,0)</f>
        <v>Pakaian Pria</v>
      </c>
      <c r="H30" t="str">
        <f t="shared" si="2"/>
        <v>5</v>
      </c>
      <c r="I30" t="str">
        <f t="shared" si="3"/>
        <v>5</v>
      </c>
      <c r="J30" s="18">
        <f>VLOOKUP(E30,Katalog!$C$3:$F$13,2,0)</f>
        <v>150000</v>
      </c>
      <c r="K30" s="18">
        <f>VLOOKUP(E30,Katalog!$C$3:$F$13,3,0)</f>
        <v>70000</v>
      </c>
      <c r="L30" t="str">
        <f t="shared" si="4"/>
        <v>-</v>
      </c>
      <c r="M30" t="str">
        <f>IFERROR(INDEX(Katalog!$B$4:$B$13,MATCH('Main Data'!L30,Katalog!$C$4:$C$13,0)), "-")</f>
        <v>-</v>
      </c>
      <c r="N30" t="str">
        <f>IFERROR(VLOOKUP(L30,Katalog!$A$15:$B$25,2,0),"-")</f>
        <v>-</v>
      </c>
      <c r="O30">
        <f t="shared" si="5"/>
        <v>0</v>
      </c>
      <c r="P30" t="str">
        <f t="shared" si="6"/>
        <v>-</v>
      </c>
      <c r="Q30" s="18">
        <f>IFERROR(VLOOKUP(L30,Katalog!$C$3:$F$13,2,0),0)</f>
        <v>0</v>
      </c>
      <c r="R30" s="18">
        <f>IFERROR(VLOOKUP(L30,Katalog!$C$3:$F$13,3,0),0)</f>
        <v>0</v>
      </c>
      <c r="S30" t="str">
        <f t="shared" si="7"/>
        <v>-</v>
      </c>
      <c r="T30" t="str">
        <f>IFERROR(INDEX(Katalog!$B$4:$B$13,MATCH('Main Data'!S30,Katalog!$C$4:$C$13,0)),"-")</f>
        <v>-</v>
      </c>
      <c r="U30" t="str">
        <f>IFERROR(VLOOKUP(S30,Katalog!$A$15:$B$25,2,0),"-")</f>
        <v>-</v>
      </c>
      <c r="V30">
        <f t="shared" si="8"/>
        <v>0</v>
      </c>
      <c r="W30" s="28" t="str">
        <f t="shared" si="9"/>
        <v>-</v>
      </c>
      <c r="X30" s="18">
        <f>IFERROR(VLOOKUP(S30,Katalog!$C$3:$F$13,2,0),0)</f>
        <v>0</v>
      </c>
      <c r="Y30" s="30">
        <f>IFERROR(VLOOKUP(S30,Katalog!$C$3:$F$13,3,0),0)</f>
        <v>0</v>
      </c>
      <c r="Z30" s="2">
        <f t="shared" si="10"/>
        <v>5</v>
      </c>
      <c r="AA30" s="4">
        <f t="shared" si="11"/>
        <v>750000</v>
      </c>
      <c r="AB30" s="4">
        <f t="shared" si="12"/>
        <v>350000</v>
      </c>
      <c r="AC30" s="4" t="s">
        <v>10</v>
      </c>
      <c r="AD30" s="16">
        <f>IFERROR(VLOOKUP(AC30,'Kode Diskon'!$C$2:$D$9,2,0),0)</f>
        <v>0</v>
      </c>
      <c r="AE30" s="31">
        <f t="shared" si="13"/>
        <v>0</v>
      </c>
      <c r="AF30" s="31">
        <f t="shared" si="14"/>
        <v>750000</v>
      </c>
      <c r="AG30" s="31">
        <f t="shared" si="15"/>
        <v>400000</v>
      </c>
      <c r="AH30" s="31">
        <f t="shared" si="16"/>
        <v>400000</v>
      </c>
      <c r="AI30" s="4" t="s">
        <v>10</v>
      </c>
      <c r="AJ30" s="4" t="s">
        <v>6</v>
      </c>
      <c r="AK30" s="4" t="str">
        <f>IFERROR(VLOOKUP(AJ30,'Guide '!$A$13:$B$16,2,0),"-")</f>
        <v>SP</v>
      </c>
      <c r="AL30" s="4" t="s">
        <v>1006</v>
      </c>
      <c r="AM30" s="40">
        <v>45302</v>
      </c>
      <c r="AN30">
        <f t="shared" si="17"/>
        <v>29</v>
      </c>
      <c r="AO30">
        <f t="shared" si="18"/>
        <v>32</v>
      </c>
      <c r="AP30">
        <f t="shared" si="19"/>
        <v>40</v>
      </c>
      <c r="AQ30">
        <f t="shared" si="20"/>
        <v>43</v>
      </c>
      <c r="AR30" s="26" t="str">
        <f t="shared" si="21"/>
        <v>-</v>
      </c>
      <c r="AS30" s="26" t="str">
        <f t="shared" si="22"/>
        <v>-</v>
      </c>
      <c r="AT30" s="21">
        <f t="shared" si="23"/>
        <v>12</v>
      </c>
      <c r="AU30" s="21">
        <f t="shared" si="24"/>
        <v>19</v>
      </c>
      <c r="AV30" t="str">
        <f t="shared" si="25"/>
        <v>-</v>
      </c>
      <c r="AW30" t="str">
        <f t="shared" si="26"/>
        <v>-</v>
      </c>
      <c r="AX30" t="str">
        <f t="shared" si="27"/>
        <v>-</v>
      </c>
      <c r="AY30" t="str">
        <f t="shared" si="28"/>
        <v>-</v>
      </c>
      <c r="AZ30" t="str">
        <f t="shared" si="29"/>
        <v>-</v>
      </c>
      <c r="BA30" t="str">
        <f t="shared" si="30"/>
        <v>-</v>
      </c>
      <c r="BB30" t="str">
        <f t="shared" si="31"/>
        <v>-</v>
      </c>
      <c r="BC30" t="str">
        <f t="shared" si="32"/>
        <v>-</v>
      </c>
      <c r="BD30" s="29" t="str">
        <f t="shared" si="33"/>
        <v>-</v>
      </c>
      <c r="BE30" s="29" t="str">
        <f t="shared" si="34"/>
        <v>-</v>
      </c>
    </row>
    <row r="31" spans="1:57" ht="15" x14ac:dyDescent="0.2">
      <c r="A31" s="2">
        <v>984</v>
      </c>
      <c r="B31" s="2" t="str">
        <f t="shared" si="0"/>
        <v>0984</v>
      </c>
      <c r="C31" t="str">
        <f t="shared" si="1"/>
        <v>ORD-SP-0984-11/01/24</v>
      </c>
      <c r="D31" s="3" t="s">
        <v>907</v>
      </c>
      <c r="E31" t="str">
        <f t="shared" si="35"/>
        <v>PP002</v>
      </c>
      <c r="F31" t="str">
        <f>INDEX(Katalog!$B$4:$B$13,MATCH('Main Data'!E31,Katalog!$C$4:$C$13,0))</f>
        <v>Celana Pendek</v>
      </c>
      <c r="G31" t="str">
        <f>VLOOKUP(E31,Katalog!$A$15:$B$25,2,0)</f>
        <v>Pakaian Pria</v>
      </c>
      <c r="H31" t="str">
        <f t="shared" si="2"/>
        <v>1</v>
      </c>
      <c r="I31" t="str">
        <f t="shared" si="3"/>
        <v>1</v>
      </c>
      <c r="J31" s="18">
        <f>VLOOKUP(E31,Katalog!$C$3:$F$13,2,0)</f>
        <v>60000</v>
      </c>
      <c r="K31" s="18">
        <f>VLOOKUP(E31,Katalog!$C$3:$F$13,3,0)</f>
        <v>25000</v>
      </c>
      <c r="L31" t="str">
        <f t="shared" si="4"/>
        <v>PU001</v>
      </c>
      <c r="M31" t="str">
        <f>IFERROR(INDEX(Katalog!$B$4:$B$13,MATCH('Main Data'!L31,Katalog!$C$4:$C$13,0)), "-")</f>
        <v>Jaket Hoodie</v>
      </c>
      <c r="N31" t="str">
        <f>IFERROR(VLOOKUP(L31,Katalog!$A$15:$B$25,2,0),"-")</f>
        <v>Pakaian Unisex</v>
      </c>
      <c r="O31" t="str">
        <f t="shared" si="5"/>
        <v>2</v>
      </c>
      <c r="P31" t="str">
        <f t="shared" si="6"/>
        <v>2</v>
      </c>
      <c r="Q31" s="18">
        <f>IFERROR(VLOOKUP(L31,Katalog!$C$3:$F$13,2,0),0)</f>
        <v>160000</v>
      </c>
      <c r="R31" s="18">
        <f>IFERROR(VLOOKUP(L31,Katalog!$C$3:$F$13,3,0),0)</f>
        <v>60000</v>
      </c>
      <c r="S31" t="str">
        <f t="shared" si="7"/>
        <v>PW002</v>
      </c>
      <c r="T31" t="str">
        <f>IFERROR(INDEX(Katalog!$B$4:$B$13,MATCH('Main Data'!S31,Katalog!$C$4:$C$13,0)),"-")</f>
        <v>Blouse</v>
      </c>
      <c r="U31" t="str">
        <f>IFERROR(VLOOKUP(S31,Katalog!$A$15:$B$25,2,0),"-")</f>
        <v>Pakaian Wanita</v>
      </c>
      <c r="V31" t="str">
        <f t="shared" si="8"/>
        <v>2</v>
      </c>
      <c r="W31" s="28" t="str">
        <f t="shared" si="9"/>
        <v>4</v>
      </c>
      <c r="X31" s="18">
        <f>IFERROR(VLOOKUP(S31,Katalog!$C$3:$F$13,2,0),0)</f>
        <v>125000</v>
      </c>
      <c r="Y31" s="30">
        <f>IFERROR(VLOOKUP(S31,Katalog!$C$3:$F$13,3,0),0)</f>
        <v>50000</v>
      </c>
      <c r="Z31" s="2">
        <f t="shared" si="10"/>
        <v>5</v>
      </c>
      <c r="AA31" s="4">
        <f t="shared" si="11"/>
        <v>630000</v>
      </c>
      <c r="AB31" s="4">
        <f t="shared" si="12"/>
        <v>245000</v>
      </c>
      <c r="AC31" s="4" t="s">
        <v>12</v>
      </c>
      <c r="AD31" s="16">
        <f>IFERROR(VLOOKUP(AC31,'Kode Diskon'!$C$2:$D$9,2,0),0)</f>
        <v>0.15</v>
      </c>
      <c r="AE31" s="31">
        <f t="shared" si="13"/>
        <v>94500</v>
      </c>
      <c r="AF31" s="31">
        <f t="shared" si="14"/>
        <v>535500</v>
      </c>
      <c r="AG31" s="31">
        <f t="shared" si="15"/>
        <v>385000</v>
      </c>
      <c r="AH31" s="31">
        <f t="shared" si="16"/>
        <v>290500</v>
      </c>
      <c r="AI31" s="4" t="s">
        <v>28</v>
      </c>
      <c r="AJ31" s="4" t="s">
        <v>6</v>
      </c>
      <c r="AK31" s="4" t="str">
        <f>IFERROR(VLOOKUP(AJ31,'Guide '!$A$13:$B$16,2,0),"-")</f>
        <v>SP</v>
      </c>
      <c r="AL31" s="4" t="s">
        <v>1006</v>
      </c>
      <c r="AM31" s="40">
        <v>45302</v>
      </c>
      <c r="AN31">
        <f t="shared" si="17"/>
        <v>29</v>
      </c>
      <c r="AO31">
        <f t="shared" si="18"/>
        <v>32</v>
      </c>
      <c r="AP31">
        <f t="shared" si="19"/>
        <v>40</v>
      </c>
      <c r="AQ31">
        <f t="shared" si="20"/>
        <v>43</v>
      </c>
      <c r="AR31" s="26">
        <f t="shared" si="21"/>
        <v>56</v>
      </c>
      <c r="AS31" s="26">
        <f t="shared" si="22"/>
        <v>63</v>
      </c>
      <c r="AT31" s="21">
        <f t="shared" si="23"/>
        <v>12</v>
      </c>
      <c r="AU31" s="21">
        <f t="shared" si="24"/>
        <v>19</v>
      </c>
      <c r="AV31">
        <f t="shared" si="25"/>
        <v>73</v>
      </c>
      <c r="AW31">
        <f t="shared" si="26"/>
        <v>76</v>
      </c>
      <c r="AX31">
        <f t="shared" si="27"/>
        <v>84</v>
      </c>
      <c r="AY31">
        <f t="shared" si="28"/>
        <v>87</v>
      </c>
      <c r="AZ31">
        <f t="shared" si="29"/>
        <v>100</v>
      </c>
      <c r="BA31">
        <f t="shared" si="30"/>
        <v>107</v>
      </c>
      <c r="BB31">
        <f t="shared" si="31"/>
        <v>117</v>
      </c>
      <c r="BC31">
        <f t="shared" si="32"/>
        <v>120</v>
      </c>
      <c r="BD31" s="29">
        <f t="shared" si="33"/>
        <v>128</v>
      </c>
      <c r="BE31" s="29">
        <f t="shared" si="34"/>
        <v>131</v>
      </c>
    </row>
    <row r="32" spans="1:57" ht="15" x14ac:dyDescent="0.2">
      <c r="A32" s="2">
        <v>429</v>
      </c>
      <c r="B32" s="2" t="str">
        <f t="shared" si="0"/>
        <v>0429</v>
      </c>
      <c r="C32" t="str">
        <f t="shared" si="1"/>
        <v>ORD-TK-0429-12/01/24</v>
      </c>
      <c r="D32" s="3" t="s">
        <v>470</v>
      </c>
      <c r="E32" t="str">
        <f t="shared" si="35"/>
        <v>PP002</v>
      </c>
      <c r="F32" t="str">
        <f>INDEX(Katalog!$B$4:$B$13,MATCH('Main Data'!E32,Katalog!$C$4:$C$13,0))</f>
        <v>Celana Pendek</v>
      </c>
      <c r="G32" t="str">
        <f>VLOOKUP(E32,Katalog!$A$15:$B$25,2,0)</f>
        <v>Pakaian Pria</v>
      </c>
      <c r="H32" t="str">
        <f t="shared" si="2"/>
        <v>5</v>
      </c>
      <c r="I32" t="str">
        <f t="shared" si="3"/>
        <v>4</v>
      </c>
      <c r="J32" s="18">
        <f>VLOOKUP(E32,Katalog!$C$3:$F$13,2,0)</f>
        <v>60000</v>
      </c>
      <c r="K32" s="18">
        <f>VLOOKUP(E32,Katalog!$C$3:$F$13,3,0)</f>
        <v>25000</v>
      </c>
      <c r="L32" t="str">
        <f t="shared" si="4"/>
        <v>-</v>
      </c>
      <c r="M32" t="str">
        <f>IFERROR(INDEX(Katalog!$B$4:$B$13,MATCH('Main Data'!L32,Katalog!$C$4:$C$13,0)), "-")</f>
        <v>-</v>
      </c>
      <c r="N32" t="str">
        <f>IFERROR(VLOOKUP(L32,Katalog!$A$15:$B$25,2,0),"-")</f>
        <v>-</v>
      </c>
      <c r="O32">
        <f t="shared" si="5"/>
        <v>0</v>
      </c>
      <c r="P32" t="str">
        <f t="shared" si="6"/>
        <v>-</v>
      </c>
      <c r="Q32" s="18">
        <f>IFERROR(VLOOKUP(L32,Katalog!$C$3:$F$13,2,0),0)</f>
        <v>0</v>
      </c>
      <c r="R32" s="18">
        <f>IFERROR(VLOOKUP(L32,Katalog!$C$3:$F$13,3,0),0)</f>
        <v>0</v>
      </c>
      <c r="S32" t="str">
        <f t="shared" si="7"/>
        <v>-</v>
      </c>
      <c r="T32" t="str">
        <f>IFERROR(INDEX(Katalog!$B$4:$B$13,MATCH('Main Data'!S32,Katalog!$C$4:$C$13,0)),"-")</f>
        <v>-</v>
      </c>
      <c r="U32" t="str">
        <f>IFERROR(VLOOKUP(S32,Katalog!$A$15:$B$25,2,0),"-")</f>
        <v>-</v>
      </c>
      <c r="V32">
        <f t="shared" si="8"/>
        <v>0</v>
      </c>
      <c r="W32" s="28" t="str">
        <f t="shared" si="9"/>
        <v>-</v>
      </c>
      <c r="X32" s="18">
        <f>IFERROR(VLOOKUP(S32,Katalog!$C$3:$F$13,2,0),0)</f>
        <v>0</v>
      </c>
      <c r="Y32" s="30">
        <f>IFERROR(VLOOKUP(S32,Katalog!$C$3:$F$13,3,0),0)</f>
        <v>0</v>
      </c>
      <c r="Z32" s="2">
        <f t="shared" si="10"/>
        <v>5</v>
      </c>
      <c r="AA32" s="4">
        <f t="shared" si="11"/>
        <v>300000</v>
      </c>
      <c r="AB32" s="4">
        <f t="shared" si="12"/>
        <v>125000</v>
      </c>
      <c r="AC32" s="4" t="s">
        <v>29</v>
      </c>
      <c r="AD32" s="16">
        <f>IFERROR(VLOOKUP(AC32,'Kode Diskon'!$C$2:$D$9,2,0),0)</f>
        <v>0.1</v>
      </c>
      <c r="AE32" s="31">
        <f t="shared" si="13"/>
        <v>30000</v>
      </c>
      <c r="AF32" s="31">
        <f t="shared" si="14"/>
        <v>270000</v>
      </c>
      <c r="AG32" s="31">
        <f t="shared" si="15"/>
        <v>175000</v>
      </c>
      <c r="AH32" s="31">
        <f t="shared" si="16"/>
        <v>145000</v>
      </c>
      <c r="AI32" s="4" t="s">
        <v>28</v>
      </c>
      <c r="AJ32" s="4" t="s">
        <v>9</v>
      </c>
      <c r="AK32" s="4" t="str">
        <f>IFERROR(VLOOKUP(AJ32,'Guide '!$A$13:$B$16,2,0),"-")</f>
        <v>TK</v>
      </c>
      <c r="AL32" s="4" t="s">
        <v>923</v>
      </c>
      <c r="AM32" s="40">
        <v>45303</v>
      </c>
      <c r="AN32">
        <f t="shared" si="17"/>
        <v>29</v>
      </c>
      <c r="AO32">
        <f t="shared" si="18"/>
        <v>32</v>
      </c>
      <c r="AP32">
        <f t="shared" si="19"/>
        <v>40</v>
      </c>
      <c r="AQ32">
        <f t="shared" si="20"/>
        <v>43</v>
      </c>
      <c r="AR32" s="26" t="str">
        <f t="shared" si="21"/>
        <v>-</v>
      </c>
      <c r="AS32" s="26" t="str">
        <f t="shared" si="22"/>
        <v>-</v>
      </c>
      <c r="AT32" s="21">
        <f t="shared" si="23"/>
        <v>12</v>
      </c>
      <c r="AU32" s="21">
        <f t="shared" si="24"/>
        <v>19</v>
      </c>
      <c r="AV32" t="str">
        <f t="shared" si="25"/>
        <v>-</v>
      </c>
      <c r="AW32" t="str">
        <f t="shared" si="26"/>
        <v>-</v>
      </c>
      <c r="AX32" t="str">
        <f t="shared" si="27"/>
        <v>-</v>
      </c>
      <c r="AY32" t="str">
        <f t="shared" si="28"/>
        <v>-</v>
      </c>
      <c r="AZ32" t="str">
        <f t="shared" si="29"/>
        <v>-</v>
      </c>
      <c r="BA32" t="str">
        <f t="shared" si="30"/>
        <v>-</v>
      </c>
      <c r="BB32" t="str">
        <f t="shared" si="31"/>
        <v>-</v>
      </c>
      <c r="BC32" t="str">
        <f t="shared" si="32"/>
        <v>-</v>
      </c>
      <c r="BD32" s="29" t="str">
        <f t="shared" si="33"/>
        <v>-</v>
      </c>
      <c r="BE32" s="29" t="str">
        <f t="shared" si="34"/>
        <v>-</v>
      </c>
    </row>
    <row r="33" spans="1:57" ht="15" x14ac:dyDescent="0.2">
      <c r="A33" s="2">
        <v>699</v>
      </c>
      <c r="B33" s="2" t="str">
        <f t="shared" si="0"/>
        <v>0699</v>
      </c>
      <c r="C33" t="str">
        <f t="shared" si="1"/>
        <v>ORD-TK-0699-12/01/24</v>
      </c>
      <c r="D33" s="3" t="s">
        <v>692</v>
      </c>
      <c r="E33" t="str">
        <f t="shared" si="35"/>
        <v>PP001</v>
      </c>
      <c r="F33" t="str">
        <f>INDEX(Katalog!$B$4:$B$13,MATCH('Main Data'!E33,Katalog!$C$4:$C$13,0))</f>
        <v>Kaos Polo</v>
      </c>
      <c r="G33" t="str">
        <f>VLOOKUP(E33,Katalog!$A$15:$B$25,2,0)</f>
        <v>Pakaian Pria</v>
      </c>
      <c r="H33" t="str">
        <f t="shared" si="2"/>
        <v>4</v>
      </c>
      <c r="I33" t="str">
        <f t="shared" si="3"/>
        <v>2</v>
      </c>
      <c r="J33" s="18">
        <f>VLOOKUP(E33,Katalog!$C$3:$F$13,2,0)</f>
        <v>80000</v>
      </c>
      <c r="K33" s="18">
        <f>VLOOKUP(E33,Katalog!$C$3:$F$13,3,0)</f>
        <v>30000</v>
      </c>
      <c r="L33" t="str">
        <f t="shared" si="4"/>
        <v>SP002</v>
      </c>
      <c r="M33" t="str">
        <f>IFERROR(INDEX(Katalog!$B$4:$B$13,MATCH('Main Data'!L33,Katalog!$C$4:$C$13,0)), "-")</f>
        <v>Sandal Slip On</v>
      </c>
      <c r="N33" t="str">
        <f>IFERROR(VLOOKUP(L33,Katalog!$A$15:$B$25,2,0),"-")</f>
        <v>Sepatu Pria</v>
      </c>
      <c r="O33" t="str">
        <f t="shared" si="5"/>
        <v>1</v>
      </c>
      <c r="P33" t="str">
        <f t="shared" si="6"/>
        <v>1</v>
      </c>
      <c r="Q33" s="18">
        <f>IFERROR(VLOOKUP(L33,Katalog!$C$3:$F$13,2,0),0)</f>
        <v>120000</v>
      </c>
      <c r="R33" s="18">
        <f>IFERROR(VLOOKUP(L33,Katalog!$C$3:$F$13,3,0),0)</f>
        <v>60000</v>
      </c>
      <c r="S33" t="str">
        <f t="shared" si="7"/>
        <v>PW001</v>
      </c>
      <c r="T33" t="str">
        <f>IFERROR(INDEX(Katalog!$B$4:$B$13,MATCH('Main Data'!S33,Katalog!$C$4:$C$13,0)),"-")</f>
        <v>Dress</v>
      </c>
      <c r="U33" t="str">
        <f>IFERROR(VLOOKUP(S33,Katalog!$A$15:$B$25,2,0),"-")</f>
        <v>Pakaian Wanita</v>
      </c>
      <c r="V33" t="str">
        <f t="shared" si="8"/>
        <v>2</v>
      </c>
      <c r="W33" s="28" t="str">
        <f t="shared" si="9"/>
        <v>1</v>
      </c>
      <c r="X33" s="18">
        <f>IFERROR(VLOOKUP(S33,Katalog!$C$3:$F$13,2,0),0)</f>
        <v>150000</v>
      </c>
      <c r="Y33" s="30">
        <f>IFERROR(VLOOKUP(S33,Katalog!$C$3:$F$13,3,0),0)</f>
        <v>55000</v>
      </c>
      <c r="Z33" s="2">
        <f t="shared" si="10"/>
        <v>7</v>
      </c>
      <c r="AA33" s="4">
        <f t="shared" si="11"/>
        <v>740000</v>
      </c>
      <c r="AB33" s="4">
        <f t="shared" si="12"/>
        <v>290000</v>
      </c>
      <c r="AC33" s="4" t="s">
        <v>30</v>
      </c>
      <c r="AD33" s="16">
        <f>IFERROR(VLOOKUP(AC33,'Kode Diskon'!$C$2:$D$9,2,0),0)</f>
        <v>0.1</v>
      </c>
      <c r="AE33" s="31">
        <f t="shared" si="13"/>
        <v>74000</v>
      </c>
      <c r="AF33" s="31">
        <f t="shared" si="14"/>
        <v>666000</v>
      </c>
      <c r="AG33" s="31">
        <f t="shared" si="15"/>
        <v>450000</v>
      </c>
      <c r="AH33" s="31">
        <f t="shared" si="16"/>
        <v>376000</v>
      </c>
      <c r="AI33" s="4" t="s">
        <v>8</v>
      </c>
      <c r="AJ33" s="4" t="s">
        <v>9</v>
      </c>
      <c r="AK33" s="4" t="str">
        <f>IFERROR(VLOOKUP(AJ33,'Guide '!$A$13:$B$16,2,0),"-")</f>
        <v>TK</v>
      </c>
      <c r="AL33" s="4" t="s">
        <v>924</v>
      </c>
      <c r="AM33" s="40">
        <v>45303</v>
      </c>
      <c r="AN33">
        <f t="shared" si="17"/>
        <v>29</v>
      </c>
      <c r="AO33">
        <f t="shared" si="18"/>
        <v>32</v>
      </c>
      <c r="AP33">
        <f t="shared" si="19"/>
        <v>40</v>
      </c>
      <c r="AQ33">
        <f t="shared" si="20"/>
        <v>43</v>
      </c>
      <c r="AR33" s="26">
        <f t="shared" si="21"/>
        <v>56</v>
      </c>
      <c r="AS33" s="26">
        <f t="shared" si="22"/>
        <v>63</v>
      </c>
      <c r="AT33" s="21">
        <f t="shared" si="23"/>
        <v>12</v>
      </c>
      <c r="AU33" s="21">
        <f t="shared" si="24"/>
        <v>19</v>
      </c>
      <c r="AV33">
        <f t="shared" si="25"/>
        <v>73</v>
      </c>
      <c r="AW33">
        <f t="shared" si="26"/>
        <v>76</v>
      </c>
      <c r="AX33">
        <f t="shared" si="27"/>
        <v>84</v>
      </c>
      <c r="AY33">
        <f t="shared" si="28"/>
        <v>87</v>
      </c>
      <c r="AZ33">
        <f t="shared" si="29"/>
        <v>100</v>
      </c>
      <c r="BA33">
        <f t="shared" si="30"/>
        <v>107</v>
      </c>
      <c r="BB33">
        <f t="shared" si="31"/>
        <v>117</v>
      </c>
      <c r="BC33">
        <f t="shared" si="32"/>
        <v>120</v>
      </c>
      <c r="BD33" s="29">
        <f t="shared" si="33"/>
        <v>128</v>
      </c>
      <c r="BE33" s="29">
        <f t="shared" si="34"/>
        <v>131</v>
      </c>
    </row>
    <row r="34" spans="1:57" ht="15" x14ac:dyDescent="0.2">
      <c r="A34" s="2">
        <v>373</v>
      </c>
      <c r="B34" s="2" t="str">
        <f t="shared" si="0"/>
        <v>0373</v>
      </c>
      <c r="C34" t="str">
        <f t="shared" si="1"/>
        <v>ORD-TK-0373-14/01/24</v>
      </c>
      <c r="D34" s="3" t="s">
        <v>423</v>
      </c>
      <c r="E34" t="str">
        <f t="shared" si="35"/>
        <v>PW002</v>
      </c>
      <c r="F34" t="str">
        <f>INDEX(Katalog!$B$4:$B$13,MATCH('Main Data'!E34,Katalog!$C$4:$C$13,0))</f>
        <v>Blouse</v>
      </c>
      <c r="G34" t="str">
        <f>VLOOKUP(E34,Katalog!$A$15:$B$25,2,0)</f>
        <v>Pakaian Wanita</v>
      </c>
      <c r="H34" t="str">
        <f t="shared" si="2"/>
        <v>1</v>
      </c>
      <c r="I34" t="str">
        <f t="shared" si="3"/>
        <v>4</v>
      </c>
      <c r="J34" s="18">
        <f>VLOOKUP(E34,Katalog!$C$3:$F$13,2,0)</f>
        <v>125000</v>
      </c>
      <c r="K34" s="18">
        <f>VLOOKUP(E34,Katalog!$C$3:$F$13,3,0)</f>
        <v>50000</v>
      </c>
      <c r="L34" t="str">
        <f t="shared" si="4"/>
        <v>PU001</v>
      </c>
      <c r="M34" t="str">
        <f>IFERROR(INDEX(Katalog!$B$4:$B$13,MATCH('Main Data'!L34,Katalog!$C$4:$C$13,0)), "-")</f>
        <v>Jaket Hoodie</v>
      </c>
      <c r="N34" t="str">
        <f>IFERROR(VLOOKUP(L34,Katalog!$A$15:$B$25,2,0),"-")</f>
        <v>Pakaian Unisex</v>
      </c>
      <c r="O34" t="str">
        <f t="shared" si="5"/>
        <v>2</v>
      </c>
      <c r="P34" t="str">
        <f t="shared" si="6"/>
        <v>3</v>
      </c>
      <c r="Q34" s="18">
        <f>IFERROR(VLOOKUP(L34,Katalog!$C$3:$F$13,2,0),0)</f>
        <v>160000</v>
      </c>
      <c r="R34" s="18">
        <f>IFERROR(VLOOKUP(L34,Katalog!$C$3:$F$13,3,0),0)</f>
        <v>60000</v>
      </c>
      <c r="S34" t="str">
        <f t="shared" si="7"/>
        <v>-</v>
      </c>
      <c r="T34" t="str">
        <f>IFERROR(INDEX(Katalog!$B$4:$B$13,MATCH('Main Data'!S34,Katalog!$C$4:$C$13,0)),"-")</f>
        <v>-</v>
      </c>
      <c r="U34" t="str">
        <f>IFERROR(VLOOKUP(S34,Katalog!$A$15:$B$25,2,0),"-")</f>
        <v>-</v>
      </c>
      <c r="V34">
        <f t="shared" si="8"/>
        <v>0</v>
      </c>
      <c r="W34" s="28" t="str">
        <f t="shared" si="9"/>
        <v>-</v>
      </c>
      <c r="X34" s="18">
        <f>IFERROR(VLOOKUP(S34,Katalog!$C$3:$F$13,2,0),0)</f>
        <v>0</v>
      </c>
      <c r="Y34" s="30">
        <f>IFERROR(VLOOKUP(S34,Katalog!$C$3:$F$13,3,0),0)</f>
        <v>0</v>
      </c>
      <c r="Z34" s="2">
        <f t="shared" si="10"/>
        <v>3</v>
      </c>
      <c r="AA34" s="4">
        <f t="shared" si="11"/>
        <v>445000</v>
      </c>
      <c r="AB34" s="4">
        <f t="shared" si="12"/>
        <v>170000</v>
      </c>
      <c r="AC34" s="4" t="s">
        <v>10</v>
      </c>
      <c r="AD34" s="16">
        <f>IFERROR(VLOOKUP(AC34,'Kode Diskon'!$C$2:$D$9,2,0),0)</f>
        <v>0</v>
      </c>
      <c r="AE34" s="31">
        <f t="shared" si="13"/>
        <v>0</v>
      </c>
      <c r="AF34" s="31">
        <f t="shared" si="14"/>
        <v>445000</v>
      </c>
      <c r="AG34" s="31">
        <f t="shared" si="15"/>
        <v>275000</v>
      </c>
      <c r="AH34" s="31">
        <f t="shared" si="16"/>
        <v>275000</v>
      </c>
      <c r="AI34" s="4" t="s">
        <v>10</v>
      </c>
      <c r="AJ34" s="4" t="s">
        <v>9</v>
      </c>
      <c r="AK34" s="4" t="str">
        <f>IFERROR(VLOOKUP(AJ34,'Guide '!$A$13:$B$16,2,0),"-")</f>
        <v>TK</v>
      </c>
      <c r="AL34" s="4" t="s">
        <v>925</v>
      </c>
      <c r="AM34" s="40">
        <v>45305</v>
      </c>
      <c r="AN34">
        <f t="shared" si="17"/>
        <v>29</v>
      </c>
      <c r="AO34">
        <f t="shared" si="18"/>
        <v>32</v>
      </c>
      <c r="AP34">
        <f t="shared" si="19"/>
        <v>40</v>
      </c>
      <c r="AQ34">
        <f t="shared" si="20"/>
        <v>43</v>
      </c>
      <c r="AR34" s="26">
        <f t="shared" si="21"/>
        <v>56</v>
      </c>
      <c r="AS34" s="26">
        <f t="shared" si="22"/>
        <v>63</v>
      </c>
      <c r="AT34" s="21">
        <f t="shared" si="23"/>
        <v>12</v>
      </c>
      <c r="AU34" s="21">
        <f t="shared" si="24"/>
        <v>19</v>
      </c>
      <c r="AV34">
        <f t="shared" si="25"/>
        <v>73</v>
      </c>
      <c r="AW34">
        <f t="shared" si="26"/>
        <v>76</v>
      </c>
      <c r="AX34">
        <f t="shared" si="27"/>
        <v>84</v>
      </c>
      <c r="AY34">
        <f t="shared" si="28"/>
        <v>87</v>
      </c>
      <c r="AZ34" t="str">
        <f t="shared" si="29"/>
        <v>-</v>
      </c>
      <c r="BA34" t="str">
        <f t="shared" si="30"/>
        <v>-</v>
      </c>
      <c r="BB34" t="str">
        <f t="shared" si="31"/>
        <v>-</v>
      </c>
      <c r="BC34" t="str">
        <f t="shared" si="32"/>
        <v>-</v>
      </c>
      <c r="BD34" s="29" t="str">
        <f t="shared" si="33"/>
        <v>-</v>
      </c>
      <c r="BE34" s="29" t="str">
        <f t="shared" si="34"/>
        <v>-</v>
      </c>
    </row>
    <row r="35" spans="1:57" ht="15" x14ac:dyDescent="0.2">
      <c r="A35" s="2">
        <v>703</v>
      </c>
      <c r="B35" s="2" t="str">
        <f t="shared" si="0"/>
        <v>0703</v>
      </c>
      <c r="C35" t="str">
        <f t="shared" si="1"/>
        <v>ORD-TK-0703-14/01/24</v>
      </c>
      <c r="D35" s="3" t="s">
        <v>302</v>
      </c>
      <c r="E35" t="str">
        <f t="shared" si="35"/>
        <v>PP001</v>
      </c>
      <c r="F35" t="str">
        <f>INDEX(Katalog!$B$4:$B$13,MATCH('Main Data'!E35,Katalog!$C$4:$C$13,0))</f>
        <v>Kaos Polo</v>
      </c>
      <c r="G35" t="str">
        <f>VLOOKUP(E35,Katalog!$A$15:$B$25,2,0)</f>
        <v>Pakaian Pria</v>
      </c>
      <c r="H35" t="str">
        <f t="shared" ref="H35:H66" si="36">MID(D35,AN35+2,AO35-AN35-2)</f>
        <v>1</v>
      </c>
      <c r="I35" t="str">
        <f t="shared" si="3"/>
        <v>2</v>
      </c>
      <c r="J35" s="18">
        <f>VLOOKUP(E35,Katalog!$C$3:$F$13,2,0)</f>
        <v>80000</v>
      </c>
      <c r="K35" s="18">
        <f>VLOOKUP(E35,Katalog!$C$3:$F$13,3,0)</f>
        <v>30000</v>
      </c>
      <c r="L35" t="str">
        <f t="shared" si="4"/>
        <v>-</v>
      </c>
      <c r="M35" t="str">
        <f>IFERROR(INDEX(Katalog!$B$4:$B$13,MATCH('Main Data'!L35,Katalog!$C$4:$C$13,0)), "-")</f>
        <v>-</v>
      </c>
      <c r="N35" t="str">
        <f>IFERROR(VLOOKUP(L35,Katalog!$A$15:$B$25,2,0),"-")</f>
        <v>-</v>
      </c>
      <c r="O35">
        <f t="shared" si="5"/>
        <v>0</v>
      </c>
      <c r="P35" t="str">
        <f t="shared" si="6"/>
        <v>-</v>
      </c>
      <c r="Q35" s="18">
        <f>IFERROR(VLOOKUP(L35,Katalog!$C$3:$F$13,2,0),0)</f>
        <v>0</v>
      </c>
      <c r="R35" s="18">
        <f>IFERROR(VLOOKUP(L35,Katalog!$C$3:$F$13,3,0),0)</f>
        <v>0</v>
      </c>
      <c r="S35" t="str">
        <f t="shared" si="7"/>
        <v>-</v>
      </c>
      <c r="T35" t="str">
        <f>IFERROR(INDEX(Katalog!$B$4:$B$13,MATCH('Main Data'!S35,Katalog!$C$4:$C$13,0)),"-")</f>
        <v>-</v>
      </c>
      <c r="U35" t="str">
        <f>IFERROR(VLOOKUP(S35,Katalog!$A$15:$B$25,2,0),"-")</f>
        <v>-</v>
      </c>
      <c r="V35">
        <f t="shared" si="8"/>
        <v>0</v>
      </c>
      <c r="W35" s="28" t="str">
        <f t="shared" si="9"/>
        <v>-</v>
      </c>
      <c r="X35" s="18">
        <f>IFERROR(VLOOKUP(S35,Katalog!$C$3:$F$13,2,0),0)</f>
        <v>0</v>
      </c>
      <c r="Y35" s="30">
        <f>IFERROR(VLOOKUP(S35,Katalog!$C$3:$F$13,3,0),0)</f>
        <v>0</v>
      </c>
      <c r="Z35" s="2">
        <f t="shared" si="10"/>
        <v>1</v>
      </c>
      <c r="AA35" s="4">
        <f t="shared" si="11"/>
        <v>80000</v>
      </c>
      <c r="AB35" s="4">
        <f t="shared" si="12"/>
        <v>30000</v>
      </c>
      <c r="AC35" s="4" t="s">
        <v>29</v>
      </c>
      <c r="AD35" s="16">
        <f>IFERROR(VLOOKUP(AC35,'Kode Diskon'!$C$2:$D$9,2,0),0)</f>
        <v>0.1</v>
      </c>
      <c r="AE35" s="31">
        <f t="shared" si="13"/>
        <v>8000</v>
      </c>
      <c r="AF35" s="31">
        <f t="shared" si="14"/>
        <v>72000</v>
      </c>
      <c r="AG35" s="31">
        <f t="shared" si="15"/>
        <v>50000</v>
      </c>
      <c r="AH35" s="31">
        <f t="shared" si="16"/>
        <v>42000</v>
      </c>
      <c r="AI35" s="4" t="s">
        <v>28</v>
      </c>
      <c r="AJ35" s="4" t="s">
        <v>9</v>
      </c>
      <c r="AK35" s="4" t="str">
        <f>IFERROR(VLOOKUP(AJ35,'Guide '!$A$13:$B$16,2,0),"-")</f>
        <v>TK</v>
      </c>
      <c r="AL35" s="4" t="s">
        <v>921</v>
      </c>
      <c r="AM35" s="40">
        <v>45305</v>
      </c>
      <c r="AN35">
        <f t="shared" si="17"/>
        <v>29</v>
      </c>
      <c r="AO35">
        <f t="shared" si="18"/>
        <v>32</v>
      </c>
      <c r="AP35">
        <f t="shared" si="19"/>
        <v>40</v>
      </c>
      <c r="AQ35">
        <f t="shared" si="20"/>
        <v>43</v>
      </c>
      <c r="AR35" s="26" t="str">
        <f t="shared" si="21"/>
        <v>-</v>
      </c>
      <c r="AS35" s="26" t="str">
        <f t="shared" si="22"/>
        <v>-</v>
      </c>
      <c r="AT35" s="21">
        <f t="shared" si="23"/>
        <v>12</v>
      </c>
      <c r="AU35" s="21">
        <f t="shared" si="24"/>
        <v>19</v>
      </c>
      <c r="AV35" t="str">
        <f t="shared" si="25"/>
        <v>-</v>
      </c>
      <c r="AW35" t="str">
        <f t="shared" si="26"/>
        <v>-</v>
      </c>
      <c r="AX35" t="str">
        <f t="shared" si="27"/>
        <v>-</v>
      </c>
      <c r="AY35" t="str">
        <f t="shared" si="28"/>
        <v>-</v>
      </c>
      <c r="AZ35" t="str">
        <f t="shared" si="29"/>
        <v>-</v>
      </c>
      <c r="BA35" t="str">
        <f t="shared" si="30"/>
        <v>-</v>
      </c>
      <c r="BB35" t="str">
        <f t="shared" si="31"/>
        <v>-</v>
      </c>
      <c r="BC35" t="str">
        <f t="shared" si="32"/>
        <v>-</v>
      </c>
      <c r="BD35" s="29" t="str">
        <f t="shared" si="33"/>
        <v>-</v>
      </c>
      <c r="BE35" s="29" t="str">
        <f t="shared" si="34"/>
        <v>-</v>
      </c>
    </row>
    <row r="36" spans="1:57" ht="15" x14ac:dyDescent="0.2">
      <c r="A36" s="2">
        <v>795</v>
      </c>
      <c r="B36" s="2" t="str">
        <f t="shared" si="0"/>
        <v>0795</v>
      </c>
      <c r="C36" t="str">
        <f t="shared" si="1"/>
        <v>ORD-BB-0795-15/01/24</v>
      </c>
      <c r="D36" s="3" t="s">
        <v>763</v>
      </c>
      <c r="E36" t="str">
        <f t="shared" si="35"/>
        <v>SP001</v>
      </c>
      <c r="F36" t="str">
        <f>INDEX(Katalog!$B$4:$B$13,MATCH('Main Data'!E36,Katalog!$C$4:$C$13,0))</f>
        <v>Sneakers</v>
      </c>
      <c r="G36" t="str">
        <f>VLOOKUP(E36,Katalog!$A$15:$B$25,2,0)</f>
        <v>Sepatu Pria</v>
      </c>
      <c r="H36" t="str">
        <f t="shared" si="36"/>
        <v>1</v>
      </c>
      <c r="I36" t="str">
        <f t="shared" si="3"/>
        <v>4</v>
      </c>
      <c r="J36" s="18">
        <f>VLOOKUP(E36,Katalog!$C$3:$F$13,2,0)</f>
        <v>300000</v>
      </c>
      <c r="K36" s="18">
        <f>VLOOKUP(E36,Katalog!$C$3:$F$13,3,0)</f>
        <v>100000</v>
      </c>
      <c r="L36" t="str">
        <f t="shared" si="4"/>
        <v>PP002</v>
      </c>
      <c r="M36" t="str">
        <f>IFERROR(INDEX(Katalog!$B$4:$B$13,MATCH('Main Data'!L36,Katalog!$C$4:$C$13,0)), "-")</f>
        <v>Celana Pendek</v>
      </c>
      <c r="N36" t="str">
        <f>IFERROR(VLOOKUP(L36,Katalog!$A$15:$B$25,2,0),"-")</f>
        <v>Pakaian Pria</v>
      </c>
      <c r="O36" t="str">
        <f t="shared" si="5"/>
        <v>1</v>
      </c>
      <c r="P36" t="str">
        <f t="shared" si="6"/>
        <v>2</v>
      </c>
      <c r="Q36" s="18">
        <f>IFERROR(VLOOKUP(L36,Katalog!$C$3:$F$13,2,0),0)</f>
        <v>60000</v>
      </c>
      <c r="R36" s="18">
        <f>IFERROR(VLOOKUP(L36,Katalog!$C$3:$F$13,3,0),0)</f>
        <v>25000</v>
      </c>
      <c r="S36" t="str">
        <f t="shared" si="7"/>
        <v>-</v>
      </c>
      <c r="T36" t="str">
        <f>IFERROR(INDEX(Katalog!$B$4:$B$13,MATCH('Main Data'!S36,Katalog!$C$4:$C$13,0)),"-")</f>
        <v>-</v>
      </c>
      <c r="U36" t="str">
        <f>IFERROR(VLOOKUP(S36,Katalog!$A$15:$B$25,2,0),"-")</f>
        <v>-</v>
      </c>
      <c r="V36">
        <f t="shared" si="8"/>
        <v>0</v>
      </c>
      <c r="W36" s="28" t="str">
        <f t="shared" si="9"/>
        <v>-</v>
      </c>
      <c r="X36" s="18">
        <f>IFERROR(VLOOKUP(S36,Katalog!$C$3:$F$13,2,0),0)</f>
        <v>0</v>
      </c>
      <c r="Y36" s="30">
        <f>IFERROR(VLOOKUP(S36,Katalog!$C$3:$F$13,3,0),0)</f>
        <v>0</v>
      </c>
      <c r="Z36" s="2">
        <f t="shared" si="10"/>
        <v>2</v>
      </c>
      <c r="AA36" s="4">
        <f t="shared" si="11"/>
        <v>360000</v>
      </c>
      <c r="AB36" s="4">
        <f t="shared" si="12"/>
        <v>125000</v>
      </c>
      <c r="AC36" s="4" t="s">
        <v>27</v>
      </c>
      <c r="AD36" s="16">
        <f>IFERROR(VLOOKUP(AC36,'Kode Diskon'!$C$2:$D$9,2,0),0)</f>
        <v>0.15</v>
      </c>
      <c r="AE36" s="31">
        <f t="shared" si="13"/>
        <v>54000</v>
      </c>
      <c r="AF36" s="31">
        <f t="shared" si="14"/>
        <v>306000</v>
      </c>
      <c r="AG36" s="31">
        <f t="shared" si="15"/>
        <v>235000</v>
      </c>
      <c r="AH36" s="31">
        <f t="shared" si="16"/>
        <v>181000</v>
      </c>
      <c r="AI36" s="4" t="s">
        <v>28</v>
      </c>
      <c r="AJ36" s="4" t="s">
        <v>13</v>
      </c>
      <c r="AK36" s="4" t="str">
        <f>IFERROR(VLOOKUP(AJ36,'Guide '!$A$13:$B$16,2,0),"-")</f>
        <v>BB</v>
      </c>
      <c r="AL36" s="4" t="s">
        <v>925</v>
      </c>
      <c r="AM36" s="40">
        <v>45306</v>
      </c>
      <c r="AN36">
        <f t="shared" si="17"/>
        <v>29</v>
      </c>
      <c r="AO36">
        <f t="shared" si="18"/>
        <v>32</v>
      </c>
      <c r="AP36">
        <f t="shared" si="19"/>
        <v>40</v>
      </c>
      <c r="AQ36">
        <f t="shared" si="20"/>
        <v>43</v>
      </c>
      <c r="AR36" s="26">
        <f t="shared" si="21"/>
        <v>56</v>
      </c>
      <c r="AS36" s="26">
        <f t="shared" si="22"/>
        <v>63</v>
      </c>
      <c r="AT36" s="21">
        <f t="shared" si="23"/>
        <v>12</v>
      </c>
      <c r="AU36" s="21">
        <f t="shared" si="24"/>
        <v>19</v>
      </c>
      <c r="AV36">
        <f t="shared" si="25"/>
        <v>73</v>
      </c>
      <c r="AW36">
        <f t="shared" si="26"/>
        <v>76</v>
      </c>
      <c r="AX36">
        <f t="shared" si="27"/>
        <v>84</v>
      </c>
      <c r="AY36">
        <f t="shared" si="28"/>
        <v>87</v>
      </c>
      <c r="AZ36" t="str">
        <f t="shared" si="29"/>
        <v>-</v>
      </c>
      <c r="BA36" t="str">
        <f t="shared" si="30"/>
        <v>-</v>
      </c>
      <c r="BB36" t="str">
        <f t="shared" si="31"/>
        <v>-</v>
      </c>
      <c r="BC36" t="str">
        <f t="shared" si="32"/>
        <v>-</v>
      </c>
      <c r="BD36" s="29" t="str">
        <f t="shared" si="33"/>
        <v>-</v>
      </c>
      <c r="BE36" s="29" t="str">
        <f t="shared" si="34"/>
        <v>-</v>
      </c>
    </row>
    <row r="37" spans="1:57" ht="15" x14ac:dyDescent="0.2">
      <c r="A37" s="2">
        <v>177</v>
      </c>
      <c r="B37" s="2" t="str">
        <f t="shared" si="0"/>
        <v>0177</v>
      </c>
      <c r="C37" t="str">
        <f t="shared" si="1"/>
        <v>ORD-SP-0177-16/01/24</v>
      </c>
      <c r="D37" s="3" t="s">
        <v>246</v>
      </c>
      <c r="E37" t="str">
        <f t="shared" si="35"/>
        <v>PP002</v>
      </c>
      <c r="F37" t="str">
        <f>INDEX(Katalog!$B$4:$B$13,MATCH('Main Data'!E37,Katalog!$C$4:$C$13,0))</f>
        <v>Celana Pendek</v>
      </c>
      <c r="G37" t="str">
        <f>VLOOKUP(E37,Katalog!$A$15:$B$25,2,0)</f>
        <v>Pakaian Pria</v>
      </c>
      <c r="H37" t="str">
        <f t="shared" si="36"/>
        <v>1</v>
      </c>
      <c r="I37" t="str">
        <f t="shared" si="3"/>
        <v>3</v>
      </c>
      <c r="J37" s="18">
        <f>VLOOKUP(E37,Katalog!$C$3:$F$13,2,0)</f>
        <v>60000</v>
      </c>
      <c r="K37" s="18">
        <f>VLOOKUP(E37,Katalog!$C$3:$F$13,3,0)</f>
        <v>25000</v>
      </c>
      <c r="L37" t="str">
        <f t="shared" si="4"/>
        <v>SP001</v>
      </c>
      <c r="M37" t="str">
        <f>IFERROR(INDEX(Katalog!$B$4:$B$13,MATCH('Main Data'!L37,Katalog!$C$4:$C$13,0)), "-")</f>
        <v>Sneakers</v>
      </c>
      <c r="N37" t="str">
        <f>IFERROR(VLOOKUP(L37,Katalog!$A$15:$B$25,2,0),"-")</f>
        <v>Sepatu Pria</v>
      </c>
      <c r="O37" t="str">
        <f t="shared" si="5"/>
        <v>1</v>
      </c>
      <c r="P37" t="str">
        <f t="shared" si="6"/>
        <v>4</v>
      </c>
      <c r="Q37" s="18">
        <f>IFERROR(VLOOKUP(L37,Katalog!$C$3:$F$13,2,0),0)</f>
        <v>300000</v>
      </c>
      <c r="R37" s="18">
        <f>IFERROR(VLOOKUP(L37,Katalog!$C$3:$F$13,3,0),0)</f>
        <v>100000</v>
      </c>
      <c r="S37" t="str">
        <f t="shared" si="7"/>
        <v>PW003</v>
      </c>
      <c r="T37" t="str">
        <f>IFERROR(INDEX(Katalog!$B$4:$B$13,MATCH('Main Data'!S37,Katalog!$C$4:$C$13,0)),"-")</f>
        <v>Kaftan</v>
      </c>
      <c r="U37" t="str">
        <f>IFERROR(VLOOKUP(S37,Katalog!$A$15:$B$25,2,0),"-")</f>
        <v>Pakaian Wanita</v>
      </c>
      <c r="V37" t="str">
        <f t="shared" si="8"/>
        <v>1</v>
      </c>
      <c r="W37" s="28" t="str">
        <f t="shared" si="9"/>
        <v>2</v>
      </c>
      <c r="X37" s="18">
        <f>IFERROR(VLOOKUP(S37,Katalog!$C$3:$F$13,2,0),0)</f>
        <v>200000</v>
      </c>
      <c r="Y37" s="30">
        <f>IFERROR(VLOOKUP(S37,Katalog!$C$3:$F$13,3,0),0)</f>
        <v>100000</v>
      </c>
      <c r="Z37" s="2">
        <f t="shared" si="10"/>
        <v>3</v>
      </c>
      <c r="AA37" s="4">
        <f t="shared" si="11"/>
        <v>560000</v>
      </c>
      <c r="AB37" s="4">
        <f t="shared" si="12"/>
        <v>225000</v>
      </c>
      <c r="AC37" s="4" t="s">
        <v>7</v>
      </c>
      <c r="AD37" s="16">
        <f>IFERROR(VLOOKUP(AC37,'Kode Diskon'!$C$2:$D$9,2,0),0)</f>
        <v>0.2</v>
      </c>
      <c r="AE37" s="31">
        <f t="shared" si="13"/>
        <v>112000</v>
      </c>
      <c r="AF37" s="31">
        <f t="shared" si="14"/>
        <v>448000</v>
      </c>
      <c r="AG37" s="31">
        <f t="shared" si="15"/>
        <v>335000</v>
      </c>
      <c r="AH37" s="31">
        <f t="shared" si="16"/>
        <v>223000</v>
      </c>
      <c r="AI37" s="4" t="s">
        <v>8</v>
      </c>
      <c r="AJ37" s="4" t="s">
        <v>6</v>
      </c>
      <c r="AK37" s="4" t="str">
        <f>IFERROR(VLOOKUP(AJ37,'Guide '!$A$13:$B$16,2,0),"-")</f>
        <v>SP</v>
      </c>
      <c r="AL37" s="4" t="s">
        <v>924</v>
      </c>
      <c r="AM37" s="40">
        <v>45307</v>
      </c>
      <c r="AN37">
        <f t="shared" si="17"/>
        <v>29</v>
      </c>
      <c r="AO37">
        <f t="shared" si="18"/>
        <v>32</v>
      </c>
      <c r="AP37">
        <f t="shared" si="19"/>
        <v>40</v>
      </c>
      <c r="AQ37">
        <f t="shared" si="20"/>
        <v>43</v>
      </c>
      <c r="AR37" s="26">
        <f t="shared" si="21"/>
        <v>56</v>
      </c>
      <c r="AS37" s="26">
        <f t="shared" si="22"/>
        <v>63</v>
      </c>
      <c r="AT37" s="21">
        <f t="shared" si="23"/>
        <v>12</v>
      </c>
      <c r="AU37" s="21">
        <f t="shared" si="24"/>
        <v>19</v>
      </c>
      <c r="AV37">
        <f t="shared" si="25"/>
        <v>73</v>
      </c>
      <c r="AW37">
        <f t="shared" si="26"/>
        <v>76</v>
      </c>
      <c r="AX37">
        <f t="shared" si="27"/>
        <v>84</v>
      </c>
      <c r="AY37">
        <f t="shared" si="28"/>
        <v>87</v>
      </c>
      <c r="AZ37">
        <f t="shared" si="29"/>
        <v>100</v>
      </c>
      <c r="BA37">
        <f t="shared" si="30"/>
        <v>107</v>
      </c>
      <c r="BB37">
        <f t="shared" si="31"/>
        <v>117</v>
      </c>
      <c r="BC37">
        <f t="shared" si="32"/>
        <v>120</v>
      </c>
      <c r="BD37" s="29">
        <f t="shared" si="33"/>
        <v>128</v>
      </c>
      <c r="BE37" s="29">
        <f t="shared" si="34"/>
        <v>131</v>
      </c>
    </row>
    <row r="38" spans="1:57" ht="15" x14ac:dyDescent="0.2">
      <c r="A38" s="2">
        <v>240</v>
      </c>
      <c r="B38" s="2" t="str">
        <f t="shared" si="0"/>
        <v>0240</v>
      </c>
      <c r="C38" t="str">
        <f t="shared" si="1"/>
        <v>ORD-BB-0240-16/01/24</v>
      </c>
      <c r="D38" s="3" t="s">
        <v>306</v>
      </c>
      <c r="E38" t="str">
        <f t="shared" si="35"/>
        <v>PP001</v>
      </c>
      <c r="F38" t="str">
        <f>INDEX(Katalog!$B$4:$B$13,MATCH('Main Data'!E38,Katalog!$C$4:$C$13,0))</f>
        <v>Kaos Polo</v>
      </c>
      <c r="G38" t="str">
        <f>VLOOKUP(E38,Katalog!$A$15:$B$25,2,0)</f>
        <v>Pakaian Pria</v>
      </c>
      <c r="H38" t="str">
        <f t="shared" si="36"/>
        <v>6</v>
      </c>
      <c r="I38" t="str">
        <f t="shared" si="3"/>
        <v>4</v>
      </c>
      <c r="J38" s="18">
        <f>VLOOKUP(E38,Katalog!$C$3:$F$13,2,0)</f>
        <v>80000</v>
      </c>
      <c r="K38" s="18">
        <f>VLOOKUP(E38,Katalog!$C$3:$F$13,3,0)</f>
        <v>30000</v>
      </c>
      <c r="L38" t="str">
        <f t="shared" si="4"/>
        <v>-</v>
      </c>
      <c r="M38" t="str">
        <f>IFERROR(INDEX(Katalog!$B$4:$B$13,MATCH('Main Data'!L38,Katalog!$C$4:$C$13,0)), "-")</f>
        <v>-</v>
      </c>
      <c r="N38" t="str">
        <f>IFERROR(VLOOKUP(L38,Katalog!$A$15:$B$25,2,0),"-")</f>
        <v>-</v>
      </c>
      <c r="O38">
        <f t="shared" si="5"/>
        <v>0</v>
      </c>
      <c r="P38" t="str">
        <f t="shared" si="6"/>
        <v>-</v>
      </c>
      <c r="Q38" s="18">
        <f>IFERROR(VLOOKUP(L38,Katalog!$C$3:$F$13,2,0),0)</f>
        <v>0</v>
      </c>
      <c r="R38" s="18">
        <f>IFERROR(VLOOKUP(L38,Katalog!$C$3:$F$13,3,0),0)</f>
        <v>0</v>
      </c>
      <c r="S38" t="str">
        <f t="shared" si="7"/>
        <v>-</v>
      </c>
      <c r="T38" t="str">
        <f>IFERROR(INDEX(Katalog!$B$4:$B$13,MATCH('Main Data'!S38,Katalog!$C$4:$C$13,0)),"-")</f>
        <v>-</v>
      </c>
      <c r="U38" t="str">
        <f>IFERROR(VLOOKUP(S38,Katalog!$A$15:$B$25,2,0),"-")</f>
        <v>-</v>
      </c>
      <c r="V38">
        <f t="shared" si="8"/>
        <v>0</v>
      </c>
      <c r="W38" s="28" t="str">
        <f t="shared" si="9"/>
        <v>-</v>
      </c>
      <c r="X38" s="18">
        <f>IFERROR(VLOOKUP(S38,Katalog!$C$3:$F$13,2,0),0)</f>
        <v>0</v>
      </c>
      <c r="Y38" s="30">
        <f>IFERROR(VLOOKUP(S38,Katalog!$C$3:$F$13,3,0),0)</f>
        <v>0</v>
      </c>
      <c r="Z38" s="2">
        <f t="shared" si="10"/>
        <v>6</v>
      </c>
      <c r="AA38" s="4">
        <f t="shared" si="11"/>
        <v>480000</v>
      </c>
      <c r="AB38" s="4">
        <f t="shared" si="12"/>
        <v>180000</v>
      </c>
      <c r="AC38" s="4" t="s">
        <v>27</v>
      </c>
      <c r="AD38" s="16">
        <f>IFERROR(VLOOKUP(AC38,'Kode Diskon'!$C$2:$D$9,2,0),0)</f>
        <v>0.15</v>
      </c>
      <c r="AE38" s="31">
        <f t="shared" si="13"/>
        <v>72000</v>
      </c>
      <c r="AF38" s="31">
        <f t="shared" si="14"/>
        <v>408000</v>
      </c>
      <c r="AG38" s="31">
        <f t="shared" si="15"/>
        <v>300000</v>
      </c>
      <c r="AH38" s="31">
        <f t="shared" si="16"/>
        <v>228000</v>
      </c>
      <c r="AI38" s="4" t="s">
        <v>28</v>
      </c>
      <c r="AJ38" s="4" t="s">
        <v>13</v>
      </c>
      <c r="AK38" s="4" t="str">
        <f>IFERROR(VLOOKUP(AJ38,'Guide '!$A$13:$B$16,2,0),"-")</f>
        <v>BB</v>
      </c>
      <c r="AL38" s="4" t="s">
        <v>921</v>
      </c>
      <c r="AM38" s="40">
        <v>45307</v>
      </c>
      <c r="AN38">
        <f t="shared" si="17"/>
        <v>29</v>
      </c>
      <c r="AO38">
        <f t="shared" si="18"/>
        <v>32</v>
      </c>
      <c r="AP38">
        <f t="shared" si="19"/>
        <v>40</v>
      </c>
      <c r="AQ38">
        <f t="shared" si="20"/>
        <v>43</v>
      </c>
      <c r="AR38" s="26" t="str">
        <f t="shared" si="21"/>
        <v>-</v>
      </c>
      <c r="AS38" s="26" t="str">
        <f t="shared" si="22"/>
        <v>-</v>
      </c>
      <c r="AT38" s="21">
        <f t="shared" si="23"/>
        <v>12</v>
      </c>
      <c r="AU38" s="21">
        <f t="shared" si="24"/>
        <v>19</v>
      </c>
      <c r="AV38" t="str">
        <f t="shared" si="25"/>
        <v>-</v>
      </c>
      <c r="AW38" t="str">
        <f t="shared" si="26"/>
        <v>-</v>
      </c>
      <c r="AX38" t="str">
        <f t="shared" si="27"/>
        <v>-</v>
      </c>
      <c r="AY38" t="str">
        <f t="shared" si="28"/>
        <v>-</v>
      </c>
      <c r="AZ38" t="str">
        <f t="shared" si="29"/>
        <v>-</v>
      </c>
      <c r="BA38" t="str">
        <f t="shared" si="30"/>
        <v>-</v>
      </c>
      <c r="BB38" t="str">
        <f t="shared" si="31"/>
        <v>-</v>
      </c>
      <c r="BC38" t="str">
        <f t="shared" si="32"/>
        <v>-</v>
      </c>
      <c r="BD38" s="29" t="str">
        <f t="shared" si="33"/>
        <v>-</v>
      </c>
      <c r="BE38" s="29" t="str">
        <f t="shared" si="34"/>
        <v>-</v>
      </c>
    </row>
    <row r="39" spans="1:57" ht="15" x14ac:dyDescent="0.2">
      <c r="A39" s="2">
        <v>71</v>
      </c>
      <c r="B39" s="2" t="str">
        <f t="shared" si="0"/>
        <v>0071</v>
      </c>
      <c r="C39" t="str">
        <f t="shared" si="1"/>
        <v>ORD-SP-0071-17/01/24</v>
      </c>
      <c r="D39" s="3" t="s">
        <v>144</v>
      </c>
      <c r="E39" t="str">
        <f t="shared" si="35"/>
        <v>PW001</v>
      </c>
      <c r="F39" t="str">
        <f>INDEX(Katalog!$B$4:$B$13,MATCH('Main Data'!E39,Katalog!$C$4:$C$13,0))</f>
        <v>Dress</v>
      </c>
      <c r="G39" t="str">
        <f>VLOOKUP(E39,Katalog!$A$15:$B$25,2,0)</f>
        <v>Pakaian Wanita</v>
      </c>
      <c r="H39" t="str">
        <f t="shared" si="36"/>
        <v>4</v>
      </c>
      <c r="I39" t="str">
        <f t="shared" si="3"/>
        <v>2</v>
      </c>
      <c r="J39" s="18">
        <f>VLOOKUP(E39,Katalog!$C$3:$F$13,2,0)</f>
        <v>150000</v>
      </c>
      <c r="K39" s="18">
        <f>VLOOKUP(E39,Katalog!$C$3:$F$13,3,0)</f>
        <v>55000</v>
      </c>
      <c r="L39" t="str">
        <f t="shared" si="4"/>
        <v>PP003</v>
      </c>
      <c r="M39" t="str">
        <f>IFERROR(INDEX(Katalog!$B$4:$B$13,MATCH('Main Data'!L39,Katalog!$C$4:$C$13,0)), "-")</f>
        <v>Jaket Jeans</v>
      </c>
      <c r="N39" t="str">
        <f>IFERROR(VLOOKUP(L39,Katalog!$A$15:$B$25,2,0),"-")</f>
        <v>Pakaian Pria</v>
      </c>
      <c r="O39" t="str">
        <f t="shared" si="5"/>
        <v>1</v>
      </c>
      <c r="P39" t="str">
        <f t="shared" si="6"/>
        <v>3</v>
      </c>
      <c r="Q39" s="18">
        <f>IFERROR(VLOOKUP(L39,Katalog!$C$3:$F$13,2,0),0)</f>
        <v>150000</v>
      </c>
      <c r="R39" s="18">
        <f>IFERROR(VLOOKUP(L39,Katalog!$C$3:$F$13,3,0),0)</f>
        <v>70000</v>
      </c>
      <c r="S39" t="str">
        <f t="shared" si="7"/>
        <v>-</v>
      </c>
      <c r="T39" t="str">
        <f>IFERROR(INDEX(Katalog!$B$4:$B$13,MATCH('Main Data'!S39,Katalog!$C$4:$C$13,0)),"-")</f>
        <v>-</v>
      </c>
      <c r="U39" t="str">
        <f>IFERROR(VLOOKUP(S39,Katalog!$A$15:$B$25,2,0),"-")</f>
        <v>-</v>
      </c>
      <c r="V39">
        <f t="shared" si="8"/>
        <v>0</v>
      </c>
      <c r="W39" s="28" t="str">
        <f t="shared" si="9"/>
        <v>-</v>
      </c>
      <c r="X39" s="18">
        <f>IFERROR(VLOOKUP(S39,Katalog!$C$3:$F$13,2,0),0)</f>
        <v>0</v>
      </c>
      <c r="Y39" s="30">
        <f>IFERROR(VLOOKUP(S39,Katalog!$C$3:$F$13,3,0),0)</f>
        <v>0</v>
      </c>
      <c r="Z39" s="2">
        <f t="shared" si="10"/>
        <v>5</v>
      </c>
      <c r="AA39" s="4">
        <f t="shared" si="11"/>
        <v>750000</v>
      </c>
      <c r="AB39" s="4">
        <f t="shared" si="12"/>
        <v>290000</v>
      </c>
      <c r="AC39" s="4" t="s">
        <v>5</v>
      </c>
      <c r="AD39" s="16">
        <f>IFERROR(VLOOKUP(AC39,'Kode Diskon'!$C$2:$D$9,2,0),0)</f>
        <v>0.1</v>
      </c>
      <c r="AE39" s="31">
        <f t="shared" si="13"/>
        <v>75000</v>
      </c>
      <c r="AF39" s="31">
        <f t="shared" si="14"/>
        <v>675000</v>
      </c>
      <c r="AG39" s="31">
        <f t="shared" si="15"/>
        <v>460000</v>
      </c>
      <c r="AH39" s="31">
        <f t="shared" si="16"/>
        <v>385000</v>
      </c>
      <c r="AI39" s="4" t="s">
        <v>28</v>
      </c>
      <c r="AJ39" s="4" t="s">
        <v>6</v>
      </c>
      <c r="AK39" s="4" t="str">
        <f>IFERROR(VLOOKUP(AJ39,'Guide '!$A$13:$B$16,2,0),"-")</f>
        <v>SP</v>
      </c>
      <c r="AL39" s="4" t="s">
        <v>921</v>
      </c>
      <c r="AM39" s="40">
        <v>45308</v>
      </c>
      <c r="AN39">
        <f t="shared" si="17"/>
        <v>29</v>
      </c>
      <c r="AO39">
        <f t="shared" si="18"/>
        <v>32</v>
      </c>
      <c r="AP39">
        <f t="shared" si="19"/>
        <v>40</v>
      </c>
      <c r="AQ39">
        <f t="shared" si="20"/>
        <v>43</v>
      </c>
      <c r="AR39" s="26">
        <f t="shared" si="21"/>
        <v>56</v>
      </c>
      <c r="AS39" s="26">
        <f t="shared" si="22"/>
        <v>63</v>
      </c>
      <c r="AT39" s="21">
        <f t="shared" si="23"/>
        <v>12</v>
      </c>
      <c r="AU39" s="21">
        <f t="shared" si="24"/>
        <v>19</v>
      </c>
      <c r="AV39">
        <f t="shared" si="25"/>
        <v>73</v>
      </c>
      <c r="AW39">
        <f t="shared" si="26"/>
        <v>76</v>
      </c>
      <c r="AX39">
        <f t="shared" si="27"/>
        <v>84</v>
      </c>
      <c r="AY39">
        <f t="shared" si="28"/>
        <v>87</v>
      </c>
      <c r="AZ39" t="str">
        <f t="shared" si="29"/>
        <v>-</v>
      </c>
      <c r="BA39" t="str">
        <f t="shared" si="30"/>
        <v>-</v>
      </c>
      <c r="BB39" t="str">
        <f t="shared" si="31"/>
        <v>-</v>
      </c>
      <c r="BC39" t="str">
        <f t="shared" si="32"/>
        <v>-</v>
      </c>
      <c r="BD39" s="29" t="str">
        <f t="shared" si="33"/>
        <v>-</v>
      </c>
      <c r="BE39" s="29" t="str">
        <f t="shared" si="34"/>
        <v>-</v>
      </c>
    </row>
    <row r="40" spans="1:57" ht="15" x14ac:dyDescent="0.2">
      <c r="A40" s="2">
        <v>487</v>
      </c>
      <c r="B40" s="2" t="str">
        <f t="shared" si="0"/>
        <v>0487</v>
      </c>
      <c r="C40" t="str">
        <f t="shared" si="1"/>
        <v>ORD-BB-0487-17/01/24</v>
      </c>
      <c r="D40" s="3" t="s">
        <v>519</v>
      </c>
      <c r="E40" t="str">
        <f t="shared" si="35"/>
        <v>PP003</v>
      </c>
      <c r="F40" t="str">
        <f>INDEX(Katalog!$B$4:$B$13,MATCH('Main Data'!E40,Katalog!$C$4:$C$13,0))</f>
        <v>Jaket Jeans</v>
      </c>
      <c r="G40" t="str">
        <f>VLOOKUP(E40,Katalog!$A$15:$B$25,2,0)</f>
        <v>Pakaian Pria</v>
      </c>
      <c r="H40" t="str">
        <f t="shared" si="36"/>
        <v>2</v>
      </c>
      <c r="I40" t="str">
        <f t="shared" si="3"/>
        <v>4</v>
      </c>
      <c r="J40" s="18">
        <f>VLOOKUP(E40,Katalog!$C$3:$F$13,2,0)</f>
        <v>150000</v>
      </c>
      <c r="K40" s="18">
        <f>VLOOKUP(E40,Katalog!$C$3:$F$13,3,0)</f>
        <v>70000</v>
      </c>
      <c r="L40" t="str">
        <f t="shared" si="4"/>
        <v>PP001</v>
      </c>
      <c r="M40" t="str">
        <f>IFERROR(INDEX(Katalog!$B$4:$B$13,MATCH('Main Data'!L40,Katalog!$C$4:$C$13,0)), "-")</f>
        <v>Kaos Polo</v>
      </c>
      <c r="N40" t="str">
        <f>IFERROR(VLOOKUP(L40,Katalog!$A$15:$B$25,2,0),"-")</f>
        <v>Pakaian Pria</v>
      </c>
      <c r="O40" t="str">
        <f t="shared" si="5"/>
        <v>1</v>
      </c>
      <c r="P40" t="str">
        <f t="shared" si="6"/>
        <v>5</v>
      </c>
      <c r="Q40" s="18">
        <f>IFERROR(VLOOKUP(L40,Katalog!$C$3:$F$13,2,0),0)</f>
        <v>80000</v>
      </c>
      <c r="R40" s="18">
        <f>IFERROR(VLOOKUP(L40,Katalog!$C$3:$F$13,3,0),0)</f>
        <v>30000</v>
      </c>
      <c r="S40" t="str">
        <f t="shared" si="7"/>
        <v>-</v>
      </c>
      <c r="T40" t="str">
        <f>IFERROR(INDEX(Katalog!$B$4:$B$13,MATCH('Main Data'!S40,Katalog!$C$4:$C$13,0)),"-")</f>
        <v>-</v>
      </c>
      <c r="U40" t="str">
        <f>IFERROR(VLOOKUP(S40,Katalog!$A$15:$B$25,2,0),"-")</f>
        <v>-</v>
      </c>
      <c r="V40">
        <f t="shared" si="8"/>
        <v>0</v>
      </c>
      <c r="W40" s="28" t="str">
        <f t="shared" si="9"/>
        <v>-</v>
      </c>
      <c r="X40" s="18">
        <f>IFERROR(VLOOKUP(S40,Katalog!$C$3:$F$13,2,0),0)</f>
        <v>0</v>
      </c>
      <c r="Y40" s="30">
        <f>IFERROR(VLOOKUP(S40,Katalog!$C$3:$F$13,3,0),0)</f>
        <v>0</v>
      </c>
      <c r="Z40" s="2">
        <f t="shared" si="10"/>
        <v>3</v>
      </c>
      <c r="AA40" s="4">
        <f t="shared" si="11"/>
        <v>380000</v>
      </c>
      <c r="AB40" s="4">
        <f t="shared" si="12"/>
        <v>170000</v>
      </c>
      <c r="AC40" s="4" t="s">
        <v>27</v>
      </c>
      <c r="AD40" s="16">
        <f>IFERROR(VLOOKUP(AC40,'Kode Diskon'!$C$2:$D$9,2,0),0)</f>
        <v>0.15</v>
      </c>
      <c r="AE40" s="31">
        <f t="shared" si="13"/>
        <v>57000</v>
      </c>
      <c r="AF40" s="31">
        <f t="shared" si="14"/>
        <v>323000</v>
      </c>
      <c r="AG40" s="31">
        <f t="shared" si="15"/>
        <v>210000</v>
      </c>
      <c r="AH40" s="31">
        <f t="shared" si="16"/>
        <v>153000</v>
      </c>
      <c r="AI40" s="4" t="s">
        <v>28</v>
      </c>
      <c r="AJ40" s="4" t="s">
        <v>13</v>
      </c>
      <c r="AK40" s="4" t="str">
        <f>IFERROR(VLOOKUP(AJ40,'Guide '!$A$13:$B$16,2,0),"-")</f>
        <v>BB</v>
      </c>
      <c r="AL40" s="4" t="s">
        <v>1006</v>
      </c>
      <c r="AM40" s="40">
        <v>45308</v>
      </c>
      <c r="AN40">
        <f t="shared" si="17"/>
        <v>29</v>
      </c>
      <c r="AO40">
        <f t="shared" si="18"/>
        <v>32</v>
      </c>
      <c r="AP40">
        <f t="shared" si="19"/>
        <v>40</v>
      </c>
      <c r="AQ40">
        <f t="shared" si="20"/>
        <v>43</v>
      </c>
      <c r="AR40" s="26">
        <f t="shared" si="21"/>
        <v>56</v>
      </c>
      <c r="AS40" s="26">
        <f t="shared" si="22"/>
        <v>63</v>
      </c>
      <c r="AT40" s="21">
        <f t="shared" si="23"/>
        <v>12</v>
      </c>
      <c r="AU40" s="21">
        <f t="shared" si="24"/>
        <v>19</v>
      </c>
      <c r="AV40">
        <f t="shared" si="25"/>
        <v>73</v>
      </c>
      <c r="AW40">
        <f t="shared" si="26"/>
        <v>76</v>
      </c>
      <c r="AX40">
        <f t="shared" si="27"/>
        <v>84</v>
      </c>
      <c r="AY40">
        <f t="shared" si="28"/>
        <v>87</v>
      </c>
      <c r="AZ40" t="str">
        <f t="shared" si="29"/>
        <v>-</v>
      </c>
      <c r="BA40" t="str">
        <f t="shared" si="30"/>
        <v>-</v>
      </c>
      <c r="BB40" t="str">
        <f t="shared" si="31"/>
        <v>-</v>
      </c>
      <c r="BC40" t="str">
        <f t="shared" si="32"/>
        <v>-</v>
      </c>
      <c r="BD40" s="29" t="str">
        <f t="shared" si="33"/>
        <v>-</v>
      </c>
      <c r="BE40" s="29" t="str">
        <f t="shared" si="34"/>
        <v>-</v>
      </c>
    </row>
    <row r="41" spans="1:57" ht="15" x14ac:dyDescent="0.2">
      <c r="A41" s="2">
        <v>743</v>
      </c>
      <c r="B41" s="2" t="str">
        <f t="shared" si="0"/>
        <v>0743</v>
      </c>
      <c r="C41" t="str">
        <f t="shared" si="1"/>
        <v>ORD-BL-0743-17/01/24</v>
      </c>
      <c r="D41" s="3" t="s">
        <v>727</v>
      </c>
      <c r="E41" t="str">
        <f t="shared" si="35"/>
        <v>PU001</v>
      </c>
      <c r="F41" t="str">
        <f>INDEX(Katalog!$B$4:$B$13,MATCH('Main Data'!E41,Katalog!$C$4:$C$13,0))</f>
        <v>Jaket Hoodie</v>
      </c>
      <c r="G41" t="str">
        <f>VLOOKUP(E41,Katalog!$A$15:$B$25,2,0)</f>
        <v>Pakaian Unisex</v>
      </c>
      <c r="H41" t="str">
        <f t="shared" si="36"/>
        <v>3</v>
      </c>
      <c r="I41" t="str">
        <f t="shared" si="3"/>
        <v>2</v>
      </c>
      <c r="J41" s="18">
        <f>VLOOKUP(E41,Katalog!$C$3:$F$13,2,0)</f>
        <v>160000</v>
      </c>
      <c r="K41" s="18">
        <f>VLOOKUP(E41,Katalog!$C$3:$F$13,3,0)</f>
        <v>60000</v>
      </c>
      <c r="L41" t="str">
        <f t="shared" si="4"/>
        <v>-</v>
      </c>
      <c r="M41" t="str">
        <f>IFERROR(INDEX(Katalog!$B$4:$B$13,MATCH('Main Data'!L41,Katalog!$C$4:$C$13,0)), "-")</f>
        <v>-</v>
      </c>
      <c r="N41" t="str">
        <f>IFERROR(VLOOKUP(L41,Katalog!$A$15:$B$25,2,0),"-")</f>
        <v>-</v>
      </c>
      <c r="O41">
        <f t="shared" si="5"/>
        <v>0</v>
      </c>
      <c r="P41" t="str">
        <f t="shared" si="6"/>
        <v>-</v>
      </c>
      <c r="Q41" s="18">
        <f>IFERROR(VLOOKUP(L41,Katalog!$C$3:$F$13,2,0),0)</f>
        <v>0</v>
      </c>
      <c r="R41" s="18">
        <f>IFERROR(VLOOKUP(L41,Katalog!$C$3:$F$13,3,0),0)</f>
        <v>0</v>
      </c>
      <c r="S41" t="str">
        <f t="shared" si="7"/>
        <v>-</v>
      </c>
      <c r="T41" t="str">
        <f>IFERROR(INDEX(Katalog!$B$4:$B$13,MATCH('Main Data'!S41,Katalog!$C$4:$C$13,0)),"-")</f>
        <v>-</v>
      </c>
      <c r="U41" t="str">
        <f>IFERROR(VLOOKUP(S41,Katalog!$A$15:$B$25,2,0),"-")</f>
        <v>-</v>
      </c>
      <c r="V41">
        <f t="shared" si="8"/>
        <v>0</v>
      </c>
      <c r="W41" s="28" t="str">
        <f t="shared" si="9"/>
        <v>-</v>
      </c>
      <c r="X41" s="18">
        <f>IFERROR(VLOOKUP(S41,Katalog!$C$3:$F$13,2,0),0)</f>
        <v>0</v>
      </c>
      <c r="Y41" s="30">
        <f>IFERROR(VLOOKUP(S41,Katalog!$C$3:$F$13,3,0),0)</f>
        <v>0</v>
      </c>
      <c r="Z41" s="2">
        <f t="shared" si="10"/>
        <v>3</v>
      </c>
      <c r="AA41" s="4">
        <f t="shared" si="11"/>
        <v>480000</v>
      </c>
      <c r="AB41" s="4">
        <f t="shared" si="12"/>
        <v>180000</v>
      </c>
      <c r="AC41" s="4" t="s">
        <v>31</v>
      </c>
      <c r="AD41" s="16">
        <f>IFERROR(VLOOKUP(AC41,'Kode Diskon'!$C$2:$D$9,2,0),0)</f>
        <v>0.15</v>
      </c>
      <c r="AE41" s="31">
        <f t="shared" si="13"/>
        <v>72000</v>
      </c>
      <c r="AF41" s="31">
        <f t="shared" si="14"/>
        <v>408000</v>
      </c>
      <c r="AG41" s="31">
        <f t="shared" si="15"/>
        <v>300000</v>
      </c>
      <c r="AH41" s="31">
        <f t="shared" si="16"/>
        <v>228000</v>
      </c>
      <c r="AI41" s="4" t="s">
        <v>8</v>
      </c>
      <c r="AJ41" s="4" t="s">
        <v>11</v>
      </c>
      <c r="AK41" s="4" t="str">
        <f>IFERROR(VLOOKUP(AJ41,'Guide '!$A$13:$B$16,2,0),"-")</f>
        <v>BL</v>
      </c>
      <c r="AL41" s="4" t="s">
        <v>921</v>
      </c>
      <c r="AM41" s="40">
        <v>45308</v>
      </c>
      <c r="AN41">
        <f t="shared" si="17"/>
        <v>29</v>
      </c>
      <c r="AO41">
        <f t="shared" si="18"/>
        <v>32</v>
      </c>
      <c r="AP41">
        <f t="shared" si="19"/>
        <v>40</v>
      </c>
      <c r="AQ41">
        <f t="shared" si="20"/>
        <v>43</v>
      </c>
      <c r="AR41" s="26" t="str">
        <f t="shared" si="21"/>
        <v>-</v>
      </c>
      <c r="AS41" s="26" t="str">
        <f t="shared" si="22"/>
        <v>-</v>
      </c>
      <c r="AT41" s="21">
        <f t="shared" si="23"/>
        <v>12</v>
      </c>
      <c r="AU41" s="21">
        <f t="shared" si="24"/>
        <v>19</v>
      </c>
      <c r="AV41" t="str">
        <f t="shared" si="25"/>
        <v>-</v>
      </c>
      <c r="AW41" t="str">
        <f t="shared" si="26"/>
        <v>-</v>
      </c>
      <c r="AX41" t="str">
        <f t="shared" si="27"/>
        <v>-</v>
      </c>
      <c r="AY41" t="str">
        <f t="shared" si="28"/>
        <v>-</v>
      </c>
      <c r="AZ41" t="str">
        <f t="shared" si="29"/>
        <v>-</v>
      </c>
      <c r="BA41" t="str">
        <f t="shared" si="30"/>
        <v>-</v>
      </c>
      <c r="BB41" t="str">
        <f t="shared" si="31"/>
        <v>-</v>
      </c>
      <c r="BC41" t="str">
        <f t="shared" si="32"/>
        <v>-</v>
      </c>
      <c r="BD41" s="29" t="str">
        <f t="shared" si="33"/>
        <v>-</v>
      </c>
      <c r="BE41" s="29" t="str">
        <f t="shared" si="34"/>
        <v>-</v>
      </c>
    </row>
    <row r="42" spans="1:57" ht="15" x14ac:dyDescent="0.2">
      <c r="A42" s="2">
        <v>184</v>
      </c>
      <c r="B42" s="2" t="str">
        <f t="shared" si="0"/>
        <v>0184</v>
      </c>
      <c r="C42" t="str">
        <f t="shared" si="1"/>
        <v>ORD-TK-0184-18/01/24</v>
      </c>
      <c r="D42" s="3" t="s">
        <v>253</v>
      </c>
      <c r="E42" t="str">
        <f t="shared" si="35"/>
        <v>SP002</v>
      </c>
      <c r="F42" t="str">
        <f>INDEX(Katalog!$B$4:$B$13,MATCH('Main Data'!E42,Katalog!$C$4:$C$13,0))</f>
        <v>Sandal Slip On</v>
      </c>
      <c r="G42" t="str">
        <f>VLOOKUP(E42,Katalog!$A$15:$B$25,2,0)</f>
        <v>Sepatu Pria</v>
      </c>
      <c r="H42" t="str">
        <f t="shared" si="36"/>
        <v>2</v>
      </c>
      <c r="I42" t="str">
        <f t="shared" si="3"/>
        <v>2</v>
      </c>
      <c r="J42" s="18">
        <f>VLOOKUP(E42,Katalog!$C$3:$F$13,2,0)</f>
        <v>120000</v>
      </c>
      <c r="K42" s="18">
        <f>VLOOKUP(E42,Katalog!$C$3:$F$13,3,0)</f>
        <v>60000</v>
      </c>
      <c r="L42" t="str">
        <f t="shared" si="4"/>
        <v>PU001</v>
      </c>
      <c r="M42" t="str">
        <f>IFERROR(INDEX(Katalog!$B$4:$B$13,MATCH('Main Data'!L42,Katalog!$C$4:$C$13,0)), "-")</f>
        <v>Jaket Hoodie</v>
      </c>
      <c r="N42" t="str">
        <f>IFERROR(VLOOKUP(L42,Katalog!$A$15:$B$25,2,0),"-")</f>
        <v>Pakaian Unisex</v>
      </c>
      <c r="O42" t="str">
        <f t="shared" si="5"/>
        <v>2</v>
      </c>
      <c r="P42" t="str">
        <f t="shared" si="6"/>
        <v>2</v>
      </c>
      <c r="Q42" s="18">
        <f>IFERROR(VLOOKUP(L42,Katalog!$C$3:$F$13,2,0),0)</f>
        <v>160000</v>
      </c>
      <c r="R42" s="18">
        <f>IFERROR(VLOOKUP(L42,Katalog!$C$3:$F$13,3,0),0)</f>
        <v>60000</v>
      </c>
      <c r="S42" t="str">
        <f t="shared" si="7"/>
        <v>-</v>
      </c>
      <c r="T42" t="str">
        <f>IFERROR(INDEX(Katalog!$B$4:$B$13,MATCH('Main Data'!S42,Katalog!$C$4:$C$13,0)),"-")</f>
        <v>-</v>
      </c>
      <c r="U42" t="str">
        <f>IFERROR(VLOOKUP(S42,Katalog!$A$15:$B$25,2,0),"-")</f>
        <v>-</v>
      </c>
      <c r="V42">
        <f t="shared" si="8"/>
        <v>0</v>
      </c>
      <c r="W42" s="28" t="str">
        <f t="shared" si="9"/>
        <v>-</v>
      </c>
      <c r="X42" s="18">
        <f>IFERROR(VLOOKUP(S42,Katalog!$C$3:$F$13,2,0),0)</f>
        <v>0</v>
      </c>
      <c r="Y42" s="30">
        <f>IFERROR(VLOOKUP(S42,Katalog!$C$3:$F$13,3,0),0)</f>
        <v>0</v>
      </c>
      <c r="Z42" s="2">
        <f t="shared" si="10"/>
        <v>4</v>
      </c>
      <c r="AA42" s="4">
        <f t="shared" si="11"/>
        <v>560000</v>
      </c>
      <c r="AB42" s="4">
        <f t="shared" si="12"/>
        <v>240000</v>
      </c>
      <c r="AC42" s="4" t="s">
        <v>30</v>
      </c>
      <c r="AD42" s="16">
        <f>IFERROR(VLOOKUP(AC42,'Kode Diskon'!$C$2:$D$9,2,0),0)</f>
        <v>0.1</v>
      </c>
      <c r="AE42" s="31">
        <f t="shared" si="13"/>
        <v>56000</v>
      </c>
      <c r="AF42" s="31">
        <f t="shared" si="14"/>
        <v>504000</v>
      </c>
      <c r="AG42" s="31">
        <f t="shared" si="15"/>
        <v>320000</v>
      </c>
      <c r="AH42" s="31">
        <f t="shared" si="16"/>
        <v>264000</v>
      </c>
      <c r="AI42" s="4" t="s">
        <v>8</v>
      </c>
      <c r="AJ42" s="4" t="s">
        <v>9</v>
      </c>
      <c r="AK42" s="4" t="str">
        <f>IFERROR(VLOOKUP(AJ42,'Guide '!$A$13:$B$16,2,0),"-")</f>
        <v>TK</v>
      </c>
      <c r="AL42" s="4" t="s">
        <v>925</v>
      </c>
      <c r="AM42" s="40">
        <v>45309</v>
      </c>
      <c r="AN42">
        <f t="shared" si="17"/>
        <v>29</v>
      </c>
      <c r="AO42">
        <f t="shared" si="18"/>
        <v>32</v>
      </c>
      <c r="AP42">
        <f t="shared" si="19"/>
        <v>40</v>
      </c>
      <c r="AQ42">
        <f t="shared" si="20"/>
        <v>43</v>
      </c>
      <c r="AR42" s="26">
        <f t="shared" si="21"/>
        <v>56</v>
      </c>
      <c r="AS42" s="26">
        <f t="shared" si="22"/>
        <v>63</v>
      </c>
      <c r="AT42" s="21">
        <f t="shared" si="23"/>
        <v>12</v>
      </c>
      <c r="AU42" s="21">
        <f t="shared" si="24"/>
        <v>19</v>
      </c>
      <c r="AV42">
        <f t="shared" si="25"/>
        <v>73</v>
      </c>
      <c r="AW42">
        <f t="shared" si="26"/>
        <v>76</v>
      </c>
      <c r="AX42">
        <f t="shared" si="27"/>
        <v>84</v>
      </c>
      <c r="AY42">
        <f t="shared" si="28"/>
        <v>87</v>
      </c>
      <c r="AZ42" t="str">
        <f t="shared" si="29"/>
        <v>-</v>
      </c>
      <c r="BA42" t="str">
        <f t="shared" si="30"/>
        <v>-</v>
      </c>
      <c r="BB42" t="str">
        <f t="shared" si="31"/>
        <v>-</v>
      </c>
      <c r="BC42" t="str">
        <f t="shared" si="32"/>
        <v>-</v>
      </c>
      <c r="BD42" s="29" t="str">
        <f t="shared" si="33"/>
        <v>-</v>
      </c>
      <c r="BE42" s="29" t="str">
        <f t="shared" si="34"/>
        <v>-</v>
      </c>
    </row>
    <row r="43" spans="1:57" ht="15" x14ac:dyDescent="0.2">
      <c r="A43" s="2">
        <v>112</v>
      </c>
      <c r="B43" s="2" t="str">
        <f t="shared" si="0"/>
        <v>0112</v>
      </c>
      <c r="C43" t="str">
        <f t="shared" si="1"/>
        <v>ORD-TK-0112-19/01/24</v>
      </c>
      <c r="D43" s="3" t="s">
        <v>184</v>
      </c>
      <c r="E43" t="str">
        <f t="shared" si="35"/>
        <v>SW001</v>
      </c>
      <c r="F43" t="str">
        <f>INDEX(Katalog!$B$4:$B$13,MATCH('Main Data'!E43,Katalog!$C$4:$C$13,0))</f>
        <v>Flat Shoes</v>
      </c>
      <c r="G43" t="str">
        <f>VLOOKUP(E43,Katalog!$A$15:$B$25,2,0)</f>
        <v>Sepatu Wanita</v>
      </c>
      <c r="H43" t="str">
        <f t="shared" si="36"/>
        <v>1</v>
      </c>
      <c r="I43" t="str">
        <f t="shared" si="3"/>
        <v>2</v>
      </c>
      <c r="J43" s="18">
        <f>VLOOKUP(E43,Katalog!$C$3:$F$13,2,0)</f>
        <v>150000</v>
      </c>
      <c r="K43" s="18">
        <f>VLOOKUP(E43,Katalog!$C$3:$F$13,3,0)</f>
        <v>70000</v>
      </c>
      <c r="L43" t="str">
        <f t="shared" si="4"/>
        <v>SP001</v>
      </c>
      <c r="M43" t="str">
        <f>IFERROR(INDEX(Katalog!$B$4:$B$13,MATCH('Main Data'!L43,Katalog!$C$4:$C$13,0)), "-")</f>
        <v>Sneakers</v>
      </c>
      <c r="N43" t="str">
        <f>IFERROR(VLOOKUP(L43,Katalog!$A$15:$B$25,2,0),"-")</f>
        <v>Sepatu Pria</v>
      </c>
      <c r="O43" t="str">
        <f t="shared" si="5"/>
        <v>1</v>
      </c>
      <c r="P43" t="str">
        <f t="shared" si="6"/>
        <v>2</v>
      </c>
      <c r="Q43" s="18">
        <f>IFERROR(VLOOKUP(L43,Katalog!$C$3:$F$13,2,0),0)</f>
        <v>300000</v>
      </c>
      <c r="R43" s="18">
        <f>IFERROR(VLOOKUP(L43,Katalog!$C$3:$F$13,3,0),0)</f>
        <v>100000</v>
      </c>
      <c r="S43" t="str">
        <f t="shared" si="7"/>
        <v>SW001</v>
      </c>
      <c r="T43" t="str">
        <f>IFERROR(INDEX(Katalog!$B$4:$B$13,MATCH('Main Data'!S43,Katalog!$C$4:$C$13,0)),"-")</f>
        <v>Flat Shoes</v>
      </c>
      <c r="U43" t="str">
        <f>IFERROR(VLOOKUP(S43,Katalog!$A$15:$B$25,2,0),"-")</f>
        <v>Sepatu Wanita</v>
      </c>
      <c r="V43" t="str">
        <f t="shared" si="8"/>
        <v>2</v>
      </c>
      <c r="W43" s="28" t="str">
        <f t="shared" si="9"/>
        <v>5</v>
      </c>
      <c r="X43" s="18">
        <f>IFERROR(VLOOKUP(S43,Katalog!$C$3:$F$13,2,0),0)</f>
        <v>150000</v>
      </c>
      <c r="Y43" s="30">
        <f>IFERROR(VLOOKUP(S43,Katalog!$C$3:$F$13,3,0),0)</f>
        <v>70000</v>
      </c>
      <c r="Z43" s="2">
        <f t="shared" si="10"/>
        <v>4</v>
      </c>
      <c r="AA43" s="4">
        <f t="shared" si="11"/>
        <v>750000</v>
      </c>
      <c r="AB43" s="4">
        <f t="shared" si="12"/>
        <v>310000</v>
      </c>
      <c r="AC43" s="4" t="s">
        <v>30</v>
      </c>
      <c r="AD43" s="16">
        <f>IFERROR(VLOOKUP(AC43,'Kode Diskon'!$C$2:$D$9,2,0),0)</f>
        <v>0.1</v>
      </c>
      <c r="AE43" s="31">
        <f t="shared" si="13"/>
        <v>75000</v>
      </c>
      <c r="AF43" s="31">
        <f t="shared" si="14"/>
        <v>675000</v>
      </c>
      <c r="AG43" s="31">
        <f t="shared" si="15"/>
        <v>440000</v>
      </c>
      <c r="AH43" s="31">
        <f t="shared" si="16"/>
        <v>365000</v>
      </c>
      <c r="AI43" s="4" t="s">
        <v>8</v>
      </c>
      <c r="AJ43" s="4" t="s">
        <v>9</v>
      </c>
      <c r="AK43" s="4" t="str">
        <f>IFERROR(VLOOKUP(AJ43,'Guide '!$A$13:$B$16,2,0),"-")</f>
        <v>TK</v>
      </c>
      <c r="AL43" s="4" t="s">
        <v>921</v>
      </c>
      <c r="AM43" s="40">
        <v>45310</v>
      </c>
      <c r="AN43">
        <f t="shared" si="17"/>
        <v>29</v>
      </c>
      <c r="AO43">
        <f t="shared" si="18"/>
        <v>32</v>
      </c>
      <c r="AP43">
        <f t="shared" si="19"/>
        <v>40</v>
      </c>
      <c r="AQ43">
        <f t="shared" si="20"/>
        <v>43</v>
      </c>
      <c r="AR43" s="26">
        <f t="shared" si="21"/>
        <v>56</v>
      </c>
      <c r="AS43" s="26">
        <f t="shared" si="22"/>
        <v>63</v>
      </c>
      <c r="AT43" s="21">
        <f t="shared" si="23"/>
        <v>12</v>
      </c>
      <c r="AU43" s="21">
        <f t="shared" si="24"/>
        <v>19</v>
      </c>
      <c r="AV43">
        <f t="shared" si="25"/>
        <v>73</v>
      </c>
      <c r="AW43">
        <f t="shared" si="26"/>
        <v>76</v>
      </c>
      <c r="AX43">
        <f t="shared" si="27"/>
        <v>84</v>
      </c>
      <c r="AY43">
        <f t="shared" si="28"/>
        <v>87</v>
      </c>
      <c r="AZ43">
        <f t="shared" si="29"/>
        <v>100</v>
      </c>
      <c r="BA43">
        <f t="shared" si="30"/>
        <v>107</v>
      </c>
      <c r="BB43">
        <f t="shared" si="31"/>
        <v>117</v>
      </c>
      <c r="BC43">
        <f t="shared" si="32"/>
        <v>120</v>
      </c>
      <c r="BD43" s="29">
        <f t="shared" si="33"/>
        <v>128</v>
      </c>
      <c r="BE43" s="29">
        <f t="shared" si="34"/>
        <v>131</v>
      </c>
    </row>
    <row r="44" spans="1:57" ht="15" x14ac:dyDescent="0.2">
      <c r="A44" s="2">
        <v>307</v>
      </c>
      <c r="B44" s="2" t="str">
        <f t="shared" si="0"/>
        <v>0307</v>
      </c>
      <c r="C44" t="str">
        <f t="shared" si="1"/>
        <v>ORD-BB-0307-19/01/24</v>
      </c>
      <c r="D44" s="3" t="s">
        <v>362</v>
      </c>
      <c r="E44" t="str">
        <f t="shared" si="35"/>
        <v>PP001</v>
      </c>
      <c r="F44" t="str">
        <f>INDEX(Katalog!$B$4:$B$13,MATCH('Main Data'!E44,Katalog!$C$4:$C$13,0))</f>
        <v>Kaos Polo</v>
      </c>
      <c r="G44" t="str">
        <f>VLOOKUP(E44,Katalog!$A$15:$B$25,2,0)</f>
        <v>Pakaian Pria</v>
      </c>
      <c r="H44" t="str">
        <f t="shared" si="36"/>
        <v>2</v>
      </c>
      <c r="I44" t="str">
        <f t="shared" si="3"/>
        <v>5</v>
      </c>
      <c r="J44" s="18">
        <f>VLOOKUP(E44,Katalog!$C$3:$F$13,2,0)</f>
        <v>80000</v>
      </c>
      <c r="K44" s="18">
        <f>VLOOKUP(E44,Katalog!$C$3:$F$13,3,0)</f>
        <v>30000</v>
      </c>
      <c r="L44" t="str">
        <f t="shared" si="4"/>
        <v>PU001</v>
      </c>
      <c r="M44" t="str">
        <f>IFERROR(INDEX(Katalog!$B$4:$B$13,MATCH('Main Data'!L44,Katalog!$C$4:$C$13,0)), "-")</f>
        <v>Jaket Hoodie</v>
      </c>
      <c r="N44" t="str">
        <f>IFERROR(VLOOKUP(L44,Katalog!$A$15:$B$25,2,0),"-")</f>
        <v>Pakaian Unisex</v>
      </c>
      <c r="O44" t="str">
        <f t="shared" si="5"/>
        <v>2</v>
      </c>
      <c r="P44" t="str">
        <f t="shared" si="6"/>
        <v>2</v>
      </c>
      <c r="Q44" s="18">
        <f>IFERROR(VLOOKUP(L44,Katalog!$C$3:$F$13,2,0),0)</f>
        <v>160000</v>
      </c>
      <c r="R44" s="18">
        <f>IFERROR(VLOOKUP(L44,Katalog!$C$3:$F$13,3,0),0)</f>
        <v>60000</v>
      </c>
      <c r="S44" t="str">
        <f t="shared" si="7"/>
        <v>-</v>
      </c>
      <c r="T44" t="str">
        <f>IFERROR(INDEX(Katalog!$B$4:$B$13,MATCH('Main Data'!S44,Katalog!$C$4:$C$13,0)),"-")</f>
        <v>-</v>
      </c>
      <c r="U44" t="str">
        <f>IFERROR(VLOOKUP(S44,Katalog!$A$15:$B$25,2,0),"-")</f>
        <v>-</v>
      </c>
      <c r="V44">
        <f t="shared" si="8"/>
        <v>0</v>
      </c>
      <c r="W44" s="28" t="str">
        <f t="shared" si="9"/>
        <v>-</v>
      </c>
      <c r="X44" s="18">
        <f>IFERROR(VLOOKUP(S44,Katalog!$C$3:$F$13,2,0),0)</f>
        <v>0</v>
      </c>
      <c r="Y44" s="30">
        <f>IFERROR(VLOOKUP(S44,Katalog!$C$3:$F$13,3,0),0)</f>
        <v>0</v>
      </c>
      <c r="Z44" s="2">
        <f t="shared" si="10"/>
        <v>4</v>
      </c>
      <c r="AA44" s="4">
        <f t="shared" si="11"/>
        <v>480000</v>
      </c>
      <c r="AB44" s="4">
        <f t="shared" si="12"/>
        <v>180000</v>
      </c>
      <c r="AC44" s="4" t="s">
        <v>27</v>
      </c>
      <c r="AD44" s="16">
        <f>IFERROR(VLOOKUP(AC44,'Kode Diskon'!$C$2:$D$9,2,0),0)</f>
        <v>0.15</v>
      </c>
      <c r="AE44" s="31">
        <f t="shared" si="13"/>
        <v>72000</v>
      </c>
      <c r="AF44" s="31">
        <f t="shared" si="14"/>
        <v>408000</v>
      </c>
      <c r="AG44" s="31">
        <f t="shared" si="15"/>
        <v>300000</v>
      </c>
      <c r="AH44" s="31">
        <f t="shared" si="16"/>
        <v>228000</v>
      </c>
      <c r="AI44" s="4" t="s">
        <v>28</v>
      </c>
      <c r="AJ44" s="4" t="s">
        <v>13</v>
      </c>
      <c r="AK44" s="4" t="str">
        <f>IFERROR(VLOOKUP(AJ44,'Guide '!$A$13:$B$16,2,0),"-")</f>
        <v>BB</v>
      </c>
      <c r="AL44" s="4" t="s">
        <v>925</v>
      </c>
      <c r="AM44" s="40">
        <v>45310</v>
      </c>
      <c r="AN44">
        <f t="shared" si="17"/>
        <v>29</v>
      </c>
      <c r="AO44">
        <f t="shared" si="18"/>
        <v>32</v>
      </c>
      <c r="AP44">
        <f t="shared" si="19"/>
        <v>40</v>
      </c>
      <c r="AQ44">
        <f t="shared" si="20"/>
        <v>43</v>
      </c>
      <c r="AR44" s="26">
        <f t="shared" si="21"/>
        <v>56</v>
      </c>
      <c r="AS44" s="26">
        <f t="shared" si="22"/>
        <v>63</v>
      </c>
      <c r="AT44" s="21">
        <f t="shared" si="23"/>
        <v>12</v>
      </c>
      <c r="AU44" s="21">
        <f t="shared" si="24"/>
        <v>19</v>
      </c>
      <c r="AV44">
        <f t="shared" si="25"/>
        <v>73</v>
      </c>
      <c r="AW44">
        <f t="shared" si="26"/>
        <v>76</v>
      </c>
      <c r="AX44">
        <f t="shared" si="27"/>
        <v>84</v>
      </c>
      <c r="AY44">
        <f t="shared" si="28"/>
        <v>87</v>
      </c>
      <c r="AZ44" t="str">
        <f t="shared" si="29"/>
        <v>-</v>
      </c>
      <c r="BA44" t="str">
        <f t="shared" si="30"/>
        <v>-</v>
      </c>
      <c r="BB44" t="str">
        <f t="shared" si="31"/>
        <v>-</v>
      </c>
      <c r="BC44" t="str">
        <f t="shared" si="32"/>
        <v>-</v>
      </c>
      <c r="BD44" s="29" t="str">
        <f t="shared" si="33"/>
        <v>-</v>
      </c>
      <c r="BE44" s="29" t="str">
        <f t="shared" si="34"/>
        <v>-</v>
      </c>
    </row>
    <row r="45" spans="1:57" ht="15" x14ac:dyDescent="0.2">
      <c r="A45" s="2">
        <v>460</v>
      </c>
      <c r="B45" s="2" t="str">
        <f t="shared" si="0"/>
        <v>0460</v>
      </c>
      <c r="C45" t="str">
        <f t="shared" si="1"/>
        <v>ORD-SP-0460-19/01/24</v>
      </c>
      <c r="D45" s="3" t="s">
        <v>498</v>
      </c>
      <c r="E45" t="str">
        <f t="shared" si="35"/>
        <v>PP001</v>
      </c>
      <c r="F45" t="str">
        <f>INDEX(Katalog!$B$4:$B$13,MATCH('Main Data'!E45,Katalog!$C$4:$C$13,0))</f>
        <v>Kaos Polo</v>
      </c>
      <c r="G45" t="str">
        <f>VLOOKUP(E45,Katalog!$A$15:$B$25,2,0)</f>
        <v>Pakaian Pria</v>
      </c>
      <c r="H45" t="str">
        <f t="shared" si="36"/>
        <v>4</v>
      </c>
      <c r="I45" t="str">
        <f t="shared" si="3"/>
        <v>4</v>
      </c>
      <c r="J45" s="18">
        <f>VLOOKUP(E45,Katalog!$C$3:$F$13,2,0)</f>
        <v>80000</v>
      </c>
      <c r="K45" s="18">
        <f>VLOOKUP(E45,Katalog!$C$3:$F$13,3,0)</f>
        <v>30000</v>
      </c>
      <c r="L45" t="str">
        <f t="shared" si="4"/>
        <v>-</v>
      </c>
      <c r="M45" t="str">
        <f>IFERROR(INDEX(Katalog!$B$4:$B$13,MATCH('Main Data'!L45,Katalog!$C$4:$C$13,0)), "-")</f>
        <v>-</v>
      </c>
      <c r="N45" t="str">
        <f>IFERROR(VLOOKUP(L45,Katalog!$A$15:$B$25,2,0),"-")</f>
        <v>-</v>
      </c>
      <c r="O45">
        <f t="shared" si="5"/>
        <v>0</v>
      </c>
      <c r="P45" t="str">
        <f t="shared" si="6"/>
        <v>-</v>
      </c>
      <c r="Q45" s="18">
        <f>IFERROR(VLOOKUP(L45,Katalog!$C$3:$F$13,2,0),0)</f>
        <v>0</v>
      </c>
      <c r="R45" s="18">
        <f>IFERROR(VLOOKUP(L45,Katalog!$C$3:$F$13,3,0),0)</f>
        <v>0</v>
      </c>
      <c r="S45" t="str">
        <f t="shared" si="7"/>
        <v>-</v>
      </c>
      <c r="T45" t="str">
        <f>IFERROR(INDEX(Katalog!$B$4:$B$13,MATCH('Main Data'!S45,Katalog!$C$4:$C$13,0)),"-")</f>
        <v>-</v>
      </c>
      <c r="U45" t="str">
        <f>IFERROR(VLOOKUP(S45,Katalog!$A$15:$B$25,2,0),"-")</f>
        <v>-</v>
      </c>
      <c r="V45">
        <f t="shared" si="8"/>
        <v>0</v>
      </c>
      <c r="W45" s="28" t="str">
        <f t="shared" si="9"/>
        <v>-</v>
      </c>
      <c r="X45" s="18">
        <f>IFERROR(VLOOKUP(S45,Katalog!$C$3:$F$13,2,0),0)</f>
        <v>0</v>
      </c>
      <c r="Y45" s="30">
        <f>IFERROR(VLOOKUP(S45,Katalog!$C$3:$F$13,3,0),0)</f>
        <v>0</v>
      </c>
      <c r="Z45" s="2">
        <f t="shared" si="10"/>
        <v>4</v>
      </c>
      <c r="AA45" s="4">
        <f t="shared" si="11"/>
        <v>320000</v>
      </c>
      <c r="AB45" s="4">
        <f t="shared" si="12"/>
        <v>120000</v>
      </c>
      <c r="AC45" s="4" t="s">
        <v>5</v>
      </c>
      <c r="AD45" s="16">
        <f>IFERROR(VLOOKUP(AC45,'Kode Diskon'!$C$2:$D$9,2,0),0)</f>
        <v>0.1</v>
      </c>
      <c r="AE45" s="31">
        <f t="shared" si="13"/>
        <v>32000</v>
      </c>
      <c r="AF45" s="31">
        <f t="shared" si="14"/>
        <v>288000</v>
      </c>
      <c r="AG45" s="31">
        <f t="shared" si="15"/>
        <v>200000</v>
      </c>
      <c r="AH45" s="31">
        <f t="shared" si="16"/>
        <v>168000</v>
      </c>
      <c r="AI45" s="4" t="s">
        <v>28</v>
      </c>
      <c r="AJ45" s="4" t="s">
        <v>6</v>
      </c>
      <c r="AK45" s="4" t="str">
        <f>IFERROR(VLOOKUP(AJ45,'Guide '!$A$13:$B$16,2,0),"-")</f>
        <v>SP</v>
      </c>
      <c r="AL45" s="4" t="s">
        <v>921</v>
      </c>
      <c r="AM45" s="40">
        <v>45310</v>
      </c>
      <c r="AN45">
        <f t="shared" si="17"/>
        <v>29</v>
      </c>
      <c r="AO45">
        <f t="shared" si="18"/>
        <v>32</v>
      </c>
      <c r="AP45">
        <f t="shared" si="19"/>
        <v>40</v>
      </c>
      <c r="AQ45">
        <f t="shared" si="20"/>
        <v>43</v>
      </c>
      <c r="AR45" s="26" t="str">
        <f t="shared" si="21"/>
        <v>-</v>
      </c>
      <c r="AS45" s="26" t="str">
        <f t="shared" si="22"/>
        <v>-</v>
      </c>
      <c r="AT45" s="21">
        <f t="shared" si="23"/>
        <v>12</v>
      </c>
      <c r="AU45" s="21">
        <f t="shared" si="24"/>
        <v>19</v>
      </c>
      <c r="AV45" t="str">
        <f t="shared" si="25"/>
        <v>-</v>
      </c>
      <c r="AW45" t="str">
        <f t="shared" si="26"/>
        <v>-</v>
      </c>
      <c r="AX45" t="str">
        <f t="shared" si="27"/>
        <v>-</v>
      </c>
      <c r="AY45" t="str">
        <f t="shared" si="28"/>
        <v>-</v>
      </c>
      <c r="AZ45" t="str">
        <f t="shared" si="29"/>
        <v>-</v>
      </c>
      <c r="BA45" t="str">
        <f t="shared" si="30"/>
        <v>-</v>
      </c>
      <c r="BB45" t="str">
        <f t="shared" si="31"/>
        <v>-</v>
      </c>
      <c r="BC45" t="str">
        <f t="shared" si="32"/>
        <v>-</v>
      </c>
      <c r="BD45" s="29" t="str">
        <f t="shared" si="33"/>
        <v>-</v>
      </c>
      <c r="BE45" s="29" t="str">
        <f t="shared" si="34"/>
        <v>-</v>
      </c>
    </row>
    <row r="46" spans="1:57" ht="15" x14ac:dyDescent="0.2">
      <c r="A46" s="2">
        <v>560</v>
      </c>
      <c r="B46" s="2" t="str">
        <f t="shared" si="0"/>
        <v>0560</v>
      </c>
      <c r="C46" t="str">
        <f t="shared" si="1"/>
        <v>ORD-SP-0560-19/01/24</v>
      </c>
      <c r="D46" s="3" t="s">
        <v>582</v>
      </c>
      <c r="E46" t="str">
        <f t="shared" si="35"/>
        <v>PP002</v>
      </c>
      <c r="F46" t="str">
        <f>INDEX(Katalog!$B$4:$B$13,MATCH('Main Data'!E46,Katalog!$C$4:$C$13,0))</f>
        <v>Celana Pendek</v>
      </c>
      <c r="G46" t="str">
        <f>VLOOKUP(E46,Katalog!$A$15:$B$25,2,0)</f>
        <v>Pakaian Pria</v>
      </c>
      <c r="H46" t="str">
        <f t="shared" si="36"/>
        <v>3</v>
      </c>
      <c r="I46" t="str">
        <f t="shared" si="3"/>
        <v>2</v>
      </c>
      <c r="J46" s="18">
        <f>VLOOKUP(E46,Katalog!$C$3:$F$13,2,0)</f>
        <v>60000</v>
      </c>
      <c r="K46" s="18">
        <f>VLOOKUP(E46,Katalog!$C$3:$F$13,3,0)</f>
        <v>25000</v>
      </c>
      <c r="L46" t="str">
        <f t="shared" si="4"/>
        <v>PW003</v>
      </c>
      <c r="M46" t="str">
        <f>IFERROR(INDEX(Katalog!$B$4:$B$13,MATCH('Main Data'!L46,Katalog!$C$4:$C$13,0)), "-")</f>
        <v>Kaftan</v>
      </c>
      <c r="N46" t="str">
        <f>IFERROR(VLOOKUP(L46,Katalog!$A$15:$B$25,2,0),"-")</f>
        <v>Pakaian Wanita</v>
      </c>
      <c r="O46" t="str">
        <f t="shared" si="5"/>
        <v>1</v>
      </c>
      <c r="P46" t="str">
        <f t="shared" si="6"/>
        <v>3</v>
      </c>
      <c r="Q46" s="18">
        <f>IFERROR(VLOOKUP(L46,Katalog!$C$3:$F$13,2,0),0)</f>
        <v>200000</v>
      </c>
      <c r="R46" s="18">
        <f>IFERROR(VLOOKUP(L46,Katalog!$C$3:$F$13,3,0),0)</f>
        <v>100000</v>
      </c>
      <c r="S46" t="str">
        <f t="shared" si="7"/>
        <v>-</v>
      </c>
      <c r="T46" t="str">
        <f>IFERROR(INDEX(Katalog!$B$4:$B$13,MATCH('Main Data'!S46,Katalog!$C$4:$C$13,0)),"-")</f>
        <v>-</v>
      </c>
      <c r="U46" t="str">
        <f>IFERROR(VLOOKUP(S46,Katalog!$A$15:$B$25,2,0),"-")</f>
        <v>-</v>
      </c>
      <c r="V46">
        <f t="shared" si="8"/>
        <v>0</v>
      </c>
      <c r="W46" s="28" t="str">
        <f t="shared" si="9"/>
        <v>-</v>
      </c>
      <c r="X46" s="18">
        <f>IFERROR(VLOOKUP(S46,Katalog!$C$3:$F$13,2,0),0)</f>
        <v>0</v>
      </c>
      <c r="Y46" s="30">
        <f>IFERROR(VLOOKUP(S46,Katalog!$C$3:$F$13,3,0),0)</f>
        <v>0</v>
      </c>
      <c r="Z46" s="2">
        <f t="shared" si="10"/>
        <v>4</v>
      </c>
      <c r="AA46" s="4">
        <f t="shared" si="11"/>
        <v>380000</v>
      </c>
      <c r="AB46" s="4">
        <f t="shared" si="12"/>
        <v>175000</v>
      </c>
      <c r="AC46" s="4" t="s">
        <v>12</v>
      </c>
      <c r="AD46" s="16">
        <f>IFERROR(VLOOKUP(AC46,'Kode Diskon'!$C$2:$D$9,2,0),0)</f>
        <v>0.15</v>
      </c>
      <c r="AE46" s="31">
        <f t="shared" si="13"/>
        <v>57000</v>
      </c>
      <c r="AF46" s="31">
        <f t="shared" si="14"/>
        <v>323000</v>
      </c>
      <c r="AG46" s="31">
        <f t="shared" si="15"/>
        <v>205000</v>
      </c>
      <c r="AH46" s="31">
        <f t="shared" si="16"/>
        <v>148000</v>
      </c>
      <c r="AI46" s="4" t="s">
        <v>28</v>
      </c>
      <c r="AJ46" s="4" t="s">
        <v>6</v>
      </c>
      <c r="AK46" s="4" t="str">
        <f>IFERROR(VLOOKUP(AJ46,'Guide '!$A$13:$B$16,2,0),"-")</f>
        <v>SP</v>
      </c>
      <c r="AL46" s="4" t="s">
        <v>925</v>
      </c>
      <c r="AM46" s="40">
        <v>45310</v>
      </c>
      <c r="AN46">
        <f t="shared" si="17"/>
        <v>29</v>
      </c>
      <c r="AO46">
        <f t="shared" si="18"/>
        <v>32</v>
      </c>
      <c r="AP46">
        <f t="shared" si="19"/>
        <v>40</v>
      </c>
      <c r="AQ46">
        <f t="shared" si="20"/>
        <v>43</v>
      </c>
      <c r="AR46" s="26">
        <f t="shared" si="21"/>
        <v>56</v>
      </c>
      <c r="AS46" s="26">
        <f t="shared" si="22"/>
        <v>63</v>
      </c>
      <c r="AT46" s="21">
        <f t="shared" si="23"/>
        <v>12</v>
      </c>
      <c r="AU46" s="21">
        <f t="shared" si="24"/>
        <v>19</v>
      </c>
      <c r="AV46">
        <f t="shared" si="25"/>
        <v>73</v>
      </c>
      <c r="AW46">
        <f t="shared" si="26"/>
        <v>76</v>
      </c>
      <c r="AX46">
        <f t="shared" si="27"/>
        <v>84</v>
      </c>
      <c r="AY46">
        <f t="shared" si="28"/>
        <v>87</v>
      </c>
      <c r="AZ46" t="str">
        <f t="shared" si="29"/>
        <v>-</v>
      </c>
      <c r="BA46" t="str">
        <f t="shared" si="30"/>
        <v>-</v>
      </c>
      <c r="BB46" t="str">
        <f t="shared" si="31"/>
        <v>-</v>
      </c>
      <c r="BC46" t="str">
        <f t="shared" si="32"/>
        <v>-</v>
      </c>
      <c r="BD46" s="29" t="str">
        <f t="shared" si="33"/>
        <v>-</v>
      </c>
      <c r="BE46" s="29" t="str">
        <f t="shared" si="34"/>
        <v>-</v>
      </c>
    </row>
    <row r="47" spans="1:57" ht="15" x14ac:dyDescent="0.2">
      <c r="A47" s="2">
        <v>720</v>
      </c>
      <c r="B47" s="2" t="str">
        <f t="shared" si="0"/>
        <v>0720</v>
      </c>
      <c r="C47" t="str">
        <f t="shared" si="1"/>
        <v>ORD-TK-0720-19/01/24</v>
      </c>
      <c r="D47" s="3" t="s">
        <v>268</v>
      </c>
      <c r="E47" t="str">
        <f t="shared" si="35"/>
        <v>PW002</v>
      </c>
      <c r="F47" t="str">
        <f>INDEX(Katalog!$B$4:$B$13,MATCH('Main Data'!E47,Katalog!$C$4:$C$13,0))</f>
        <v>Blouse</v>
      </c>
      <c r="G47" t="str">
        <f>VLOOKUP(E47,Katalog!$A$15:$B$25,2,0)</f>
        <v>Pakaian Wanita</v>
      </c>
      <c r="H47" t="str">
        <f t="shared" si="36"/>
        <v>1</v>
      </c>
      <c r="I47" t="str">
        <f t="shared" si="3"/>
        <v>4</v>
      </c>
      <c r="J47" s="18">
        <f>VLOOKUP(E47,Katalog!$C$3:$F$13,2,0)</f>
        <v>125000</v>
      </c>
      <c r="K47" s="18">
        <f>VLOOKUP(E47,Katalog!$C$3:$F$13,3,0)</f>
        <v>50000</v>
      </c>
      <c r="L47" t="str">
        <f t="shared" si="4"/>
        <v>-</v>
      </c>
      <c r="M47" t="str">
        <f>IFERROR(INDEX(Katalog!$B$4:$B$13,MATCH('Main Data'!L47,Katalog!$C$4:$C$13,0)), "-")</f>
        <v>-</v>
      </c>
      <c r="N47" t="str">
        <f>IFERROR(VLOOKUP(L47,Katalog!$A$15:$B$25,2,0),"-")</f>
        <v>-</v>
      </c>
      <c r="O47">
        <f t="shared" si="5"/>
        <v>0</v>
      </c>
      <c r="P47" t="str">
        <f t="shared" si="6"/>
        <v>-</v>
      </c>
      <c r="Q47" s="18">
        <f>IFERROR(VLOOKUP(L47,Katalog!$C$3:$F$13,2,0),0)</f>
        <v>0</v>
      </c>
      <c r="R47" s="18">
        <f>IFERROR(VLOOKUP(L47,Katalog!$C$3:$F$13,3,0),0)</f>
        <v>0</v>
      </c>
      <c r="S47" t="str">
        <f t="shared" si="7"/>
        <v>-</v>
      </c>
      <c r="T47" t="str">
        <f>IFERROR(INDEX(Katalog!$B$4:$B$13,MATCH('Main Data'!S47,Katalog!$C$4:$C$13,0)),"-")</f>
        <v>-</v>
      </c>
      <c r="U47" t="str">
        <f>IFERROR(VLOOKUP(S47,Katalog!$A$15:$B$25,2,0),"-")</f>
        <v>-</v>
      </c>
      <c r="V47">
        <f t="shared" si="8"/>
        <v>0</v>
      </c>
      <c r="W47" s="28" t="str">
        <f t="shared" si="9"/>
        <v>-</v>
      </c>
      <c r="X47" s="18">
        <f>IFERROR(VLOOKUP(S47,Katalog!$C$3:$F$13,2,0),0)</f>
        <v>0</v>
      </c>
      <c r="Y47" s="30">
        <f>IFERROR(VLOOKUP(S47,Katalog!$C$3:$F$13,3,0),0)</f>
        <v>0</v>
      </c>
      <c r="Z47" s="2">
        <f t="shared" si="10"/>
        <v>1</v>
      </c>
      <c r="AA47" s="4">
        <f t="shared" si="11"/>
        <v>125000</v>
      </c>
      <c r="AB47" s="4">
        <f t="shared" si="12"/>
        <v>50000</v>
      </c>
      <c r="AC47" s="4" t="s">
        <v>29</v>
      </c>
      <c r="AD47" s="16">
        <f>IFERROR(VLOOKUP(AC47,'Kode Diskon'!$C$2:$D$9,2,0),0)</f>
        <v>0.1</v>
      </c>
      <c r="AE47" s="31">
        <f t="shared" si="13"/>
        <v>12500</v>
      </c>
      <c r="AF47" s="31">
        <f t="shared" si="14"/>
        <v>112500</v>
      </c>
      <c r="AG47" s="31">
        <f t="shared" si="15"/>
        <v>75000</v>
      </c>
      <c r="AH47" s="31">
        <f t="shared" si="16"/>
        <v>62500</v>
      </c>
      <c r="AI47" s="4" t="s">
        <v>28</v>
      </c>
      <c r="AJ47" s="4" t="s">
        <v>9</v>
      </c>
      <c r="AK47" s="4" t="str">
        <f>IFERROR(VLOOKUP(AJ47,'Guide '!$A$13:$B$16,2,0),"-")</f>
        <v>TK</v>
      </c>
      <c r="AL47" s="4" t="s">
        <v>922</v>
      </c>
      <c r="AM47" s="40">
        <v>45310</v>
      </c>
      <c r="AN47">
        <f t="shared" si="17"/>
        <v>29</v>
      </c>
      <c r="AO47">
        <f t="shared" si="18"/>
        <v>32</v>
      </c>
      <c r="AP47">
        <f t="shared" si="19"/>
        <v>40</v>
      </c>
      <c r="AQ47">
        <f t="shared" si="20"/>
        <v>43</v>
      </c>
      <c r="AR47" s="26" t="str">
        <f t="shared" si="21"/>
        <v>-</v>
      </c>
      <c r="AS47" s="26" t="str">
        <f t="shared" si="22"/>
        <v>-</v>
      </c>
      <c r="AT47" s="21">
        <f t="shared" si="23"/>
        <v>12</v>
      </c>
      <c r="AU47" s="21">
        <f t="shared" si="24"/>
        <v>19</v>
      </c>
      <c r="AV47" t="str">
        <f t="shared" si="25"/>
        <v>-</v>
      </c>
      <c r="AW47" t="str">
        <f t="shared" si="26"/>
        <v>-</v>
      </c>
      <c r="AX47" t="str">
        <f t="shared" si="27"/>
        <v>-</v>
      </c>
      <c r="AY47" t="str">
        <f t="shared" si="28"/>
        <v>-</v>
      </c>
      <c r="AZ47" t="str">
        <f t="shared" si="29"/>
        <v>-</v>
      </c>
      <c r="BA47" t="str">
        <f t="shared" si="30"/>
        <v>-</v>
      </c>
      <c r="BB47" t="str">
        <f t="shared" si="31"/>
        <v>-</v>
      </c>
      <c r="BC47" t="str">
        <f t="shared" si="32"/>
        <v>-</v>
      </c>
      <c r="BD47" s="29" t="str">
        <f t="shared" si="33"/>
        <v>-</v>
      </c>
      <c r="BE47" s="29" t="str">
        <f t="shared" si="34"/>
        <v>-</v>
      </c>
    </row>
    <row r="48" spans="1:57" ht="15" x14ac:dyDescent="0.2">
      <c r="A48" s="2">
        <v>311</v>
      </c>
      <c r="B48" s="2" t="str">
        <f t="shared" si="0"/>
        <v>0311</v>
      </c>
      <c r="C48" t="str">
        <f t="shared" si="1"/>
        <v>ORD-SP-0311-21/01/24</v>
      </c>
      <c r="D48" s="3" t="s">
        <v>366</v>
      </c>
      <c r="E48" t="str">
        <f t="shared" si="35"/>
        <v>PP002</v>
      </c>
      <c r="F48" t="str">
        <f>INDEX(Katalog!$B$4:$B$13,MATCH('Main Data'!E48,Katalog!$C$4:$C$13,0))</f>
        <v>Celana Pendek</v>
      </c>
      <c r="G48" t="str">
        <f>VLOOKUP(E48,Katalog!$A$15:$B$25,2,0)</f>
        <v>Pakaian Pria</v>
      </c>
      <c r="H48" t="str">
        <f t="shared" si="36"/>
        <v>3</v>
      </c>
      <c r="I48" t="str">
        <f t="shared" si="3"/>
        <v>2</v>
      </c>
      <c r="J48" s="18">
        <f>VLOOKUP(E48,Katalog!$C$3:$F$13,2,0)</f>
        <v>60000</v>
      </c>
      <c r="K48" s="18">
        <f>VLOOKUP(E48,Katalog!$C$3:$F$13,3,0)</f>
        <v>25000</v>
      </c>
      <c r="L48" t="str">
        <f t="shared" si="4"/>
        <v>SP002</v>
      </c>
      <c r="M48" t="str">
        <f>IFERROR(INDEX(Katalog!$B$4:$B$13,MATCH('Main Data'!L48,Katalog!$C$4:$C$13,0)), "-")</f>
        <v>Sandal Slip On</v>
      </c>
      <c r="N48" t="str">
        <f>IFERROR(VLOOKUP(L48,Katalog!$A$15:$B$25,2,0),"-")</f>
        <v>Sepatu Pria</v>
      </c>
      <c r="O48" t="str">
        <f t="shared" si="5"/>
        <v>2</v>
      </c>
      <c r="P48" t="str">
        <f t="shared" si="6"/>
        <v>1</v>
      </c>
      <c r="Q48" s="18">
        <f>IFERROR(VLOOKUP(L48,Katalog!$C$3:$F$13,2,0),0)</f>
        <v>120000</v>
      </c>
      <c r="R48" s="18">
        <f>IFERROR(VLOOKUP(L48,Katalog!$C$3:$F$13,3,0),0)</f>
        <v>60000</v>
      </c>
      <c r="S48" t="str">
        <f t="shared" si="7"/>
        <v>PW001</v>
      </c>
      <c r="T48" t="str">
        <f>IFERROR(INDEX(Katalog!$B$4:$B$13,MATCH('Main Data'!S48,Katalog!$C$4:$C$13,0)),"-")</f>
        <v>Dress</v>
      </c>
      <c r="U48" t="str">
        <f>IFERROR(VLOOKUP(S48,Katalog!$A$15:$B$25,2,0),"-")</f>
        <v>Pakaian Wanita</v>
      </c>
      <c r="V48" t="str">
        <f t="shared" si="8"/>
        <v>2</v>
      </c>
      <c r="W48" s="28" t="str">
        <f t="shared" si="9"/>
        <v>4</v>
      </c>
      <c r="X48" s="18">
        <f>IFERROR(VLOOKUP(S48,Katalog!$C$3:$F$13,2,0),0)</f>
        <v>150000</v>
      </c>
      <c r="Y48" s="30">
        <f>IFERROR(VLOOKUP(S48,Katalog!$C$3:$F$13,3,0),0)</f>
        <v>55000</v>
      </c>
      <c r="Z48" s="2">
        <f t="shared" si="10"/>
        <v>7</v>
      </c>
      <c r="AA48" s="4">
        <f t="shared" si="11"/>
        <v>720000</v>
      </c>
      <c r="AB48" s="4">
        <f t="shared" si="12"/>
        <v>305000</v>
      </c>
      <c r="AC48" s="4" t="s">
        <v>5</v>
      </c>
      <c r="AD48" s="16">
        <f>IFERROR(VLOOKUP(AC48,'Kode Diskon'!$C$2:$D$9,2,0),0)</f>
        <v>0.1</v>
      </c>
      <c r="AE48" s="31">
        <f t="shared" si="13"/>
        <v>72000</v>
      </c>
      <c r="AF48" s="31">
        <f t="shared" si="14"/>
        <v>648000</v>
      </c>
      <c r="AG48" s="31">
        <f t="shared" si="15"/>
        <v>415000</v>
      </c>
      <c r="AH48" s="31">
        <f t="shared" si="16"/>
        <v>343000</v>
      </c>
      <c r="AI48" s="4" t="s">
        <v>28</v>
      </c>
      <c r="AJ48" s="4" t="s">
        <v>6</v>
      </c>
      <c r="AK48" s="4" t="str">
        <f>IFERROR(VLOOKUP(AJ48,'Guide '!$A$13:$B$16,2,0),"-")</f>
        <v>SP</v>
      </c>
      <c r="AL48" s="4" t="s">
        <v>1006</v>
      </c>
      <c r="AM48" s="40">
        <v>45312</v>
      </c>
      <c r="AN48">
        <f t="shared" si="17"/>
        <v>29</v>
      </c>
      <c r="AO48">
        <f t="shared" si="18"/>
        <v>32</v>
      </c>
      <c r="AP48">
        <f t="shared" si="19"/>
        <v>40</v>
      </c>
      <c r="AQ48">
        <f t="shared" si="20"/>
        <v>43</v>
      </c>
      <c r="AR48" s="26">
        <f t="shared" si="21"/>
        <v>56</v>
      </c>
      <c r="AS48" s="26">
        <f t="shared" si="22"/>
        <v>63</v>
      </c>
      <c r="AT48" s="21">
        <f t="shared" si="23"/>
        <v>12</v>
      </c>
      <c r="AU48" s="21">
        <f t="shared" si="24"/>
        <v>19</v>
      </c>
      <c r="AV48">
        <f t="shared" si="25"/>
        <v>73</v>
      </c>
      <c r="AW48">
        <f t="shared" si="26"/>
        <v>76</v>
      </c>
      <c r="AX48">
        <f t="shared" si="27"/>
        <v>84</v>
      </c>
      <c r="AY48">
        <f t="shared" si="28"/>
        <v>87</v>
      </c>
      <c r="AZ48">
        <f t="shared" si="29"/>
        <v>100</v>
      </c>
      <c r="BA48">
        <f t="shared" si="30"/>
        <v>107</v>
      </c>
      <c r="BB48">
        <f t="shared" si="31"/>
        <v>117</v>
      </c>
      <c r="BC48">
        <f t="shared" si="32"/>
        <v>120</v>
      </c>
      <c r="BD48" s="29">
        <f t="shared" si="33"/>
        <v>128</v>
      </c>
      <c r="BE48" s="29">
        <f t="shared" si="34"/>
        <v>131</v>
      </c>
    </row>
    <row r="49" spans="1:57" ht="15" x14ac:dyDescent="0.2">
      <c r="A49" s="2">
        <v>631</v>
      </c>
      <c r="B49" s="2" t="str">
        <f t="shared" si="0"/>
        <v>0631</v>
      </c>
      <c r="C49" t="str">
        <f t="shared" si="1"/>
        <v>ORD-TK-0631-21/01/24</v>
      </c>
      <c r="D49" s="3" t="s">
        <v>640</v>
      </c>
      <c r="E49" t="str">
        <f t="shared" si="35"/>
        <v>SW001</v>
      </c>
      <c r="F49" t="str">
        <f>INDEX(Katalog!$B$4:$B$13,MATCH('Main Data'!E49,Katalog!$C$4:$C$13,0))</f>
        <v>Flat Shoes</v>
      </c>
      <c r="G49" t="str">
        <f>VLOOKUP(E49,Katalog!$A$15:$B$25,2,0)</f>
        <v>Sepatu Wanita</v>
      </c>
      <c r="H49" t="str">
        <f t="shared" si="36"/>
        <v>1</v>
      </c>
      <c r="I49" t="str">
        <f t="shared" si="3"/>
        <v>4</v>
      </c>
      <c r="J49" s="18">
        <f>VLOOKUP(E49,Katalog!$C$3:$F$13,2,0)</f>
        <v>150000</v>
      </c>
      <c r="K49" s="18">
        <f>VLOOKUP(E49,Katalog!$C$3:$F$13,3,0)</f>
        <v>70000</v>
      </c>
      <c r="L49" t="str">
        <f t="shared" si="4"/>
        <v>PW001</v>
      </c>
      <c r="M49" t="str">
        <f>IFERROR(INDEX(Katalog!$B$4:$B$13,MATCH('Main Data'!L49,Katalog!$C$4:$C$13,0)), "-")</f>
        <v>Dress</v>
      </c>
      <c r="N49" t="str">
        <f>IFERROR(VLOOKUP(L49,Katalog!$A$15:$B$25,2,0),"-")</f>
        <v>Pakaian Wanita</v>
      </c>
      <c r="O49" t="str">
        <f t="shared" si="5"/>
        <v>1</v>
      </c>
      <c r="P49" t="str">
        <f t="shared" si="6"/>
        <v>1</v>
      </c>
      <c r="Q49" s="18">
        <f>IFERROR(VLOOKUP(L49,Katalog!$C$3:$F$13,2,0),0)</f>
        <v>150000</v>
      </c>
      <c r="R49" s="18">
        <f>IFERROR(VLOOKUP(L49,Katalog!$C$3:$F$13,3,0),0)</f>
        <v>55000</v>
      </c>
      <c r="S49" t="str">
        <f t="shared" si="7"/>
        <v>-</v>
      </c>
      <c r="T49" t="str">
        <f>IFERROR(INDEX(Katalog!$B$4:$B$13,MATCH('Main Data'!S49,Katalog!$C$4:$C$13,0)),"-")</f>
        <v>-</v>
      </c>
      <c r="U49" t="str">
        <f>IFERROR(VLOOKUP(S49,Katalog!$A$15:$B$25,2,0),"-")</f>
        <v>-</v>
      </c>
      <c r="V49">
        <f t="shared" si="8"/>
        <v>0</v>
      </c>
      <c r="W49" s="28" t="str">
        <f t="shared" si="9"/>
        <v>-</v>
      </c>
      <c r="X49" s="18">
        <f>IFERROR(VLOOKUP(S49,Katalog!$C$3:$F$13,2,0),0)</f>
        <v>0</v>
      </c>
      <c r="Y49" s="30">
        <f>IFERROR(VLOOKUP(S49,Katalog!$C$3:$F$13,3,0),0)</f>
        <v>0</v>
      </c>
      <c r="Z49" s="2">
        <f t="shared" si="10"/>
        <v>2</v>
      </c>
      <c r="AA49" s="4">
        <f t="shared" si="11"/>
        <v>300000</v>
      </c>
      <c r="AB49" s="4">
        <f t="shared" si="12"/>
        <v>125000</v>
      </c>
      <c r="AC49" s="4" t="s">
        <v>29</v>
      </c>
      <c r="AD49" s="16">
        <f>IFERROR(VLOOKUP(AC49,'Kode Diskon'!$C$2:$D$9,2,0),0)</f>
        <v>0.1</v>
      </c>
      <c r="AE49" s="31">
        <f t="shared" si="13"/>
        <v>30000</v>
      </c>
      <c r="AF49" s="31">
        <f t="shared" si="14"/>
        <v>270000</v>
      </c>
      <c r="AG49" s="31">
        <f t="shared" si="15"/>
        <v>175000</v>
      </c>
      <c r="AH49" s="31">
        <f t="shared" si="16"/>
        <v>145000</v>
      </c>
      <c r="AI49" s="4" t="s">
        <v>28</v>
      </c>
      <c r="AJ49" s="4" t="s">
        <v>9</v>
      </c>
      <c r="AK49" s="4" t="str">
        <f>IFERROR(VLOOKUP(AJ49,'Guide '!$A$13:$B$16,2,0),"-")</f>
        <v>TK</v>
      </c>
      <c r="AL49" s="4" t="s">
        <v>923</v>
      </c>
      <c r="AM49" s="40">
        <v>45312</v>
      </c>
      <c r="AN49">
        <f t="shared" si="17"/>
        <v>29</v>
      </c>
      <c r="AO49">
        <f t="shared" si="18"/>
        <v>32</v>
      </c>
      <c r="AP49">
        <f t="shared" si="19"/>
        <v>40</v>
      </c>
      <c r="AQ49">
        <f t="shared" si="20"/>
        <v>43</v>
      </c>
      <c r="AR49" s="26">
        <f t="shared" si="21"/>
        <v>56</v>
      </c>
      <c r="AS49" s="26">
        <f t="shared" si="22"/>
        <v>63</v>
      </c>
      <c r="AT49" s="21">
        <f t="shared" si="23"/>
        <v>12</v>
      </c>
      <c r="AU49" s="21">
        <f t="shared" si="24"/>
        <v>19</v>
      </c>
      <c r="AV49">
        <f t="shared" si="25"/>
        <v>73</v>
      </c>
      <c r="AW49">
        <f t="shared" si="26"/>
        <v>76</v>
      </c>
      <c r="AX49">
        <f t="shared" si="27"/>
        <v>84</v>
      </c>
      <c r="AY49">
        <f t="shared" si="28"/>
        <v>87</v>
      </c>
      <c r="AZ49" t="str">
        <f t="shared" si="29"/>
        <v>-</v>
      </c>
      <c r="BA49" t="str">
        <f t="shared" si="30"/>
        <v>-</v>
      </c>
      <c r="BB49" t="str">
        <f t="shared" si="31"/>
        <v>-</v>
      </c>
      <c r="BC49" t="str">
        <f t="shared" si="32"/>
        <v>-</v>
      </c>
      <c r="BD49" s="29" t="str">
        <f t="shared" si="33"/>
        <v>-</v>
      </c>
      <c r="BE49" s="29" t="str">
        <f t="shared" si="34"/>
        <v>-</v>
      </c>
    </row>
    <row r="50" spans="1:57" ht="15" x14ac:dyDescent="0.2">
      <c r="A50" s="2">
        <v>768</v>
      </c>
      <c r="B50" s="2" t="str">
        <f t="shared" si="0"/>
        <v>0768</v>
      </c>
      <c r="C50" t="str">
        <f t="shared" si="1"/>
        <v>ORD-SP-0768-22/01/24</v>
      </c>
      <c r="D50" s="3" t="s">
        <v>746</v>
      </c>
      <c r="E50" t="str">
        <f t="shared" si="35"/>
        <v>SW001</v>
      </c>
      <c r="F50" t="str">
        <f>INDEX(Katalog!$B$4:$B$13,MATCH('Main Data'!E50,Katalog!$C$4:$C$13,0))</f>
        <v>Flat Shoes</v>
      </c>
      <c r="G50" t="str">
        <f>VLOOKUP(E50,Katalog!$A$15:$B$25,2,0)</f>
        <v>Sepatu Wanita</v>
      </c>
      <c r="H50" t="str">
        <f t="shared" si="36"/>
        <v>2</v>
      </c>
      <c r="I50" t="str">
        <f t="shared" si="3"/>
        <v>3</v>
      </c>
      <c r="J50" s="18">
        <f>VLOOKUP(E50,Katalog!$C$3:$F$13,2,0)</f>
        <v>150000</v>
      </c>
      <c r="K50" s="18">
        <f>VLOOKUP(E50,Katalog!$C$3:$F$13,3,0)</f>
        <v>70000</v>
      </c>
      <c r="L50" t="str">
        <f t="shared" si="4"/>
        <v>PW002</v>
      </c>
      <c r="M50" t="str">
        <f>IFERROR(INDEX(Katalog!$B$4:$B$13,MATCH('Main Data'!L50,Katalog!$C$4:$C$13,0)), "-")</f>
        <v>Blouse</v>
      </c>
      <c r="N50" t="str">
        <f>IFERROR(VLOOKUP(L50,Katalog!$A$15:$B$25,2,0),"-")</f>
        <v>Pakaian Wanita</v>
      </c>
      <c r="O50" t="str">
        <f t="shared" si="5"/>
        <v>4</v>
      </c>
      <c r="P50" t="str">
        <f t="shared" si="6"/>
        <v>1</v>
      </c>
      <c r="Q50" s="18">
        <f>IFERROR(VLOOKUP(L50,Katalog!$C$3:$F$13,2,0),0)</f>
        <v>125000</v>
      </c>
      <c r="R50" s="18">
        <f>IFERROR(VLOOKUP(L50,Katalog!$C$3:$F$13,3,0),0)</f>
        <v>50000</v>
      </c>
      <c r="S50" t="str">
        <f t="shared" si="7"/>
        <v>-</v>
      </c>
      <c r="T50" t="str">
        <f>IFERROR(INDEX(Katalog!$B$4:$B$13,MATCH('Main Data'!S50,Katalog!$C$4:$C$13,0)),"-")</f>
        <v>-</v>
      </c>
      <c r="U50" t="str">
        <f>IFERROR(VLOOKUP(S50,Katalog!$A$15:$B$25,2,0),"-")</f>
        <v>-</v>
      </c>
      <c r="V50">
        <f t="shared" si="8"/>
        <v>0</v>
      </c>
      <c r="W50" s="28" t="str">
        <f t="shared" si="9"/>
        <v>-</v>
      </c>
      <c r="X50" s="18">
        <f>IFERROR(VLOOKUP(S50,Katalog!$C$3:$F$13,2,0),0)</f>
        <v>0</v>
      </c>
      <c r="Y50" s="30">
        <f>IFERROR(VLOOKUP(S50,Katalog!$C$3:$F$13,3,0),0)</f>
        <v>0</v>
      </c>
      <c r="Z50" s="2">
        <f t="shared" si="10"/>
        <v>6</v>
      </c>
      <c r="AA50" s="4">
        <f t="shared" si="11"/>
        <v>800000</v>
      </c>
      <c r="AB50" s="4">
        <f t="shared" si="12"/>
        <v>340000</v>
      </c>
      <c r="AC50" s="4" t="s">
        <v>12</v>
      </c>
      <c r="AD50" s="16">
        <f>IFERROR(VLOOKUP(AC50,'Kode Diskon'!$C$2:$D$9,2,0),0)</f>
        <v>0.15</v>
      </c>
      <c r="AE50" s="31">
        <f t="shared" si="13"/>
        <v>120000</v>
      </c>
      <c r="AF50" s="31">
        <f t="shared" si="14"/>
        <v>680000</v>
      </c>
      <c r="AG50" s="31">
        <f t="shared" si="15"/>
        <v>460000</v>
      </c>
      <c r="AH50" s="31">
        <f t="shared" si="16"/>
        <v>340000</v>
      </c>
      <c r="AI50" s="4" t="s">
        <v>28</v>
      </c>
      <c r="AJ50" s="4" t="s">
        <v>6</v>
      </c>
      <c r="AK50" s="4" t="str">
        <f>IFERROR(VLOOKUP(AJ50,'Guide '!$A$13:$B$16,2,0),"-")</f>
        <v>SP</v>
      </c>
      <c r="AL50" s="4" t="s">
        <v>924</v>
      </c>
      <c r="AM50" s="40">
        <v>45313</v>
      </c>
      <c r="AN50">
        <f t="shared" si="17"/>
        <v>29</v>
      </c>
      <c r="AO50">
        <f t="shared" si="18"/>
        <v>32</v>
      </c>
      <c r="AP50">
        <f t="shared" si="19"/>
        <v>40</v>
      </c>
      <c r="AQ50">
        <f t="shared" si="20"/>
        <v>43</v>
      </c>
      <c r="AR50" s="26">
        <f t="shared" si="21"/>
        <v>56</v>
      </c>
      <c r="AS50" s="26">
        <f t="shared" si="22"/>
        <v>63</v>
      </c>
      <c r="AT50" s="21">
        <f t="shared" si="23"/>
        <v>12</v>
      </c>
      <c r="AU50" s="21">
        <f t="shared" si="24"/>
        <v>19</v>
      </c>
      <c r="AV50">
        <f t="shared" si="25"/>
        <v>73</v>
      </c>
      <c r="AW50">
        <f t="shared" si="26"/>
        <v>76</v>
      </c>
      <c r="AX50">
        <f t="shared" si="27"/>
        <v>84</v>
      </c>
      <c r="AY50">
        <f t="shared" si="28"/>
        <v>87</v>
      </c>
      <c r="AZ50" t="str">
        <f t="shared" si="29"/>
        <v>-</v>
      </c>
      <c r="BA50" t="str">
        <f t="shared" si="30"/>
        <v>-</v>
      </c>
      <c r="BB50" t="str">
        <f t="shared" si="31"/>
        <v>-</v>
      </c>
      <c r="BC50" t="str">
        <f t="shared" si="32"/>
        <v>-</v>
      </c>
      <c r="BD50" s="29" t="str">
        <f t="shared" si="33"/>
        <v>-</v>
      </c>
      <c r="BE50" s="29" t="str">
        <f t="shared" si="34"/>
        <v>-</v>
      </c>
    </row>
    <row r="51" spans="1:57" ht="15" x14ac:dyDescent="0.2">
      <c r="A51" s="2">
        <v>836</v>
      </c>
      <c r="B51" s="2" t="str">
        <f t="shared" si="0"/>
        <v>0836</v>
      </c>
      <c r="C51" t="str">
        <f t="shared" si="1"/>
        <v>ORD-SP-0836-22/01/24</v>
      </c>
      <c r="D51" s="3" t="s">
        <v>248</v>
      </c>
      <c r="E51" t="str">
        <f t="shared" si="35"/>
        <v>SW001</v>
      </c>
      <c r="F51" t="str">
        <f>INDEX(Katalog!$B$4:$B$13,MATCH('Main Data'!E51,Katalog!$C$4:$C$13,0))</f>
        <v>Flat Shoes</v>
      </c>
      <c r="G51" t="str">
        <f>VLOOKUP(E51,Katalog!$A$15:$B$25,2,0)</f>
        <v>Sepatu Wanita</v>
      </c>
      <c r="H51" t="str">
        <f t="shared" si="36"/>
        <v>1</v>
      </c>
      <c r="I51" t="str">
        <f t="shared" si="3"/>
        <v>5</v>
      </c>
      <c r="J51" s="18">
        <f>VLOOKUP(E51,Katalog!$C$3:$F$13,2,0)</f>
        <v>150000</v>
      </c>
      <c r="K51" s="18">
        <f>VLOOKUP(E51,Katalog!$C$3:$F$13,3,0)</f>
        <v>70000</v>
      </c>
      <c r="L51" t="str">
        <f t="shared" si="4"/>
        <v>-</v>
      </c>
      <c r="M51" t="str">
        <f>IFERROR(INDEX(Katalog!$B$4:$B$13,MATCH('Main Data'!L51,Katalog!$C$4:$C$13,0)), "-")</f>
        <v>-</v>
      </c>
      <c r="N51" t="str">
        <f>IFERROR(VLOOKUP(L51,Katalog!$A$15:$B$25,2,0),"-")</f>
        <v>-</v>
      </c>
      <c r="O51">
        <f t="shared" si="5"/>
        <v>0</v>
      </c>
      <c r="P51" t="str">
        <f t="shared" si="6"/>
        <v>-</v>
      </c>
      <c r="Q51" s="18">
        <f>IFERROR(VLOOKUP(L51,Katalog!$C$3:$F$13,2,0),0)</f>
        <v>0</v>
      </c>
      <c r="R51" s="18">
        <f>IFERROR(VLOOKUP(L51,Katalog!$C$3:$F$13,3,0),0)</f>
        <v>0</v>
      </c>
      <c r="S51" t="str">
        <f t="shared" si="7"/>
        <v>-</v>
      </c>
      <c r="T51" t="str">
        <f>IFERROR(INDEX(Katalog!$B$4:$B$13,MATCH('Main Data'!S51,Katalog!$C$4:$C$13,0)),"-")</f>
        <v>-</v>
      </c>
      <c r="U51" t="str">
        <f>IFERROR(VLOOKUP(S51,Katalog!$A$15:$B$25,2,0),"-")</f>
        <v>-</v>
      </c>
      <c r="V51">
        <f t="shared" si="8"/>
        <v>0</v>
      </c>
      <c r="W51" s="28" t="str">
        <f t="shared" si="9"/>
        <v>-</v>
      </c>
      <c r="X51" s="18">
        <f>IFERROR(VLOOKUP(S51,Katalog!$C$3:$F$13,2,0),0)</f>
        <v>0</v>
      </c>
      <c r="Y51" s="30">
        <f>IFERROR(VLOOKUP(S51,Katalog!$C$3:$F$13,3,0),0)</f>
        <v>0</v>
      </c>
      <c r="Z51" s="2">
        <f t="shared" si="10"/>
        <v>1</v>
      </c>
      <c r="AA51" s="4">
        <f t="shared" si="11"/>
        <v>150000</v>
      </c>
      <c r="AB51" s="4">
        <f t="shared" si="12"/>
        <v>70000</v>
      </c>
      <c r="AC51" s="4" t="s">
        <v>12</v>
      </c>
      <c r="AD51" s="16">
        <f>IFERROR(VLOOKUP(AC51,'Kode Diskon'!$C$2:$D$9,2,0),0)</f>
        <v>0.15</v>
      </c>
      <c r="AE51" s="31">
        <f t="shared" si="13"/>
        <v>22500</v>
      </c>
      <c r="AF51" s="31">
        <f t="shared" si="14"/>
        <v>127500</v>
      </c>
      <c r="AG51" s="31">
        <f t="shared" si="15"/>
        <v>80000</v>
      </c>
      <c r="AH51" s="31">
        <f t="shared" si="16"/>
        <v>57500</v>
      </c>
      <c r="AI51" s="4" t="s">
        <v>28</v>
      </c>
      <c r="AJ51" s="4" t="s">
        <v>6</v>
      </c>
      <c r="AK51" s="4" t="str">
        <f>IFERROR(VLOOKUP(AJ51,'Guide '!$A$13:$B$16,2,0),"-")</f>
        <v>SP</v>
      </c>
      <c r="AL51" s="4" t="s">
        <v>925</v>
      </c>
      <c r="AM51" s="40">
        <v>45313</v>
      </c>
      <c r="AN51">
        <f t="shared" si="17"/>
        <v>29</v>
      </c>
      <c r="AO51">
        <f t="shared" si="18"/>
        <v>32</v>
      </c>
      <c r="AP51">
        <f t="shared" si="19"/>
        <v>40</v>
      </c>
      <c r="AQ51">
        <f t="shared" si="20"/>
        <v>43</v>
      </c>
      <c r="AR51" s="26" t="str">
        <f t="shared" si="21"/>
        <v>-</v>
      </c>
      <c r="AS51" s="26" t="str">
        <f t="shared" si="22"/>
        <v>-</v>
      </c>
      <c r="AT51" s="21">
        <f t="shared" si="23"/>
        <v>12</v>
      </c>
      <c r="AU51" s="21">
        <f t="shared" si="24"/>
        <v>19</v>
      </c>
      <c r="AV51" t="str">
        <f t="shared" si="25"/>
        <v>-</v>
      </c>
      <c r="AW51" t="str">
        <f t="shared" si="26"/>
        <v>-</v>
      </c>
      <c r="AX51" t="str">
        <f t="shared" si="27"/>
        <v>-</v>
      </c>
      <c r="AY51" t="str">
        <f t="shared" si="28"/>
        <v>-</v>
      </c>
      <c r="AZ51" t="str">
        <f t="shared" si="29"/>
        <v>-</v>
      </c>
      <c r="BA51" t="str">
        <f t="shared" si="30"/>
        <v>-</v>
      </c>
      <c r="BB51" t="str">
        <f t="shared" si="31"/>
        <v>-</v>
      </c>
      <c r="BC51" t="str">
        <f t="shared" si="32"/>
        <v>-</v>
      </c>
      <c r="BD51" s="29" t="str">
        <f t="shared" si="33"/>
        <v>-</v>
      </c>
      <c r="BE51" s="29" t="str">
        <f t="shared" si="34"/>
        <v>-</v>
      </c>
    </row>
    <row r="52" spans="1:57" ht="15" x14ac:dyDescent="0.2">
      <c r="A52" s="2">
        <v>45</v>
      </c>
      <c r="B52" s="2" t="str">
        <f t="shared" si="0"/>
        <v>0045</v>
      </c>
      <c r="C52" t="str">
        <f t="shared" si="1"/>
        <v>ORD-BL-0045-23/01/24</v>
      </c>
      <c r="D52" s="3" t="s">
        <v>119</v>
      </c>
      <c r="E52" t="str">
        <f t="shared" si="35"/>
        <v>PW002</v>
      </c>
      <c r="F52" t="str">
        <f>INDEX(Katalog!$B$4:$B$13,MATCH('Main Data'!E52,Katalog!$C$4:$C$13,0))</f>
        <v>Blouse</v>
      </c>
      <c r="G52" t="str">
        <f>VLOOKUP(E52,Katalog!$A$15:$B$25,2,0)</f>
        <v>Pakaian Wanita</v>
      </c>
      <c r="H52" t="str">
        <f t="shared" si="36"/>
        <v>2</v>
      </c>
      <c r="I52" t="str">
        <f t="shared" si="3"/>
        <v>3</v>
      </c>
      <c r="J52" s="18">
        <f>VLOOKUP(E52,Katalog!$C$3:$F$13,2,0)</f>
        <v>125000</v>
      </c>
      <c r="K52" s="18">
        <f>VLOOKUP(E52,Katalog!$C$3:$F$13,3,0)</f>
        <v>50000</v>
      </c>
      <c r="L52" t="str">
        <f t="shared" si="4"/>
        <v>-</v>
      </c>
      <c r="M52" t="str">
        <f>IFERROR(INDEX(Katalog!$B$4:$B$13,MATCH('Main Data'!L52,Katalog!$C$4:$C$13,0)), "-")</f>
        <v>-</v>
      </c>
      <c r="N52" t="str">
        <f>IFERROR(VLOOKUP(L52,Katalog!$A$15:$B$25,2,0),"-")</f>
        <v>-</v>
      </c>
      <c r="O52">
        <f t="shared" si="5"/>
        <v>0</v>
      </c>
      <c r="P52" t="str">
        <f t="shared" si="6"/>
        <v>-</v>
      </c>
      <c r="Q52" s="18">
        <f>IFERROR(VLOOKUP(L52,Katalog!$C$3:$F$13,2,0),0)</f>
        <v>0</v>
      </c>
      <c r="R52" s="18">
        <f>IFERROR(VLOOKUP(L52,Katalog!$C$3:$F$13,3,0),0)</f>
        <v>0</v>
      </c>
      <c r="S52" t="str">
        <f t="shared" si="7"/>
        <v>-</v>
      </c>
      <c r="T52" t="str">
        <f>IFERROR(INDEX(Katalog!$B$4:$B$13,MATCH('Main Data'!S52,Katalog!$C$4:$C$13,0)),"-")</f>
        <v>-</v>
      </c>
      <c r="U52" t="str">
        <f>IFERROR(VLOOKUP(S52,Katalog!$A$15:$B$25,2,0),"-")</f>
        <v>-</v>
      </c>
      <c r="V52">
        <f t="shared" si="8"/>
        <v>0</v>
      </c>
      <c r="W52" s="28" t="str">
        <f t="shared" si="9"/>
        <v>-</v>
      </c>
      <c r="X52" s="18">
        <f>IFERROR(VLOOKUP(S52,Katalog!$C$3:$F$13,2,0),0)</f>
        <v>0</v>
      </c>
      <c r="Y52" s="30">
        <f>IFERROR(VLOOKUP(S52,Katalog!$C$3:$F$13,3,0),0)</f>
        <v>0</v>
      </c>
      <c r="Z52" s="2">
        <f t="shared" si="10"/>
        <v>2</v>
      </c>
      <c r="AA52" s="4">
        <f t="shared" si="11"/>
        <v>250000</v>
      </c>
      <c r="AB52" s="4">
        <f t="shared" si="12"/>
        <v>100000</v>
      </c>
      <c r="AC52" s="4" t="s">
        <v>31</v>
      </c>
      <c r="AD52" s="16">
        <f>IFERROR(VLOOKUP(AC52,'Kode Diskon'!$C$2:$D$9,2,0),0)</f>
        <v>0.15</v>
      </c>
      <c r="AE52" s="31">
        <f t="shared" si="13"/>
        <v>37500</v>
      </c>
      <c r="AF52" s="31">
        <f t="shared" si="14"/>
        <v>212500</v>
      </c>
      <c r="AG52" s="31">
        <f t="shared" si="15"/>
        <v>150000</v>
      </c>
      <c r="AH52" s="31">
        <f t="shared" si="16"/>
        <v>112500</v>
      </c>
      <c r="AI52" s="4" t="s">
        <v>8</v>
      </c>
      <c r="AJ52" s="4" t="s">
        <v>11</v>
      </c>
      <c r="AK52" s="4" t="str">
        <f>IFERROR(VLOOKUP(AJ52,'Guide '!$A$13:$B$16,2,0),"-")</f>
        <v>BL</v>
      </c>
      <c r="AL52" s="4" t="s">
        <v>925</v>
      </c>
      <c r="AM52" s="40">
        <v>45314</v>
      </c>
      <c r="AN52">
        <f t="shared" si="17"/>
        <v>29</v>
      </c>
      <c r="AO52">
        <f t="shared" si="18"/>
        <v>32</v>
      </c>
      <c r="AP52">
        <f t="shared" si="19"/>
        <v>40</v>
      </c>
      <c r="AQ52">
        <f t="shared" si="20"/>
        <v>43</v>
      </c>
      <c r="AR52" s="26" t="str">
        <f t="shared" si="21"/>
        <v>-</v>
      </c>
      <c r="AS52" s="26" t="str">
        <f t="shared" si="22"/>
        <v>-</v>
      </c>
      <c r="AT52" s="21">
        <f t="shared" si="23"/>
        <v>12</v>
      </c>
      <c r="AU52" s="21">
        <f t="shared" si="24"/>
        <v>19</v>
      </c>
      <c r="AV52" t="str">
        <f t="shared" si="25"/>
        <v>-</v>
      </c>
      <c r="AW52" t="str">
        <f t="shared" si="26"/>
        <v>-</v>
      </c>
      <c r="AX52" t="str">
        <f t="shared" si="27"/>
        <v>-</v>
      </c>
      <c r="AY52" t="str">
        <f t="shared" si="28"/>
        <v>-</v>
      </c>
      <c r="AZ52" t="str">
        <f t="shared" si="29"/>
        <v>-</v>
      </c>
      <c r="BA52" t="str">
        <f t="shared" si="30"/>
        <v>-</v>
      </c>
      <c r="BB52" t="str">
        <f t="shared" si="31"/>
        <v>-</v>
      </c>
      <c r="BC52" t="str">
        <f t="shared" si="32"/>
        <v>-</v>
      </c>
      <c r="BD52" s="29" t="str">
        <f t="shared" si="33"/>
        <v>-</v>
      </c>
      <c r="BE52" s="29" t="str">
        <f t="shared" si="34"/>
        <v>-</v>
      </c>
    </row>
    <row r="53" spans="1:57" ht="15" x14ac:dyDescent="0.2">
      <c r="A53" s="2">
        <v>148</v>
      </c>
      <c r="B53" s="2" t="str">
        <f t="shared" si="0"/>
        <v>0148</v>
      </c>
      <c r="C53" t="str">
        <f t="shared" si="1"/>
        <v>ORD-SP-0148-23/01/24</v>
      </c>
      <c r="D53" s="3" t="s">
        <v>218</v>
      </c>
      <c r="E53" t="str">
        <f t="shared" si="35"/>
        <v>SW001</v>
      </c>
      <c r="F53" t="str">
        <f>INDEX(Katalog!$B$4:$B$13,MATCH('Main Data'!E53,Katalog!$C$4:$C$13,0))</f>
        <v>Flat Shoes</v>
      </c>
      <c r="G53" t="str">
        <f>VLOOKUP(E53,Katalog!$A$15:$B$25,2,0)</f>
        <v>Sepatu Wanita</v>
      </c>
      <c r="H53" t="str">
        <f t="shared" si="36"/>
        <v>2</v>
      </c>
      <c r="I53" t="str">
        <f t="shared" si="3"/>
        <v>5</v>
      </c>
      <c r="J53" s="18">
        <f>VLOOKUP(E53,Katalog!$C$3:$F$13,2,0)</f>
        <v>150000</v>
      </c>
      <c r="K53" s="18">
        <f>VLOOKUP(E53,Katalog!$C$3:$F$13,3,0)</f>
        <v>70000</v>
      </c>
      <c r="L53" t="str">
        <f t="shared" si="4"/>
        <v>-</v>
      </c>
      <c r="M53" t="str">
        <f>IFERROR(INDEX(Katalog!$B$4:$B$13,MATCH('Main Data'!L53,Katalog!$C$4:$C$13,0)), "-")</f>
        <v>-</v>
      </c>
      <c r="N53" t="str">
        <f>IFERROR(VLOOKUP(L53,Katalog!$A$15:$B$25,2,0),"-")</f>
        <v>-</v>
      </c>
      <c r="O53">
        <f t="shared" si="5"/>
        <v>0</v>
      </c>
      <c r="P53" t="str">
        <f t="shared" si="6"/>
        <v>-</v>
      </c>
      <c r="Q53" s="18">
        <f>IFERROR(VLOOKUP(L53,Katalog!$C$3:$F$13,2,0),0)</f>
        <v>0</v>
      </c>
      <c r="R53" s="18">
        <f>IFERROR(VLOOKUP(L53,Katalog!$C$3:$F$13,3,0),0)</f>
        <v>0</v>
      </c>
      <c r="S53" t="str">
        <f t="shared" si="7"/>
        <v>-</v>
      </c>
      <c r="T53" t="str">
        <f>IFERROR(INDEX(Katalog!$B$4:$B$13,MATCH('Main Data'!S53,Katalog!$C$4:$C$13,0)),"-")</f>
        <v>-</v>
      </c>
      <c r="U53" t="str">
        <f>IFERROR(VLOOKUP(S53,Katalog!$A$15:$B$25,2,0),"-")</f>
        <v>-</v>
      </c>
      <c r="V53">
        <f t="shared" si="8"/>
        <v>0</v>
      </c>
      <c r="W53" s="28" t="str">
        <f t="shared" si="9"/>
        <v>-</v>
      </c>
      <c r="X53" s="18">
        <f>IFERROR(VLOOKUP(S53,Katalog!$C$3:$F$13,2,0),0)</f>
        <v>0</v>
      </c>
      <c r="Y53" s="30">
        <f>IFERROR(VLOOKUP(S53,Katalog!$C$3:$F$13,3,0),0)</f>
        <v>0</v>
      </c>
      <c r="Z53" s="2">
        <f t="shared" si="10"/>
        <v>2</v>
      </c>
      <c r="AA53" s="4">
        <f t="shared" si="11"/>
        <v>300000</v>
      </c>
      <c r="AB53" s="4">
        <f t="shared" si="12"/>
        <v>140000</v>
      </c>
      <c r="AC53" s="4" t="s">
        <v>5</v>
      </c>
      <c r="AD53" s="16">
        <f>IFERROR(VLOOKUP(AC53,'Kode Diskon'!$C$2:$D$9,2,0),0)</f>
        <v>0.1</v>
      </c>
      <c r="AE53" s="31">
        <f t="shared" si="13"/>
        <v>30000</v>
      </c>
      <c r="AF53" s="31">
        <f t="shared" si="14"/>
        <v>270000</v>
      </c>
      <c r="AG53" s="31">
        <f t="shared" si="15"/>
        <v>160000</v>
      </c>
      <c r="AH53" s="31">
        <f t="shared" si="16"/>
        <v>130000</v>
      </c>
      <c r="AI53" s="4" t="s">
        <v>28</v>
      </c>
      <c r="AJ53" s="4" t="s">
        <v>6</v>
      </c>
      <c r="AK53" s="4" t="str">
        <f>IFERROR(VLOOKUP(AJ53,'Guide '!$A$13:$B$16,2,0),"-")</f>
        <v>SP</v>
      </c>
      <c r="AL53" s="4" t="s">
        <v>924</v>
      </c>
      <c r="AM53" s="40">
        <v>45314</v>
      </c>
      <c r="AN53">
        <f t="shared" si="17"/>
        <v>29</v>
      </c>
      <c r="AO53">
        <f t="shared" si="18"/>
        <v>32</v>
      </c>
      <c r="AP53">
        <f t="shared" si="19"/>
        <v>40</v>
      </c>
      <c r="AQ53">
        <f t="shared" si="20"/>
        <v>43</v>
      </c>
      <c r="AR53" s="26" t="str">
        <f t="shared" si="21"/>
        <v>-</v>
      </c>
      <c r="AS53" s="26" t="str">
        <f t="shared" si="22"/>
        <v>-</v>
      </c>
      <c r="AT53" s="21">
        <f t="shared" si="23"/>
        <v>12</v>
      </c>
      <c r="AU53" s="21">
        <f t="shared" si="24"/>
        <v>19</v>
      </c>
      <c r="AV53" t="str">
        <f t="shared" si="25"/>
        <v>-</v>
      </c>
      <c r="AW53" t="str">
        <f t="shared" si="26"/>
        <v>-</v>
      </c>
      <c r="AX53" t="str">
        <f t="shared" si="27"/>
        <v>-</v>
      </c>
      <c r="AY53" t="str">
        <f t="shared" si="28"/>
        <v>-</v>
      </c>
      <c r="AZ53" t="str">
        <f t="shared" si="29"/>
        <v>-</v>
      </c>
      <c r="BA53" t="str">
        <f t="shared" si="30"/>
        <v>-</v>
      </c>
      <c r="BB53" t="str">
        <f t="shared" si="31"/>
        <v>-</v>
      </c>
      <c r="BC53" t="str">
        <f t="shared" si="32"/>
        <v>-</v>
      </c>
      <c r="BD53" s="29" t="str">
        <f t="shared" si="33"/>
        <v>-</v>
      </c>
      <c r="BE53" s="29" t="str">
        <f t="shared" si="34"/>
        <v>-</v>
      </c>
    </row>
    <row r="54" spans="1:57" ht="15" x14ac:dyDescent="0.2">
      <c r="A54" s="2">
        <v>812</v>
      </c>
      <c r="B54" s="2" t="str">
        <f t="shared" si="0"/>
        <v>0812</v>
      </c>
      <c r="C54" t="str">
        <f t="shared" si="1"/>
        <v>ORD-BB-0812-23/01/24</v>
      </c>
      <c r="D54" s="3" t="s">
        <v>776</v>
      </c>
      <c r="E54" t="str">
        <f t="shared" si="35"/>
        <v>PW002</v>
      </c>
      <c r="F54" t="str">
        <f>INDEX(Katalog!$B$4:$B$13,MATCH('Main Data'!E54,Katalog!$C$4:$C$13,0))</f>
        <v>Blouse</v>
      </c>
      <c r="G54" t="str">
        <f>VLOOKUP(E54,Katalog!$A$15:$B$25,2,0)</f>
        <v>Pakaian Wanita</v>
      </c>
      <c r="H54" t="str">
        <f t="shared" si="36"/>
        <v>1</v>
      </c>
      <c r="I54" t="str">
        <f t="shared" si="3"/>
        <v>1</v>
      </c>
      <c r="J54" s="18">
        <f>VLOOKUP(E54,Katalog!$C$3:$F$13,2,0)</f>
        <v>125000</v>
      </c>
      <c r="K54" s="18">
        <f>VLOOKUP(E54,Katalog!$C$3:$F$13,3,0)</f>
        <v>50000</v>
      </c>
      <c r="L54" t="str">
        <f t="shared" si="4"/>
        <v>SP002</v>
      </c>
      <c r="M54" t="str">
        <f>IFERROR(INDEX(Katalog!$B$4:$B$13,MATCH('Main Data'!L54,Katalog!$C$4:$C$13,0)), "-")</f>
        <v>Sandal Slip On</v>
      </c>
      <c r="N54" t="str">
        <f>IFERROR(VLOOKUP(L54,Katalog!$A$15:$B$25,2,0),"-")</f>
        <v>Sepatu Pria</v>
      </c>
      <c r="O54" t="str">
        <f t="shared" si="5"/>
        <v>1</v>
      </c>
      <c r="P54" t="str">
        <f t="shared" si="6"/>
        <v>1</v>
      </c>
      <c r="Q54" s="18">
        <f>IFERROR(VLOOKUP(L54,Katalog!$C$3:$F$13,2,0),0)</f>
        <v>120000</v>
      </c>
      <c r="R54" s="18">
        <f>IFERROR(VLOOKUP(L54,Katalog!$C$3:$F$13,3,0),0)</f>
        <v>60000</v>
      </c>
      <c r="S54" t="str">
        <f t="shared" si="7"/>
        <v>SP001</v>
      </c>
      <c r="T54" t="str">
        <f>IFERROR(INDEX(Katalog!$B$4:$B$13,MATCH('Main Data'!S54,Katalog!$C$4:$C$13,0)),"-")</f>
        <v>Sneakers</v>
      </c>
      <c r="U54" t="str">
        <f>IFERROR(VLOOKUP(S54,Katalog!$A$15:$B$25,2,0),"-")</f>
        <v>Sepatu Pria</v>
      </c>
      <c r="V54" t="str">
        <f t="shared" si="8"/>
        <v>4</v>
      </c>
      <c r="W54" s="28" t="str">
        <f t="shared" si="9"/>
        <v>4</v>
      </c>
      <c r="X54" s="18">
        <f>IFERROR(VLOOKUP(S54,Katalog!$C$3:$F$13,2,0),0)</f>
        <v>300000</v>
      </c>
      <c r="Y54" s="30">
        <f>IFERROR(VLOOKUP(S54,Katalog!$C$3:$F$13,3,0),0)</f>
        <v>100000</v>
      </c>
      <c r="Z54" s="2">
        <f t="shared" si="10"/>
        <v>6</v>
      </c>
      <c r="AA54" s="4">
        <f t="shared" si="11"/>
        <v>1445000</v>
      </c>
      <c r="AB54" s="4">
        <f t="shared" si="12"/>
        <v>510000</v>
      </c>
      <c r="AC54" s="4" t="s">
        <v>27</v>
      </c>
      <c r="AD54" s="16">
        <f>IFERROR(VLOOKUP(AC54,'Kode Diskon'!$C$2:$D$9,2,0),0)</f>
        <v>0.15</v>
      </c>
      <c r="AE54" s="31">
        <f t="shared" si="13"/>
        <v>216750</v>
      </c>
      <c r="AF54" s="31">
        <f t="shared" si="14"/>
        <v>1228250</v>
      </c>
      <c r="AG54" s="31">
        <f t="shared" si="15"/>
        <v>935000</v>
      </c>
      <c r="AH54" s="31">
        <f t="shared" si="16"/>
        <v>718250</v>
      </c>
      <c r="AI54" s="4" t="s">
        <v>28</v>
      </c>
      <c r="AJ54" s="4" t="s">
        <v>13</v>
      </c>
      <c r="AK54" s="4" t="str">
        <f>IFERROR(VLOOKUP(AJ54,'Guide '!$A$13:$B$16,2,0),"-")</f>
        <v>BB</v>
      </c>
      <c r="AL54" s="4" t="s">
        <v>924</v>
      </c>
      <c r="AM54" s="40">
        <v>45314</v>
      </c>
      <c r="AN54">
        <f t="shared" si="17"/>
        <v>29</v>
      </c>
      <c r="AO54">
        <f t="shared" si="18"/>
        <v>32</v>
      </c>
      <c r="AP54">
        <f t="shared" si="19"/>
        <v>40</v>
      </c>
      <c r="AQ54">
        <f t="shared" si="20"/>
        <v>43</v>
      </c>
      <c r="AR54" s="26">
        <f t="shared" si="21"/>
        <v>56</v>
      </c>
      <c r="AS54" s="26">
        <f t="shared" si="22"/>
        <v>63</v>
      </c>
      <c r="AT54" s="21">
        <f t="shared" si="23"/>
        <v>12</v>
      </c>
      <c r="AU54" s="21">
        <f t="shared" si="24"/>
        <v>19</v>
      </c>
      <c r="AV54">
        <f t="shared" si="25"/>
        <v>73</v>
      </c>
      <c r="AW54">
        <f t="shared" si="26"/>
        <v>76</v>
      </c>
      <c r="AX54">
        <f t="shared" si="27"/>
        <v>84</v>
      </c>
      <c r="AY54">
        <f t="shared" si="28"/>
        <v>87</v>
      </c>
      <c r="AZ54">
        <f t="shared" si="29"/>
        <v>100</v>
      </c>
      <c r="BA54">
        <f t="shared" si="30"/>
        <v>107</v>
      </c>
      <c r="BB54">
        <f t="shared" si="31"/>
        <v>117</v>
      </c>
      <c r="BC54">
        <f t="shared" si="32"/>
        <v>120</v>
      </c>
      <c r="BD54" s="29">
        <f t="shared" si="33"/>
        <v>128</v>
      </c>
      <c r="BE54" s="29">
        <f t="shared" si="34"/>
        <v>131</v>
      </c>
    </row>
    <row r="55" spans="1:57" ht="15" x14ac:dyDescent="0.2">
      <c r="A55" s="2">
        <v>938</v>
      </c>
      <c r="B55" s="2" t="str">
        <f t="shared" si="0"/>
        <v>0938</v>
      </c>
      <c r="C55" t="str">
        <f t="shared" si="1"/>
        <v>ORD-TK-0938-23/01/24</v>
      </c>
      <c r="D55" s="3" t="s">
        <v>870</v>
      </c>
      <c r="E55" t="str">
        <f t="shared" si="35"/>
        <v>SP001</v>
      </c>
      <c r="F55" t="str">
        <f>INDEX(Katalog!$B$4:$B$13,MATCH('Main Data'!E55,Katalog!$C$4:$C$13,0))</f>
        <v>Sneakers</v>
      </c>
      <c r="G55" t="str">
        <f>VLOOKUP(E55,Katalog!$A$15:$B$25,2,0)</f>
        <v>Sepatu Pria</v>
      </c>
      <c r="H55" t="str">
        <f t="shared" si="36"/>
        <v>1</v>
      </c>
      <c r="I55" t="str">
        <f t="shared" si="3"/>
        <v>2</v>
      </c>
      <c r="J55" s="18">
        <f>VLOOKUP(E55,Katalog!$C$3:$F$13,2,0)</f>
        <v>300000</v>
      </c>
      <c r="K55" s="18">
        <f>VLOOKUP(E55,Katalog!$C$3:$F$13,3,0)</f>
        <v>100000</v>
      </c>
      <c r="L55" t="str">
        <f t="shared" si="4"/>
        <v>PW002</v>
      </c>
      <c r="M55" t="str">
        <f>IFERROR(INDEX(Katalog!$B$4:$B$13,MATCH('Main Data'!L55,Katalog!$C$4:$C$13,0)), "-")</f>
        <v>Blouse</v>
      </c>
      <c r="N55" t="str">
        <f>IFERROR(VLOOKUP(L55,Katalog!$A$15:$B$25,2,0),"-")</f>
        <v>Pakaian Wanita</v>
      </c>
      <c r="O55" t="str">
        <f t="shared" si="5"/>
        <v>1</v>
      </c>
      <c r="P55" t="str">
        <f t="shared" si="6"/>
        <v>5</v>
      </c>
      <c r="Q55" s="18">
        <f>IFERROR(VLOOKUP(L55,Katalog!$C$3:$F$13,2,0),0)</f>
        <v>125000</v>
      </c>
      <c r="R55" s="18">
        <f>IFERROR(VLOOKUP(L55,Katalog!$C$3:$F$13,3,0),0)</f>
        <v>50000</v>
      </c>
      <c r="S55" t="str">
        <f t="shared" si="7"/>
        <v>SW001</v>
      </c>
      <c r="T55" t="str">
        <f>IFERROR(INDEX(Katalog!$B$4:$B$13,MATCH('Main Data'!S55,Katalog!$C$4:$C$13,0)),"-")</f>
        <v>Flat Shoes</v>
      </c>
      <c r="U55" t="str">
        <f>IFERROR(VLOOKUP(S55,Katalog!$A$15:$B$25,2,0),"-")</f>
        <v>Sepatu Wanita</v>
      </c>
      <c r="V55" t="str">
        <f t="shared" si="8"/>
        <v>1</v>
      </c>
      <c r="W55" s="28" t="str">
        <f t="shared" si="9"/>
        <v>2</v>
      </c>
      <c r="X55" s="18">
        <f>IFERROR(VLOOKUP(S55,Katalog!$C$3:$F$13,2,0),0)</f>
        <v>150000</v>
      </c>
      <c r="Y55" s="30">
        <f>IFERROR(VLOOKUP(S55,Katalog!$C$3:$F$13,3,0),0)</f>
        <v>70000</v>
      </c>
      <c r="Z55" s="2">
        <f t="shared" si="10"/>
        <v>3</v>
      </c>
      <c r="AA55" s="4">
        <f t="shared" si="11"/>
        <v>575000</v>
      </c>
      <c r="AB55" s="4">
        <f t="shared" si="12"/>
        <v>220000</v>
      </c>
      <c r="AC55" s="4" t="s">
        <v>29</v>
      </c>
      <c r="AD55" s="16">
        <f>IFERROR(VLOOKUP(AC55,'Kode Diskon'!$C$2:$D$9,2,0),0)</f>
        <v>0.1</v>
      </c>
      <c r="AE55" s="31">
        <f t="shared" si="13"/>
        <v>57500</v>
      </c>
      <c r="AF55" s="31">
        <f t="shared" si="14"/>
        <v>517500</v>
      </c>
      <c r="AG55" s="31">
        <f t="shared" si="15"/>
        <v>355000</v>
      </c>
      <c r="AH55" s="31">
        <f t="shared" si="16"/>
        <v>297500</v>
      </c>
      <c r="AI55" s="4" t="s">
        <v>28</v>
      </c>
      <c r="AJ55" s="4" t="s">
        <v>9</v>
      </c>
      <c r="AK55" s="4" t="str">
        <f>IFERROR(VLOOKUP(AJ55,'Guide '!$A$13:$B$16,2,0),"-")</f>
        <v>TK</v>
      </c>
      <c r="AL55" s="4" t="s">
        <v>924</v>
      </c>
      <c r="AM55" s="40">
        <v>45314</v>
      </c>
      <c r="AN55">
        <f t="shared" si="17"/>
        <v>29</v>
      </c>
      <c r="AO55">
        <f t="shared" si="18"/>
        <v>32</v>
      </c>
      <c r="AP55">
        <f t="shared" si="19"/>
        <v>40</v>
      </c>
      <c r="AQ55">
        <f t="shared" si="20"/>
        <v>43</v>
      </c>
      <c r="AR55" s="26">
        <f t="shared" si="21"/>
        <v>56</v>
      </c>
      <c r="AS55" s="26">
        <f t="shared" si="22"/>
        <v>63</v>
      </c>
      <c r="AT55" s="21">
        <f t="shared" si="23"/>
        <v>12</v>
      </c>
      <c r="AU55" s="21">
        <f t="shared" si="24"/>
        <v>19</v>
      </c>
      <c r="AV55">
        <f t="shared" si="25"/>
        <v>73</v>
      </c>
      <c r="AW55">
        <f t="shared" si="26"/>
        <v>76</v>
      </c>
      <c r="AX55">
        <f t="shared" si="27"/>
        <v>84</v>
      </c>
      <c r="AY55">
        <f t="shared" si="28"/>
        <v>87</v>
      </c>
      <c r="AZ55">
        <f t="shared" si="29"/>
        <v>100</v>
      </c>
      <c r="BA55">
        <f t="shared" si="30"/>
        <v>107</v>
      </c>
      <c r="BB55">
        <f t="shared" si="31"/>
        <v>117</v>
      </c>
      <c r="BC55">
        <f t="shared" si="32"/>
        <v>120</v>
      </c>
      <c r="BD55" s="29">
        <f t="shared" si="33"/>
        <v>128</v>
      </c>
      <c r="BE55" s="29">
        <f t="shared" si="34"/>
        <v>131</v>
      </c>
    </row>
    <row r="56" spans="1:57" ht="15" x14ac:dyDescent="0.2">
      <c r="A56" s="2">
        <v>558</v>
      </c>
      <c r="B56" s="2" t="str">
        <f t="shared" si="0"/>
        <v>0558</v>
      </c>
      <c r="C56" t="str">
        <f t="shared" si="1"/>
        <v>ORD-SP-0558-24/01/24</v>
      </c>
      <c r="D56" s="3" t="s">
        <v>580</v>
      </c>
      <c r="E56" t="str">
        <f t="shared" si="35"/>
        <v>PP003</v>
      </c>
      <c r="F56" t="str">
        <f>INDEX(Katalog!$B$4:$B$13,MATCH('Main Data'!E56,Katalog!$C$4:$C$13,0))</f>
        <v>Jaket Jeans</v>
      </c>
      <c r="G56" t="str">
        <f>VLOOKUP(E56,Katalog!$A$15:$B$25,2,0)</f>
        <v>Pakaian Pria</v>
      </c>
      <c r="H56" t="str">
        <f t="shared" si="36"/>
        <v>5</v>
      </c>
      <c r="I56" t="str">
        <f t="shared" si="3"/>
        <v>4</v>
      </c>
      <c r="J56" s="18">
        <f>VLOOKUP(E56,Katalog!$C$3:$F$13,2,0)</f>
        <v>150000</v>
      </c>
      <c r="K56" s="18">
        <f>VLOOKUP(E56,Katalog!$C$3:$F$13,3,0)</f>
        <v>70000</v>
      </c>
      <c r="L56" t="str">
        <f t="shared" si="4"/>
        <v>PW003</v>
      </c>
      <c r="M56" t="str">
        <f>IFERROR(INDEX(Katalog!$B$4:$B$13,MATCH('Main Data'!L56,Katalog!$C$4:$C$13,0)), "-")</f>
        <v>Kaftan</v>
      </c>
      <c r="N56" t="str">
        <f>IFERROR(VLOOKUP(L56,Katalog!$A$15:$B$25,2,0),"-")</f>
        <v>Pakaian Wanita</v>
      </c>
      <c r="O56" t="str">
        <f t="shared" si="5"/>
        <v>1</v>
      </c>
      <c r="P56" t="str">
        <f t="shared" si="6"/>
        <v>2</v>
      </c>
      <c r="Q56" s="18">
        <f>IFERROR(VLOOKUP(L56,Katalog!$C$3:$F$13,2,0),0)</f>
        <v>200000</v>
      </c>
      <c r="R56" s="18">
        <f>IFERROR(VLOOKUP(L56,Katalog!$C$3:$F$13,3,0),0)</f>
        <v>100000</v>
      </c>
      <c r="S56" t="str">
        <f t="shared" si="7"/>
        <v>-</v>
      </c>
      <c r="T56" t="str">
        <f>IFERROR(INDEX(Katalog!$B$4:$B$13,MATCH('Main Data'!S56,Katalog!$C$4:$C$13,0)),"-")</f>
        <v>-</v>
      </c>
      <c r="U56" t="str">
        <f>IFERROR(VLOOKUP(S56,Katalog!$A$15:$B$25,2,0),"-")</f>
        <v>-</v>
      </c>
      <c r="V56">
        <f t="shared" si="8"/>
        <v>0</v>
      </c>
      <c r="W56" s="28" t="str">
        <f t="shared" si="9"/>
        <v>-</v>
      </c>
      <c r="X56" s="18">
        <f>IFERROR(VLOOKUP(S56,Katalog!$C$3:$F$13,2,0),0)</f>
        <v>0</v>
      </c>
      <c r="Y56" s="30">
        <f>IFERROR(VLOOKUP(S56,Katalog!$C$3:$F$13,3,0),0)</f>
        <v>0</v>
      </c>
      <c r="Z56" s="2">
        <f t="shared" si="10"/>
        <v>6</v>
      </c>
      <c r="AA56" s="4">
        <f t="shared" si="11"/>
        <v>950000</v>
      </c>
      <c r="AB56" s="4">
        <f t="shared" si="12"/>
        <v>450000</v>
      </c>
      <c r="AC56" s="4" t="s">
        <v>7</v>
      </c>
      <c r="AD56" s="16">
        <f>IFERROR(VLOOKUP(AC56,'Kode Diskon'!$C$2:$D$9,2,0),0)</f>
        <v>0.2</v>
      </c>
      <c r="AE56" s="31">
        <f t="shared" si="13"/>
        <v>190000</v>
      </c>
      <c r="AF56" s="31">
        <f t="shared" si="14"/>
        <v>760000</v>
      </c>
      <c r="AG56" s="31">
        <f t="shared" si="15"/>
        <v>500000</v>
      </c>
      <c r="AH56" s="31">
        <f t="shared" si="16"/>
        <v>310000</v>
      </c>
      <c r="AI56" s="4" t="s">
        <v>8</v>
      </c>
      <c r="AJ56" s="4" t="s">
        <v>6</v>
      </c>
      <c r="AK56" s="4" t="str">
        <f>IFERROR(VLOOKUP(AJ56,'Guide '!$A$13:$B$16,2,0),"-")</f>
        <v>SP</v>
      </c>
      <c r="AL56" s="4" t="s">
        <v>922</v>
      </c>
      <c r="AM56" s="40">
        <v>45315</v>
      </c>
      <c r="AN56">
        <f t="shared" si="17"/>
        <v>29</v>
      </c>
      <c r="AO56">
        <f t="shared" si="18"/>
        <v>32</v>
      </c>
      <c r="AP56">
        <f t="shared" si="19"/>
        <v>40</v>
      </c>
      <c r="AQ56">
        <f t="shared" si="20"/>
        <v>43</v>
      </c>
      <c r="AR56" s="26">
        <f t="shared" si="21"/>
        <v>56</v>
      </c>
      <c r="AS56" s="26">
        <f t="shared" si="22"/>
        <v>63</v>
      </c>
      <c r="AT56" s="21">
        <f t="shared" si="23"/>
        <v>12</v>
      </c>
      <c r="AU56" s="21">
        <f t="shared" si="24"/>
        <v>19</v>
      </c>
      <c r="AV56">
        <f t="shared" si="25"/>
        <v>73</v>
      </c>
      <c r="AW56">
        <f t="shared" si="26"/>
        <v>76</v>
      </c>
      <c r="AX56">
        <f t="shared" si="27"/>
        <v>84</v>
      </c>
      <c r="AY56">
        <f t="shared" si="28"/>
        <v>87</v>
      </c>
      <c r="AZ56" t="str">
        <f t="shared" si="29"/>
        <v>-</v>
      </c>
      <c r="BA56" t="str">
        <f t="shared" si="30"/>
        <v>-</v>
      </c>
      <c r="BB56" t="str">
        <f t="shared" si="31"/>
        <v>-</v>
      </c>
      <c r="BC56" t="str">
        <f t="shared" si="32"/>
        <v>-</v>
      </c>
      <c r="BD56" s="29" t="str">
        <f t="shared" si="33"/>
        <v>-</v>
      </c>
      <c r="BE56" s="29" t="str">
        <f t="shared" si="34"/>
        <v>-</v>
      </c>
    </row>
    <row r="57" spans="1:57" ht="15" x14ac:dyDescent="0.2">
      <c r="A57" s="2">
        <v>573</v>
      </c>
      <c r="B57" s="2" t="str">
        <f t="shared" si="0"/>
        <v>0573</v>
      </c>
      <c r="C57" t="str">
        <f t="shared" si="1"/>
        <v>ORD-SP-0573-24/01/24</v>
      </c>
      <c r="D57" s="3" t="s">
        <v>592</v>
      </c>
      <c r="E57" t="str">
        <f t="shared" si="35"/>
        <v>PW002</v>
      </c>
      <c r="F57" t="str">
        <f>INDEX(Katalog!$B$4:$B$13,MATCH('Main Data'!E57,Katalog!$C$4:$C$13,0))</f>
        <v>Blouse</v>
      </c>
      <c r="G57" t="str">
        <f>VLOOKUP(E57,Katalog!$A$15:$B$25,2,0)</f>
        <v>Pakaian Wanita</v>
      </c>
      <c r="H57" t="str">
        <f t="shared" si="36"/>
        <v>2</v>
      </c>
      <c r="I57" t="str">
        <f t="shared" si="3"/>
        <v>1</v>
      </c>
      <c r="J57" s="18">
        <f>VLOOKUP(E57,Katalog!$C$3:$F$13,2,0)</f>
        <v>125000</v>
      </c>
      <c r="K57" s="18">
        <f>VLOOKUP(E57,Katalog!$C$3:$F$13,3,0)</f>
        <v>50000</v>
      </c>
      <c r="L57" t="str">
        <f t="shared" si="4"/>
        <v>SW001</v>
      </c>
      <c r="M57" t="str">
        <f>IFERROR(INDEX(Katalog!$B$4:$B$13,MATCH('Main Data'!L57,Katalog!$C$4:$C$13,0)), "-")</f>
        <v>Flat Shoes</v>
      </c>
      <c r="N57" t="str">
        <f>IFERROR(VLOOKUP(L57,Katalog!$A$15:$B$25,2,0),"-")</f>
        <v>Sepatu Wanita</v>
      </c>
      <c r="O57" t="str">
        <f t="shared" si="5"/>
        <v>1</v>
      </c>
      <c r="P57" t="str">
        <f t="shared" si="6"/>
        <v>5</v>
      </c>
      <c r="Q57" s="18">
        <f>IFERROR(VLOOKUP(L57,Katalog!$C$3:$F$13,2,0),0)</f>
        <v>150000</v>
      </c>
      <c r="R57" s="18">
        <f>IFERROR(VLOOKUP(L57,Katalog!$C$3:$F$13,3,0),0)</f>
        <v>70000</v>
      </c>
      <c r="S57" t="str">
        <f t="shared" si="7"/>
        <v>SP001</v>
      </c>
      <c r="T57" t="str">
        <f>IFERROR(INDEX(Katalog!$B$4:$B$13,MATCH('Main Data'!S57,Katalog!$C$4:$C$13,0)),"-")</f>
        <v>Sneakers</v>
      </c>
      <c r="U57" t="str">
        <f>IFERROR(VLOOKUP(S57,Katalog!$A$15:$B$25,2,0),"-")</f>
        <v>Sepatu Pria</v>
      </c>
      <c r="V57" t="str">
        <f t="shared" si="8"/>
        <v>1</v>
      </c>
      <c r="W57" s="28" t="str">
        <f t="shared" si="9"/>
        <v>4</v>
      </c>
      <c r="X57" s="18">
        <f>IFERROR(VLOOKUP(S57,Katalog!$C$3:$F$13,2,0),0)</f>
        <v>300000</v>
      </c>
      <c r="Y57" s="30">
        <f>IFERROR(VLOOKUP(S57,Katalog!$C$3:$F$13,3,0),0)</f>
        <v>100000</v>
      </c>
      <c r="Z57" s="2">
        <f t="shared" si="10"/>
        <v>4</v>
      </c>
      <c r="AA57" s="4">
        <f t="shared" si="11"/>
        <v>700000</v>
      </c>
      <c r="AB57" s="4">
        <f t="shared" si="12"/>
        <v>270000</v>
      </c>
      <c r="AC57" s="4" t="s">
        <v>12</v>
      </c>
      <c r="AD57" s="16">
        <f>IFERROR(VLOOKUP(AC57,'Kode Diskon'!$C$2:$D$9,2,0),0)</f>
        <v>0.15</v>
      </c>
      <c r="AE57" s="31">
        <f t="shared" si="13"/>
        <v>105000</v>
      </c>
      <c r="AF57" s="31">
        <f t="shared" si="14"/>
        <v>595000</v>
      </c>
      <c r="AG57" s="31">
        <f t="shared" si="15"/>
        <v>430000</v>
      </c>
      <c r="AH57" s="31">
        <f t="shared" si="16"/>
        <v>325000</v>
      </c>
      <c r="AI57" s="4" t="s">
        <v>28</v>
      </c>
      <c r="AJ57" s="4" t="s">
        <v>6</v>
      </c>
      <c r="AK57" s="4" t="str">
        <f>IFERROR(VLOOKUP(AJ57,'Guide '!$A$13:$B$16,2,0),"-")</f>
        <v>SP</v>
      </c>
      <c r="AL57" s="4" t="s">
        <v>923</v>
      </c>
      <c r="AM57" s="40">
        <v>45315</v>
      </c>
      <c r="AN57">
        <f t="shared" si="17"/>
        <v>29</v>
      </c>
      <c r="AO57">
        <f t="shared" si="18"/>
        <v>32</v>
      </c>
      <c r="AP57">
        <f t="shared" si="19"/>
        <v>40</v>
      </c>
      <c r="AQ57">
        <f t="shared" si="20"/>
        <v>43</v>
      </c>
      <c r="AR57" s="26">
        <f t="shared" si="21"/>
        <v>56</v>
      </c>
      <c r="AS57" s="26">
        <f t="shared" si="22"/>
        <v>63</v>
      </c>
      <c r="AT57" s="21">
        <f t="shared" si="23"/>
        <v>12</v>
      </c>
      <c r="AU57" s="21">
        <f t="shared" si="24"/>
        <v>19</v>
      </c>
      <c r="AV57">
        <f t="shared" si="25"/>
        <v>73</v>
      </c>
      <c r="AW57">
        <f t="shared" si="26"/>
        <v>76</v>
      </c>
      <c r="AX57">
        <f t="shared" si="27"/>
        <v>84</v>
      </c>
      <c r="AY57">
        <f t="shared" si="28"/>
        <v>87</v>
      </c>
      <c r="AZ57">
        <f t="shared" si="29"/>
        <v>100</v>
      </c>
      <c r="BA57">
        <f t="shared" si="30"/>
        <v>107</v>
      </c>
      <c r="BB57">
        <f t="shared" si="31"/>
        <v>117</v>
      </c>
      <c r="BC57">
        <f t="shared" si="32"/>
        <v>120</v>
      </c>
      <c r="BD57" s="29">
        <f t="shared" si="33"/>
        <v>128</v>
      </c>
      <c r="BE57" s="29">
        <f t="shared" si="34"/>
        <v>131</v>
      </c>
    </row>
    <row r="58" spans="1:57" ht="15" x14ac:dyDescent="0.2">
      <c r="A58" s="2">
        <v>706</v>
      </c>
      <c r="B58" s="2" t="str">
        <f t="shared" si="0"/>
        <v>0706</v>
      </c>
      <c r="C58" t="str">
        <f t="shared" si="1"/>
        <v>ORD-TK-0706-24/01/24</v>
      </c>
      <c r="D58" s="3" t="s">
        <v>696</v>
      </c>
      <c r="E58" t="str">
        <f t="shared" si="35"/>
        <v>PP003</v>
      </c>
      <c r="F58" t="str">
        <f>INDEX(Katalog!$B$4:$B$13,MATCH('Main Data'!E58,Katalog!$C$4:$C$13,0))</f>
        <v>Jaket Jeans</v>
      </c>
      <c r="G58" t="str">
        <f>VLOOKUP(E58,Katalog!$A$15:$B$25,2,0)</f>
        <v>Pakaian Pria</v>
      </c>
      <c r="H58" t="str">
        <f t="shared" si="36"/>
        <v>2</v>
      </c>
      <c r="I58" t="str">
        <f t="shared" si="3"/>
        <v>2</v>
      </c>
      <c r="J58" s="18">
        <f>VLOOKUP(E58,Katalog!$C$3:$F$13,2,0)</f>
        <v>150000</v>
      </c>
      <c r="K58" s="18">
        <f>VLOOKUP(E58,Katalog!$C$3:$F$13,3,0)</f>
        <v>70000</v>
      </c>
      <c r="L58" t="str">
        <f t="shared" si="4"/>
        <v>PW001</v>
      </c>
      <c r="M58" t="str">
        <f>IFERROR(INDEX(Katalog!$B$4:$B$13,MATCH('Main Data'!L58,Katalog!$C$4:$C$13,0)), "-")</f>
        <v>Dress</v>
      </c>
      <c r="N58" t="str">
        <f>IFERROR(VLOOKUP(L58,Katalog!$A$15:$B$25,2,0),"-")</f>
        <v>Pakaian Wanita</v>
      </c>
      <c r="O58" t="str">
        <f t="shared" si="5"/>
        <v>4</v>
      </c>
      <c r="P58" t="str">
        <f t="shared" si="6"/>
        <v>5</v>
      </c>
      <c r="Q58" s="18">
        <f>IFERROR(VLOOKUP(L58,Katalog!$C$3:$F$13,2,0),0)</f>
        <v>150000</v>
      </c>
      <c r="R58" s="18">
        <f>IFERROR(VLOOKUP(L58,Katalog!$C$3:$F$13,3,0),0)</f>
        <v>55000</v>
      </c>
      <c r="S58" t="str">
        <f t="shared" si="7"/>
        <v>-</v>
      </c>
      <c r="T58" t="str">
        <f>IFERROR(INDEX(Katalog!$B$4:$B$13,MATCH('Main Data'!S58,Katalog!$C$4:$C$13,0)),"-")</f>
        <v>-</v>
      </c>
      <c r="U58" t="str">
        <f>IFERROR(VLOOKUP(S58,Katalog!$A$15:$B$25,2,0),"-")</f>
        <v>-</v>
      </c>
      <c r="V58">
        <f t="shared" si="8"/>
        <v>0</v>
      </c>
      <c r="W58" s="28" t="str">
        <f t="shared" si="9"/>
        <v>-</v>
      </c>
      <c r="X58" s="18">
        <f>IFERROR(VLOOKUP(S58,Katalog!$C$3:$F$13,2,0),0)</f>
        <v>0</v>
      </c>
      <c r="Y58" s="30">
        <f>IFERROR(VLOOKUP(S58,Katalog!$C$3:$F$13,3,0),0)</f>
        <v>0</v>
      </c>
      <c r="Z58" s="2">
        <f t="shared" si="10"/>
        <v>6</v>
      </c>
      <c r="AA58" s="4">
        <f t="shared" si="11"/>
        <v>900000</v>
      </c>
      <c r="AB58" s="4">
        <f t="shared" si="12"/>
        <v>360000</v>
      </c>
      <c r="AC58" s="4" t="s">
        <v>29</v>
      </c>
      <c r="AD58" s="16">
        <f>IFERROR(VLOOKUP(AC58,'Kode Diskon'!$C$2:$D$9,2,0),0)</f>
        <v>0.1</v>
      </c>
      <c r="AE58" s="31">
        <f t="shared" si="13"/>
        <v>90000</v>
      </c>
      <c r="AF58" s="31">
        <f t="shared" si="14"/>
        <v>810000</v>
      </c>
      <c r="AG58" s="31">
        <f t="shared" si="15"/>
        <v>540000</v>
      </c>
      <c r="AH58" s="31">
        <f t="shared" si="16"/>
        <v>450000</v>
      </c>
      <c r="AI58" s="4" t="s">
        <v>28</v>
      </c>
      <c r="AJ58" s="4" t="s">
        <v>9</v>
      </c>
      <c r="AK58" s="4" t="str">
        <f>IFERROR(VLOOKUP(AJ58,'Guide '!$A$13:$B$16,2,0),"-")</f>
        <v>TK</v>
      </c>
      <c r="AL58" s="4" t="s">
        <v>924</v>
      </c>
      <c r="AM58" s="40">
        <v>45315</v>
      </c>
      <c r="AN58">
        <f t="shared" si="17"/>
        <v>29</v>
      </c>
      <c r="AO58">
        <f t="shared" si="18"/>
        <v>32</v>
      </c>
      <c r="AP58">
        <f t="shared" si="19"/>
        <v>40</v>
      </c>
      <c r="AQ58">
        <f t="shared" si="20"/>
        <v>43</v>
      </c>
      <c r="AR58" s="26">
        <f t="shared" si="21"/>
        <v>56</v>
      </c>
      <c r="AS58" s="26">
        <f t="shared" si="22"/>
        <v>63</v>
      </c>
      <c r="AT58" s="21">
        <f t="shared" si="23"/>
        <v>12</v>
      </c>
      <c r="AU58" s="21">
        <f t="shared" si="24"/>
        <v>19</v>
      </c>
      <c r="AV58">
        <f t="shared" si="25"/>
        <v>73</v>
      </c>
      <c r="AW58">
        <f t="shared" si="26"/>
        <v>76</v>
      </c>
      <c r="AX58">
        <f t="shared" si="27"/>
        <v>84</v>
      </c>
      <c r="AY58">
        <f t="shared" si="28"/>
        <v>87</v>
      </c>
      <c r="AZ58" t="str">
        <f t="shared" si="29"/>
        <v>-</v>
      </c>
      <c r="BA58" t="str">
        <f t="shared" si="30"/>
        <v>-</v>
      </c>
      <c r="BB58" t="str">
        <f t="shared" si="31"/>
        <v>-</v>
      </c>
      <c r="BC58" t="str">
        <f t="shared" si="32"/>
        <v>-</v>
      </c>
      <c r="BD58" s="29" t="str">
        <f t="shared" si="33"/>
        <v>-</v>
      </c>
      <c r="BE58" s="29" t="str">
        <f t="shared" si="34"/>
        <v>-</v>
      </c>
    </row>
    <row r="59" spans="1:57" ht="15" x14ac:dyDescent="0.2">
      <c r="A59" s="2">
        <v>717</v>
      </c>
      <c r="B59" s="2" t="str">
        <f t="shared" si="0"/>
        <v>0717</v>
      </c>
      <c r="C59" t="str">
        <f t="shared" si="1"/>
        <v>ORD-TK-0717-24/01/24</v>
      </c>
      <c r="D59" s="3" t="s">
        <v>706</v>
      </c>
      <c r="E59" t="str">
        <f t="shared" si="35"/>
        <v>PP002</v>
      </c>
      <c r="F59" t="str">
        <f>INDEX(Katalog!$B$4:$B$13,MATCH('Main Data'!E59,Katalog!$C$4:$C$13,0))</f>
        <v>Celana Pendek</v>
      </c>
      <c r="G59" t="str">
        <f>VLOOKUP(E59,Katalog!$A$15:$B$25,2,0)</f>
        <v>Pakaian Pria</v>
      </c>
      <c r="H59" t="str">
        <f t="shared" si="36"/>
        <v>3</v>
      </c>
      <c r="I59" t="str">
        <f t="shared" si="3"/>
        <v>3</v>
      </c>
      <c r="J59" s="18">
        <f>VLOOKUP(E59,Katalog!$C$3:$F$13,2,0)</f>
        <v>60000</v>
      </c>
      <c r="K59" s="18">
        <f>VLOOKUP(E59,Katalog!$C$3:$F$13,3,0)</f>
        <v>25000</v>
      </c>
      <c r="L59" t="str">
        <f t="shared" si="4"/>
        <v>PP002</v>
      </c>
      <c r="M59" t="str">
        <f>IFERROR(INDEX(Katalog!$B$4:$B$13,MATCH('Main Data'!L59,Katalog!$C$4:$C$13,0)), "-")</f>
        <v>Celana Pendek</v>
      </c>
      <c r="N59" t="str">
        <f>IFERROR(VLOOKUP(L59,Katalog!$A$15:$B$25,2,0),"-")</f>
        <v>Pakaian Pria</v>
      </c>
      <c r="O59" t="str">
        <f t="shared" si="5"/>
        <v>2</v>
      </c>
      <c r="P59" t="str">
        <f t="shared" si="6"/>
        <v>5</v>
      </c>
      <c r="Q59" s="18">
        <f>IFERROR(VLOOKUP(L59,Katalog!$C$3:$F$13,2,0),0)</f>
        <v>60000</v>
      </c>
      <c r="R59" s="18">
        <f>IFERROR(VLOOKUP(L59,Katalog!$C$3:$F$13,3,0),0)</f>
        <v>25000</v>
      </c>
      <c r="S59" t="str">
        <f t="shared" si="7"/>
        <v>PW001</v>
      </c>
      <c r="T59" t="str">
        <f>IFERROR(INDEX(Katalog!$B$4:$B$13,MATCH('Main Data'!S59,Katalog!$C$4:$C$13,0)),"-")</f>
        <v>Dress</v>
      </c>
      <c r="U59" t="str">
        <f>IFERROR(VLOOKUP(S59,Katalog!$A$15:$B$25,2,0),"-")</f>
        <v>Pakaian Wanita</v>
      </c>
      <c r="V59" t="str">
        <f t="shared" si="8"/>
        <v>2</v>
      </c>
      <c r="W59" s="28" t="str">
        <f t="shared" si="9"/>
        <v>2</v>
      </c>
      <c r="X59" s="18">
        <f>IFERROR(VLOOKUP(S59,Katalog!$C$3:$F$13,2,0),0)</f>
        <v>150000</v>
      </c>
      <c r="Y59" s="30">
        <f>IFERROR(VLOOKUP(S59,Katalog!$C$3:$F$13,3,0),0)</f>
        <v>55000</v>
      </c>
      <c r="Z59" s="2">
        <f t="shared" si="10"/>
        <v>7</v>
      </c>
      <c r="AA59" s="4">
        <f t="shared" si="11"/>
        <v>600000</v>
      </c>
      <c r="AB59" s="4">
        <f t="shared" si="12"/>
        <v>235000</v>
      </c>
      <c r="AC59" s="4" t="s">
        <v>29</v>
      </c>
      <c r="AD59" s="16">
        <f>IFERROR(VLOOKUP(AC59,'Kode Diskon'!$C$2:$D$9,2,0),0)</f>
        <v>0.1</v>
      </c>
      <c r="AE59" s="31">
        <f t="shared" si="13"/>
        <v>60000</v>
      </c>
      <c r="AF59" s="31">
        <f t="shared" si="14"/>
        <v>540000</v>
      </c>
      <c r="AG59" s="31">
        <f t="shared" si="15"/>
        <v>365000</v>
      </c>
      <c r="AH59" s="31">
        <f t="shared" si="16"/>
        <v>305000</v>
      </c>
      <c r="AI59" s="4" t="s">
        <v>28</v>
      </c>
      <c r="AJ59" s="4" t="s">
        <v>9</v>
      </c>
      <c r="AK59" s="4" t="str">
        <f>IFERROR(VLOOKUP(AJ59,'Guide '!$A$13:$B$16,2,0),"-")</f>
        <v>TK</v>
      </c>
      <c r="AL59" s="4" t="s">
        <v>925</v>
      </c>
      <c r="AM59" s="40">
        <v>45315</v>
      </c>
      <c r="AN59">
        <f t="shared" si="17"/>
        <v>29</v>
      </c>
      <c r="AO59">
        <f t="shared" si="18"/>
        <v>32</v>
      </c>
      <c r="AP59">
        <f t="shared" si="19"/>
        <v>40</v>
      </c>
      <c r="AQ59">
        <f t="shared" si="20"/>
        <v>43</v>
      </c>
      <c r="AR59" s="26">
        <f t="shared" si="21"/>
        <v>56</v>
      </c>
      <c r="AS59" s="26">
        <f t="shared" si="22"/>
        <v>63</v>
      </c>
      <c r="AT59" s="21">
        <f t="shared" si="23"/>
        <v>12</v>
      </c>
      <c r="AU59" s="21">
        <f t="shared" si="24"/>
        <v>19</v>
      </c>
      <c r="AV59">
        <f t="shared" si="25"/>
        <v>73</v>
      </c>
      <c r="AW59">
        <f t="shared" si="26"/>
        <v>76</v>
      </c>
      <c r="AX59">
        <f t="shared" si="27"/>
        <v>84</v>
      </c>
      <c r="AY59">
        <f t="shared" si="28"/>
        <v>87</v>
      </c>
      <c r="AZ59">
        <f t="shared" si="29"/>
        <v>100</v>
      </c>
      <c r="BA59">
        <f t="shared" si="30"/>
        <v>107</v>
      </c>
      <c r="BB59">
        <f t="shared" si="31"/>
        <v>117</v>
      </c>
      <c r="BC59">
        <f t="shared" si="32"/>
        <v>120</v>
      </c>
      <c r="BD59" s="29">
        <f t="shared" si="33"/>
        <v>128</v>
      </c>
      <c r="BE59" s="29">
        <f t="shared" si="34"/>
        <v>131</v>
      </c>
    </row>
    <row r="60" spans="1:57" ht="15" x14ac:dyDescent="0.2">
      <c r="A60" s="2">
        <v>67</v>
      </c>
      <c r="B60" s="2" t="str">
        <f t="shared" si="0"/>
        <v>0067</v>
      </c>
      <c r="C60" t="str">
        <f t="shared" si="1"/>
        <v>ORD-SP-0067-25/01/24</v>
      </c>
      <c r="D60" s="3" t="s">
        <v>141</v>
      </c>
      <c r="E60" t="str">
        <f t="shared" si="35"/>
        <v>SP001</v>
      </c>
      <c r="F60" t="str">
        <f>INDEX(Katalog!$B$4:$B$13,MATCH('Main Data'!E60,Katalog!$C$4:$C$13,0))</f>
        <v>Sneakers</v>
      </c>
      <c r="G60" t="str">
        <f>VLOOKUP(E60,Katalog!$A$15:$B$25,2,0)</f>
        <v>Sepatu Pria</v>
      </c>
      <c r="H60" t="str">
        <f t="shared" si="36"/>
        <v>3</v>
      </c>
      <c r="I60" t="str">
        <f t="shared" si="3"/>
        <v>1</v>
      </c>
      <c r="J60" s="18">
        <f>VLOOKUP(E60,Katalog!$C$3:$F$13,2,0)</f>
        <v>300000</v>
      </c>
      <c r="K60" s="18">
        <f>VLOOKUP(E60,Katalog!$C$3:$F$13,3,0)</f>
        <v>100000</v>
      </c>
      <c r="L60" t="str">
        <f t="shared" si="4"/>
        <v>PP002</v>
      </c>
      <c r="M60" t="str">
        <f>IFERROR(INDEX(Katalog!$B$4:$B$13,MATCH('Main Data'!L60,Katalog!$C$4:$C$13,0)), "-")</f>
        <v>Celana Pendek</v>
      </c>
      <c r="N60" t="str">
        <f>IFERROR(VLOOKUP(L60,Katalog!$A$15:$B$25,2,0),"-")</f>
        <v>Pakaian Pria</v>
      </c>
      <c r="O60" t="str">
        <f t="shared" si="5"/>
        <v>1</v>
      </c>
      <c r="P60" t="str">
        <f t="shared" si="6"/>
        <v>1</v>
      </c>
      <c r="Q60" s="18">
        <f>IFERROR(VLOOKUP(L60,Katalog!$C$3:$F$13,2,0),0)</f>
        <v>60000</v>
      </c>
      <c r="R60" s="18">
        <f>IFERROR(VLOOKUP(L60,Katalog!$C$3:$F$13,3,0),0)</f>
        <v>25000</v>
      </c>
      <c r="S60" t="str">
        <f t="shared" si="7"/>
        <v>SW001</v>
      </c>
      <c r="T60" t="str">
        <f>IFERROR(INDEX(Katalog!$B$4:$B$13,MATCH('Main Data'!S60,Katalog!$C$4:$C$13,0)),"-")</f>
        <v>Flat Shoes</v>
      </c>
      <c r="U60" t="str">
        <f>IFERROR(VLOOKUP(S60,Katalog!$A$15:$B$25,2,0),"-")</f>
        <v>Sepatu Wanita</v>
      </c>
      <c r="V60" t="str">
        <f t="shared" si="8"/>
        <v>2</v>
      </c>
      <c r="W60" s="28" t="str">
        <f t="shared" si="9"/>
        <v>3</v>
      </c>
      <c r="X60" s="18">
        <f>IFERROR(VLOOKUP(S60,Katalog!$C$3:$F$13,2,0),0)</f>
        <v>150000</v>
      </c>
      <c r="Y60" s="30">
        <f>IFERROR(VLOOKUP(S60,Katalog!$C$3:$F$13,3,0),0)</f>
        <v>70000</v>
      </c>
      <c r="Z60" s="2">
        <f t="shared" si="10"/>
        <v>6</v>
      </c>
      <c r="AA60" s="4">
        <f t="shared" si="11"/>
        <v>1260000</v>
      </c>
      <c r="AB60" s="4">
        <f t="shared" si="12"/>
        <v>465000</v>
      </c>
      <c r="AC60" s="4" t="s">
        <v>7</v>
      </c>
      <c r="AD60" s="16">
        <f>IFERROR(VLOOKUP(AC60,'Kode Diskon'!$C$2:$D$9,2,0),0)</f>
        <v>0.2</v>
      </c>
      <c r="AE60" s="31">
        <f t="shared" si="13"/>
        <v>252000</v>
      </c>
      <c r="AF60" s="31">
        <f t="shared" si="14"/>
        <v>1008000</v>
      </c>
      <c r="AG60" s="31">
        <f t="shared" si="15"/>
        <v>795000</v>
      </c>
      <c r="AH60" s="31">
        <f t="shared" si="16"/>
        <v>543000</v>
      </c>
      <c r="AI60" s="4" t="s">
        <v>8</v>
      </c>
      <c r="AJ60" s="4" t="s">
        <v>6</v>
      </c>
      <c r="AK60" s="4" t="str">
        <f>IFERROR(VLOOKUP(AJ60,'Guide '!$A$13:$B$16,2,0),"-")</f>
        <v>SP</v>
      </c>
      <c r="AL60" s="4" t="s">
        <v>925</v>
      </c>
      <c r="AM60" s="40">
        <v>45316</v>
      </c>
      <c r="AN60">
        <f t="shared" si="17"/>
        <v>29</v>
      </c>
      <c r="AO60">
        <f t="shared" si="18"/>
        <v>32</v>
      </c>
      <c r="AP60">
        <f t="shared" si="19"/>
        <v>40</v>
      </c>
      <c r="AQ60">
        <f t="shared" si="20"/>
        <v>43</v>
      </c>
      <c r="AR60" s="26">
        <f t="shared" si="21"/>
        <v>56</v>
      </c>
      <c r="AS60" s="26">
        <f t="shared" si="22"/>
        <v>63</v>
      </c>
      <c r="AT60" s="21">
        <f t="shared" si="23"/>
        <v>12</v>
      </c>
      <c r="AU60" s="21">
        <f t="shared" si="24"/>
        <v>19</v>
      </c>
      <c r="AV60">
        <f t="shared" si="25"/>
        <v>73</v>
      </c>
      <c r="AW60">
        <f t="shared" si="26"/>
        <v>76</v>
      </c>
      <c r="AX60">
        <f t="shared" si="27"/>
        <v>84</v>
      </c>
      <c r="AY60">
        <f t="shared" si="28"/>
        <v>87</v>
      </c>
      <c r="AZ60">
        <f t="shared" si="29"/>
        <v>100</v>
      </c>
      <c r="BA60">
        <f t="shared" si="30"/>
        <v>107</v>
      </c>
      <c r="BB60">
        <f t="shared" si="31"/>
        <v>117</v>
      </c>
      <c r="BC60">
        <f t="shared" si="32"/>
        <v>120</v>
      </c>
      <c r="BD60" s="29">
        <f t="shared" si="33"/>
        <v>128</v>
      </c>
      <c r="BE60" s="29">
        <f t="shared" si="34"/>
        <v>131</v>
      </c>
    </row>
    <row r="61" spans="1:57" ht="15" x14ac:dyDescent="0.2">
      <c r="A61" s="2">
        <v>413</v>
      </c>
      <c r="B61" s="2" t="str">
        <f t="shared" si="0"/>
        <v>0413</v>
      </c>
      <c r="C61" t="str">
        <f t="shared" si="1"/>
        <v>ORD-SP-0413-25/01/24</v>
      </c>
      <c r="D61" s="3" t="s">
        <v>457</v>
      </c>
      <c r="E61" t="str">
        <f t="shared" si="35"/>
        <v>SP001</v>
      </c>
      <c r="F61" t="str">
        <f>INDEX(Katalog!$B$4:$B$13,MATCH('Main Data'!E61,Katalog!$C$4:$C$13,0))</f>
        <v>Sneakers</v>
      </c>
      <c r="G61" t="str">
        <f>VLOOKUP(E61,Katalog!$A$15:$B$25,2,0)</f>
        <v>Sepatu Pria</v>
      </c>
      <c r="H61" t="str">
        <f t="shared" si="36"/>
        <v>5</v>
      </c>
      <c r="I61" t="str">
        <f t="shared" si="3"/>
        <v>1</v>
      </c>
      <c r="J61" s="18">
        <f>VLOOKUP(E61,Katalog!$C$3:$F$13,2,0)</f>
        <v>300000</v>
      </c>
      <c r="K61" s="18">
        <f>VLOOKUP(E61,Katalog!$C$3:$F$13,3,0)</f>
        <v>100000</v>
      </c>
      <c r="L61" t="str">
        <f t="shared" si="4"/>
        <v>-</v>
      </c>
      <c r="M61" t="str">
        <f>IFERROR(INDEX(Katalog!$B$4:$B$13,MATCH('Main Data'!L61,Katalog!$C$4:$C$13,0)), "-")</f>
        <v>-</v>
      </c>
      <c r="N61" t="str">
        <f>IFERROR(VLOOKUP(L61,Katalog!$A$15:$B$25,2,0),"-")</f>
        <v>-</v>
      </c>
      <c r="O61">
        <f t="shared" si="5"/>
        <v>0</v>
      </c>
      <c r="P61" t="str">
        <f t="shared" si="6"/>
        <v>-</v>
      </c>
      <c r="Q61" s="18">
        <f>IFERROR(VLOOKUP(L61,Katalog!$C$3:$F$13,2,0),0)</f>
        <v>0</v>
      </c>
      <c r="R61" s="18">
        <f>IFERROR(VLOOKUP(L61,Katalog!$C$3:$F$13,3,0),0)</f>
        <v>0</v>
      </c>
      <c r="S61" t="str">
        <f t="shared" si="7"/>
        <v>-</v>
      </c>
      <c r="T61" t="str">
        <f>IFERROR(INDEX(Katalog!$B$4:$B$13,MATCH('Main Data'!S61,Katalog!$C$4:$C$13,0)),"-")</f>
        <v>-</v>
      </c>
      <c r="U61" t="str">
        <f>IFERROR(VLOOKUP(S61,Katalog!$A$15:$B$25,2,0),"-")</f>
        <v>-</v>
      </c>
      <c r="V61">
        <f t="shared" si="8"/>
        <v>0</v>
      </c>
      <c r="W61" s="28" t="str">
        <f t="shared" si="9"/>
        <v>-</v>
      </c>
      <c r="X61" s="18">
        <f>IFERROR(VLOOKUP(S61,Katalog!$C$3:$F$13,2,0),0)</f>
        <v>0</v>
      </c>
      <c r="Y61" s="30">
        <f>IFERROR(VLOOKUP(S61,Katalog!$C$3:$F$13,3,0),0)</f>
        <v>0</v>
      </c>
      <c r="Z61" s="2">
        <f t="shared" si="10"/>
        <v>5</v>
      </c>
      <c r="AA61" s="4">
        <f t="shared" si="11"/>
        <v>1500000</v>
      </c>
      <c r="AB61" s="4">
        <f t="shared" si="12"/>
        <v>500000</v>
      </c>
      <c r="AC61" s="4" t="s">
        <v>5</v>
      </c>
      <c r="AD61" s="16">
        <f>IFERROR(VLOOKUP(AC61,'Kode Diskon'!$C$2:$D$9,2,0),0)</f>
        <v>0.1</v>
      </c>
      <c r="AE61" s="31">
        <f t="shared" si="13"/>
        <v>150000</v>
      </c>
      <c r="AF61" s="31">
        <f t="shared" si="14"/>
        <v>1350000</v>
      </c>
      <c r="AG61" s="31">
        <f t="shared" si="15"/>
        <v>1000000</v>
      </c>
      <c r="AH61" s="31">
        <f t="shared" si="16"/>
        <v>850000</v>
      </c>
      <c r="AI61" s="4" t="s">
        <v>28</v>
      </c>
      <c r="AJ61" s="4" t="s">
        <v>6</v>
      </c>
      <c r="AK61" s="4" t="str">
        <f>IFERROR(VLOOKUP(AJ61,'Guide '!$A$13:$B$16,2,0),"-")</f>
        <v>SP</v>
      </c>
      <c r="AL61" s="4" t="s">
        <v>924</v>
      </c>
      <c r="AM61" s="40">
        <v>45316</v>
      </c>
      <c r="AN61">
        <f t="shared" si="17"/>
        <v>29</v>
      </c>
      <c r="AO61">
        <f t="shared" si="18"/>
        <v>32</v>
      </c>
      <c r="AP61">
        <f t="shared" si="19"/>
        <v>40</v>
      </c>
      <c r="AQ61">
        <f t="shared" si="20"/>
        <v>43</v>
      </c>
      <c r="AR61" s="26" t="str">
        <f t="shared" si="21"/>
        <v>-</v>
      </c>
      <c r="AS61" s="26" t="str">
        <f t="shared" si="22"/>
        <v>-</v>
      </c>
      <c r="AT61" s="21">
        <f t="shared" si="23"/>
        <v>12</v>
      </c>
      <c r="AU61" s="21">
        <f t="shared" si="24"/>
        <v>19</v>
      </c>
      <c r="AV61" t="str">
        <f t="shared" si="25"/>
        <v>-</v>
      </c>
      <c r="AW61" t="str">
        <f t="shared" si="26"/>
        <v>-</v>
      </c>
      <c r="AX61" t="str">
        <f t="shared" si="27"/>
        <v>-</v>
      </c>
      <c r="AY61" t="str">
        <f t="shared" si="28"/>
        <v>-</v>
      </c>
      <c r="AZ61" t="str">
        <f t="shared" si="29"/>
        <v>-</v>
      </c>
      <c r="BA61" t="str">
        <f t="shared" si="30"/>
        <v>-</v>
      </c>
      <c r="BB61" t="str">
        <f t="shared" si="31"/>
        <v>-</v>
      </c>
      <c r="BC61" t="str">
        <f t="shared" si="32"/>
        <v>-</v>
      </c>
      <c r="BD61" s="29" t="str">
        <f t="shared" si="33"/>
        <v>-</v>
      </c>
      <c r="BE61" s="29" t="str">
        <f t="shared" si="34"/>
        <v>-</v>
      </c>
    </row>
    <row r="62" spans="1:57" ht="15" x14ac:dyDescent="0.2">
      <c r="A62" s="2">
        <v>810</v>
      </c>
      <c r="B62" s="2" t="str">
        <f t="shared" si="0"/>
        <v>0810</v>
      </c>
      <c r="C62" t="str">
        <f t="shared" si="1"/>
        <v>ORD-SP-0810-25/01/24</v>
      </c>
      <c r="D62" s="3" t="s">
        <v>774</v>
      </c>
      <c r="E62" t="str">
        <f t="shared" si="35"/>
        <v>PW001</v>
      </c>
      <c r="F62" t="str">
        <f>INDEX(Katalog!$B$4:$B$13,MATCH('Main Data'!E62,Katalog!$C$4:$C$13,0))</f>
        <v>Dress</v>
      </c>
      <c r="G62" t="str">
        <f>VLOOKUP(E62,Katalog!$A$15:$B$25,2,0)</f>
        <v>Pakaian Wanita</v>
      </c>
      <c r="H62" t="str">
        <f t="shared" si="36"/>
        <v>1</v>
      </c>
      <c r="I62" t="str">
        <f t="shared" si="3"/>
        <v>3</v>
      </c>
      <c r="J62" s="18">
        <f>VLOOKUP(E62,Katalog!$C$3:$F$13,2,0)</f>
        <v>150000</v>
      </c>
      <c r="K62" s="18">
        <f>VLOOKUP(E62,Katalog!$C$3:$F$13,3,0)</f>
        <v>55000</v>
      </c>
      <c r="L62" t="str">
        <f t="shared" si="4"/>
        <v>SP002</v>
      </c>
      <c r="M62" t="str">
        <f>IFERROR(INDEX(Katalog!$B$4:$B$13,MATCH('Main Data'!L62,Katalog!$C$4:$C$13,0)), "-")</f>
        <v>Sandal Slip On</v>
      </c>
      <c r="N62" t="str">
        <f>IFERROR(VLOOKUP(L62,Katalog!$A$15:$B$25,2,0),"-")</f>
        <v>Sepatu Pria</v>
      </c>
      <c r="O62" t="str">
        <f t="shared" si="5"/>
        <v>3</v>
      </c>
      <c r="P62" t="str">
        <f t="shared" si="6"/>
        <v>5</v>
      </c>
      <c r="Q62" s="18">
        <f>IFERROR(VLOOKUP(L62,Katalog!$C$3:$F$13,2,0),0)</f>
        <v>120000</v>
      </c>
      <c r="R62" s="18">
        <f>IFERROR(VLOOKUP(L62,Katalog!$C$3:$F$13,3,0),0)</f>
        <v>60000</v>
      </c>
      <c r="S62" t="str">
        <f t="shared" si="7"/>
        <v>PW002</v>
      </c>
      <c r="T62" t="str">
        <f>IFERROR(INDEX(Katalog!$B$4:$B$13,MATCH('Main Data'!S62,Katalog!$C$4:$C$13,0)),"-")</f>
        <v>Blouse</v>
      </c>
      <c r="U62" t="str">
        <f>IFERROR(VLOOKUP(S62,Katalog!$A$15:$B$25,2,0),"-")</f>
        <v>Pakaian Wanita</v>
      </c>
      <c r="V62" t="str">
        <f t="shared" si="8"/>
        <v>3</v>
      </c>
      <c r="W62" s="28" t="str">
        <f t="shared" si="9"/>
        <v>4</v>
      </c>
      <c r="X62" s="18">
        <f>IFERROR(VLOOKUP(S62,Katalog!$C$3:$F$13,2,0),0)</f>
        <v>125000</v>
      </c>
      <c r="Y62" s="30">
        <f>IFERROR(VLOOKUP(S62,Katalog!$C$3:$F$13,3,0),0)</f>
        <v>50000</v>
      </c>
      <c r="Z62" s="2">
        <f t="shared" si="10"/>
        <v>7</v>
      </c>
      <c r="AA62" s="4">
        <f t="shared" si="11"/>
        <v>885000</v>
      </c>
      <c r="AB62" s="4">
        <f t="shared" si="12"/>
        <v>385000</v>
      </c>
      <c r="AC62" s="4" t="s">
        <v>7</v>
      </c>
      <c r="AD62" s="16">
        <f>IFERROR(VLOOKUP(AC62,'Kode Diskon'!$C$2:$D$9,2,0),0)</f>
        <v>0.2</v>
      </c>
      <c r="AE62" s="31">
        <f t="shared" si="13"/>
        <v>177000</v>
      </c>
      <c r="AF62" s="31">
        <f t="shared" si="14"/>
        <v>708000</v>
      </c>
      <c r="AG62" s="31">
        <f t="shared" si="15"/>
        <v>500000</v>
      </c>
      <c r="AH62" s="31">
        <f t="shared" si="16"/>
        <v>323000</v>
      </c>
      <c r="AI62" s="4" t="s">
        <v>8</v>
      </c>
      <c r="AJ62" s="4" t="s">
        <v>6</v>
      </c>
      <c r="AK62" s="4" t="str">
        <f>IFERROR(VLOOKUP(AJ62,'Guide '!$A$13:$B$16,2,0),"-")</f>
        <v>SP</v>
      </c>
      <c r="AL62" s="4" t="s">
        <v>924</v>
      </c>
      <c r="AM62" s="40">
        <v>45316</v>
      </c>
      <c r="AN62">
        <f t="shared" si="17"/>
        <v>29</v>
      </c>
      <c r="AO62">
        <f t="shared" si="18"/>
        <v>32</v>
      </c>
      <c r="AP62">
        <f t="shared" si="19"/>
        <v>40</v>
      </c>
      <c r="AQ62">
        <f t="shared" si="20"/>
        <v>43</v>
      </c>
      <c r="AR62" s="26">
        <f t="shared" si="21"/>
        <v>56</v>
      </c>
      <c r="AS62" s="26">
        <f t="shared" si="22"/>
        <v>63</v>
      </c>
      <c r="AT62" s="21">
        <f t="shared" si="23"/>
        <v>12</v>
      </c>
      <c r="AU62" s="21">
        <f t="shared" si="24"/>
        <v>19</v>
      </c>
      <c r="AV62">
        <f t="shared" si="25"/>
        <v>73</v>
      </c>
      <c r="AW62">
        <f t="shared" si="26"/>
        <v>76</v>
      </c>
      <c r="AX62">
        <f t="shared" si="27"/>
        <v>84</v>
      </c>
      <c r="AY62">
        <f t="shared" si="28"/>
        <v>87</v>
      </c>
      <c r="AZ62">
        <f t="shared" si="29"/>
        <v>100</v>
      </c>
      <c r="BA62">
        <f t="shared" si="30"/>
        <v>107</v>
      </c>
      <c r="BB62">
        <f t="shared" si="31"/>
        <v>117</v>
      </c>
      <c r="BC62">
        <f t="shared" si="32"/>
        <v>120</v>
      </c>
      <c r="BD62" s="29">
        <f t="shared" si="33"/>
        <v>128</v>
      </c>
      <c r="BE62" s="29">
        <f t="shared" si="34"/>
        <v>131</v>
      </c>
    </row>
    <row r="63" spans="1:57" ht="15" x14ac:dyDescent="0.2">
      <c r="A63" s="2">
        <v>976</v>
      </c>
      <c r="B63" s="2" t="str">
        <f t="shared" si="0"/>
        <v>0976</v>
      </c>
      <c r="C63" t="str">
        <f t="shared" si="1"/>
        <v>ORD-SP-0976-25/01/24</v>
      </c>
      <c r="D63" s="3" t="s">
        <v>901</v>
      </c>
      <c r="E63" t="str">
        <f t="shared" si="35"/>
        <v>SW001</v>
      </c>
      <c r="F63" t="str">
        <f>INDEX(Katalog!$B$4:$B$13,MATCH('Main Data'!E63,Katalog!$C$4:$C$13,0))</f>
        <v>Flat Shoes</v>
      </c>
      <c r="G63" t="str">
        <f>VLOOKUP(E63,Katalog!$A$15:$B$25,2,0)</f>
        <v>Sepatu Wanita</v>
      </c>
      <c r="H63" t="str">
        <f t="shared" si="36"/>
        <v>2</v>
      </c>
      <c r="I63" t="str">
        <f t="shared" si="3"/>
        <v>3</v>
      </c>
      <c r="J63" s="18">
        <f>VLOOKUP(E63,Katalog!$C$3:$F$13,2,0)</f>
        <v>150000</v>
      </c>
      <c r="K63" s="18">
        <f>VLOOKUP(E63,Katalog!$C$3:$F$13,3,0)</f>
        <v>70000</v>
      </c>
      <c r="L63" t="str">
        <f t="shared" si="4"/>
        <v>SP001</v>
      </c>
      <c r="M63" t="str">
        <f>IFERROR(INDEX(Katalog!$B$4:$B$13,MATCH('Main Data'!L63,Katalog!$C$4:$C$13,0)), "-")</f>
        <v>Sneakers</v>
      </c>
      <c r="N63" t="str">
        <f>IFERROR(VLOOKUP(L63,Katalog!$A$15:$B$25,2,0),"-")</f>
        <v>Sepatu Pria</v>
      </c>
      <c r="O63" t="str">
        <f t="shared" si="5"/>
        <v>1</v>
      </c>
      <c r="P63" t="str">
        <f t="shared" si="6"/>
        <v>1</v>
      </c>
      <c r="Q63" s="18">
        <f>IFERROR(VLOOKUP(L63,Katalog!$C$3:$F$13,2,0),0)</f>
        <v>300000</v>
      </c>
      <c r="R63" s="18">
        <f>IFERROR(VLOOKUP(L63,Katalog!$C$3:$F$13,3,0),0)</f>
        <v>100000</v>
      </c>
      <c r="S63" t="str">
        <f t="shared" si="7"/>
        <v>PU001</v>
      </c>
      <c r="T63" t="str">
        <f>IFERROR(INDEX(Katalog!$B$4:$B$13,MATCH('Main Data'!S63,Katalog!$C$4:$C$13,0)),"-")</f>
        <v>Jaket Hoodie</v>
      </c>
      <c r="U63" t="str">
        <f>IFERROR(VLOOKUP(S63,Katalog!$A$15:$B$25,2,0),"-")</f>
        <v>Pakaian Unisex</v>
      </c>
      <c r="V63" t="str">
        <f t="shared" si="8"/>
        <v>2</v>
      </c>
      <c r="W63" s="28" t="str">
        <f t="shared" si="9"/>
        <v>5</v>
      </c>
      <c r="X63" s="18">
        <f>IFERROR(VLOOKUP(S63,Katalog!$C$3:$F$13,2,0),0)</f>
        <v>160000</v>
      </c>
      <c r="Y63" s="30">
        <f>IFERROR(VLOOKUP(S63,Katalog!$C$3:$F$13,3,0),0)</f>
        <v>60000</v>
      </c>
      <c r="Z63" s="2">
        <f t="shared" si="10"/>
        <v>5</v>
      </c>
      <c r="AA63" s="4">
        <f t="shared" si="11"/>
        <v>920000</v>
      </c>
      <c r="AB63" s="4">
        <f t="shared" si="12"/>
        <v>360000</v>
      </c>
      <c r="AC63" s="4" t="s">
        <v>7</v>
      </c>
      <c r="AD63" s="16">
        <f>IFERROR(VLOOKUP(AC63,'Kode Diskon'!$C$2:$D$9,2,0),0)</f>
        <v>0.2</v>
      </c>
      <c r="AE63" s="31">
        <f t="shared" si="13"/>
        <v>184000</v>
      </c>
      <c r="AF63" s="31">
        <f t="shared" si="14"/>
        <v>736000</v>
      </c>
      <c r="AG63" s="31">
        <f t="shared" si="15"/>
        <v>560000</v>
      </c>
      <c r="AH63" s="31">
        <f t="shared" si="16"/>
        <v>376000</v>
      </c>
      <c r="AI63" s="4" t="s">
        <v>8</v>
      </c>
      <c r="AJ63" s="4" t="s">
        <v>6</v>
      </c>
      <c r="AK63" s="4" t="str">
        <f>IFERROR(VLOOKUP(AJ63,'Guide '!$A$13:$B$16,2,0),"-")</f>
        <v>SP</v>
      </c>
      <c r="AL63" s="4" t="s">
        <v>925</v>
      </c>
      <c r="AM63" s="40">
        <v>45316</v>
      </c>
      <c r="AN63">
        <f t="shared" si="17"/>
        <v>29</v>
      </c>
      <c r="AO63">
        <f t="shared" si="18"/>
        <v>32</v>
      </c>
      <c r="AP63">
        <f t="shared" si="19"/>
        <v>40</v>
      </c>
      <c r="AQ63">
        <f t="shared" si="20"/>
        <v>43</v>
      </c>
      <c r="AR63" s="26">
        <f t="shared" si="21"/>
        <v>56</v>
      </c>
      <c r="AS63" s="26">
        <f t="shared" si="22"/>
        <v>63</v>
      </c>
      <c r="AT63" s="21">
        <f t="shared" si="23"/>
        <v>12</v>
      </c>
      <c r="AU63" s="21">
        <f t="shared" si="24"/>
        <v>19</v>
      </c>
      <c r="AV63">
        <f t="shared" si="25"/>
        <v>73</v>
      </c>
      <c r="AW63">
        <f t="shared" si="26"/>
        <v>76</v>
      </c>
      <c r="AX63">
        <f t="shared" si="27"/>
        <v>84</v>
      </c>
      <c r="AY63">
        <f t="shared" si="28"/>
        <v>87</v>
      </c>
      <c r="AZ63">
        <f t="shared" si="29"/>
        <v>100</v>
      </c>
      <c r="BA63">
        <f t="shared" si="30"/>
        <v>107</v>
      </c>
      <c r="BB63">
        <f t="shared" si="31"/>
        <v>117</v>
      </c>
      <c r="BC63">
        <f t="shared" si="32"/>
        <v>120</v>
      </c>
      <c r="BD63" s="29">
        <f t="shared" si="33"/>
        <v>128</v>
      </c>
      <c r="BE63" s="29">
        <f t="shared" si="34"/>
        <v>131</v>
      </c>
    </row>
    <row r="64" spans="1:57" ht="15" x14ac:dyDescent="0.2">
      <c r="A64" s="2">
        <v>188</v>
      </c>
      <c r="B64" s="2" t="str">
        <f t="shared" si="0"/>
        <v>0188</v>
      </c>
      <c r="C64" t="str">
        <f t="shared" si="1"/>
        <v>ORD-SP-0188-26/01/24</v>
      </c>
      <c r="D64" s="3" t="s">
        <v>257</v>
      </c>
      <c r="E64" t="str">
        <f t="shared" si="35"/>
        <v>PP002</v>
      </c>
      <c r="F64" t="str">
        <f>INDEX(Katalog!$B$4:$B$13,MATCH('Main Data'!E64,Katalog!$C$4:$C$13,0))</f>
        <v>Celana Pendek</v>
      </c>
      <c r="G64" t="str">
        <f>VLOOKUP(E64,Katalog!$A$15:$B$25,2,0)</f>
        <v>Pakaian Pria</v>
      </c>
      <c r="H64" t="str">
        <f t="shared" si="36"/>
        <v>5</v>
      </c>
      <c r="I64" t="str">
        <f t="shared" si="3"/>
        <v>1</v>
      </c>
      <c r="J64" s="18">
        <f>VLOOKUP(E64,Katalog!$C$3:$F$13,2,0)</f>
        <v>60000</v>
      </c>
      <c r="K64" s="18">
        <f>VLOOKUP(E64,Katalog!$C$3:$F$13,3,0)</f>
        <v>25000</v>
      </c>
      <c r="L64" t="str">
        <f t="shared" si="4"/>
        <v>PW001</v>
      </c>
      <c r="M64" t="str">
        <f>IFERROR(INDEX(Katalog!$B$4:$B$13,MATCH('Main Data'!L64,Katalog!$C$4:$C$13,0)), "-")</f>
        <v>Dress</v>
      </c>
      <c r="N64" t="str">
        <f>IFERROR(VLOOKUP(L64,Katalog!$A$15:$B$25,2,0),"-")</f>
        <v>Pakaian Wanita</v>
      </c>
      <c r="O64" t="str">
        <f t="shared" si="5"/>
        <v>1</v>
      </c>
      <c r="P64" t="str">
        <f t="shared" si="6"/>
        <v>5</v>
      </c>
      <c r="Q64" s="18">
        <f>IFERROR(VLOOKUP(L64,Katalog!$C$3:$F$13,2,0),0)</f>
        <v>150000</v>
      </c>
      <c r="R64" s="18">
        <f>IFERROR(VLOOKUP(L64,Katalog!$C$3:$F$13,3,0),0)</f>
        <v>55000</v>
      </c>
      <c r="S64" t="str">
        <f t="shared" si="7"/>
        <v>-</v>
      </c>
      <c r="T64" t="str">
        <f>IFERROR(INDEX(Katalog!$B$4:$B$13,MATCH('Main Data'!S64,Katalog!$C$4:$C$13,0)),"-")</f>
        <v>-</v>
      </c>
      <c r="U64" t="str">
        <f>IFERROR(VLOOKUP(S64,Katalog!$A$15:$B$25,2,0),"-")</f>
        <v>-</v>
      </c>
      <c r="V64">
        <f t="shared" si="8"/>
        <v>0</v>
      </c>
      <c r="W64" s="28" t="str">
        <f t="shared" si="9"/>
        <v>-</v>
      </c>
      <c r="X64" s="18">
        <f>IFERROR(VLOOKUP(S64,Katalog!$C$3:$F$13,2,0),0)</f>
        <v>0</v>
      </c>
      <c r="Y64" s="30">
        <f>IFERROR(VLOOKUP(S64,Katalog!$C$3:$F$13,3,0),0)</f>
        <v>0</v>
      </c>
      <c r="Z64" s="2">
        <f t="shared" si="10"/>
        <v>6</v>
      </c>
      <c r="AA64" s="4">
        <f t="shared" si="11"/>
        <v>450000</v>
      </c>
      <c r="AB64" s="4">
        <f t="shared" si="12"/>
        <v>180000</v>
      </c>
      <c r="AC64" s="4" t="s">
        <v>7</v>
      </c>
      <c r="AD64" s="16">
        <f>IFERROR(VLOOKUP(AC64,'Kode Diskon'!$C$2:$D$9,2,0),0)</f>
        <v>0.2</v>
      </c>
      <c r="AE64" s="31">
        <f t="shared" si="13"/>
        <v>90000</v>
      </c>
      <c r="AF64" s="31">
        <f t="shared" si="14"/>
        <v>360000</v>
      </c>
      <c r="AG64" s="31">
        <f t="shared" si="15"/>
        <v>270000</v>
      </c>
      <c r="AH64" s="31">
        <f t="shared" si="16"/>
        <v>180000</v>
      </c>
      <c r="AI64" s="4" t="s">
        <v>8</v>
      </c>
      <c r="AJ64" s="4" t="s">
        <v>6</v>
      </c>
      <c r="AK64" s="4" t="str">
        <f>IFERROR(VLOOKUP(AJ64,'Guide '!$A$13:$B$16,2,0),"-")</f>
        <v>SP</v>
      </c>
      <c r="AL64" s="4" t="s">
        <v>925</v>
      </c>
      <c r="AM64" s="40">
        <v>45317</v>
      </c>
      <c r="AN64">
        <f t="shared" si="17"/>
        <v>29</v>
      </c>
      <c r="AO64">
        <f t="shared" si="18"/>
        <v>32</v>
      </c>
      <c r="AP64">
        <f t="shared" si="19"/>
        <v>40</v>
      </c>
      <c r="AQ64">
        <f t="shared" si="20"/>
        <v>43</v>
      </c>
      <c r="AR64" s="26">
        <f t="shared" si="21"/>
        <v>56</v>
      </c>
      <c r="AS64" s="26">
        <f t="shared" si="22"/>
        <v>63</v>
      </c>
      <c r="AT64" s="21">
        <f t="shared" si="23"/>
        <v>12</v>
      </c>
      <c r="AU64" s="21">
        <f t="shared" si="24"/>
        <v>19</v>
      </c>
      <c r="AV64">
        <f t="shared" si="25"/>
        <v>73</v>
      </c>
      <c r="AW64">
        <f t="shared" si="26"/>
        <v>76</v>
      </c>
      <c r="AX64">
        <f t="shared" si="27"/>
        <v>84</v>
      </c>
      <c r="AY64">
        <f t="shared" si="28"/>
        <v>87</v>
      </c>
      <c r="AZ64" t="str">
        <f t="shared" si="29"/>
        <v>-</v>
      </c>
      <c r="BA64" t="str">
        <f t="shared" si="30"/>
        <v>-</v>
      </c>
      <c r="BB64" t="str">
        <f t="shared" si="31"/>
        <v>-</v>
      </c>
      <c r="BC64" t="str">
        <f t="shared" si="32"/>
        <v>-</v>
      </c>
      <c r="BD64" s="29" t="str">
        <f t="shared" si="33"/>
        <v>-</v>
      </c>
      <c r="BE64" s="29" t="str">
        <f t="shared" si="34"/>
        <v>-</v>
      </c>
    </row>
    <row r="65" spans="1:57" ht="15" x14ac:dyDescent="0.2">
      <c r="A65" s="2">
        <v>337</v>
      </c>
      <c r="B65" s="2" t="str">
        <f t="shared" si="0"/>
        <v>0337</v>
      </c>
      <c r="C65" t="str">
        <f t="shared" si="1"/>
        <v>ORD-SP-0337-26/01/24</v>
      </c>
      <c r="D65" s="3" t="s">
        <v>263</v>
      </c>
      <c r="E65" t="str">
        <f t="shared" si="35"/>
        <v>PW002</v>
      </c>
      <c r="F65" t="str">
        <f>INDEX(Katalog!$B$4:$B$13,MATCH('Main Data'!E65,Katalog!$C$4:$C$13,0))</f>
        <v>Blouse</v>
      </c>
      <c r="G65" t="str">
        <f>VLOOKUP(E65,Katalog!$A$15:$B$25,2,0)</f>
        <v>Pakaian Wanita</v>
      </c>
      <c r="H65" t="str">
        <f t="shared" si="36"/>
        <v>1</v>
      </c>
      <c r="I65" t="str">
        <f t="shared" si="3"/>
        <v>3</v>
      </c>
      <c r="J65" s="18">
        <f>VLOOKUP(E65,Katalog!$C$3:$F$13,2,0)</f>
        <v>125000</v>
      </c>
      <c r="K65" s="18">
        <f>VLOOKUP(E65,Katalog!$C$3:$F$13,3,0)</f>
        <v>50000</v>
      </c>
      <c r="L65" t="str">
        <f t="shared" si="4"/>
        <v>-</v>
      </c>
      <c r="M65" t="str">
        <f>IFERROR(INDEX(Katalog!$B$4:$B$13,MATCH('Main Data'!L65,Katalog!$C$4:$C$13,0)), "-")</f>
        <v>-</v>
      </c>
      <c r="N65" t="str">
        <f>IFERROR(VLOOKUP(L65,Katalog!$A$15:$B$25,2,0),"-")</f>
        <v>-</v>
      </c>
      <c r="O65">
        <f t="shared" si="5"/>
        <v>0</v>
      </c>
      <c r="P65" t="str">
        <f t="shared" si="6"/>
        <v>-</v>
      </c>
      <c r="Q65" s="18">
        <f>IFERROR(VLOOKUP(L65,Katalog!$C$3:$F$13,2,0),0)</f>
        <v>0</v>
      </c>
      <c r="R65" s="18">
        <f>IFERROR(VLOOKUP(L65,Katalog!$C$3:$F$13,3,0),0)</f>
        <v>0</v>
      </c>
      <c r="S65" t="str">
        <f t="shared" si="7"/>
        <v>-</v>
      </c>
      <c r="T65" t="str">
        <f>IFERROR(INDEX(Katalog!$B$4:$B$13,MATCH('Main Data'!S65,Katalog!$C$4:$C$13,0)),"-")</f>
        <v>-</v>
      </c>
      <c r="U65" t="str">
        <f>IFERROR(VLOOKUP(S65,Katalog!$A$15:$B$25,2,0),"-")</f>
        <v>-</v>
      </c>
      <c r="V65">
        <f t="shared" si="8"/>
        <v>0</v>
      </c>
      <c r="W65" s="28" t="str">
        <f t="shared" si="9"/>
        <v>-</v>
      </c>
      <c r="X65" s="18">
        <f>IFERROR(VLOOKUP(S65,Katalog!$C$3:$F$13,2,0),0)</f>
        <v>0</v>
      </c>
      <c r="Y65" s="30">
        <f>IFERROR(VLOOKUP(S65,Katalog!$C$3:$F$13,3,0),0)</f>
        <v>0</v>
      </c>
      <c r="Z65" s="2">
        <f t="shared" si="10"/>
        <v>1</v>
      </c>
      <c r="AA65" s="4">
        <f t="shared" si="11"/>
        <v>125000</v>
      </c>
      <c r="AB65" s="4">
        <f t="shared" si="12"/>
        <v>50000</v>
      </c>
      <c r="AC65" s="4" t="s">
        <v>5</v>
      </c>
      <c r="AD65" s="16">
        <f>IFERROR(VLOOKUP(AC65,'Kode Diskon'!$C$2:$D$9,2,0),0)</f>
        <v>0.1</v>
      </c>
      <c r="AE65" s="31">
        <f t="shared" si="13"/>
        <v>12500</v>
      </c>
      <c r="AF65" s="31">
        <f t="shared" si="14"/>
        <v>112500</v>
      </c>
      <c r="AG65" s="31">
        <f t="shared" si="15"/>
        <v>75000</v>
      </c>
      <c r="AH65" s="31">
        <f t="shared" si="16"/>
        <v>62500</v>
      </c>
      <c r="AI65" s="4" t="s">
        <v>28</v>
      </c>
      <c r="AJ65" s="4" t="s">
        <v>6</v>
      </c>
      <c r="AK65" s="4" t="str">
        <f>IFERROR(VLOOKUP(AJ65,'Guide '!$A$13:$B$16,2,0),"-")</f>
        <v>SP</v>
      </c>
      <c r="AL65" s="4" t="s">
        <v>922</v>
      </c>
      <c r="AM65" s="40">
        <v>45317</v>
      </c>
      <c r="AN65">
        <f t="shared" si="17"/>
        <v>29</v>
      </c>
      <c r="AO65">
        <f t="shared" si="18"/>
        <v>32</v>
      </c>
      <c r="AP65">
        <f t="shared" si="19"/>
        <v>40</v>
      </c>
      <c r="AQ65">
        <f t="shared" si="20"/>
        <v>43</v>
      </c>
      <c r="AR65" s="26" t="str">
        <f t="shared" si="21"/>
        <v>-</v>
      </c>
      <c r="AS65" s="26" t="str">
        <f t="shared" si="22"/>
        <v>-</v>
      </c>
      <c r="AT65" s="21">
        <f t="shared" si="23"/>
        <v>12</v>
      </c>
      <c r="AU65" s="21">
        <f t="shared" si="24"/>
        <v>19</v>
      </c>
      <c r="AV65" t="str">
        <f t="shared" si="25"/>
        <v>-</v>
      </c>
      <c r="AW65" t="str">
        <f t="shared" si="26"/>
        <v>-</v>
      </c>
      <c r="AX65" t="str">
        <f t="shared" si="27"/>
        <v>-</v>
      </c>
      <c r="AY65" t="str">
        <f t="shared" si="28"/>
        <v>-</v>
      </c>
      <c r="AZ65" t="str">
        <f t="shared" si="29"/>
        <v>-</v>
      </c>
      <c r="BA65" t="str">
        <f t="shared" si="30"/>
        <v>-</v>
      </c>
      <c r="BB65" t="str">
        <f t="shared" si="31"/>
        <v>-</v>
      </c>
      <c r="BC65" t="str">
        <f t="shared" si="32"/>
        <v>-</v>
      </c>
      <c r="BD65" s="29" t="str">
        <f t="shared" si="33"/>
        <v>-</v>
      </c>
      <c r="BE65" s="29" t="str">
        <f t="shared" si="34"/>
        <v>-</v>
      </c>
    </row>
    <row r="66" spans="1:57" ht="15" x14ac:dyDescent="0.2">
      <c r="A66" s="2">
        <v>410</v>
      </c>
      <c r="B66" s="2" t="str">
        <f t="shared" si="0"/>
        <v>0410</v>
      </c>
      <c r="C66" t="str">
        <f t="shared" si="1"/>
        <v>ORD-SP-0410-26/01/24</v>
      </c>
      <c r="D66" s="3" t="s">
        <v>322</v>
      </c>
      <c r="E66" t="str">
        <f t="shared" si="35"/>
        <v>SW001</v>
      </c>
      <c r="F66" t="str">
        <f>INDEX(Katalog!$B$4:$B$13,MATCH('Main Data'!E66,Katalog!$C$4:$C$13,0))</f>
        <v>Flat Shoes</v>
      </c>
      <c r="G66" t="str">
        <f>VLOOKUP(E66,Katalog!$A$15:$B$25,2,0)</f>
        <v>Sepatu Wanita</v>
      </c>
      <c r="H66" t="str">
        <f t="shared" si="36"/>
        <v>1</v>
      </c>
      <c r="I66" t="str">
        <f t="shared" si="3"/>
        <v>1</v>
      </c>
      <c r="J66" s="18">
        <f>VLOOKUP(E66,Katalog!$C$3:$F$13,2,0)</f>
        <v>150000</v>
      </c>
      <c r="K66" s="18">
        <f>VLOOKUP(E66,Katalog!$C$3:$F$13,3,0)</f>
        <v>70000</v>
      </c>
      <c r="L66" t="str">
        <f t="shared" si="4"/>
        <v>-</v>
      </c>
      <c r="M66" t="str">
        <f>IFERROR(INDEX(Katalog!$B$4:$B$13,MATCH('Main Data'!L66,Katalog!$C$4:$C$13,0)), "-")</f>
        <v>-</v>
      </c>
      <c r="N66" t="str">
        <f>IFERROR(VLOOKUP(L66,Katalog!$A$15:$B$25,2,0),"-")</f>
        <v>-</v>
      </c>
      <c r="O66">
        <f t="shared" si="5"/>
        <v>0</v>
      </c>
      <c r="P66" t="str">
        <f t="shared" si="6"/>
        <v>-</v>
      </c>
      <c r="Q66" s="18">
        <f>IFERROR(VLOOKUP(L66,Katalog!$C$3:$F$13,2,0),0)</f>
        <v>0</v>
      </c>
      <c r="R66" s="18">
        <f>IFERROR(VLOOKUP(L66,Katalog!$C$3:$F$13,3,0),0)</f>
        <v>0</v>
      </c>
      <c r="S66" t="str">
        <f t="shared" si="7"/>
        <v>-</v>
      </c>
      <c r="T66" t="str">
        <f>IFERROR(INDEX(Katalog!$B$4:$B$13,MATCH('Main Data'!S66,Katalog!$C$4:$C$13,0)),"-")</f>
        <v>-</v>
      </c>
      <c r="U66" t="str">
        <f>IFERROR(VLOOKUP(S66,Katalog!$A$15:$B$25,2,0),"-")</f>
        <v>-</v>
      </c>
      <c r="V66">
        <f t="shared" si="8"/>
        <v>0</v>
      </c>
      <c r="W66" s="28" t="str">
        <f t="shared" si="9"/>
        <v>-</v>
      </c>
      <c r="X66" s="18">
        <f>IFERROR(VLOOKUP(S66,Katalog!$C$3:$F$13,2,0),0)</f>
        <v>0</v>
      </c>
      <c r="Y66" s="30">
        <f>IFERROR(VLOOKUP(S66,Katalog!$C$3:$F$13,3,0),0)</f>
        <v>0</v>
      </c>
      <c r="Z66" s="2">
        <f t="shared" si="10"/>
        <v>1</v>
      </c>
      <c r="AA66" s="4">
        <f t="shared" si="11"/>
        <v>150000</v>
      </c>
      <c r="AB66" s="4">
        <f t="shared" si="12"/>
        <v>70000</v>
      </c>
      <c r="AC66" s="4" t="s">
        <v>7</v>
      </c>
      <c r="AD66" s="16">
        <f>IFERROR(VLOOKUP(AC66,'Kode Diskon'!$C$2:$D$9,2,0),0)</f>
        <v>0.2</v>
      </c>
      <c r="AE66" s="31">
        <f t="shared" si="13"/>
        <v>30000</v>
      </c>
      <c r="AF66" s="31">
        <f t="shared" si="14"/>
        <v>120000</v>
      </c>
      <c r="AG66" s="31">
        <f t="shared" si="15"/>
        <v>80000</v>
      </c>
      <c r="AH66" s="31">
        <f t="shared" si="16"/>
        <v>50000</v>
      </c>
      <c r="AI66" s="4" t="s">
        <v>8</v>
      </c>
      <c r="AJ66" s="4" t="s">
        <v>6</v>
      </c>
      <c r="AK66" s="4" t="str">
        <f>IFERROR(VLOOKUP(AJ66,'Guide '!$A$13:$B$16,2,0),"-")</f>
        <v>SP</v>
      </c>
      <c r="AL66" s="4" t="s">
        <v>921</v>
      </c>
      <c r="AM66" s="40">
        <v>45317</v>
      </c>
      <c r="AN66">
        <f t="shared" si="17"/>
        <v>29</v>
      </c>
      <c r="AO66">
        <f t="shared" si="18"/>
        <v>32</v>
      </c>
      <c r="AP66">
        <f t="shared" si="19"/>
        <v>40</v>
      </c>
      <c r="AQ66">
        <f t="shared" si="20"/>
        <v>43</v>
      </c>
      <c r="AR66" s="26" t="str">
        <f t="shared" si="21"/>
        <v>-</v>
      </c>
      <c r="AS66" s="26" t="str">
        <f t="shared" si="22"/>
        <v>-</v>
      </c>
      <c r="AT66" s="21">
        <f t="shared" si="23"/>
        <v>12</v>
      </c>
      <c r="AU66" s="21">
        <f t="shared" si="24"/>
        <v>19</v>
      </c>
      <c r="AV66" t="str">
        <f t="shared" si="25"/>
        <v>-</v>
      </c>
      <c r="AW66" t="str">
        <f t="shared" si="26"/>
        <v>-</v>
      </c>
      <c r="AX66" t="str">
        <f t="shared" si="27"/>
        <v>-</v>
      </c>
      <c r="AY66" t="str">
        <f t="shared" si="28"/>
        <v>-</v>
      </c>
      <c r="AZ66" t="str">
        <f t="shared" si="29"/>
        <v>-</v>
      </c>
      <c r="BA66" t="str">
        <f t="shared" si="30"/>
        <v>-</v>
      </c>
      <c r="BB66" t="str">
        <f t="shared" si="31"/>
        <v>-</v>
      </c>
      <c r="BC66" t="str">
        <f t="shared" si="32"/>
        <v>-</v>
      </c>
      <c r="BD66" s="29" t="str">
        <f t="shared" si="33"/>
        <v>-</v>
      </c>
      <c r="BE66" s="29" t="str">
        <f t="shared" si="34"/>
        <v>-</v>
      </c>
    </row>
    <row r="67" spans="1:57" ht="15" x14ac:dyDescent="0.2">
      <c r="A67" s="2">
        <v>458</v>
      </c>
      <c r="B67" s="2" t="str">
        <f t="shared" ref="B67:B130" si="37">TEXT(A67,"0000")</f>
        <v>0458</v>
      </c>
      <c r="C67" t="str">
        <f t="shared" ref="C67:C130" si="38">CONCATENATE("ORD","-",AK67,"-",B67,"-",TEXT(AM67,"dd/mm/yy"))</f>
        <v>ORD-BB-0458-26/01/24</v>
      </c>
      <c r="D67" s="3" t="s">
        <v>496</v>
      </c>
      <c r="E67" t="str">
        <f t="shared" ref="E67:E130" si="39">MID(D67,AT67+2,AU67-AT67-2)</f>
        <v>SW001</v>
      </c>
      <c r="F67" t="str">
        <f>INDEX(Katalog!$B$4:$B$13,MATCH('Main Data'!E67,Katalog!$C$4:$C$13,0))</f>
        <v>Flat Shoes</v>
      </c>
      <c r="G67" t="str">
        <f>VLOOKUP(E67,Katalog!$A$15:$B$25,2,0)</f>
        <v>Sepatu Wanita</v>
      </c>
      <c r="H67" t="str">
        <f t="shared" ref="H67:H130" si="40">MID(D67,AN67+2,AO67-AN67-2)</f>
        <v>2</v>
      </c>
      <c r="I67" t="str">
        <f t="shared" ref="I67:I130" si="41">MID(D67,AP67+2,AQ67-AP67-2)</f>
        <v>2</v>
      </c>
      <c r="J67" s="18">
        <f>VLOOKUP(E67,Katalog!$C$3:$F$13,2,0)</f>
        <v>150000</v>
      </c>
      <c r="K67" s="18">
        <f>VLOOKUP(E67,Katalog!$C$3:$F$13,3,0)</f>
        <v>70000</v>
      </c>
      <c r="L67" t="str">
        <f t="shared" ref="L67:L130" si="42">IFERROR(MID(D67,AR67+2,AS67-AR67-2),"-")</f>
        <v>PP002</v>
      </c>
      <c r="M67" t="str">
        <f>IFERROR(INDEX(Katalog!$B$4:$B$13,MATCH('Main Data'!L67,Katalog!$C$4:$C$13,0)), "-")</f>
        <v>Celana Pendek</v>
      </c>
      <c r="N67" t="str">
        <f>IFERROR(VLOOKUP(L67,Katalog!$A$15:$B$25,2,0),"-")</f>
        <v>Pakaian Pria</v>
      </c>
      <c r="O67" t="str">
        <f t="shared" ref="O67:O130" si="43">IFERROR(MID(D67,AV67+2,AW67-AV67-2),0)</f>
        <v>2</v>
      </c>
      <c r="P67" t="str">
        <f t="shared" ref="P67:P130" si="44">IFERROR(MID(D67,AX67+2,AY67-AX67-2),"-")</f>
        <v>5</v>
      </c>
      <c r="Q67" s="18">
        <f>IFERROR(VLOOKUP(L67,Katalog!$C$3:$F$13,2,0),0)</f>
        <v>60000</v>
      </c>
      <c r="R67" s="18">
        <f>IFERROR(VLOOKUP(L67,Katalog!$C$3:$F$13,3,0),0)</f>
        <v>25000</v>
      </c>
      <c r="S67" t="str">
        <f t="shared" ref="S67:S130" si="45">IFERROR(MID(D67,AZ67+2,BA67-AZ67-2),"-")</f>
        <v>-</v>
      </c>
      <c r="T67" t="str">
        <f>IFERROR(INDEX(Katalog!$B$4:$B$13,MATCH('Main Data'!S67,Katalog!$C$4:$C$13,0)),"-")</f>
        <v>-</v>
      </c>
      <c r="U67" t="str">
        <f>IFERROR(VLOOKUP(S67,Katalog!$A$15:$B$25,2,0),"-")</f>
        <v>-</v>
      </c>
      <c r="V67">
        <f t="shared" ref="V67:V130" si="46">IFERROR(MID(D67,BB67+2,BC67-BB67-2),0)</f>
        <v>0</v>
      </c>
      <c r="W67" s="28" t="str">
        <f t="shared" ref="W67:W130" si="47">IFERROR(MID(D67,BD67+2,BE67-BD67-2),"-")</f>
        <v>-</v>
      </c>
      <c r="X67" s="18">
        <f>IFERROR(VLOOKUP(S67,Katalog!$C$3:$F$13,2,0),0)</f>
        <v>0</v>
      </c>
      <c r="Y67" s="30">
        <f>IFERROR(VLOOKUP(S67,Katalog!$C$3:$F$13,3,0),0)</f>
        <v>0</v>
      </c>
      <c r="Z67" s="2">
        <f t="shared" ref="Z67:Z130" si="48">H67+O67+V67</f>
        <v>4</v>
      </c>
      <c r="AA67" s="4">
        <f t="shared" ref="AA67:AA130" si="49">J67*H67+Q67*O67+X67*V67</f>
        <v>420000</v>
      </c>
      <c r="AB67" s="4">
        <f t="shared" ref="AB67:AB130" si="50">K67*H67+R67*O67+Y67*V67</f>
        <v>190000</v>
      </c>
      <c r="AC67" s="4" t="s">
        <v>27</v>
      </c>
      <c r="AD67" s="16">
        <f>IFERROR(VLOOKUP(AC67,'Kode Diskon'!$C$2:$D$9,2,0),0)</f>
        <v>0.15</v>
      </c>
      <c r="AE67" s="31">
        <f t="shared" ref="AE67:AE130" si="51">AA67*AD67</f>
        <v>63000</v>
      </c>
      <c r="AF67" s="31">
        <f t="shared" ref="AF67:AF130" si="52">AA67-AE67</f>
        <v>357000</v>
      </c>
      <c r="AG67" s="31">
        <f t="shared" ref="AG67:AG130" si="53">AA67-AB67</f>
        <v>230000</v>
      </c>
      <c r="AH67" s="31">
        <f t="shared" ref="AH67:AH130" si="54">AF67-AB67</f>
        <v>167000</v>
      </c>
      <c r="AI67" s="4" t="s">
        <v>28</v>
      </c>
      <c r="AJ67" s="4" t="s">
        <v>13</v>
      </c>
      <c r="AK67" s="4" t="str">
        <f>IFERROR(VLOOKUP(AJ67,'Guide '!$A$13:$B$16,2,0),"-")</f>
        <v>BB</v>
      </c>
      <c r="AL67" s="4" t="s">
        <v>922</v>
      </c>
      <c r="AM67" s="40">
        <v>45317</v>
      </c>
      <c r="AN67">
        <f t="shared" ref="AN67:AN130" si="55">FIND(":",D67,AT67+1)</f>
        <v>29</v>
      </c>
      <c r="AO67">
        <f t="shared" ref="AO67:AO130" si="56">FIND(",",D67,AU67+1)</f>
        <v>32</v>
      </c>
      <c r="AP67">
        <f t="shared" ref="AP67:AP130" si="57">FIND(":",D67,AN67+1)</f>
        <v>40</v>
      </c>
      <c r="AQ67">
        <f t="shared" ref="AQ67:AQ130" si="58">FIND("}",D67,AO67+1)</f>
        <v>43</v>
      </c>
      <c r="AR67" s="26">
        <f t="shared" ref="AR67:AR130" si="59">IFERROR(FIND(":",D67,AP67+1),"-")</f>
        <v>56</v>
      </c>
      <c r="AS67" s="26">
        <f t="shared" ref="AS67:AS130" si="60">IFERROR(FIND(",",D67,AQ67+2),"-")</f>
        <v>63</v>
      </c>
      <c r="AT67" s="21">
        <f t="shared" ref="AT67:AT130" si="61">FIND(":",D67)</f>
        <v>12</v>
      </c>
      <c r="AU67" s="21">
        <f t="shared" ref="AU67:AU130" si="62">FIND(",",D67)</f>
        <v>19</v>
      </c>
      <c r="AV67">
        <f t="shared" ref="AV67:AV130" si="63">IFERROR(FIND(":",D67,AR67+1),"-")</f>
        <v>73</v>
      </c>
      <c r="AW67">
        <f t="shared" ref="AW67:AW130" si="64">IFERROR(FIND(",",D67,AS67+1),"-")</f>
        <v>76</v>
      </c>
      <c r="AX67">
        <f t="shared" ref="AX67:AX130" si="65">IFERROR(FIND(":",D67,AV67+1),"-")</f>
        <v>84</v>
      </c>
      <c r="AY67">
        <f t="shared" ref="AY67:AY130" si="66">IFERROR(FIND("}",D67,AW67+1),"-")</f>
        <v>87</v>
      </c>
      <c r="AZ67" t="str">
        <f t="shared" ref="AZ67:AZ130" si="67">IFERROR(FIND(":",D67,AX67+1),"-")</f>
        <v>-</v>
      </c>
      <c r="BA67" t="str">
        <f t="shared" ref="BA67:BA130" si="68">IFERROR(FIND(",",D67,AY67+2),"-")</f>
        <v>-</v>
      </c>
      <c r="BB67" t="str">
        <f t="shared" ref="BB67:BB130" si="69">IFERROR(FIND(":",D67,AZ67+1),"-")</f>
        <v>-</v>
      </c>
      <c r="BC67" t="str">
        <f t="shared" ref="BC67:BC130" si="70">IFERROR(FIND(",",D67,BA67+1),"-")</f>
        <v>-</v>
      </c>
      <c r="BD67" s="29" t="str">
        <f t="shared" ref="BD67:BD130" si="71">IFERROR(FIND(":",D67,BB67+1),"-")</f>
        <v>-</v>
      </c>
      <c r="BE67" s="29" t="str">
        <f t="shared" ref="BE67:BE130" si="72">IFERROR(FIND("}",D67,BC67+1),"-")</f>
        <v>-</v>
      </c>
    </row>
    <row r="68" spans="1:57" ht="15" x14ac:dyDescent="0.2">
      <c r="A68" s="2">
        <v>545</v>
      </c>
      <c r="B68" s="2" t="str">
        <f t="shared" si="37"/>
        <v>0545</v>
      </c>
      <c r="C68" t="str">
        <f t="shared" si="38"/>
        <v>ORD-TK-0545-26/01/24</v>
      </c>
      <c r="D68" s="3" t="s">
        <v>569</v>
      </c>
      <c r="E68" t="str">
        <f t="shared" si="39"/>
        <v>PW003</v>
      </c>
      <c r="F68" t="str">
        <f>INDEX(Katalog!$B$4:$B$13,MATCH('Main Data'!E68,Katalog!$C$4:$C$13,0))</f>
        <v>Kaftan</v>
      </c>
      <c r="G68" t="str">
        <f>VLOOKUP(E68,Katalog!$A$15:$B$25,2,0)</f>
        <v>Pakaian Wanita</v>
      </c>
      <c r="H68" t="str">
        <f t="shared" si="40"/>
        <v>7</v>
      </c>
      <c r="I68" t="str">
        <f t="shared" si="41"/>
        <v>3</v>
      </c>
      <c r="J68" s="18">
        <f>VLOOKUP(E68,Katalog!$C$3:$F$13,2,0)</f>
        <v>200000</v>
      </c>
      <c r="K68" s="18">
        <f>VLOOKUP(E68,Katalog!$C$3:$F$13,3,0)</f>
        <v>100000</v>
      </c>
      <c r="L68" t="str">
        <f t="shared" si="42"/>
        <v>-</v>
      </c>
      <c r="M68" t="str">
        <f>IFERROR(INDEX(Katalog!$B$4:$B$13,MATCH('Main Data'!L68,Katalog!$C$4:$C$13,0)), "-")</f>
        <v>-</v>
      </c>
      <c r="N68" t="str">
        <f>IFERROR(VLOOKUP(L68,Katalog!$A$15:$B$25,2,0),"-")</f>
        <v>-</v>
      </c>
      <c r="O68">
        <f t="shared" si="43"/>
        <v>0</v>
      </c>
      <c r="P68" t="str">
        <f t="shared" si="44"/>
        <v>-</v>
      </c>
      <c r="Q68" s="18">
        <f>IFERROR(VLOOKUP(L68,Katalog!$C$3:$F$13,2,0),0)</f>
        <v>0</v>
      </c>
      <c r="R68" s="18">
        <f>IFERROR(VLOOKUP(L68,Katalog!$C$3:$F$13,3,0),0)</f>
        <v>0</v>
      </c>
      <c r="S68" t="str">
        <f t="shared" si="45"/>
        <v>-</v>
      </c>
      <c r="T68" t="str">
        <f>IFERROR(INDEX(Katalog!$B$4:$B$13,MATCH('Main Data'!S68,Katalog!$C$4:$C$13,0)),"-")</f>
        <v>-</v>
      </c>
      <c r="U68" t="str">
        <f>IFERROR(VLOOKUP(S68,Katalog!$A$15:$B$25,2,0),"-")</f>
        <v>-</v>
      </c>
      <c r="V68">
        <f t="shared" si="46"/>
        <v>0</v>
      </c>
      <c r="W68" s="28" t="str">
        <f t="shared" si="47"/>
        <v>-</v>
      </c>
      <c r="X68" s="18">
        <f>IFERROR(VLOOKUP(S68,Katalog!$C$3:$F$13,2,0),0)</f>
        <v>0</v>
      </c>
      <c r="Y68" s="30">
        <f>IFERROR(VLOOKUP(S68,Katalog!$C$3:$F$13,3,0),0)</f>
        <v>0</v>
      </c>
      <c r="Z68" s="2">
        <f t="shared" si="48"/>
        <v>7</v>
      </c>
      <c r="AA68" s="4">
        <f t="shared" si="49"/>
        <v>1400000</v>
      </c>
      <c r="AB68" s="4">
        <f t="shared" si="50"/>
        <v>700000</v>
      </c>
      <c r="AC68" s="4" t="s">
        <v>29</v>
      </c>
      <c r="AD68" s="16">
        <f>IFERROR(VLOOKUP(AC68,'Kode Diskon'!$C$2:$D$9,2,0),0)</f>
        <v>0.1</v>
      </c>
      <c r="AE68" s="31">
        <f t="shared" si="51"/>
        <v>140000</v>
      </c>
      <c r="AF68" s="31">
        <f t="shared" si="52"/>
        <v>1260000</v>
      </c>
      <c r="AG68" s="31">
        <f t="shared" si="53"/>
        <v>700000</v>
      </c>
      <c r="AH68" s="31">
        <f t="shared" si="54"/>
        <v>560000</v>
      </c>
      <c r="AI68" s="4" t="s">
        <v>28</v>
      </c>
      <c r="AJ68" s="4" t="s">
        <v>9</v>
      </c>
      <c r="AK68" s="4" t="str">
        <f>IFERROR(VLOOKUP(AJ68,'Guide '!$A$13:$B$16,2,0),"-")</f>
        <v>TK</v>
      </c>
      <c r="AL68" s="4" t="s">
        <v>925</v>
      </c>
      <c r="AM68" s="40">
        <v>45317</v>
      </c>
      <c r="AN68">
        <f t="shared" si="55"/>
        <v>29</v>
      </c>
      <c r="AO68">
        <f t="shared" si="56"/>
        <v>32</v>
      </c>
      <c r="AP68">
        <f t="shared" si="57"/>
        <v>40</v>
      </c>
      <c r="AQ68">
        <f t="shared" si="58"/>
        <v>43</v>
      </c>
      <c r="AR68" s="26" t="str">
        <f t="shared" si="59"/>
        <v>-</v>
      </c>
      <c r="AS68" s="26" t="str">
        <f t="shared" si="60"/>
        <v>-</v>
      </c>
      <c r="AT68" s="21">
        <f t="shared" si="61"/>
        <v>12</v>
      </c>
      <c r="AU68" s="21">
        <f t="shared" si="62"/>
        <v>19</v>
      </c>
      <c r="AV68" t="str">
        <f t="shared" si="63"/>
        <v>-</v>
      </c>
      <c r="AW68" t="str">
        <f t="shared" si="64"/>
        <v>-</v>
      </c>
      <c r="AX68" t="str">
        <f t="shared" si="65"/>
        <v>-</v>
      </c>
      <c r="AY68" t="str">
        <f t="shared" si="66"/>
        <v>-</v>
      </c>
      <c r="AZ68" t="str">
        <f t="shared" si="67"/>
        <v>-</v>
      </c>
      <c r="BA68" t="str">
        <f t="shared" si="68"/>
        <v>-</v>
      </c>
      <c r="BB68" t="str">
        <f t="shared" si="69"/>
        <v>-</v>
      </c>
      <c r="BC68" t="str">
        <f t="shared" si="70"/>
        <v>-</v>
      </c>
      <c r="BD68" s="29" t="str">
        <f t="shared" si="71"/>
        <v>-</v>
      </c>
      <c r="BE68" s="29" t="str">
        <f t="shared" si="72"/>
        <v>-</v>
      </c>
    </row>
    <row r="69" spans="1:57" ht="15" x14ac:dyDescent="0.2">
      <c r="A69" s="2">
        <v>617</v>
      </c>
      <c r="B69" s="2" t="str">
        <f t="shared" si="37"/>
        <v>0617</v>
      </c>
      <c r="C69" t="str">
        <f t="shared" si="38"/>
        <v>ORD-TK-0617-26/01/24</v>
      </c>
      <c r="D69" s="3" t="s">
        <v>500</v>
      </c>
      <c r="E69" t="str">
        <f t="shared" si="39"/>
        <v>PW003</v>
      </c>
      <c r="F69" t="str">
        <f>INDEX(Katalog!$B$4:$B$13,MATCH('Main Data'!E69,Katalog!$C$4:$C$13,0))</f>
        <v>Kaftan</v>
      </c>
      <c r="G69" t="str">
        <f>VLOOKUP(E69,Katalog!$A$15:$B$25,2,0)</f>
        <v>Pakaian Wanita</v>
      </c>
      <c r="H69" t="str">
        <f t="shared" si="40"/>
        <v>2</v>
      </c>
      <c r="I69" t="str">
        <f t="shared" si="41"/>
        <v>4</v>
      </c>
      <c r="J69" s="18">
        <f>VLOOKUP(E69,Katalog!$C$3:$F$13,2,0)</f>
        <v>200000</v>
      </c>
      <c r="K69" s="18">
        <f>VLOOKUP(E69,Katalog!$C$3:$F$13,3,0)</f>
        <v>100000</v>
      </c>
      <c r="L69" t="str">
        <f t="shared" si="42"/>
        <v>-</v>
      </c>
      <c r="M69" t="str">
        <f>IFERROR(INDEX(Katalog!$B$4:$B$13,MATCH('Main Data'!L69,Katalog!$C$4:$C$13,0)), "-")</f>
        <v>-</v>
      </c>
      <c r="N69" t="str">
        <f>IFERROR(VLOOKUP(L69,Katalog!$A$15:$B$25,2,0),"-")</f>
        <v>-</v>
      </c>
      <c r="O69">
        <f t="shared" si="43"/>
        <v>0</v>
      </c>
      <c r="P69" t="str">
        <f t="shared" si="44"/>
        <v>-</v>
      </c>
      <c r="Q69" s="18">
        <f>IFERROR(VLOOKUP(L69,Katalog!$C$3:$F$13,2,0),0)</f>
        <v>0</v>
      </c>
      <c r="R69" s="18">
        <f>IFERROR(VLOOKUP(L69,Katalog!$C$3:$F$13,3,0),0)</f>
        <v>0</v>
      </c>
      <c r="S69" t="str">
        <f t="shared" si="45"/>
        <v>-</v>
      </c>
      <c r="T69" t="str">
        <f>IFERROR(INDEX(Katalog!$B$4:$B$13,MATCH('Main Data'!S69,Katalog!$C$4:$C$13,0)),"-")</f>
        <v>-</v>
      </c>
      <c r="U69" t="str">
        <f>IFERROR(VLOOKUP(S69,Katalog!$A$15:$B$25,2,0),"-")</f>
        <v>-</v>
      </c>
      <c r="V69">
        <f t="shared" si="46"/>
        <v>0</v>
      </c>
      <c r="W69" s="28" t="str">
        <f t="shared" si="47"/>
        <v>-</v>
      </c>
      <c r="X69" s="18">
        <f>IFERROR(VLOOKUP(S69,Katalog!$C$3:$F$13,2,0),0)</f>
        <v>0</v>
      </c>
      <c r="Y69" s="30">
        <f>IFERROR(VLOOKUP(S69,Katalog!$C$3:$F$13,3,0),0)</f>
        <v>0</v>
      </c>
      <c r="Z69" s="2">
        <f t="shared" si="48"/>
        <v>2</v>
      </c>
      <c r="AA69" s="4">
        <f t="shared" si="49"/>
        <v>400000</v>
      </c>
      <c r="AB69" s="4">
        <f t="shared" si="50"/>
        <v>200000</v>
      </c>
      <c r="AC69" s="4" t="s">
        <v>10</v>
      </c>
      <c r="AD69" s="16">
        <f>IFERROR(VLOOKUP(AC69,'Kode Diskon'!$C$2:$D$9,2,0),0)</f>
        <v>0</v>
      </c>
      <c r="AE69" s="31">
        <f t="shared" si="51"/>
        <v>0</v>
      </c>
      <c r="AF69" s="31">
        <f t="shared" si="52"/>
        <v>400000</v>
      </c>
      <c r="AG69" s="31">
        <f t="shared" si="53"/>
        <v>200000</v>
      </c>
      <c r="AH69" s="31">
        <f t="shared" si="54"/>
        <v>200000</v>
      </c>
      <c r="AI69" s="4" t="s">
        <v>10</v>
      </c>
      <c r="AJ69" s="4" t="s">
        <v>9</v>
      </c>
      <c r="AK69" s="4" t="str">
        <f>IFERROR(VLOOKUP(AJ69,'Guide '!$A$13:$B$16,2,0),"-")</f>
        <v>TK</v>
      </c>
      <c r="AL69" s="4" t="s">
        <v>921</v>
      </c>
      <c r="AM69" s="40">
        <v>45317</v>
      </c>
      <c r="AN69">
        <f t="shared" si="55"/>
        <v>29</v>
      </c>
      <c r="AO69">
        <f t="shared" si="56"/>
        <v>32</v>
      </c>
      <c r="AP69">
        <f t="shared" si="57"/>
        <v>40</v>
      </c>
      <c r="AQ69">
        <f t="shared" si="58"/>
        <v>43</v>
      </c>
      <c r="AR69" s="26" t="str">
        <f t="shared" si="59"/>
        <v>-</v>
      </c>
      <c r="AS69" s="26" t="str">
        <f t="shared" si="60"/>
        <v>-</v>
      </c>
      <c r="AT69" s="21">
        <f t="shared" si="61"/>
        <v>12</v>
      </c>
      <c r="AU69" s="21">
        <f t="shared" si="62"/>
        <v>19</v>
      </c>
      <c r="AV69" t="str">
        <f t="shared" si="63"/>
        <v>-</v>
      </c>
      <c r="AW69" t="str">
        <f t="shared" si="64"/>
        <v>-</v>
      </c>
      <c r="AX69" t="str">
        <f t="shared" si="65"/>
        <v>-</v>
      </c>
      <c r="AY69" t="str">
        <f t="shared" si="66"/>
        <v>-</v>
      </c>
      <c r="AZ69" t="str">
        <f t="shared" si="67"/>
        <v>-</v>
      </c>
      <c r="BA69" t="str">
        <f t="shared" si="68"/>
        <v>-</v>
      </c>
      <c r="BB69" t="str">
        <f t="shared" si="69"/>
        <v>-</v>
      </c>
      <c r="BC69" t="str">
        <f t="shared" si="70"/>
        <v>-</v>
      </c>
      <c r="BD69" s="29" t="str">
        <f t="shared" si="71"/>
        <v>-</v>
      </c>
      <c r="BE69" s="29" t="str">
        <f t="shared" si="72"/>
        <v>-</v>
      </c>
    </row>
    <row r="70" spans="1:57" ht="15" x14ac:dyDescent="0.2">
      <c r="A70" s="2">
        <v>259</v>
      </c>
      <c r="B70" s="2" t="str">
        <f t="shared" si="37"/>
        <v>0259</v>
      </c>
      <c r="C70" t="str">
        <f t="shared" si="38"/>
        <v>ORD-SP-0259-28/01/24</v>
      </c>
      <c r="D70" s="3" t="s">
        <v>323</v>
      </c>
      <c r="E70" t="str">
        <f t="shared" si="39"/>
        <v>PU001</v>
      </c>
      <c r="F70" t="str">
        <f>INDEX(Katalog!$B$4:$B$13,MATCH('Main Data'!E70,Katalog!$C$4:$C$13,0))</f>
        <v>Jaket Hoodie</v>
      </c>
      <c r="G70" t="str">
        <f>VLOOKUP(E70,Katalog!$A$15:$B$25,2,0)</f>
        <v>Pakaian Unisex</v>
      </c>
      <c r="H70" t="str">
        <f t="shared" si="40"/>
        <v>2</v>
      </c>
      <c r="I70" t="str">
        <f t="shared" si="41"/>
        <v>2</v>
      </c>
      <c r="J70" s="18">
        <f>VLOOKUP(E70,Katalog!$C$3:$F$13,2,0)</f>
        <v>160000</v>
      </c>
      <c r="K70" s="18">
        <f>VLOOKUP(E70,Katalog!$C$3:$F$13,3,0)</f>
        <v>60000</v>
      </c>
      <c r="L70" t="str">
        <f t="shared" si="42"/>
        <v>-</v>
      </c>
      <c r="M70" t="str">
        <f>IFERROR(INDEX(Katalog!$B$4:$B$13,MATCH('Main Data'!L70,Katalog!$C$4:$C$13,0)), "-")</f>
        <v>-</v>
      </c>
      <c r="N70" t="str">
        <f>IFERROR(VLOOKUP(L70,Katalog!$A$15:$B$25,2,0),"-")</f>
        <v>-</v>
      </c>
      <c r="O70">
        <f t="shared" si="43"/>
        <v>0</v>
      </c>
      <c r="P70" t="str">
        <f t="shared" si="44"/>
        <v>-</v>
      </c>
      <c r="Q70" s="18">
        <f>IFERROR(VLOOKUP(L70,Katalog!$C$3:$F$13,2,0),0)</f>
        <v>0</v>
      </c>
      <c r="R70" s="18">
        <f>IFERROR(VLOOKUP(L70,Katalog!$C$3:$F$13,3,0),0)</f>
        <v>0</v>
      </c>
      <c r="S70" t="str">
        <f t="shared" si="45"/>
        <v>-</v>
      </c>
      <c r="T70" t="str">
        <f>IFERROR(INDEX(Katalog!$B$4:$B$13,MATCH('Main Data'!S70,Katalog!$C$4:$C$13,0)),"-")</f>
        <v>-</v>
      </c>
      <c r="U70" t="str">
        <f>IFERROR(VLOOKUP(S70,Katalog!$A$15:$B$25,2,0),"-")</f>
        <v>-</v>
      </c>
      <c r="V70">
        <f t="shared" si="46"/>
        <v>0</v>
      </c>
      <c r="W70" s="28" t="str">
        <f t="shared" si="47"/>
        <v>-</v>
      </c>
      <c r="X70" s="18">
        <f>IFERROR(VLOOKUP(S70,Katalog!$C$3:$F$13,2,0),0)</f>
        <v>0</v>
      </c>
      <c r="Y70" s="30">
        <f>IFERROR(VLOOKUP(S70,Katalog!$C$3:$F$13,3,0),0)</f>
        <v>0</v>
      </c>
      <c r="Z70" s="2">
        <f t="shared" si="48"/>
        <v>2</v>
      </c>
      <c r="AA70" s="4">
        <f t="shared" si="49"/>
        <v>320000</v>
      </c>
      <c r="AB70" s="4">
        <f t="shared" si="50"/>
        <v>120000</v>
      </c>
      <c r="AC70" s="4" t="s">
        <v>10</v>
      </c>
      <c r="AD70" s="16">
        <f>IFERROR(VLOOKUP(AC70,'Kode Diskon'!$C$2:$D$9,2,0),0)</f>
        <v>0</v>
      </c>
      <c r="AE70" s="31">
        <f t="shared" si="51"/>
        <v>0</v>
      </c>
      <c r="AF70" s="31">
        <f t="shared" si="52"/>
        <v>320000</v>
      </c>
      <c r="AG70" s="31">
        <f t="shared" si="53"/>
        <v>200000</v>
      </c>
      <c r="AH70" s="31">
        <f t="shared" si="54"/>
        <v>200000</v>
      </c>
      <c r="AI70" s="4" t="s">
        <v>10</v>
      </c>
      <c r="AJ70" s="4" t="s">
        <v>6</v>
      </c>
      <c r="AK70" s="4" t="str">
        <f>IFERROR(VLOOKUP(AJ70,'Guide '!$A$13:$B$16,2,0),"-")</f>
        <v>SP</v>
      </c>
      <c r="AL70" s="4" t="s">
        <v>923</v>
      </c>
      <c r="AM70" s="40">
        <v>45319</v>
      </c>
      <c r="AN70">
        <f t="shared" si="55"/>
        <v>29</v>
      </c>
      <c r="AO70">
        <f t="shared" si="56"/>
        <v>32</v>
      </c>
      <c r="AP70">
        <f t="shared" si="57"/>
        <v>40</v>
      </c>
      <c r="AQ70">
        <f t="shared" si="58"/>
        <v>43</v>
      </c>
      <c r="AR70" s="26" t="str">
        <f t="shared" si="59"/>
        <v>-</v>
      </c>
      <c r="AS70" s="26" t="str">
        <f t="shared" si="60"/>
        <v>-</v>
      </c>
      <c r="AT70" s="21">
        <f t="shared" si="61"/>
        <v>12</v>
      </c>
      <c r="AU70" s="21">
        <f t="shared" si="62"/>
        <v>19</v>
      </c>
      <c r="AV70" t="str">
        <f t="shared" si="63"/>
        <v>-</v>
      </c>
      <c r="AW70" t="str">
        <f t="shared" si="64"/>
        <v>-</v>
      </c>
      <c r="AX70" t="str">
        <f t="shared" si="65"/>
        <v>-</v>
      </c>
      <c r="AY70" t="str">
        <f t="shared" si="66"/>
        <v>-</v>
      </c>
      <c r="AZ70" t="str">
        <f t="shared" si="67"/>
        <v>-</v>
      </c>
      <c r="BA70" t="str">
        <f t="shared" si="68"/>
        <v>-</v>
      </c>
      <c r="BB70" t="str">
        <f t="shared" si="69"/>
        <v>-</v>
      </c>
      <c r="BC70" t="str">
        <f t="shared" si="70"/>
        <v>-</v>
      </c>
      <c r="BD70" s="29" t="str">
        <f t="shared" si="71"/>
        <v>-</v>
      </c>
      <c r="BE70" s="29" t="str">
        <f t="shared" si="72"/>
        <v>-</v>
      </c>
    </row>
    <row r="71" spans="1:57" ht="15" x14ac:dyDescent="0.2">
      <c r="A71" s="2">
        <v>989</v>
      </c>
      <c r="B71" s="2" t="str">
        <f t="shared" si="37"/>
        <v>0989</v>
      </c>
      <c r="C71" t="str">
        <f t="shared" si="38"/>
        <v>ORD-SP-0989-28/01/24</v>
      </c>
      <c r="D71" s="3" t="s">
        <v>911</v>
      </c>
      <c r="E71" t="str">
        <f t="shared" si="39"/>
        <v>PP003</v>
      </c>
      <c r="F71" t="str">
        <f>INDEX(Katalog!$B$4:$B$13,MATCH('Main Data'!E71,Katalog!$C$4:$C$13,0))</f>
        <v>Jaket Jeans</v>
      </c>
      <c r="G71" t="str">
        <f>VLOOKUP(E71,Katalog!$A$15:$B$25,2,0)</f>
        <v>Pakaian Pria</v>
      </c>
      <c r="H71" t="str">
        <f t="shared" si="40"/>
        <v>1</v>
      </c>
      <c r="I71" t="str">
        <f t="shared" si="41"/>
        <v>1</v>
      </c>
      <c r="J71" s="18">
        <f>VLOOKUP(E71,Katalog!$C$3:$F$13,2,0)</f>
        <v>150000</v>
      </c>
      <c r="K71" s="18">
        <f>VLOOKUP(E71,Katalog!$C$3:$F$13,3,0)</f>
        <v>70000</v>
      </c>
      <c r="L71" t="str">
        <f t="shared" si="42"/>
        <v>SW001</v>
      </c>
      <c r="M71" t="str">
        <f>IFERROR(INDEX(Katalog!$B$4:$B$13,MATCH('Main Data'!L71,Katalog!$C$4:$C$13,0)), "-")</f>
        <v>Flat Shoes</v>
      </c>
      <c r="N71" t="str">
        <f>IFERROR(VLOOKUP(L71,Katalog!$A$15:$B$25,2,0),"-")</f>
        <v>Sepatu Wanita</v>
      </c>
      <c r="O71" t="str">
        <f t="shared" si="43"/>
        <v>2</v>
      </c>
      <c r="P71" t="str">
        <f t="shared" si="44"/>
        <v>5</v>
      </c>
      <c r="Q71" s="18">
        <f>IFERROR(VLOOKUP(L71,Katalog!$C$3:$F$13,2,0),0)</f>
        <v>150000</v>
      </c>
      <c r="R71" s="18">
        <f>IFERROR(VLOOKUP(L71,Katalog!$C$3:$F$13,3,0),0)</f>
        <v>70000</v>
      </c>
      <c r="S71" t="str">
        <f t="shared" si="45"/>
        <v>PU001</v>
      </c>
      <c r="T71" t="str">
        <f>IFERROR(INDEX(Katalog!$B$4:$B$13,MATCH('Main Data'!S71,Katalog!$C$4:$C$13,0)),"-")</f>
        <v>Jaket Hoodie</v>
      </c>
      <c r="U71" t="str">
        <f>IFERROR(VLOOKUP(S71,Katalog!$A$15:$B$25,2,0),"-")</f>
        <v>Pakaian Unisex</v>
      </c>
      <c r="V71" t="str">
        <f t="shared" si="46"/>
        <v>1</v>
      </c>
      <c r="W71" s="28" t="str">
        <f t="shared" si="47"/>
        <v>1</v>
      </c>
      <c r="X71" s="18">
        <f>IFERROR(VLOOKUP(S71,Katalog!$C$3:$F$13,2,0),0)</f>
        <v>160000</v>
      </c>
      <c r="Y71" s="30">
        <f>IFERROR(VLOOKUP(S71,Katalog!$C$3:$F$13,3,0),0)</f>
        <v>60000</v>
      </c>
      <c r="Z71" s="2">
        <f t="shared" si="48"/>
        <v>4</v>
      </c>
      <c r="AA71" s="4">
        <f t="shared" si="49"/>
        <v>610000</v>
      </c>
      <c r="AB71" s="4">
        <f t="shared" si="50"/>
        <v>270000</v>
      </c>
      <c r="AC71" s="4" t="s">
        <v>10</v>
      </c>
      <c r="AD71" s="16">
        <f>IFERROR(VLOOKUP(AC71,'Kode Diskon'!$C$2:$D$9,2,0),0)</f>
        <v>0</v>
      </c>
      <c r="AE71" s="31">
        <f t="shared" si="51"/>
        <v>0</v>
      </c>
      <c r="AF71" s="31">
        <f t="shared" si="52"/>
        <v>610000</v>
      </c>
      <c r="AG71" s="31">
        <f t="shared" si="53"/>
        <v>340000</v>
      </c>
      <c r="AH71" s="31">
        <f t="shared" si="54"/>
        <v>340000</v>
      </c>
      <c r="AI71" s="4" t="s">
        <v>10</v>
      </c>
      <c r="AJ71" s="4" t="s">
        <v>6</v>
      </c>
      <c r="AK71" s="4" t="str">
        <f>IFERROR(VLOOKUP(AJ71,'Guide '!$A$13:$B$16,2,0),"-")</f>
        <v>SP</v>
      </c>
      <c r="AL71" s="4" t="s">
        <v>922</v>
      </c>
      <c r="AM71" s="40">
        <v>45319</v>
      </c>
      <c r="AN71">
        <f t="shared" si="55"/>
        <v>29</v>
      </c>
      <c r="AO71">
        <f t="shared" si="56"/>
        <v>32</v>
      </c>
      <c r="AP71">
        <f t="shared" si="57"/>
        <v>40</v>
      </c>
      <c r="AQ71">
        <f t="shared" si="58"/>
        <v>43</v>
      </c>
      <c r="AR71" s="26">
        <f t="shared" si="59"/>
        <v>56</v>
      </c>
      <c r="AS71" s="26">
        <f t="shared" si="60"/>
        <v>63</v>
      </c>
      <c r="AT71" s="21">
        <f t="shared" si="61"/>
        <v>12</v>
      </c>
      <c r="AU71" s="21">
        <f t="shared" si="62"/>
        <v>19</v>
      </c>
      <c r="AV71">
        <f t="shared" si="63"/>
        <v>73</v>
      </c>
      <c r="AW71">
        <f t="shared" si="64"/>
        <v>76</v>
      </c>
      <c r="AX71">
        <f t="shared" si="65"/>
        <v>84</v>
      </c>
      <c r="AY71">
        <f t="shared" si="66"/>
        <v>87</v>
      </c>
      <c r="AZ71">
        <f t="shared" si="67"/>
        <v>100</v>
      </c>
      <c r="BA71">
        <f t="shared" si="68"/>
        <v>107</v>
      </c>
      <c r="BB71">
        <f t="shared" si="69"/>
        <v>117</v>
      </c>
      <c r="BC71">
        <f t="shared" si="70"/>
        <v>120</v>
      </c>
      <c r="BD71" s="29">
        <f t="shared" si="71"/>
        <v>128</v>
      </c>
      <c r="BE71" s="29">
        <f t="shared" si="72"/>
        <v>131</v>
      </c>
    </row>
    <row r="72" spans="1:57" ht="15" x14ac:dyDescent="0.2">
      <c r="A72" s="2">
        <v>811</v>
      </c>
      <c r="B72" s="2" t="str">
        <f t="shared" si="37"/>
        <v>0811</v>
      </c>
      <c r="C72" t="str">
        <f t="shared" si="38"/>
        <v>ORD-SP-0811-29/01/24</v>
      </c>
      <c r="D72" s="3" t="s">
        <v>775</v>
      </c>
      <c r="E72" t="str">
        <f t="shared" si="39"/>
        <v>SP002</v>
      </c>
      <c r="F72" t="str">
        <f>INDEX(Katalog!$B$4:$B$13,MATCH('Main Data'!E72,Katalog!$C$4:$C$13,0))</f>
        <v>Sandal Slip On</v>
      </c>
      <c r="G72" t="str">
        <f>VLOOKUP(E72,Katalog!$A$15:$B$25,2,0)</f>
        <v>Sepatu Pria</v>
      </c>
      <c r="H72" t="str">
        <f t="shared" si="40"/>
        <v>4</v>
      </c>
      <c r="I72" t="str">
        <f t="shared" si="41"/>
        <v>1</v>
      </c>
      <c r="J72" s="18">
        <f>VLOOKUP(E72,Katalog!$C$3:$F$13,2,0)</f>
        <v>120000</v>
      </c>
      <c r="K72" s="18">
        <f>VLOOKUP(E72,Katalog!$C$3:$F$13,3,0)</f>
        <v>60000</v>
      </c>
      <c r="L72" t="str">
        <f t="shared" si="42"/>
        <v>PU001</v>
      </c>
      <c r="M72" t="str">
        <f>IFERROR(INDEX(Katalog!$B$4:$B$13,MATCH('Main Data'!L72,Katalog!$C$4:$C$13,0)), "-")</f>
        <v>Jaket Hoodie</v>
      </c>
      <c r="N72" t="str">
        <f>IFERROR(VLOOKUP(L72,Katalog!$A$15:$B$25,2,0),"-")</f>
        <v>Pakaian Unisex</v>
      </c>
      <c r="O72" t="str">
        <f t="shared" si="43"/>
        <v>2</v>
      </c>
      <c r="P72" t="str">
        <f t="shared" si="44"/>
        <v>4</v>
      </c>
      <c r="Q72" s="18">
        <f>IFERROR(VLOOKUP(L72,Katalog!$C$3:$F$13,2,0),0)</f>
        <v>160000</v>
      </c>
      <c r="R72" s="18">
        <f>IFERROR(VLOOKUP(L72,Katalog!$C$3:$F$13,3,0),0)</f>
        <v>60000</v>
      </c>
      <c r="S72" t="str">
        <f t="shared" si="45"/>
        <v>-</v>
      </c>
      <c r="T72" t="str">
        <f>IFERROR(INDEX(Katalog!$B$4:$B$13,MATCH('Main Data'!S72,Katalog!$C$4:$C$13,0)),"-")</f>
        <v>-</v>
      </c>
      <c r="U72" t="str">
        <f>IFERROR(VLOOKUP(S72,Katalog!$A$15:$B$25,2,0),"-")</f>
        <v>-</v>
      </c>
      <c r="V72">
        <f t="shared" si="46"/>
        <v>0</v>
      </c>
      <c r="W72" s="28" t="str">
        <f t="shared" si="47"/>
        <v>-</v>
      </c>
      <c r="X72" s="18">
        <f>IFERROR(VLOOKUP(S72,Katalog!$C$3:$F$13,2,0),0)</f>
        <v>0</v>
      </c>
      <c r="Y72" s="30">
        <f>IFERROR(VLOOKUP(S72,Katalog!$C$3:$F$13,3,0),0)</f>
        <v>0</v>
      </c>
      <c r="Z72" s="2">
        <f t="shared" si="48"/>
        <v>6</v>
      </c>
      <c r="AA72" s="4">
        <f t="shared" si="49"/>
        <v>800000</v>
      </c>
      <c r="AB72" s="4">
        <f t="shared" si="50"/>
        <v>360000</v>
      </c>
      <c r="AC72" s="4" t="s">
        <v>5</v>
      </c>
      <c r="AD72" s="16">
        <f>IFERROR(VLOOKUP(AC72,'Kode Diskon'!$C$2:$D$9,2,0),0)</f>
        <v>0.1</v>
      </c>
      <c r="AE72" s="31">
        <f t="shared" si="51"/>
        <v>80000</v>
      </c>
      <c r="AF72" s="31">
        <f t="shared" si="52"/>
        <v>720000</v>
      </c>
      <c r="AG72" s="31">
        <f t="shared" si="53"/>
        <v>440000</v>
      </c>
      <c r="AH72" s="31">
        <f t="shared" si="54"/>
        <v>360000</v>
      </c>
      <c r="AI72" s="4" t="s">
        <v>28</v>
      </c>
      <c r="AJ72" s="4" t="s">
        <v>6</v>
      </c>
      <c r="AK72" s="4" t="str">
        <f>IFERROR(VLOOKUP(AJ72,'Guide '!$A$13:$B$16,2,0),"-")</f>
        <v>SP</v>
      </c>
      <c r="AL72" s="4" t="s">
        <v>925</v>
      </c>
      <c r="AM72" s="40">
        <v>45320</v>
      </c>
      <c r="AN72">
        <f t="shared" si="55"/>
        <v>29</v>
      </c>
      <c r="AO72">
        <f t="shared" si="56"/>
        <v>32</v>
      </c>
      <c r="AP72">
        <f t="shared" si="57"/>
        <v>40</v>
      </c>
      <c r="AQ72">
        <f t="shared" si="58"/>
        <v>43</v>
      </c>
      <c r="AR72" s="26">
        <f t="shared" si="59"/>
        <v>56</v>
      </c>
      <c r="AS72" s="26">
        <f t="shared" si="60"/>
        <v>63</v>
      </c>
      <c r="AT72" s="21">
        <f t="shared" si="61"/>
        <v>12</v>
      </c>
      <c r="AU72" s="21">
        <f t="shared" si="62"/>
        <v>19</v>
      </c>
      <c r="AV72">
        <f t="shared" si="63"/>
        <v>73</v>
      </c>
      <c r="AW72">
        <f t="shared" si="64"/>
        <v>76</v>
      </c>
      <c r="AX72">
        <f t="shared" si="65"/>
        <v>84</v>
      </c>
      <c r="AY72">
        <f t="shared" si="66"/>
        <v>87</v>
      </c>
      <c r="AZ72" t="str">
        <f t="shared" si="67"/>
        <v>-</v>
      </c>
      <c r="BA72" t="str">
        <f t="shared" si="68"/>
        <v>-</v>
      </c>
      <c r="BB72" t="str">
        <f t="shared" si="69"/>
        <v>-</v>
      </c>
      <c r="BC72" t="str">
        <f t="shared" si="70"/>
        <v>-</v>
      </c>
      <c r="BD72" s="29" t="str">
        <f t="shared" si="71"/>
        <v>-</v>
      </c>
      <c r="BE72" s="29" t="str">
        <f t="shared" si="72"/>
        <v>-</v>
      </c>
    </row>
    <row r="73" spans="1:57" ht="15" x14ac:dyDescent="0.2">
      <c r="A73" s="2">
        <v>433</v>
      </c>
      <c r="B73" s="2" t="str">
        <f t="shared" si="37"/>
        <v>0433</v>
      </c>
      <c r="C73" t="str">
        <f t="shared" si="38"/>
        <v>ORD-SP-0433-30/01/24</v>
      </c>
      <c r="D73" s="3" t="s">
        <v>474</v>
      </c>
      <c r="E73" t="str">
        <f t="shared" si="39"/>
        <v>PW002</v>
      </c>
      <c r="F73" t="str">
        <f>INDEX(Katalog!$B$4:$B$13,MATCH('Main Data'!E73,Katalog!$C$4:$C$13,0))</f>
        <v>Blouse</v>
      </c>
      <c r="G73" t="str">
        <f>VLOOKUP(E73,Katalog!$A$15:$B$25,2,0)</f>
        <v>Pakaian Wanita</v>
      </c>
      <c r="H73" t="str">
        <f t="shared" si="40"/>
        <v>1</v>
      </c>
      <c r="I73" t="str">
        <f t="shared" si="41"/>
        <v>3</v>
      </c>
      <c r="J73" s="18">
        <f>VLOOKUP(E73,Katalog!$C$3:$F$13,2,0)</f>
        <v>125000</v>
      </c>
      <c r="K73" s="18">
        <f>VLOOKUP(E73,Katalog!$C$3:$F$13,3,0)</f>
        <v>50000</v>
      </c>
      <c r="L73" t="str">
        <f t="shared" si="42"/>
        <v>PP001</v>
      </c>
      <c r="M73" t="str">
        <f>IFERROR(INDEX(Katalog!$B$4:$B$13,MATCH('Main Data'!L73,Katalog!$C$4:$C$13,0)), "-")</f>
        <v>Kaos Polo</v>
      </c>
      <c r="N73" t="str">
        <f>IFERROR(VLOOKUP(L73,Katalog!$A$15:$B$25,2,0),"-")</f>
        <v>Pakaian Pria</v>
      </c>
      <c r="O73" t="str">
        <f t="shared" si="43"/>
        <v>1</v>
      </c>
      <c r="P73" t="str">
        <f t="shared" si="44"/>
        <v>3</v>
      </c>
      <c r="Q73" s="18">
        <f>IFERROR(VLOOKUP(L73,Katalog!$C$3:$F$13,2,0),0)</f>
        <v>80000</v>
      </c>
      <c r="R73" s="18">
        <f>IFERROR(VLOOKUP(L73,Katalog!$C$3:$F$13,3,0),0)</f>
        <v>30000</v>
      </c>
      <c r="S73" t="str">
        <f t="shared" si="45"/>
        <v>PP002</v>
      </c>
      <c r="T73" t="str">
        <f>IFERROR(INDEX(Katalog!$B$4:$B$13,MATCH('Main Data'!S73,Katalog!$C$4:$C$13,0)),"-")</f>
        <v>Celana Pendek</v>
      </c>
      <c r="U73" t="str">
        <f>IFERROR(VLOOKUP(S73,Katalog!$A$15:$B$25,2,0),"-")</f>
        <v>Pakaian Pria</v>
      </c>
      <c r="V73" t="str">
        <f t="shared" si="46"/>
        <v>1</v>
      </c>
      <c r="W73" s="28" t="str">
        <f t="shared" si="47"/>
        <v>2</v>
      </c>
      <c r="X73" s="18">
        <f>IFERROR(VLOOKUP(S73,Katalog!$C$3:$F$13,2,0),0)</f>
        <v>60000</v>
      </c>
      <c r="Y73" s="30">
        <f>IFERROR(VLOOKUP(S73,Katalog!$C$3:$F$13,3,0),0)</f>
        <v>25000</v>
      </c>
      <c r="Z73" s="2">
        <f t="shared" si="48"/>
        <v>3</v>
      </c>
      <c r="AA73" s="4">
        <f t="shared" si="49"/>
        <v>265000</v>
      </c>
      <c r="AB73" s="4">
        <f t="shared" si="50"/>
        <v>105000</v>
      </c>
      <c r="AC73" s="4" t="s">
        <v>10</v>
      </c>
      <c r="AD73" s="16">
        <f>IFERROR(VLOOKUP(AC73,'Kode Diskon'!$C$2:$D$9,2,0),0)</f>
        <v>0</v>
      </c>
      <c r="AE73" s="31">
        <f t="shared" si="51"/>
        <v>0</v>
      </c>
      <c r="AF73" s="31">
        <f t="shared" si="52"/>
        <v>265000</v>
      </c>
      <c r="AG73" s="31">
        <f t="shared" si="53"/>
        <v>160000</v>
      </c>
      <c r="AH73" s="31">
        <f t="shared" si="54"/>
        <v>160000</v>
      </c>
      <c r="AI73" s="4" t="s">
        <v>10</v>
      </c>
      <c r="AJ73" s="4" t="s">
        <v>6</v>
      </c>
      <c r="AK73" s="4" t="str">
        <f>IFERROR(VLOOKUP(AJ73,'Guide '!$A$13:$B$16,2,0),"-")</f>
        <v>SP</v>
      </c>
      <c r="AL73" s="4" t="s">
        <v>925</v>
      </c>
      <c r="AM73" s="40">
        <v>45321</v>
      </c>
      <c r="AN73">
        <f t="shared" si="55"/>
        <v>29</v>
      </c>
      <c r="AO73">
        <f t="shared" si="56"/>
        <v>32</v>
      </c>
      <c r="AP73">
        <f t="shared" si="57"/>
        <v>40</v>
      </c>
      <c r="AQ73">
        <f t="shared" si="58"/>
        <v>43</v>
      </c>
      <c r="AR73" s="26">
        <f t="shared" si="59"/>
        <v>56</v>
      </c>
      <c r="AS73" s="26">
        <f t="shared" si="60"/>
        <v>63</v>
      </c>
      <c r="AT73" s="21">
        <f t="shared" si="61"/>
        <v>12</v>
      </c>
      <c r="AU73" s="21">
        <f t="shared" si="62"/>
        <v>19</v>
      </c>
      <c r="AV73">
        <f t="shared" si="63"/>
        <v>73</v>
      </c>
      <c r="AW73">
        <f t="shared" si="64"/>
        <v>76</v>
      </c>
      <c r="AX73">
        <f t="shared" si="65"/>
        <v>84</v>
      </c>
      <c r="AY73">
        <f t="shared" si="66"/>
        <v>87</v>
      </c>
      <c r="AZ73">
        <f t="shared" si="67"/>
        <v>100</v>
      </c>
      <c r="BA73">
        <f t="shared" si="68"/>
        <v>107</v>
      </c>
      <c r="BB73">
        <f t="shared" si="69"/>
        <v>117</v>
      </c>
      <c r="BC73">
        <f t="shared" si="70"/>
        <v>120</v>
      </c>
      <c r="BD73" s="29">
        <f t="shared" si="71"/>
        <v>128</v>
      </c>
      <c r="BE73" s="29">
        <f t="shared" si="72"/>
        <v>131</v>
      </c>
    </row>
    <row r="74" spans="1:57" ht="15" x14ac:dyDescent="0.2">
      <c r="A74" s="2">
        <v>700</v>
      </c>
      <c r="B74" s="2" t="str">
        <f t="shared" si="37"/>
        <v>0700</v>
      </c>
      <c r="C74" t="str">
        <f t="shared" si="38"/>
        <v>ORD-SP-0700-30/01/24</v>
      </c>
      <c r="D74" s="3" t="s">
        <v>693</v>
      </c>
      <c r="E74" t="str">
        <f t="shared" si="39"/>
        <v>SW001</v>
      </c>
      <c r="F74" t="str">
        <f>INDEX(Katalog!$B$4:$B$13,MATCH('Main Data'!E74,Katalog!$C$4:$C$13,0))</f>
        <v>Flat Shoes</v>
      </c>
      <c r="G74" t="str">
        <f>VLOOKUP(E74,Katalog!$A$15:$B$25,2,0)</f>
        <v>Sepatu Wanita</v>
      </c>
      <c r="H74" t="str">
        <f t="shared" si="40"/>
        <v>6</v>
      </c>
      <c r="I74" t="str">
        <f t="shared" si="41"/>
        <v>4</v>
      </c>
      <c r="J74" s="18">
        <f>VLOOKUP(E74,Katalog!$C$3:$F$13,2,0)</f>
        <v>150000</v>
      </c>
      <c r="K74" s="18">
        <f>VLOOKUP(E74,Katalog!$C$3:$F$13,3,0)</f>
        <v>70000</v>
      </c>
      <c r="L74" t="str">
        <f t="shared" si="42"/>
        <v>SP002</v>
      </c>
      <c r="M74" t="str">
        <f>IFERROR(INDEX(Katalog!$B$4:$B$13,MATCH('Main Data'!L74,Katalog!$C$4:$C$13,0)), "-")</f>
        <v>Sandal Slip On</v>
      </c>
      <c r="N74" t="str">
        <f>IFERROR(VLOOKUP(L74,Katalog!$A$15:$B$25,2,0),"-")</f>
        <v>Sepatu Pria</v>
      </c>
      <c r="O74" t="str">
        <f t="shared" si="43"/>
        <v>1</v>
      </c>
      <c r="P74" t="str">
        <f t="shared" si="44"/>
        <v>3</v>
      </c>
      <c r="Q74" s="18">
        <f>IFERROR(VLOOKUP(L74,Katalog!$C$3:$F$13,2,0),0)</f>
        <v>120000</v>
      </c>
      <c r="R74" s="18">
        <f>IFERROR(VLOOKUP(L74,Katalog!$C$3:$F$13,3,0),0)</f>
        <v>60000</v>
      </c>
      <c r="S74" t="str">
        <f t="shared" si="45"/>
        <v>-</v>
      </c>
      <c r="T74" t="str">
        <f>IFERROR(INDEX(Katalog!$B$4:$B$13,MATCH('Main Data'!S74,Katalog!$C$4:$C$13,0)),"-")</f>
        <v>-</v>
      </c>
      <c r="U74" t="str">
        <f>IFERROR(VLOOKUP(S74,Katalog!$A$15:$B$25,2,0),"-")</f>
        <v>-</v>
      </c>
      <c r="V74">
        <f t="shared" si="46"/>
        <v>0</v>
      </c>
      <c r="W74" s="28" t="str">
        <f t="shared" si="47"/>
        <v>-</v>
      </c>
      <c r="X74" s="18">
        <f>IFERROR(VLOOKUP(S74,Katalog!$C$3:$F$13,2,0),0)</f>
        <v>0</v>
      </c>
      <c r="Y74" s="30">
        <f>IFERROR(VLOOKUP(S74,Katalog!$C$3:$F$13,3,0),0)</f>
        <v>0</v>
      </c>
      <c r="Z74" s="2">
        <f t="shared" si="48"/>
        <v>7</v>
      </c>
      <c r="AA74" s="4">
        <f t="shared" si="49"/>
        <v>1020000</v>
      </c>
      <c r="AB74" s="4">
        <f t="shared" si="50"/>
        <v>480000</v>
      </c>
      <c r="AC74" s="4" t="s">
        <v>5</v>
      </c>
      <c r="AD74" s="16">
        <f>IFERROR(VLOOKUP(AC74,'Kode Diskon'!$C$2:$D$9,2,0),0)</f>
        <v>0.1</v>
      </c>
      <c r="AE74" s="31">
        <f t="shared" si="51"/>
        <v>102000</v>
      </c>
      <c r="AF74" s="31">
        <f t="shared" si="52"/>
        <v>918000</v>
      </c>
      <c r="AG74" s="31">
        <f t="shared" si="53"/>
        <v>540000</v>
      </c>
      <c r="AH74" s="31">
        <f t="shared" si="54"/>
        <v>438000</v>
      </c>
      <c r="AI74" s="4" t="s">
        <v>28</v>
      </c>
      <c r="AJ74" s="4" t="s">
        <v>6</v>
      </c>
      <c r="AK74" s="4" t="str">
        <f>IFERROR(VLOOKUP(AJ74,'Guide '!$A$13:$B$16,2,0),"-")</f>
        <v>SP</v>
      </c>
      <c r="AL74" s="4" t="s">
        <v>1006</v>
      </c>
      <c r="AM74" s="40">
        <v>45321</v>
      </c>
      <c r="AN74">
        <f t="shared" si="55"/>
        <v>29</v>
      </c>
      <c r="AO74">
        <f t="shared" si="56"/>
        <v>32</v>
      </c>
      <c r="AP74">
        <f t="shared" si="57"/>
        <v>40</v>
      </c>
      <c r="AQ74">
        <f t="shared" si="58"/>
        <v>43</v>
      </c>
      <c r="AR74" s="26">
        <f t="shared" si="59"/>
        <v>56</v>
      </c>
      <c r="AS74" s="26">
        <f t="shared" si="60"/>
        <v>63</v>
      </c>
      <c r="AT74" s="21">
        <f t="shared" si="61"/>
        <v>12</v>
      </c>
      <c r="AU74" s="21">
        <f t="shared" si="62"/>
        <v>19</v>
      </c>
      <c r="AV74">
        <f t="shared" si="63"/>
        <v>73</v>
      </c>
      <c r="AW74">
        <f t="shared" si="64"/>
        <v>76</v>
      </c>
      <c r="AX74">
        <f t="shared" si="65"/>
        <v>84</v>
      </c>
      <c r="AY74">
        <f t="shared" si="66"/>
        <v>87</v>
      </c>
      <c r="AZ74" t="str">
        <f t="shared" si="67"/>
        <v>-</v>
      </c>
      <c r="BA74" t="str">
        <f t="shared" si="68"/>
        <v>-</v>
      </c>
      <c r="BB74" t="str">
        <f t="shared" si="69"/>
        <v>-</v>
      </c>
      <c r="BC74" t="str">
        <f t="shared" si="70"/>
        <v>-</v>
      </c>
      <c r="BD74" s="29" t="str">
        <f t="shared" si="71"/>
        <v>-</v>
      </c>
      <c r="BE74" s="29" t="str">
        <f t="shared" si="72"/>
        <v>-</v>
      </c>
    </row>
    <row r="75" spans="1:57" ht="15" x14ac:dyDescent="0.2">
      <c r="A75" s="2">
        <v>23</v>
      </c>
      <c r="B75" s="2" t="str">
        <f t="shared" si="37"/>
        <v>0023</v>
      </c>
      <c r="C75" t="str">
        <f t="shared" si="38"/>
        <v>ORD-SP-0023-31/01/24</v>
      </c>
      <c r="D75" s="3" t="s">
        <v>97</v>
      </c>
      <c r="E75" t="str">
        <f t="shared" si="39"/>
        <v>PW002</v>
      </c>
      <c r="F75" t="str">
        <f>INDEX(Katalog!$B$4:$B$13,MATCH('Main Data'!E75,Katalog!$C$4:$C$13,0))</f>
        <v>Blouse</v>
      </c>
      <c r="G75" t="str">
        <f>VLOOKUP(E75,Katalog!$A$15:$B$25,2,0)</f>
        <v>Pakaian Wanita</v>
      </c>
      <c r="H75" t="str">
        <f t="shared" si="40"/>
        <v>3</v>
      </c>
      <c r="I75" t="str">
        <f t="shared" si="41"/>
        <v>2</v>
      </c>
      <c r="J75" s="18">
        <f>VLOOKUP(E75,Katalog!$C$3:$F$13,2,0)</f>
        <v>125000</v>
      </c>
      <c r="K75" s="18">
        <f>VLOOKUP(E75,Katalog!$C$3:$F$13,3,0)</f>
        <v>50000</v>
      </c>
      <c r="L75" t="str">
        <f t="shared" si="42"/>
        <v>SP002</v>
      </c>
      <c r="M75" t="str">
        <f>IFERROR(INDEX(Katalog!$B$4:$B$13,MATCH('Main Data'!L75,Katalog!$C$4:$C$13,0)), "-")</f>
        <v>Sandal Slip On</v>
      </c>
      <c r="N75" t="str">
        <f>IFERROR(VLOOKUP(L75,Katalog!$A$15:$B$25,2,0),"-")</f>
        <v>Sepatu Pria</v>
      </c>
      <c r="O75" t="str">
        <f t="shared" si="43"/>
        <v>1</v>
      </c>
      <c r="P75" t="str">
        <f t="shared" si="44"/>
        <v>5</v>
      </c>
      <c r="Q75" s="18">
        <f>IFERROR(VLOOKUP(L75,Katalog!$C$3:$F$13,2,0),0)</f>
        <v>120000</v>
      </c>
      <c r="R75" s="18">
        <f>IFERROR(VLOOKUP(L75,Katalog!$C$3:$F$13,3,0),0)</f>
        <v>60000</v>
      </c>
      <c r="S75" t="str">
        <f t="shared" si="45"/>
        <v>-</v>
      </c>
      <c r="T75" t="str">
        <f>IFERROR(INDEX(Katalog!$B$4:$B$13,MATCH('Main Data'!S75,Katalog!$C$4:$C$13,0)),"-")</f>
        <v>-</v>
      </c>
      <c r="U75" t="str">
        <f>IFERROR(VLOOKUP(S75,Katalog!$A$15:$B$25,2,0),"-")</f>
        <v>-</v>
      </c>
      <c r="V75">
        <f t="shared" si="46"/>
        <v>0</v>
      </c>
      <c r="W75" s="28" t="str">
        <f t="shared" si="47"/>
        <v>-</v>
      </c>
      <c r="X75" s="18">
        <f>IFERROR(VLOOKUP(S75,Katalog!$C$3:$F$13,2,0),0)</f>
        <v>0</v>
      </c>
      <c r="Y75" s="30">
        <f>IFERROR(VLOOKUP(S75,Katalog!$C$3:$F$13,3,0),0)</f>
        <v>0</v>
      </c>
      <c r="Z75" s="2">
        <f t="shared" si="48"/>
        <v>4</v>
      </c>
      <c r="AA75" s="4">
        <f t="shared" si="49"/>
        <v>495000</v>
      </c>
      <c r="AB75" s="4">
        <f t="shared" si="50"/>
        <v>210000</v>
      </c>
      <c r="AC75" s="4" t="s">
        <v>7</v>
      </c>
      <c r="AD75" s="16">
        <f>IFERROR(VLOOKUP(AC75,'Kode Diskon'!$C$2:$D$9,2,0),0)</f>
        <v>0.2</v>
      </c>
      <c r="AE75" s="31">
        <f t="shared" si="51"/>
        <v>99000</v>
      </c>
      <c r="AF75" s="31">
        <f t="shared" si="52"/>
        <v>396000</v>
      </c>
      <c r="AG75" s="31">
        <f t="shared" si="53"/>
        <v>285000</v>
      </c>
      <c r="AH75" s="31">
        <f t="shared" si="54"/>
        <v>186000</v>
      </c>
      <c r="AI75" s="4" t="s">
        <v>8</v>
      </c>
      <c r="AJ75" s="4" t="s">
        <v>6</v>
      </c>
      <c r="AK75" s="4" t="str">
        <f>IFERROR(VLOOKUP(AJ75,'Guide '!$A$13:$B$16,2,0),"-")</f>
        <v>SP</v>
      </c>
      <c r="AL75" s="4" t="s">
        <v>1006</v>
      </c>
      <c r="AM75" s="40">
        <v>45322</v>
      </c>
      <c r="AN75">
        <f t="shared" si="55"/>
        <v>29</v>
      </c>
      <c r="AO75">
        <f t="shared" si="56"/>
        <v>32</v>
      </c>
      <c r="AP75">
        <f t="shared" si="57"/>
        <v>40</v>
      </c>
      <c r="AQ75">
        <f t="shared" si="58"/>
        <v>43</v>
      </c>
      <c r="AR75" s="26">
        <f t="shared" si="59"/>
        <v>56</v>
      </c>
      <c r="AS75" s="26">
        <f t="shared" si="60"/>
        <v>63</v>
      </c>
      <c r="AT75" s="21">
        <f t="shared" si="61"/>
        <v>12</v>
      </c>
      <c r="AU75" s="21">
        <f t="shared" si="62"/>
        <v>19</v>
      </c>
      <c r="AV75">
        <f t="shared" si="63"/>
        <v>73</v>
      </c>
      <c r="AW75">
        <f t="shared" si="64"/>
        <v>76</v>
      </c>
      <c r="AX75">
        <f t="shared" si="65"/>
        <v>84</v>
      </c>
      <c r="AY75">
        <f t="shared" si="66"/>
        <v>87</v>
      </c>
      <c r="AZ75" t="str">
        <f t="shared" si="67"/>
        <v>-</v>
      </c>
      <c r="BA75" t="str">
        <f t="shared" si="68"/>
        <v>-</v>
      </c>
      <c r="BB75" t="str">
        <f t="shared" si="69"/>
        <v>-</v>
      </c>
      <c r="BC75" t="str">
        <f t="shared" si="70"/>
        <v>-</v>
      </c>
      <c r="BD75" s="29" t="str">
        <f t="shared" si="71"/>
        <v>-</v>
      </c>
      <c r="BE75" s="29" t="str">
        <f t="shared" si="72"/>
        <v>-</v>
      </c>
    </row>
    <row r="76" spans="1:57" ht="15" x14ac:dyDescent="0.2">
      <c r="A76" s="2">
        <v>135</v>
      </c>
      <c r="B76" s="2" t="str">
        <f t="shared" si="37"/>
        <v>0135</v>
      </c>
      <c r="C76" t="str">
        <f t="shared" si="38"/>
        <v>ORD-BL-0135-31/01/24</v>
      </c>
      <c r="D76" s="3" t="s">
        <v>205</v>
      </c>
      <c r="E76" t="str">
        <f t="shared" si="39"/>
        <v>PP002</v>
      </c>
      <c r="F76" t="str">
        <f>INDEX(Katalog!$B$4:$B$13,MATCH('Main Data'!E76,Katalog!$C$4:$C$13,0))</f>
        <v>Celana Pendek</v>
      </c>
      <c r="G76" t="str">
        <f>VLOOKUP(E76,Katalog!$A$15:$B$25,2,0)</f>
        <v>Pakaian Pria</v>
      </c>
      <c r="H76" t="str">
        <f t="shared" si="40"/>
        <v>2</v>
      </c>
      <c r="I76" t="str">
        <f t="shared" si="41"/>
        <v>3</v>
      </c>
      <c r="J76" s="18">
        <f>VLOOKUP(E76,Katalog!$C$3:$F$13,2,0)</f>
        <v>60000</v>
      </c>
      <c r="K76" s="18">
        <f>VLOOKUP(E76,Katalog!$C$3:$F$13,3,0)</f>
        <v>25000</v>
      </c>
      <c r="L76" t="str">
        <f t="shared" si="42"/>
        <v>PU001</v>
      </c>
      <c r="M76" t="str">
        <f>IFERROR(INDEX(Katalog!$B$4:$B$13,MATCH('Main Data'!L76,Katalog!$C$4:$C$13,0)), "-")</f>
        <v>Jaket Hoodie</v>
      </c>
      <c r="N76" t="str">
        <f>IFERROR(VLOOKUP(L76,Katalog!$A$15:$B$25,2,0),"-")</f>
        <v>Pakaian Unisex</v>
      </c>
      <c r="O76" t="str">
        <f t="shared" si="43"/>
        <v>2</v>
      </c>
      <c r="P76" t="str">
        <f t="shared" si="44"/>
        <v>3</v>
      </c>
      <c r="Q76" s="18">
        <f>IFERROR(VLOOKUP(L76,Katalog!$C$3:$F$13,2,0),0)</f>
        <v>160000</v>
      </c>
      <c r="R76" s="18">
        <f>IFERROR(VLOOKUP(L76,Katalog!$C$3:$F$13,3,0),0)</f>
        <v>60000</v>
      </c>
      <c r="S76" t="str">
        <f t="shared" si="45"/>
        <v>SP001</v>
      </c>
      <c r="T76" t="str">
        <f>IFERROR(INDEX(Katalog!$B$4:$B$13,MATCH('Main Data'!S76,Katalog!$C$4:$C$13,0)),"-")</f>
        <v>Sneakers</v>
      </c>
      <c r="U76" t="str">
        <f>IFERROR(VLOOKUP(S76,Katalog!$A$15:$B$25,2,0),"-")</f>
        <v>Sepatu Pria</v>
      </c>
      <c r="V76" t="str">
        <f t="shared" si="46"/>
        <v>1</v>
      </c>
      <c r="W76" s="28" t="str">
        <f t="shared" si="47"/>
        <v>5</v>
      </c>
      <c r="X76" s="18">
        <f>IFERROR(VLOOKUP(S76,Katalog!$C$3:$F$13,2,0),0)</f>
        <v>300000</v>
      </c>
      <c r="Y76" s="30">
        <f>IFERROR(VLOOKUP(S76,Katalog!$C$3:$F$13,3,0),0)</f>
        <v>100000</v>
      </c>
      <c r="Z76" s="2">
        <f t="shared" si="48"/>
        <v>5</v>
      </c>
      <c r="AA76" s="4">
        <f t="shared" si="49"/>
        <v>740000</v>
      </c>
      <c r="AB76" s="4">
        <f t="shared" si="50"/>
        <v>270000</v>
      </c>
      <c r="AC76" s="4" t="s">
        <v>10</v>
      </c>
      <c r="AD76" s="16">
        <f>IFERROR(VLOOKUP(AC76,'Kode Diskon'!$C$2:$D$9,2,0),0)</f>
        <v>0</v>
      </c>
      <c r="AE76" s="31">
        <f t="shared" si="51"/>
        <v>0</v>
      </c>
      <c r="AF76" s="31">
        <f t="shared" si="52"/>
        <v>740000</v>
      </c>
      <c r="AG76" s="31">
        <f t="shared" si="53"/>
        <v>470000</v>
      </c>
      <c r="AH76" s="31">
        <f t="shared" si="54"/>
        <v>470000</v>
      </c>
      <c r="AI76" s="4" t="s">
        <v>10</v>
      </c>
      <c r="AJ76" s="4" t="s">
        <v>11</v>
      </c>
      <c r="AK76" s="4" t="str">
        <f>IFERROR(VLOOKUP(AJ76,'Guide '!$A$13:$B$16,2,0),"-")</f>
        <v>BL</v>
      </c>
      <c r="AL76" s="4" t="s">
        <v>925</v>
      </c>
      <c r="AM76" s="40">
        <v>45322</v>
      </c>
      <c r="AN76">
        <f t="shared" si="55"/>
        <v>29</v>
      </c>
      <c r="AO76">
        <f t="shared" si="56"/>
        <v>32</v>
      </c>
      <c r="AP76">
        <f t="shared" si="57"/>
        <v>40</v>
      </c>
      <c r="AQ76">
        <f t="shared" si="58"/>
        <v>43</v>
      </c>
      <c r="AR76" s="26">
        <f t="shared" si="59"/>
        <v>56</v>
      </c>
      <c r="AS76" s="26">
        <f t="shared" si="60"/>
        <v>63</v>
      </c>
      <c r="AT76" s="21">
        <f t="shared" si="61"/>
        <v>12</v>
      </c>
      <c r="AU76" s="21">
        <f t="shared" si="62"/>
        <v>19</v>
      </c>
      <c r="AV76">
        <f t="shared" si="63"/>
        <v>73</v>
      </c>
      <c r="AW76">
        <f t="shared" si="64"/>
        <v>76</v>
      </c>
      <c r="AX76">
        <f t="shared" si="65"/>
        <v>84</v>
      </c>
      <c r="AY76">
        <f t="shared" si="66"/>
        <v>87</v>
      </c>
      <c r="AZ76">
        <f t="shared" si="67"/>
        <v>100</v>
      </c>
      <c r="BA76">
        <f t="shared" si="68"/>
        <v>107</v>
      </c>
      <c r="BB76">
        <f t="shared" si="69"/>
        <v>117</v>
      </c>
      <c r="BC76">
        <f t="shared" si="70"/>
        <v>120</v>
      </c>
      <c r="BD76" s="29">
        <f t="shared" si="71"/>
        <v>128</v>
      </c>
      <c r="BE76" s="29">
        <f t="shared" si="72"/>
        <v>131</v>
      </c>
    </row>
    <row r="77" spans="1:57" ht="15" x14ac:dyDescent="0.2">
      <c r="A77" s="2">
        <v>144</v>
      </c>
      <c r="B77" s="2" t="str">
        <f t="shared" si="37"/>
        <v>0144</v>
      </c>
      <c r="C77" t="str">
        <f t="shared" si="38"/>
        <v>ORD-BL-0144-31/01/24</v>
      </c>
      <c r="D77" s="3" t="s">
        <v>214</v>
      </c>
      <c r="E77" t="str">
        <f t="shared" si="39"/>
        <v>PU001</v>
      </c>
      <c r="F77" t="str">
        <f>INDEX(Katalog!$B$4:$B$13,MATCH('Main Data'!E77,Katalog!$C$4:$C$13,0))</f>
        <v>Jaket Hoodie</v>
      </c>
      <c r="G77" t="str">
        <f>VLOOKUP(E77,Katalog!$A$15:$B$25,2,0)</f>
        <v>Pakaian Unisex</v>
      </c>
      <c r="H77" t="str">
        <f t="shared" si="40"/>
        <v>1</v>
      </c>
      <c r="I77" t="str">
        <f t="shared" si="41"/>
        <v>1</v>
      </c>
      <c r="J77" s="18">
        <f>VLOOKUP(E77,Katalog!$C$3:$F$13,2,0)</f>
        <v>160000</v>
      </c>
      <c r="K77" s="18">
        <f>VLOOKUP(E77,Katalog!$C$3:$F$13,3,0)</f>
        <v>60000</v>
      </c>
      <c r="L77" t="str">
        <f t="shared" si="42"/>
        <v>-</v>
      </c>
      <c r="M77" t="str">
        <f>IFERROR(INDEX(Katalog!$B$4:$B$13,MATCH('Main Data'!L77,Katalog!$C$4:$C$13,0)), "-")</f>
        <v>-</v>
      </c>
      <c r="N77" t="str">
        <f>IFERROR(VLOOKUP(L77,Katalog!$A$15:$B$25,2,0),"-")</f>
        <v>-</v>
      </c>
      <c r="O77">
        <f t="shared" si="43"/>
        <v>0</v>
      </c>
      <c r="P77" t="str">
        <f t="shared" si="44"/>
        <v>-</v>
      </c>
      <c r="Q77" s="18">
        <f>IFERROR(VLOOKUP(L77,Katalog!$C$3:$F$13,2,0),0)</f>
        <v>0</v>
      </c>
      <c r="R77" s="18">
        <f>IFERROR(VLOOKUP(L77,Katalog!$C$3:$F$13,3,0),0)</f>
        <v>0</v>
      </c>
      <c r="S77" t="str">
        <f t="shared" si="45"/>
        <v>-</v>
      </c>
      <c r="T77" t="str">
        <f>IFERROR(INDEX(Katalog!$B$4:$B$13,MATCH('Main Data'!S77,Katalog!$C$4:$C$13,0)),"-")</f>
        <v>-</v>
      </c>
      <c r="U77" t="str">
        <f>IFERROR(VLOOKUP(S77,Katalog!$A$15:$B$25,2,0),"-")</f>
        <v>-</v>
      </c>
      <c r="V77">
        <f t="shared" si="46"/>
        <v>0</v>
      </c>
      <c r="W77" s="28" t="str">
        <f t="shared" si="47"/>
        <v>-</v>
      </c>
      <c r="X77" s="18">
        <f>IFERROR(VLOOKUP(S77,Katalog!$C$3:$F$13,2,0),0)</f>
        <v>0</v>
      </c>
      <c r="Y77" s="30">
        <f>IFERROR(VLOOKUP(S77,Katalog!$C$3:$F$13,3,0),0)</f>
        <v>0</v>
      </c>
      <c r="Z77" s="2">
        <f t="shared" si="48"/>
        <v>1</v>
      </c>
      <c r="AA77" s="4">
        <f t="shared" si="49"/>
        <v>160000</v>
      </c>
      <c r="AB77" s="4">
        <f t="shared" si="50"/>
        <v>60000</v>
      </c>
      <c r="AC77" s="4" t="s">
        <v>31</v>
      </c>
      <c r="AD77" s="16">
        <f>IFERROR(VLOOKUP(AC77,'Kode Diskon'!$C$2:$D$9,2,0),0)</f>
        <v>0.15</v>
      </c>
      <c r="AE77" s="31">
        <f t="shared" si="51"/>
        <v>24000</v>
      </c>
      <c r="AF77" s="31">
        <f t="shared" si="52"/>
        <v>136000</v>
      </c>
      <c r="AG77" s="31">
        <f t="shared" si="53"/>
        <v>100000</v>
      </c>
      <c r="AH77" s="31">
        <f t="shared" si="54"/>
        <v>76000</v>
      </c>
      <c r="AI77" s="4" t="s">
        <v>8</v>
      </c>
      <c r="AJ77" s="4" t="s">
        <v>11</v>
      </c>
      <c r="AK77" s="4" t="str">
        <f>IFERROR(VLOOKUP(AJ77,'Guide '!$A$13:$B$16,2,0),"-")</f>
        <v>BL</v>
      </c>
      <c r="AL77" s="4" t="s">
        <v>921</v>
      </c>
      <c r="AM77" s="40">
        <v>45322</v>
      </c>
      <c r="AN77">
        <f t="shared" si="55"/>
        <v>29</v>
      </c>
      <c r="AO77">
        <f t="shared" si="56"/>
        <v>32</v>
      </c>
      <c r="AP77">
        <f t="shared" si="57"/>
        <v>40</v>
      </c>
      <c r="AQ77">
        <f t="shared" si="58"/>
        <v>43</v>
      </c>
      <c r="AR77" s="26" t="str">
        <f t="shared" si="59"/>
        <v>-</v>
      </c>
      <c r="AS77" s="26" t="str">
        <f t="shared" si="60"/>
        <v>-</v>
      </c>
      <c r="AT77" s="21">
        <f t="shared" si="61"/>
        <v>12</v>
      </c>
      <c r="AU77" s="21">
        <f t="shared" si="62"/>
        <v>19</v>
      </c>
      <c r="AV77" t="str">
        <f t="shared" si="63"/>
        <v>-</v>
      </c>
      <c r="AW77" t="str">
        <f t="shared" si="64"/>
        <v>-</v>
      </c>
      <c r="AX77" t="str">
        <f t="shared" si="65"/>
        <v>-</v>
      </c>
      <c r="AY77" t="str">
        <f t="shared" si="66"/>
        <v>-</v>
      </c>
      <c r="AZ77" t="str">
        <f t="shared" si="67"/>
        <v>-</v>
      </c>
      <c r="BA77" t="str">
        <f t="shared" si="68"/>
        <v>-</v>
      </c>
      <c r="BB77" t="str">
        <f t="shared" si="69"/>
        <v>-</v>
      </c>
      <c r="BC77" t="str">
        <f t="shared" si="70"/>
        <v>-</v>
      </c>
      <c r="BD77" s="29" t="str">
        <f t="shared" si="71"/>
        <v>-</v>
      </c>
      <c r="BE77" s="29" t="str">
        <f t="shared" si="72"/>
        <v>-</v>
      </c>
    </row>
    <row r="78" spans="1:57" ht="15" x14ac:dyDescent="0.2">
      <c r="A78" s="2">
        <v>451</v>
      </c>
      <c r="B78" s="2" t="str">
        <f t="shared" si="37"/>
        <v>0451</v>
      </c>
      <c r="C78" t="str">
        <f t="shared" si="38"/>
        <v>ORD-BL-0451-01/02/24</v>
      </c>
      <c r="D78" s="3" t="s">
        <v>490</v>
      </c>
      <c r="E78" t="str">
        <f t="shared" si="39"/>
        <v>SP002</v>
      </c>
      <c r="F78" t="str">
        <f>INDEX(Katalog!$B$4:$B$13,MATCH('Main Data'!E78,Katalog!$C$4:$C$13,0))</f>
        <v>Sandal Slip On</v>
      </c>
      <c r="G78" t="str">
        <f>VLOOKUP(E78,Katalog!$A$15:$B$25,2,0)</f>
        <v>Sepatu Pria</v>
      </c>
      <c r="H78" t="str">
        <f t="shared" si="40"/>
        <v>1</v>
      </c>
      <c r="I78" t="str">
        <f t="shared" si="41"/>
        <v>4</v>
      </c>
      <c r="J78" s="18">
        <f>VLOOKUP(E78,Katalog!$C$3:$F$13,2,0)</f>
        <v>120000</v>
      </c>
      <c r="K78" s="18">
        <f>VLOOKUP(E78,Katalog!$C$3:$F$13,3,0)</f>
        <v>60000</v>
      </c>
      <c r="L78" t="str">
        <f t="shared" si="42"/>
        <v>-</v>
      </c>
      <c r="M78" t="str">
        <f>IFERROR(INDEX(Katalog!$B$4:$B$13,MATCH('Main Data'!L78,Katalog!$C$4:$C$13,0)), "-")</f>
        <v>-</v>
      </c>
      <c r="N78" t="str">
        <f>IFERROR(VLOOKUP(L78,Katalog!$A$15:$B$25,2,0),"-")</f>
        <v>-</v>
      </c>
      <c r="O78">
        <f t="shared" si="43"/>
        <v>0</v>
      </c>
      <c r="P78" t="str">
        <f t="shared" si="44"/>
        <v>-</v>
      </c>
      <c r="Q78" s="18">
        <f>IFERROR(VLOOKUP(L78,Katalog!$C$3:$F$13,2,0),0)</f>
        <v>0</v>
      </c>
      <c r="R78" s="18">
        <f>IFERROR(VLOOKUP(L78,Katalog!$C$3:$F$13,3,0),0)</f>
        <v>0</v>
      </c>
      <c r="S78" t="str">
        <f t="shared" si="45"/>
        <v>-</v>
      </c>
      <c r="T78" t="str">
        <f>IFERROR(INDEX(Katalog!$B$4:$B$13,MATCH('Main Data'!S78,Katalog!$C$4:$C$13,0)),"-")</f>
        <v>-</v>
      </c>
      <c r="U78" t="str">
        <f>IFERROR(VLOOKUP(S78,Katalog!$A$15:$B$25,2,0),"-")</f>
        <v>-</v>
      </c>
      <c r="V78">
        <f t="shared" si="46"/>
        <v>0</v>
      </c>
      <c r="W78" s="28" t="str">
        <f t="shared" si="47"/>
        <v>-</v>
      </c>
      <c r="X78" s="18">
        <f>IFERROR(VLOOKUP(S78,Katalog!$C$3:$F$13,2,0),0)</f>
        <v>0</v>
      </c>
      <c r="Y78" s="30">
        <f>IFERROR(VLOOKUP(S78,Katalog!$C$3:$F$13,3,0),0)</f>
        <v>0</v>
      </c>
      <c r="Z78" s="2">
        <f t="shared" si="48"/>
        <v>1</v>
      </c>
      <c r="AA78" s="4">
        <f t="shared" si="49"/>
        <v>120000</v>
      </c>
      <c r="AB78" s="4">
        <f t="shared" si="50"/>
        <v>60000</v>
      </c>
      <c r="AC78" s="4" t="s">
        <v>31</v>
      </c>
      <c r="AD78" s="16">
        <f>IFERROR(VLOOKUP(AC78,'Kode Diskon'!$C$2:$D$9,2,0),0)</f>
        <v>0.15</v>
      </c>
      <c r="AE78" s="31">
        <f t="shared" si="51"/>
        <v>18000</v>
      </c>
      <c r="AF78" s="31">
        <f t="shared" si="52"/>
        <v>102000</v>
      </c>
      <c r="AG78" s="31">
        <f t="shared" si="53"/>
        <v>60000</v>
      </c>
      <c r="AH78" s="31">
        <f t="shared" si="54"/>
        <v>42000</v>
      </c>
      <c r="AI78" s="4" t="s">
        <v>8</v>
      </c>
      <c r="AJ78" s="4" t="s">
        <v>11</v>
      </c>
      <c r="AK78" s="4" t="str">
        <f>IFERROR(VLOOKUP(AJ78,'Guide '!$A$13:$B$16,2,0),"-")</f>
        <v>BL</v>
      </c>
      <c r="AL78" s="4" t="s">
        <v>925</v>
      </c>
      <c r="AM78" s="40">
        <v>45323</v>
      </c>
      <c r="AN78">
        <f t="shared" si="55"/>
        <v>29</v>
      </c>
      <c r="AO78">
        <f t="shared" si="56"/>
        <v>32</v>
      </c>
      <c r="AP78">
        <f t="shared" si="57"/>
        <v>40</v>
      </c>
      <c r="AQ78">
        <f t="shared" si="58"/>
        <v>43</v>
      </c>
      <c r="AR78" s="26" t="str">
        <f t="shared" si="59"/>
        <v>-</v>
      </c>
      <c r="AS78" s="26" t="str">
        <f t="shared" si="60"/>
        <v>-</v>
      </c>
      <c r="AT78" s="21">
        <f t="shared" si="61"/>
        <v>12</v>
      </c>
      <c r="AU78" s="21">
        <f t="shared" si="62"/>
        <v>19</v>
      </c>
      <c r="AV78" t="str">
        <f t="shared" si="63"/>
        <v>-</v>
      </c>
      <c r="AW78" t="str">
        <f t="shared" si="64"/>
        <v>-</v>
      </c>
      <c r="AX78" t="str">
        <f t="shared" si="65"/>
        <v>-</v>
      </c>
      <c r="AY78" t="str">
        <f t="shared" si="66"/>
        <v>-</v>
      </c>
      <c r="AZ78" t="str">
        <f t="shared" si="67"/>
        <v>-</v>
      </c>
      <c r="BA78" t="str">
        <f t="shared" si="68"/>
        <v>-</v>
      </c>
      <c r="BB78" t="str">
        <f t="shared" si="69"/>
        <v>-</v>
      </c>
      <c r="BC78" t="str">
        <f t="shared" si="70"/>
        <v>-</v>
      </c>
      <c r="BD78" s="29" t="str">
        <f t="shared" si="71"/>
        <v>-</v>
      </c>
      <c r="BE78" s="29" t="str">
        <f t="shared" si="72"/>
        <v>-</v>
      </c>
    </row>
    <row r="79" spans="1:57" ht="15" x14ac:dyDescent="0.2">
      <c r="A79" s="2">
        <v>506</v>
      </c>
      <c r="B79" s="2" t="str">
        <f t="shared" si="37"/>
        <v>0506</v>
      </c>
      <c r="C79" t="str">
        <f t="shared" si="38"/>
        <v>ORD-SP-0506-01/02/24</v>
      </c>
      <c r="D79" s="3" t="s">
        <v>535</v>
      </c>
      <c r="E79" t="str">
        <f t="shared" si="39"/>
        <v>PP003</v>
      </c>
      <c r="F79" t="str">
        <f>INDEX(Katalog!$B$4:$B$13,MATCH('Main Data'!E79,Katalog!$C$4:$C$13,0))</f>
        <v>Jaket Jeans</v>
      </c>
      <c r="G79" t="str">
        <f>VLOOKUP(E79,Katalog!$A$15:$B$25,2,0)</f>
        <v>Pakaian Pria</v>
      </c>
      <c r="H79" t="str">
        <f t="shared" si="40"/>
        <v>1</v>
      </c>
      <c r="I79" t="str">
        <f t="shared" si="41"/>
        <v>4</v>
      </c>
      <c r="J79" s="18">
        <f>VLOOKUP(E79,Katalog!$C$3:$F$13,2,0)</f>
        <v>150000</v>
      </c>
      <c r="K79" s="18">
        <f>VLOOKUP(E79,Katalog!$C$3:$F$13,3,0)</f>
        <v>70000</v>
      </c>
      <c r="L79" t="str">
        <f t="shared" si="42"/>
        <v>PW003</v>
      </c>
      <c r="M79" t="str">
        <f>IFERROR(INDEX(Katalog!$B$4:$B$13,MATCH('Main Data'!L79,Katalog!$C$4:$C$13,0)), "-")</f>
        <v>Kaftan</v>
      </c>
      <c r="N79" t="str">
        <f>IFERROR(VLOOKUP(L79,Katalog!$A$15:$B$25,2,0),"-")</f>
        <v>Pakaian Wanita</v>
      </c>
      <c r="O79" t="str">
        <f t="shared" si="43"/>
        <v>2</v>
      </c>
      <c r="P79" t="str">
        <f t="shared" si="44"/>
        <v>1</v>
      </c>
      <c r="Q79" s="18">
        <f>IFERROR(VLOOKUP(L79,Katalog!$C$3:$F$13,2,0),0)</f>
        <v>200000</v>
      </c>
      <c r="R79" s="18">
        <f>IFERROR(VLOOKUP(L79,Katalog!$C$3:$F$13,3,0),0)</f>
        <v>100000</v>
      </c>
      <c r="S79" t="str">
        <f t="shared" si="45"/>
        <v>SP001</v>
      </c>
      <c r="T79" t="str">
        <f>IFERROR(INDEX(Katalog!$B$4:$B$13,MATCH('Main Data'!S79,Katalog!$C$4:$C$13,0)),"-")</f>
        <v>Sneakers</v>
      </c>
      <c r="U79" t="str">
        <f>IFERROR(VLOOKUP(S79,Katalog!$A$15:$B$25,2,0),"-")</f>
        <v>Sepatu Pria</v>
      </c>
      <c r="V79" t="str">
        <f t="shared" si="46"/>
        <v>1</v>
      </c>
      <c r="W79" s="28" t="str">
        <f t="shared" si="47"/>
        <v>3</v>
      </c>
      <c r="X79" s="18">
        <f>IFERROR(VLOOKUP(S79,Katalog!$C$3:$F$13,2,0),0)</f>
        <v>300000</v>
      </c>
      <c r="Y79" s="30">
        <f>IFERROR(VLOOKUP(S79,Katalog!$C$3:$F$13,3,0),0)</f>
        <v>100000</v>
      </c>
      <c r="Z79" s="2">
        <f t="shared" si="48"/>
        <v>4</v>
      </c>
      <c r="AA79" s="4">
        <f t="shared" si="49"/>
        <v>850000</v>
      </c>
      <c r="AB79" s="4">
        <f t="shared" si="50"/>
        <v>370000</v>
      </c>
      <c r="AC79" s="4" t="s">
        <v>5</v>
      </c>
      <c r="AD79" s="16">
        <f>IFERROR(VLOOKUP(AC79,'Kode Diskon'!$C$2:$D$9,2,0),0)</f>
        <v>0.1</v>
      </c>
      <c r="AE79" s="31">
        <f t="shared" si="51"/>
        <v>85000</v>
      </c>
      <c r="AF79" s="31">
        <f t="shared" si="52"/>
        <v>765000</v>
      </c>
      <c r="AG79" s="31">
        <f t="shared" si="53"/>
        <v>480000</v>
      </c>
      <c r="AH79" s="31">
        <f t="shared" si="54"/>
        <v>395000</v>
      </c>
      <c r="AI79" s="4" t="s">
        <v>28</v>
      </c>
      <c r="AJ79" s="4" t="s">
        <v>6</v>
      </c>
      <c r="AK79" s="4" t="str">
        <f>IFERROR(VLOOKUP(AJ79,'Guide '!$A$13:$B$16,2,0),"-")</f>
        <v>SP</v>
      </c>
      <c r="AL79" s="4" t="s">
        <v>921</v>
      </c>
      <c r="AM79" s="40">
        <v>45323</v>
      </c>
      <c r="AN79">
        <f t="shared" si="55"/>
        <v>29</v>
      </c>
      <c r="AO79">
        <f t="shared" si="56"/>
        <v>32</v>
      </c>
      <c r="AP79">
        <f t="shared" si="57"/>
        <v>40</v>
      </c>
      <c r="AQ79">
        <f t="shared" si="58"/>
        <v>43</v>
      </c>
      <c r="AR79" s="26">
        <f t="shared" si="59"/>
        <v>56</v>
      </c>
      <c r="AS79" s="26">
        <f t="shared" si="60"/>
        <v>63</v>
      </c>
      <c r="AT79" s="21">
        <f t="shared" si="61"/>
        <v>12</v>
      </c>
      <c r="AU79" s="21">
        <f t="shared" si="62"/>
        <v>19</v>
      </c>
      <c r="AV79">
        <f t="shared" si="63"/>
        <v>73</v>
      </c>
      <c r="AW79">
        <f t="shared" si="64"/>
        <v>76</v>
      </c>
      <c r="AX79">
        <f t="shared" si="65"/>
        <v>84</v>
      </c>
      <c r="AY79">
        <f t="shared" si="66"/>
        <v>87</v>
      </c>
      <c r="AZ79">
        <f t="shared" si="67"/>
        <v>100</v>
      </c>
      <c r="BA79">
        <f t="shared" si="68"/>
        <v>107</v>
      </c>
      <c r="BB79">
        <f t="shared" si="69"/>
        <v>117</v>
      </c>
      <c r="BC79">
        <f t="shared" si="70"/>
        <v>120</v>
      </c>
      <c r="BD79" s="29">
        <f t="shared" si="71"/>
        <v>128</v>
      </c>
      <c r="BE79" s="29">
        <f t="shared" si="72"/>
        <v>131</v>
      </c>
    </row>
    <row r="80" spans="1:57" ht="15" x14ac:dyDescent="0.2">
      <c r="A80" s="2">
        <v>698</v>
      </c>
      <c r="B80" s="2" t="str">
        <f t="shared" si="37"/>
        <v>0698</v>
      </c>
      <c r="C80" t="str">
        <f t="shared" si="38"/>
        <v>ORD-BL-0698-01/02/24</v>
      </c>
      <c r="D80" s="3" t="s">
        <v>391</v>
      </c>
      <c r="E80" t="str">
        <f t="shared" si="39"/>
        <v>PP002</v>
      </c>
      <c r="F80" t="str">
        <f>INDEX(Katalog!$B$4:$B$13,MATCH('Main Data'!E80,Katalog!$C$4:$C$13,0))</f>
        <v>Celana Pendek</v>
      </c>
      <c r="G80" t="str">
        <f>VLOOKUP(E80,Katalog!$A$15:$B$25,2,0)</f>
        <v>Pakaian Pria</v>
      </c>
      <c r="H80" t="str">
        <f t="shared" si="40"/>
        <v>2</v>
      </c>
      <c r="I80" t="str">
        <f t="shared" si="41"/>
        <v>5</v>
      </c>
      <c r="J80" s="18">
        <f>VLOOKUP(E80,Katalog!$C$3:$F$13,2,0)</f>
        <v>60000</v>
      </c>
      <c r="K80" s="18">
        <f>VLOOKUP(E80,Katalog!$C$3:$F$13,3,0)</f>
        <v>25000</v>
      </c>
      <c r="L80" t="str">
        <f t="shared" si="42"/>
        <v>-</v>
      </c>
      <c r="M80" t="str">
        <f>IFERROR(INDEX(Katalog!$B$4:$B$13,MATCH('Main Data'!L80,Katalog!$C$4:$C$13,0)), "-")</f>
        <v>-</v>
      </c>
      <c r="N80" t="str">
        <f>IFERROR(VLOOKUP(L80,Katalog!$A$15:$B$25,2,0),"-")</f>
        <v>-</v>
      </c>
      <c r="O80">
        <f t="shared" si="43"/>
        <v>0</v>
      </c>
      <c r="P80" t="str">
        <f t="shared" si="44"/>
        <v>-</v>
      </c>
      <c r="Q80" s="18">
        <f>IFERROR(VLOOKUP(L80,Katalog!$C$3:$F$13,2,0),0)</f>
        <v>0</v>
      </c>
      <c r="R80" s="18">
        <f>IFERROR(VLOOKUP(L80,Katalog!$C$3:$F$13,3,0),0)</f>
        <v>0</v>
      </c>
      <c r="S80" t="str">
        <f t="shared" si="45"/>
        <v>-</v>
      </c>
      <c r="T80" t="str">
        <f>IFERROR(INDEX(Katalog!$B$4:$B$13,MATCH('Main Data'!S80,Katalog!$C$4:$C$13,0)),"-")</f>
        <v>-</v>
      </c>
      <c r="U80" t="str">
        <f>IFERROR(VLOOKUP(S80,Katalog!$A$15:$B$25,2,0),"-")</f>
        <v>-</v>
      </c>
      <c r="V80">
        <f t="shared" si="46"/>
        <v>0</v>
      </c>
      <c r="W80" s="28" t="str">
        <f t="shared" si="47"/>
        <v>-</v>
      </c>
      <c r="X80" s="18">
        <f>IFERROR(VLOOKUP(S80,Katalog!$C$3:$F$13,2,0),0)</f>
        <v>0</v>
      </c>
      <c r="Y80" s="30">
        <f>IFERROR(VLOOKUP(S80,Katalog!$C$3:$F$13,3,0),0)</f>
        <v>0</v>
      </c>
      <c r="Z80" s="2">
        <f t="shared" si="48"/>
        <v>2</v>
      </c>
      <c r="AA80" s="4">
        <f t="shared" si="49"/>
        <v>120000</v>
      </c>
      <c r="AB80" s="4">
        <f t="shared" si="50"/>
        <v>50000</v>
      </c>
      <c r="AC80" s="4" t="s">
        <v>31</v>
      </c>
      <c r="AD80" s="16">
        <f>IFERROR(VLOOKUP(AC80,'Kode Diskon'!$C$2:$D$9,2,0),0)</f>
        <v>0.15</v>
      </c>
      <c r="AE80" s="31">
        <f t="shared" si="51"/>
        <v>18000</v>
      </c>
      <c r="AF80" s="31">
        <f t="shared" si="52"/>
        <v>102000</v>
      </c>
      <c r="AG80" s="31">
        <f t="shared" si="53"/>
        <v>70000</v>
      </c>
      <c r="AH80" s="31">
        <f t="shared" si="54"/>
        <v>52000</v>
      </c>
      <c r="AI80" s="4" t="s">
        <v>8</v>
      </c>
      <c r="AJ80" s="4" t="s">
        <v>11</v>
      </c>
      <c r="AK80" s="4" t="str">
        <f>IFERROR(VLOOKUP(AJ80,'Guide '!$A$13:$B$16,2,0),"-")</f>
        <v>BL</v>
      </c>
      <c r="AL80" s="4" t="s">
        <v>924</v>
      </c>
      <c r="AM80" s="40">
        <v>45323</v>
      </c>
      <c r="AN80">
        <f t="shared" si="55"/>
        <v>29</v>
      </c>
      <c r="AO80">
        <f t="shared" si="56"/>
        <v>32</v>
      </c>
      <c r="AP80">
        <f t="shared" si="57"/>
        <v>40</v>
      </c>
      <c r="AQ80">
        <f t="shared" si="58"/>
        <v>43</v>
      </c>
      <c r="AR80" s="26" t="str">
        <f t="shared" si="59"/>
        <v>-</v>
      </c>
      <c r="AS80" s="26" t="str">
        <f t="shared" si="60"/>
        <v>-</v>
      </c>
      <c r="AT80" s="21">
        <f t="shared" si="61"/>
        <v>12</v>
      </c>
      <c r="AU80" s="21">
        <f t="shared" si="62"/>
        <v>19</v>
      </c>
      <c r="AV80" t="str">
        <f t="shared" si="63"/>
        <v>-</v>
      </c>
      <c r="AW80" t="str">
        <f t="shared" si="64"/>
        <v>-</v>
      </c>
      <c r="AX80" t="str">
        <f t="shared" si="65"/>
        <v>-</v>
      </c>
      <c r="AY80" t="str">
        <f t="shared" si="66"/>
        <v>-</v>
      </c>
      <c r="AZ80" t="str">
        <f t="shared" si="67"/>
        <v>-</v>
      </c>
      <c r="BA80" t="str">
        <f t="shared" si="68"/>
        <v>-</v>
      </c>
      <c r="BB80" t="str">
        <f t="shared" si="69"/>
        <v>-</v>
      </c>
      <c r="BC80" t="str">
        <f t="shared" si="70"/>
        <v>-</v>
      </c>
      <c r="BD80" s="29" t="str">
        <f t="shared" si="71"/>
        <v>-</v>
      </c>
      <c r="BE80" s="29" t="str">
        <f t="shared" si="72"/>
        <v>-</v>
      </c>
    </row>
    <row r="81" spans="1:57" ht="15" x14ac:dyDescent="0.2">
      <c r="A81" s="2">
        <v>952</v>
      </c>
      <c r="B81" s="2" t="str">
        <f t="shared" si="37"/>
        <v>0952</v>
      </c>
      <c r="C81" t="str">
        <f t="shared" si="38"/>
        <v>ORD-SP-0952-01/02/24</v>
      </c>
      <c r="D81" s="3" t="s">
        <v>882</v>
      </c>
      <c r="E81" t="str">
        <f t="shared" si="39"/>
        <v>SW001</v>
      </c>
      <c r="F81" t="str">
        <f>INDEX(Katalog!$B$4:$B$13,MATCH('Main Data'!E81,Katalog!$C$4:$C$13,0))</f>
        <v>Flat Shoes</v>
      </c>
      <c r="G81" t="str">
        <f>VLOOKUP(E81,Katalog!$A$15:$B$25,2,0)</f>
        <v>Sepatu Wanita</v>
      </c>
      <c r="H81" t="str">
        <f t="shared" si="40"/>
        <v>6</v>
      </c>
      <c r="I81" t="str">
        <f t="shared" si="41"/>
        <v>4</v>
      </c>
      <c r="J81" s="18">
        <f>VLOOKUP(E81,Katalog!$C$3:$F$13,2,0)</f>
        <v>150000</v>
      </c>
      <c r="K81" s="18">
        <f>VLOOKUP(E81,Katalog!$C$3:$F$13,3,0)</f>
        <v>70000</v>
      </c>
      <c r="L81" t="str">
        <f t="shared" si="42"/>
        <v>-</v>
      </c>
      <c r="M81" t="str">
        <f>IFERROR(INDEX(Katalog!$B$4:$B$13,MATCH('Main Data'!L81,Katalog!$C$4:$C$13,0)), "-")</f>
        <v>-</v>
      </c>
      <c r="N81" t="str">
        <f>IFERROR(VLOOKUP(L81,Katalog!$A$15:$B$25,2,0),"-")</f>
        <v>-</v>
      </c>
      <c r="O81">
        <f t="shared" si="43"/>
        <v>0</v>
      </c>
      <c r="P81" t="str">
        <f t="shared" si="44"/>
        <v>-</v>
      </c>
      <c r="Q81" s="18">
        <f>IFERROR(VLOOKUP(L81,Katalog!$C$3:$F$13,2,0),0)</f>
        <v>0</v>
      </c>
      <c r="R81" s="18">
        <f>IFERROR(VLOOKUP(L81,Katalog!$C$3:$F$13,3,0),0)</f>
        <v>0</v>
      </c>
      <c r="S81" t="str">
        <f t="shared" si="45"/>
        <v>-</v>
      </c>
      <c r="T81" t="str">
        <f>IFERROR(INDEX(Katalog!$B$4:$B$13,MATCH('Main Data'!S81,Katalog!$C$4:$C$13,0)),"-")</f>
        <v>-</v>
      </c>
      <c r="U81" t="str">
        <f>IFERROR(VLOOKUP(S81,Katalog!$A$15:$B$25,2,0),"-")</f>
        <v>-</v>
      </c>
      <c r="V81">
        <f t="shared" si="46"/>
        <v>0</v>
      </c>
      <c r="W81" s="28" t="str">
        <f t="shared" si="47"/>
        <v>-</v>
      </c>
      <c r="X81" s="18">
        <f>IFERROR(VLOOKUP(S81,Katalog!$C$3:$F$13,2,0),0)</f>
        <v>0</v>
      </c>
      <c r="Y81" s="30">
        <f>IFERROR(VLOOKUP(S81,Katalog!$C$3:$F$13,3,0),0)</f>
        <v>0</v>
      </c>
      <c r="Z81" s="2">
        <f t="shared" si="48"/>
        <v>6</v>
      </c>
      <c r="AA81" s="4">
        <f t="shared" si="49"/>
        <v>900000</v>
      </c>
      <c r="AB81" s="4">
        <f t="shared" si="50"/>
        <v>420000</v>
      </c>
      <c r="AC81" s="4" t="s">
        <v>5</v>
      </c>
      <c r="AD81" s="16">
        <f>IFERROR(VLOOKUP(AC81,'Kode Diskon'!$C$2:$D$9,2,0),0)</f>
        <v>0.1</v>
      </c>
      <c r="AE81" s="31">
        <f t="shared" si="51"/>
        <v>90000</v>
      </c>
      <c r="AF81" s="31">
        <f t="shared" si="52"/>
        <v>810000</v>
      </c>
      <c r="AG81" s="31">
        <f t="shared" si="53"/>
        <v>480000</v>
      </c>
      <c r="AH81" s="31">
        <f t="shared" si="54"/>
        <v>390000</v>
      </c>
      <c r="AI81" s="4" t="s">
        <v>28</v>
      </c>
      <c r="AJ81" s="4" t="s">
        <v>6</v>
      </c>
      <c r="AK81" s="4" t="str">
        <f>IFERROR(VLOOKUP(AJ81,'Guide '!$A$13:$B$16,2,0),"-")</f>
        <v>SP</v>
      </c>
      <c r="AL81" s="4" t="s">
        <v>924</v>
      </c>
      <c r="AM81" s="40">
        <v>45323</v>
      </c>
      <c r="AN81">
        <f t="shared" si="55"/>
        <v>29</v>
      </c>
      <c r="AO81">
        <f t="shared" si="56"/>
        <v>32</v>
      </c>
      <c r="AP81">
        <f t="shared" si="57"/>
        <v>40</v>
      </c>
      <c r="AQ81">
        <f t="shared" si="58"/>
        <v>43</v>
      </c>
      <c r="AR81" s="26" t="str">
        <f t="shared" si="59"/>
        <v>-</v>
      </c>
      <c r="AS81" s="26" t="str">
        <f t="shared" si="60"/>
        <v>-</v>
      </c>
      <c r="AT81" s="21">
        <f t="shared" si="61"/>
        <v>12</v>
      </c>
      <c r="AU81" s="21">
        <f t="shared" si="62"/>
        <v>19</v>
      </c>
      <c r="AV81" t="str">
        <f t="shared" si="63"/>
        <v>-</v>
      </c>
      <c r="AW81" t="str">
        <f t="shared" si="64"/>
        <v>-</v>
      </c>
      <c r="AX81" t="str">
        <f t="shared" si="65"/>
        <v>-</v>
      </c>
      <c r="AY81" t="str">
        <f t="shared" si="66"/>
        <v>-</v>
      </c>
      <c r="AZ81" t="str">
        <f t="shared" si="67"/>
        <v>-</v>
      </c>
      <c r="BA81" t="str">
        <f t="shared" si="68"/>
        <v>-</v>
      </c>
      <c r="BB81" t="str">
        <f t="shared" si="69"/>
        <v>-</v>
      </c>
      <c r="BC81" t="str">
        <f t="shared" si="70"/>
        <v>-</v>
      </c>
      <c r="BD81" s="29" t="str">
        <f t="shared" si="71"/>
        <v>-</v>
      </c>
      <c r="BE81" s="29" t="str">
        <f t="shared" si="72"/>
        <v>-</v>
      </c>
    </row>
    <row r="82" spans="1:57" ht="15" x14ac:dyDescent="0.2">
      <c r="A82" s="2">
        <v>5</v>
      </c>
      <c r="B82" s="2" t="str">
        <f t="shared" si="37"/>
        <v>0005</v>
      </c>
      <c r="C82" t="str">
        <f t="shared" si="38"/>
        <v>ORD-TK-0005-02/02/24</v>
      </c>
      <c r="D82" s="3" t="s">
        <v>79</v>
      </c>
      <c r="E82" t="str">
        <f t="shared" si="39"/>
        <v>PP002</v>
      </c>
      <c r="F82" t="str">
        <f>INDEX(Katalog!$B$4:$B$13,MATCH('Main Data'!E82,Katalog!$C$4:$C$13,0))</f>
        <v>Celana Pendek</v>
      </c>
      <c r="G82" t="str">
        <f>VLOOKUP(E82,Katalog!$A$15:$B$25,2,0)</f>
        <v>Pakaian Pria</v>
      </c>
      <c r="H82" t="str">
        <f t="shared" si="40"/>
        <v>2</v>
      </c>
      <c r="I82" t="str">
        <f t="shared" si="41"/>
        <v>3</v>
      </c>
      <c r="J82" s="18">
        <f>VLOOKUP(E82,Katalog!$C$3:$F$13,2,0)</f>
        <v>60000</v>
      </c>
      <c r="K82" s="18">
        <f>VLOOKUP(E82,Katalog!$C$3:$F$13,3,0)</f>
        <v>25000</v>
      </c>
      <c r="L82" t="str">
        <f t="shared" si="42"/>
        <v>PP002</v>
      </c>
      <c r="M82" t="str">
        <f>IFERROR(INDEX(Katalog!$B$4:$B$13,MATCH('Main Data'!L82,Katalog!$C$4:$C$13,0)), "-")</f>
        <v>Celana Pendek</v>
      </c>
      <c r="N82" t="str">
        <f>IFERROR(VLOOKUP(L82,Katalog!$A$15:$B$25,2,0),"-")</f>
        <v>Pakaian Pria</v>
      </c>
      <c r="O82" t="str">
        <f t="shared" si="43"/>
        <v>1</v>
      </c>
      <c r="P82" t="str">
        <f t="shared" si="44"/>
        <v>2</v>
      </c>
      <c r="Q82" s="18">
        <f>IFERROR(VLOOKUP(L82,Katalog!$C$3:$F$13,2,0),0)</f>
        <v>60000</v>
      </c>
      <c r="R82" s="18">
        <f>IFERROR(VLOOKUP(L82,Katalog!$C$3:$F$13,3,0),0)</f>
        <v>25000</v>
      </c>
      <c r="S82" t="str">
        <f t="shared" si="45"/>
        <v>-</v>
      </c>
      <c r="T82" t="str">
        <f>IFERROR(INDEX(Katalog!$B$4:$B$13,MATCH('Main Data'!S82,Katalog!$C$4:$C$13,0)),"-")</f>
        <v>-</v>
      </c>
      <c r="U82" t="str">
        <f>IFERROR(VLOOKUP(S82,Katalog!$A$15:$B$25,2,0),"-")</f>
        <v>-</v>
      </c>
      <c r="V82">
        <f t="shared" si="46"/>
        <v>0</v>
      </c>
      <c r="W82" s="28" t="str">
        <f t="shared" si="47"/>
        <v>-</v>
      </c>
      <c r="X82" s="18">
        <f>IFERROR(VLOOKUP(S82,Katalog!$C$3:$F$13,2,0),0)</f>
        <v>0</v>
      </c>
      <c r="Y82" s="30">
        <f>IFERROR(VLOOKUP(S82,Katalog!$C$3:$F$13,3,0),0)</f>
        <v>0</v>
      </c>
      <c r="Z82" s="2">
        <f t="shared" si="48"/>
        <v>3</v>
      </c>
      <c r="AA82" s="4">
        <f t="shared" si="49"/>
        <v>180000</v>
      </c>
      <c r="AB82" s="4">
        <f t="shared" si="50"/>
        <v>75000</v>
      </c>
      <c r="AC82" s="4" t="s">
        <v>30</v>
      </c>
      <c r="AD82" s="16">
        <f>IFERROR(VLOOKUP(AC82,'Kode Diskon'!$C$2:$D$9,2,0),0)</f>
        <v>0.1</v>
      </c>
      <c r="AE82" s="31">
        <f t="shared" si="51"/>
        <v>18000</v>
      </c>
      <c r="AF82" s="31">
        <f t="shared" si="52"/>
        <v>162000</v>
      </c>
      <c r="AG82" s="31">
        <f t="shared" si="53"/>
        <v>105000</v>
      </c>
      <c r="AH82" s="31">
        <f t="shared" si="54"/>
        <v>87000</v>
      </c>
      <c r="AI82" s="4" t="s">
        <v>8</v>
      </c>
      <c r="AJ82" s="4" t="s">
        <v>9</v>
      </c>
      <c r="AK82" s="4" t="str">
        <f>IFERROR(VLOOKUP(AJ82,'Guide '!$A$13:$B$16,2,0),"-")</f>
        <v>TK</v>
      </c>
      <c r="AL82" s="4" t="s">
        <v>923</v>
      </c>
      <c r="AM82" s="40">
        <v>45324</v>
      </c>
      <c r="AN82">
        <f t="shared" si="55"/>
        <v>29</v>
      </c>
      <c r="AO82">
        <f t="shared" si="56"/>
        <v>32</v>
      </c>
      <c r="AP82">
        <f t="shared" si="57"/>
        <v>40</v>
      </c>
      <c r="AQ82">
        <f t="shared" si="58"/>
        <v>43</v>
      </c>
      <c r="AR82" s="26">
        <f t="shared" si="59"/>
        <v>56</v>
      </c>
      <c r="AS82" s="26">
        <f t="shared" si="60"/>
        <v>63</v>
      </c>
      <c r="AT82" s="21">
        <f t="shared" si="61"/>
        <v>12</v>
      </c>
      <c r="AU82" s="21">
        <f t="shared" si="62"/>
        <v>19</v>
      </c>
      <c r="AV82">
        <f t="shared" si="63"/>
        <v>73</v>
      </c>
      <c r="AW82">
        <f t="shared" si="64"/>
        <v>76</v>
      </c>
      <c r="AX82">
        <f t="shared" si="65"/>
        <v>84</v>
      </c>
      <c r="AY82">
        <f t="shared" si="66"/>
        <v>87</v>
      </c>
      <c r="AZ82" t="str">
        <f t="shared" si="67"/>
        <v>-</v>
      </c>
      <c r="BA82" t="str">
        <f t="shared" si="68"/>
        <v>-</v>
      </c>
      <c r="BB82" t="str">
        <f t="shared" si="69"/>
        <v>-</v>
      </c>
      <c r="BC82" t="str">
        <f t="shared" si="70"/>
        <v>-</v>
      </c>
      <c r="BD82" s="29" t="str">
        <f t="shared" si="71"/>
        <v>-</v>
      </c>
      <c r="BE82" s="29" t="str">
        <f t="shared" si="72"/>
        <v>-</v>
      </c>
    </row>
    <row r="83" spans="1:57" ht="15" x14ac:dyDescent="0.2">
      <c r="A83" s="2">
        <v>353</v>
      </c>
      <c r="B83" s="2" t="str">
        <f t="shared" si="37"/>
        <v>0353</v>
      </c>
      <c r="C83" t="str">
        <f t="shared" si="38"/>
        <v>ORD-BL-0353-02/02/24</v>
      </c>
      <c r="D83" s="3" t="s">
        <v>404</v>
      </c>
      <c r="E83" t="str">
        <f t="shared" si="39"/>
        <v>PU001</v>
      </c>
      <c r="F83" t="str">
        <f>INDEX(Katalog!$B$4:$B$13,MATCH('Main Data'!E83,Katalog!$C$4:$C$13,0))</f>
        <v>Jaket Hoodie</v>
      </c>
      <c r="G83" t="str">
        <f>VLOOKUP(E83,Katalog!$A$15:$B$25,2,0)</f>
        <v>Pakaian Unisex</v>
      </c>
      <c r="H83" t="str">
        <f t="shared" si="40"/>
        <v>1</v>
      </c>
      <c r="I83" t="str">
        <f t="shared" si="41"/>
        <v>3</v>
      </c>
      <c r="J83" s="18">
        <f>VLOOKUP(E83,Katalog!$C$3:$F$13,2,0)</f>
        <v>160000</v>
      </c>
      <c r="K83" s="18">
        <f>VLOOKUP(E83,Katalog!$C$3:$F$13,3,0)</f>
        <v>60000</v>
      </c>
      <c r="L83" t="str">
        <f t="shared" si="42"/>
        <v>SP002</v>
      </c>
      <c r="M83" t="str">
        <f>IFERROR(INDEX(Katalog!$B$4:$B$13,MATCH('Main Data'!L83,Katalog!$C$4:$C$13,0)), "-")</f>
        <v>Sandal Slip On</v>
      </c>
      <c r="N83" t="str">
        <f>IFERROR(VLOOKUP(L83,Katalog!$A$15:$B$25,2,0),"-")</f>
        <v>Sepatu Pria</v>
      </c>
      <c r="O83" t="str">
        <f t="shared" si="43"/>
        <v>1</v>
      </c>
      <c r="P83" t="str">
        <f t="shared" si="44"/>
        <v>1</v>
      </c>
      <c r="Q83" s="18">
        <f>IFERROR(VLOOKUP(L83,Katalog!$C$3:$F$13,2,0),0)</f>
        <v>120000</v>
      </c>
      <c r="R83" s="18">
        <f>IFERROR(VLOOKUP(L83,Katalog!$C$3:$F$13,3,0),0)</f>
        <v>60000</v>
      </c>
      <c r="S83" t="str">
        <f t="shared" si="45"/>
        <v>-</v>
      </c>
      <c r="T83" t="str">
        <f>IFERROR(INDEX(Katalog!$B$4:$B$13,MATCH('Main Data'!S83,Katalog!$C$4:$C$13,0)),"-")</f>
        <v>-</v>
      </c>
      <c r="U83" t="str">
        <f>IFERROR(VLOOKUP(S83,Katalog!$A$15:$B$25,2,0),"-")</f>
        <v>-</v>
      </c>
      <c r="V83">
        <f t="shared" si="46"/>
        <v>0</v>
      </c>
      <c r="W83" s="28" t="str">
        <f t="shared" si="47"/>
        <v>-</v>
      </c>
      <c r="X83" s="18">
        <f>IFERROR(VLOOKUP(S83,Katalog!$C$3:$F$13,2,0),0)</f>
        <v>0</v>
      </c>
      <c r="Y83" s="30">
        <f>IFERROR(VLOOKUP(S83,Katalog!$C$3:$F$13,3,0),0)</f>
        <v>0</v>
      </c>
      <c r="Z83" s="2">
        <f t="shared" si="48"/>
        <v>2</v>
      </c>
      <c r="AA83" s="4">
        <f t="shared" si="49"/>
        <v>280000</v>
      </c>
      <c r="AB83" s="4">
        <f t="shared" si="50"/>
        <v>120000</v>
      </c>
      <c r="AC83" s="4" t="s">
        <v>31</v>
      </c>
      <c r="AD83" s="16">
        <f>IFERROR(VLOOKUP(AC83,'Kode Diskon'!$C$2:$D$9,2,0),0)</f>
        <v>0.15</v>
      </c>
      <c r="AE83" s="31">
        <f t="shared" si="51"/>
        <v>42000</v>
      </c>
      <c r="AF83" s="31">
        <f t="shared" si="52"/>
        <v>238000</v>
      </c>
      <c r="AG83" s="31">
        <f t="shared" si="53"/>
        <v>160000</v>
      </c>
      <c r="AH83" s="31">
        <f t="shared" si="54"/>
        <v>118000</v>
      </c>
      <c r="AI83" s="4" t="s">
        <v>8</v>
      </c>
      <c r="AJ83" s="4" t="s">
        <v>11</v>
      </c>
      <c r="AK83" s="4" t="str">
        <f>IFERROR(VLOOKUP(AJ83,'Guide '!$A$13:$B$16,2,0),"-")</f>
        <v>BL</v>
      </c>
      <c r="AL83" s="4" t="s">
        <v>925</v>
      </c>
      <c r="AM83" s="40">
        <v>45324</v>
      </c>
      <c r="AN83">
        <f t="shared" si="55"/>
        <v>29</v>
      </c>
      <c r="AO83">
        <f t="shared" si="56"/>
        <v>32</v>
      </c>
      <c r="AP83">
        <f t="shared" si="57"/>
        <v>40</v>
      </c>
      <c r="AQ83">
        <f t="shared" si="58"/>
        <v>43</v>
      </c>
      <c r="AR83" s="26">
        <f t="shared" si="59"/>
        <v>56</v>
      </c>
      <c r="AS83" s="26">
        <f t="shared" si="60"/>
        <v>63</v>
      </c>
      <c r="AT83" s="21">
        <f t="shared" si="61"/>
        <v>12</v>
      </c>
      <c r="AU83" s="21">
        <f t="shared" si="62"/>
        <v>19</v>
      </c>
      <c r="AV83">
        <f t="shared" si="63"/>
        <v>73</v>
      </c>
      <c r="AW83">
        <f t="shared" si="64"/>
        <v>76</v>
      </c>
      <c r="AX83">
        <f t="shared" si="65"/>
        <v>84</v>
      </c>
      <c r="AY83">
        <f t="shared" si="66"/>
        <v>87</v>
      </c>
      <c r="AZ83" t="str">
        <f t="shared" si="67"/>
        <v>-</v>
      </c>
      <c r="BA83" t="str">
        <f t="shared" si="68"/>
        <v>-</v>
      </c>
      <c r="BB83" t="str">
        <f t="shared" si="69"/>
        <v>-</v>
      </c>
      <c r="BC83" t="str">
        <f t="shared" si="70"/>
        <v>-</v>
      </c>
      <c r="BD83" s="29" t="str">
        <f t="shared" si="71"/>
        <v>-</v>
      </c>
      <c r="BE83" s="29" t="str">
        <f t="shared" si="72"/>
        <v>-</v>
      </c>
    </row>
    <row r="84" spans="1:57" ht="15" x14ac:dyDescent="0.2">
      <c r="A84" s="2">
        <v>383</v>
      </c>
      <c r="B84" s="2" t="str">
        <f t="shared" si="37"/>
        <v>0383</v>
      </c>
      <c r="C84" t="str">
        <f t="shared" si="38"/>
        <v>ORD-SP-0383-03/02/24</v>
      </c>
      <c r="D84" s="3" t="s">
        <v>432</v>
      </c>
      <c r="E84" t="str">
        <f t="shared" si="39"/>
        <v>PP003</v>
      </c>
      <c r="F84" t="str">
        <f>INDEX(Katalog!$B$4:$B$13,MATCH('Main Data'!E84,Katalog!$C$4:$C$13,0))</f>
        <v>Jaket Jeans</v>
      </c>
      <c r="G84" t="str">
        <f>VLOOKUP(E84,Katalog!$A$15:$B$25,2,0)</f>
        <v>Pakaian Pria</v>
      </c>
      <c r="H84" t="str">
        <f t="shared" si="40"/>
        <v>4</v>
      </c>
      <c r="I84" t="str">
        <f t="shared" si="41"/>
        <v>4</v>
      </c>
      <c r="J84" s="18">
        <f>VLOOKUP(E84,Katalog!$C$3:$F$13,2,0)</f>
        <v>150000</v>
      </c>
      <c r="K84" s="18">
        <f>VLOOKUP(E84,Katalog!$C$3:$F$13,3,0)</f>
        <v>70000</v>
      </c>
      <c r="L84" t="str">
        <f t="shared" si="42"/>
        <v>PU001</v>
      </c>
      <c r="M84" t="str">
        <f>IFERROR(INDEX(Katalog!$B$4:$B$13,MATCH('Main Data'!L84,Katalog!$C$4:$C$13,0)), "-")</f>
        <v>Jaket Hoodie</v>
      </c>
      <c r="N84" t="str">
        <f>IFERROR(VLOOKUP(L84,Katalog!$A$15:$B$25,2,0),"-")</f>
        <v>Pakaian Unisex</v>
      </c>
      <c r="O84" t="str">
        <f t="shared" si="43"/>
        <v>1</v>
      </c>
      <c r="P84" t="str">
        <f t="shared" si="44"/>
        <v>4</v>
      </c>
      <c r="Q84" s="18">
        <f>IFERROR(VLOOKUP(L84,Katalog!$C$3:$F$13,2,0),0)</f>
        <v>160000</v>
      </c>
      <c r="R84" s="18">
        <f>IFERROR(VLOOKUP(L84,Katalog!$C$3:$F$13,3,0),0)</f>
        <v>60000</v>
      </c>
      <c r="S84" t="str">
        <f t="shared" si="45"/>
        <v>PP003</v>
      </c>
      <c r="T84" t="str">
        <f>IFERROR(INDEX(Katalog!$B$4:$B$13,MATCH('Main Data'!S84,Katalog!$C$4:$C$13,0)),"-")</f>
        <v>Jaket Jeans</v>
      </c>
      <c r="U84" t="str">
        <f>IFERROR(VLOOKUP(S84,Katalog!$A$15:$B$25,2,0),"-")</f>
        <v>Pakaian Pria</v>
      </c>
      <c r="V84" t="str">
        <f t="shared" si="46"/>
        <v>2</v>
      </c>
      <c r="W84" s="28" t="str">
        <f t="shared" si="47"/>
        <v>4</v>
      </c>
      <c r="X84" s="18">
        <f>IFERROR(VLOOKUP(S84,Katalog!$C$3:$F$13,2,0),0)</f>
        <v>150000</v>
      </c>
      <c r="Y84" s="30">
        <f>IFERROR(VLOOKUP(S84,Katalog!$C$3:$F$13,3,0),0)</f>
        <v>70000</v>
      </c>
      <c r="Z84" s="2">
        <f t="shared" si="48"/>
        <v>7</v>
      </c>
      <c r="AA84" s="4">
        <f t="shared" si="49"/>
        <v>1060000</v>
      </c>
      <c r="AB84" s="4">
        <f t="shared" si="50"/>
        <v>480000</v>
      </c>
      <c r="AC84" s="4" t="s">
        <v>12</v>
      </c>
      <c r="AD84" s="16">
        <f>IFERROR(VLOOKUP(AC84,'Kode Diskon'!$C$2:$D$9,2,0),0)</f>
        <v>0.15</v>
      </c>
      <c r="AE84" s="31">
        <f t="shared" si="51"/>
        <v>159000</v>
      </c>
      <c r="AF84" s="31">
        <f t="shared" si="52"/>
        <v>901000</v>
      </c>
      <c r="AG84" s="31">
        <f t="shared" si="53"/>
        <v>580000</v>
      </c>
      <c r="AH84" s="31">
        <f t="shared" si="54"/>
        <v>421000</v>
      </c>
      <c r="AI84" s="4" t="s">
        <v>28</v>
      </c>
      <c r="AJ84" s="4" t="s">
        <v>6</v>
      </c>
      <c r="AK84" s="4" t="str">
        <f>IFERROR(VLOOKUP(AJ84,'Guide '!$A$13:$B$16,2,0),"-")</f>
        <v>SP</v>
      </c>
      <c r="AL84" s="4" t="s">
        <v>923</v>
      </c>
      <c r="AM84" s="40">
        <v>45325</v>
      </c>
      <c r="AN84">
        <f t="shared" si="55"/>
        <v>29</v>
      </c>
      <c r="AO84">
        <f t="shared" si="56"/>
        <v>32</v>
      </c>
      <c r="AP84">
        <f t="shared" si="57"/>
        <v>40</v>
      </c>
      <c r="AQ84">
        <f t="shared" si="58"/>
        <v>43</v>
      </c>
      <c r="AR84" s="26">
        <f t="shared" si="59"/>
        <v>56</v>
      </c>
      <c r="AS84" s="26">
        <f t="shared" si="60"/>
        <v>63</v>
      </c>
      <c r="AT84" s="21">
        <f t="shared" si="61"/>
        <v>12</v>
      </c>
      <c r="AU84" s="21">
        <f t="shared" si="62"/>
        <v>19</v>
      </c>
      <c r="AV84">
        <f t="shared" si="63"/>
        <v>73</v>
      </c>
      <c r="AW84">
        <f t="shared" si="64"/>
        <v>76</v>
      </c>
      <c r="AX84">
        <f t="shared" si="65"/>
        <v>84</v>
      </c>
      <c r="AY84">
        <f t="shared" si="66"/>
        <v>87</v>
      </c>
      <c r="AZ84">
        <f t="shared" si="67"/>
        <v>100</v>
      </c>
      <c r="BA84">
        <f t="shared" si="68"/>
        <v>107</v>
      </c>
      <c r="BB84">
        <f t="shared" si="69"/>
        <v>117</v>
      </c>
      <c r="BC84">
        <f t="shared" si="70"/>
        <v>120</v>
      </c>
      <c r="BD84" s="29">
        <f t="shared" si="71"/>
        <v>128</v>
      </c>
      <c r="BE84" s="29">
        <f t="shared" si="72"/>
        <v>131</v>
      </c>
    </row>
    <row r="85" spans="1:57" ht="15" x14ac:dyDescent="0.2">
      <c r="A85" s="2">
        <v>395</v>
      </c>
      <c r="B85" s="2" t="str">
        <f t="shared" si="37"/>
        <v>0395</v>
      </c>
      <c r="C85" t="str">
        <f t="shared" si="38"/>
        <v>ORD-TK-0395-03/02/24</v>
      </c>
      <c r="D85" s="3" t="s">
        <v>444</v>
      </c>
      <c r="E85" t="str">
        <f t="shared" si="39"/>
        <v>SP001</v>
      </c>
      <c r="F85" t="str">
        <f>INDEX(Katalog!$B$4:$B$13,MATCH('Main Data'!E85,Katalog!$C$4:$C$13,0))</f>
        <v>Sneakers</v>
      </c>
      <c r="G85" t="str">
        <f>VLOOKUP(E85,Katalog!$A$15:$B$25,2,0)</f>
        <v>Sepatu Pria</v>
      </c>
      <c r="H85" t="str">
        <f t="shared" si="40"/>
        <v>1</v>
      </c>
      <c r="I85" t="str">
        <f t="shared" si="41"/>
        <v>3</v>
      </c>
      <c r="J85" s="18">
        <f>VLOOKUP(E85,Katalog!$C$3:$F$13,2,0)</f>
        <v>300000</v>
      </c>
      <c r="K85" s="18">
        <f>VLOOKUP(E85,Katalog!$C$3:$F$13,3,0)</f>
        <v>100000</v>
      </c>
      <c r="L85" t="str">
        <f t="shared" si="42"/>
        <v>-</v>
      </c>
      <c r="M85" t="str">
        <f>IFERROR(INDEX(Katalog!$B$4:$B$13,MATCH('Main Data'!L85,Katalog!$C$4:$C$13,0)), "-")</f>
        <v>-</v>
      </c>
      <c r="N85" t="str">
        <f>IFERROR(VLOOKUP(L85,Katalog!$A$15:$B$25,2,0),"-")</f>
        <v>-</v>
      </c>
      <c r="O85">
        <f t="shared" si="43"/>
        <v>0</v>
      </c>
      <c r="P85" t="str">
        <f t="shared" si="44"/>
        <v>-</v>
      </c>
      <c r="Q85" s="18">
        <f>IFERROR(VLOOKUP(L85,Katalog!$C$3:$F$13,2,0),0)</f>
        <v>0</v>
      </c>
      <c r="R85" s="18">
        <f>IFERROR(VLOOKUP(L85,Katalog!$C$3:$F$13,3,0),0)</f>
        <v>0</v>
      </c>
      <c r="S85" t="str">
        <f t="shared" si="45"/>
        <v>-</v>
      </c>
      <c r="T85" t="str">
        <f>IFERROR(INDEX(Katalog!$B$4:$B$13,MATCH('Main Data'!S85,Katalog!$C$4:$C$13,0)),"-")</f>
        <v>-</v>
      </c>
      <c r="U85" t="str">
        <f>IFERROR(VLOOKUP(S85,Katalog!$A$15:$B$25,2,0),"-")</f>
        <v>-</v>
      </c>
      <c r="V85">
        <f t="shared" si="46"/>
        <v>0</v>
      </c>
      <c r="W85" s="28" t="str">
        <f t="shared" si="47"/>
        <v>-</v>
      </c>
      <c r="X85" s="18">
        <f>IFERROR(VLOOKUP(S85,Katalog!$C$3:$F$13,2,0),0)</f>
        <v>0</v>
      </c>
      <c r="Y85" s="30">
        <f>IFERROR(VLOOKUP(S85,Katalog!$C$3:$F$13,3,0),0)</f>
        <v>0</v>
      </c>
      <c r="Z85" s="2">
        <f t="shared" si="48"/>
        <v>1</v>
      </c>
      <c r="AA85" s="4">
        <f t="shared" si="49"/>
        <v>300000</v>
      </c>
      <c r="AB85" s="4">
        <f t="shared" si="50"/>
        <v>100000</v>
      </c>
      <c r="AC85" s="4" t="s">
        <v>30</v>
      </c>
      <c r="AD85" s="16">
        <f>IFERROR(VLOOKUP(AC85,'Kode Diskon'!$C$2:$D$9,2,0),0)</f>
        <v>0.1</v>
      </c>
      <c r="AE85" s="31">
        <f t="shared" si="51"/>
        <v>30000</v>
      </c>
      <c r="AF85" s="31">
        <f t="shared" si="52"/>
        <v>270000</v>
      </c>
      <c r="AG85" s="31">
        <f t="shared" si="53"/>
        <v>200000</v>
      </c>
      <c r="AH85" s="31">
        <f t="shared" si="54"/>
        <v>170000</v>
      </c>
      <c r="AI85" s="4" t="s">
        <v>8</v>
      </c>
      <c r="AJ85" s="4" t="s">
        <v>9</v>
      </c>
      <c r="AK85" s="4" t="str">
        <f>IFERROR(VLOOKUP(AJ85,'Guide '!$A$13:$B$16,2,0),"-")</f>
        <v>TK</v>
      </c>
      <c r="AL85" s="4" t="s">
        <v>922</v>
      </c>
      <c r="AM85" s="40">
        <v>45325</v>
      </c>
      <c r="AN85">
        <f t="shared" si="55"/>
        <v>29</v>
      </c>
      <c r="AO85">
        <f t="shared" si="56"/>
        <v>32</v>
      </c>
      <c r="AP85">
        <f t="shared" si="57"/>
        <v>40</v>
      </c>
      <c r="AQ85">
        <f t="shared" si="58"/>
        <v>43</v>
      </c>
      <c r="AR85" s="26" t="str">
        <f t="shared" si="59"/>
        <v>-</v>
      </c>
      <c r="AS85" s="26" t="str">
        <f t="shared" si="60"/>
        <v>-</v>
      </c>
      <c r="AT85" s="21">
        <f t="shared" si="61"/>
        <v>12</v>
      </c>
      <c r="AU85" s="21">
        <f t="shared" si="62"/>
        <v>19</v>
      </c>
      <c r="AV85" t="str">
        <f t="shared" si="63"/>
        <v>-</v>
      </c>
      <c r="AW85" t="str">
        <f t="shared" si="64"/>
        <v>-</v>
      </c>
      <c r="AX85" t="str">
        <f t="shared" si="65"/>
        <v>-</v>
      </c>
      <c r="AY85" t="str">
        <f t="shared" si="66"/>
        <v>-</v>
      </c>
      <c r="AZ85" t="str">
        <f t="shared" si="67"/>
        <v>-</v>
      </c>
      <c r="BA85" t="str">
        <f t="shared" si="68"/>
        <v>-</v>
      </c>
      <c r="BB85" t="str">
        <f t="shared" si="69"/>
        <v>-</v>
      </c>
      <c r="BC85" t="str">
        <f t="shared" si="70"/>
        <v>-</v>
      </c>
      <c r="BD85" s="29" t="str">
        <f t="shared" si="71"/>
        <v>-</v>
      </c>
      <c r="BE85" s="29" t="str">
        <f t="shared" si="72"/>
        <v>-</v>
      </c>
    </row>
    <row r="86" spans="1:57" ht="15" x14ac:dyDescent="0.2">
      <c r="A86" s="2">
        <v>681</v>
      </c>
      <c r="B86" s="2" t="str">
        <f t="shared" si="37"/>
        <v>0681</v>
      </c>
      <c r="C86" t="str">
        <f t="shared" si="38"/>
        <v>ORD-BL-0681-03/02/24</v>
      </c>
      <c r="D86" s="3" t="s">
        <v>678</v>
      </c>
      <c r="E86" t="str">
        <f t="shared" si="39"/>
        <v>PW001</v>
      </c>
      <c r="F86" t="str">
        <f>INDEX(Katalog!$B$4:$B$13,MATCH('Main Data'!E86,Katalog!$C$4:$C$13,0))</f>
        <v>Dress</v>
      </c>
      <c r="G86" t="str">
        <f>VLOOKUP(E86,Katalog!$A$15:$B$25,2,0)</f>
        <v>Pakaian Wanita</v>
      </c>
      <c r="H86" t="str">
        <f t="shared" si="40"/>
        <v>1</v>
      </c>
      <c r="I86" t="str">
        <f t="shared" si="41"/>
        <v>4</v>
      </c>
      <c r="J86" s="18">
        <f>VLOOKUP(E86,Katalog!$C$3:$F$13,2,0)</f>
        <v>150000</v>
      </c>
      <c r="K86" s="18">
        <f>VLOOKUP(E86,Katalog!$C$3:$F$13,3,0)</f>
        <v>55000</v>
      </c>
      <c r="L86" t="str">
        <f t="shared" si="42"/>
        <v>PP003</v>
      </c>
      <c r="M86" t="str">
        <f>IFERROR(INDEX(Katalog!$B$4:$B$13,MATCH('Main Data'!L86,Katalog!$C$4:$C$13,0)), "-")</f>
        <v>Jaket Jeans</v>
      </c>
      <c r="N86" t="str">
        <f>IFERROR(VLOOKUP(L86,Katalog!$A$15:$B$25,2,0),"-")</f>
        <v>Pakaian Pria</v>
      </c>
      <c r="O86" t="str">
        <f t="shared" si="43"/>
        <v>3</v>
      </c>
      <c r="P86" t="str">
        <f t="shared" si="44"/>
        <v>4</v>
      </c>
      <c r="Q86" s="18">
        <f>IFERROR(VLOOKUP(L86,Katalog!$C$3:$F$13,2,0),0)</f>
        <v>150000</v>
      </c>
      <c r="R86" s="18">
        <f>IFERROR(VLOOKUP(L86,Katalog!$C$3:$F$13,3,0),0)</f>
        <v>70000</v>
      </c>
      <c r="S86" t="str">
        <f t="shared" si="45"/>
        <v>-</v>
      </c>
      <c r="T86" t="str">
        <f>IFERROR(INDEX(Katalog!$B$4:$B$13,MATCH('Main Data'!S86,Katalog!$C$4:$C$13,0)),"-")</f>
        <v>-</v>
      </c>
      <c r="U86" t="str">
        <f>IFERROR(VLOOKUP(S86,Katalog!$A$15:$B$25,2,0),"-")</f>
        <v>-</v>
      </c>
      <c r="V86">
        <f t="shared" si="46"/>
        <v>0</v>
      </c>
      <c r="W86" s="28" t="str">
        <f t="shared" si="47"/>
        <v>-</v>
      </c>
      <c r="X86" s="18">
        <f>IFERROR(VLOOKUP(S86,Katalog!$C$3:$F$13,2,0),0)</f>
        <v>0</v>
      </c>
      <c r="Y86" s="30">
        <f>IFERROR(VLOOKUP(S86,Katalog!$C$3:$F$13,3,0),0)</f>
        <v>0</v>
      </c>
      <c r="Z86" s="2">
        <f t="shared" si="48"/>
        <v>4</v>
      </c>
      <c r="AA86" s="4">
        <f t="shared" si="49"/>
        <v>600000</v>
      </c>
      <c r="AB86" s="4">
        <f t="shared" si="50"/>
        <v>265000</v>
      </c>
      <c r="AC86" s="4" t="s">
        <v>31</v>
      </c>
      <c r="AD86" s="16">
        <f>IFERROR(VLOOKUP(AC86,'Kode Diskon'!$C$2:$D$9,2,0),0)</f>
        <v>0.15</v>
      </c>
      <c r="AE86" s="31">
        <f t="shared" si="51"/>
        <v>90000</v>
      </c>
      <c r="AF86" s="31">
        <f t="shared" si="52"/>
        <v>510000</v>
      </c>
      <c r="AG86" s="31">
        <f t="shared" si="53"/>
        <v>335000</v>
      </c>
      <c r="AH86" s="31">
        <f t="shared" si="54"/>
        <v>245000</v>
      </c>
      <c r="AI86" s="4" t="s">
        <v>8</v>
      </c>
      <c r="AJ86" s="4" t="s">
        <v>11</v>
      </c>
      <c r="AK86" s="4" t="str">
        <f>IFERROR(VLOOKUP(AJ86,'Guide '!$A$13:$B$16,2,0),"-")</f>
        <v>BL</v>
      </c>
      <c r="AL86" s="4" t="s">
        <v>925</v>
      </c>
      <c r="AM86" s="40">
        <v>45325</v>
      </c>
      <c r="AN86">
        <f t="shared" si="55"/>
        <v>29</v>
      </c>
      <c r="AO86">
        <f t="shared" si="56"/>
        <v>32</v>
      </c>
      <c r="AP86">
        <f t="shared" si="57"/>
        <v>40</v>
      </c>
      <c r="AQ86">
        <f t="shared" si="58"/>
        <v>43</v>
      </c>
      <c r="AR86" s="26">
        <f t="shared" si="59"/>
        <v>56</v>
      </c>
      <c r="AS86" s="26">
        <f t="shared" si="60"/>
        <v>63</v>
      </c>
      <c r="AT86" s="21">
        <f t="shared" si="61"/>
        <v>12</v>
      </c>
      <c r="AU86" s="21">
        <f t="shared" si="62"/>
        <v>19</v>
      </c>
      <c r="AV86">
        <f t="shared" si="63"/>
        <v>73</v>
      </c>
      <c r="AW86">
        <f t="shared" si="64"/>
        <v>76</v>
      </c>
      <c r="AX86">
        <f t="shared" si="65"/>
        <v>84</v>
      </c>
      <c r="AY86">
        <f t="shared" si="66"/>
        <v>87</v>
      </c>
      <c r="AZ86" t="str">
        <f t="shared" si="67"/>
        <v>-</v>
      </c>
      <c r="BA86" t="str">
        <f t="shared" si="68"/>
        <v>-</v>
      </c>
      <c r="BB86" t="str">
        <f t="shared" si="69"/>
        <v>-</v>
      </c>
      <c r="BC86" t="str">
        <f t="shared" si="70"/>
        <v>-</v>
      </c>
      <c r="BD86" s="29" t="str">
        <f t="shared" si="71"/>
        <v>-</v>
      </c>
      <c r="BE86" s="29" t="str">
        <f t="shared" si="72"/>
        <v>-</v>
      </c>
    </row>
    <row r="87" spans="1:57" ht="15" x14ac:dyDescent="0.2">
      <c r="A87" s="2">
        <v>830</v>
      </c>
      <c r="B87" s="2" t="str">
        <f t="shared" si="37"/>
        <v>0830</v>
      </c>
      <c r="C87" t="str">
        <f t="shared" si="38"/>
        <v>ORD-BB-0830-03/02/24</v>
      </c>
      <c r="D87" s="3" t="s">
        <v>789</v>
      </c>
      <c r="E87" t="str">
        <f t="shared" si="39"/>
        <v>PU001</v>
      </c>
      <c r="F87" t="str">
        <f>INDEX(Katalog!$B$4:$B$13,MATCH('Main Data'!E87,Katalog!$C$4:$C$13,0))</f>
        <v>Jaket Hoodie</v>
      </c>
      <c r="G87" t="str">
        <f>VLOOKUP(E87,Katalog!$A$15:$B$25,2,0)</f>
        <v>Pakaian Unisex</v>
      </c>
      <c r="H87" t="str">
        <f t="shared" si="40"/>
        <v>3</v>
      </c>
      <c r="I87" t="str">
        <f t="shared" si="41"/>
        <v>1</v>
      </c>
      <c r="J87" s="18">
        <f>VLOOKUP(E87,Katalog!$C$3:$F$13,2,0)</f>
        <v>160000</v>
      </c>
      <c r="K87" s="18">
        <f>VLOOKUP(E87,Katalog!$C$3:$F$13,3,0)</f>
        <v>60000</v>
      </c>
      <c r="L87" t="str">
        <f t="shared" si="42"/>
        <v>SP002</v>
      </c>
      <c r="M87" t="str">
        <f>IFERROR(INDEX(Katalog!$B$4:$B$13,MATCH('Main Data'!L87,Katalog!$C$4:$C$13,0)), "-")</f>
        <v>Sandal Slip On</v>
      </c>
      <c r="N87" t="str">
        <f>IFERROR(VLOOKUP(L87,Katalog!$A$15:$B$25,2,0),"-")</f>
        <v>Sepatu Pria</v>
      </c>
      <c r="O87" t="str">
        <f t="shared" si="43"/>
        <v>2</v>
      </c>
      <c r="P87" t="str">
        <f t="shared" si="44"/>
        <v>4</v>
      </c>
      <c r="Q87" s="18">
        <f>IFERROR(VLOOKUP(L87,Katalog!$C$3:$F$13,2,0),0)</f>
        <v>120000</v>
      </c>
      <c r="R87" s="18">
        <f>IFERROR(VLOOKUP(L87,Katalog!$C$3:$F$13,3,0),0)</f>
        <v>60000</v>
      </c>
      <c r="S87" t="str">
        <f t="shared" si="45"/>
        <v>PW003</v>
      </c>
      <c r="T87" t="str">
        <f>IFERROR(INDEX(Katalog!$B$4:$B$13,MATCH('Main Data'!S87,Katalog!$C$4:$C$13,0)),"-")</f>
        <v>Kaftan</v>
      </c>
      <c r="U87" t="str">
        <f>IFERROR(VLOOKUP(S87,Katalog!$A$15:$B$25,2,0),"-")</f>
        <v>Pakaian Wanita</v>
      </c>
      <c r="V87" t="str">
        <f t="shared" si="46"/>
        <v>1</v>
      </c>
      <c r="W87" s="28" t="str">
        <f t="shared" si="47"/>
        <v>5</v>
      </c>
      <c r="X87" s="18">
        <f>IFERROR(VLOOKUP(S87,Katalog!$C$3:$F$13,2,0),0)</f>
        <v>200000</v>
      </c>
      <c r="Y87" s="30">
        <f>IFERROR(VLOOKUP(S87,Katalog!$C$3:$F$13,3,0),0)</f>
        <v>100000</v>
      </c>
      <c r="Z87" s="2">
        <f t="shared" si="48"/>
        <v>6</v>
      </c>
      <c r="AA87" s="4">
        <f t="shared" si="49"/>
        <v>920000</v>
      </c>
      <c r="AB87" s="4">
        <f t="shared" si="50"/>
        <v>400000</v>
      </c>
      <c r="AC87" s="4" t="s">
        <v>10</v>
      </c>
      <c r="AD87" s="16">
        <f>IFERROR(VLOOKUP(AC87,'Kode Diskon'!$C$2:$D$9,2,0),0)</f>
        <v>0</v>
      </c>
      <c r="AE87" s="31">
        <f t="shared" si="51"/>
        <v>0</v>
      </c>
      <c r="AF87" s="31">
        <f t="shared" si="52"/>
        <v>920000</v>
      </c>
      <c r="AG87" s="31">
        <f t="shared" si="53"/>
        <v>520000</v>
      </c>
      <c r="AH87" s="31">
        <f t="shared" si="54"/>
        <v>520000</v>
      </c>
      <c r="AI87" s="4" t="s">
        <v>10</v>
      </c>
      <c r="AJ87" s="4" t="s">
        <v>13</v>
      </c>
      <c r="AK87" s="4" t="str">
        <f>IFERROR(VLOOKUP(AJ87,'Guide '!$A$13:$B$16,2,0),"-")</f>
        <v>BB</v>
      </c>
      <c r="AL87" s="4" t="s">
        <v>923</v>
      </c>
      <c r="AM87" s="40">
        <v>45325</v>
      </c>
      <c r="AN87">
        <f t="shared" si="55"/>
        <v>29</v>
      </c>
      <c r="AO87">
        <f t="shared" si="56"/>
        <v>32</v>
      </c>
      <c r="AP87">
        <f t="shared" si="57"/>
        <v>40</v>
      </c>
      <c r="AQ87">
        <f t="shared" si="58"/>
        <v>43</v>
      </c>
      <c r="AR87" s="26">
        <f t="shared" si="59"/>
        <v>56</v>
      </c>
      <c r="AS87" s="26">
        <f t="shared" si="60"/>
        <v>63</v>
      </c>
      <c r="AT87" s="21">
        <f t="shared" si="61"/>
        <v>12</v>
      </c>
      <c r="AU87" s="21">
        <f t="shared" si="62"/>
        <v>19</v>
      </c>
      <c r="AV87">
        <f t="shared" si="63"/>
        <v>73</v>
      </c>
      <c r="AW87">
        <f t="shared" si="64"/>
        <v>76</v>
      </c>
      <c r="AX87">
        <f t="shared" si="65"/>
        <v>84</v>
      </c>
      <c r="AY87">
        <f t="shared" si="66"/>
        <v>87</v>
      </c>
      <c r="AZ87">
        <f t="shared" si="67"/>
        <v>100</v>
      </c>
      <c r="BA87">
        <f t="shared" si="68"/>
        <v>107</v>
      </c>
      <c r="BB87">
        <f t="shared" si="69"/>
        <v>117</v>
      </c>
      <c r="BC87">
        <f t="shared" si="70"/>
        <v>120</v>
      </c>
      <c r="BD87" s="29">
        <f t="shared" si="71"/>
        <v>128</v>
      </c>
      <c r="BE87" s="29">
        <f t="shared" si="72"/>
        <v>131</v>
      </c>
    </row>
    <row r="88" spans="1:57" ht="15" x14ac:dyDescent="0.2">
      <c r="A88" s="2">
        <v>729</v>
      </c>
      <c r="B88" s="2" t="str">
        <f t="shared" si="37"/>
        <v>0729</v>
      </c>
      <c r="C88" t="str">
        <f t="shared" si="38"/>
        <v>ORD-BB-0729-04/02/24</v>
      </c>
      <c r="D88" s="3" t="s">
        <v>715</v>
      </c>
      <c r="E88" t="str">
        <f t="shared" si="39"/>
        <v>PP002</v>
      </c>
      <c r="F88" t="str">
        <f>INDEX(Katalog!$B$4:$B$13,MATCH('Main Data'!E88,Katalog!$C$4:$C$13,0))</f>
        <v>Celana Pendek</v>
      </c>
      <c r="G88" t="str">
        <f>VLOOKUP(E88,Katalog!$A$15:$B$25,2,0)</f>
        <v>Pakaian Pria</v>
      </c>
      <c r="H88" t="str">
        <f t="shared" si="40"/>
        <v>4</v>
      </c>
      <c r="I88" t="str">
        <f t="shared" si="41"/>
        <v>4</v>
      </c>
      <c r="J88" s="18">
        <f>VLOOKUP(E88,Katalog!$C$3:$F$13,2,0)</f>
        <v>60000</v>
      </c>
      <c r="K88" s="18">
        <f>VLOOKUP(E88,Katalog!$C$3:$F$13,3,0)</f>
        <v>25000</v>
      </c>
      <c r="L88" t="str">
        <f t="shared" si="42"/>
        <v>-</v>
      </c>
      <c r="M88" t="str">
        <f>IFERROR(INDEX(Katalog!$B$4:$B$13,MATCH('Main Data'!L88,Katalog!$C$4:$C$13,0)), "-")</f>
        <v>-</v>
      </c>
      <c r="N88" t="str">
        <f>IFERROR(VLOOKUP(L88,Katalog!$A$15:$B$25,2,0),"-")</f>
        <v>-</v>
      </c>
      <c r="O88">
        <f t="shared" si="43"/>
        <v>0</v>
      </c>
      <c r="P88" t="str">
        <f t="shared" si="44"/>
        <v>-</v>
      </c>
      <c r="Q88" s="18">
        <f>IFERROR(VLOOKUP(L88,Katalog!$C$3:$F$13,2,0),0)</f>
        <v>0</v>
      </c>
      <c r="R88" s="18">
        <f>IFERROR(VLOOKUP(L88,Katalog!$C$3:$F$13,3,0),0)</f>
        <v>0</v>
      </c>
      <c r="S88" t="str">
        <f t="shared" si="45"/>
        <v>-</v>
      </c>
      <c r="T88" t="str">
        <f>IFERROR(INDEX(Katalog!$B$4:$B$13,MATCH('Main Data'!S88,Katalog!$C$4:$C$13,0)),"-")</f>
        <v>-</v>
      </c>
      <c r="U88" t="str">
        <f>IFERROR(VLOOKUP(S88,Katalog!$A$15:$B$25,2,0),"-")</f>
        <v>-</v>
      </c>
      <c r="V88">
        <f t="shared" si="46"/>
        <v>0</v>
      </c>
      <c r="W88" s="28" t="str">
        <f t="shared" si="47"/>
        <v>-</v>
      </c>
      <c r="X88" s="18">
        <f>IFERROR(VLOOKUP(S88,Katalog!$C$3:$F$13,2,0),0)</f>
        <v>0</v>
      </c>
      <c r="Y88" s="30">
        <f>IFERROR(VLOOKUP(S88,Katalog!$C$3:$F$13,3,0),0)</f>
        <v>0</v>
      </c>
      <c r="Z88" s="2">
        <f t="shared" si="48"/>
        <v>4</v>
      </c>
      <c r="AA88" s="4">
        <f t="shared" si="49"/>
        <v>240000</v>
      </c>
      <c r="AB88" s="4">
        <f t="shared" si="50"/>
        <v>100000</v>
      </c>
      <c r="AC88" s="4" t="s">
        <v>10</v>
      </c>
      <c r="AD88" s="16">
        <f>IFERROR(VLOOKUP(AC88,'Kode Diskon'!$C$2:$D$9,2,0),0)</f>
        <v>0</v>
      </c>
      <c r="AE88" s="31">
        <f t="shared" si="51"/>
        <v>0</v>
      </c>
      <c r="AF88" s="31">
        <f t="shared" si="52"/>
        <v>240000</v>
      </c>
      <c r="AG88" s="31">
        <f t="shared" si="53"/>
        <v>140000</v>
      </c>
      <c r="AH88" s="31">
        <f t="shared" si="54"/>
        <v>140000</v>
      </c>
      <c r="AI88" s="4" t="s">
        <v>10</v>
      </c>
      <c r="AJ88" s="4" t="s">
        <v>13</v>
      </c>
      <c r="AK88" s="4" t="str">
        <f>IFERROR(VLOOKUP(AJ88,'Guide '!$A$13:$B$16,2,0),"-")</f>
        <v>BB</v>
      </c>
      <c r="AL88" s="4" t="s">
        <v>921</v>
      </c>
      <c r="AM88" s="40">
        <v>45326</v>
      </c>
      <c r="AN88">
        <f t="shared" si="55"/>
        <v>29</v>
      </c>
      <c r="AO88">
        <f t="shared" si="56"/>
        <v>32</v>
      </c>
      <c r="AP88">
        <f t="shared" si="57"/>
        <v>40</v>
      </c>
      <c r="AQ88">
        <f t="shared" si="58"/>
        <v>43</v>
      </c>
      <c r="AR88" s="26" t="str">
        <f t="shared" si="59"/>
        <v>-</v>
      </c>
      <c r="AS88" s="26" t="str">
        <f t="shared" si="60"/>
        <v>-</v>
      </c>
      <c r="AT88" s="21">
        <f t="shared" si="61"/>
        <v>12</v>
      </c>
      <c r="AU88" s="21">
        <f t="shared" si="62"/>
        <v>19</v>
      </c>
      <c r="AV88" t="str">
        <f t="shared" si="63"/>
        <v>-</v>
      </c>
      <c r="AW88" t="str">
        <f t="shared" si="64"/>
        <v>-</v>
      </c>
      <c r="AX88" t="str">
        <f t="shared" si="65"/>
        <v>-</v>
      </c>
      <c r="AY88" t="str">
        <f t="shared" si="66"/>
        <v>-</v>
      </c>
      <c r="AZ88" t="str">
        <f t="shared" si="67"/>
        <v>-</v>
      </c>
      <c r="BA88" t="str">
        <f t="shared" si="68"/>
        <v>-</v>
      </c>
      <c r="BB88" t="str">
        <f t="shared" si="69"/>
        <v>-</v>
      </c>
      <c r="BC88" t="str">
        <f t="shared" si="70"/>
        <v>-</v>
      </c>
      <c r="BD88" s="29" t="str">
        <f t="shared" si="71"/>
        <v>-</v>
      </c>
      <c r="BE88" s="29" t="str">
        <f t="shared" si="72"/>
        <v>-</v>
      </c>
    </row>
    <row r="89" spans="1:57" ht="15" x14ac:dyDescent="0.2">
      <c r="A89" s="2">
        <v>991</v>
      </c>
      <c r="B89" s="2" t="str">
        <f t="shared" si="37"/>
        <v>0991</v>
      </c>
      <c r="C89" t="str">
        <f t="shared" si="38"/>
        <v>ORD-SP-0991-04/02/24</v>
      </c>
      <c r="D89" s="3" t="s">
        <v>913</v>
      </c>
      <c r="E89" t="str">
        <f t="shared" si="39"/>
        <v>PU001</v>
      </c>
      <c r="F89" t="str">
        <f>INDEX(Katalog!$B$4:$B$13,MATCH('Main Data'!E89,Katalog!$C$4:$C$13,0))</f>
        <v>Jaket Hoodie</v>
      </c>
      <c r="G89" t="str">
        <f>VLOOKUP(E89,Katalog!$A$15:$B$25,2,0)</f>
        <v>Pakaian Unisex</v>
      </c>
      <c r="H89" t="str">
        <f t="shared" si="40"/>
        <v>2</v>
      </c>
      <c r="I89" t="str">
        <f t="shared" si="41"/>
        <v>4</v>
      </c>
      <c r="J89" s="18">
        <f>VLOOKUP(E89,Katalog!$C$3:$F$13,2,0)</f>
        <v>160000</v>
      </c>
      <c r="K89" s="18">
        <f>VLOOKUP(E89,Katalog!$C$3:$F$13,3,0)</f>
        <v>60000</v>
      </c>
      <c r="L89" t="str">
        <f t="shared" si="42"/>
        <v>PP001</v>
      </c>
      <c r="M89" t="str">
        <f>IFERROR(INDEX(Katalog!$B$4:$B$13,MATCH('Main Data'!L89,Katalog!$C$4:$C$13,0)), "-")</f>
        <v>Kaos Polo</v>
      </c>
      <c r="N89" t="str">
        <f>IFERROR(VLOOKUP(L89,Katalog!$A$15:$B$25,2,0),"-")</f>
        <v>Pakaian Pria</v>
      </c>
      <c r="O89" t="str">
        <f t="shared" si="43"/>
        <v>4</v>
      </c>
      <c r="P89" t="str">
        <f t="shared" si="44"/>
        <v>3</v>
      </c>
      <c r="Q89" s="18">
        <f>IFERROR(VLOOKUP(L89,Katalog!$C$3:$F$13,2,0),0)</f>
        <v>80000</v>
      </c>
      <c r="R89" s="18">
        <f>IFERROR(VLOOKUP(L89,Katalog!$C$3:$F$13,3,0),0)</f>
        <v>30000</v>
      </c>
      <c r="S89" t="str">
        <f t="shared" si="45"/>
        <v>-</v>
      </c>
      <c r="T89" t="str">
        <f>IFERROR(INDEX(Katalog!$B$4:$B$13,MATCH('Main Data'!S89,Katalog!$C$4:$C$13,0)),"-")</f>
        <v>-</v>
      </c>
      <c r="U89" t="str">
        <f>IFERROR(VLOOKUP(S89,Katalog!$A$15:$B$25,2,0),"-")</f>
        <v>-</v>
      </c>
      <c r="V89">
        <f t="shared" si="46"/>
        <v>0</v>
      </c>
      <c r="W89" s="28" t="str">
        <f t="shared" si="47"/>
        <v>-</v>
      </c>
      <c r="X89" s="18">
        <f>IFERROR(VLOOKUP(S89,Katalog!$C$3:$F$13,2,0),0)</f>
        <v>0</v>
      </c>
      <c r="Y89" s="30">
        <f>IFERROR(VLOOKUP(S89,Katalog!$C$3:$F$13,3,0),0)</f>
        <v>0</v>
      </c>
      <c r="Z89" s="2">
        <f t="shared" si="48"/>
        <v>6</v>
      </c>
      <c r="AA89" s="4">
        <f t="shared" si="49"/>
        <v>640000</v>
      </c>
      <c r="AB89" s="4">
        <f t="shared" si="50"/>
        <v>240000</v>
      </c>
      <c r="AC89" s="4" t="s">
        <v>5</v>
      </c>
      <c r="AD89" s="16">
        <f>IFERROR(VLOOKUP(AC89,'Kode Diskon'!$C$2:$D$9,2,0),0)</f>
        <v>0.1</v>
      </c>
      <c r="AE89" s="31">
        <f t="shared" si="51"/>
        <v>64000</v>
      </c>
      <c r="AF89" s="31">
        <f t="shared" si="52"/>
        <v>576000</v>
      </c>
      <c r="AG89" s="31">
        <f t="shared" si="53"/>
        <v>400000</v>
      </c>
      <c r="AH89" s="31">
        <f t="shared" si="54"/>
        <v>336000</v>
      </c>
      <c r="AI89" s="4" t="s">
        <v>28</v>
      </c>
      <c r="AJ89" s="4" t="s">
        <v>6</v>
      </c>
      <c r="AK89" s="4" t="str">
        <f>IFERROR(VLOOKUP(AJ89,'Guide '!$A$13:$B$16,2,0),"-")</f>
        <v>SP</v>
      </c>
      <c r="AL89" s="4" t="s">
        <v>924</v>
      </c>
      <c r="AM89" s="40">
        <v>45326</v>
      </c>
      <c r="AN89">
        <f t="shared" si="55"/>
        <v>29</v>
      </c>
      <c r="AO89">
        <f t="shared" si="56"/>
        <v>32</v>
      </c>
      <c r="AP89">
        <f t="shared" si="57"/>
        <v>40</v>
      </c>
      <c r="AQ89">
        <f t="shared" si="58"/>
        <v>43</v>
      </c>
      <c r="AR89" s="26">
        <f t="shared" si="59"/>
        <v>56</v>
      </c>
      <c r="AS89" s="26">
        <f t="shared" si="60"/>
        <v>63</v>
      </c>
      <c r="AT89" s="21">
        <f t="shared" si="61"/>
        <v>12</v>
      </c>
      <c r="AU89" s="21">
        <f t="shared" si="62"/>
        <v>19</v>
      </c>
      <c r="AV89">
        <f t="shared" si="63"/>
        <v>73</v>
      </c>
      <c r="AW89">
        <f t="shared" si="64"/>
        <v>76</v>
      </c>
      <c r="AX89">
        <f t="shared" si="65"/>
        <v>84</v>
      </c>
      <c r="AY89">
        <f t="shared" si="66"/>
        <v>87</v>
      </c>
      <c r="AZ89" t="str">
        <f t="shared" si="67"/>
        <v>-</v>
      </c>
      <c r="BA89" t="str">
        <f t="shared" si="68"/>
        <v>-</v>
      </c>
      <c r="BB89" t="str">
        <f t="shared" si="69"/>
        <v>-</v>
      </c>
      <c r="BC89" t="str">
        <f t="shared" si="70"/>
        <v>-</v>
      </c>
      <c r="BD89" s="29" t="str">
        <f t="shared" si="71"/>
        <v>-</v>
      </c>
      <c r="BE89" s="29" t="str">
        <f t="shared" si="72"/>
        <v>-</v>
      </c>
    </row>
    <row r="90" spans="1:57" ht="15" x14ac:dyDescent="0.2">
      <c r="A90" s="2">
        <v>73</v>
      </c>
      <c r="B90" s="2" t="str">
        <f t="shared" si="37"/>
        <v>0073</v>
      </c>
      <c r="C90" t="str">
        <f t="shared" si="38"/>
        <v>ORD-BL-0073-05/02/24</v>
      </c>
      <c r="D90" s="3" t="s">
        <v>146</v>
      </c>
      <c r="E90" t="str">
        <f t="shared" si="39"/>
        <v>SW001</v>
      </c>
      <c r="F90" t="str">
        <f>INDEX(Katalog!$B$4:$B$13,MATCH('Main Data'!E90,Katalog!$C$4:$C$13,0))</f>
        <v>Flat Shoes</v>
      </c>
      <c r="G90" t="str">
        <f>VLOOKUP(E90,Katalog!$A$15:$B$25,2,0)</f>
        <v>Sepatu Wanita</v>
      </c>
      <c r="H90" t="str">
        <f t="shared" si="40"/>
        <v>1</v>
      </c>
      <c r="I90" t="str">
        <f t="shared" si="41"/>
        <v>3</v>
      </c>
      <c r="J90" s="18">
        <f>VLOOKUP(E90,Katalog!$C$3:$F$13,2,0)</f>
        <v>150000</v>
      </c>
      <c r="K90" s="18">
        <f>VLOOKUP(E90,Katalog!$C$3:$F$13,3,0)</f>
        <v>70000</v>
      </c>
      <c r="L90" t="str">
        <f t="shared" si="42"/>
        <v>SP001</v>
      </c>
      <c r="M90" t="str">
        <f>IFERROR(INDEX(Katalog!$B$4:$B$13,MATCH('Main Data'!L90,Katalog!$C$4:$C$13,0)), "-")</f>
        <v>Sneakers</v>
      </c>
      <c r="N90" t="str">
        <f>IFERROR(VLOOKUP(L90,Katalog!$A$15:$B$25,2,0),"-")</f>
        <v>Sepatu Pria</v>
      </c>
      <c r="O90" t="str">
        <f t="shared" si="43"/>
        <v>2</v>
      </c>
      <c r="P90" t="str">
        <f t="shared" si="44"/>
        <v>2</v>
      </c>
      <c r="Q90" s="18">
        <f>IFERROR(VLOOKUP(L90,Katalog!$C$3:$F$13,2,0),0)</f>
        <v>300000</v>
      </c>
      <c r="R90" s="18">
        <f>IFERROR(VLOOKUP(L90,Katalog!$C$3:$F$13,3,0),0)</f>
        <v>100000</v>
      </c>
      <c r="S90" t="str">
        <f t="shared" si="45"/>
        <v>PW002</v>
      </c>
      <c r="T90" t="str">
        <f>IFERROR(INDEX(Katalog!$B$4:$B$13,MATCH('Main Data'!S90,Katalog!$C$4:$C$13,0)),"-")</f>
        <v>Blouse</v>
      </c>
      <c r="U90" t="str">
        <f>IFERROR(VLOOKUP(S90,Katalog!$A$15:$B$25,2,0),"-")</f>
        <v>Pakaian Wanita</v>
      </c>
      <c r="V90" t="str">
        <f t="shared" si="46"/>
        <v>3</v>
      </c>
      <c r="W90" s="28" t="str">
        <f t="shared" si="47"/>
        <v>4</v>
      </c>
      <c r="X90" s="18">
        <f>IFERROR(VLOOKUP(S90,Katalog!$C$3:$F$13,2,0),0)</f>
        <v>125000</v>
      </c>
      <c r="Y90" s="30">
        <f>IFERROR(VLOOKUP(S90,Katalog!$C$3:$F$13,3,0),0)</f>
        <v>50000</v>
      </c>
      <c r="Z90" s="2">
        <f t="shared" si="48"/>
        <v>6</v>
      </c>
      <c r="AA90" s="4">
        <f t="shared" si="49"/>
        <v>1125000</v>
      </c>
      <c r="AB90" s="4">
        <f t="shared" si="50"/>
        <v>420000</v>
      </c>
      <c r="AC90" s="4" t="s">
        <v>31</v>
      </c>
      <c r="AD90" s="16">
        <f>IFERROR(VLOOKUP(AC90,'Kode Diskon'!$C$2:$D$9,2,0),0)</f>
        <v>0.15</v>
      </c>
      <c r="AE90" s="31">
        <f t="shared" si="51"/>
        <v>168750</v>
      </c>
      <c r="AF90" s="31">
        <f t="shared" si="52"/>
        <v>956250</v>
      </c>
      <c r="AG90" s="31">
        <f t="shared" si="53"/>
        <v>705000</v>
      </c>
      <c r="AH90" s="31">
        <f t="shared" si="54"/>
        <v>536250</v>
      </c>
      <c r="AI90" s="4" t="s">
        <v>8</v>
      </c>
      <c r="AJ90" s="4" t="s">
        <v>11</v>
      </c>
      <c r="AK90" s="4" t="str">
        <f>IFERROR(VLOOKUP(AJ90,'Guide '!$A$13:$B$16,2,0),"-")</f>
        <v>BL</v>
      </c>
      <c r="AL90" s="4" t="s">
        <v>925</v>
      </c>
      <c r="AM90" s="40">
        <v>45327</v>
      </c>
      <c r="AN90">
        <f t="shared" si="55"/>
        <v>29</v>
      </c>
      <c r="AO90">
        <f t="shared" si="56"/>
        <v>32</v>
      </c>
      <c r="AP90">
        <f t="shared" si="57"/>
        <v>40</v>
      </c>
      <c r="AQ90">
        <f t="shared" si="58"/>
        <v>43</v>
      </c>
      <c r="AR90" s="26">
        <f t="shared" si="59"/>
        <v>56</v>
      </c>
      <c r="AS90" s="26">
        <f t="shared" si="60"/>
        <v>63</v>
      </c>
      <c r="AT90" s="21">
        <f t="shared" si="61"/>
        <v>12</v>
      </c>
      <c r="AU90" s="21">
        <f t="shared" si="62"/>
        <v>19</v>
      </c>
      <c r="AV90">
        <f t="shared" si="63"/>
        <v>73</v>
      </c>
      <c r="AW90">
        <f t="shared" si="64"/>
        <v>76</v>
      </c>
      <c r="AX90">
        <f t="shared" si="65"/>
        <v>84</v>
      </c>
      <c r="AY90">
        <f t="shared" si="66"/>
        <v>87</v>
      </c>
      <c r="AZ90">
        <f t="shared" si="67"/>
        <v>100</v>
      </c>
      <c r="BA90">
        <f t="shared" si="68"/>
        <v>107</v>
      </c>
      <c r="BB90">
        <f t="shared" si="69"/>
        <v>117</v>
      </c>
      <c r="BC90">
        <f t="shared" si="70"/>
        <v>120</v>
      </c>
      <c r="BD90" s="29">
        <f t="shared" si="71"/>
        <v>128</v>
      </c>
      <c r="BE90" s="29">
        <f t="shared" si="72"/>
        <v>131</v>
      </c>
    </row>
    <row r="91" spans="1:57" ht="15" x14ac:dyDescent="0.2">
      <c r="A91" s="2">
        <v>202</v>
      </c>
      <c r="B91" s="2" t="str">
        <f t="shared" si="37"/>
        <v>0202</v>
      </c>
      <c r="C91" t="str">
        <f t="shared" si="38"/>
        <v>ORD-SP-0202-05/02/24</v>
      </c>
      <c r="D91" s="3" t="s">
        <v>271</v>
      </c>
      <c r="E91" t="str">
        <f t="shared" si="39"/>
        <v>PP001</v>
      </c>
      <c r="F91" t="str">
        <f>INDEX(Katalog!$B$4:$B$13,MATCH('Main Data'!E91,Katalog!$C$4:$C$13,0))</f>
        <v>Kaos Polo</v>
      </c>
      <c r="G91" t="str">
        <f>VLOOKUP(E91,Katalog!$A$15:$B$25,2,0)</f>
        <v>Pakaian Pria</v>
      </c>
      <c r="H91" t="str">
        <f t="shared" si="40"/>
        <v>1</v>
      </c>
      <c r="I91" t="str">
        <f t="shared" si="41"/>
        <v>3</v>
      </c>
      <c r="J91" s="18">
        <f>VLOOKUP(E91,Katalog!$C$3:$F$13,2,0)</f>
        <v>80000</v>
      </c>
      <c r="K91" s="18">
        <f>VLOOKUP(E91,Katalog!$C$3:$F$13,3,0)</f>
        <v>30000</v>
      </c>
      <c r="L91" t="str">
        <f t="shared" si="42"/>
        <v>SP001</v>
      </c>
      <c r="M91" t="str">
        <f>IFERROR(INDEX(Katalog!$B$4:$B$13,MATCH('Main Data'!L91,Katalog!$C$4:$C$13,0)), "-")</f>
        <v>Sneakers</v>
      </c>
      <c r="N91" t="str">
        <f>IFERROR(VLOOKUP(L91,Katalog!$A$15:$B$25,2,0),"-")</f>
        <v>Sepatu Pria</v>
      </c>
      <c r="O91" t="str">
        <f t="shared" si="43"/>
        <v>1</v>
      </c>
      <c r="P91" t="str">
        <f t="shared" si="44"/>
        <v>2</v>
      </c>
      <c r="Q91" s="18">
        <f>IFERROR(VLOOKUP(L91,Katalog!$C$3:$F$13,2,0),0)</f>
        <v>300000</v>
      </c>
      <c r="R91" s="18">
        <f>IFERROR(VLOOKUP(L91,Katalog!$C$3:$F$13,3,0),0)</f>
        <v>100000</v>
      </c>
      <c r="S91" t="str">
        <f t="shared" si="45"/>
        <v>PW003</v>
      </c>
      <c r="T91" t="str">
        <f>IFERROR(INDEX(Katalog!$B$4:$B$13,MATCH('Main Data'!S91,Katalog!$C$4:$C$13,0)),"-")</f>
        <v>Kaftan</v>
      </c>
      <c r="U91" t="str">
        <f>IFERROR(VLOOKUP(S91,Katalog!$A$15:$B$25,2,0),"-")</f>
        <v>Pakaian Wanita</v>
      </c>
      <c r="V91" t="str">
        <f t="shared" si="46"/>
        <v>1</v>
      </c>
      <c r="W91" s="28" t="str">
        <f t="shared" si="47"/>
        <v>1</v>
      </c>
      <c r="X91" s="18">
        <f>IFERROR(VLOOKUP(S91,Katalog!$C$3:$F$13,2,0),0)</f>
        <v>200000</v>
      </c>
      <c r="Y91" s="30">
        <f>IFERROR(VLOOKUP(S91,Katalog!$C$3:$F$13,3,0),0)</f>
        <v>100000</v>
      </c>
      <c r="Z91" s="2">
        <f t="shared" si="48"/>
        <v>3</v>
      </c>
      <c r="AA91" s="4">
        <f t="shared" si="49"/>
        <v>580000</v>
      </c>
      <c r="AB91" s="4">
        <f t="shared" si="50"/>
        <v>230000</v>
      </c>
      <c r="AC91" s="4" t="s">
        <v>12</v>
      </c>
      <c r="AD91" s="16">
        <f>IFERROR(VLOOKUP(AC91,'Kode Diskon'!$C$2:$D$9,2,0),0)</f>
        <v>0.15</v>
      </c>
      <c r="AE91" s="31">
        <f t="shared" si="51"/>
        <v>87000</v>
      </c>
      <c r="AF91" s="31">
        <f t="shared" si="52"/>
        <v>493000</v>
      </c>
      <c r="AG91" s="31">
        <f t="shared" si="53"/>
        <v>350000</v>
      </c>
      <c r="AH91" s="31">
        <f t="shared" si="54"/>
        <v>263000</v>
      </c>
      <c r="AI91" s="4" t="s">
        <v>28</v>
      </c>
      <c r="AJ91" s="4" t="s">
        <v>6</v>
      </c>
      <c r="AK91" s="4" t="str">
        <f>IFERROR(VLOOKUP(AJ91,'Guide '!$A$13:$B$16,2,0),"-")</f>
        <v>SP</v>
      </c>
      <c r="AL91" s="4" t="s">
        <v>924</v>
      </c>
      <c r="AM91" s="40">
        <v>45327</v>
      </c>
      <c r="AN91">
        <f t="shared" si="55"/>
        <v>29</v>
      </c>
      <c r="AO91">
        <f t="shared" si="56"/>
        <v>32</v>
      </c>
      <c r="AP91">
        <f t="shared" si="57"/>
        <v>40</v>
      </c>
      <c r="AQ91">
        <f t="shared" si="58"/>
        <v>43</v>
      </c>
      <c r="AR91" s="26">
        <f t="shared" si="59"/>
        <v>56</v>
      </c>
      <c r="AS91" s="26">
        <f t="shared" si="60"/>
        <v>63</v>
      </c>
      <c r="AT91" s="21">
        <f t="shared" si="61"/>
        <v>12</v>
      </c>
      <c r="AU91" s="21">
        <f t="shared" si="62"/>
        <v>19</v>
      </c>
      <c r="AV91">
        <f t="shared" si="63"/>
        <v>73</v>
      </c>
      <c r="AW91">
        <f t="shared" si="64"/>
        <v>76</v>
      </c>
      <c r="AX91">
        <f t="shared" si="65"/>
        <v>84</v>
      </c>
      <c r="AY91">
        <f t="shared" si="66"/>
        <v>87</v>
      </c>
      <c r="AZ91">
        <f t="shared" si="67"/>
        <v>100</v>
      </c>
      <c r="BA91">
        <f t="shared" si="68"/>
        <v>107</v>
      </c>
      <c r="BB91">
        <f t="shared" si="69"/>
        <v>117</v>
      </c>
      <c r="BC91">
        <f t="shared" si="70"/>
        <v>120</v>
      </c>
      <c r="BD91" s="29">
        <f t="shared" si="71"/>
        <v>128</v>
      </c>
      <c r="BE91" s="29">
        <f t="shared" si="72"/>
        <v>131</v>
      </c>
    </row>
    <row r="92" spans="1:57" ht="15" x14ac:dyDescent="0.2">
      <c r="A92" s="2">
        <v>416</v>
      </c>
      <c r="B92" s="2" t="str">
        <f t="shared" si="37"/>
        <v>0416</v>
      </c>
      <c r="C92" t="str">
        <f t="shared" si="38"/>
        <v>ORD-BB-0416-05/02/24</v>
      </c>
      <c r="D92" s="3" t="s">
        <v>460</v>
      </c>
      <c r="E92" t="str">
        <f t="shared" si="39"/>
        <v>PU001</v>
      </c>
      <c r="F92" t="str">
        <f>INDEX(Katalog!$B$4:$B$13,MATCH('Main Data'!E92,Katalog!$C$4:$C$13,0))</f>
        <v>Jaket Hoodie</v>
      </c>
      <c r="G92" t="str">
        <f>VLOOKUP(E92,Katalog!$A$15:$B$25,2,0)</f>
        <v>Pakaian Unisex</v>
      </c>
      <c r="H92" t="str">
        <f t="shared" si="40"/>
        <v>6</v>
      </c>
      <c r="I92" t="str">
        <f t="shared" si="41"/>
        <v>5</v>
      </c>
      <c r="J92" s="18">
        <f>VLOOKUP(E92,Katalog!$C$3:$F$13,2,0)</f>
        <v>160000</v>
      </c>
      <c r="K92" s="18">
        <f>VLOOKUP(E92,Katalog!$C$3:$F$13,3,0)</f>
        <v>60000</v>
      </c>
      <c r="L92" t="str">
        <f t="shared" si="42"/>
        <v>-</v>
      </c>
      <c r="M92" t="str">
        <f>IFERROR(INDEX(Katalog!$B$4:$B$13,MATCH('Main Data'!L92,Katalog!$C$4:$C$13,0)), "-")</f>
        <v>-</v>
      </c>
      <c r="N92" t="str">
        <f>IFERROR(VLOOKUP(L92,Katalog!$A$15:$B$25,2,0),"-")</f>
        <v>-</v>
      </c>
      <c r="O92">
        <f t="shared" si="43"/>
        <v>0</v>
      </c>
      <c r="P92" t="str">
        <f t="shared" si="44"/>
        <v>-</v>
      </c>
      <c r="Q92" s="18">
        <f>IFERROR(VLOOKUP(L92,Katalog!$C$3:$F$13,2,0),0)</f>
        <v>0</v>
      </c>
      <c r="R92" s="18">
        <f>IFERROR(VLOOKUP(L92,Katalog!$C$3:$F$13,3,0),0)</f>
        <v>0</v>
      </c>
      <c r="S92" t="str">
        <f t="shared" si="45"/>
        <v>-</v>
      </c>
      <c r="T92" t="str">
        <f>IFERROR(INDEX(Katalog!$B$4:$B$13,MATCH('Main Data'!S92,Katalog!$C$4:$C$13,0)),"-")</f>
        <v>-</v>
      </c>
      <c r="U92" t="str">
        <f>IFERROR(VLOOKUP(S92,Katalog!$A$15:$B$25,2,0),"-")</f>
        <v>-</v>
      </c>
      <c r="V92">
        <f t="shared" si="46"/>
        <v>0</v>
      </c>
      <c r="W92" s="28" t="str">
        <f t="shared" si="47"/>
        <v>-</v>
      </c>
      <c r="X92" s="18">
        <f>IFERROR(VLOOKUP(S92,Katalog!$C$3:$F$13,2,0),0)</f>
        <v>0</v>
      </c>
      <c r="Y92" s="30">
        <f>IFERROR(VLOOKUP(S92,Katalog!$C$3:$F$13,3,0),0)</f>
        <v>0</v>
      </c>
      <c r="Z92" s="2">
        <f t="shared" si="48"/>
        <v>6</v>
      </c>
      <c r="AA92" s="4">
        <f t="shared" si="49"/>
        <v>960000</v>
      </c>
      <c r="AB92" s="4">
        <f t="shared" si="50"/>
        <v>360000</v>
      </c>
      <c r="AC92" s="4" t="s">
        <v>27</v>
      </c>
      <c r="AD92" s="16">
        <f>IFERROR(VLOOKUP(AC92,'Kode Diskon'!$C$2:$D$9,2,0),0)</f>
        <v>0.15</v>
      </c>
      <c r="AE92" s="31">
        <f t="shared" si="51"/>
        <v>144000</v>
      </c>
      <c r="AF92" s="31">
        <f t="shared" si="52"/>
        <v>816000</v>
      </c>
      <c r="AG92" s="31">
        <f t="shared" si="53"/>
        <v>600000</v>
      </c>
      <c r="AH92" s="31">
        <f t="shared" si="54"/>
        <v>456000</v>
      </c>
      <c r="AI92" s="4" t="s">
        <v>28</v>
      </c>
      <c r="AJ92" s="4" t="s">
        <v>13</v>
      </c>
      <c r="AK92" s="4" t="str">
        <f>IFERROR(VLOOKUP(AJ92,'Guide '!$A$13:$B$16,2,0),"-")</f>
        <v>BB</v>
      </c>
      <c r="AL92" s="4" t="s">
        <v>921</v>
      </c>
      <c r="AM92" s="40">
        <v>45327</v>
      </c>
      <c r="AN92">
        <f t="shared" si="55"/>
        <v>29</v>
      </c>
      <c r="AO92">
        <f t="shared" si="56"/>
        <v>32</v>
      </c>
      <c r="AP92">
        <f t="shared" si="57"/>
        <v>40</v>
      </c>
      <c r="AQ92">
        <f t="shared" si="58"/>
        <v>43</v>
      </c>
      <c r="AR92" s="26" t="str">
        <f t="shared" si="59"/>
        <v>-</v>
      </c>
      <c r="AS92" s="26" t="str">
        <f t="shared" si="60"/>
        <v>-</v>
      </c>
      <c r="AT92" s="21">
        <f t="shared" si="61"/>
        <v>12</v>
      </c>
      <c r="AU92" s="21">
        <f t="shared" si="62"/>
        <v>19</v>
      </c>
      <c r="AV92" t="str">
        <f t="shared" si="63"/>
        <v>-</v>
      </c>
      <c r="AW92" t="str">
        <f t="shared" si="64"/>
        <v>-</v>
      </c>
      <c r="AX92" t="str">
        <f t="shared" si="65"/>
        <v>-</v>
      </c>
      <c r="AY92" t="str">
        <f t="shared" si="66"/>
        <v>-</v>
      </c>
      <c r="AZ92" t="str">
        <f t="shared" si="67"/>
        <v>-</v>
      </c>
      <c r="BA92" t="str">
        <f t="shared" si="68"/>
        <v>-</v>
      </c>
      <c r="BB92" t="str">
        <f t="shared" si="69"/>
        <v>-</v>
      </c>
      <c r="BC92" t="str">
        <f t="shared" si="70"/>
        <v>-</v>
      </c>
      <c r="BD92" s="29" t="str">
        <f t="shared" si="71"/>
        <v>-</v>
      </c>
      <c r="BE92" s="29" t="str">
        <f t="shared" si="72"/>
        <v>-</v>
      </c>
    </row>
    <row r="93" spans="1:57" ht="15" x14ac:dyDescent="0.2">
      <c r="A93" s="2">
        <v>531</v>
      </c>
      <c r="B93" s="2" t="str">
        <f t="shared" si="37"/>
        <v>0531</v>
      </c>
      <c r="C93" t="str">
        <f t="shared" si="38"/>
        <v>ORD-TK-0531-05/02/24</v>
      </c>
      <c r="D93" s="3" t="s">
        <v>558</v>
      </c>
      <c r="E93" t="str">
        <f t="shared" si="39"/>
        <v>SP001</v>
      </c>
      <c r="F93" t="str">
        <f>INDEX(Katalog!$B$4:$B$13,MATCH('Main Data'!E93,Katalog!$C$4:$C$13,0))</f>
        <v>Sneakers</v>
      </c>
      <c r="G93" t="str">
        <f>VLOOKUP(E93,Katalog!$A$15:$B$25,2,0)</f>
        <v>Sepatu Pria</v>
      </c>
      <c r="H93" t="str">
        <f t="shared" si="40"/>
        <v>6</v>
      </c>
      <c r="I93" t="str">
        <f t="shared" si="41"/>
        <v>4</v>
      </c>
      <c r="J93" s="18">
        <f>VLOOKUP(E93,Katalog!$C$3:$F$13,2,0)</f>
        <v>300000</v>
      </c>
      <c r="K93" s="18">
        <f>VLOOKUP(E93,Katalog!$C$3:$F$13,3,0)</f>
        <v>100000</v>
      </c>
      <c r="L93" t="str">
        <f t="shared" si="42"/>
        <v>-</v>
      </c>
      <c r="M93" t="str">
        <f>IFERROR(INDEX(Katalog!$B$4:$B$13,MATCH('Main Data'!L93,Katalog!$C$4:$C$13,0)), "-")</f>
        <v>-</v>
      </c>
      <c r="N93" t="str">
        <f>IFERROR(VLOOKUP(L93,Katalog!$A$15:$B$25,2,0),"-")</f>
        <v>-</v>
      </c>
      <c r="O93">
        <f t="shared" si="43"/>
        <v>0</v>
      </c>
      <c r="P93" t="str">
        <f t="shared" si="44"/>
        <v>-</v>
      </c>
      <c r="Q93" s="18">
        <f>IFERROR(VLOOKUP(L93,Katalog!$C$3:$F$13,2,0),0)</f>
        <v>0</v>
      </c>
      <c r="R93" s="18">
        <f>IFERROR(VLOOKUP(L93,Katalog!$C$3:$F$13,3,0),0)</f>
        <v>0</v>
      </c>
      <c r="S93" t="str">
        <f t="shared" si="45"/>
        <v>-</v>
      </c>
      <c r="T93" t="str">
        <f>IFERROR(INDEX(Katalog!$B$4:$B$13,MATCH('Main Data'!S93,Katalog!$C$4:$C$13,0)),"-")</f>
        <v>-</v>
      </c>
      <c r="U93" t="str">
        <f>IFERROR(VLOOKUP(S93,Katalog!$A$15:$B$25,2,0),"-")</f>
        <v>-</v>
      </c>
      <c r="V93">
        <f t="shared" si="46"/>
        <v>0</v>
      </c>
      <c r="W93" s="28" t="str">
        <f t="shared" si="47"/>
        <v>-</v>
      </c>
      <c r="X93" s="18">
        <f>IFERROR(VLOOKUP(S93,Katalog!$C$3:$F$13,2,0),0)</f>
        <v>0</v>
      </c>
      <c r="Y93" s="30">
        <f>IFERROR(VLOOKUP(S93,Katalog!$C$3:$F$13,3,0),0)</f>
        <v>0</v>
      </c>
      <c r="Z93" s="2">
        <f t="shared" si="48"/>
        <v>6</v>
      </c>
      <c r="AA93" s="4">
        <f t="shared" si="49"/>
        <v>1800000</v>
      </c>
      <c r="AB93" s="4">
        <f t="shared" si="50"/>
        <v>600000</v>
      </c>
      <c r="AC93" s="4" t="s">
        <v>10</v>
      </c>
      <c r="AD93" s="16">
        <f>IFERROR(VLOOKUP(AC93,'Kode Diskon'!$C$2:$D$9,2,0),0)</f>
        <v>0</v>
      </c>
      <c r="AE93" s="31">
        <f t="shared" si="51"/>
        <v>0</v>
      </c>
      <c r="AF93" s="31">
        <f t="shared" si="52"/>
        <v>1800000</v>
      </c>
      <c r="AG93" s="31">
        <f t="shared" si="53"/>
        <v>1200000</v>
      </c>
      <c r="AH93" s="31">
        <f t="shared" si="54"/>
        <v>1200000</v>
      </c>
      <c r="AI93" s="4" t="s">
        <v>10</v>
      </c>
      <c r="AJ93" s="4" t="s">
        <v>9</v>
      </c>
      <c r="AK93" s="4" t="str">
        <f>IFERROR(VLOOKUP(AJ93,'Guide '!$A$13:$B$16,2,0),"-")</f>
        <v>TK</v>
      </c>
      <c r="AL93" s="4" t="s">
        <v>925</v>
      </c>
      <c r="AM93" s="40">
        <v>45327</v>
      </c>
      <c r="AN93">
        <f t="shared" si="55"/>
        <v>29</v>
      </c>
      <c r="AO93">
        <f t="shared" si="56"/>
        <v>32</v>
      </c>
      <c r="AP93">
        <f t="shared" si="57"/>
        <v>40</v>
      </c>
      <c r="AQ93">
        <f t="shared" si="58"/>
        <v>43</v>
      </c>
      <c r="AR93" s="26" t="str">
        <f t="shared" si="59"/>
        <v>-</v>
      </c>
      <c r="AS93" s="26" t="str">
        <f t="shared" si="60"/>
        <v>-</v>
      </c>
      <c r="AT93" s="21">
        <f t="shared" si="61"/>
        <v>12</v>
      </c>
      <c r="AU93" s="21">
        <f t="shared" si="62"/>
        <v>19</v>
      </c>
      <c r="AV93" t="str">
        <f t="shared" si="63"/>
        <v>-</v>
      </c>
      <c r="AW93" t="str">
        <f t="shared" si="64"/>
        <v>-</v>
      </c>
      <c r="AX93" t="str">
        <f t="shared" si="65"/>
        <v>-</v>
      </c>
      <c r="AY93" t="str">
        <f t="shared" si="66"/>
        <v>-</v>
      </c>
      <c r="AZ93" t="str">
        <f t="shared" si="67"/>
        <v>-</v>
      </c>
      <c r="BA93" t="str">
        <f t="shared" si="68"/>
        <v>-</v>
      </c>
      <c r="BB93" t="str">
        <f t="shared" si="69"/>
        <v>-</v>
      </c>
      <c r="BC93" t="str">
        <f t="shared" si="70"/>
        <v>-</v>
      </c>
      <c r="BD93" s="29" t="str">
        <f t="shared" si="71"/>
        <v>-</v>
      </c>
      <c r="BE93" s="29" t="str">
        <f t="shared" si="72"/>
        <v>-</v>
      </c>
    </row>
    <row r="94" spans="1:57" ht="15" x14ac:dyDescent="0.2">
      <c r="A94" s="2">
        <v>151</v>
      </c>
      <c r="B94" s="2" t="str">
        <f t="shared" si="37"/>
        <v>0151</v>
      </c>
      <c r="C94" t="str">
        <f t="shared" si="38"/>
        <v>ORD-BL-0151-06/02/24</v>
      </c>
      <c r="D94" s="3" t="s">
        <v>221</v>
      </c>
      <c r="E94" t="str">
        <f t="shared" si="39"/>
        <v>SW001</v>
      </c>
      <c r="F94" t="str">
        <f>INDEX(Katalog!$B$4:$B$13,MATCH('Main Data'!E94,Katalog!$C$4:$C$13,0))</f>
        <v>Flat Shoes</v>
      </c>
      <c r="G94" t="str">
        <f>VLOOKUP(E94,Katalog!$A$15:$B$25,2,0)</f>
        <v>Sepatu Wanita</v>
      </c>
      <c r="H94" t="str">
        <f t="shared" si="40"/>
        <v>4</v>
      </c>
      <c r="I94" t="str">
        <f t="shared" si="41"/>
        <v>2</v>
      </c>
      <c r="J94" s="18">
        <f>VLOOKUP(E94,Katalog!$C$3:$F$13,2,0)</f>
        <v>150000</v>
      </c>
      <c r="K94" s="18">
        <f>VLOOKUP(E94,Katalog!$C$3:$F$13,3,0)</f>
        <v>70000</v>
      </c>
      <c r="L94" t="str">
        <f t="shared" si="42"/>
        <v>PP001</v>
      </c>
      <c r="M94" t="str">
        <f>IFERROR(INDEX(Katalog!$B$4:$B$13,MATCH('Main Data'!L94,Katalog!$C$4:$C$13,0)), "-")</f>
        <v>Kaos Polo</v>
      </c>
      <c r="N94" t="str">
        <f>IFERROR(VLOOKUP(L94,Katalog!$A$15:$B$25,2,0),"-")</f>
        <v>Pakaian Pria</v>
      </c>
      <c r="O94" t="str">
        <f t="shared" si="43"/>
        <v>1</v>
      </c>
      <c r="P94" t="str">
        <f t="shared" si="44"/>
        <v>5</v>
      </c>
      <c r="Q94" s="18">
        <f>IFERROR(VLOOKUP(L94,Katalog!$C$3:$F$13,2,0),0)</f>
        <v>80000</v>
      </c>
      <c r="R94" s="18">
        <f>IFERROR(VLOOKUP(L94,Katalog!$C$3:$F$13,3,0),0)</f>
        <v>30000</v>
      </c>
      <c r="S94" t="str">
        <f t="shared" si="45"/>
        <v>-</v>
      </c>
      <c r="T94" t="str">
        <f>IFERROR(INDEX(Katalog!$B$4:$B$13,MATCH('Main Data'!S94,Katalog!$C$4:$C$13,0)),"-")</f>
        <v>-</v>
      </c>
      <c r="U94" t="str">
        <f>IFERROR(VLOOKUP(S94,Katalog!$A$15:$B$25,2,0),"-")</f>
        <v>-</v>
      </c>
      <c r="V94">
        <f t="shared" si="46"/>
        <v>0</v>
      </c>
      <c r="W94" s="28" t="str">
        <f t="shared" si="47"/>
        <v>-</v>
      </c>
      <c r="X94" s="18">
        <f>IFERROR(VLOOKUP(S94,Katalog!$C$3:$F$13,2,0),0)</f>
        <v>0</v>
      </c>
      <c r="Y94" s="30">
        <f>IFERROR(VLOOKUP(S94,Katalog!$C$3:$F$13,3,0),0)</f>
        <v>0</v>
      </c>
      <c r="Z94" s="2">
        <f t="shared" si="48"/>
        <v>5</v>
      </c>
      <c r="AA94" s="4">
        <f t="shared" si="49"/>
        <v>680000</v>
      </c>
      <c r="AB94" s="4">
        <f t="shared" si="50"/>
        <v>310000</v>
      </c>
      <c r="AC94" s="4" t="s">
        <v>31</v>
      </c>
      <c r="AD94" s="16">
        <f>IFERROR(VLOOKUP(AC94,'Kode Diskon'!$C$2:$D$9,2,0),0)</f>
        <v>0.15</v>
      </c>
      <c r="AE94" s="31">
        <f t="shared" si="51"/>
        <v>102000</v>
      </c>
      <c r="AF94" s="31">
        <f t="shared" si="52"/>
        <v>578000</v>
      </c>
      <c r="AG94" s="31">
        <f t="shared" si="53"/>
        <v>370000</v>
      </c>
      <c r="AH94" s="31">
        <f t="shared" si="54"/>
        <v>268000</v>
      </c>
      <c r="AI94" s="4" t="s">
        <v>8</v>
      </c>
      <c r="AJ94" s="4" t="s">
        <v>11</v>
      </c>
      <c r="AK94" s="4" t="str">
        <f>IFERROR(VLOOKUP(AJ94,'Guide '!$A$13:$B$16,2,0),"-")</f>
        <v>BL</v>
      </c>
      <c r="AL94" s="4" t="s">
        <v>924</v>
      </c>
      <c r="AM94" s="40">
        <v>45328</v>
      </c>
      <c r="AN94">
        <f t="shared" si="55"/>
        <v>29</v>
      </c>
      <c r="AO94">
        <f t="shared" si="56"/>
        <v>32</v>
      </c>
      <c r="AP94">
        <f t="shared" si="57"/>
        <v>40</v>
      </c>
      <c r="AQ94">
        <f t="shared" si="58"/>
        <v>43</v>
      </c>
      <c r="AR94" s="26">
        <f t="shared" si="59"/>
        <v>56</v>
      </c>
      <c r="AS94" s="26">
        <f t="shared" si="60"/>
        <v>63</v>
      </c>
      <c r="AT94" s="21">
        <f t="shared" si="61"/>
        <v>12</v>
      </c>
      <c r="AU94" s="21">
        <f t="shared" si="62"/>
        <v>19</v>
      </c>
      <c r="AV94">
        <f t="shared" si="63"/>
        <v>73</v>
      </c>
      <c r="AW94">
        <f t="shared" si="64"/>
        <v>76</v>
      </c>
      <c r="AX94">
        <f t="shared" si="65"/>
        <v>84</v>
      </c>
      <c r="AY94">
        <f t="shared" si="66"/>
        <v>87</v>
      </c>
      <c r="AZ94" t="str">
        <f t="shared" si="67"/>
        <v>-</v>
      </c>
      <c r="BA94" t="str">
        <f t="shared" si="68"/>
        <v>-</v>
      </c>
      <c r="BB94" t="str">
        <f t="shared" si="69"/>
        <v>-</v>
      </c>
      <c r="BC94" t="str">
        <f t="shared" si="70"/>
        <v>-</v>
      </c>
      <c r="BD94" s="29" t="str">
        <f t="shared" si="71"/>
        <v>-</v>
      </c>
      <c r="BE94" s="29" t="str">
        <f t="shared" si="72"/>
        <v>-</v>
      </c>
    </row>
    <row r="95" spans="1:57" ht="15" x14ac:dyDescent="0.2">
      <c r="A95" s="2">
        <v>634</v>
      </c>
      <c r="B95" s="2" t="str">
        <f t="shared" si="37"/>
        <v>0634</v>
      </c>
      <c r="C95" t="str">
        <f t="shared" si="38"/>
        <v>ORD-TK-0634-06/02/24</v>
      </c>
      <c r="D95" s="3" t="s">
        <v>274</v>
      </c>
      <c r="E95" t="str">
        <f t="shared" si="39"/>
        <v>SP002</v>
      </c>
      <c r="F95" t="str">
        <f>INDEX(Katalog!$B$4:$B$13,MATCH('Main Data'!E95,Katalog!$C$4:$C$13,0))</f>
        <v>Sandal Slip On</v>
      </c>
      <c r="G95" t="str">
        <f>VLOOKUP(E95,Katalog!$A$15:$B$25,2,0)</f>
        <v>Sepatu Pria</v>
      </c>
      <c r="H95" t="str">
        <f t="shared" si="40"/>
        <v>1</v>
      </c>
      <c r="I95" t="str">
        <f t="shared" si="41"/>
        <v>5</v>
      </c>
      <c r="J95" s="18">
        <f>VLOOKUP(E95,Katalog!$C$3:$F$13,2,0)</f>
        <v>120000</v>
      </c>
      <c r="K95" s="18">
        <f>VLOOKUP(E95,Katalog!$C$3:$F$13,3,0)</f>
        <v>60000</v>
      </c>
      <c r="L95" t="str">
        <f t="shared" si="42"/>
        <v>-</v>
      </c>
      <c r="M95" t="str">
        <f>IFERROR(INDEX(Katalog!$B$4:$B$13,MATCH('Main Data'!L95,Katalog!$C$4:$C$13,0)), "-")</f>
        <v>-</v>
      </c>
      <c r="N95" t="str">
        <f>IFERROR(VLOOKUP(L95,Katalog!$A$15:$B$25,2,0),"-")</f>
        <v>-</v>
      </c>
      <c r="O95">
        <f t="shared" si="43"/>
        <v>0</v>
      </c>
      <c r="P95" t="str">
        <f t="shared" si="44"/>
        <v>-</v>
      </c>
      <c r="Q95" s="18">
        <f>IFERROR(VLOOKUP(L95,Katalog!$C$3:$F$13,2,0),0)</f>
        <v>0</v>
      </c>
      <c r="R95" s="18">
        <f>IFERROR(VLOOKUP(L95,Katalog!$C$3:$F$13,3,0),0)</f>
        <v>0</v>
      </c>
      <c r="S95" t="str">
        <f t="shared" si="45"/>
        <v>-</v>
      </c>
      <c r="T95" t="str">
        <f>IFERROR(INDEX(Katalog!$B$4:$B$13,MATCH('Main Data'!S95,Katalog!$C$4:$C$13,0)),"-")</f>
        <v>-</v>
      </c>
      <c r="U95" t="str">
        <f>IFERROR(VLOOKUP(S95,Katalog!$A$15:$B$25,2,0),"-")</f>
        <v>-</v>
      </c>
      <c r="V95">
        <f t="shared" si="46"/>
        <v>0</v>
      </c>
      <c r="W95" s="28" t="str">
        <f t="shared" si="47"/>
        <v>-</v>
      </c>
      <c r="X95" s="18">
        <f>IFERROR(VLOOKUP(S95,Katalog!$C$3:$F$13,2,0),0)</f>
        <v>0</v>
      </c>
      <c r="Y95" s="30">
        <f>IFERROR(VLOOKUP(S95,Katalog!$C$3:$F$13,3,0),0)</f>
        <v>0</v>
      </c>
      <c r="Z95" s="2">
        <f t="shared" si="48"/>
        <v>1</v>
      </c>
      <c r="AA95" s="4">
        <f t="shared" si="49"/>
        <v>120000</v>
      </c>
      <c r="AB95" s="4">
        <f t="shared" si="50"/>
        <v>60000</v>
      </c>
      <c r="AC95" s="4" t="s">
        <v>29</v>
      </c>
      <c r="AD95" s="16">
        <f>IFERROR(VLOOKUP(AC95,'Kode Diskon'!$C$2:$D$9,2,0),0)</f>
        <v>0.1</v>
      </c>
      <c r="AE95" s="31">
        <f t="shared" si="51"/>
        <v>12000</v>
      </c>
      <c r="AF95" s="31">
        <f t="shared" si="52"/>
        <v>108000</v>
      </c>
      <c r="AG95" s="31">
        <f t="shared" si="53"/>
        <v>60000</v>
      </c>
      <c r="AH95" s="31">
        <f t="shared" si="54"/>
        <v>48000</v>
      </c>
      <c r="AI95" s="4" t="s">
        <v>28</v>
      </c>
      <c r="AJ95" s="4" t="s">
        <v>9</v>
      </c>
      <c r="AK95" s="4" t="str">
        <f>IFERROR(VLOOKUP(AJ95,'Guide '!$A$13:$B$16,2,0),"-")</f>
        <v>TK</v>
      </c>
      <c r="AL95" s="4" t="s">
        <v>1006</v>
      </c>
      <c r="AM95" s="40">
        <v>45328</v>
      </c>
      <c r="AN95">
        <f t="shared" si="55"/>
        <v>29</v>
      </c>
      <c r="AO95">
        <f t="shared" si="56"/>
        <v>32</v>
      </c>
      <c r="AP95">
        <f t="shared" si="57"/>
        <v>40</v>
      </c>
      <c r="AQ95">
        <f t="shared" si="58"/>
        <v>43</v>
      </c>
      <c r="AR95" s="26" t="str">
        <f t="shared" si="59"/>
        <v>-</v>
      </c>
      <c r="AS95" s="26" t="str">
        <f t="shared" si="60"/>
        <v>-</v>
      </c>
      <c r="AT95" s="21">
        <f t="shared" si="61"/>
        <v>12</v>
      </c>
      <c r="AU95" s="21">
        <f t="shared" si="62"/>
        <v>19</v>
      </c>
      <c r="AV95" t="str">
        <f t="shared" si="63"/>
        <v>-</v>
      </c>
      <c r="AW95" t="str">
        <f t="shared" si="64"/>
        <v>-</v>
      </c>
      <c r="AX95" t="str">
        <f t="shared" si="65"/>
        <v>-</v>
      </c>
      <c r="AY95" t="str">
        <f t="shared" si="66"/>
        <v>-</v>
      </c>
      <c r="AZ95" t="str">
        <f t="shared" si="67"/>
        <v>-</v>
      </c>
      <c r="BA95" t="str">
        <f t="shared" si="68"/>
        <v>-</v>
      </c>
      <c r="BB95" t="str">
        <f t="shared" si="69"/>
        <v>-</v>
      </c>
      <c r="BC95" t="str">
        <f t="shared" si="70"/>
        <v>-</v>
      </c>
      <c r="BD95" s="29" t="str">
        <f t="shared" si="71"/>
        <v>-</v>
      </c>
      <c r="BE95" s="29" t="str">
        <f t="shared" si="72"/>
        <v>-</v>
      </c>
    </row>
    <row r="96" spans="1:57" ht="15" x14ac:dyDescent="0.2">
      <c r="A96" s="2">
        <v>331</v>
      </c>
      <c r="B96" s="2" t="str">
        <f t="shared" si="37"/>
        <v>0331</v>
      </c>
      <c r="C96" t="str">
        <f t="shared" si="38"/>
        <v>ORD-SP-0331-07/02/24</v>
      </c>
      <c r="D96" s="3" t="s">
        <v>384</v>
      </c>
      <c r="E96" t="str">
        <f t="shared" si="39"/>
        <v>PW002</v>
      </c>
      <c r="F96" t="str">
        <f>INDEX(Katalog!$B$4:$B$13,MATCH('Main Data'!E96,Katalog!$C$4:$C$13,0))</f>
        <v>Blouse</v>
      </c>
      <c r="G96" t="str">
        <f>VLOOKUP(E96,Katalog!$A$15:$B$25,2,0)</f>
        <v>Pakaian Wanita</v>
      </c>
      <c r="H96" t="str">
        <f t="shared" si="40"/>
        <v>1</v>
      </c>
      <c r="I96" t="str">
        <f t="shared" si="41"/>
        <v>4</v>
      </c>
      <c r="J96" s="18">
        <f>VLOOKUP(E96,Katalog!$C$3:$F$13,2,0)</f>
        <v>125000</v>
      </c>
      <c r="K96" s="18">
        <f>VLOOKUP(E96,Katalog!$C$3:$F$13,3,0)</f>
        <v>50000</v>
      </c>
      <c r="L96" t="str">
        <f t="shared" si="42"/>
        <v>SP002</v>
      </c>
      <c r="M96" t="str">
        <f>IFERROR(INDEX(Katalog!$B$4:$B$13,MATCH('Main Data'!L96,Katalog!$C$4:$C$13,0)), "-")</f>
        <v>Sandal Slip On</v>
      </c>
      <c r="N96" t="str">
        <f>IFERROR(VLOOKUP(L96,Katalog!$A$15:$B$25,2,0),"-")</f>
        <v>Sepatu Pria</v>
      </c>
      <c r="O96" t="str">
        <f t="shared" si="43"/>
        <v>1</v>
      </c>
      <c r="P96" t="str">
        <f t="shared" si="44"/>
        <v>1</v>
      </c>
      <c r="Q96" s="18">
        <f>IFERROR(VLOOKUP(L96,Katalog!$C$3:$F$13,2,0),0)</f>
        <v>120000</v>
      </c>
      <c r="R96" s="18">
        <f>IFERROR(VLOOKUP(L96,Katalog!$C$3:$F$13,3,0),0)</f>
        <v>60000</v>
      </c>
      <c r="S96" t="str">
        <f t="shared" si="45"/>
        <v>SW001</v>
      </c>
      <c r="T96" t="str">
        <f>IFERROR(INDEX(Katalog!$B$4:$B$13,MATCH('Main Data'!S96,Katalog!$C$4:$C$13,0)),"-")</f>
        <v>Flat Shoes</v>
      </c>
      <c r="U96" t="str">
        <f>IFERROR(VLOOKUP(S96,Katalog!$A$15:$B$25,2,0),"-")</f>
        <v>Sepatu Wanita</v>
      </c>
      <c r="V96" t="str">
        <f t="shared" si="46"/>
        <v>2</v>
      </c>
      <c r="W96" s="28" t="str">
        <f t="shared" si="47"/>
        <v>2</v>
      </c>
      <c r="X96" s="18">
        <f>IFERROR(VLOOKUP(S96,Katalog!$C$3:$F$13,2,0),0)</f>
        <v>150000</v>
      </c>
      <c r="Y96" s="30">
        <f>IFERROR(VLOOKUP(S96,Katalog!$C$3:$F$13,3,0),0)</f>
        <v>70000</v>
      </c>
      <c r="Z96" s="2">
        <f t="shared" si="48"/>
        <v>4</v>
      </c>
      <c r="AA96" s="4">
        <f t="shared" si="49"/>
        <v>545000</v>
      </c>
      <c r="AB96" s="4">
        <f t="shared" si="50"/>
        <v>250000</v>
      </c>
      <c r="AC96" s="4" t="s">
        <v>10</v>
      </c>
      <c r="AD96" s="16">
        <f>IFERROR(VLOOKUP(AC96,'Kode Diskon'!$C$2:$D$9,2,0),0)</f>
        <v>0</v>
      </c>
      <c r="AE96" s="31">
        <f t="shared" si="51"/>
        <v>0</v>
      </c>
      <c r="AF96" s="31">
        <f t="shared" si="52"/>
        <v>545000</v>
      </c>
      <c r="AG96" s="31">
        <f t="shared" si="53"/>
        <v>295000</v>
      </c>
      <c r="AH96" s="31">
        <f t="shared" si="54"/>
        <v>295000</v>
      </c>
      <c r="AI96" s="4" t="s">
        <v>10</v>
      </c>
      <c r="AJ96" s="4" t="s">
        <v>6</v>
      </c>
      <c r="AK96" s="4" t="str">
        <f>IFERROR(VLOOKUP(AJ96,'Guide '!$A$13:$B$16,2,0),"-")</f>
        <v>SP</v>
      </c>
      <c r="AL96" s="4" t="s">
        <v>1006</v>
      </c>
      <c r="AM96" s="40">
        <v>45329</v>
      </c>
      <c r="AN96">
        <f t="shared" si="55"/>
        <v>29</v>
      </c>
      <c r="AO96">
        <f t="shared" si="56"/>
        <v>32</v>
      </c>
      <c r="AP96">
        <f t="shared" si="57"/>
        <v>40</v>
      </c>
      <c r="AQ96">
        <f t="shared" si="58"/>
        <v>43</v>
      </c>
      <c r="AR96" s="26">
        <f t="shared" si="59"/>
        <v>56</v>
      </c>
      <c r="AS96" s="26">
        <f t="shared" si="60"/>
        <v>63</v>
      </c>
      <c r="AT96" s="21">
        <f t="shared" si="61"/>
        <v>12</v>
      </c>
      <c r="AU96" s="21">
        <f t="shared" si="62"/>
        <v>19</v>
      </c>
      <c r="AV96">
        <f t="shared" si="63"/>
        <v>73</v>
      </c>
      <c r="AW96">
        <f t="shared" si="64"/>
        <v>76</v>
      </c>
      <c r="AX96">
        <f t="shared" si="65"/>
        <v>84</v>
      </c>
      <c r="AY96">
        <f t="shared" si="66"/>
        <v>87</v>
      </c>
      <c r="AZ96">
        <f t="shared" si="67"/>
        <v>100</v>
      </c>
      <c r="BA96">
        <f t="shared" si="68"/>
        <v>107</v>
      </c>
      <c r="BB96">
        <f t="shared" si="69"/>
        <v>117</v>
      </c>
      <c r="BC96">
        <f t="shared" si="70"/>
        <v>120</v>
      </c>
      <c r="BD96" s="29">
        <f t="shared" si="71"/>
        <v>128</v>
      </c>
      <c r="BE96" s="29">
        <f t="shared" si="72"/>
        <v>131</v>
      </c>
    </row>
    <row r="97" spans="1:57" ht="15" x14ac:dyDescent="0.2">
      <c r="A97" s="2">
        <v>671</v>
      </c>
      <c r="B97" s="2" t="str">
        <f t="shared" si="37"/>
        <v>0671</v>
      </c>
      <c r="C97" t="str">
        <f t="shared" si="38"/>
        <v>ORD-TK-0671-07/02/24</v>
      </c>
      <c r="D97" s="3" t="s">
        <v>270</v>
      </c>
      <c r="E97" t="str">
        <f t="shared" si="39"/>
        <v>PP003</v>
      </c>
      <c r="F97" t="str">
        <f>INDEX(Katalog!$B$4:$B$13,MATCH('Main Data'!E97,Katalog!$C$4:$C$13,0))</f>
        <v>Jaket Jeans</v>
      </c>
      <c r="G97" t="str">
        <f>VLOOKUP(E97,Katalog!$A$15:$B$25,2,0)</f>
        <v>Pakaian Pria</v>
      </c>
      <c r="H97" t="str">
        <f t="shared" si="40"/>
        <v>1</v>
      </c>
      <c r="I97" t="str">
        <f t="shared" si="41"/>
        <v>1</v>
      </c>
      <c r="J97" s="18">
        <f>VLOOKUP(E97,Katalog!$C$3:$F$13,2,0)</f>
        <v>150000</v>
      </c>
      <c r="K97" s="18">
        <f>VLOOKUP(E97,Katalog!$C$3:$F$13,3,0)</f>
        <v>70000</v>
      </c>
      <c r="L97" t="str">
        <f t="shared" si="42"/>
        <v>-</v>
      </c>
      <c r="M97" t="str">
        <f>IFERROR(INDEX(Katalog!$B$4:$B$13,MATCH('Main Data'!L97,Katalog!$C$4:$C$13,0)), "-")</f>
        <v>-</v>
      </c>
      <c r="N97" t="str">
        <f>IFERROR(VLOOKUP(L97,Katalog!$A$15:$B$25,2,0),"-")</f>
        <v>-</v>
      </c>
      <c r="O97">
        <f t="shared" si="43"/>
        <v>0</v>
      </c>
      <c r="P97" t="str">
        <f t="shared" si="44"/>
        <v>-</v>
      </c>
      <c r="Q97" s="18">
        <f>IFERROR(VLOOKUP(L97,Katalog!$C$3:$F$13,2,0),0)</f>
        <v>0</v>
      </c>
      <c r="R97" s="18">
        <f>IFERROR(VLOOKUP(L97,Katalog!$C$3:$F$13,3,0),0)</f>
        <v>0</v>
      </c>
      <c r="S97" t="str">
        <f t="shared" si="45"/>
        <v>-</v>
      </c>
      <c r="T97" t="str">
        <f>IFERROR(INDEX(Katalog!$B$4:$B$13,MATCH('Main Data'!S97,Katalog!$C$4:$C$13,0)),"-")</f>
        <v>-</v>
      </c>
      <c r="U97" t="str">
        <f>IFERROR(VLOOKUP(S97,Katalog!$A$15:$B$25,2,0),"-")</f>
        <v>-</v>
      </c>
      <c r="V97">
        <f t="shared" si="46"/>
        <v>0</v>
      </c>
      <c r="W97" s="28" t="str">
        <f t="shared" si="47"/>
        <v>-</v>
      </c>
      <c r="X97" s="18">
        <f>IFERROR(VLOOKUP(S97,Katalog!$C$3:$F$13,2,0),0)</f>
        <v>0</v>
      </c>
      <c r="Y97" s="30">
        <f>IFERROR(VLOOKUP(S97,Katalog!$C$3:$F$13,3,0),0)</f>
        <v>0</v>
      </c>
      <c r="Z97" s="2">
        <f t="shared" si="48"/>
        <v>1</v>
      </c>
      <c r="AA97" s="4">
        <f t="shared" si="49"/>
        <v>150000</v>
      </c>
      <c r="AB97" s="4">
        <f t="shared" si="50"/>
        <v>70000</v>
      </c>
      <c r="AC97" s="4" t="s">
        <v>29</v>
      </c>
      <c r="AD97" s="16">
        <f>IFERROR(VLOOKUP(AC97,'Kode Diskon'!$C$2:$D$9,2,0),0)</f>
        <v>0.1</v>
      </c>
      <c r="AE97" s="31">
        <f t="shared" si="51"/>
        <v>15000</v>
      </c>
      <c r="AF97" s="31">
        <f t="shared" si="52"/>
        <v>135000</v>
      </c>
      <c r="AG97" s="31">
        <f t="shared" si="53"/>
        <v>80000</v>
      </c>
      <c r="AH97" s="31">
        <f t="shared" si="54"/>
        <v>65000</v>
      </c>
      <c r="AI97" s="4" t="s">
        <v>28</v>
      </c>
      <c r="AJ97" s="4" t="s">
        <v>9</v>
      </c>
      <c r="AK97" s="4" t="str">
        <f>IFERROR(VLOOKUP(AJ97,'Guide '!$A$13:$B$16,2,0),"-")</f>
        <v>TK</v>
      </c>
      <c r="AL97" s="4" t="s">
        <v>924</v>
      </c>
      <c r="AM97" s="40">
        <v>45329</v>
      </c>
      <c r="AN97">
        <f t="shared" si="55"/>
        <v>29</v>
      </c>
      <c r="AO97">
        <f t="shared" si="56"/>
        <v>32</v>
      </c>
      <c r="AP97">
        <f t="shared" si="57"/>
        <v>40</v>
      </c>
      <c r="AQ97">
        <f t="shared" si="58"/>
        <v>43</v>
      </c>
      <c r="AR97" s="26" t="str">
        <f t="shared" si="59"/>
        <v>-</v>
      </c>
      <c r="AS97" s="26" t="str">
        <f t="shared" si="60"/>
        <v>-</v>
      </c>
      <c r="AT97" s="21">
        <f t="shared" si="61"/>
        <v>12</v>
      </c>
      <c r="AU97" s="21">
        <f t="shared" si="62"/>
        <v>19</v>
      </c>
      <c r="AV97" t="str">
        <f t="shared" si="63"/>
        <v>-</v>
      </c>
      <c r="AW97" t="str">
        <f t="shared" si="64"/>
        <v>-</v>
      </c>
      <c r="AX97" t="str">
        <f t="shared" si="65"/>
        <v>-</v>
      </c>
      <c r="AY97" t="str">
        <f t="shared" si="66"/>
        <v>-</v>
      </c>
      <c r="AZ97" t="str">
        <f t="shared" si="67"/>
        <v>-</v>
      </c>
      <c r="BA97" t="str">
        <f t="shared" si="68"/>
        <v>-</v>
      </c>
      <c r="BB97" t="str">
        <f t="shared" si="69"/>
        <v>-</v>
      </c>
      <c r="BC97" t="str">
        <f t="shared" si="70"/>
        <v>-</v>
      </c>
      <c r="BD97" s="29" t="str">
        <f t="shared" si="71"/>
        <v>-</v>
      </c>
      <c r="BE97" s="29" t="str">
        <f t="shared" si="72"/>
        <v>-</v>
      </c>
    </row>
    <row r="98" spans="1:57" ht="15" x14ac:dyDescent="0.2">
      <c r="A98" s="2">
        <v>266</v>
      </c>
      <c r="B98" s="2" t="str">
        <f t="shared" si="37"/>
        <v>0266</v>
      </c>
      <c r="C98" t="str">
        <f t="shared" si="38"/>
        <v>ORD-SP-0266-08/02/24</v>
      </c>
      <c r="D98" s="3" t="s">
        <v>129</v>
      </c>
      <c r="E98" t="str">
        <f t="shared" si="39"/>
        <v>SP001</v>
      </c>
      <c r="F98" t="str">
        <f>INDEX(Katalog!$B$4:$B$13,MATCH('Main Data'!E98,Katalog!$C$4:$C$13,0))</f>
        <v>Sneakers</v>
      </c>
      <c r="G98" t="str">
        <f>VLOOKUP(E98,Katalog!$A$15:$B$25,2,0)</f>
        <v>Sepatu Pria</v>
      </c>
      <c r="H98" t="str">
        <f t="shared" si="40"/>
        <v>2</v>
      </c>
      <c r="I98" t="str">
        <f t="shared" si="41"/>
        <v>1</v>
      </c>
      <c r="J98" s="18">
        <f>VLOOKUP(E98,Katalog!$C$3:$F$13,2,0)</f>
        <v>300000</v>
      </c>
      <c r="K98" s="18">
        <f>VLOOKUP(E98,Katalog!$C$3:$F$13,3,0)</f>
        <v>100000</v>
      </c>
      <c r="L98" t="str">
        <f t="shared" si="42"/>
        <v>-</v>
      </c>
      <c r="M98" t="str">
        <f>IFERROR(INDEX(Katalog!$B$4:$B$13,MATCH('Main Data'!L98,Katalog!$C$4:$C$13,0)), "-")</f>
        <v>-</v>
      </c>
      <c r="N98" t="str">
        <f>IFERROR(VLOOKUP(L98,Katalog!$A$15:$B$25,2,0),"-")</f>
        <v>-</v>
      </c>
      <c r="O98">
        <f t="shared" si="43"/>
        <v>0</v>
      </c>
      <c r="P98" t="str">
        <f t="shared" si="44"/>
        <v>-</v>
      </c>
      <c r="Q98" s="18">
        <f>IFERROR(VLOOKUP(L98,Katalog!$C$3:$F$13,2,0),0)</f>
        <v>0</v>
      </c>
      <c r="R98" s="18">
        <f>IFERROR(VLOOKUP(L98,Katalog!$C$3:$F$13,3,0),0)</f>
        <v>0</v>
      </c>
      <c r="S98" t="str">
        <f t="shared" si="45"/>
        <v>-</v>
      </c>
      <c r="T98" t="str">
        <f>IFERROR(INDEX(Katalog!$B$4:$B$13,MATCH('Main Data'!S98,Katalog!$C$4:$C$13,0)),"-")</f>
        <v>-</v>
      </c>
      <c r="U98" t="str">
        <f>IFERROR(VLOOKUP(S98,Katalog!$A$15:$B$25,2,0),"-")</f>
        <v>-</v>
      </c>
      <c r="V98">
        <f t="shared" si="46"/>
        <v>0</v>
      </c>
      <c r="W98" s="28" t="str">
        <f t="shared" si="47"/>
        <v>-</v>
      </c>
      <c r="X98" s="18">
        <f>IFERROR(VLOOKUP(S98,Katalog!$C$3:$F$13,2,0),0)</f>
        <v>0</v>
      </c>
      <c r="Y98" s="30">
        <f>IFERROR(VLOOKUP(S98,Katalog!$C$3:$F$13,3,0),0)</f>
        <v>0</v>
      </c>
      <c r="Z98" s="2">
        <f t="shared" si="48"/>
        <v>2</v>
      </c>
      <c r="AA98" s="4">
        <f t="shared" si="49"/>
        <v>600000</v>
      </c>
      <c r="AB98" s="4">
        <f t="shared" si="50"/>
        <v>200000</v>
      </c>
      <c r="AC98" s="4" t="s">
        <v>7</v>
      </c>
      <c r="AD98" s="16">
        <f>IFERROR(VLOOKUP(AC98,'Kode Diskon'!$C$2:$D$9,2,0),0)</f>
        <v>0.2</v>
      </c>
      <c r="AE98" s="31">
        <f t="shared" si="51"/>
        <v>120000</v>
      </c>
      <c r="AF98" s="31">
        <f t="shared" si="52"/>
        <v>480000</v>
      </c>
      <c r="AG98" s="31">
        <f t="shared" si="53"/>
        <v>400000</v>
      </c>
      <c r="AH98" s="31">
        <f t="shared" si="54"/>
        <v>280000</v>
      </c>
      <c r="AI98" s="4" t="s">
        <v>8</v>
      </c>
      <c r="AJ98" s="4" t="s">
        <v>6</v>
      </c>
      <c r="AK98" s="4" t="str">
        <f>IFERROR(VLOOKUP(AJ98,'Guide '!$A$13:$B$16,2,0),"-")</f>
        <v>SP</v>
      </c>
      <c r="AL98" s="4" t="s">
        <v>1006</v>
      </c>
      <c r="AM98" s="40">
        <v>45330</v>
      </c>
      <c r="AN98">
        <f t="shared" si="55"/>
        <v>29</v>
      </c>
      <c r="AO98">
        <f t="shared" si="56"/>
        <v>32</v>
      </c>
      <c r="AP98">
        <f t="shared" si="57"/>
        <v>40</v>
      </c>
      <c r="AQ98">
        <f t="shared" si="58"/>
        <v>43</v>
      </c>
      <c r="AR98" s="26" t="str">
        <f t="shared" si="59"/>
        <v>-</v>
      </c>
      <c r="AS98" s="26" t="str">
        <f t="shared" si="60"/>
        <v>-</v>
      </c>
      <c r="AT98" s="21">
        <f t="shared" si="61"/>
        <v>12</v>
      </c>
      <c r="AU98" s="21">
        <f t="shared" si="62"/>
        <v>19</v>
      </c>
      <c r="AV98" t="str">
        <f t="shared" si="63"/>
        <v>-</v>
      </c>
      <c r="AW98" t="str">
        <f t="shared" si="64"/>
        <v>-</v>
      </c>
      <c r="AX98" t="str">
        <f t="shared" si="65"/>
        <v>-</v>
      </c>
      <c r="AY98" t="str">
        <f t="shared" si="66"/>
        <v>-</v>
      </c>
      <c r="AZ98" t="str">
        <f t="shared" si="67"/>
        <v>-</v>
      </c>
      <c r="BA98" t="str">
        <f t="shared" si="68"/>
        <v>-</v>
      </c>
      <c r="BB98" t="str">
        <f t="shared" si="69"/>
        <v>-</v>
      </c>
      <c r="BC98" t="str">
        <f t="shared" si="70"/>
        <v>-</v>
      </c>
      <c r="BD98" s="29" t="str">
        <f t="shared" si="71"/>
        <v>-</v>
      </c>
      <c r="BE98" s="29" t="str">
        <f t="shared" si="72"/>
        <v>-</v>
      </c>
    </row>
    <row r="99" spans="1:57" ht="15" x14ac:dyDescent="0.2">
      <c r="A99" s="2">
        <v>329</v>
      </c>
      <c r="B99" s="2" t="str">
        <f t="shared" si="37"/>
        <v>0329</v>
      </c>
      <c r="C99" t="str">
        <f t="shared" si="38"/>
        <v>ORD-SP-0329-08/02/24</v>
      </c>
      <c r="D99" s="3" t="s">
        <v>382</v>
      </c>
      <c r="E99" t="str">
        <f t="shared" si="39"/>
        <v>PW002</v>
      </c>
      <c r="F99" t="str">
        <f>INDEX(Katalog!$B$4:$B$13,MATCH('Main Data'!E99,Katalog!$C$4:$C$13,0))</f>
        <v>Blouse</v>
      </c>
      <c r="G99" t="str">
        <f>VLOOKUP(E99,Katalog!$A$15:$B$25,2,0)</f>
        <v>Pakaian Wanita</v>
      </c>
      <c r="H99" t="str">
        <f t="shared" si="40"/>
        <v>2</v>
      </c>
      <c r="I99" t="str">
        <f t="shared" si="41"/>
        <v>2</v>
      </c>
      <c r="J99" s="18">
        <f>VLOOKUP(E99,Katalog!$C$3:$F$13,2,0)</f>
        <v>125000</v>
      </c>
      <c r="K99" s="18">
        <f>VLOOKUP(E99,Katalog!$C$3:$F$13,3,0)</f>
        <v>50000</v>
      </c>
      <c r="L99" t="str">
        <f t="shared" si="42"/>
        <v>PU001</v>
      </c>
      <c r="M99" t="str">
        <f>IFERROR(INDEX(Katalog!$B$4:$B$13,MATCH('Main Data'!L99,Katalog!$C$4:$C$13,0)), "-")</f>
        <v>Jaket Hoodie</v>
      </c>
      <c r="N99" t="str">
        <f>IFERROR(VLOOKUP(L99,Katalog!$A$15:$B$25,2,0),"-")</f>
        <v>Pakaian Unisex</v>
      </c>
      <c r="O99" t="str">
        <f t="shared" si="43"/>
        <v>1</v>
      </c>
      <c r="P99" t="str">
        <f t="shared" si="44"/>
        <v>3</v>
      </c>
      <c r="Q99" s="18">
        <f>IFERROR(VLOOKUP(L99,Katalog!$C$3:$F$13,2,0),0)</f>
        <v>160000</v>
      </c>
      <c r="R99" s="18">
        <f>IFERROR(VLOOKUP(L99,Katalog!$C$3:$F$13,3,0),0)</f>
        <v>60000</v>
      </c>
      <c r="S99" t="str">
        <f t="shared" si="45"/>
        <v>PP001</v>
      </c>
      <c r="T99" t="str">
        <f>IFERROR(INDEX(Katalog!$B$4:$B$13,MATCH('Main Data'!S99,Katalog!$C$4:$C$13,0)),"-")</f>
        <v>Kaos Polo</v>
      </c>
      <c r="U99" t="str">
        <f>IFERROR(VLOOKUP(S99,Katalog!$A$15:$B$25,2,0),"-")</f>
        <v>Pakaian Pria</v>
      </c>
      <c r="V99" t="str">
        <f t="shared" si="46"/>
        <v>1</v>
      </c>
      <c r="W99" s="28" t="str">
        <f t="shared" si="47"/>
        <v>5</v>
      </c>
      <c r="X99" s="18">
        <f>IFERROR(VLOOKUP(S99,Katalog!$C$3:$F$13,2,0),0)</f>
        <v>80000</v>
      </c>
      <c r="Y99" s="30">
        <f>IFERROR(VLOOKUP(S99,Katalog!$C$3:$F$13,3,0),0)</f>
        <v>30000</v>
      </c>
      <c r="Z99" s="2">
        <f t="shared" si="48"/>
        <v>4</v>
      </c>
      <c r="AA99" s="4">
        <f t="shared" si="49"/>
        <v>490000</v>
      </c>
      <c r="AB99" s="4">
        <f t="shared" si="50"/>
        <v>190000</v>
      </c>
      <c r="AC99" s="4" t="s">
        <v>5</v>
      </c>
      <c r="AD99" s="16">
        <f>IFERROR(VLOOKUP(AC99,'Kode Diskon'!$C$2:$D$9,2,0),0)</f>
        <v>0.1</v>
      </c>
      <c r="AE99" s="31">
        <f t="shared" si="51"/>
        <v>49000</v>
      </c>
      <c r="AF99" s="31">
        <f t="shared" si="52"/>
        <v>441000</v>
      </c>
      <c r="AG99" s="31">
        <f t="shared" si="53"/>
        <v>300000</v>
      </c>
      <c r="AH99" s="31">
        <f t="shared" si="54"/>
        <v>251000</v>
      </c>
      <c r="AI99" s="4" t="s">
        <v>28</v>
      </c>
      <c r="AJ99" s="4" t="s">
        <v>6</v>
      </c>
      <c r="AK99" s="4" t="str">
        <f>IFERROR(VLOOKUP(AJ99,'Guide '!$A$13:$B$16,2,0),"-")</f>
        <v>SP</v>
      </c>
      <c r="AL99" s="4" t="s">
        <v>924</v>
      </c>
      <c r="AM99" s="40">
        <v>45330</v>
      </c>
      <c r="AN99">
        <f t="shared" si="55"/>
        <v>29</v>
      </c>
      <c r="AO99">
        <f t="shared" si="56"/>
        <v>32</v>
      </c>
      <c r="AP99">
        <f t="shared" si="57"/>
        <v>40</v>
      </c>
      <c r="AQ99">
        <f t="shared" si="58"/>
        <v>43</v>
      </c>
      <c r="AR99" s="26">
        <f t="shared" si="59"/>
        <v>56</v>
      </c>
      <c r="AS99" s="26">
        <f t="shared" si="60"/>
        <v>63</v>
      </c>
      <c r="AT99" s="21">
        <f t="shared" si="61"/>
        <v>12</v>
      </c>
      <c r="AU99" s="21">
        <f t="shared" si="62"/>
        <v>19</v>
      </c>
      <c r="AV99">
        <f t="shared" si="63"/>
        <v>73</v>
      </c>
      <c r="AW99">
        <f t="shared" si="64"/>
        <v>76</v>
      </c>
      <c r="AX99">
        <f t="shared" si="65"/>
        <v>84</v>
      </c>
      <c r="AY99">
        <f t="shared" si="66"/>
        <v>87</v>
      </c>
      <c r="AZ99">
        <f t="shared" si="67"/>
        <v>100</v>
      </c>
      <c r="BA99">
        <f t="shared" si="68"/>
        <v>107</v>
      </c>
      <c r="BB99">
        <f t="shared" si="69"/>
        <v>117</v>
      </c>
      <c r="BC99">
        <f t="shared" si="70"/>
        <v>120</v>
      </c>
      <c r="BD99" s="29">
        <f t="shared" si="71"/>
        <v>128</v>
      </c>
      <c r="BE99" s="29">
        <f t="shared" si="72"/>
        <v>131</v>
      </c>
    </row>
    <row r="100" spans="1:57" ht="15" x14ac:dyDescent="0.2">
      <c r="A100" s="2">
        <v>481</v>
      </c>
      <c r="B100" s="2" t="str">
        <f t="shared" si="37"/>
        <v>0481</v>
      </c>
      <c r="C100" t="str">
        <f t="shared" si="38"/>
        <v>ORD-BB-0481-08/02/24</v>
      </c>
      <c r="D100" s="3" t="s">
        <v>516</v>
      </c>
      <c r="E100" t="str">
        <f t="shared" si="39"/>
        <v>SP002</v>
      </c>
      <c r="F100" t="str">
        <f>INDEX(Katalog!$B$4:$B$13,MATCH('Main Data'!E100,Katalog!$C$4:$C$13,0))</f>
        <v>Sandal Slip On</v>
      </c>
      <c r="G100" t="str">
        <f>VLOOKUP(E100,Katalog!$A$15:$B$25,2,0)</f>
        <v>Sepatu Pria</v>
      </c>
      <c r="H100" t="str">
        <f t="shared" si="40"/>
        <v>2</v>
      </c>
      <c r="I100" t="str">
        <f t="shared" si="41"/>
        <v>2</v>
      </c>
      <c r="J100" s="18">
        <f>VLOOKUP(E100,Katalog!$C$3:$F$13,2,0)</f>
        <v>120000</v>
      </c>
      <c r="K100" s="18">
        <f>VLOOKUP(E100,Katalog!$C$3:$F$13,3,0)</f>
        <v>60000</v>
      </c>
      <c r="L100" t="str">
        <f t="shared" si="42"/>
        <v>SW001</v>
      </c>
      <c r="M100" t="str">
        <f>IFERROR(INDEX(Katalog!$B$4:$B$13,MATCH('Main Data'!L100,Katalog!$C$4:$C$13,0)), "-")</f>
        <v>Flat Shoes</v>
      </c>
      <c r="N100" t="str">
        <f>IFERROR(VLOOKUP(L100,Katalog!$A$15:$B$25,2,0),"-")</f>
        <v>Sepatu Wanita</v>
      </c>
      <c r="O100" t="str">
        <f t="shared" si="43"/>
        <v>2</v>
      </c>
      <c r="P100" t="str">
        <f t="shared" si="44"/>
        <v>2</v>
      </c>
      <c r="Q100" s="18">
        <f>IFERROR(VLOOKUP(L100,Katalog!$C$3:$F$13,2,0),0)</f>
        <v>150000</v>
      </c>
      <c r="R100" s="18">
        <f>IFERROR(VLOOKUP(L100,Katalog!$C$3:$F$13,3,0),0)</f>
        <v>70000</v>
      </c>
      <c r="S100" t="str">
        <f t="shared" si="45"/>
        <v>SP001</v>
      </c>
      <c r="T100" t="str">
        <f>IFERROR(INDEX(Katalog!$B$4:$B$13,MATCH('Main Data'!S100,Katalog!$C$4:$C$13,0)),"-")</f>
        <v>Sneakers</v>
      </c>
      <c r="U100" t="str">
        <f>IFERROR(VLOOKUP(S100,Katalog!$A$15:$B$25,2,0),"-")</f>
        <v>Sepatu Pria</v>
      </c>
      <c r="V100" t="str">
        <f t="shared" si="46"/>
        <v>1</v>
      </c>
      <c r="W100" s="28" t="str">
        <f t="shared" si="47"/>
        <v>1</v>
      </c>
      <c r="X100" s="18">
        <f>IFERROR(VLOOKUP(S100,Katalog!$C$3:$F$13,2,0),0)</f>
        <v>300000</v>
      </c>
      <c r="Y100" s="30">
        <f>IFERROR(VLOOKUP(S100,Katalog!$C$3:$F$13,3,0),0)</f>
        <v>100000</v>
      </c>
      <c r="Z100" s="2">
        <f t="shared" si="48"/>
        <v>5</v>
      </c>
      <c r="AA100" s="4">
        <f t="shared" si="49"/>
        <v>840000</v>
      </c>
      <c r="AB100" s="4">
        <f t="shared" si="50"/>
        <v>360000</v>
      </c>
      <c r="AC100" s="4" t="s">
        <v>27</v>
      </c>
      <c r="AD100" s="16">
        <f>IFERROR(VLOOKUP(AC100,'Kode Diskon'!$C$2:$D$9,2,0),0)</f>
        <v>0.15</v>
      </c>
      <c r="AE100" s="31">
        <f t="shared" si="51"/>
        <v>126000</v>
      </c>
      <c r="AF100" s="31">
        <f t="shared" si="52"/>
        <v>714000</v>
      </c>
      <c r="AG100" s="31">
        <f t="shared" si="53"/>
        <v>480000</v>
      </c>
      <c r="AH100" s="31">
        <f t="shared" si="54"/>
        <v>354000</v>
      </c>
      <c r="AI100" s="4" t="s">
        <v>28</v>
      </c>
      <c r="AJ100" s="4" t="s">
        <v>13</v>
      </c>
      <c r="AK100" s="4" t="str">
        <f>IFERROR(VLOOKUP(AJ100,'Guide '!$A$13:$B$16,2,0),"-")</f>
        <v>BB</v>
      </c>
      <c r="AL100" s="4" t="s">
        <v>925</v>
      </c>
      <c r="AM100" s="40">
        <v>45330</v>
      </c>
      <c r="AN100">
        <f t="shared" si="55"/>
        <v>29</v>
      </c>
      <c r="AO100">
        <f t="shared" si="56"/>
        <v>32</v>
      </c>
      <c r="AP100">
        <f t="shared" si="57"/>
        <v>40</v>
      </c>
      <c r="AQ100">
        <f t="shared" si="58"/>
        <v>43</v>
      </c>
      <c r="AR100" s="26">
        <f t="shared" si="59"/>
        <v>56</v>
      </c>
      <c r="AS100" s="26">
        <f t="shared" si="60"/>
        <v>63</v>
      </c>
      <c r="AT100" s="21">
        <f t="shared" si="61"/>
        <v>12</v>
      </c>
      <c r="AU100" s="21">
        <f t="shared" si="62"/>
        <v>19</v>
      </c>
      <c r="AV100">
        <f t="shared" si="63"/>
        <v>73</v>
      </c>
      <c r="AW100">
        <f t="shared" si="64"/>
        <v>76</v>
      </c>
      <c r="AX100">
        <f t="shared" si="65"/>
        <v>84</v>
      </c>
      <c r="AY100">
        <f t="shared" si="66"/>
        <v>87</v>
      </c>
      <c r="AZ100">
        <f t="shared" si="67"/>
        <v>100</v>
      </c>
      <c r="BA100">
        <f t="shared" si="68"/>
        <v>107</v>
      </c>
      <c r="BB100">
        <f t="shared" si="69"/>
        <v>117</v>
      </c>
      <c r="BC100">
        <f t="shared" si="70"/>
        <v>120</v>
      </c>
      <c r="BD100" s="29">
        <f t="shared" si="71"/>
        <v>128</v>
      </c>
      <c r="BE100" s="29">
        <f t="shared" si="72"/>
        <v>131</v>
      </c>
    </row>
    <row r="101" spans="1:57" ht="15" x14ac:dyDescent="0.2">
      <c r="A101" s="2">
        <v>832</v>
      </c>
      <c r="B101" s="2" t="str">
        <f t="shared" si="37"/>
        <v>0832</v>
      </c>
      <c r="C101" t="str">
        <f t="shared" si="38"/>
        <v>ORD-BL-0832-08/02/24</v>
      </c>
      <c r="D101" s="3" t="s">
        <v>791</v>
      </c>
      <c r="E101" t="str">
        <f t="shared" si="39"/>
        <v>PW001</v>
      </c>
      <c r="F101" t="str">
        <f>INDEX(Katalog!$B$4:$B$13,MATCH('Main Data'!E101,Katalog!$C$4:$C$13,0))</f>
        <v>Dress</v>
      </c>
      <c r="G101" t="str">
        <f>VLOOKUP(E101,Katalog!$A$15:$B$25,2,0)</f>
        <v>Pakaian Wanita</v>
      </c>
      <c r="H101" t="str">
        <f t="shared" si="40"/>
        <v>1</v>
      </c>
      <c r="I101" t="str">
        <f t="shared" si="41"/>
        <v>1</v>
      </c>
      <c r="J101" s="18">
        <f>VLOOKUP(E101,Katalog!$C$3:$F$13,2,0)</f>
        <v>150000</v>
      </c>
      <c r="K101" s="18">
        <f>VLOOKUP(E101,Katalog!$C$3:$F$13,3,0)</f>
        <v>55000</v>
      </c>
      <c r="L101" t="str">
        <f t="shared" si="42"/>
        <v>PW001</v>
      </c>
      <c r="M101" t="str">
        <f>IFERROR(INDEX(Katalog!$B$4:$B$13,MATCH('Main Data'!L101,Katalog!$C$4:$C$13,0)), "-")</f>
        <v>Dress</v>
      </c>
      <c r="N101" t="str">
        <f>IFERROR(VLOOKUP(L101,Katalog!$A$15:$B$25,2,0),"-")</f>
        <v>Pakaian Wanita</v>
      </c>
      <c r="O101" t="str">
        <f t="shared" si="43"/>
        <v>1</v>
      </c>
      <c r="P101" t="str">
        <f t="shared" si="44"/>
        <v>4</v>
      </c>
      <c r="Q101" s="18">
        <f>IFERROR(VLOOKUP(L101,Katalog!$C$3:$F$13,2,0),0)</f>
        <v>150000</v>
      </c>
      <c r="R101" s="18">
        <f>IFERROR(VLOOKUP(L101,Katalog!$C$3:$F$13,3,0),0)</f>
        <v>55000</v>
      </c>
      <c r="S101" t="str">
        <f t="shared" si="45"/>
        <v>PW001</v>
      </c>
      <c r="T101" t="str">
        <f>IFERROR(INDEX(Katalog!$B$4:$B$13,MATCH('Main Data'!S101,Katalog!$C$4:$C$13,0)),"-")</f>
        <v>Dress</v>
      </c>
      <c r="U101" t="str">
        <f>IFERROR(VLOOKUP(S101,Katalog!$A$15:$B$25,2,0),"-")</f>
        <v>Pakaian Wanita</v>
      </c>
      <c r="V101" t="str">
        <f t="shared" si="46"/>
        <v>1</v>
      </c>
      <c r="W101" s="28" t="str">
        <f t="shared" si="47"/>
        <v>2</v>
      </c>
      <c r="X101" s="18">
        <f>IFERROR(VLOOKUP(S101,Katalog!$C$3:$F$13,2,0),0)</f>
        <v>150000</v>
      </c>
      <c r="Y101" s="30">
        <f>IFERROR(VLOOKUP(S101,Katalog!$C$3:$F$13,3,0),0)</f>
        <v>55000</v>
      </c>
      <c r="Z101" s="2">
        <f t="shared" si="48"/>
        <v>3</v>
      </c>
      <c r="AA101" s="4">
        <f t="shared" si="49"/>
        <v>450000</v>
      </c>
      <c r="AB101" s="4">
        <f t="shared" si="50"/>
        <v>165000</v>
      </c>
      <c r="AC101" s="4" t="s">
        <v>31</v>
      </c>
      <c r="AD101" s="16">
        <f>IFERROR(VLOOKUP(AC101,'Kode Diskon'!$C$2:$D$9,2,0),0)</f>
        <v>0.15</v>
      </c>
      <c r="AE101" s="31">
        <f t="shared" si="51"/>
        <v>67500</v>
      </c>
      <c r="AF101" s="31">
        <f t="shared" si="52"/>
        <v>382500</v>
      </c>
      <c r="AG101" s="31">
        <f t="shared" si="53"/>
        <v>285000</v>
      </c>
      <c r="AH101" s="31">
        <f t="shared" si="54"/>
        <v>217500</v>
      </c>
      <c r="AI101" s="4" t="s">
        <v>8</v>
      </c>
      <c r="AJ101" s="4" t="s">
        <v>11</v>
      </c>
      <c r="AK101" s="4" t="str">
        <f>IFERROR(VLOOKUP(AJ101,'Guide '!$A$13:$B$16,2,0),"-")</f>
        <v>BL</v>
      </c>
      <c r="AL101" s="4" t="s">
        <v>925</v>
      </c>
      <c r="AM101" s="40">
        <v>45330</v>
      </c>
      <c r="AN101">
        <f t="shared" si="55"/>
        <v>29</v>
      </c>
      <c r="AO101">
        <f t="shared" si="56"/>
        <v>32</v>
      </c>
      <c r="AP101">
        <f t="shared" si="57"/>
        <v>40</v>
      </c>
      <c r="AQ101">
        <f t="shared" si="58"/>
        <v>43</v>
      </c>
      <c r="AR101" s="26">
        <f t="shared" si="59"/>
        <v>56</v>
      </c>
      <c r="AS101" s="26">
        <f t="shared" si="60"/>
        <v>63</v>
      </c>
      <c r="AT101" s="21">
        <f t="shared" si="61"/>
        <v>12</v>
      </c>
      <c r="AU101" s="21">
        <f t="shared" si="62"/>
        <v>19</v>
      </c>
      <c r="AV101">
        <f t="shared" si="63"/>
        <v>73</v>
      </c>
      <c r="AW101">
        <f t="shared" si="64"/>
        <v>76</v>
      </c>
      <c r="AX101">
        <f t="shared" si="65"/>
        <v>84</v>
      </c>
      <c r="AY101">
        <f t="shared" si="66"/>
        <v>87</v>
      </c>
      <c r="AZ101">
        <f t="shared" si="67"/>
        <v>100</v>
      </c>
      <c r="BA101">
        <f t="shared" si="68"/>
        <v>107</v>
      </c>
      <c r="BB101">
        <f t="shared" si="69"/>
        <v>117</v>
      </c>
      <c r="BC101">
        <f t="shared" si="70"/>
        <v>120</v>
      </c>
      <c r="BD101" s="29">
        <f t="shared" si="71"/>
        <v>128</v>
      </c>
      <c r="BE101" s="29">
        <f t="shared" si="72"/>
        <v>131</v>
      </c>
    </row>
    <row r="102" spans="1:57" ht="15" x14ac:dyDescent="0.2">
      <c r="A102" s="2">
        <v>274</v>
      </c>
      <c r="B102" s="2" t="str">
        <f t="shared" si="37"/>
        <v>0274</v>
      </c>
      <c r="C102" t="str">
        <f t="shared" si="38"/>
        <v>ORD-SP-0274-09/02/24</v>
      </c>
      <c r="D102" s="3" t="s">
        <v>305</v>
      </c>
      <c r="E102" t="str">
        <f t="shared" si="39"/>
        <v>PW003</v>
      </c>
      <c r="F102" t="str">
        <f>INDEX(Katalog!$B$4:$B$13,MATCH('Main Data'!E102,Katalog!$C$4:$C$13,0))</f>
        <v>Kaftan</v>
      </c>
      <c r="G102" t="str">
        <f>VLOOKUP(E102,Katalog!$A$15:$B$25,2,0)</f>
        <v>Pakaian Wanita</v>
      </c>
      <c r="H102" t="str">
        <f t="shared" si="40"/>
        <v>4</v>
      </c>
      <c r="I102" t="str">
        <f t="shared" si="41"/>
        <v>4</v>
      </c>
      <c r="J102" s="18">
        <f>VLOOKUP(E102,Katalog!$C$3:$F$13,2,0)</f>
        <v>200000</v>
      </c>
      <c r="K102" s="18">
        <f>VLOOKUP(E102,Katalog!$C$3:$F$13,3,0)</f>
        <v>100000</v>
      </c>
      <c r="L102" t="str">
        <f t="shared" si="42"/>
        <v>-</v>
      </c>
      <c r="M102" t="str">
        <f>IFERROR(INDEX(Katalog!$B$4:$B$13,MATCH('Main Data'!L102,Katalog!$C$4:$C$13,0)), "-")</f>
        <v>-</v>
      </c>
      <c r="N102" t="str">
        <f>IFERROR(VLOOKUP(L102,Katalog!$A$15:$B$25,2,0),"-")</f>
        <v>-</v>
      </c>
      <c r="O102">
        <f t="shared" si="43"/>
        <v>0</v>
      </c>
      <c r="P102" t="str">
        <f t="shared" si="44"/>
        <v>-</v>
      </c>
      <c r="Q102" s="18">
        <f>IFERROR(VLOOKUP(L102,Katalog!$C$3:$F$13,2,0),0)</f>
        <v>0</v>
      </c>
      <c r="R102" s="18">
        <f>IFERROR(VLOOKUP(L102,Katalog!$C$3:$F$13,3,0),0)</f>
        <v>0</v>
      </c>
      <c r="S102" t="str">
        <f t="shared" si="45"/>
        <v>-</v>
      </c>
      <c r="T102" t="str">
        <f>IFERROR(INDEX(Katalog!$B$4:$B$13,MATCH('Main Data'!S102,Katalog!$C$4:$C$13,0)),"-")</f>
        <v>-</v>
      </c>
      <c r="U102" t="str">
        <f>IFERROR(VLOOKUP(S102,Katalog!$A$15:$B$25,2,0),"-")</f>
        <v>-</v>
      </c>
      <c r="V102">
        <f t="shared" si="46"/>
        <v>0</v>
      </c>
      <c r="W102" s="28" t="str">
        <f t="shared" si="47"/>
        <v>-</v>
      </c>
      <c r="X102" s="18">
        <f>IFERROR(VLOOKUP(S102,Katalog!$C$3:$F$13,2,0),0)</f>
        <v>0</v>
      </c>
      <c r="Y102" s="30">
        <f>IFERROR(VLOOKUP(S102,Katalog!$C$3:$F$13,3,0),0)</f>
        <v>0</v>
      </c>
      <c r="Z102" s="2">
        <f t="shared" si="48"/>
        <v>4</v>
      </c>
      <c r="AA102" s="4">
        <f t="shared" si="49"/>
        <v>800000</v>
      </c>
      <c r="AB102" s="4">
        <f t="shared" si="50"/>
        <v>400000</v>
      </c>
      <c r="AC102" s="4" t="s">
        <v>7</v>
      </c>
      <c r="AD102" s="16">
        <f>IFERROR(VLOOKUP(AC102,'Kode Diskon'!$C$2:$D$9,2,0),0)</f>
        <v>0.2</v>
      </c>
      <c r="AE102" s="31">
        <f t="shared" si="51"/>
        <v>160000</v>
      </c>
      <c r="AF102" s="31">
        <f t="shared" si="52"/>
        <v>640000</v>
      </c>
      <c r="AG102" s="31">
        <f t="shared" si="53"/>
        <v>400000</v>
      </c>
      <c r="AH102" s="31">
        <f t="shared" si="54"/>
        <v>240000</v>
      </c>
      <c r="AI102" s="4" t="s">
        <v>8</v>
      </c>
      <c r="AJ102" s="4" t="s">
        <v>6</v>
      </c>
      <c r="AK102" s="4" t="str">
        <f>IFERROR(VLOOKUP(AJ102,'Guide '!$A$13:$B$16,2,0),"-")</f>
        <v>SP</v>
      </c>
      <c r="AL102" s="4" t="s">
        <v>925</v>
      </c>
      <c r="AM102" s="40">
        <v>45331</v>
      </c>
      <c r="AN102">
        <f t="shared" si="55"/>
        <v>29</v>
      </c>
      <c r="AO102">
        <f t="shared" si="56"/>
        <v>32</v>
      </c>
      <c r="AP102">
        <f t="shared" si="57"/>
        <v>40</v>
      </c>
      <c r="AQ102">
        <f t="shared" si="58"/>
        <v>43</v>
      </c>
      <c r="AR102" s="26" t="str">
        <f t="shared" si="59"/>
        <v>-</v>
      </c>
      <c r="AS102" s="26" t="str">
        <f t="shared" si="60"/>
        <v>-</v>
      </c>
      <c r="AT102" s="21">
        <f t="shared" si="61"/>
        <v>12</v>
      </c>
      <c r="AU102" s="21">
        <f t="shared" si="62"/>
        <v>19</v>
      </c>
      <c r="AV102" t="str">
        <f t="shared" si="63"/>
        <v>-</v>
      </c>
      <c r="AW102" t="str">
        <f t="shared" si="64"/>
        <v>-</v>
      </c>
      <c r="AX102" t="str">
        <f t="shared" si="65"/>
        <v>-</v>
      </c>
      <c r="AY102" t="str">
        <f t="shared" si="66"/>
        <v>-</v>
      </c>
      <c r="AZ102" t="str">
        <f t="shared" si="67"/>
        <v>-</v>
      </c>
      <c r="BA102" t="str">
        <f t="shared" si="68"/>
        <v>-</v>
      </c>
      <c r="BB102" t="str">
        <f t="shared" si="69"/>
        <v>-</v>
      </c>
      <c r="BC102" t="str">
        <f t="shared" si="70"/>
        <v>-</v>
      </c>
      <c r="BD102" s="29" t="str">
        <f t="shared" si="71"/>
        <v>-</v>
      </c>
      <c r="BE102" s="29" t="str">
        <f t="shared" si="72"/>
        <v>-</v>
      </c>
    </row>
    <row r="103" spans="1:57" ht="15" x14ac:dyDescent="0.2">
      <c r="A103" s="2">
        <v>396</v>
      </c>
      <c r="B103" s="2" t="str">
        <f t="shared" si="37"/>
        <v>0396</v>
      </c>
      <c r="C103" t="str">
        <f t="shared" si="38"/>
        <v>ORD-SP-0396-09/02/24</v>
      </c>
      <c r="D103" s="3" t="s">
        <v>445</v>
      </c>
      <c r="E103" t="str">
        <f t="shared" si="39"/>
        <v>PW001</v>
      </c>
      <c r="F103" t="str">
        <f>INDEX(Katalog!$B$4:$B$13,MATCH('Main Data'!E103,Katalog!$C$4:$C$13,0))</f>
        <v>Dress</v>
      </c>
      <c r="G103" t="str">
        <f>VLOOKUP(E103,Katalog!$A$15:$B$25,2,0)</f>
        <v>Pakaian Wanita</v>
      </c>
      <c r="H103" t="str">
        <f t="shared" si="40"/>
        <v>1</v>
      </c>
      <c r="I103" t="str">
        <f t="shared" si="41"/>
        <v>3</v>
      </c>
      <c r="J103" s="18">
        <f>VLOOKUP(E103,Katalog!$C$3:$F$13,2,0)</f>
        <v>150000</v>
      </c>
      <c r="K103" s="18">
        <f>VLOOKUP(E103,Katalog!$C$3:$F$13,3,0)</f>
        <v>55000</v>
      </c>
      <c r="L103" t="str">
        <f t="shared" si="42"/>
        <v>PW002</v>
      </c>
      <c r="M103" t="str">
        <f>IFERROR(INDEX(Katalog!$B$4:$B$13,MATCH('Main Data'!L103,Katalog!$C$4:$C$13,0)), "-")</f>
        <v>Blouse</v>
      </c>
      <c r="N103" t="str">
        <f>IFERROR(VLOOKUP(L103,Katalog!$A$15:$B$25,2,0),"-")</f>
        <v>Pakaian Wanita</v>
      </c>
      <c r="O103" t="str">
        <f t="shared" si="43"/>
        <v>1</v>
      </c>
      <c r="P103" t="str">
        <f t="shared" si="44"/>
        <v>3</v>
      </c>
      <c r="Q103" s="18">
        <f>IFERROR(VLOOKUP(L103,Katalog!$C$3:$F$13,2,0),0)</f>
        <v>125000</v>
      </c>
      <c r="R103" s="18">
        <f>IFERROR(VLOOKUP(L103,Katalog!$C$3:$F$13,3,0),0)</f>
        <v>50000</v>
      </c>
      <c r="S103" t="str">
        <f t="shared" si="45"/>
        <v>PU001</v>
      </c>
      <c r="T103" t="str">
        <f>IFERROR(INDEX(Katalog!$B$4:$B$13,MATCH('Main Data'!S103,Katalog!$C$4:$C$13,0)),"-")</f>
        <v>Jaket Hoodie</v>
      </c>
      <c r="U103" t="str">
        <f>IFERROR(VLOOKUP(S103,Katalog!$A$15:$B$25,2,0),"-")</f>
        <v>Pakaian Unisex</v>
      </c>
      <c r="V103" t="str">
        <f t="shared" si="46"/>
        <v>3</v>
      </c>
      <c r="W103" s="28" t="str">
        <f t="shared" si="47"/>
        <v>3</v>
      </c>
      <c r="X103" s="18">
        <f>IFERROR(VLOOKUP(S103,Katalog!$C$3:$F$13,2,0),0)</f>
        <v>160000</v>
      </c>
      <c r="Y103" s="30">
        <f>IFERROR(VLOOKUP(S103,Katalog!$C$3:$F$13,3,0),0)</f>
        <v>60000</v>
      </c>
      <c r="Z103" s="2">
        <f t="shared" si="48"/>
        <v>5</v>
      </c>
      <c r="AA103" s="4">
        <f t="shared" si="49"/>
        <v>755000</v>
      </c>
      <c r="AB103" s="4">
        <f t="shared" si="50"/>
        <v>285000</v>
      </c>
      <c r="AC103" s="4" t="s">
        <v>12</v>
      </c>
      <c r="AD103" s="16">
        <f>IFERROR(VLOOKUP(AC103,'Kode Diskon'!$C$2:$D$9,2,0),0)</f>
        <v>0.15</v>
      </c>
      <c r="AE103" s="31">
        <f t="shared" si="51"/>
        <v>113250</v>
      </c>
      <c r="AF103" s="31">
        <f t="shared" si="52"/>
        <v>641750</v>
      </c>
      <c r="AG103" s="31">
        <f t="shared" si="53"/>
        <v>470000</v>
      </c>
      <c r="AH103" s="31">
        <f t="shared" si="54"/>
        <v>356750</v>
      </c>
      <c r="AI103" s="4" t="s">
        <v>28</v>
      </c>
      <c r="AJ103" s="4" t="s">
        <v>6</v>
      </c>
      <c r="AK103" s="4" t="str">
        <f>IFERROR(VLOOKUP(AJ103,'Guide '!$A$13:$B$16,2,0),"-")</f>
        <v>SP</v>
      </c>
      <c r="AL103" s="4" t="s">
        <v>922</v>
      </c>
      <c r="AM103" s="40">
        <v>45331</v>
      </c>
      <c r="AN103">
        <f t="shared" si="55"/>
        <v>29</v>
      </c>
      <c r="AO103">
        <f t="shared" si="56"/>
        <v>32</v>
      </c>
      <c r="AP103">
        <f t="shared" si="57"/>
        <v>40</v>
      </c>
      <c r="AQ103">
        <f t="shared" si="58"/>
        <v>43</v>
      </c>
      <c r="AR103" s="26">
        <f t="shared" si="59"/>
        <v>56</v>
      </c>
      <c r="AS103" s="26">
        <f t="shared" si="60"/>
        <v>63</v>
      </c>
      <c r="AT103" s="21">
        <f t="shared" si="61"/>
        <v>12</v>
      </c>
      <c r="AU103" s="21">
        <f t="shared" si="62"/>
        <v>19</v>
      </c>
      <c r="AV103">
        <f t="shared" si="63"/>
        <v>73</v>
      </c>
      <c r="AW103">
        <f t="shared" si="64"/>
        <v>76</v>
      </c>
      <c r="AX103">
        <f t="shared" si="65"/>
        <v>84</v>
      </c>
      <c r="AY103">
        <f t="shared" si="66"/>
        <v>87</v>
      </c>
      <c r="AZ103">
        <f t="shared" si="67"/>
        <v>100</v>
      </c>
      <c r="BA103">
        <f t="shared" si="68"/>
        <v>107</v>
      </c>
      <c r="BB103">
        <f t="shared" si="69"/>
        <v>117</v>
      </c>
      <c r="BC103">
        <f t="shared" si="70"/>
        <v>120</v>
      </c>
      <c r="BD103" s="29">
        <f t="shared" si="71"/>
        <v>128</v>
      </c>
      <c r="BE103" s="29">
        <f t="shared" si="72"/>
        <v>131</v>
      </c>
    </row>
    <row r="104" spans="1:57" ht="15" x14ac:dyDescent="0.2">
      <c r="A104" s="2">
        <v>449</v>
      </c>
      <c r="B104" s="2" t="str">
        <f t="shared" si="37"/>
        <v>0449</v>
      </c>
      <c r="C104" t="str">
        <f t="shared" si="38"/>
        <v>ORD-SP-0449-10/02/24</v>
      </c>
      <c r="D104" s="3" t="s">
        <v>488</v>
      </c>
      <c r="E104" t="str">
        <f t="shared" si="39"/>
        <v>PW003</v>
      </c>
      <c r="F104" t="str">
        <f>INDEX(Katalog!$B$4:$B$13,MATCH('Main Data'!E104,Katalog!$C$4:$C$13,0))</f>
        <v>Kaftan</v>
      </c>
      <c r="G104" t="str">
        <f>VLOOKUP(E104,Katalog!$A$15:$B$25,2,0)</f>
        <v>Pakaian Wanita</v>
      </c>
      <c r="H104" t="str">
        <f t="shared" si="40"/>
        <v>5</v>
      </c>
      <c r="I104" t="str">
        <f t="shared" si="41"/>
        <v>3</v>
      </c>
      <c r="J104" s="18">
        <f>VLOOKUP(E104,Katalog!$C$3:$F$13,2,0)</f>
        <v>200000</v>
      </c>
      <c r="K104" s="18">
        <f>VLOOKUP(E104,Katalog!$C$3:$F$13,3,0)</f>
        <v>100000</v>
      </c>
      <c r="L104" t="str">
        <f t="shared" si="42"/>
        <v>PW003</v>
      </c>
      <c r="M104" t="str">
        <f>IFERROR(INDEX(Katalog!$B$4:$B$13,MATCH('Main Data'!L104,Katalog!$C$4:$C$13,0)), "-")</f>
        <v>Kaftan</v>
      </c>
      <c r="N104" t="str">
        <f>IFERROR(VLOOKUP(L104,Katalog!$A$15:$B$25,2,0),"-")</f>
        <v>Pakaian Wanita</v>
      </c>
      <c r="O104" t="str">
        <f t="shared" si="43"/>
        <v>1</v>
      </c>
      <c r="P104" t="str">
        <f t="shared" si="44"/>
        <v>3</v>
      </c>
      <c r="Q104" s="18">
        <f>IFERROR(VLOOKUP(L104,Katalog!$C$3:$F$13,2,0),0)</f>
        <v>200000</v>
      </c>
      <c r="R104" s="18">
        <f>IFERROR(VLOOKUP(L104,Katalog!$C$3:$F$13,3,0),0)</f>
        <v>100000</v>
      </c>
      <c r="S104" t="str">
        <f t="shared" si="45"/>
        <v>SP001</v>
      </c>
      <c r="T104" t="str">
        <f>IFERROR(INDEX(Katalog!$B$4:$B$13,MATCH('Main Data'!S104,Katalog!$C$4:$C$13,0)),"-")</f>
        <v>Sneakers</v>
      </c>
      <c r="U104" t="str">
        <f>IFERROR(VLOOKUP(S104,Katalog!$A$15:$B$25,2,0),"-")</f>
        <v>Sepatu Pria</v>
      </c>
      <c r="V104" t="str">
        <f t="shared" si="46"/>
        <v>1</v>
      </c>
      <c r="W104" s="28" t="str">
        <f t="shared" si="47"/>
        <v>4</v>
      </c>
      <c r="X104" s="18">
        <f>IFERROR(VLOOKUP(S104,Katalog!$C$3:$F$13,2,0),0)</f>
        <v>300000</v>
      </c>
      <c r="Y104" s="30">
        <f>IFERROR(VLOOKUP(S104,Katalog!$C$3:$F$13,3,0),0)</f>
        <v>100000</v>
      </c>
      <c r="Z104" s="2">
        <f t="shared" si="48"/>
        <v>7</v>
      </c>
      <c r="AA104" s="4">
        <f t="shared" si="49"/>
        <v>1500000</v>
      </c>
      <c r="AB104" s="4">
        <f t="shared" si="50"/>
        <v>700000</v>
      </c>
      <c r="AC104" s="4" t="s">
        <v>7</v>
      </c>
      <c r="AD104" s="16">
        <f>IFERROR(VLOOKUP(AC104,'Kode Diskon'!$C$2:$D$9,2,0),0)</f>
        <v>0.2</v>
      </c>
      <c r="AE104" s="31">
        <f t="shared" si="51"/>
        <v>300000</v>
      </c>
      <c r="AF104" s="31">
        <f t="shared" si="52"/>
        <v>1200000</v>
      </c>
      <c r="AG104" s="31">
        <f t="shared" si="53"/>
        <v>800000</v>
      </c>
      <c r="AH104" s="31">
        <f t="shared" si="54"/>
        <v>500000</v>
      </c>
      <c r="AI104" s="4" t="s">
        <v>8</v>
      </c>
      <c r="AJ104" s="4" t="s">
        <v>6</v>
      </c>
      <c r="AK104" s="4" t="str">
        <f>IFERROR(VLOOKUP(AJ104,'Guide '!$A$13:$B$16,2,0),"-")</f>
        <v>SP</v>
      </c>
      <c r="AL104" s="4" t="s">
        <v>921</v>
      </c>
      <c r="AM104" s="40">
        <v>45332</v>
      </c>
      <c r="AN104">
        <f t="shared" si="55"/>
        <v>29</v>
      </c>
      <c r="AO104">
        <f t="shared" si="56"/>
        <v>32</v>
      </c>
      <c r="AP104">
        <f t="shared" si="57"/>
        <v>40</v>
      </c>
      <c r="AQ104">
        <f t="shared" si="58"/>
        <v>43</v>
      </c>
      <c r="AR104" s="26">
        <f t="shared" si="59"/>
        <v>56</v>
      </c>
      <c r="AS104" s="26">
        <f t="shared" si="60"/>
        <v>63</v>
      </c>
      <c r="AT104" s="21">
        <f t="shared" si="61"/>
        <v>12</v>
      </c>
      <c r="AU104" s="21">
        <f t="shared" si="62"/>
        <v>19</v>
      </c>
      <c r="AV104">
        <f t="shared" si="63"/>
        <v>73</v>
      </c>
      <c r="AW104">
        <f t="shared" si="64"/>
        <v>76</v>
      </c>
      <c r="AX104">
        <f t="shared" si="65"/>
        <v>84</v>
      </c>
      <c r="AY104">
        <f t="shared" si="66"/>
        <v>87</v>
      </c>
      <c r="AZ104">
        <f t="shared" si="67"/>
        <v>100</v>
      </c>
      <c r="BA104">
        <f t="shared" si="68"/>
        <v>107</v>
      </c>
      <c r="BB104">
        <f t="shared" si="69"/>
        <v>117</v>
      </c>
      <c r="BC104">
        <f t="shared" si="70"/>
        <v>120</v>
      </c>
      <c r="BD104" s="29">
        <f t="shared" si="71"/>
        <v>128</v>
      </c>
      <c r="BE104" s="29">
        <f t="shared" si="72"/>
        <v>131</v>
      </c>
    </row>
    <row r="105" spans="1:57" ht="15" x14ac:dyDescent="0.2">
      <c r="A105" s="2">
        <v>710</v>
      </c>
      <c r="B105" s="2" t="str">
        <f t="shared" si="37"/>
        <v>0710</v>
      </c>
      <c r="C105" t="str">
        <f t="shared" si="38"/>
        <v>ORD-SP-0710-10/02/24</v>
      </c>
      <c r="D105" s="3" t="s">
        <v>359</v>
      </c>
      <c r="E105" t="str">
        <f t="shared" si="39"/>
        <v>PP003</v>
      </c>
      <c r="F105" t="str">
        <f>INDEX(Katalog!$B$4:$B$13,MATCH('Main Data'!E105,Katalog!$C$4:$C$13,0))</f>
        <v>Jaket Jeans</v>
      </c>
      <c r="G105" t="str">
        <f>VLOOKUP(E105,Katalog!$A$15:$B$25,2,0)</f>
        <v>Pakaian Pria</v>
      </c>
      <c r="H105" t="str">
        <f t="shared" si="40"/>
        <v>2</v>
      </c>
      <c r="I105" t="str">
        <f t="shared" si="41"/>
        <v>4</v>
      </c>
      <c r="J105" s="18">
        <f>VLOOKUP(E105,Katalog!$C$3:$F$13,2,0)</f>
        <v>150000</v>
      </c>
      <c r="K105" s="18">
        <f>VLOOKUP(E105,Katalog!$C$3:$F$13,3,0)</f>
        <v>70000</v>
      </c>
      <c r="L105" t="str">
        <f t="shared" si="42"/>
        <v>-</v>
      </c>
      <c r="M105" t="str">
        <f>IFERROR(INDEX(Katalog!$B$4:$B$13,MATCH('Main Data'!L105,Katalog!$C$4:$C$13,0)), "-")</f>
        <v>-</v>
      </c>
      <c r="N105" t="str">
        <f>IFERROR(VLOOKUP(L105,Katalog!$A$15:$B$25,2,0),"-")</f>
        <v>-</v>
      </c>
      <c r="O105">
        <f t="shared" si="43"/>
        <v>0</v>
      </c>
      <c r="P105" t="str">
        <f t="shared" si="44"/>
        <v>-</v>
      </c>
      <c r="Q105" s="18">
        <f>IFERROR(VLOOKUP(L105,Katalog!$C$3:$F$13,2,0),0)</f>
        <v>0</v>
      </c>
      <c r="R105" s="18">
        <f>IFERROR(VLOOKUP(L105,Katalog!$C$3:$F$13,3,0),0)</f>
        <v>0</v>
      </c>
      <c r="S105" t="str">
        <f t="shared" si="45"/>
        <v>-</v>
      </c>
      <c r="T105" t="str">
        <f>IFERROR(INDEX(Katalog!$B$4:$B$13,MATCH('Main Data'!S105,Katalog!$C$4:$C$13,0)),"-")</f>
        <v>-</v>
      </c>
      <c r="U105" t="str">
        <f>IFERROR(VLOOKUP(S105,Katalog!$A$15:$B$25,2,0),"-")</f>
        <v>-</v>
      </c>
      <c r="V105">
        <f t="shared" si="46"/>
        <v>0</v>
      </c>
      <c r="W105" s="28" t="str">
        <f t="shared" si="47"/>
        <v>-</v>
      </c>
      <c r="X105" s="18">
        <f>IFERROR(VLOOKUP(S105,Katalog!$C$3:$F$13,2,0),0)</f>
        <v>0</v>
      </c>
      <c r="Y105" s="30">
        <f>IFERROR(VLOOKUP(S105,Katalog!$C$3:$F$13,3,0),0)</f>
        <v>0</v>
      </c>
      <c r="Z105" s="2">
        <f t="shared" si="48"/>
        <v>2</v>
      </c>
      <c r="AA105" s="4">
        <f t="shared" si="49"/>
        <v>300000</v>
      </c>
      <c r="AB105" s="4">
        <f t="shared" si="50"/>
        <v>140000</v>
      </c>
      <c r="AC105" s="4" t="s">
        <v>7</v>
      </c>
      <c r="AD105" s="16">
        <f>IFERROR(VLOOKUP(AC105,'Kode Diskon'!$C$2:$D$9,2,0),0)</f>
        <v>0.2</v>
      </c>
      <c r="AE105" s="31">
        <f t="shared" si="51"/>
        <v>60000</v>
      </c>
      <c r="AF105" s="31">
        <f t="shared" si="52"/>
        <v>240000</v>
      </c>
      <c r="AG105" s="31">
        <f t="shared" si="53"/>
        <v>160000</v>
      </c>
      <c r="AH105" s="31">
        <f t="shared" si="54"/>
        <v>100000</v>
      </c>
      <c r="AI105" s="4" t="s">
        <v>8</v>
      </c>
      <c r="AJ105" s="4" t="s">
        <v>6</v>
      </c>
      <c r="AK105" s="4" t="str">
        <f>IFERROR(VLOOKUP(AJ105,'Guide '!$A$13:$B$16,2,0),"-")</f>
        <v>SP</v>
      </c>
      <c r="AL105" s="4" t="s">
        <v>925</v>
      </c>
      <c r="AM105" s="40">
        <v>45332</v>
      </c>
      <c r="AN105">
        <f t="shared" si="55"/>
        <v>29</v>
      </c>
      <c r="AO105">
        <f t="shared" si="56"/>
        <v>32</v>
      </c>
      <c r="AP105">
        <f t="shared" si="57"/>
        <v>40</v>
      </c>
      <c r="AQ105">
        <f t="shared" si="58"/>
        <v>43</v>
      </c>
      <c r="AR105" s="26" t="str">
        <f t="shared" si="59"/>
        <v>-</v>
      </c>
      <c r="AS105" s="26" t="str">
        <f t="shared" si="60"/>
        <v>-</v>
      </c>
      <c r="AT105" s="21">
        <f t="shared" si="61"/>
        <v>12</v>
      </c>
      <c r="AU105" s="21">
        <f t="shared" si="62"/>
        <v>19</v>
      </c>
      <c r="AV105" t="str">
        <f t="shared" si="63"/>
        <v>-</v>
      </c>
      <c r="AW105" t="str">
        <f t="shared" si="64"/>
        <v>-</v>
      </c>
      <c r="AX105" t="str">
        <f t="shared" si="65"/>
        <v>-</v>
      </c>
      <c r="AY105" t="str">
        <f t="shared" si="66"/>
        <v>-</v>
      </c>
      <c r="AZ105" t="str">
        <f t="shared" si="67"/>
        <v>-</v>
      </c>
      <c r="BA105" t="str">
        <f t="shared" si="68"/>
        <v>-</v>
      </c>
      <c r="BB105" t="str">
        <f t="shared" si="69"/>
        <v>-</v>
      </c>
      <c r="BC105" t="str">
        <f t="shared" si="70"/>
        <v>-</v>
      </c>
      <c r="BD105" s="29" t="str">
        <f t="shared" si="71"/>
        <v>-</v>
      </c>
      <c r="BE105" s="29" t="str">
        <f t="shared" si="72"/>
        <v>-</v>
      </c>
    </row>
    <row r="106" spans="1:57" ht="15" x14ac:dyDescent="0.2">
      <c r="A106" s="2">
        <v>235</v>
      </c>
      <c r="B106" s="2" t="str">
        <f t="shared" si="37"/>
        <v>0235</v>
      </c>
      <c r="C106" t="str">
        <f t="shared" si="38"/>
        <v>ORD-TK-0235-11/02/24</v>
      </c>
      <c r="D106" s="3" t="s">
        <v>301</v>
      </c>
      <c r="E106" t="str">
        <f t="shared" si="39"/>
        <v>SP001</v>
      </c>
      <c r="F106" t="str">
        <f>INDEX(Katalog!$B$4:$B$13,MATCH('Main Data'!E106,Katalog!$C$4:$C$13,0))</f>
        <v>Sneakers</v>
      </c>
      <c r="G106" t="str">
        <f>VLOOKUP(E106,Katalog!$A$15:$B$25,2,0)</f>
        <v>Sepatu Pria</v>
      </c>
      <c r="H106" t="str">
        <f t="shared" si="40"/>
        <v>3</v>
      </c>
      <c r="I106" t="str">
        <f t="shared" si="41"/>
        <v>4</v>
      </c>
      <c r="J106" s="18">
        <f>VLOOKUP(E106,Katalog!$C$3:$F$13,2,0)</f>
        <v>300000</v>
      </c>
      <c r="K106" s="18">
        <f>VLOOKUP(E106,Katalog!$C$3:$F$13,3,0)</f>
        <v>100000</v>
      </c>
      <c r="L106" t="str">
        <f t="shared" si="42"/>
        <v>PW001</v>
      </c>
      <c r="M106" t="str">
        <f>IFERROR(INDEX(Katalog!$B$4:$B$13,MATCH('Main Data'!L106,Katalog!$C$4:$C$13,0)), "-")</f>
        <v>Dress</v>
      </c>
      <c r="N106" t="str">
        <f>IFERROR(VLOOKUP(L106,Katalog!$A$15:$B$25,2,0),"-")</f>
        <v>Pakaian Wanita</v>
      </c>
      <c r="O106" t="str">
        <f t="shared" si="43"/>
        <v>1</v>
      </c>
      <c r="P106" t="str">
        <f t="shared" si="44"/>
        <v>1</v>
      </c>
      <c r="Q106" s="18">
        <f>IFERROR(VLOOKUP(L106,Katalog!$C$3:$F$13,2,0),0)</f>
        <v>150000</v>
      </c>
      <c r="R106" s="18">
        <f>IFERROR(VLOOKUP(L106,Katalog!$C$3:$F$13,3,0),0)</f>
        <v>55000</v>
      </c>
      <c r="S106" t="str">
        <f t="shared" si="45"/>
        <v>PP001</v>
      </c>
      <c r="T106" t="str">
        <f>IFERROR(INDEX(Katalog!$B$4:$B$13,MATCH('Main Data'!S106,Katalog!$C$4:$C$13,0)),"-")</f>
        <v>Kaos Polo</v>
      </c>
      <c r="U106" t="str">
        <f>IFERROR(VLOOKUP(S106,Katalog!$A$15:$B$25,2,0),"-")</f>
        <v>Pakaian Pria</v>
      </c>
      <c r="V106" t="str">
        <f t="shared" si="46"/>
        <v>1</v>
      </c>
      <c r="W106" s="28" t="str">
        <f t="shared" si="47"/>
        <v>5</v>
      </c>
      <c r="X106" s="18">
        <f>IFERROR(VLOOKUP(S106,Katalog!$C$3:$F$13,2,0),0)</f>
        <v>80000</v>
      </c>
      <c r="Y106" s="30">
        <f>IFERROR(VLOOKUP(S106,Katalog!$C$3:$F$13,3,0),0)</f>
        <v>30000</v>
      </c>
      <c r="Z106" s="2">
        <f t="shared" si="48"/>
        <v>5</v>
      </c>
      <c r="AA106" s="4">
        <f t="shared" si="49"/>
        <v>1130000</v>
      </c>
      <c r="AB106" s="4">
        <f t="shared" si="50"/>
        <v>385000</v>
      </c>
      <c r="AC106" s="4" t="s">
        <v>30</v>
      </c>
      <c r="AD106" s="16">
        <f>IFERROR(VLOOKUP(AC106,'Kode Diskon'!$C$2:$D$9,2,0),0)</f>
        <v>0.1</v>
      </c>
      <c r="AE106" s="31">
        <f t="shared" si="51"/>
        <v>113000</v>
      </c>
      <c r="AF106" s="31">
        <f t="shared" si="52"/>
        <v>1017000</v>
      </c>
      <c r="AG106" s="31">
        <f t="shared" si="53"/>
        <v>745000</v>
      </c>
      <c r="AH106" s="31">
        <f t="shared" si="54"/>
        <v>632000</v>
      </c>
      <c r="AI106" s="4" t="s">
        <v>8</v>
      </c>
      <c r="AJ106" s="4" t="s">
        <v>9</v>
      </c>
      <c r="AK106" s="4" t="str">
        <f>IFERROR(VLOOKUP(AJ106,'Guide '!$A$13:$B$16,2,0),"-")</f>
        <v>TK</v>
      </c>
      <c r="AL106" s="4" t="s">
        <v>1006</v>
      </c>
      <c r="AM106" s="40">
        <v>45333</v>
      </c>
      <c r="AN106">
        <f t="shared" si="55"/>
        <v>29</v>
      </c>
      <c r="AO106">
        <f t="shared" si="56"/>
        <v>32</v>
      </c>
      <c r="AP106">
        <f t="shared" si="57"/>
        <v>40</v>
      </c>
      <c r="AQ106">
        <f t="shared" si="58"/>
        <v>43</v>
      </c>
      <c r="AR106" s="26">
        <f t="shared" si="59"/>
        <v>56</v>
      </c>
      <c r="AS106" s="26">
        <f t="shared" si="60"/>
        <v>63</v>
      </c>
      <c r="AT106" s="21">
        <f t="shared" si="61"/>
        <v>12</v>
      </c>
      <c r="AU106" s="21">
        <f t="shared" si="62"/>
        <v>19</v>
      </c>
      <c r="AV106">
        <f t="shared" si="63"/>
        <v>73</v>
      </c>
      <c r="AW106">
        <f t="shared" si="64"/>
        <v>76</v>
      </c>
      <c r="AX106">
        <f t="shared" si="65"/>
        <v>84</v>
      </c>
      <c r="AY106">
        <f t="shared" si="66"/>
        <v>87</v>
      </c>
      <c r="AZ106">
        <f t="shared" si="67"/>
        <v>100</v>
      </c>
      <c r="BA106">
        <f t="shared" si="68"/>
        <v>107</v>
      </c>
      <c r="BB106">
        <f t="shared" si="69"/>
        <v>117</v>
      </c>
      <c r="BC106">
        <f t="shared" si="70"/>
        <v>120</v>
      </c>
      <c r="BD106" s="29">
        <f t="shared" si="71"/>
        <v>128</v>
      </c>
      <c r="BE106" s="29">
        <f t="shared" si="72"/>
        <v>131</v>
      </c>
    </row>
    <row r="107" spans="1:57" ht="15" x14ac:dyDescent="0.2">
      <c r="A107" s="2">
        <v>397</v>
      </c>
      <c r="B107" s="2" t="str">
        <f t="shared" si="37"/>
        <v>0397</v>
      </c>
      <c r="C107" t="str">
        <f t="shared" si="38"/>
        <v>ORD-SP-0397-11/02/24</v>
      </c>
      <c r="D107" s="3" t="s">
        <v>446</v>
      </c>
      <c r="E107" t="str">
        <f t="shared" si="39"/>
        <v>SP002</v>
      </c>
      <c r="F107" t="str">
        <f>INDEX(Katalog!$B$4:$B$13,MATCH('Main Data'!E107,Katalog!$C$4:$C$13,0))</f>
        <v>Sandal Slip On</v>
      </c>
      <c r="G107" t="str">
        <f>VLOOKUP(E107,Katalog!$A$15:$B$25,2,0)</f>
        <v>Sepatu Pria</v>
      </c>
      <c r="H107" t="str">
        <f t="shared" si="40"/>
        <v>3</v>
      </c>
      <c r="I107" t="str">
        <f t="shared" si="41"/>
        <v>2</v>
      </c>
      <c r="J107" s="18">
        <f>VLOOKUP(E107,Katalog!$C$3:$F$13,2,0)</f>
        <v>120000</v>
      </c>
      <c r="K107" s="18">
        <f>VLOOKUP(E107,Katalog!$C$3:$F$13,3,0)</f>
        <v>60000</v>
      </c>
      <c r="L107" t="str">
        <f t="shared" si="42"/>
        <v>PP003</v>
      </c>
      <c r="M107" t="str">
        <f>IFERROR(INDEX(Katalog!$B$4:$B$13,MATCH('Main Data'!L107,Katalog!$C$4:$C$13,0)), "-")</f>
        <v>Jaket Jeans</v>
      </c>
      <c r="N107" t="str">
        <f>IFERROR(VLOOKUP(L107,Katalog!$A$15:$B$25,2,0),"-")</f>
        <v>Pakaian Pria</v>
      </c>
      <c r="O107" t="str">
        <f t="shared" si="43"/>
        <v>3</v>
      </c>
      <c r="P107" t="str">
        <f t="shared" si="44"/>
        <v>3</v>
      </c>
      <c r="Q107" s="18">
        <f>IFERROR(VLOOKUP(L107,Katalog!$C$3:$F$13,2,0),0)</f>
        <v>150000</v>
      </c>
      <c r="R107" s="18">
        <f>IFERROR(VLOOKUP(L107,Katalog!$C$3:$F$13,3,0),0)</f>
        <v>70000</v>
      </c>
      <c r="S107" t="str">
        <f t="shared" si="45"/>
        <v>-</v>
      </c>
      <c r="T107" t="str">
        <f>IFERROR(INDEX(Katalog!$B$4:$B$13,MATCH('Main Data'!S107,Katalog!$C$4:$C$13,0)),"-")</f>
        <v>-</v>
      </c>
      <c r="U107" t="str">
        <f>IFERROR(VLOOKUP(S107,Katalog!$A$15:$B$25,2,0),"-")</f>
        <v>-</v>
      </c>
      <c r="V107">
        <f t="shared" si="46"/>
        <v>0</v>
      </c>
      <c r="W107" s="28" t="str">
        <f t="shared" si="47"/>
        <v>-</v>
      </c>
      <c r="X107" s="18">
        <f>IFERROR(VLOOKUP(S107,Katalog!$C$3:$F$13,2,0),0)</f>
        <v>0</v>
      </c>
      <c r="Y107" s="30">
        <f>IFERROR(VLOOKUP(S107,Katalog!$C$3:$F$13,3,0),0)</f>
        <v>0</v>
      </c>
      <c r="Z107" s="2">
        <f t="shared" si="48"/>
        <v>6</v>
      </c>
      <c r="AA107" s="4">
        <f t="shared" si="49"/>
        <v>810000</v>
      </c>
      <c r="AB107" s="4">
        <f t="shared" si="50"/>
        <v>390000</v>
      </c>
      <c r="AC107" s="4" t="s">
        <v>12</v>
      </c>
      <c r="AD107" s="16">
        <f>IFERROR(VLOOKUP(AC107,'Kode Diskon'!$C$2:$D$9,2,0),0)</f>
        <v>0.15</v>
      </c>
      <c r="AE107" s="31">
        <f t="shared" si="51"/>
        <v>121500</v>
      </c>
      <c r="AF107" s="31">
        <f t="shared" si="52"/>
        <v>688500</v>
      </c>
      <c r="AG107" s="31">
        <f t="shared" si="53"/>
        <v>420000</v>
      </c>
      <c r="AH107" s="31">
        <f t="shared" si="54"/>
        <v>298500</v>
      </c>
      <c r="AI107" s="4" t="s">
        <v>28</v>
      </c>
      <c r="AJ107" s="4" t="s">
        <v>6</v>
      </c>
      <c r="AK107" s="4" t="str">
        <f>IFERROR(VLOOKUP(AJ107,'Guide '!$A$13:$B$16,2,0),"-")</f>
        <v>SP</v>
      </c>
      <c r="AL107" s="4" t="s">
        <v>1006</v>
      </c>
      <c r="AM107" s="40">
        <v>45333</v>
      </c>
      <c r="AN107">
        <f t="shared" si="55"/>
        <v>29</v>
      </c>
      <c r="AO107">
        <f t="shared" si="56"/>
        <v>32</v>
      </c>
      <c r="AP107">
        <f t="shared" si="57"/>
        <v>40</v>
      </c>
      <c r="AQ107">
        <f t="shared" si="58"/>
        <v>43</v>
      </c>
      <c r="AR107" s="26">
        <f t="shared" si="59"/>
        <v>56</v>
      </c>
      <c r="AS107" s="26">
        <f t="shared" si="60"/>
        <v>63</v>
      </c>
      <c r="AT107" s="21">
        <f t="shared" si="61"/>
        <v>12</v>
      </c>
      <c r="AU107" s="21">
        <f t="shared" si="62"/>
        <v>19</v>
      </c>
      <c r="AV107">
        <f t="shared" si="63"/>
        <v>73</v>
      </c>
      <c r="AW107">
        <f t="shared" si="64"/>
        <v>76</v>
      </c>
      <c r="AX107">
        <f t="shared" si="65"/>
        <v>84</v>
      </c>
      <c r="AY107">
        <f t="shared" si="66"/>
        <v>87</v>
      </c>
      <c r="AZ107" t="str">
        <f t="shared" si="67"/>
        <v>-</v>
      </c>
      <c r="BA107" t="str">
        <f t="shared" si="68"/>
        <v>-</v>
      </c>
      <c r="BB107" t="str">
        <f t="shared" si="69"/>
        <v>-</v>
      </c>
      <c r="BC107" t="str">
        <f t="shared" si="70"/>
        <v>-</v>
      </c>
      <c r="BD107" s="29" t="str">
        <f t="shared" si="71"/>
        <v>-</v>
      </c>
      <c r="BE107" s="29" t="str">
        <f t="shared" si="72"/>
        <v>-</v>
      </c>
    </row>
    <row r="108" spans="1:57" ht="15" x14ac:dyDescent="0.2">
      <c r="A108" s="2">
        <v>773</v>
      </c>
      <c r="B108" s="2" t="str">
        <f t="shared" si="37"/>
        <v>0773</v>
      </c>
      <c r="C108" t="str">
        <f t="shared" si="38"/>
        <v>ORD-SP-0773-12/02/24</v>
      </c>
      <c r="D108" s="3" t="s">
        <v>749</v>
      </c>
      <c r="E108" t="str">
        <f t="shared" si="39"/>
        <v>PP003</v>
      </c>
      <c r="F108" t="str">
        <f>INDEX(Katalog!$B$4:$B$13,MATCH('Main Data'!E108,Katalog!$C$4:$C$13,0))</f>
        <v>Jaket Jeans</v>
      </c>
      <c r="G108" t="str">
        <f>VLOOKUP(E108,Katalog!$A$15:$B$25,2,0)</f>
        <v>Pakaian Pria</v>
      </c>
      <c r="H108" t="str">
        <f t="shared" si="40"/>
        <v>5</v>
      </c>
      <c r="I108" t="str">
        <f t="shared" si="41"/>
        <v>2</v>
      </c>
      <c r="J108" s="18">
        <f>VLOOKUP(E108,Katalog!$C$3:$F$13,2,0)</f>
        <v>150000</v>
      </c>
      <c r="K108" s="18">
        <f>VLOOKUP(E108,Katalog!$C$3:$F$13,3,0)</f>
        <v>70000</v>
      </c>
      <c r="L108" t="str">
        <f t="shared" si="42"/>
        <v>SW001</v>
      </c>
      <c r="M108" t="str">
        <f>IFERROR(INDEX(Katalog!$B$4:$B$13,MATCH('Main Data'!L108,Katalog!$C$4:$C$13,0)), "-")</f>
        <v>Flat Shoes</v>
      </c>
      <c r="N108" t="str">
        <f>IFERROR(VLOOKUP(L108,Katalog!$A$15:$B$25,2,0),"-")</f>
        <v>Sepatu Wanita</v>
      </c>
      <c r="O108" t="str">
        <f t="shared" si="43"/>
        <v>2</v>
      </c>
      <c r="P108" t="str">
        <f t="shared" si="44"/>
        <v>2</v>
      </c>
      <c r="Q108" s="18">
        <f>IFERROR(VLOOKUP(L108,Katalog!$C$3:$F$13,2,0),0)</f>
        <v>150000</v>
      </c>
      <c r="R108" s="18">
        <f>IFERROR(VLOOKUP(L108,Katalog!$C$3:$F$13,3,0),0)</f>
        <v>70000</v>
      </c>
      <c r="S108" t="str">
        <f t="shared" si="45"/>
        <v>-</v>
      </c>
      <c r="T108" t="str">
        <f>IFERROR(INDEX(Katalog!$B$4:$B$13,MATCH('Main Data'!S108,Katalog!$C$4:$C$13,0)),"-")</f>
        <v>-</v>
      </c>
      <c r="U108" t="str">
        <f>IFERROR(VLOOKUP(S108,Katalog!$A$15:$B$25,2,0),"-")</f>
        <v>-</v>
      </c>
      <c r="V108">
        <f t="shared" si="46"/>
        <v>0</v>
      </c>
      <c r="W108" s="28" t="str">
        <f t="shared" si="47"/>
        <v>-</v>
      </c>
      <c r="X108" s="18">
        <f>IFERROR(VLOOKUP(S108,Katalog!$C$3:$F$13,2,0),0)</f>
        <v>0</v>
      </c>
      <c r="Y108" s="30">
        <f>IFERROR(VLOOKUP(S108,Katalog!$C$3:$F$13,3,0),0)</f>
        <v>0</v>
      </c>
      <c r="Z108" s="2">
        <f t="shared" si="48"/>
        <v>7</v>
      </c>
      <c r="AA108" s="4">
        <f t="shared" si="49"/>
        <v>1050000</v>
      </c>
      <c r="AB108" s="4">
        <f t="shared" si="50"/>
        <v>490000</v>
      </c>
      <c r="AC108" s="4" t="s">
        <v>7</v>
      </c>
      <c r="AD108" s="16">
        <f>IFERROR(VLOOKUP(AC108,'Kode Diskon'!$C$2:$D$9,2,0),0)</f>
        <v>0.2</v>
      </c>
      <c r="AE108" s="31">
        <f t="shared" si="51"/>
        <v>210000</v>
      </c>
      <c r="AF108" s="31">
        <f t="shared" si="52"/>
        <v>840000</v>
      </c>
      <c r="AG108" s="31">
        <f t="shared" si="53"/>
        <v>560000</v>
      </c>
      <c r="AH108" s="31">
        <f t="shared" si="54"/>
        <v>350000</v>
      </c>
      <c r="AI108" s="4" t="s">
        <v>8</v>
      </c>
      <c r="AJ108" s="4" t="s">
        <v>6</v>
      </c>
      <c r="AK108" s="4" t="str">
        <f>IFERROR(VLOOKUP(AJ108,'Guide '!$A$13:$B$16,2,0),"-")</f>
        <v>SP</v>
      </c>
      <c r="AL108" s="4" t="s">
        <v>925</v>
      </c>
      <c r="AM108" s="40">
        <v>45334</v>
      </c>
      <c r="AN108">
        <f t="shared" si="55"/>
        <v>29</v>
      </c>
      <c r="AO108">
        <f t="shared" si="56"/>
        <v>32</v>
      </c>
      <c r="AP108">
        <f t="shared" si="57"/>
        <v>40</v>
      </c>
      <c r="AQ108">
        <f t="shared" si="58"/>
        <v>43</v>
      </c>
      <c r="AR108" s="26">
        <f t="shared" si="59"/>
        <v>56</v>
      </c>
      <c r="AS108" s="26">
        <f t="shared" si="60"/>
        <v>63</v>
      </c>
      <c r="AT108" s="21">
        <f t="shared" si="61"/>
        <v>12</v>
      </c>
      <c r="AU108" s="21">
        <f t="shared" si="62"/>
        <v>19</v>
      </c>
      <c r="AV108">
        <f t="shared" si="63"/>
        <v>73</v>
      </c>
      <c r="AW108">
        <f t="shared" si="64"/>
        <v>76</v>
      </c>
      <c r="AX108">
        <f t="shared" si="65"/>
        <v>84</v>
      </c>
      <c r="AY108">
        <f t="shared" si="66"/>
        <v>87</v>
      </c>
      <c r="AZ108" t="str">
        <f t="shared" si="67"/>
        <v>-</v>
      </c>
      <c r="BA108" t="str">
        <f t="shared" si="68"/>
        <v>-</v>
      </c>
      <c r="BB108" t="str">
        <f t="shared" si="69"/>
        <v>-</v>
      </c>
      <c r="BC108" t="str">
        <f t="shared" si="70"/>
        <v>-</v>
      </c>
      <c r="BD108" s="29" t="str">
        <f t="shared" si="71"/>
        <v>-</v>
      </c>
      <c r="BE108" s="29" t="str">
        <f t="shared" si="72"/>
        <v>-</v>
      </c>
    </row>
    <row r="109" spans="1:57" ht="15" x14ac:dyDescent="0.2">
      <c r="A109" s="2">
        <v>801</v>
      </c>
      <c r="B109" s="2" t="str">
        <f t="shared" si="37"/>
        <v>0801</v>
      </c>
      <c r="C109" t="str">
        <f t="shared" si="38"/>
        <v>ORD-TK-0801-12/02/24</v>
      </c>
      <c r="D109" s="3" t="s">
        <v>768</v>
      </c>
      <c r="E109" t="str">
        <f t="shared" si="39"/>
        <v>SW001</v>
      </c>
      <c r="F109" t="str">
        <f>INDEX(Katalog!$B$4:$B$13,MATCH('Main Data'!E109,Katalog!$C$4:$C$13,0))</f>
        <v>Flat Shoes</v>
      </c>
      <c r="G109" t="str">
        <f>VLOOKUP(E109,Katalog!$A$15:$B$25,2,0)</f>
        <v>Sepatu Wanita</v>
      </c>
      <c r="H109" t="str">
        <f t="shared" si="40"/>
        <v>1</v>
      </c>
      <c r="I109" t="str">
        <f t="shared" si="41"/>
        <v>3</v>
      </c>
      <c r="J109" s="18">
        <f>VLOOKUP(E109,Katalog!$C$3:$F$13,2,0)</f>
        <v>150000</v>
      </c>
      <c r="K109" s="18">
        <f>VLOOKUP(E109,Katalog!$C$3:$F$13,3,0)</f>
        <v>70000</v>
      </c>
      <c r="L109" t="str">
        <f t="shared" si="42"/>
        <v>PP003</v>
      </c>
      <c r="M109" t="str">
        <f>IFERROR(INDEX(Katalog!$B$4:$B$13,MATCH('Main Data'!L109,Katalog!$C$4:$C$13,0)), "-")</f>
        <v>Jaket Jeans</v>
      </c>
      <c r="N109" t="str">
        <f>IFERROR(VLOOKUP(L109,Katalog!$A$15:$B$25,2,0),"-")</f>
        <v>Pakaian Pria</v>
      </c>
      <c r="O109" t="str">
        <f t="shared" si="43"/>
        <v>1</v>
      </c>
      <c r="P109" t="str">
        <f t="shared" si="44"/>
        <v>3</v>
      </c>
      <c r="Q109" s="18">
        <f>IFERROR(VLOOKUP(L109,Katalog!$C$3:$F$13,2,0),0)</f>
        <v>150000</v>
      </c>
      <c r="R109" s="18">
        <f>IFERROR(VLOOKUP(L109,Katalog!$C$3:$F$13,3,0),0)</f>
        <v>70000</v>
      </c>
      <c r="S109" t="str">
        <f t="shared" si="45"/>
        <v>PW002</v>
      </c>
      <c r="T109" t="str">
        <f>IFERROR(INDEX(Katalog!$B$4:$B$13,MATCH('Main Data'!S109,Katalog!$C$4:$C$13,0)),"-")</f>
        <v>Blouse</v>
      </c>
      <c r="U109" t="str">
        <f>IFERROR(VLOOKUP(S109,Katalog!$A$15:$B$25,2,0),"-")</f>
        <v>Pakaian Wanita</v>
      </c>
      <c r="V109" t="str">
        <f t="shared" si="46"/>
        <v>2</v>
      </c>
      <c r="W109" s="28" t="str">
        <f t="shared" si="47"/>
        <v>2</v>
      </c>
      <c r="X109" s="18">
        <f>IFERROR(VLOOKUP(S109,Katalog!$C$3:$F$13,2,0),0)</f>
        <v>125000</v>
      </c>
      <c r="Y109" s="30">
        <f>IFERROR(VLOOKUP(S109,Katalog!$C$3:$F$13,3,0),0)</f>
        <v>50000</v>
      </c>
      <c r="Z109" s="2">
        <f t="shared" si="48"/>
        <v>4</v>
      </c>
      <c r="AA109" s="4">
        <f t="shared" si="49"/>
        <v>550000</v>
      </c>
      <c r="AB109" s="4">
        <f t="shared" si="50"/>
        <v>240000</v>
      </c>
      <c r="AC109" s="4" t="s">
        <v>30</v>
      </c>
      <c r="AD109" s="16">
        <f>IFERROR(VLOOKUP(AC109,'Kode Diskon'!$C$2:$D$9,2,0),0)</f>
        <v>0.1</v>
      </c>
      <c r="AE109" s="31">
        <f t="shared" si="51"/>
        <v>55000</v>
      </c>
      <c r="AF109" s="31">
        <f t="shared" si="52"/>
        <v>495000</v>
      </c>
      <c r="AG109" s="31">
        <f t="shared" si="53"/>
        <v>310000</v>
      </c>
      <c r="AH109" s="31">
        <f t="shared" si="54"/>
        <v>255000</v>
      </c>
      <c r="AI109" s="4" t="s">
        <v>8</v>
      </c>
      <c r="AJ109" s="4" t="s">
        <v>9</v>
      </c>
      <c r="AK109" s="4" t="str">
        <f>IFERROR(VLOOKUP(AJ109,'Guide '!$A$13:$B$16,2,0),"-")</f>
        <v>TK</v>
      </c>
      <c r="AL109" s="4" t="s">
        <v>1006</v>
      </c>
      <c r="AM109" s="40">
        <v>45334</v>
      </c>
      <c r="AN109">
        <f t="shared" si="55"/>
        <v>29</v>
      </c>
      <c r="AO109">
        <f t="shared" si="56"/>
        <v>32</v>
      </c>
      <c r="AP109">
        <f t="shared" si="57"/>
        <v>40</v>
      </c>
      <c r="AQ109">
        <f t="shared" si="58"/>
        <v>43</v>
      </c>
      <c r="AR109" s="26">
        <f t="shared" si="59"/>
        <v>56</v>
      </c>
      <c r="AS109" s="26">
        <f t="shared" si="60"/>
        <v>63</v>
      </c>
      <c r="AT109" s="21">
        <f t="shared" si="61"/>
        <v>12</v>
      </c>
      <c r="AU109" s="21">
        <f t="shared" si="62"/>
        <v>19</v>
      </c>
      <c r="AV109">
        <f t="shared" si="63"/>
        <v>73</v>
      </c>
      <c r="AW109">
        <f t="shared" si="64"/>
        <v>76</v>
      </c>
      <c r="AX109">
        <f t="shared" si="65"/>
        <v>84</v>
      </c>
      <c r="AY109">
        <f t="shared" si="66"/>
        <v>87</v>
      </c>
      <c r="AZ109">
        <f t="shared" si="67"/>
        <v>100</v>
      </c>
      <c r="BA109">
        <f t="shared" si="68"/>
        <v>107</v>
      </c>
      <c r="BB109">
        <f t="shared" si="69"/>
        <v>117</v>
      </c>
      <c r="BC109">
        <f t="shared" si="70"/>
        <v>120</v>
      </c>
      <c r="BD109" s="29">
        <f t="shared" si="71"/>
        <v>128</v>
      </c>
      <c r="BE109" s="29">
        <f t="shared" si="72"/>
        <v>131</v>
      </c>
    </row>
    <row r="110" spans="1:57" ht="15" x14ac:dyDescent="0.2">
      <c r="A110" s="2">
        <v>877</v>
      </c>
      <c r="B110" s="2" t="str">
        <f t="shared" si="37"/>
        <v>0877</v>
      </c>
      <c r="C110" t="str">
        <f t="shared" si="38"/>
        <v>ORD-SP-0877-12/02/24</v>
      </c>
      <c r="D110" s="3" t="s">
        <v>94</v>
      </c>
      <c r="E110" t="str">
        <f t="shared" si="39"/>
        <v>PP002</v>
      </c>
      <c r="F110" t="str">
        <f>INDEX(Katalog!$B$4:$B$13,MATCH('Main Data'!E110,Katalog!$C$4:$C$13,0))</f>
        <v>Celana Pendek</v>
      </c>
      <c r="G110" t="str">
        <f>VLOOKUP(E110,Katalog!$A$15:$B$25,2,0)</f>
        <v>Pakaian Pria</v>
      </c>
      <c r="H110" t="str">
        <f t="shared" si="40"/>
        <v>1</v>
      </c>
      <c r="I110" t="str">
        <f t="shared" si="41"/>
        <v>1</v>
      </c>
      <c r="J110" s="18">
        <f>VLOOKUP(E110,Katalog!$C$3:$F$13,2,0)</f>
        <v>60000</v>
      </c>
      <c r="K110" s="18">
        <f>VLOOKUP(E110,Katalog!$C$3:$F$13,3,0)</f>
        <v>25000</v>
      </c>
      <c r="L110" t="str">
        <f t="shared" si="42"/>
        <v>-</v>
      </c>
      <c r="M110" t="str">
        <f>IFERROR(INDEX(Katalog!$B$4:$B$13,MATCH('Main Data'!L110,Katalog!$C$4:$C$13,0)), "-")</f>
        <v>-</v>
      </c>
      <c r="N110" t="str">
        <f>IFERROR(VLOOKUP(L110,Katalog!$A$15:$B$25,2,0),"-")</f>
        <v>-</v>
      </c>
      <c r="O110">
        <f t="shared" si="43"/>
        <v>0</v>
      </c>
      <c r="P110" t="str">
        <f t="shared" si="44"/>
        <v>-</v>
      </c>
      <c r="Q110" s="18">
        <f>IFERROR(VLOOKUP(L110,Katalog!$C$3:$F$13,2,0),0)</f>
        <v>0</v>
      </c>
      <c r="R110" s="18">
        <f>IFERROR(VLOOKUP(L110,Katalog!$C$3:$F$13,3,0),0)</f>
        <v>0</v>
      </c>
      <c r="S110" t="str">
        <f t="shared" si="45"/>
        <v>-</v>
      </c>
      <c r="T110" t="str">
        <f>IFERROR(INDEX(Katalog!$B$4:$B$13,MATCH('Main Data'!S110,Katalog!$C$4:$C$13,0)),"-")</f>
        <v>-</v>
      </c>
      <c r="U110" t="str">
        <f>IFERROR(VLOOKUP(S110,Katalog!$A$15:$B$25,2,0),"-")</f>
        <v>-</v>
      </c>
      <c r="V110">
        <f t="shared" si="46"/>
        <v>0</v>
      </c>
      <c r="W110" s="28" t="str">
        <f t="shared" si="47"/>
        <v>-</v>
      </c>
      <c r="X110" s="18">
        <f>IFERROR(VLOOKUP(S110,Katalog!$C$3:$F$13,2,0),0)</f>
        <v>0</v>
      </c>
      <c r="Y110" s="30">
        <f>IFERROR(VLOOKUP(S110,Katalog!$C$3:$F$13,3,0),0)</f>
        <v>0</v>
      </c>
      <c r="Z110" s="2">
        <f t="shared" si="48"/>
        <v>1</v>
      </c>
      <c r="AA110" s="4">
        <f t="shared" si="49"/>
        <v>60000</v>
      </c>
      <c r="AB110" s="4">
        <f t="shared" si="50"/>
        <v>25000</v>
      </c>
      <c r="AC110" s="4" t="s">
        <v>10</v>
      </c>
      <c r="AD110" s="16">
        <f>IFERROR(VLOOKUP(AC110,'Kode Diskon'!$C$2:$D$9,2,0),0)</f>
        <v>0</v>
      </c>
      <c r="AE110" s="31">
        <f t="shared" si="51"/>
        <v>0</v>
      </c>
      <c r="AF110" s="31">
        <f t="shared" si="52"/>
        <v>60000</v>
      </c>
      <c r="AG110" s="31">
        <f t="shared" si="53"/>
        <v>35000</v>
      </c>
      <c r="AH110" s="31">
        <f t="shared" si="54"/>
        <v>35000</v>
      </c>
      <c r="AI110" s="4" t="s">
        <v>10</v>
      </c>
      <c r="AJ110" s="4" t="s">
        <v>6</v>
      </c>
      <c r="AK110" s="4" t="str">
        <f>IFERROR(VLOOKUP(AJ110,'Guide '!$A$13:$B$16,2,0),"-")</f>
        <v>SP</v>
      </c>
      <c r="AL110" s="4" t="s">
        <v>925</v>
      </c>
      <c r="AM110" s="40">
        <v>45334</v>
      </c>
      <c r="AN110">
        <f t="shared" si="55"/>
        <v>29</v>
      </c>
      <c r="AO110">
        <f t="shared" si="56"/>
        <v>32</v>
      </c>
      <c r="AP110">
        <f t="shared" si="57"/>
        <v>40</v>
      </c>
      <c r="AQ110">
        <f t="shared" si="58"/>
        <v>43</v>
      </c>
      <c r="AR110" s="26" t="str">
        <f t="shared" si="59"/>
        <v>-</v>
      </c>
      <c r="AS110" s="26" t="str">
        <f t="shared" si="60"/>
        <v>-</v>
      </c>
      <c r="AT110" s="21">
        <f t="shared" si="61"/>
        <v>12</v>
      </c>
      <c r="AU110" s="21">
        <f t="shared" si="62"/>
        <v>19</v>
      </c>
      <c r="AV110" t="str">
        <f t="shared" si="63"/>
        <v>-</v>
      </c>
      <c r="AW110" t="str">
        <f t="shared" si="64"/>
        <v>-</v>
      </c>
      <c r="AX110" t="str">
        <f t="shared" si="65"/>
        <v>-</v>
      </c>
      <c r="AY110" t="str">
        <f t="shared" si="66"/>
        <v>-</v>
      </c>
      <c r="AZ110" t="str">
        <f t="shared" si="67"/>
        <v>-</v>
      </c>
      <c r="BA110" t="str">
        <f t="shared" si="68"/>
        <v>-</v>
      </c>
      <c r="BB110" t="str">
        <f t="shared" si="69"/>
        <v>-</v>
      </c>
      <c r="BC110" t="str">
        <f t="shared" si="70"/>
        <v>-</v>
      </c>
      <c r="BD110" s="29" t="str">
        <f t="shared" si="71"/>
        <v>-</v>
      </c>
      <c r="BE110" s="29" t="str">
        <f t="shared" si="72"/>
        <v>-</v>
      </c>
    </row>
    <row r="111" spans="1:57" ht="15" x14ac:dyDescent="0.2">
      <c r="A111" s="2">
        <v>939</v>
      </c>
      <c r="B111" s="2" t="str">
        <f t="shared" si="37"/>
        <v>0939</v>
      </c>
      <c r="C111" t="str">
        <f t="shared" si="38"/>
        <v>ORD-BL-0939-12/02/24</v>
      </c>
      <c r="D111" s="3" t="s">
        <v>871</v>
      </c>
      <c r="E111" t="str">
        <f t="shared" si="39"/>
        <v>PP001</v>
      </c>
      <c r="F111" t="str">
        <f>INDEX(Katalog!$B$4:$B$13,MATCH('Main Data'!E111,Katalog!$C$4:$C$13,0))</f>
        <v>Kaos Polo</v>
      </c>
      <c r="G111" t="str">
        <f>VLOOKUP(E111,Katalog!$A$15:$B$25,2,0)</f>
        <v>Pakaian Pria</v>
      </c>
      <c r="H111" t="str">
        <f t="shared" si="40"/>
        <v>2</v>
      </c>
      <c r="I111" t="str">
        <f t="shared" si="41"/>
        <v>4</v>
      </c>
      <c r="J111" s="18">
        <f>VLOOKUP(E111,Katalog!$C$3:$F$13,2,0)</f>
        <v>80000</v>
      </c>
      <c r="K111" s="18">
        <f>VLOOKUP(E111,Katalog!$C$3:$F$13,3,0)</f>
        <v>30000</v>
      </c>
      <c r="L111" t="str">
        <f t="shared" si="42"/>
        <v>SP001</v>
      </c>
      <c r="M111" t="str">
        <f>IFERROR(INDEX(Katalog!$B$4:$B$13,MATCH('Main Data'!L111,Katalog!$C$4:$C$13,0)), "-")</f>
        <v>Sneakers</v>
      </c>
      <c r="N111" t="str">
        <f>IFERROR(VLOOKUP(L111,Katalog!$A$15:$B$25,2,0),"-")</f>
        <v>Sepatu Pria</v>
      </c>
      <c r="O111" t="str">
        <f t="shared" si="43"/>
        <v>1</v>
      </c>
      <c r="P111" t="str">
        <f t="shared" si="44"/>
        <v>2</v>
      </c>
      <c r="Q111" s="18">
        <f>IFERROR(VLOOKUP(L111,Katalog!$C$3:$F$13,2,0),0)</f>
        <v>300000</v>
      </c>
      <c r="R111" s="18">
        <f>IFERROR(VLOOKUP(L111,Katalog!$C$3:$F$13,3,0),0)</f>
        <v>100000</v>
      </c>
      <c r="S111" t="str">
        <f t="shared" si="45"/>
        <v>-</v>
      </c>
      <c r="T111" t="str">
        <f>IFERROR(INDEX(Katalog!$B$4:$B$13,MATCH('Main Data'!S111,Katalog!$C$4:$C$13,0)),"-")</f>
        <v>-</v>
      </c>
      <c r="U111" t="str">
        <f>IFERROR(VLOOKUP(S111,Katalog!$A$15:$B$25,2,0),"-")</f>
        <v>-</v>
      </c>
      <c r="V111">
        <f t="shared" si="46"/>
        <v>0</v>
      </c>
      <c r="W111" s="28" t="str">
        <f t="shared" si="47"/>
        <v>-</v>
      </c>
      <c r="X111" s="18">
        <f>IFERROR(VLOOKUP(S111,Katalog!$C$3:$F$13,2,0),0)</f>
        <v>0</v>
      </c>
      <c r="Y111" s="30">
        <f>IFERROR(VLOOKUP(S111,Katalog!$C$3:$F$13,3,0),0)</f>
        <v>0</v>
      </c>
      <c r="Z111" s="2">
        <f t="shared" si="48"/>
        <v>3</v>
      </c>
      <c r="AA111" s="4">
        <f t="shared" si="49"/>
        <v>460000</v>
      </c>
      <c r="AB111" s="4">
        <f t="shared" si="50"/>
        <v>160000</v>
      </c>
      <c r="AC111" s="4" t="s">
        <v>10</v>
      </c>
      <c r="AD111" s="16">
        <f>IFERROR(VLOOKUP(AC111,'Kode Diskon'!$C$2:$D$9,2,0),0)</f>
        <v>0</v>
      </c>
      <c r="AE111" s="31">
        <f t="shared" si="51"/>
        <v>0</v>
      </c>
      <c r="AF111" s="31">
        <f t="shared" si="52"/>
        <v>460000</v>
      </c>
      <c r="AG111" s="31">
        <f t="shared" si="53"/>
        <v>300000</v>
      </c>
      <c r="AH111" s="31">
        <f t="shared" si="54"/>
        <v>300000</v>
      </c>
      <c r="AI111" s="4" t="s">
        <v>10</v>
      </c>
      <c r="AJ111" s="4" t="s">
        <v>11</v>
      </c>
      <c r="AK111" s="4" t="str">
        <f>IFERROR(VLOOKUP(AJ111,'Guide '!$A$13:$B$16,2,0),"-")</f>
        <v>BL</v>
      </c>
      <c r="AL111" s="4" t="s">
        <v>1006</v>
      </c>
      <c r="AM111" s="40">
        <v>45334</v>
      </c>
      <c r="AN111">
        <f t="shared" si="55"/>
        <v>29</v>
      </c>
      <c r="AO111">
        <f t="shared" si="56"/>
        <v>32</v>
      </c>
      <c r="AP111">
        <f t="shared" si="57"/>
        <v>40</v>
      </c>
      <c r="AQ111">
        <f t="shared" si="58"/>
        <v>43</v>
      </c>
      <c r="AR111" s="26">
        <f t="shared" si="59"/>
        <v>56</v>
      </c>
      <c r="AS111" s="26">
        <f t="shared" si="60"/>
        <v>63</v>
      </c>
      <c r="AT111" s="21">
        <f t="shared" si="61"/>
        <v>12</v>
      </c>
      <c r="AU111" s="21">
        <f t="shared" si="62"/>
        <v>19</v>
      </c>
      <c r="AV111">
        <f t="shared" si="63"/>
        <v>73</v>
      </c>
      <c r="AW111">
        <f t="shared" si="64"/>
        <v>76</v>
      </c>
      <c r="AX111">
        <f t="shared" si="65"/>
        <v>84</v>
      </c>
      <c r="AY111">
        <f t="shared" si="66"/>
        <v>87</v>
      </c>
      <c r="AZ111" t="str">
        <f t="shared" si="67"/>
        <v>-</v>
      </c>
      <c r="BA111" t="str">
        <f t="shared" si="68"/>
        <v>-</v>
      </c>
      <c r="BB111" t="str">
        <f t="shared" si="69"/>
        <v>-</v>
      </c>
      <c r="BC111" t="str">
        <f t="shared" si="70"/>
        <v>-</v>
      </c>
      <c r="BD111" s="29" t="str">
        <f t="shared" si="71"/>
        <v>-</v>
      </c>
      <c r="BE111" s="29" t="str">
        <f t="shared" si="72"/>
        <v>-</v>
      </c>
    </row>
    <row r="112" spans="1:57" ht="15" x14ac:dyDescent="0.2">
      <c r="A112" s="2">
        <v>265</v>
      </c>
      <c r="B112" s="2" t="str">
        <f t="shared" si="37"/>
        <v>0265</v>
      </c>
      <c r="C112" t="str">
        <f t="shared" si="38"/>
        <v>ORD-BL-0265-13/02/24</v>
      </c>
      <c r="D112" s="3" t="s">
        <v>308</v>
      </c>
      <c r="E112" t="str">
        <f t="shared" si="39"/>
        <v>PP001</v>
      </c>
      <c r="F112" t="str">
        <f>INDEX(Katalog!$B$4:$B$13,MATCH('Main Data'!E112,Katalog!$C$4:$C$13,0))</f>
        <v>Kaos Polo</v>
      </c>
      <c r="G112" t="str">
        <f>VLOOKUP(E112,Katalog!$A$15:$B$25,2,0)</f>
        <v>Pakaian Pria</v>
      </c>
      <c r="H112" t="str">
        <f t="shared" si="40"/>
        <v>3</v>
      </c>
      <c r="I112" t="str">
        <f t="shared" si="41"/>
        <v>5</v>
      </c>
      <c r="J112" s="18">
        <f>VLOOKUP(E112,Katalog!$C$3:$F$13,2,0)</f>
        <v>80000</v>
      </c>
      <c r="K112" s="18">
        <f>VLOOKUP(E112,Katalog!$C$3:$F$13,3,0)</f>
        <v>30000</v>
      </c>
      <c r="L112" t="str">
        <f t="shared" si="42"/>
        <v>-</v>
      </c>
      <c r="M112" t="str">
        <f>IFERROR(INDEX(Katalog!$B$4:$B$13,MATCH('Main Data'!L112,Katalog!$C$4:$C$13,0)), "-")</f>
        <v>-</v>
      </c>
      <c r="N112" t="str">
        <f>IFERROR(VLOOKUP(L112,Katalog!$A$15:$B$25,2,0),"-")</f>
        <v>-</v>
      </c>
      <c r="O112">
        <f t="shared" si="43"/>
        <v>0</v>
      </c>
      <c r="P112" t="str">
        <f t="shared" si="44"/>
        <v>-</v>
      </c>
      <c r="Q112" s="18">
        <f>IFERROR(VLOOKUP(L112,Katalog!$C$3:$F$13,2,0),0)</f>
        <v>0</v>
      </c>
      <c r="R112" s="18">
        <f>IFERROR(VLOOKUP(L112,Katalog!$C$3:$F$13,3,0),0)</f>
        <v>0</v>
      </c>
      <c r="S112" t="str">
        <f t="shared" si="45"/>
        <v>-</v>
      </c>
      <c r="T112" t="str">
        <f>IFERROR(INDEX(Katalog!$B$4:$B$13,MATCH('Main Data'!S112,Katalog!$C$4:$C$13,0)),"-")</f>
        <v>-</v>
      </c>
      <c r="U112" t="str">
        <f>IFERROR(VLOOKUP(S112,Katalog!$A$15:$B$25,2,0),"-")</f>
        <v>-</v>
      </c>
      <c r="V112">
        <f t="shared" si="46"/>
        <v>0</v>
      </c>
      <c r="W112" s="28" t="str">
        <f t="shared" si="47"/>
        <v>-</v>
      </c>
      <c r="X112" s="18">
        <f>IFERROR(VLOOKUP(S112,Katalog!$C$3:$F$13,2,0),0)</f>
        <v>0</v>
      </c>
      <c r="Y112" s="30">
        <f>IFERROR(VLOOKUP(S112,Katalog!$C$3:$F$13,3,0),0)</f>
        <v>0</v>
      </c>
      <c r="Z112" s="2">
        <f t="shared" si="48"/>
        <v>3</v>
      </c>
      <c r="AA112" s="4">
        <f t="shared" si="49"/>
        <v>240000</v>
      </c>
      <c r="AB112" s="4">
        <f t="shared" si="50"/>
        <v>90000</v>
      </c>
      <c r="AC112" s="4" t="s">
        <v>31</v>
      </c>
      <c r="AD112" s="16">
        <f>IFERROR(VLOOKUP(AC112,'Kode Diskon'!$C$2:$D$9,2,0),0)</f>
        <v>0.15</v>
      </c>
      <c r="AE112" s="31">
        <f t="shared" si="51"/>
        <v>36000</v>
      </c>
      <c r="AF112" s="31">
        <f t="shared" si="52"/>
        <v>204000</v>
      </c>
      <c r="AG112" s="31">
        <f t="shared" si="53"/>
        <v>150000</v>
      </c>
      <c r="AH112" s="31">
        <f t="shared" si="54"/>
        <v>114000</v>
      </c>
      <c r="AI112" s="4" t="s">
        <v>8</v>
      </c>
      <c r="AJ112" s="4" t="s">
        <v>11</v>
      </c>
      <c r="AK112" s="4" t="str">
        <f>IFERROR(VLOOKUP(AJ112,'Guide '!$A$13:$B$16,2,0),"-")</f>
        <v>BL</v>
      </c>
      <c r="AL112" s="4" t="s">
        <v>925</v>
      </c>
      <c r="AM112" s="40">
        <v>45335</v>
      </c>
      <c r="AN112">
        <f t="shared" si="55"/>
        <v>29</v>
      </c>
      <c r="AO112">
        <f t="shared" si="56"/>
        <v>32</v>
      </c>
      <c r="AP112">
        <f t="shared" si="57"/>
        <v>40</v>
      </c>
      <c r="AQ112">
        <f t="shared" si="58"/>
        <v>43</v>
      </c>
      <c r="AR112" s="26" t="str">
        <f t="shared" si="59"/>
        <v>-</v>
      </c>
      <c r="AS112" s="26" t="str">
        <f t="shared" si="60"/>
        <v>-</v>
      </c>
      <c r="AT112" s="21">
        <f t="shared" si="61"/>
        <v>12</v>
      </c>
      <c r="AU112" s="21">
        <f t="shared" si="62"/>
        <v>19</v>
      </c>
      <c r="AV112" t="str">
        <f t="shared" si="63"/>
        <v>-</v>
      </c>
      <c r="AW112" t="str">
        <f t="shared" si="64"/>
        <v>-</v>
      </c>
      <c r="AX112" t="str">
        <f t="shared" si="65"/>
        <v>-</v>
      </c>
      <c r="AY112" t="str">
        <f t="shared" si="66"/>
        <v>-</v>
      </c>
      <c r="AZ112" t="str">
        <f t="shared" si="67"/>
        <v>-</v>
      </c>
      <c r="BA112" t="str">
        <f t="shared" si="68"/>
        <v>-</v>
      </c>
      <c r="BB112" t="str">
        <f t="shared" si="69"/>
        <v>-</v>
      </c>
      <c r="BC112" t="str">
        <f t="shared" si="70"/>
        <v>-</v>
      </c>
      <c r="BD112" s="29" t="str">
        <f t="shared" si="71"/>
        <v>-</v>
      </c>
      <c r="BE112" s="29" t="str">
        <f t="shared" si="72"/>
        <v>-</v>
      </c>
    </row>
    <row r="113" spans="1:57" ht="15" x14ac:dyDescent="0.2">
      <c r="A113" s="2">
        <v>382</v>
      </c>
      <c r="B113" s="2" t="str">
        <f t="shared" si="37"/>
        <v>0382</v>
      </c>
      <c r="C113" t="str">
        <f t="shared" si="38"/>
        <v>ORD-TK-0382-13/02/24</v>
      </c>
      <c r="D113" s="3" t="s">
        <v>431</v>
      </c>
      <c r="E113" t="str">
        <f t="shared" si="39"/>
        <v>SP001</v>
      </c>
      <c r="F113" t="str">
        <f>INDEX(Katalog!$B$4:$B$13,MATCH('Main Data'!E113,Katalog!$C$4:$C$13,0))</f>
        <v>Sneakers</v>
      </c>
      <c r="G113" t="str">
        <f>VLOOKUP(E113,Katalog!$A$15:$B$25,2,0)</f>
        <v>Sepatu Pria</v>
      </c>
      <c r="H113" t="str">
        <f t="shared" si="40"/>
        <v>4</v>
      </c>
      <c r="I113" t="str">
        <f t="shared" si="41"/>
        <v>2</v>
      </c>
      <c r="J113" s="18">
        <f>VLOOKUP(E113,Katalog!$C$3:$F$13,2,0)</f>
        <v>300000</v>
      </c>
      <c r="K113" s="18">
        <f>VLOOKUP(E113,Katalog!$C$3:$F$13,3,0)</f>
        <v>100000</v>
      </c>
      <c r="L113" t="str">
        <f t="shared" si="42"/>
        <v>PP003</v>
      </c>
      <c r="M113" t="str">
        <f>IFERROR(INDEX(Katalog!$B$4:$B$13,MATCH('Main Data'!L113,Katalog!$C$4:$C$13,0)), "-")</f>
        <v>Jaket Jeans</v>
      </c>
      <c r="N113" t="str">
        <f>IFERROR(VLOOKUP(L113,Katalog!$A$15:$B$25,2,0),"-")</f>
        <v>Pakaian Pria</v>
      </c>
      <c r="O113" t="str">
        <f t="shared" si="43"/>
        <v>2</v>
      </c>
      <c r="P113" t="str">
        <f t="shared" si="44"/>
        <v>5</v>
      </c>
      <c r="Q113" s="18">
        <f>IFERROR(VLOOKUP(L113,Katalog!$C$3:$F$13,2,0),0)</f>
        <v>150000</v>
      </c>
      <c r="R113" s="18">
        <f>IFERROR(VLOOKUP(L113,Katalog!$C$3:$F$13,3,0),0)</f>
        <v>70000</v>
      </c>
      <c r="S113" t="str">
        <f t="shared" si="45"/>
        <v>-</v>
      </c>
      <c r="T113" t="str">
        <f>IFERROR(INDEX(Katalog!$B$4:$B$13,MATCH('Main Data'!S113,Katalog!$C$4:$C$13,0)),"-")</f>
        <v>-</v>
      </c>
      <c r="U113" t="str">
        <f>IFERROR(VLOOKUP(S113,Katalog!$A$15:$B$25,2,0),"-")</f>
        <v>-</v>
      </c>
      <c r="V113">
        <f t="shared" si="46"/>
        <v>0</v>
      </c>
      <c r="W113" s="28" t="str">
        <f t="shared" si="47"/>
        <v>-</v>
      </c>
      <c r="X113" s="18">
        <f>IFERROR(VLOOKUP(S113,Katalog!$C$3:$F$13,2,0),0)</f>
        <v>0</v>
      </c>
      <c r="Y113" s="30">
        <f>IFERROR(VLOOKUP(S113,Katalog!$C$3:$F$13,3,0),0)</f>
        <v>0</v>
      </c>
      <c r="Z113" s="2">
        <f t="shared" si="48"/>
        <v>6</v>
      </c>
      <c r="AA113" s="4">
        <f t="shared" si="49"/>
        <v>1500000</v>
      </c>
      <c r="AB113" s="4">
        <f t="shared" si="50"/>
        <v>540000</v>
      </c>
      <c r="AC113" s="4" t="s">
        <v>10</v>
      </c>
      <c r="AD113" s="16">
        <f>IFERROR(VLOOKUP(AC113,'Kode Diskon'!$C$2:$D$9,2,0),0)</f>
        <v>0</v>
      </c>
      <c r="AE113" s="31">
        <f t="shared" si="51"/>
        <v>0</v>
      </c>
      <c r="AF113" s="31">
        <f t="shared" si="52"/>
        <v>1500000</v>
      </c>
      <c r="AG113" s="31">
        <f t="shared" si="53"/>
        <v>960000</v>
      </c>
      <c r="AH113" s="31">
        <f t="shared" si="54"/>
        <v>960000</v>
      </c>
      <c r="AI113" s="4" t="s">
        <v>10</v>
      </c>
      <c r="AJ113" s="4" t="s">
        <v>9</v>
      </c>
      <c r="AK113" s="4" t="str">
        <f>IFERROR(VLOOKUP(AJ113,'Guide '!$A$13:$B$16,2,0),"-")</f>
        <v>TK</v>
      </c>
      <c r="AL113" s="4" t="s">
        <v>925</v>
      </c>
      <c r="AM113" s="40">
        <v>45335</v>
      </c>
      <c r="AN113">
        <f t="shared" si="55"/>
        <v>29</v>
      </c>
      <c r="AO113">
        <f t="shared" si="56"/>
        <v>32</v>
      </c>
      <c r="AP113">
        <f t="shared" si="57"/>
        <v>40</v>
      </c>
      <c r="AQ113">
        <f t="shared" si="58"/>
        <v>43</v>
      </c>
      <c r="AR113" s="26">
        <f t="shared" si="59"/>
        <v>56</v>
      </c>
      <c r="AS113" s="26">
        <f t="shared" si="60"/>
        <v>63</v>
      </c>
      <c r="AT113" s="21">
        <f t="shared" si="61"/>
        <v>12</v>
      </c>
      <c r="AU113" s="21">
        <f t="shared" si="62"/>
        <v>19</v>
      </c>
      <c r="AV113">
        <f t="shared" si="63"/>
        <v>73</v>
      </c>
      <c r="AW113">
        <f t="shared" si="64"/>
        <v>76</v>
      </c>
      <c r="AX113">
        <f t="shared" si="65"/>
        <v>84</v>
      </c>
      <c r="AY113">
        <f t="shared" si="66"/>
        <v>87</v>
      </c>
      <c r="AZ113" t="str">
        <f t="shared" si="67"/>
        <v>-</v>
      </c>
      <c r="BA113" t="str">
        <f t="shared" si="68"/>
        <v>-</v>
      </c>
      <c r="BB113" t="str">
        <f t="shared" si="69"/>
        <v>-</v>
      </c>
      <c r="BC113" t="str">
        <f t="shared" si="70"/>
        <v>-</v>
      </c>
      <c r="BD113" s="29" t="str">
        <f t="shared" si="71"/>
        <v>-</v>
      </c>
      <c r="BE113" s="29" t="str">
        <f t="shared" si="72"/>
        <v>-</v>
      </c>
    </row>
    <row r="114" spans="1:57" ht="15" x14ac:dyDescent="0.2">
      <c r="A114" s="2">
        <v>66</v>
      </c>
      <c r="B114" s="2" t="str">
        <f t="shared" si="37"/>
        <v>0066</v>
      </c>
      <c r="C114" t="str">
        <f t="shared" si="38"/>
        <v>ORD-TK-0066-14/02/24</v>
      </c>
      <c r="D114" s="3" t="s">
        <v>140</v>
      </c>
      <c r="E114" t="str">
        <f t="shared" si="39"/>
        <v>PW002</v>
      </c>
      <c r="F114" t="str">
        <f>INDEX(Katalog!$B$4:$B$13,MATCH('Main Data'!E114,Katalog!$C$4:$C$13,0))</f>
        <v>Blouse</v>
      </c>
      <c r="G114" t="str">
        <f>VLOOKUP(E114,Katalog!$A$15:$B$25,2,0)</f>
        <v>Pakaian Wanita</v>
      </c>
      <c r="H114" t="str">
        <f t="shared" si="40"/>
        <v>1</v>
      </c>
      <c r="I114" t="str">
        <f t="shared" si="41"/>
        <v>2</v>
      </c>
      <c r="J114" s="18">
        <f>VLOOKUP(E114,Katalog!$C$3:$F$13,2,0)</f>
        <v>125000</v>
      </c>
      <c r="K114" s="18">
        <f>VLOOKUP(E114,Katalog!$C$3:$F$13,3,0)</f>
        <v>50000</v>
      </c>
      <c r="L114" t="str">
        <f t="shared" si="42"/>
        <v>SP001</v>
      </c>
      <c r="M114" t="str">
        <f>IFERROR(INDEX(Katalog!$B$4:$B$13,MATCH('Main Data'!L114,Katalog!$C$4:$C$13,0)), "-")</f>
        <v>Sneakers</v>
      </c>
      <c r="N114" t="str">
        <f>IFERROR(VLOOKUP(L114,Katalog!$A$15:$B$25,2,0),"-")</f>
        <v>Sepatu Pria</v>
      </c>
      <c r="O114" t="str">
        <f t="shared" si="43"/>
        <v>2</v>
      </c>
      <c r="P114" t="str">
        <f t="shared" si="44"/>
        <v>1</v>
      </c>
      <c r="Q114" s="18">
        <f>IFERROR(VLOOKUP(L114,Katalog!$C$3:$F$13,2,0),0)</f>
        <v>300000</v>
      </c>
      <c r="R114" s="18">
        <f>IFERROR(VLOOKUP(L114,Katalog!$C$3:$F$13,3,0),0)</f>
        <v>100000</v>
      </c>
      <c r="S114" t="str">
        <f t="shared" si="45"/>
        <v>PP001</v>
      </c>
      <c r="T114" t="str">
        <f>IFERROR(INDEX(Katalog!$B$4:$B$13,MATCH('Main Data'!S114,Katalog!$C$4:$C$13,0)),"-")</f>
        <v>Kaos Polo</v>
      </c>
      <c r="U114" t="str">
        <f>IFERROR(VLOOKUP(S114,Katalog!$A$15:$B$25,2,0),"-")</f>
        <v>Pakaian Pria</v>
      </c>
      <c r="V114" t="str">
        <f t="shared" si="46"/>
        <v>1</v>
      </c>
      <c r="W114" s="28" t="str">
        <f t="shared" si="47"/>
        <v>5</v>
      </c>
      <c r="X114" s="18">
        <f>IFERROR(VLOOKUP(S114,Katalog!$C$3:$F$13,2,0),0)</f>
        <v>80000</v>
      </c>
      <c r="Y114" s="30">
        <f>IFERROR(VLOOKUP(S114,Katalog!$C$3:$F$13,3,0),0)</f>
        <v>30000</v>
      </c>
      <c r="Z114" s="2">
        <f t="shared" si="48"/>
        <v>4</v>
      </c>
      <c r="AA114" s="4">
        <f t="shared" si="49"/>
        <v>805000</v>
      </c>
      <c r="AB114" s="4">
        <f t="shared" si="50"/>
        <v>280000</v>
      </c>
      <c r="AC114" s="4" t="s">
        <v>29</v>
      </c>
      <c r="AD114" s="16">
        <f>IFERROR(VLOOKUP(AC114,'Kode Diskon'!$C$2:$D$9,2,0),0)</f>
        <v>0.1</v>
      </c>
      <c r="AE114" s="31">
        <f t="shared" si="51"/>
        <v>80500</v>
      </c>
      <c r="AF114" s="31">
        <f t="shared" si="52"/>
        <v>724500</v>
      </c>
      <c r="AG114" s="31">
        <f t="shared" si="53"/>
        <v>525000</v>
      </c>
      <c r="AH114" s="31">
        <f t="shared" si="54"/>
        <v>444500</v>
      </c>
      <c r="AI114" s="4" t="s">
        <v>28</v>
      </c>
      <c r="AJ114" s="4" t="s">
        <v>9</v>
      </c>
      <c r="AK114" s="4" t="str">
        <f>IFERROR(VLOOKUP(AJ114,'Guide '!$A$13:$B$16,2,0),"-")</f>
        <v>TK</v>
      </c>
      <c r="AL114" s="4" t="s">
        <v>925</v>
      </c>
      <c r="AM114" s="40">
        <v>45336</v>
      </c>
      <c r="AN114">
        <f t="shared" si="55"/>
        <v>29</v>
      </c>
      <c r="AO114">
        <f t="shared" si="56"/>
        <v>32</v>
      </c>
      <c r="AP114">
        <f t="shared" si="57"/>
        <v>40</v>
      </c>
      <c r="AQ114">
        <f t="shared" si="58"/>
        <v>43</v>
      </c>
      <c r="AR114" s="26">
        <f t="shared" si="59"/>
        <v>56</v>
      </c>
      <c r="AS114" s="26">
        <f t="shared" si="60"/>
        <v>63</v>
      </c>
      <c r="AT114" s="21">
        <f t="shared" si="61"/>
        <v>12</v>
      </c>
      <c r="AU114" s="21">
        <f t="shared" si="62"/>
        <v>19</v>
      </c>
      <c r="AV114">
        <f t="shared" si="63"/>
        <v>73</v>
      </c>
      <c r="AW114">
        <f t="shared" si="64"/>
        <v>76</v>
      </c>
      <c r="AX114">
        <f t="shared" si="65"/>
        <v>84</v>
      </c>
      <c r="AY114">
        <f t="shared" si="66"/>
        <v>87</v>
      </c>
      <c r="AZ114">
        <f t="shared" si="67"/>
        <v>100</v>
      </c>
      <c r="BA114">
        <f t="shared" si="68"/>
        <v>107</v>
      </c>
      <c r="BB114">
        <f t="shared" si="69"/>
        <v>117</v>
      </c>
      <c r="BC114">
        <f t="shared" si="70"/>
        <v>120</v>
      </c>
      <c r="BD114" s="29">
        <f t="shared" si="71"/>
        <v>128</v>
      </c>
      <c r="BE114" s="29">
        <f t="shared" si="72"/>
        <v>131</v>
      </c>
    </row>
    <row r="115" spans="1:57" ht="15" x14ac:dyDescent="0.2">
      <c r="A115" s="2">
        <v>908</v>
      </c>
      <c r="B115" s="2" t="str">
        <f t="shared" si="37"/>
        <v>0908</v>
      </c>
      <c r="C115" t="str">
        <f t="shared" si="38"/>
        <v>ORD-SP-0908-14/02/24</v>
      </c>
      <c r="D115" s="3" t="s">
        <v>845</v>
      </c>
      <c r="E115" t="str">
        <f t="shared" si="39"/>
        <v>PW001</v>
      </c>
      <c r="F115" t="str">
        <f>INDEX(Katalog!$B$4:$B$13,MATCH('Main Data'!E115,Katalog!$C$4:$C$13,0))</f>
        <v>Dress</v>
      </c>
      <c r="G115" t="str">
        <f>VLOOKUP(E115,Katalog!$A$15:$B$25,2,0)</f>
        <v>Pakaian Wanita</v>
      </c>
      <c r="H115" t="str">
        <f t="shared" si="40"/>
        <v>2</v>
      </c>
      <c r="I115" t="str">
        <f t="shared" si="41"/>
        <v>1</v>
      </c>
      <c r="J115" s="18">
        <f>VLOOKUP(E115,Katalog!$C$3:$F$13,2,0)</f>
        <v>150000</v>
      </c>
      <c r="K115" s="18">
        <f>VLOOKUP(E115,Katalog!$C$3:$F$13,3,0)</f>
        <v>55000</v>
      </c>
      <c r="L115" t="str">
        <f t="shared" si="42"/>
        <v>PP001</v>
      </c>
      <c r="M115" t="str">
        <f>IFERROR(INDEX(Katalog!$B$4:$B$13,MATCH('Main Data'!L115,Katalog!$C$4:$C$13,0)), "-")</f>
        <v>Kaos Polo</v>
      </c>
      <c r="N115" t="str">
        <f>IFERROR(VLOOKUP(L115,Katalog!$A$15:$B$25,2,0),"-")</f>
        <v>Pakaian Pria</v>
      </c>
      <c r="O115" t="str">
        <f t="shared" si="43"/>
        <v>1</v>
      </c>
      <c r="P115" t="str">
        <f t="shared" si="44"/>
        <v>1</v>
      </c>
      <c r="Q115" s="18">
        <f>IFERROR(VLOOKUP(L115,Katalog!$C$3:$F$13,2,0),0)</f>
        <v>80000</v>
      </c>
      <c r="R115" s="18">
        <f>IFERROR(VLOOKUP(L115,Katalog!$C$3:$F$13,3,0),0)</f>
        <v>30000</v>
      </c>
      <c r="S115" t="str">
        <f t="shared" si="45"/>
        <v>SP001</v>
      </c>
      <c r="T115" t="str">
        <f>IFERROR(INDEX(Katalog!$B$4:$B$13,MATCH('Main Data'!S115,Katalog!$C$4:$C$13,0)),"-")</f>
        <v>Sneakers</v>
      </c>
      <c r="U115" t="str">
        <f>IFERROR(VLOOKUP(S115,Katalog!$A$15:$B$25,2,0),"-")</f>
        <v>Sepatu Pria</v>
      </c>
      <c r="V115" t="str">
        <f t="shared" si="46"/>
        <v>2</v>
      </c>
      <c r="W115" s="28" t="str">
        <f t="shared" si="47"/>
        <v>1</v>
      </c>
      <c r="X115" s="18">
        <f>IFERROR(VLOOKUP(S115,Katalog!$C$3:$F$13,2,0),0)</f>
        <v>300000</v>
      </c>
      <c r="Y115" s="30">
        <f>IFERROR(VLOOKUP(S115,Katalog!$C$3:$F$13,3,0),0)</f>
        <v>100000</v>
      </c>
      <c r="Z115" s="2">
        <f t="shared" si="48"/>
        <v>5</v>
      </c>
      <c r="AA115" s="4">
        <f t="shared" si="49"/>
        <v>980000</v>
      </c>
      <c r="AB115" s="4">
        <f t="shared" si="50"/>
        <v>340000</v>
      </c>
      <c r="AC115" s="4" t="s">
        <v>10</v>
      </c>
      <c r="AD115" s="16">
        <f>IFERROR(VLOOKUP(AC115,'Kode Diskon'!$C$2:$D$9,2,0),0)</f>
        <v>0</v>
      </c>
      <c r="AE115" s="31">
        <f t="shared" si="51"/>
        <v>0</v>
      </c>
      <c r="AF115" s="31">
        <f t="shared" si="52"/>
        <v>980000</v>
      </c>
      <c r="AG115" s="31">
        <f t="shared" si="53"/>
        <v>640000</v>
      </c>
      <c r="AH115" s="31">
        <f t="shared" si="54"/>
        <v>640000</v>
      </c>
      <c r="AI115" s="4" t="s">
        <v>10</v>
      </c>
      <c r="AJ115" s="4" t="s">
        <v>6</v>
      </c>
      <c r="AK115" s="4" t="str">
        <f>IFERROR(VLOOKUP(AJ115,'Guide '!$A$13:$B$16,2,0),"-")</f>
        <v>SP</v>
      </c>
      <c r="AL115" s="4" t="s">
        <v>925</v>
      </c>
      <c r="AM115" s="40">
        <v>45336</v>
      </c>
      <c r="AN115">
        <f t="shared" si="55"/>
        <v>29</v>
      </c>
      <c r="AO115">
        <f t="shared" si="56"/>
        <v>32</v>
      </c>
      <c r="AP115">
        <f t="shared" si="57"/>
        <v>40</v>
      </c>
      <c r="AQ115">
        <f t="shared" si="58"/>
        <v>43</v>
      </c>
      <c r="AR115" s="26">
        <f t="shared" si="59"/>
        <v>56</v>
      </c>
      <c r="AS115" s="26">
        <f t="shared" si="60"/>
        <v>63</v>
      </c>
      <c r="AT115" s="21">
        <f t="shared" si="61"/>
        <v>12</v>
      </c>
      <c r="AU115" s="21">
        <f t="shared" si="62"/>
        <v>19</v>
      </c>
      <c r="AV115">
        <f t="shared" si="63"/>
        <v>73</v>
      </c>
      <c r="AW115">
        <f t="shared" si="64"/>
        <v>76</v>
      </c>
      <c r="AX115">
        <f t="shared" si="65"/>
        <v>84</v>
      </c>
      <c r="AY115">
        <f t="shared" si="66"/>
        <v>87</v>
      </c>
      <c r="AZ115">
        <f t="shared" si="67"/>
        <v>100</v>
      </c>
      <c r="BA115">
        <f t="shared" si="68"/>
        <v>107</v>
      </c>
      <c r="BB115">
        <f t="shared" si="69"/>
        <v>117</v>
      </c>
      <c r="BC115">
        <f t="shared" si="70"/>
        <v>120</v>
      </c>
      <c r="BD115" s="29">
        <f t="shared" si="71"/>
        <v>128</v>
      </c>
      <c r="BE115" s="29">
        <f t="shared" si="72"/>
        <v>131</v>
      </c>
    </row>
    <row r="116" spans="1:57" ht="15" x14ac:dyDescent="0.2">
      <c r="A116" s="2">
        <v>401</v>
      </c>
      <c r="B116" s="2" t="str">
        <f t="shared" si="37"/>
        <v>0401</v>
      </c>
      <c r="C116" t="str">
        <f t="shared" si="38"/>
        <v>ORD-SP-0401-16/02/24</v>
      </c>
      <c r="D116" s="3" t="s">
        <v>207</v>
      </c>
      <c r="E116" t="str">
        <f t="shared" si="39"/>
        <v>PP003</v>
      </c>
      <c r="F116" t="str">
        <f>INDEX(Katalog!$B$4:$B$13,MATCH('Main Data'!E116,Katalog!$C$4:$C$13,0))</f>
        <v>Jaket Jeans</v>
      </c>
      <c r="G116" t="str">
        <f>VLOOKUP(E116,Katalog!$A$15:$B$25,2,0)</f>
        <v>Pakaian Pria</v>
      </c>
      <c r="H116" t="str">
        <f t="shared" si="40"/>
        <v>1</v>
      </c>
      <c r="I116" t="str">
        <f t="shared" si="41"/>
        <v>2</v>
      </c>
      <c r="J116" s="18">
        <f>VLOOKUP(E116,Katalog!$C$3:$F$13,2,0)</f>
        <v>150000</v>
      </c>
      <c r="K116" s="18">
        <f>VLOOKUP(E116,Katalog!$C$3:$F$13,3,0)</f>
        <v>70000</v>
      </c>
      <c r="L116" t="str">
        <f t="shared" si="42"/>
        <v>-</v>
      </c>
      <c r="M116" t="str">
        <f>IFERROR(INDEX(Katalog!$B$4:$B$13,MATCH('Main Data'!L116,Katalog!$C$4:$C$13,0)), "-")</f>
        <v>-</v>
      </c>
      <c r="N116" t="str">
        <f>IFERROR(VLOOKUP(L116,Katalog!$A$15:$B$25,2,0),"-")</f>
        <v>-</v>
      </c>
      <c r="O116">
        <f t="shared" si="43"/>
        <v>0</v>
      </c>
      <c r="P116" t="str">
        <f t="shared" si="44"/>
        <v>-</v>
      </c>
      <c r="Q116" s="18">
        <f>IFERROR(VLOOKUP(L116,Katalog!$C$3:$F$13,2,0),0)</f>
        <v>0</v>
      </c>
      <c r="R116" s="18">
        <f>IFERROR(VLOOKUP(L116,Katalog!$C$3:$F$13,3,0),0)</f>
        <v>0</v>
      </c>
      <c r="S116" t="str">
        <f t="shared" si="45"/>
        <v>-</v>
      </c>
      <c r="T116" t="str">
        <f>IFERROR(INDEX(Katalog!$B$4:$B$13,MATCH('Main Data'!S116,Katalog!$C$4:$C$13,0)),"-")</f>
        <v>-</v>
      </c>
      <c r="U116" t="str">
        <f>IFERROR(VLOOKUP(S116,Katalog!$A$15:$B$25,2,0),"-")</f>
        <v>-</v>
      </c>
      <c r="V116">
        <f t="shared" si="46"/>
        <v>0</v>
      </c>
      <c r="W116" s="28" t="str">
        <f t="shared" si="47"/>
        <v>-</v>
      </c>
      <c r="X116" s="18">
        <f>IFERROR(VLOOKUP(S116,Katalog!$C$3:$F$13,2,0),0)</f>
        <v>0</v>
      </c>
      <c r="Y116" s="30">
        <f>IFERROR(VLOOKUP(S116,Katalog!$C$3:$F$13,3,0),0)</f>
        <v>0</v>
      </c>
      <c r="Z116" s="2">
        <f t="shared" si="48"/>
        <v>1</v>
      </c>
      <c r="AA116" s="4">
        <f t="shared" si="49"/>
        <v>150000</v>
      </c>
      <c r="AB116" s="4">
        <f t="shared" si="50"/>
        <v>70000</v>
      </c>
      <c r="AC116" s="4" t="s">
        <v>5</v>
      </c>
      <c r="AD116" s="16">
        <f>IFERROR(VLOOKUP(AC116,'Kode Diskon'!$C$2:$D$9,2,0),0)</f>
        <v>0.1</v>
      </c>
      <c r="AE116" s="31">
        <f t="shared" si="51"/>
        <v>15000</v>
      </c>
      <c r="AF116" s="31">
        <f t="shared" si="52"/>
        <v>135000</v>
      </c>
      <c r="AG116" s="31">
        <f t="shared" si="53"/>
        <v>80000</v>
      </c>
      <c r="AH116" s="31">
        <f t="shared" si="54"/>
        <v>65000</v>
      </c>
      <c r="AI116" s="4" t="s">
        <v>28</v>
      </c>
      <c r="AJ116" s="4" t="s">
        <v>6</v>
      </c>
      <c r="AK116" s="4" t="str">
        <f>IFERROR(VLOOKUP(AJ116,'Guide '!$A$13:$B$16,2,0),"-")</f>
        <v>SP</v>
      </c>
      <c r="AL116" s="4" t="s">
        <v>921</v>
      </c>
      <c r="AM116" s="40">
        <v>45338</v>
      </c>
      <c r="AN116">
        <f t="shared" si="55"/>
        <v>29</v>
      </c>
      <c r="AO116">
        <f t="shared" si="56"/>
        <v>32</v>
      </c>
      <c r="AP116">
        <f t="shared" si="57"/>
        <v>40</v>
      </c>
      <c r="AQ116">
        <f t="shared" si="58"/>
        <v>43</v>
      </c>
      <c r="AR116" s="26" t="str">
        <f t="shared" si="59"/>
        <v>-</v>
      </c>
      <c r="AS116" s="26" t="str">
        <f t="shared" si="60"/>
        <v>-</v>
      </c>
      <c r="AT116" s="21">
        <f t="shared" si="61"/>
        <v>12</v>
      </c>
      <c r="AU116" s="21">
        <f t="shared" si="62"/>
        <v>19</v>
      </c>
      <c r="AV116" t="str">
        <f t="shared" si="63"/>
        <v>-</v>
      </c>
      <c r="AW116" t="str">
        <f t="shared" si="64"/>
        <v>-</v>
      </c>
      <c r="AX116" t="str">
        <f t="shared" si="65"/>
        <v>-</v>
      </c>
      <c r="AY116" t="str">
        <f t="shared" si="66"/>
        <v>-</v>
      </c>
      <c r="AZ116" t="str">
        <f t="shared" si="67"/>
        <v>-</v>
      </c>
      <c r="BA116" t="str">
        <f t="shared" si="68"/>
        <v>-</v>
      </c>
      <c r="BB116" t="str">
        <f t="shared" si="69"/>
        <v>-</v>
      </c>
      <c r="BC116" t="str">
        <f t="shared" si="70"/>
        <v>-</v>
      </c>
      <c r="BD116" s="29" t="str">
        <f t="shared" si="71"/>
        <v>-</v>
      </c>
      <c r="BE116" s="29" t="str">
        <f t="shared" si="72"/>
        <v>-</v>
      </c>
    </row>
    <row r="117" spans="1:57" ht="15" x14ac:dyDescent="0.2">
      <c r="A117" s="2">
        <v>749</v>
      </c>
      <c r="B117" s="2" t="str">
        <f t="shared" si="37"/>
        <v>0749</v>
      </c>
      <c r="C117" t="str">
        <f t="shared" si="38"/>
        <v>ORD-BB-0749-16/02/24</v>
      </c>
      <c r="D117" s="3" t="s">
        <v>730</v>
      </c>
      <c r="E117" t="str">
        <f t="shared" si="39"/>
        <v>PP002</v>
      </c>
      <c r="F117" t="str">
        <f>INDEX(Katalog!$B$4:$B$13,MATCH('Main Data'!E117,Katalog!$C$4:$C$13,0))</f>
        <v>Celana Pendek</v>
      </c>
      <c r="G117" t="str">
        <f>VLOOKUP(E117,Katalog!$A$15:$B$25,2,0)</f>
        <v>Pakaian Pria</v>
      </c>
      <c r="H117" t="str">
        <f t="shared" si="40"/>
        <v>1</v>
      </c>
      <c r="I117" t="str">
        <f t="shared" si="41"/>
        <v>3</v>
      </c>
      <c r="J117" s="18">
        <f>VLOOKUP(E117,Katalog!$C$3:$F$13,2,0)</f>
        <v>60000</v>
      </c>
      <c r="K117" s="18">
        <f>VLOOKUP(E117,Katalog!$C$3:$F$13,3,0)</f>
        <v>25000</v>
      </c>
      <c r="L117" t="str">
        <f t="shared" si="42"/>
        <v>SP002</v>
      </c>
      <c r="M117" t="str">
        <f>IFERROR(INDEX(Katalog!$B$4:$B$13,MATCH('Main Data'!L117,Katalog!$C$4:$C$13,0)), "-")</f>
        <v>Sandal Slip On</v>
      </c>
      <c r="N117" t="str">
        <f>IFERROR(VLOOKUP(L117,Katalog!$A$15:$B$25,2,0),"-")</f>
        <v>Sepatu Pria</v>
      </c>
      <c r="O117" t="str">
        <f t="shared" si="43"/>
        <v>4</v>
      </c>
      <c r="P117" t="str">
        <f t="shared" si="44"/>
        <v>5</v>
      </c>
      <c r="Q117" s="18">
        <f>IFERROR(VLOOKUP(L117,Katalog!$C$3:$F$13,2,0),0)</f>
        <v>120000</v>
      </c>
      <c r="R117" s="18">
        <f>IFERROR(VLOOKUP(L117,Katalog!$C$3:$F$13,3,0),0)</f>
        <v>60000</v>
      </c>
      <c r="S117" t="str">
        <f t="shared" si="45"/>
        <v>PW003</v>
      </c>
      <c r="T117" t="str">
        <f>IFERROR(INDEX(Katalog!$B$4:$B$13,MATCH('Main Data'!S117,Katalog!$C$4:$C$13,0)),"-")</f>
        <v>Kaftan</v>
      </c>
      <c r="U117" t="str">
        <f>IFERROR(VLOOKUP(S117,Katalog!$A$15:$B$25,2,0),"-")</f>
        <v>Pakaian Wanita</v>
      </c>
      <c r="V117" t="str">
        <f t="shared" si="46"/>
        <v>2</v>
      </c>
      <c r="W117" s="28" t="str">
        <f t="shared" si="47"/>
        <v>2</v>
      </c>
      <c r="X117" s="18">
        <f>IFERROR(VLOOKUP(S117,Katalog!$C$3:$F$13,2,0),0)</f>
        <v>200000</v>
      </c>
      <c r="Y117" s="30">
        <f>IFERROR(VLOOKUP(S117,Katalog!$C$3:$F$13,3,0),0)</f>
        <v>100000</v>
      </c>
      <c r="Z117" s="2">
        <f t="shared" si="48"/>
        <v>7</v>
      </c>
      <c r="AA117" s="4">
        <f t="shared" si="49"/>
        <v>940000</v>
      </c>
      <c r="AB117" s="4">
        <f t="shared" si="50"/>
        <v>465000</v>
      </c>
      <c r="AC117" s="4" t="s">
        <v>10</v>
      </c>
      <c r="AD117" s="16">
        <f>IFERROR(VLOOKUP(AC117,'Kode Diskon'!$C$2:$D$9,2,0),0)</f>
        <v>0</v>
      </c>
      <c r="AE117" s="31">
        <f t="shared" si="51"/>
        <v>0</v>
      </c>
      <c r="AF117" s="31">
        <f t="shared" si="52"/>
        <v>940000</v>
      </c>
      <c r="AG117" s="31">
        <f t="shared" si="53"/>
        <v>475000</v>
      </c>
      <c r="AH117" s="31">
        <f t="shared" si="54"/>
        <v>475000</v>
      </c>
      <c r="AI117" s="4" t="s">
        <v>10</v>
      </c>
      <c r="AJ117" s="4" t="s">
        <v>13</v>
      </c>
      <c r="AK117" s="4" t="str">
        <f>IFERROR(VLOOKUP(AJ117,'Guide '!$A$13:$B$16,2,0),"-")</f>
        <v>BB</v>
      </c>
      <c r="AL117" s="4" t="s">
        <v>924</v>
      </c>
      <c r="AM117" s="40">
        <v>45338</v>
      </c>
      <c r="AN117">
        <f t="shared" si="55"/>
        <v>29</v>
      </c>
      <c r="AO117">
        <f t="shared" si="56"/>
        <v>32</v>
      </c>
      <c r="AP117">
        <f t="shared" si="57"/>
        <v>40</v>
      </c>
      <c r="AQ117">
        <f t="shared" si="58"/>
        <v>43</v>
      </c>
      <c r="AR117" s="26">
        <f t="shared" si="59"/>
        <v>56</v>
      </c>
      <c r="AS117" s="26">
        <f t="shared" si="60"/>
        <v>63</v>
      </c>
      <c r="AT117" s="21">
        <f t="shared" si="61"/>
        <v>12</v>
      </c>
      <c r="AU117" s="21">
        <f t="shared" si="62"/>
        <v>19</v>
      </c>
      <c r="AV117">
        <f t="shared" si="63"/>
        <v>73</v>
      </c>
      <c r="AW117">
        <f t="shared" si="64"/>
        <v>76</v>
      </c>
      <c r="AX117">
        <f t="shared" si="65"/>
        <v>84</v>
      </c>
      <c r="AY117">
        <f t="shared" si="66"/>
        <v>87</v>
      </c>
      <c r="AZ117">
        <f t="shared" si="67"/>
        <v>100</v>
      </c>
      <c r="BA117">
        <f t="shared" si="68"/>
        <v>107</v>
      </c>
      <c r="BB117">
        <f t="shared" si="69"/>
        <v>117</v>
      </c>
      <c r="BC117">
        <f t="shared" si="70"/>
        <v>120</v>
      </c>
      <c r="BD117" s="29">
        <f t="shared" si="71"/>
        <v>128</v>
      </c>
      <c r="BE117" s="29">
        <f t="shared" si="72"/>
        <v>131</v>
      </c>
    </row>
    <row r="118" spans="1:57" ht="15" x14ac:dyDescent="0.2">
      <c r="A118" s="2">
        <v>970</v>
      </c>
      <c r="B118" s="2" t="str">
        <f t="shared" si="37"/>
        <v>0970</v>
      </c>
      <c r="C118" t="str">
        <f t="shared" si="38"/>
        <v>ORD-SP-0970-16/02/24</v>
      </c>
      <c r="D118" s="3" t="s">
        <v>897</v>
      </c>
      <c r="E118" t="str">
        <f t="shared" si="39"/>
        <v>SP002</v>
      </c>
      <c r="F118" t="str">
        <f>INDEX(Katalog!$B$4:$B$13,MATCH('Main Data'!E118,Katalog!$C$4:$C$13,0))</f>
        <v>Sandal Slip On</v>
      </c>
      <c r="G118" t="str">
        <f>VLOOKUP(E118,Katalog!$A$15:$B$25,2,0)</f>
        <v>Sepatu Pria</v>
      </c>
      <c r="H118" t="str">
        <f t="shared" si="40"/>
        <v>1</v>
      </c>
      <c r="I118" t="str">
        <f t="shared" si="41"/>
        <v>4</v>
      </c>
      <c r="J118" s="18">
        <f>VLOOKUP(E118,Katalog!$C$3:$F$13,2,0)</f>
        <v>120000</v>
      </c>
      <c r="K118" s="18">
        <f>VLOOKUP(E118,Katalog!$C$3:$F$13,3,0)</f>
        <v>60000</v>
      </c>
      <c r="L118" t="str">
        <f t="shared" si="42"/>
        <v>PW003</v>
      </c>
      <c r="M118" t="str">
        <f>IFERROR(INDEX(Katalog!$B$4:$B$13,MATCH('Main Data'!L118,Katalog!$C$4:$C$13,0)), "-")</f>
        <v>Kaftan</v>
      </c>
      <c r="N118" t="str">
        <f>IFERROR(VLOOKUP(L118,Katalog!$A$15:$B$25,2,0),"-")</f>
        <v>Pakaian Wanita</v>
      </c>
      <c r="O118" t="str">
        <f t="shared" si="43"/>
        <v>3</v>
      </c>
      <c r="P118" t="str">
        <f t="shared" si="44"/>
        <v>5</v>
      </c>
      <c r="Q118" s="18">
        <f>IFERROR(VLOOKUP(L118,Katalog!$C$3:$F$13,2,0),0)</f>
        <v>200000</v>
      </c>
      <c r="R118" s="18">
        <f>IFERROR(VLOOKUP(L118,Katalog!$C$3:$F$13,3,0),0)</f>
        <v>100000</v>
      </c>
      <c r="S118" t="str">
        <f t="shared" si="45"/>
        <v>-</v>
      </c>
      <c r="T118" t="str">
        <f>IFERROR(INDEX(Katalog!$B$4:$B$13,MATCH('Main Data'!S118,Katalog!$C$4:$C$13,0)),"-")</f>
        <v>-</v>
      </c>
      <c r="U118" t="str">
        <f>IFERROR(VLOOKUP(S118,Katalog!$A$15:$B$25,2,0),"-")</f>
        <v>-</v>
      </c>
      <c r="V118">
        <f t="shared" si="46"/>
        <v>0</v>
      </c>
      <c r="W118" s="28" t="str">
        <f t="shared" si="47"/>
        <v>-</v>
      </c>
      <c r="X118" s="18">
        <f>IFERROR(VLOOKUP(S118,Katalog!$C$3:$F$13,2,0),0)</f>
        <v>0</v>
      </c>
      <c r="Y118" s="30">
        <f>IFERROR(VLOOKUP(S118,Katalog!$C$3:$F$13,3,0),0)</f>
        <v>0</v>
      </c>
      <c r="Z118" s="2">
        <f t="shared" si="48"/>
        <v>4</v>
      </c>
      <c r="AA118" s="4">
        <f t="shared" si="49"/>
        <v>720000</v>
      </c>
      <c r="AB118" s="4">
        <f t="shared" si="50"/>
        <v>360000</v>
      </c>
      <c r="AC118" s="4" t="s">
        <v>5</v>
      </c>
      <c r="AD118" s="16">
        <f>IFERROR(VLOOKUP(AC118,'Kode Diskon'!$C$2:$D$9,2,0),0)</f>
        <v>0.1</v>
      </c>
      <c r="AE118" s="31">
        <f t="shared" si="51"/>
        <v>72000</v>
      </c>
      <c r="AF118" s="31">
        <f t="shared" si="52"/>
        <v>648000</v>
      </c>
      <c r="AG118" s="31">
        <f t="shared" si="53"/>
        <v>360000</v>
      </c>
      <c r="AH118" s="31">
        <f t="shared" si="54"/>
        <v>288000</v>
      </c>
      <c r="AI118" s="4" t="s">
        <v>28</v>
      </c>
      <c r="AJ118" s="4" t="s">
        <v>6</v>
      </c>
      <c r="AK118" s="4" t="str">
        <f>IFERROR(VLOOKUP(AJ118,'Guide '!$A$13:$B$16,2,0),"-")</f>
        <v>SP</v>
      </c>
      <c r="AL118" s="4" t="s">
        <v>924</v>
      </c>
      <c r="AM118" s="40">
        <v>45338</v>
      </c>
      <c r="AN118">
        <f t="shared" si="55"/>
        <v>29</v>
      </c>
      <c r="AO118">
        <f t="shared" si="56"/>
        <v>32</v>
      </c>
      <c r="AP118">
        <f t="shared" si="57"/>
        <v>40</v>
      </c>
      <c r="AQ118">
        <f t="shared" si="58"/>
        <v>43</v>
      </c>
      <c r="AR118" s="26">
        <f t="shared" si="59"/>
        <v>56</v>
      </c>
      <c r="AS118" s="26">
        <f t="shared" si="60"/>
        <v>63</v>
      </c>
      <c r="AT118" s="21">
        <f t="shared" si="61"/>
        <v>12</v>
      </c>
      <c r="AU118" s="21">
        <f t="shared" si="62"/>
        <v>19</v>
      </c>
      <c r="AV118">
        <f t="shared" si="63"/>
        <v>73</v>
      </c>
      <c r="AW118">
        <f t="shared" si="64"/>
        <v>76</v>
      </c>
      <c r="AX118">
        <f t="shared" si="65"/>
        <v>84</v>
      </c>
      <c r="AY118">
        <f t="shared" si="66"/>
        <v>87</v>
      </c>
      <c r="AZ118" t="str">
        <f t="shared" si="67"/>
        <v>-</v>
      </c>
      <c r="BA118" t="str">
        <f t="shared" si="68"/>
        <v>-</v>
      </c>
      <c r="BB118" t="str">
        <f t="shared" si="69"/>
        <v>-</v>
      </c>
      <c r="BC118" t="str">
        <f t="shared" si="70"/>
        <v>-</v>
      </c>
      <c r="BD118" s="29" t="str">
        <f t="shared" si="71"/>
        <v>-</v>
      </c>
      <c r="BE118" s="29" t="str">
        <f t="shared" si="72"/>
        <v>-</v>
      </c>
    </row>
    <row r="119" spans="1:57" ht="15" x14ac:dyDescent="0.2">
      <c r="A119" s="2">
        <v>42</v>
      </c>
      <c r="B119" s="2" t="str">
        <f t="shared" si="37"/>
        <v>0042</v>
      </c>
      <c r="C119" t="str">
        <f t="shared" si="38"/>
        <v>ORD-BB-0042-17/02/24</v>
      </c>
      <c r="D119" s="3" t="s">
        <v>116</v>
      </c>
      <c r="E119" t="str">
        <f t="shared" si="39"/>
        <v>PP003</v>
      </c>
      <c r="F119" t="str">
        <f>INDEX(Katalog!$B$4:$B$13,MATCH('Main Data'!E119,Katalog!$C$4:$C$13,0))</f>
        <v>Jaket Jeans</v>
      </c>
      <c r="G119" t="str">
        <f>VLOOKUP(E119,Katalog!$A$15:$B$25,2,0)</f>
        <v>Pakaian Pria</v>
      </c>
      <c r="H119" t="str">
        <f t="shared" si="40"/>
        <v>1</v>
      </c>
      <c r="I119" t="str">
        <f t="shared" si="41"/>
        <v>5</v>
      </c>
      <c r="J119" s="18">
        <f>VLOOKUP(E119,Katalog!$C$3:$F$13,2,0)</f>
        <v>150000</v>
      </c>
      <c r="K119" s="18">
        <f>VLOOKUP(E119,Katalog!$C$3:$F$13,3,0)</f>
        <v>70000</v>
      </c>
      <c r="L119" t="str">
        <f t="shared" si="42"/>
        <v>-</v>
      </c>
      <c r="M119" t="str">
        <f>IFERROR(INDEX(Katalog!$B$4:$B$13,MATCH('Main Data'!L119,Katalog!$C$4:$C$13,0)), "-")</f>
        <v>-</v>
      </c>
      <c r="N119" t="str">
        <f>IFERROR(VLOOKUP(L119,Katalog!$A$15:$B$25,2,0),"-")</f>
        <v>-</v>
      </c>
      <c r="O119">
        <f t="shared" si="43"/>
        <v>0</v>
      </c>
      <c r="P119" t="str">
        <f t="shared" si="44"/>
        <v>-</v>
      </c>
      <c r="Q119" s="18">
        <f>IFERROR(VLOOKUP(L119,Katalog!$C$3:$F$13,2,0),0)</f>
        <v>0</v>
      </c>
      <c r="R119" s="18">
        <f>IFERROR(VLOOKUP(L119,Katalog!$C$3:$F$13,3,0),0)</f>
        <v>0</v>
      </c>
      <c r="S119" t="str">
        <f t="shared" si="45"/>
        <v>-</v>
      </c>
      <c r="T119" t="str">
        <f>IFERROR(INDEX(Katalog!$B$4:$B$13,MATCH('Main Data'!S119,Katalog!$C$4:$C$13,0)),"-")</f>
        <v>-</v>
      </c>
      <c r="U119" t="str">
        <f>IFERROR(VLOOKUP(S119,Katalog!$A$15:$B$25,2,0),"-")</f>
        <v>-</v>
      </c>
      <c r="V119">
        <f t="shared" si="46"/>
        <v>0</v>
      </c>
      <c r="W119" s="28" t="str">
        <f t="shared" si="47"/>
        <v>-</v>
      </c>
      <c r="X119" s="18">
        <f>IFERROR(VLOOKUP(S119,Katalog!$C$3:$F$13,2,0),0)</f>
        <v>0</v>
      </c>
      <c r="Y119" s="30">
        <f>IFERROR(VLOOKUP(S119,Katalog!$C$3:$F$13,3,0),0)</f>
        <v>0</v>
      </c>
      <c r="Z119" s="2">
        <f t="shared" si="48"/>
        <v>1</v>
      </c>
      <c r="AA119" s="4">
        <f t="shared" si="49"/>
        <v>150000</v>
      </c>
      <c r="AB119" s="4">
        <f t="shared" si="50"/>
        <v>70000</v>
      </c>
      <c r="AC119" s="4" t="s">
        <v>10</v>
      </c>
      <c r="AD119" s="16">
        <f>IFERROR(VLOOKUP(AC119,'Kode Diskon'!$C$2:$D$9,2,0),0)</f>
        <v>0</v>
      </c>
      <c r="AE119" s="31">
        <f t="shared" si="51"/>
        <v>0</v>
      </c>
      <c r="AF119" s="31">
        <f t="shared" si="52"/>
        <v>150000</v>
      </c>
      <c r="AG119" s="31">
        <f t="shared" si="53"/>
        <v>80000</v>
      </c>
      <c r="AH119" s="31">
        <f t="shared" si="54"/>
        <v>80000</v>
      </c>
      <c r="AI119" s="4" t="s">
        <v>10</v>
      </c>
      <c r="AJ119" s="4" t="s">
        <v>13</v>
      </c>
      <c r="AK119" s="4" t="str">
        <f>IFERROR(VLOOKUP(AJ119,'Guide '!$A$13:$B$16,2,0),"-")</f>
        <v>BB</v>
      </c>
      <c r="AL119" s="4" t="s">
        <v>922</v>
      </c>
      <c r="AM119" s="40">
        <v>45339</v>
      </c>
      <c r="AN119">
        <f t="shared" si="55"/>
        <v>29</v>
      </c>
      <c r="AO119">
        <f t="shared" si="56"/>
        <v>32</v>
      </c>
      <c r="AP119">
        <f t="shared" si="57"/>
        <v>40</v>
      </c>
      <c r="AQ119">
        <f t="shared" si="58"/>
        <v>43</v>
      </c>
      <c r="AR119" s="26" t="str">
        <f t="shared" si="59"/>
        <v>-</v>
      </c>
      <c r="AS119" s="26" t="str">
        <f t="shared" si="60"/>
        <v>-</v>
      </c>
      <c r="AT119" s="21">
        <f t="shared" si="61"/>
        <v>12</v>
      </c>
      <c r="AU119" s="21">
        <f t="shared" si="62"/>
        <v>19</v>
      </c>
      <c r="AV119" t="str">
        <f t="shared" si="63"/>
        <v>-</v>
      </c>
      <c r="AW119" t="str">
        <f t="shared" si="64"/>
        <v>-</v>
      </c>
      <c r="AX119" t="str">
        <f t="shared" si="65"/>
        <v>-</v>
      </c>
      <c r="AY119" t="str">
        <f t="shared" si="66"/>
        <v>-</v>
      </c>
      <c r="AZ119" t="str">
        <f t="shared" si="67"/>
        <v>-</v>
      </c>
      <c r="BA119" t="str">
        <f t="shared" si="68"/>
        <v>-</v>
      </c>
      <c r="BB119" t="str">
        <f t="shared" si="69"/>
        <v>-</v>
      </c>
      <c r="BC119" t="str">
        <f t="shared" si="70"/>
        <v>-</v>
      </c>
      <c r="BD119" s="29" t="str">
        <f t="shared" si="71"/>
        <v>-</v>
      </c>
      <c r="BE119" s="29" t="str">
        <f t="shared" si="72"/>
        <v>-</v>
      </c>
    </row>
    <row r="120" spans="1:57" ht="15" x14ac:dyDescent="0.2">
      <c r="A120" s="2">
        <v>398</v>
      </c>
      <c r="B120" s="2" t="str">
        <f t="shared" si="37"/>
        <v>0398</v>
      </c>
      <c r="C120" t="str">
        <f t="shared" si="38"/>
        <v>ORD-SP-0398-17/02/24</v>
      </c>
      <c r="D120" s="3" t="s">
        <v>447</v>
      </c>
      <c r="E120" t="str">
        <f t="shared" si="39"/>
        <v>PP001</v>
      </c>
      <c r="F120" t="str">
        <f>INDEX(Katalog!$B$4:$B$13,MATCH('Main Data'!E120,Katalog!$C$4:$C$13,0))</f>
        <v>Kaos Polo</v>
      </c>
      <c r="G120" t="str">
        <f>VLOOKUP(E120,Katalog!$A$15:$B$25,2,0)</f>
        <v>Pakaian Pria</v>
      </c>
      <c r="H120" t="str">
        <f t="shared" si="40"/>
        <v>2</v>
      </c>
      <c r="I120" t="str">
        <f t="shared" si="41"/>
        <v>3</v>
      </c>
      <c r="J120" s="18">
        <f>VLOOKUP(E120,Katalog!$C$3:$F$13,2,0)</f>
        <v>80000</v>
      </c>
      <c r="K120" s="18">
        <f>VLOOKUP(E120,Katalog!$C$3:$F$13,3,0)</f>
        <v>30000</v>
      </c>
      <c r="L120" t="str">
        <f t="shared" si="42"/>
        <v>PP002</v>
      </c>
      <c r="M120" t="str">
        <f>IFERROR(INDEX(Katalog!$B$4:$B$13,MATCH('Main Data'!L120,Katalog!$C$4:$C$13,0)), "-")</f>
        <v>Celana Pendek</v>
      </c>
      <c r="N120" t="str">
        <f>IFERROR(VLOOKUP(L120,Katalog!$A$15:$B$25,2,0),"-")</f>
        <v>Pakaian Pria</v>
      </c>
      <c r="O120" t="str">
        <f t="shared" si="43"/>
        <v>1</v>
      </c>
      <c r="P120" t="str">
        <f t="shared" si="44"/>
        <v>2</v>
      </c>
      <c r="Q120" s="18">
        <f>IFERROR(VLOOKUP(L120,Katalog!$C$3:$F$13,2,0),0)</f>
        <v>60000</v>
      </c>
      <c r="R120" s="18">
        <f>IFERROR(VLOOKUP(L120,Katalog!$C$3:$F$13,3,0),0)</f>
        <v>25000</v>
      </c>
      <c r="S120" t="str">
        <f t="shared" si="45"/>
        <v>-</v>
      </c>
      <c r="T120" t="str">
        <f>IFERROR(INDEX(Katalog!$B$4:$B$13,MATCH('Main Data'!S120,Katalog!$C$4:$C$13,0)),"-")</f>
        <v>-</v>
      </c>
      <c r="U120" t="str">
        <f>IFERROR(VLOOKUP(S120,Katalog!$A$15:$B$25,2,0),"-")</f>
        <v>-</v>
      </c>
      <c r="V120">
        <f t="shared" si="46"/>
        <v>0</v>
      </c>
      <c r="W120" s="28" t="str">
        <f t="shared" si="47"/>
        <v>-</v>
      </c>
      <c r="X120" s="18">
        <f>IFERROR(VLOOKUP(S120,Katalog!$C$3:$F$13,2,0),0)</f>
        <v>0</v>
      </c>
      <c r="Y120" s="30">
        <f>IFERROR(VLOOKUP(S120,Katalog!$C$3:$F$13,3,0),0)</f>
        <v>0</v>
      </c>
      <c r="Z120" s="2">
        <f t="shared" si="48"/>
        <v>3</v>
      </c>
      <c r="AA120" s="4">
        <f t="shared" si="49"/>
        <v>220000</v>
      </c>
      <c r="AB120" s="4">
        <f t="shared" si="50"/>
        <v>85000</v>
      </c>
      <c r="AC120" s="4" t="s">
        <v>5</v>
      </c>
      <c r="AD120" s="16">
        <f>IFERROR(VLOOKUP(AC120,'Kode Diskon'!$C$2:$D$9,2,0),0)</f>
        <v>0.1</v>
      </c>
      <c r="AE120" s="31">
        <f t="shared" si="51"/>
        <v>22000</v>
      </c>
      <c r="AF120" s="31">
        <f t="shared" si="52"/>
        <v>198000</v>
      </c>
      <c r="AG120" s="31">
        <f t="shared" si="53"/>
        <v>135000</v>
      </c>
      <c r="AH120" s="31">
        <f t="shared" si="54"/>
        <v>113000</v>
      </c>
      <c r="AI120" s="4" t="s">
        <v>28</v>
      </c>
      <c r="AJ120" s="4" t="s">
        <v>6</v>
      </c>
      <c r="AK120" s="4" t="str">
        <f>IFERROR(VLOOKUP(AJ120,'Guide '!$A$13:$B$16,2,0),"-")</f>
        <v>SP</v>
      </c>
      <c r="AL120" s="4" t="s">
        <v>1006</v>
      </c>
      <c r="AM120" s="40">
        <v>45339</v>
      </c>
      <c r="AN120">
        <f t="shared" si="55"/>
        <v>29</v>
      </c>
      <c r="AO120">
        <f t="shared" si="56"/>
        <v>32</v>
      </c>
      <c r="AP120">
        <f t="shared" si="57"/>
        <v>40</v>
      </c>
      <c r="AQ120">
        <f t="shared" si="58"/>
        <v>43</v>
      </c>
      <c r="AR120" s="26">
        <f t="shared" si="59"/>
        <v>56</v>
      </c>
      <c r="AS120" s="26">
        <f t="shared" si="60"/>
        <v>63</v>
      </c>
      <c r="AT120" s="21">
        <f t="shared" si="61"/>
        <v>12</v>
      </c>
      <c r="AU120" s="21">
        <f t="shared" si="62"/>
        <v>19</v>
      </c>
      <c r="AV120">
        <f t="shared" si="63"/>
        <v>73</v>
      </c>
      <c r="AW120">
        <f t="shared" si="64"/>
        <v>76</v>
      </c>
      <c r="AX120">
        <f t="shared" si="65"/>
        <v>84</v>
      </c>
      <c r="AY120">
        <f t="shared" si="66"/>
        <v>87</v>
      </c>
      <c r="AZ120" t="str">
        <f t="shared" si="67"/>
        <v>-</v>
      </c>
      <c r="BA120" t="str">
        <f t="shared" si="68"/>
        <v>-</v>
      </c>
      <c r="BB120" t="str">
        <f t="shared" si="69"/>
        <v>-</v>
      </c>
      <c r="BC120" t="str">
        <f t="shared" si="70"/>
        <v>-</v>
      </c>
      <c r="BD120" s="29" t="str">
        <f t="shared" si="71"/>
        <v>-</v>
      </c>
      <c r="BE120" s="29" t="str">
        <f t="shared" si="72"/>
        <v>-</v>
      </c>
    </row>
    <row r="121" spans="1:57" ht="15" x14ac:dyDescent="0.2">
      <c r="A121" s="2">
        <v>644</v>
      </c>
      <c r="B121" s="2" t="str">
        <f t="shared" si="37"/>
        <v>0644</v>
      </c>
      <c r="C121" t="str">
        <f t="shared" si="38"/>
        <v>ORD-TK-0644-17/02/24</v>
      </c>
      <c r="D121" s="3" t="s">
        <v>647</v>
      </c>
      <c r="E121" t="str">
        <f t="shared" si="39"/>
        <v>SP001</v>
      </c>
      <c r="F121" t="str">
        <f>INDEX(Katalog!$B$4:$B$13,MATCH('Main Data'!E121,Katalog!$C$4:$C$13,0))</f>
        <v>Sneakers</v>
      </c>
      <c r="G121" t="str">
        <f>VLOOKUP(E121,Katalog!$A$15:$B$25,2,0)</f>
        <v>Sepatu Pria</v>
      </c>
      <c r="H121" t="str">
        <f t="shared" si="40"/>
        <v>4</v>
      </c>
      <c r="I121" t="str">
        <f t="shared" si="41"/>
        <v>2</v>
      </c>
      <c r="J121" s="18">
        <f>VLOOKUP(E121,Katalog!$C$3:$F$13,2,0)</f>
        <v>300000</v>
      </c>
      <c r="K121" s="18">
        <f>VLOOKUP(E121,Katalog!$C$3:$F$13,3,0)</f>
        <v>100000</v>
      </c>
      <c r="L121" t="str">
        <f t="shared" si="42"/>
        <v>PU001</v>
      </c>
      <c r="M121" t="str">
        <f>IFERROR(INDEX(Katalog!$B$4:$B$13,MATCH('Main Data'!L121,Katalog!$C$4:$C$13,0)), "-")</f>
        <v>Jaket Hoodie</v>
      </c>
      <c r="N121" t="str">
        <f>IFERROR(VLOOKUP(L121,Katalog!$A$15:$B$25,2,0),"-")</f>
        <v>Pakaian Unisex</v>
      </c>
      <c r="O121" t="str">
        <f t="shared" si="43"/>
        <v>2</v>
      </c>
      <c r="P121" t="str">
        <f t="shared" si="44"/>
        <v>1</v>
      </c>
      <c r="Q121" s="18">
        <f>IFERROR(VLOOKUP(L121,Katalog!$C$3:$F$13,2,0),0)</f>
        <v>160000</v>
      </c>
      <c r="R121" s="18">
        <f>IFERROR(VLOOKUP(L121,Katalog!$C$3:$F$13,3,0),0)</f>
        <v>60000</v>
      </c>
      <c r="S121" t="str">
        <f t="shared" si="45"/>
        <v>-</v>
      </c>
      <c r="T121" t="str">
        <f>IFERROR(INDEX(Katalog!$B$4:$B$13,MATCH('Main Data'!S121,Katalog!$C$4:$C$13,0)),"-")</f>
        <v>-</v>
      </c>
      <c r="U121" t="str">
        <f>IFERROR(VLOOKUP(S121,Katalog!$A$15:$B$25,2,0),"-")</f>
        <v>-</v>
      </c>
      <c r="V121">
        <f t="shared" si="46"/>
        <v>0</v>
      </c>
      <c r="W121" s="28" t="str">
        <f t="shared" si="47"/>
        <v>-</v>
      </c>
      <c r="X121" s="18">
        <f>IFERROR(VLOOKUP(S121,Katalog!$C$3:$F$13,2,0),0)</f>
        <v>0</v>
      </c>
      <c r="Y121" s="30">
        <f>IFERROR(VLOOKUP(S121,Katalog!$C$3:$F$13,3,0),0)</f>
        <v>0</v>
      </c>
      <c r="Z121" s="2">
        <f t="shared" si="48"/>
        <v>6</v>
      </c>
      <c r="AA121" s="4">
        <f t="shared" si="49"/>
        <v>1520000</v>
      </c>
      <c r="AB121" s="4">
        <f t="shared" si="50"/>
        <v>520000</v>
      </c>
      <c r="AC121" s="4" t="s">
        <v>30</v>
      </c>
      <c r="AD121" s="16">
        <f>IFERROR(VLOOKUP(AC121,'Kode Diskon'!$C$2:$D$9,2,0),0)</f>
        <v>0.1</v>
      </c>
      <c r="AE121" s="31">
        <f t="shared" si="51"/>
        <v>152000</v>
      </c>
      <c r="AF121" s="31">
        <f t="shared" si="52"/>
        <v>1368000</v>
      </c>
      <c r="AG121" s="31">
        <f t="shared" si="53"/>
        <v>1000000</v>
      </c>
      <c r="AH121" s="31">
        <f t="shared" si="54"/>
        <v>848000</v>
      </c>
      <c r="AI121" s="4" t="s">
        <v>8</v>
      </c>
      <c r="AJ121" s="4" t="s">
        <v>9</v>
      </c>
      <c r="AK121" s="4" t="str">
        <f>IFERROR(VLOOKUP(AJ121,'Guide '!$A$13:$B$16,2,0),"-")</f>
        <v>TK</v>
      </c>
      <c r="AL121" s="4" t="s">
        <v>1006</v>
      </c>
      <c r="AM121" s="40">
        <v>45339</v>
      </c>
      <c r="AN121">
        <f t="shared" si="55"/>
        <v>29</v>
      </c>
      <c r="AO121">
        <f t="shared" si="56"/>
        <v>32</v>
      </c>
      <c r="AP121">
        <f t="shared" si="57"/>
        <v>40</v>
      </c>
      <c r="AQ121">
        <f t="shared" si="58"/>
        <v>43</v>
      </c>
      <c r="AR121" s="26">
        <f t="shared" si="59"/>
        <v>56</v>
      </c>
      <c r="AS121" s="26">
        <f t="shared" si="60"/>
        <v>63</v>
      </c>
      <c r="AT121" s="21">
        <f t="shared" si="61"/>
        <v>12</v>
      </c>
      <c r="AU121" s="21">
        <f t="shared" si="62"/>
        <v>19</v>
      </c>
      <c r="AV121">
        <f t="shared" si="63"/>
        <v>73</v>
      </c>
      <c r="AW121">
        <f t="shared" si="64"/>
        <v>76</v>
      </c>
      <c r="AX121">
        <f t="shared" si="65"/>
        <v>84</v>
      </c>
      <c r="AY121">
        <f t="shared" si="66"/>
        <v>87</v>
      </c>
      <c r="AZ121" t="str">
        <f t="shared" si="67"/>
        <v>-</v>
      </c>
      <c r="BA121" t="str">
        <f t="shared" si="68"/>
        <v>-</v>
      </c>
      <c r="BB121" t="str">
        <f t="shared" si="69"/>
        <v>-</v>
      </c>
      <c r="BC121" t="str">
        <f t="shared" si="70"/>
        <v>-</v>
      </c>
      <c r="BD121" s="29" t="str">
        <f t="shared" si="71"/>
        <v>-</v>
      </c>
      <c r="BE121" s="29" t="str">
        <f t="shared" si="72"/>
        <v>-</v>
      </c>
    </row>
    <row r="122" spans="1:57" ht="15" x14ac:dyDescent="0.2">
      <c r="A122" s="2">
        <v>403</v>
      </c>
      <c r="B122" s="2" t="str">
        <f t="shared" si="37"/>
        <v>0403</v>
      </c>
      <c r="C122" t="str">
        <f t="shared" si="38"/>
        <v>ORD-SP-0403-18/02/24</v>
      </c>
      <c r="D122" s="3" t="s">
        <v>450</v>
      </c>
      <c r="E122" t="str">
        <f t="shared" si="39"/>
        <v>PW003</v>
      </c>
      <c r="F122" t="str">
        <f>INDEX(Katalog!$B$4:$B$13,MATCH('Main Data'!E122,Katalog!$C$4:$C$13,0))</f>
        <v>Kaftan</v>
      </c>
      <c r="G122" t="str">
        <f>VLOOKUP(E122,Katalog!$A$15:$B$25,2,0)</f>
        <v>Pakaian Wanita</v>
      </c>
      <c r="H122" t="str">
        <f t="shared" si="40"/>
        <v>3</v>
      </c>
      <c r="I122" t="str">
        <f t="shared" si="41"/>
        <v>3</v>
      </c>
      <c r="J122" s="18">
        <f>VLOOKUP(E122,Katalog!$C$3:$F$13,2,0)</f>
        <v>200000</v>
      </c>
      <c r="K122" s="18">
        <f>VLOOKUP(E122,Katalog!$C$3:$F$13,3,0)</f>
        <v>100000</v>
      </c>
      <c r="L122" t="str">
        <f t="shared" si="42"/>
        <v>PW001</v>
      </c>
      <c r="M122" t="str">
        <f>IFERROR(INDEX(Katalog!$B$4:$B$13,MATCH('Main Data'!L122,Katalog!$C$4:$C$13,0)), "-")</f>
        <v>Dress</v>
      </c>
      <c r="N122" t="str">
        <f>IFERROR(VLOOKUP(L122,Katalog!$A$15:$B$25,2,0),"-")</f>
        <v>Pakaian Wanita</v>
      </c>
      <c r="O122" t="str">
        <f t="shared" si="43"/>
        <v>3</v>
      </c>
      <c r="P122" t="str">
        <f t="shared" si="44"/>
        <v>2</v>
      </c>
      <c r="Q122" s="18">
        <f>IFERROR(VLOOKUP(L122,Katalog!$C$3:$F$13,2,0),0)</f>
        <v>150000</v>
      </c>
      <c r="R122" s="18">
        <f>IFERROR(VLOOKUP(L122,Katalog!$C$3:$F$13,3,0),0)</f>
        <v>55000</v>
      </c>
      <c r="S122" t="str">
        <f t="shared" si="45"/>
        <v>-</v>
      </c>
      <c r="T122" t="str">
        <f>IFERROR(INDEX(Katalog!$B$4:$B$13,MATCH('Main Data'!S122,Katalog!$C$4:$C$13,0)),"-")</f>
        <v>-</v>
      </c>
      <c r="U122" t="str">
        <f>IFERROR(VLOOKUP(S122,Katalog!$A$15:$B$25,2,0),"-")</f>
        <v>-</v>
      </c>
      <c r="V122">
        <f t="shared" si="46"/>
        <v>0</v>
      </c>
      <c r="W122" s="28" t="str">
        <f t="shared" si="47"/>
        <v>-</v>
      </c>
      <c r="X122" s="18">
        <f>IFERROR(VLOOKUP(S122,Katalog!$C$3:$F$13,2,0),0)</f>
        <v>0</v>
      </c>
      <c r="Y122" s="30">
        <f>IFERROR(VLOOKUP(S122,Katalog!$C$3:$F$13,3,0),0)</f>
        <v>0</v>
      </c>
      <c r="Z122" s="2">
        <f t="shared" si="48"/>
        <v>6</v>
      </c>
      <c r="AA122" s="4">
        <f t="shared" si="49"/>
        <v>1050000</v>
      </c>
      <c r="AB122" s="4">
        <f t="shared" si="50"/>
        <v>465000</v>
      </c>
      <c r="AC122" s="4" t="s">
        <v>12</v>
      </c>
      <c r="AD122" s="16">
        <f>IFERROR(VLOOKUP(AC122,'Kode Diskon'!$C$2:$D$9,2,0),0)</f>
        <v>0.15</v>
      </c>
      <c r="AE122" s="31">
        <f t="shared" si="51"/>
        <v>157500</v>
      </c>
      <c r="AF122" s="31">
        <f t="shared" si="52"/>
        <v>892500</v>
      </c>
      <c r="AG122" s="31">
        <f t="shared" si="53"/>
        <v>585000</v>
      </c>
      <c r="AH122" s="31">
        <f t="shared" si="54"/>
        <v>427500</v>
      </c>
      <c r="AI122" s="4" t="s">
        <v>28</v>
      </c>
      <c r="AJ122" s="4" t="s">
        <v>6</v>
      </c>
      <c r="AK122" s="4" t="str">
        <f>IFERROR(VLOOKUP(AJ122,'Guide '!$A$13:$B$16,2,0),"-")</f>
        <v>SP</v>
      </c>
      <c r="AL122" s="4" t="s">
        <v>925</v>
      </c>
      <c r="AM122" s="40">
        <v>45340</v>
      </c>
      <c r="AN122">
        <f t="shared" si="55"/>
        <v>29</v>
      </c>
      <c r="AO122">
        <f t="shared" si="56"/>
        <v>32</v>
      </c>
      <c r="AP122">
        <f t="shared" si="57"/>
        <v>40</v>
      </c>
      <c r="AQ122">
        <f t="shared" si="58"/>
        <v>43</v>
      </c>
      <c r="AR122" s="26">
        <f t="shared" si="59"/>
        <v>56</v>
      </c>
      <c r="AS122" s="26">
        <f t="shared" si="60"/>
        <v>63</v>
      </c>
      <c r="AT122" s="21">
        <f t="shared" si="61"/>
        <v>12</v>
      </c>
      <c r="AU122" s="21">
        <f t="shared" si="62"/>
        <v>19</v>
      </c>
      <c r="AV122">
        <f t="shared" si="63"/>
        <v>73</v>
      </c>
      <c r="AW122">
        <f t="shared" si="64"/>
        <v>76</v>
      </c>
      <c r="AX122">
        <f t="shared" si="65"/>
        <v>84</v>
      </c>
      <c r="AY122">
        <f t="shared" si="66"/>
        <v>87</v>
      </c>
      <c r="AZ122" t="str">
        <f t="shared" si="67"/>
        <v>-</v>
      </c>
      <c r="BA122" t="str">
        <f t="shared" si="68"/>
        <v>-</v>
      </c>
      <c r="BB122" t="str">
        <f t="shared" si="69"/>
        <v>-</v>
      </c>
      <c r="BC122" t="str">
        <f t="shared" si="70"/>
        <v>-</v>
      </c>
      <c r="BD122" s="29" t="str">
        <f t="shared" si="71"/>
        <v>-</v>
      </c>
      <c r="BE122" s="29" t="str">
        <f t="shared" si="72"/>
        <v>-</v>
      </c>
    </row>
    <row r="123" spans="1:57" ht="15" x14ac:dyDescent="0.2">
      <c r="A123" s="2">
        <v>60</v>
      </c>
      <c r="B123" s="2" t="str">
        <f t="shared" si="37"/>
        <v>0060</v>
      </c>
      <c r="C123" t="str">
        <f t="shared" si="38"/>
        <v>ORD-SP-0060-19/02/24</v>
      </c>
      <c r="D123" s="3" t="s">
        <v>134</v>
      </c>
      <c r="E123" t="str">
        <f t="shared" si="39"/>
        <v>SW001</v>
      </c>
      <c r="F123" t="str">
        <f>INDEX(Katalog!$B$4:$B$13,MATCH('Main Data'!E123,Katalog!$C$4:$C$13,0))</f>
        <v>Flat Shoes</v>
      </c>
      <c r="G123" t="str">
        <f>VLOOKUP(E123,Katalog!$A$15:$B$25,2,0)</f>
        <v>Sepatu Wanita</v>
      </c>
      <c r="H123" t="str">
        <f t="shared" si="40"/>
        <v>5</v>
      </c>
      <c r="I123" t="str">
        <f t="shared" si="41"/>
        <v>5</v>
      </c>
      <c r="J123" s="18">
        <f>VLOOKUP(E123,Katalog!$C$3:$F$13,2,0)</f>
        <v>150000</v>
      </c>
      <c r="K123" s="18">
        <f>VLOOKUP(E123,Katalog!$C$3:$F$13,3,0)</f>
        <v>70000</v>
      </c>
      <c r="L123" t="str">
        <f t="shared" si="42"/>
        <v>-</v>
      </c>
      <c r="M123" t="str">
        <f>IFERROR(INDEX(Katalog!$B$4:$B$13,MATCH('Main Data'!L123,Katalog!$C$4:$C$13,0)), "-")</f>
        <v>-</v>
      </c>
      <c r="N123" t="str">
        <f>IFERROR(VLOOKUP(L123,Katalog!$A$15:$B$25,2,0),"-")</f>
        <v>-</v>
      </c>
      <c r="O123">
        <f t="shared" si="43"/>
        <v>0</v>
      </c>
      <c r="P123" t="str">
        <f t="shared" si="44"/>
        <v>-</v>
      </c>
      <c r="Q123" s="18">
        <f>IFERROR(VLOOKUP(L123,Katalog!$C$3:$F$13,2,0),0)</f>
        <v>0</v>
      </c>
      <c r="R123" s="18">
        <f>IFERROR(VLOOKUP(L123,Katalog!$C$3:$F$13,3,0),0)</f>
        <v>0</v>
      </c>
      <c r="S123" t="str">
        <f t="shared" si="45"/>
        <v>-</v>
      </c>
      <c r="T123" t="str">
        <f>IFERROR(INDEX(Katalog!$B$4:$B$13,MATCH('Main Data'!S123,Katalog!$C$4:$C$13,0)),"-")</f>
        <v>-</v>
      </c>
      <c r="U123" t="str">
        <f>IFERROR(VLOOKUP(S123,Katalog!$A$15:$B$25,2,0),"-")</f>
        <v>-</v>
      </c>
      <c r="V123">
        <f t="shared" si="46"/>
        <v>0</v>
      </c>
      <c r="W123" s="28" t="str">
        <f t="shared" si="47"/>
        <v>-</v>
      </c>
      <c r="X123" s="18">
        <f>IFERROR(VLOOKUP(S123,Katalog!$C$3:$F$13,2,0),0)</f>
        <v>0</v>
      </c>
      <c r="Y123" s="30">
        <f>IFERROR(VLOOKUP(S123,Katalog!$C$3:$F$13,3,0),0)</f>
        <v>0</v>
      </c>
      <c r="Z123" s="2">
        <f t="shared" si="48"/>
        <v>5</v>
      </c>
      <c r="AA123" s="4">
        <f t="shared" si="49"/>
        <v>750000</v>
      </c>
      <c r="AB123" s="4">
        <f t="shared" si="50"/>
        <v>350000</v>
      </c>
      <c r="AC123" s="4" t="s">
        <v>12</v>
      </c>
      <c r="AD123" s="16">
        <f>IFERROR(VLOOKUP(AC123,'Kode Diskon'!$C$2:$D$9,2,0),0)</f>
        <v>0.15</v>
      </c>
      <c r="AE123" s="31">
        <f t="shared" si="51"/>
        <v>112500</v>
      </c>
      <c r="AF123" s="31">
        <f t="shared" si="52"/>
        <v>637500</v>
      </c>
      <c r="AG123" s="31">
        <f t="shared" si="53"/>
        <v>400000</v>
      </c>
      <c r="AH123" s="31">
        <f t="shared" si="54"/>
        <v>287500</v>
      </c>
      <c r="AI123" s="4" t="s">
        <v>28</v>
      </c>
      <c r="AJ123" s="4" t="s">
        <v>6</v>
      </c>
      <c r="AK123" s="4" t="str">
        <f>IFERROR(VLOOKUP(AJ123,'Guide '!$A$13:$B$16,2,0),"-")</f>
        <v>SP</v>
      </c>
      <c r="AL123" s="4" t="s">
        <v>924</v>
      </c>
      <c r="AM123" s="40">
        <v>45341</v>
      </c>
      <c r="AN123">
        <f t="shared" si="55"/>
        <v>29</v>
      </c>
      <c r="AO123">
        <f t="shared" si="56"/>
        <v>32</v>
      </c>
      <c r="AP123">
        <f t="shared" si="57"/>
        <v>40</v>
      </c>
      <c r="AQ123">
        <f t="shared" si="58"/>
        <v>43</v>
      </c>
      <c r="AR123" s="26" t="str">
        <f t="shared" si="59"/>
        <v>-</v>
      </c>
      <c r="AS123" s="26" t="str">
        <f t="shared" si="60"/>
        <v>-</v>
      </c>
      <c r="AT123" s="21">
        <f t="shared" si="61"/>
        <v>12</v>
      </c>
      <c r="AU123" s="21">
        <f t="shared" si="62"/>
        <v>19</v>
      </c>
      <c r="AV123" t="str">
        <f t="shared" si="63"/>
        <v>-</v>
      </c>
      <c r="AW123" t="str">
        <f t="shared" si="64"/>
        <v>-</v>
      </c>
      <c r="AX123" t="str">
        <f t="shared" si="65"/>
        <v>-</v>
      </c>
      <c r="AY123" t="str">
        <f t="shared" si="66"/>
        <v>-</v>
      </c>
      <c r="AZ123" t="str">
        <f t="shared" si="67"/>
        <v>-</v>
      </c>
      <c r="BA123" t="str">
        <f t="shared" si="68"/>
        <v>-</v>
      </c>
      <c r="BB123" t="str">
        <f t="shared" si="69"/>
        <v>-</v>
      </c>
      <c r="BC123" t="str">
        <f t="shared" si="70"/>
        <v>-</v>
      </c>
      <c r="BD123" s="29" t="str">
        <f t="shared" si="71"/>
        <v>-</v>
      </c>
      <c r="BE123" s="29" t="str">
        <f t="shared" si="72"/>
        <v>-</v>
      </c>
    </row>
    <row r="124" spans="1:57" ht="15" x14ac:dyDescent="0.2">
      <c r="A124" s="2">
        <v>419</v>
      </c>
      <c r="B124" s="2" t="str">
        <f t="shared" si="37"/>
        <v>0419</v>
      </c>
      <c r="C124" t="str">
        <f t="shared" si="38"/>
        <v>ORD-BL-0419-19/02/24</v>
      </c>
      <c r="D124" s="3" t="s">
        <v>383</v>
      </c>
      <c r="E124" t="str">
        <f t="shared" si="39"/>
        <v>PW002</v>
      </c>
      <c r="F124" t="str">
        <f>INDEX(Katalog!$B$4:$B$13,MATCH('Main Data'!E124,Katalog!$C$4:$C$13,0))</f>
        <v>Blouse</v>
      </c>
      <c r="G124" t="str">
        <f>VLOOKUP(E124,Katalog!$A$15:$B$25,2,0)</f>
        <v>Pakaian Wanita</v>
      </c>
      <c r="H124" t="str">
        <f t="shared" si="40"/>
        <v>1</v>
      </c>
      <c r="I124" t="str">
        <f t="shared" si="41"/>
        <v>1</v>
      </c>
      <c r="J124" s="18">
        <f>VLOOKUP(E124,Katalog!$C$3:$F$13,2,0)</f>
        <v>125000</v>
      </c>
      <c r="K124" s="18">
        <f>VLOOKUP(E124,Katalog!$C$3:$F$13,3,0)</f>
        <v>50000</v>
      </c>
      <c r="L124" t="str">
        <f t="shared" si="42"/>
        <v>-</v>
      </c>
      <c r="M124" t="str">
        <f>IFERROR(INDEX(Katalog!$B$4:$B$13,MATCH('Main Data'!L124,Katalog!$C$4:$C$13,0)), "-")</f>
        <v>-</v>
      </c>
      <c r="N124" t="str">
        <f>IFERROR(VLOOKUP(L124,Katalog!$A$15:$B$25,2,0),"-")</f>
        <v>-</v>
      </c>
      <c r="O124">
        <f t="shared" si="43"/>
        <v>0</v>
      </c>
      <c r="P124" t="str">
        <f t="shared" si="44"/>
        <v>-</v>
      </c>
      <c r="Q124" s="18">
        <f>IFERROR(VLOOKUP(L124,Katalog!$C$3:$F$13,2,0),0)</f>
        <v>0</v>
      </c>
      <c r="R124" s="18">
        <f>IFERROR(VLOOKUP(L124,Katalog!$C$3:$F$13,3,0),0)</f>
        <v>0</v>
      </c>
      <c r="S124" t="str">
        <f t="shared" si="45"/>
        <v>-</v>
      </c>
      <c r="T124" t="str">
        <f>IFERROR(INDEX(Katalog!$B$4:$B$13,MATCH('Main Data'!S124,Katalog!$C$4:$C$13,0)),"-")</f>
        <v>-</v>
      </c>
      <c r="U124" t="str">
        <f>IFERROR(VLOOKUP(S124,Katalog!$A$15:$B$25,2,0),"-")</f>
        <v>-</v>
      </c>
      <c r="V124">
        <f t="shared" si="46"/>
        <v>0</v>
      </c>
      <c r="W124" s="28" t="str">
        <f t="shared" si="47"/>
        <v>-</v>
      </c>
      <c r="X124" s="18">
        <f>IFERROR(VLOOKUP(S124,Katalog!$C$3:$F$13,2,0),0)</f>
        <v>0</v>
      </c>
      <c r="Y124" s="30">
        <f>IFERROR(VLOOKUP(S124,Katalog!$C$3:$F$13,3,0),0)</f>
        <v>0</v>
      </c>
      <c r="Z124" s="2">
        <f t="shared" si="48"/>
        <v>1</v>
      </c>
      <c r="AA124" s="4">
        <f t="shared" si="49"/>
        <v>125000</v>
      </c>
      <c r="AB124" s="4">
        <f t="shared" si="50"/>
        <v>50000</v>
      </c>
      <c r="AC124" s="4" t="s">
        <v>31</v>
      </c>
      <c r="AD124" s="16">
        <f>IFERROR(VLOOKUP(AC124,'Kode Diskon'!$C$2:$D$9,2,0),0)</f>
        <v>0.15</v>
      </c>
      <c r="AE124" s="31">
        <f t="shared" si="51"/>
        <v>18750</v>
      </c>
      <c r="AF124" s="31">
        <f t="shared" si="52"/>
        <v>106250</v>
      </c>
      <c r="AG124" s="31">
        <f t="shared" si="53"/>
        <v>75000</v>
      </c>
      <c r="AH124" s="31">
        <f t="shared" si="54"/>
        <v>56250</v>
      </c>
      <c r="AI124" s="4" t="s">
        <v>8</v>
      </c>
      <c r="AJ124" s="4" t="s">
        <v>11</v>
      </c>
      <c r="AK124" s="4" t="str">
        <f>IFERROR(VLOOKUP(AJ124,'Guide '!$A$13:$B$16,2,0),"-")</f>
        <v>BL</v>
      </c>
      <c r="AL124" s="4" t="s">
        <v>925</v>
      </c>
      <c r="AM124" s="40">
        <v>45341</v>
      </c>
      <c r="AN124">
        <f t="shared" si="55"/>
        <v>29</v>
      </c>
      <c r="AO124">
        <f t="shared" si="56"/>
        <v>32</v>
      </c>
      <c r="AP124">
        <f t="shared" si="57"/>
        <v>40</v>
      </c>
      <c r="AQ124">
        <f t="shared" si="58"/>
        <v>43</v>
      </c>
      <c r="AR124" s="26" t="str">
        <f t="shared" si="59"/>
        <v>-</v>
      </c>
      <c r="AS124" s="26" t="str">
        <f t="shared" si="60"/>
        <v>-</v>
      </c>
      <c r="AT124" s="21">
        <f t="shared" si="61"/>
        <v>12</v>
      </c>
      <c r="AU124" s="21">
        <f t="shared" si="62"/>
        <v>19</v>
      </c>
      <c r="AV124" t="str">
        <f t="shared" si="63"/>
        <v>-</v>
      </c>
      <c r="AW124" t="str">
        <f t="shared" si="64"/>
        <v>-</v>
      </c>
      <c r="AX124" t="str">
        <f t="shared" si="65"/>
        <v>-</v>
      </c>
      <c r="AY124" t="str">
        <f t="shared" si="66"/>
        <v>-</v>
      </c>
      <c r="AZ124" t="str">
        <f t="shared" si="67"/>
        <v>-</v>
      </c>
      <c r="BA124" t="str">
        <f t="shared" si="68"/>
        <v>-</v>
      </c>
      <c r="BB124" t="str">
        <f t="shared" si="69"/>
        <v>-</v>
      </c>
      <c r="BC124" t="str">
        <f t="shared" si="70"/>
        <v>-</v>
      </c>
      <c r="BD124" s="29" t="str">
        <f t="shared" si="71"/>
        <v>-</v>
      </c>
      <c r="BE124" s="29" t="str">
        <f t="shared" si="72"/>
        <v>-</v>
      </c>
    </row>
    <row r="125" spans="1:57" ht="15" x14ac:dyDescent="0.2">
      <c r="A125" s="2">
        <v>474</v>
      </c>
      <c r="B125" s="2" t="str">
        <f t="shared" si="37"/>
        <v>0474</v>
      </c>
      <c r="C125" t="str">
        <f t="shared" si="38"/>
        <v>ORD-TK-0474-19/02/24</v>
      </c>
      <c r="D125" s="3" t="s">
        <v>510</v>
      </c>
      <c r="E125" t="str">
        <f t="shared" si="39"/>
        <v>PW001</v>
      </c>
      <c r="F125" t="str">
        <f>INDEX(Katalog!$B$4:$B$13,MATCH('Main Data'!E125,Katalog!$C$4:$C$13,0))</f>
        <v>Dress</v>
      </c>
      <c r="G125" t="str">
        <f>VLOOKUP(E125,Katalog!$A$15:$B$25,2,0)</f>
        <v>Pakaian Wanita</v>
      </c>
      <c r="H125" t="str">
        <f t="shared" si="40"/>
        <v>1</v>
      </c>
      <c r="I125" t="str">
        <f t="shared" si="41"/>
        <v>1</v>
      </c>
      <c r="J125" s="18">
        <f>VLOOKUP(E125,Katalog!$C$3:$F$13,2,0)</f>
        <v>150000</v>
      </c>
      <c r="K125" s="18">
        <f>VLOOKUP(E125,Katalog!$C$3:$F$13,3,0)</f>
        <v>55000</v>
      </c>
      <c r="L125" t="str">
        <f t="shared" si="42"/>
        <v>PP001</v>
      </c>
      <c r="M125" t="str">
        <f>IFERROR(INDEX(Katalog!$B$4:$B$13,MATCH('Main Data'!L125,Katalog!$C$4:$C$13,0)), "-")</f>
        <v>Kaos Polo</v>
      </c>
      <c r="N125" t="str">
        <f>IFERROR(VLOOKUP(L125,Katalog!$A$15:$B$25,2,0),"-")</f>
        <v>Pakaian Pria</v>
      </c>
      <c r="O125" t="str">
        <f t="shared" si="43"/>
        <v>1</v>
      </c>
      <c r="P125" t="str">
        <f t="shared" si="44"/>
        <v>5</v>
      </c>
      <c r="Q125" s="18">
        <f>IFERROR(VLOOKUP(L125,Katalog!$C$3:$F$13,2,0),0)</f>
        <v>80000</v>
      </c>
      <c r="R125" s="18">
        <f>IFERROR(VLOOKUP(L125,Katalog!$C$3:$F$13,3,0),0)</f>
        <v>30000</v>
      </c>
      <c r="S125" t="str">
        <f t="shared" si="45"/>
        <v>PW002</v>
      </c>
      <c r="T125" t="str">
        <f>IFERROR(INDEX(Katalog!$B$4:$B$13,MATCH('Main Data'!S125,Katalog!$C$4:$C$13,0)),"-")</f>
        <v>Blouse</v>
      </c>
      <c r="U125" t="str">
        <f>IFERROR(VLOOKUP(S125,Katalog!$A$15:$B$25,2,0),"-")</f>
        <v>Pakaian Wanita</v>
      </c>
      <c r="V125" t="str">
        <f t="shared" si="46"/>
        <v>3</v>
      </c>
      <c r="W125" s="28" t="str">
        <f t="shared" si="47"/>
        <v>4</v>
      </c>
      <c r="X125" s="18">
        <f>IFERROR(VLOOKUP(S125,Katalog!$C$3:$F$13,2,0),0)</f>
        <v>125000</v>
      </c>
      <c r="Y125" s="30">
        <f>IFERROR(VLOOKUP(S125,Katalog!$C$3:$F$13,3,0),0)</f>
        <v>50000</v>
      </c>
      <c r="Z125" s="2">
        <f t="shared" si="48"/>
        <v>5</v>
      </c>
      <c r="AA125" s="4">
        <f t="shared" si="49"/>
        <v>605000</v>
      </c>
      <c r="AB125" s="4">
        <f t="shared" si="50"/>
        <v>235000</v>
      </c>
      <c r="AC125" s="4" t="s">
        <v>30</v>
      </c>
      <c r="AD125" s="16">
        <f>IFERROR(VLOOKUP(AC125,'Kode Diskon'!$C$2:$D$9,2,0),0)</f>
        <v>0.1</v>
      </c>
      <c r="AE125" s="31">
        <f t="shared" si="51"/>
        <v>60500</v>
      </c>
      <c r="AF125" s="31">
        <f t="shared" si="52"/>
        <v>544500</v>
      </c>
      <c r="AG125" s="31">
        <f t="shared" si="53"/>
        <v>370000</v>
      </c>
      <c r="AH125" s="31">
        <f t="shared" si="54"/>
        <v>309500</v>
      </c>
      <c r="AI125" s="4" t="s">
        <v>8</v>
      </c>
      <c r="AJ125" s="4" t="s">
        <v>9</v>
      </c>
      <c r="AK125" s="4" t="str">
        <f>IFERROR(VLOOKUP(AJ125,'Guide '!$A$13:$B$16,2,0),"-")</f>
        <v>TK</v>
      </c>
      <c r="AL125" s="4" t="s">
        <v>925</v>
      </c>
      <c r="AM125" s="40">
        <v>45341</v>
      </c>
      <c r="AN125">
        <f t="shared" si="55"/>
        <v>29</v>
      </c>
      <c r="AO125">
        <f t="shared" si="56"/>
        <v>32</v>
      </c>
      <c r="AP125">
        <f t="shared" si="57"/>
        <v>40</v>
      </c>
      <c r="AQ125">
        <f t="shared" si="58"/>
        <v>43</v>
      </c>
      <c r="AR125" s="26">
        <f t="shared" si="59"/>
        <v>56</v>
      </c>
      <c r="AS125" s="26">
        <f t="shared" si="60"/>
        <v>63</v>
      </c>
      <c r="AT125" s="21">
        <f t="shared" si="61"/>
        <v>12</v>
      </c>
      <c r="AU125" s="21">
        <f t="shared" si="62"/>
        <v>19</v>
      </c>
      <c r="AV125">
        <f t="shared" si="63"/>
        <v>73</v>
      </c>
      <c r="AW125">
        <f t="shared" si="64"/>
        <v>76</v>
      </c>
      <c r="AX125">
        <f t="shared" si="65"/>
        <v>84</v>
      </c>
      <c r="AY125">
        <f t="shared" si="66"/>
        <v>87</v>
      </c>
      <c r="AZ125">
        <f t="shared" si="67"/>
        <v>100</v>
      </c>
      <c r="BA125">
        <f t="shared" si="68"/>
        <v>107</v>
      </c>
      <c r="BB125">
        <f t="shared" si="69"/>
        <v>117</v>
      </c>
      <c r="BC125">
        <f t="shared" si="70"/>
        <v>120</v>
      </c>
      <c r="BD125" s="29">
        <f t="shared" si="71"/>
        <v>128</v>
      </c>
      <c r="BE125" s="29">
        <f t="shared" si="72"/>
        <v>131</v>
      </c>
    </row>
    <row r="126" spans="1:57" ht="15" x14ac:dyDescent="0.2">
      <c r="A126" s="2">
        <v>693</v>
      </c>
      <c r="B126" s="2" t="str">
        <f t="shared" si="37"/>
        <v>0693</v>
      </c>
      <c r="C126" t="str">
        <f t="shared" si="38"/>
        <v>ORD-SP-0693-19/02/24</v>
      </c>
      <c r="D126" s="3" t="s">
        <v>689</v>
      </c>
      <c r="E126" t="str">
        <f t="shared" si="39"/>
        <v>PW003</v>
      </c>
      <c r="F126" t="str">
        <f>INDEX(Katalog!$B$4:$B$13,MATCH('Main Data'!E126,Katalog!$C$4:$C$13,0))</f>
        <v>Kaftan</v>
      </c>
      <c r="G126" t="str">
        <f>VLOOKUP(E126,Katalog!$A$15:$B$25,2,0)</f>
        <v>Pakaian Wanita</v>
      </c>
      <c r="H126" t="str">
        <f t="shared" si="40"/>
        <v>4</v>
      </c>
      <c r="I126" t="str">
        <f t="shared" si="41"/>
        <v>2</v>
      </c>
      <c r="J126" s="18">
        <f>VLOOKUP(E126,Katalog!$C$3:$F$13,2,0)</f>
        <v>200000</v>
      </c>
      <c r="K126" s="18">
        <f>VLOOKUP(E126,Katalog!$C$3:$F$13,3,0)</f>
        <v>100000</v>
      </c>
      <c r="L126" t="str">
        <f t="shared" si="42"/>
        <v>PW002</v>
      </c>
      <c r="M126" t="str">
        <f>IFERROR(INDEX(Katalog!$B$4:$B$13,MATCH('Main Data'!L126,Katalog!$C$4:$C$13,0)), "-")</f>
        <v>Blouse</v>
      </c>
      <c r="N126" t="str">
        <f>IFERROR(VLOOKUP(L126,Katalog!$A$15:$B$25,2,0),"-")</f>
        <v>Pakaian Wanita</v>
      </c>
      <c r="O126" t="str">
        <f t="shared" si="43"/>
        <v>1</v>
      </c>
      <c r="P126" t="str">
        <f t="shared" si="44"/>
        <v>5</v>
      </c>
      <c r="Q126" s="18">
        <f>IFERROR(VLOOKUP(L126,Katalog!$C$3:$F$13,2,0),0)</f>
        <v>125000</v>
      </c>
      <c r="R126" s="18">
        <f>IFERROR(VLOOKUP(L126,Katalog!$C$3:$F$13,3,0),0)</f>
        <v>50000</v>
      </c>
      <c r="S126" t="str">
        <f t="shared" si="45"/>
        <v>-</v>
      </c>
      <c r="T126" t="str">
        <f>IFERROR(INDEX(Katalog!$B$4:$B$13,MATCH('Main Data'!S126,Katalog!$C$4:$C$13,0)),"-")</f>
        <v>-</v>
      </c>
      <c r="U126" t="str">
        <f>IFERROR(VLOOKUP(S126,Katalog!$A$15:$B$25,2,0),"-")</f>
        <v>-</v>
      </c>
      <c r="V126">
        <f t="shared" si="46"/>
        <v>0</v>
      </c>
      <c r="W126" s="28" t="str">
        <f t="shared" si="47"/>
        <v>-</v>
      </c>
      <c r="X126" s="18">
        <f>IFERROR(VLOOKUP(S126,Katalog!$C$3:$F$13,2,0),0)</f>
        <v>0</v>
      </c>
      <c r="Y126" s="30">
        <f>IFERROR(VLOOKUP(S126,Katalog!$C$3:$F$13,3,0),0)</f>
        <v>0</v>
      </c>
      <c r="Z126" s="2">
        <f t="shared" si="48"/>
        <v>5</v>
      </c>
      <c r="AA126" s="4">
        <f t="shared" si="49"/>
        <v>925000</v>
      </c>
      <c r="AB126" s="4">
        <f t="shared" si="50"/>
        <v>450000</v>
      </c>
      <c r="AC126" s="4" t="s">
        <v>12</v>
      </c>
      <c r="AD126" s="16">
        <f>IFERROR(VLOOKUP(AC126,'Kode Diskon'!$C$2:$D$9,2,0),0)</f>
        <v>0.15</v>
      </c>
      <c r="AE126" s="31">
        <f t="shared" si="51"/>
        <v>138750</v>
      </c>
      <c r="AF126" s="31">
        <f t="shared" si="52"/>
        <v>786250</v>
      </c>
      <c r="AG126" s="31">
        <f t="shared" si="53"/>
        <v>475000</v>
      </c>
      <c r="AH126" s="31">
        <f t="shared" si="54"/>
        <v>336250</v>
      </c>
      <c r="AI126" s="4" t="s">
        <v>28</v>
      </c>
      <c r="AJ126" s="4" t="s">
        <v>6</v>
      </c>
      <c r="AK126" s="4" t="str">
        <f>IFERROR(VLOOKUP(AJ126,'Guide '!$A$13:$B$16,2,0),"-")</f>
        <v>SP</v>
      </c>
      <c r="AL126" s="4" t="s">
        <v>923</v>
      </c>
      <c r="AM126" s="40">
        <v>45341</v>
      </c>
      <c r="AN126">
        <f t="shared" si="55"/>
        <v>29</v>
      </c>
      <c r="AO126">
        <f t="shared" si="56"/>
        <v>32</v>
      </c>
      <c r="AP126">
        <f t="shared" si="57"/>
        <v>40</v>
      </c>
      <c r="AQ126">
        <f t="shared" si="58"/>
        <v>43</v>
      </c>
      <c r="AR126" s="26">
        <f t="shared" si="59"/>
        <v>56</v>
      </c>
      <c r="AS126" s="26">
        <f t="shared" si="60"/>
        <v>63</v>
      </c>
      <c r="AT126" s="21">
        <f t="shared" si="61"/>
        <v>12</v>
      </c>
      <c r="AU126" s="21">
        <f t="shared" si="62"/>
        <v>19</v>
      </c>
      <c r="AV126">
        <f t="shared" si="63"/>
        <v>73</v>
      </c>
      <c r="AW126">
        <f t="shared" si="64"/>
        <v>76</v>
      </c>
      <c r="AX126">
        <f t="shared" si="65"/>
        <v>84</v>
      </c>
      <c r="AY126">
        <f t="shared" si="66"/>
        <v>87</v>
      </c>
      <c r="AZ126" t="str">
        <f t="shared" si="67"/>
        <v>-</v>
      </c>
      <c r="BA126" t="str">
        <f t="shared" si="68"/>
        <v>-</v>
      </c>
      <c r="BB126" t="str">
        <f t="shared" si="69"/>
        <v>-</v>
      </c>
      <c r="BC126" t="str">
        <f t="shared" si="70"/>
        <v>-</v>
      </c>
      <c r="BD126" s="29" t="str">
        <f t="shared" si="71"/>
        <v>-</v>
      </c>
      <c r="BE126" s="29" t="str">
        <f t="shared" si="72"/>
        <v>-</v>
      </c>
    </row>
    <row r="127" spans="1:57" ht="15" x14ac:dyDescent="0.2">
      <c r="A127" s="2">
        <v>862</v>
      </c>
      <c r="B127" s="2" t="str">
        <f t="shared" si="37"/>
        <v>0862</v>
      </c>
      <c r="C127" t="str">
        <f t="shared" si="38"/>
        <v>ORD-BB-0862-19/02/24</v>
      </c>
      <c r="D127" s="3" t="s">
        <v>274</v>
      </c>
      <c r="E127" t="str">
        <f t="shared" si="39"/>
        <v>SP002</v>
      </c>
      <c r="F127" t="str">
        <f>INDEX(Katalog!$B$4:$B$13,MATCH('Main Data'!E127,Katalog!$C$4:$C$13,0))</f>
        <v>Sandal Slip On</v>
      </c>
      <c r="G127" t="str">
        <f>VLOOKUP(E127,Katalog!$A$15:$B$25,2,0)</f>
        <v>Sepatu Pria</v>
      </c>
      <c r="H127" t="str">
        <f t="shared" si="40"/>
        <v>1</v>
      </c>
      <c r="I127" t="str">
        <f t="shared" si="41"/>
        <v>5</v>
      </c>
      <c r="J127" s="18">
        <f>VLOOKUP(E127,Katalog!$C$3:$F$13,2,0)</f>
        <v>120000</v>
      </c>
      <c r="K127" s="18">
        <f>VLOOKUP(E127,Katalog!$C$3:$F$13,3,0)</f>
        <v>60000</v>
      </c>
      <c r="L127" t="str">
        <f t="shared" si="42"/>
        <v>-</v>
      </c>
      <c r="M127" t="str">
        <f>IFERROR(INDEX(Katalog!$B$4:$B$13,MATCH('Main Data'!L127,Katalog!$C$4:$C$13,0)), "-")</f>
        <v>-</v>
      </c>
      <c r="N127" t="str">
        <f>IFERROR(VLOOKUP(L127,Katalog!$A$15:$B$25,2,0),"-")</f>
        <v>-</v>
      </c>
      <c r="O127">
        <f t="shared" si="43"/>
        <v>0</v>
      </c>
      <c r="P127" t="str">
        <f t="shared" si="44"/>
        <v>-</v>
      </c>
      <c r="Q127" s="18">
        <f>IFERROR(VLOOKUP(L127,Katalog!$C$3:$F$13,2,0),0)</f>
        <v>0</v>
      </c>
      <c r="R127" s="18">
        <f>IFERROR(VLOOKUP(L127,Katalog!$C$3:$F$13,3,0),0)</f>
        <v>0</v>
      </c>
      <c r="S127" t="str">
        <f t="shared" si="45"/>
        <v>-</v>
      </c>
      <c r="T127" t="str">
        <f>IFERROR(INDEX(Katalog!$B$4:$B$13,MATCH('Main Data'!S127,Katalog!$C$4:$C$13,0)),"-")</f>
        <v>-</v>
      </c>
      <c r="U127" t="str">
        <f>IFERROR(VLOOKUP(S127,Katalog!$A$15:$B$25,2,0),"-")</f>
        <v>-</v>
      </c>
      <c r="V127">
        <f t="shared" si="46"/>
        <v>0</v>
      </c>
      <c r="W127" s="28" t="str">
        <f t="shared" si="47"/>
        <v>-</v>
      </c>
      <c r="X127" s="18">
        <f>IFERROR(VLOOKUP(S127,Katalog!$C$3:$F$13,2,0),0)</f>
        <v>0</v>
      </c>
      <c r="Y127" s="30">
        <f>IFERROR(VLOOKUP(S127,Katalog!$C$3:$F$13,3,0),0)</f>
        <v>0</v>
      </c>
      <c r="Z127" s="2">
        <f t="shared" si="48"/>
        <v>1</v>
      </c>
      <c r="AA127" s="4">
        <f t="shared" si="49"/>
        <v>120000</v>
      </c>
      <c r="AB127" s="4">
        <f t="shared" si="50"/>
        <v>60000</v>
      </c>
      <c r="AC127" s="4" t="s">
        <v>10</v>
      </c>
      <c r="AD127" s="16">
        <f>IFERROR(VLOOKUP(AC127,'Kode Diskon'!$C$2:$D$9,2,0),0)</f>
        <v>0</v>
      </c>
      <c r="AE127" s="31">
        <f t="shared" si="51"/>
        <v>0</v>
      </c>
      <c r="AF127" s="31">
        <f t="shared" si="52"/>
        <v>120000</v>
      </c>
      <c r="AG127" s="31">
        <f t="shared" si="53"/>
        <v>60000</v>
      </c>
      <c r="AH127" s="31">
        <f t="shared" si="54"/>
        <v>60000</v>
      </c>
      <c r="AI127" s="4" t="s">
        <v>10</v>
      </c>
      <c r="AJ127" s="4" t="s">
        <v>13</v>
      </c>
      <c r="AK127" s="4" t="str">
        <f>IFERROR(VLOOKUP(AJ127,'Guide '!$A$13:$B$16,2,0),"-")</f>
        <v>BB</v>
      </c>
      <c r="AL127" s="4" t="s">
        <v>924</v>
      </c>
      <c r="AM127" s="40">
        <v>45341</v>
      </c>
      <c r="AN127">
        <f t="shared" si="55"/>
        <v>29</v>
      </c>
      <c r="AO127">
        <f t="shared" si="56"/>
        <v>32</v>
      </c>
      <c r="AP127">
        <f t="shared" si="57"/>
        <v>40</v>
      </c>
      <c r="AQ127">
        <f t="shared" si="58"/>
        <v>43</v>
      </c>
      <c r="AR127" s="26" t="str">
        <f t="shared" si="59"/>
        <v>-</v>
      </c>
      <c r="AS127" s="26" t="str">
        <f t="shared" si="60"/>
        <v>-</v>
      </c>
      <c r="AT127" s="21">
        <f t="shared" si="61"/>
        <v>12</v>
      </c>
      <c r="AU127" s="21">
        <f t="shared" si="62"/>
        <v>19</v>
      </c>
      <c r="AV127" t="str">
        <f t="shared" si="63"/>
        <v>-</v>
      </c>
      <c r="AW127" t="str">
        <f t="shared" si="64"/>
        <v>-</v>
      </c>
      <c r="AX127" t="str">
        <f t="shared" si="65"/>
        <v>-</v>
      </c>
      <c r="AY127" t="str">
        <f t="shared" si="66"/>
        <v>-</v>
      </c>
      <c r="AZ127" t="str">
        <f t="shared" si="67"/>
        <v>-</v>
      </c>
      <c r="BA127" t="str">
        <f t="shared" si="68"/>
        <v>-</v>
      </c>
      <c r="BB127" t="str">
        <f t="shared" si="69"/>
        <v>-</v>
      </c>
      <c r="BC127" t="str">
        <f t="shared" si="70"/>
        <v>-</v>
      </c>
      <c r="BD127" s="29" t="str">
        <f t="shared" si="71"/>
        <v>-</v>
      </c>
      <c r="BE127" s="29" t="str">
        <f t="shared" si="72"/>
        <v>-</v>
      </c>
    </row>
    <row r="128" spans="1:57" ht="15" x14ac:dyDescent="0.2">
      <c r="A128" s="2">
        <v>922</v>
      </c>
      <c r="B128" s="2" t="str">
        <f t="shared" si="37"/>
        <v>0922</v>
      </c>
      <c r="C128" t="str">
        <f t="shared" si="38"/>
        <v>ORD-SP-0922-19/02/24</v>
      </c>
      <c r="D128" s="3" t="s">
        <v>855</v>
      </c>
      <c r="E128" t="str">
        <f t="shared" si="39"/>
        <v>PW003</v>
      </c>
      <c r="F128" t="str">
        <f>INDEX(Katalog!$B$4:$B$13,MATCH('Main Data'!E128,Katalog!$C$4:$C$13,0))</f>
        <v>Kaftan</v>
      </c>
      <c r="G128" t="str">
        <f>VLOOKUP(E128,Katalog!$A$15:$B$25,2,0)</f>
        <v>Pakaian Wanita</v>
      </c>
      <c r="H128" t="str">
        <f t="shared" si="40"/>
        <v>1</v>
      </c>
      <c r="I128" t="str">
        <f t="shared" si="41"/>
        <v>1</v>
      </c>
      <c r="J128" s="18">
        <f>VLOOKUP(E128,Katalog!$C$3:$F$13,2,0)</f>
        <v>200000</v>
      </c>
      <c r="K128" s="18">
        <f>VLOOKUP(E128,Katalog!$C$3:$F$13,3,0)</f>
        <v>100000</v>
      </c>
      <c r="L128" t="str">
        <f t="shared" si="42"/>
        <v>PP003</v>
      </c>
      <c r="M128" t="str">
        <f>IFERROR(INDEX(Katalog!$B$4:$B$13,MATCH('Main Data'!L128,Katalog!$C$4:$C$13,0)), "-")</f>
        <v>Jaket Jeans</v>
      </c>
      <c r="N128" t="str">
        <f>IFERROR(VLOOKUP(L128,Katalog!$A$15:$B$25,2,0),"-")</f>
        <v>Pakaian Pria</v>
      </c>
      <c r="O128" t="str">
        <f t="shared" si="43"/>
        <v>4</v>
      </c>
      <c r="P128" t="str">
        <f t="shared" si="44"/>
        <v>3</v>
      </c>
      <c r="Q128" s="18">
        <f>IFERROR(VLOOKUP(L128,Katalog!$C$3:$F$13,2,0),0)</f>
        <v>150000</v>
      </c>
      <c r="R128" s="18">
        <f>IFERROR(VLOOKUP(L128,Katalog!$C$3:$F$13,3,0),0)</f>
        <v>70000</v>
      </c>
      <c r="S128" t="str">
        <f t="shared" si="45"/>
        <v>PU001</v>
      </c>
      <c r="T128" t="str">
        <f>IFERROR(INDEX(Katalog!$B$4:$B$13,MATCH('Main Data'!S128,Katalog!$C$4:$C$13,0)),"-")</f>
        <v>Jaket Hoodie</v>
      </c>
      <c r="U128" t="str">
        <f>IFERROR(VLOOKUP(S128,Katalog!$A$15:$B$25,2,0),"-")</f>
        <v>Pakaian Unisex</v>
      </c>
      <c r="V128" t="str">
        <f t="shared" si="46"/>
        <v>1</v>
      </c>
      <c r="W128" s="28" t="str">
        <f t="shared" si="47"/>
        <v>5</v>
      </c>
      <c r="X128" s="18">
        <f>IFERROR(VLOOKUP(S128,Katalog!$C$3:$F$13,2,0),0)</f>
        <v>160000</v>
      </c>
      <c r="Y128" s="30">
        <f>IFERROR(VLOOKUP(S128,Katalog!$C$3:$F$13,3,0),0)</f>
        <v>60000</v>
      </c>
      <c r="Z128" s="2">
        <f t="shared" si="48"/>
        <v>6</v>
      </c>
      <c r="AA128" s="4">
        <f t="shared" si="49"/>
        <v>960000</v>
      </c>
      <c r="AB128" s="4">
        <f t="shared" si="50"/>
        <v>440000</v>
      </c>
      <c r="AC128" s="4" t="s">
        <v>5</v>
      </c>
      <c r="AD128" s="16">
        <f>IFERROR(VLOOKUP(AC128,'Kode Diskon'!$C$2:$D$9,2,0),0)</f>
        <v>0.1</v>
      </c>
      <c r="AE128" s="31">
        <f t="shared" si="51"/>
        <v>96000</v>
      </c>
      <c r="AF128" s="31">
        <f t="shared" si="52"/>
        <v>864000</v>
      </c>
      <c r="AG128" s="31">
        <f t="shared" si="53"/>
        <v>520000</v>
      </c>
      <c r="AH128" s="31">
        <f t="shared" si="54"/>
        <v>424000</v>
      </c>
      <c r="AI128" s="4" t="s">
        <v>28</v>
      </c>
      <c r="AJ128" s="4" t="s">
        <v>6</v>
      </c>
      <c r="AK128" s="4" t="str">
        <f>IFERROR(VLOOKUP(AJ128,'Guide '!$A$13:$B$16,2,0),"-")</f>
        <v>SP</v>
      </c>
      <c r="AL128" s="4" t="s">
        <v>924</v>
      </c>
      <c r="AM128" s="40">
        <v>45341</v>
      </c>
      <c r="AN128">
        <f t="shared" si="55"/>
        <v>29</v>
      </c>
      <c r="AO128">
        <f t="shared" si="56"/>
        <v>32</v>
      </c>
      <c r="AP128">
        <f t="shared" si="57"/>
        <v>40</v>
      </c>
      <c r="AQ128">
        <f t="shared" si="58"/>
        <v>43</v>
      </c>
      <c r="AR128" s="26">
        <f t="shared" si="59"/>
        <v>56</v>
      </c>
      <c r="AS128" s="26">
        <f t="shared" si="60"/>
        <v>63</v>
      </c>
      <c r="AT128" s="21">
        <f t="shared" si="61"/>
        <v>12</v>
      </c>
      <c r="AU128" s="21">
        <f t="shared" si="62"/>
        <v>19</v>
      </c>
      <c r="AV128">
        <f t="shared" si="63"/>
        <v>73</v>
      </c>
      <c r="AW128">
        <f t="shared" si="64"/>
        <v>76</v>
      </c>
      <c r="AX128">
        <f t="shared" si="65"/>
        <v>84</v>
      </c>
      <c r="AY128">
        <f t="shared" si="66"/>
        <v>87</v>
      </c>
      <c r="AZ128">
        <f t="shared" si="67"/>
        <v>100</v>
      </c>
      <c r="BA128">
        <f t="shared" si="68"/>
        <v>107</v>
      </c>
      <c r="BB128">
        <f t="shared" si="69"/>
        <v>117</v>
      </c>
      <c r="BC128">
        <f t="shared" si="70"/>
        <v>120</v>
      </c>
      <c r="BD128" s="29">
        <f t="shared" si="71"/>
        <v>128</v>
      </c>
      <c r="BE128" s="29">
        <f t="shared" si="72"/>
        <v>131</v>
      </c>
    </row>
    <row r="129" spans="1:57" ht="15" x14ac:dyDescent="0.2">
      <c r="A129" s="2">
        <v>223</v>
      </c>
      <c r="B129" s="2" t="str">
        <f t="shared" si="37"/>
        <v>0223</v>
      </c>
      <c r="C129" t="str">
        <f t="shared" si="38"/>
        <v>ORD-TK-0223-20/02/24</v>
      </c>
      <c r="D129" s="3" t="s">
        <v>291</v>
      </c>
      <c r="E129" t="str">
        <f t="shared" si="39"/>
        <v>PW003</v>
      </c>
      <c r="F129" t="str">
        <f>INDEX(Katalog!$B$4:$B$13,MATCH('Main Data'!E129,Katalog!$C$4:$C$13,0))</f>
        <v>Kaftan</v>
      </c>
      <c r="G129" t="str">
        <f>VLOOKUP(E129,Katalog!$A$15:$B$25,2,0)</f>
        <v>Pakaian Wanita</v>
      </c>
      <c r="H129" t="str">
        <f t="shared" si="40"/>
        <v>5</v>
      </c>
      <c r="I129" t="str">
        <f t="shared" si="41"/>
        <v>3</v>
      </c>
      <c r="J129" s="18">
        <f>VLOOKUP(E129,Katalog!$C$3:$F$13,2,0)</f>
        <v>200000</v>
      </c>
      <c r="K129" s="18">
        <f>VLOOKUP(E129,Katalog!$C$3:$F$13,3,0)</f>
        <v>100000</v>
      </c>
      <c r="L129" t="str">
        <f t="shared" si="42"/>
        <v>-</v>
      </c>
      <c r="M129" t="str">
        <f>IFERROR(INDEX(Katalog!$B$4:$B$13,MATCH('Main Data'!L129,Katalog!$C$4:$C$13,0)), "-")</f>
        <v>-</v>
      </c>
      <c r="N129" t="str">
        <f>IFERROR(VLOOKUP(L129,Katalog!$A$15:$B$25,2,0),"-")</f>
        <v>-</v>
      </c>
      <c r="O129">
        <f t="shared" si="43"/>
        <v>0</v>
      </c>
      <c r="P129" t="str">
        <f t="shared" si="44"/>
        <v>-</v>
      </c>
      <c r="Q129" s="18">
        <f>IFERROR(VLOOKUP(L129,Katalog!$C$3:$F$13,2,0),0)</f>
        <v>0</v>
      </c>
      <c r="R129" s="18">
        <f>IFERROR(VLOOKUP(L129,Katalog!$C$3:$F$13,3,0),0)</f>
        <v>0</v>
      </c>
      <c r="S129" t="str">
        <f t="shared" si="45"/>
        <v>-</v>
      </c>
      <c r="T129" t="str">
        <f>IFERROR(INDEX(Katalog!$B$4:$B$13,MATCH('Main Data'!S129,Katalog!$C$4:$C$13,0)),"-")</f>
        <v>-</v>
      </c>
      <c r="U129" t="str">
        <f>IFERROR(VLOOKUP(S129,Katalog!$A$15:$B$25,2,0),"-")</f>
        <v>-</v>
      </c>
      <c r="V129">
        <f t="shared" si="46"/>
        <v>0</v>
      </c>
      <c r="W129" s="28" t="str">
        <f t="shared" si="47"/>
        <v>-</v>
      </c>
      <c r="X129" s="18">
        <f>IFERROR(VLOOKUP(S129,Katalog!$C$3:$F$13,2,0),0)</f>
        <v>0</v>
      </c>
      <c r="Y129" s="30">
        <f>IFERROR(VLOOKUP(S129,Katalog!$C$3:$F$13,3,0),0)</f>
        <v>0</v>
      </c>
      <c r="Z129" s="2">
        <f t="shared" si="48"/>
        <v>5</v>
      </c>
      <c r="AA129" s="4">
        <f t="shared" si="49"/>
        <v>1000000</v>
      </c>
      <c r="AB129" s="4">
        <f t="shared" si="50"/>
        <v>500000</v>
      </c>
      <c r="AC129" s="4" t="s">
        <v>29</v>
      </c>
      <c r="AD129" s="16">
        <f>IFERROR(VLOOKUP(AC129,'Kode Diskon'!$C$2:$D$9,2,0),0)</f>
        <v>0.1</v>
      </c>
      <c r="AE129" s="31">
        <f t="shared" si="51"/>
        <v>100000</v>
      </c>
      <c r="AF129" s="31">
        <f t="shared" si="52"/>
        <v>900000</v>
      </c>
      <c r="AG129" s="31">
        <f t="shared" si="53"/>
        <v>500000</v>
      </c>
      <c r="AH129" s="31">
        <f t="shared" si="54"/>
        <v>400000</v>
      </c>
      <c r="AI129" s="4" t="s">
        <v>28</v>
      </c>
      <c r="AJ129" s="4" t="s">
        <v>9</v>
      </c>
      <c r="AK129" s="4" t="str">
        <f>IFERROR(VLOOKUP(AJ129,'Guide '!$A$13:$B$16,2,0),"-")</f>
        <v>TK</v>
      </c>
      <c r="AL129" s="4" t="s">
        <v>925</v>
      </c>
      <c r="AM129" s="40">
        <v>45342</v>
      </c>
      <c r="AN129">
        <f t="shared" si="55"/>
        <v>29</v>
      </c>
      <c r="AO129">
        <f t="shared" si="56"/>
        <v>32</v>
      </c>
      <c r="AP129">
        <f t="shared" si="57"/>
        <v>40</v>
      </c>
      <c r="AQ129">
        <f t="shared" si="58"/>
        <v>43</v>
      </c>
      <c r="AR129" s="26" t="str">
        <f t="shared" si="59"/>
        <v>-</v>
      </c>
      <c r="AS129" s="26" t="str">
        <f t="shared" si="60"/>
        <v>-</v>
      </c>
      <c r="AT129" s="21">
        <f t="shared" si="61"/>
        <v>12</v>
      </c>
      <c r="AU129" s="21">
        <f t="shared" si="62"/>
        <v>19</v>
      </c>
      <c r="AV129" t="str">
        <f t="shared" si="63"/>
        <v>-</v>
      </c>
      <c r="AW129" t="str">
        <f t="shared" si="64"/>
        <v>-</v>
      </c>
      <c r="AX129" t="str">
        <f t="shared" si="65"/>
        <v>-</v>
      </c>
      <c r="AY129" t="str">
        <f t="shared" si="66"/>
        <v>-</v>
      </c>
      <c r="AZ129" t="str">
        <f t="shared" si="67"/>
        <v>-</v>
      </c>
      <c r="BA129" t="str">
        <f t="shared" si="68"/>
        <v>-</v>
      </c>
      <c r="BB129" t="str">
        <f t="shared" si="69"/>
        <v>-</v>
      </c>
      <c r="BC129" t="str">
        <f t="shared" si="70"/>
        <v>-</v>
      </c>
      <c r="BD129" s="29" t="str">
        <f t="shared" si="71"/>
        <v>-</v>
      </c>
      <c r="BE129" s="29" t="str">
        <f t="shared" si="72"/>
        <v>-</v>
      </c>
    </row>
    <row r="130" spans="1:57" ht="15" x14ac:dyDescent="0.2">
      <c r="A130" s="2">
        <v>425</v>
      </c>
      <c r="B130" s="2" t="str">
        <f t="shared" si="37"/>
        <v>0425</v>
      </c>
      <c r="C130" t="str">
        <f t="shared" si="38"/>
        <v>ORD-SP-0425-20/02/24</v>
      </c>
      <c r="D130" s="3" t="s">
        <v>468</v>
      </c>
      <c r="E130" t="str">
        <f t="shared" si="39"/>
        <v>PW002</v>
      </c>
      <c r="F130" t="str">
        <f>INDEX(Katalog!$B$4:$B$13,MATCH('Main Data'!E130,Katalog!$C$4:$C$13,0))</f>
        <v>Blouse</v>
      </c>
      <c r="G130" t="str">
        <f>VLOOKUP(E130,Katalog!$A$15:$B$25,2,0)</f>
        <v>Pakaian Wanita</v>
      </c>
      <c r="H130" t="str">
        <f t="shared" si="40"/>
        <v>6</v>
      </c>
      <c r="I130" t="str">
        <f t="shared" si="41"/>
        <v>1</v>
      </c>
      <c r="J130" s="18">
        <f>VLOOKUP(E130,Katalog!$C$3:$F$13,2,0)</f>
        <v>125000</v>
      </c>
      <c r="K130" s="18">
        <f>VLOOKUP(E130,Katalog!$C$3:$F$13,3,0)</f>
        <v>50000</v>
      </c>
      <c r="L130" t="str">
        <f t="shared" si="42"/>
        <v>SP001</v>
      </c>
      <c r="M130" t="str">
        <f>IFERROR(INDEX(Katalog!$B$4:$B$13,MATCH('Main Data'!L130,Katalog!$C$4:$C$13,0)), "-")</f>
        <v>Sneakers</v>
      </c>
      <c r="N130" t="str">
        <f>IFERROR(VLOOKUP(L130,Katalog!$A$15:$B$25,2,0),"-")</f>
        <v>Sepatu Pria</v>
      </c>
      <c r="O130" t="str">
        <f t="shared" si="43"/>
        <v>1</v>
      </c>
      <c r="P130" t="str">
        <f t="shared" si="44"/>
        <v>3</v>
      </c>
      <c r="Q130" s="18">
        <f>IFERROR(VLOOKUP(L130,Katalog!$C$3:$F$13,2,0),0)</f>
        <v>300000</v>
      </c>
      <c r="R130" s="18">
        <f>IFERROR(VLOOKUP(L130,Katalog!$C$3:$F$13,3,0),0)</f>
        <v>100000</v>
      </c>
      <c r="S130" t="str">
        <f t="shared" si="45"/>
        <v>-</v>
      </c>
      <c r="T130" t="str">
        <f>IFERROR(INDEX(Katalog!$B$4:$B$13,MATCH('Main Data'!S130,Katalog!$C$4:$C$13,0)),"-")</f>
        <v>-</v>
      </c>
      <c r="U130" t="str">
        <f>IFERROR(VLOOKUP(S130,Katalog!$A$15:$B$25,2,0),"-")</f>
        <v>-</v>
      </c>
      <c r="V130">
        <f t="shared" si="46"/>
        <v>0</v>
      </c>
      <c r="W130" s="28" t="str">
        <f t="shared" si="47"/>
        <v>-</v>
      </c>
      <c r="X130" s="18">
        <f>IFERROR(VLOOKUP(S130,Katalog!$C$3:$F$13,2,0),0)</f>
        <v>0</v>
      </c>
      <c r="Y130" s="30">
        <f>IFERROR(VLOOKUP(S130,Katalog!$C$3:$F$13,3,0),0)</f>
        <v>0</v>
      </c>
      <c r="Z130" s="2">
        <f t="shared" si="48"/>
        <v>7</v>
      </c>
      <c r="AA130" s="4">
        <f t="shared" si="49"/>
        <v>1050000</v>
      </c>
      <c r="AB130" s="4">
        <f t="shared" si="50"/>
        <v>400000</v>
      </c>
      <c r="AC130" s="4" t="s">
        <v>7</v>
      </c>
      <c r="AD130" s="16">
        <f>IFERROR(VLOOKUP(AC130,'Kode Diskon'!$C$2:$D$9,2,0),0)</f>
        <v>0.2</v>
      </c>
      <c r="AE130" s="31">
        <f t="shared" si="51"/>
        <v>210000</v>
      </c>
      <c r="AF130" s="31">
        <f t="shared" si="52"/>
        <v>840000</v>
      </c>
      <c r="AG130" s="31">
        <f t="shared" si="53"/>
        <v>650000</v>
      </c>
      <c r="AH130" s="31">
        <f t="shared" si="54"/>
        <v>440000</v>
      </c>
      <c r="AI130" s="4" t="s">
        <v>8</v>
      </c>
      <c r="AJ130" s="4" t="s">
        <v>6</v>
      </c>
      <c r="AK130" s="4" t="str">
        <f>IFERROR(VLOOKUP(AJ130,'Guide '!$A$13:$B$16,2,0),"-")</f>
        <v>SP</v>
      </c>
      <c r="AL130" s="4" t="s">
        <v>924</v>
      </c>
      <c r="AM130" s="40">
        <v>45342</v>
      </c>
      <c r="AN130">
        <f t="shared" si="55"/>
        <v>29</v>
      </c>
      <c r="AO130">
        <f t="shared" si="56"/>
        <v>32</v>
      </c>
      <c r="AP130">
        <f t="shared" si="57"/>
        <v>40</v>
      </c>
      <c r="AQ130">
        <f t="shared" si="58"/>
        <v>43</v>
      </c>
      <c r="AR130" s="26">
        <f t="shared" si="59"/>
        <v>56</v>
      </c>
      <c r="AS130" s="26">
        <f t="shared" si="60"/>
        <v>63</v>
      </c>
      <c r="AT130" s="21">
        <f t="shared" si="61"/>
        <v>12</v>
      </c>
      <c r="AU130" s="21">
        <f t="shared" si="62"/>
        <v>19</v>
      </c>
      <c r="AV130">
        <f t="shared" si="63"/>
        <v>73</v>
      </c>
      <c r="AW130">
        <f t="shared" si="64"/>
        <v>76</v>
      </c>
      <c r="AX130">
        <f t="shared" si="65"/>
        <v>84</v>
      </c>
      <c r="AY130">
        <f t="shared" si="66"/>
        <v>87</v>
      </c>
      <c r="AZ130" t="str">
        <f t="shared" si="67"/>
        <v>-</v>
      </c>
      <c r="BA130" t="str">
        <f t="shared" si="68"/>
        <v>-</v>
      </c>
      <c r="BB130" t="str">
        <f t="shared" si="69"/>
        <v>-</v>
      </c>
      <c r="BC130" t="str">
        <f t="shared" si="70"/>
        <v>-</v>
      </c>
      <c r="BD130" s="29" t="str">
        <f t="shared" si="71"/>
        <v>-</v>
      </c>
      <c r="BE130" s="29" t="str">
        <f t="shared" si="72"/>
        <v>-</v>
      </c>
    </row>
    <row r="131" spans="1:57" ht="15" x14ac:dyDescent="0.2">
      <c r="A131" s="2">
        <v>568</v>
      </c>
      <c r="B131" s="2" t="str">
        <f t="shared" ref="B131:B194" si="73">TEXT(A131,"0000")</f>
        <v>0568</v>
      </c>
      <c r="C131" t="str">
        <f t="shared" ref="C131:C194" si="74">CONCATENATE("ORD","-",AK131,"-",B131,"-",TEXT(AM131,"dd/mm/yy"))</f>
        <v>ORD-TK-0568-20/02/24</v>
      </c>
      <c r="D131" s="3" t="s">
        <v>589</v>
      </c>
      <c r="E131" t="str">
        <f t="shared" ref="E131:E194" si="75">MID(D131,AT131+2,AU131-AT131-2)</f>
        <v>SP002</v>
      </c>
      <c r="F131" t="str">
        <f>INDEX(Katalog!$B$4:$B$13,MATCH('Main Data'!E131,Katalog!$C$4:$C$13,0))</f>
        <v>Sandal Slip On</v>
      </c>
      <c r="G131" t="str">
        <f>VLOOKUP(E131,Katalog!$A$15:$B$25,2,0)</f>
        <v>Sepatu Pria</v>
      </c>
      <c r="H131" t="str">
        <f t="shared" ref="H131:H194" si="76">MID(D131,AN131+2,AO131-AN131-2)</f>
        <v>5</v>
      </c>
      <c r="I131" t="str">
        <f t="shared" ref="I131:I194" si="77">MID(D131,AP131+2,AQ131-AP131-2)</f>
        <v>2</v>
      </c>
      <c r="J131" s="18">
        <f>VLOOKUP(E131,Katalog!$C$3:$F$13,2,0)</f>
        <v>120000</v>
      </c>
      <c r="K131" s="18">
        <f>VLOOKUP(E131,Katalog!$C$3:$F$13,3,0)</f>
        <v>60000</v>
      </c>
      <c r="L131" t="str">
        <f t="shared" ref="L131:L194" si="78">IFERROR(MID(D131,AR131+2,AS131-AR131-2),"-")</f>
        <v>PP002</v>
      </c>
      <c r="M131" t="str">
        <f>IFERROR(INDEX(Katalog!$B$4:$B$13,MATCH('Main Data'!L131,Katalog!$C$4:$C$13,0)), "-")</f>
        <v>Celana Pendek</v>
      </c>
      <c r="N131" t="str">
        <f>IFERROR(VLOOKUP(L131,Katalog!$A$15:$B$25,2,0),"-")</f>
        <v>Pakaian Pria</v>
      </c>
      <c r="O131" t="str">
        <f t="shared" ref="O131:O194" si="79">IFERROR(MID(D131,AV131+2,AW131-AV131-2),0)</f>
        <v>1</v>
      </c>
      <c r="P131" t="str">
        <f t="shared" ref="P131:P194" si="80">IFERROR(MID(D131,AX131+2,AY131-AX131-2),"-")</f>
        <v>1</v>
      </c>
      <c r="Q131" s="18">
        <f>IFERROR(VLOOKUP(L131,Katalog!$C$3:$F$13,2,0),0)</f>
        <v>60000</v>
      </c>
      <c r="R131" s="18">
        <f>IFERROR(VLOOKUP(L131,Katalog!$C$3:$F$13,3,0),0)</f>
        <v>25000</v>
      </c>
      <c r="S131" t="str">
        <f t="shared" ref="S131:S194" si="81">IFERROR(MID(D131,AZ131+2,BA131-AZ131-2),"-")</f>
        <v>-</v>
      </c>
      <c r="T131" t="str">
        <f>IFERROR(INDEX(Katalog!$B$4:$B$13,MATCH('Main Data'!S131,Katalog!$C$4:$C$13,0)),"-")</f>
        <v>-</v>
      </c>
      <c r="U131" t="str">
        <f>IFERROR(VLOOKUP(S131,Katalog!$A$15:$B$25,2,0),"-")</f>
        <v>-</v>
      </c>
      <c r="V131">
        <f t="shared" ref="V131:V194" si="82">IFERROR(MID(D131,BB131+2,BC131-BB131-2),0)</f>
        <v>0</v>
      </c>
      <c r="W131" s="28" t="str">
        <f t="shared" ref="W131:W194" si="83">IFERROR(MID(D131,BD131+2,BE131-BD131-2),"-")</f>
        <v>-</v>
      </c>
      <c r="X131" s="18">
        <f>IFERROR(VLOOKUP(S131,Katalog!$C$3:$F$13,2,0),0)</f>
        <v>0</v>
      </c>
      <c r="Y131" s="30">
        <f>IFERROR(VLOOKUP(S131,Katalog!$C$3:$F$13,3,0),0)</f>
        <v>0</v>
      </c>
      <c r="Z131" s="2">
        <f t="shared" ref="Z131:Z194" si="84">H131+O131+V131</f>
        <v>6</v>
      </c>
      <c r="AA131" s="4">
        <f t="shared" ref="AA131:AA194" si="85">J131*H131+Q131*O131+X131*V131</f>
        <v>660000</v>
      </c>
      <c r="AB131" s="4">
        <f t="shared" ref="AB131:AB194" si="86">K131*H131+R131*O131+Y131*V131</f>
        <v>325000</v>
      </c>
      <c r="AC131" s="4" t="s">
        <v>30</v>
      </c>
      <c r="AD131" s="16">
        <f>IFERROR(VLOOKUP(AC131,'Kode Diskon'!$C$2:$D$9,2,0),0)</f>
        <v>0.1</v>
      </c>
      <c r="AE131" s="31">
        <f t="shared" ref="AE131:AE194" si="87">AA131*AD131</f>
        <v>66000</v>
      </c>
      <c r="AF131" s="31">
        <f t="shared" ref="AF131:AF194" si="88">AA131-AE131</f>
        <v>594000</v>
      </c>
      <c r="AG131" s="31">
        <f t="shared" ref="AG131:AG194" si="89">AA131-AB131</f>
        <v>335000</v>
      </c>
      <c r="AH131" s="31">
        <f t="shared" ref="AH131:AH194" si="90">AF131-AB131</f>
        <v>269000</v>
      </c>
      <c r="AI131" s="4" t="s">
        <v>8</v>
      </c>
      <c r="AJ131" s="4" t="s">
        <v>9</v>
      </c>
      <c r="AK131" s="4" t="str">
        <f>IFERROR(VLOOKUP(AJ131,'Guide '!$A$13:$B$16,2,0),"-")</f>
        <v>TK</v>
      </c>
      <c r="AL131" s="4" t="s">
        <v>922</v>
      </c>
      <c r="AM131" s="40">
        <v>45342</v>
      </c>
      <c r="AN131">
        <f t="shared" ref="AN131:AN194" si="91">FIND(":",D131,AT131+1)</f>
        <v>29</v>
      </c>
      <c r="AO131">
        <f t="shared" ref="AO131:AO194" si="92">FIND(",",D131,AU131+1)</f>
        <v>32</v>
      </c>
      <c r="AP131">
        <f t="shared" ref="AP131:AP194" si="93">FIND(":",D131,AN131+1)</f>
        <v>40</v>
      </c>
      <c r="AQ131">
        <f t="shared" ref="AQ131:AQ194" si="94">FIND("}",D131,AO131+1)</f>
        <v>43</v>
      </c>
      <c r="AR131" s="26">
        <f t="shared" ref="AR131:AR194" si="95">IFERROR(FIND(":",D131,AP131+1),"-")</f>
        <v>56</v>
      </c>
      <c r="AS131" s="26">
        <f t="shared" ref="AS131:AS194" si="96">IFERROR(FIND(",",D131,AQ131+2),"-")</f>
        <v>63</v>
      </c>
      <c r="AT131" s="21">
        <f t="shared" ref="AT131:AT194" si="97">FIND(":",D131)</f>
        <v>12</v>
      </c>
      <c r="AU131" s="21">
        <f t="shared" ref="AU131:AU194" si="98">FIND(",",D131)</f>
        <v>19</v>
      </c>
      <c r="AV131">
        <f t="shared" ref="AV131:AV194" si="99">IFERROR(FIND(":",D131,AR131+1),"-")</f>
        <v>73</v>
      </c>
      <c r="AW131">
        <f t="shared" ref="AW131:AW194" si="100">IFERROR(FIND(",",D131,AS131+1),"-")</f>
        <v>76</v>
      </c>
      <c r="AX131">
        <f t="shared" ref="AX131:AX194" si="101">IFERROR(FIND(":",D131,AV131+1),"-")</f>
        <v>84</v>
      </c>
      <c r="AY131">
        <f t="shared" ref="AY131:AY194" si="102">IFERROR(FIND("}",D131,AW131+1),"-")</f>
        <v>87</v>
      </c>
      <c r="AZ131" t="str">
        <f t="shared" ref="AZ131:AZ194" si="103">IFERROR(FIND(":",D131,AX131+1),"-")</f>
        <v>-</v>
      </c>
      <c r="BA131" t="str">
        <f t="shared" ref="BA131:BA194" si="104">IFERROR(FIND(",",D131,AY131+2),"-")</f>
        <v>-</v>
      </c>
      <c r="BB131" t="str">
        <f t="shared" ref="BB131:BB194" si="105">IFERROR(FIND(":",D131,AZ131+1),"-")</f>
        <v>-</v>
      </c>
      <c r="BC131" t="str">
        <f t="shared" ref="BC131:BC194" si="106">IFERROR(FIND(",",D131,BA131+1),"-")</f>
        <v>-</v>
      </c>
      <c r="BD131" s="29" t="str">
        <f t="shared" ref="BD131:BD194" si="107">IFERROR(FIND(":",D131,BB131+1),"-")</f>
        <v>-</v>
      </c>
      <c r="BE131" s="29" t="str">
        <f t="shared" ref="BE131:BE194" si="108">IFERROR(FIND("}",D131,BC131+1),"-")</f>
        <v>-</v>
      </c>
    </row>
    <row r="132" spans="1:57" ht="15" x14ac:dyDescent="0.2">
      <c r="A132" s="2">
        <v>848</v>
      </c>
      <c r="B132" s="2" t="str">
        <f t="shared" si="73"/>
        <v>0848</v>
      </c>
      <c r="C132" t="str">
        <f t="shared" si="74"/>
        <v>ORD-TK-0848-20/02/24</v>
      </c>
      <c r="D132" s="3" t="s">
        <v>802</v>
      </c>
      <c r="E132" t="str">
        <f t="shared" si="75"/>
        <v>PU001</v>
      </c>
      <c r="F132" t="str">
        <f>INDEX(Katalog!$B$4:$B$13,MATCH('Main Data'!E132,Katalog!$C$4:$C$13,0))</f>
        <v>Jaket Hoodie</v>
      </c>
      <c r="G132" t="str">
        <f>VLOOKUP(E132,Katalog!$A$15:$B$25,2,0)</f>
        <v>Pakaian Unisex</v>
      </c>
      <c r="H132" t="str">
        <f t="shared" si="76"/>
        <v>3</v>
      </c>
      <c r="I132" t="str">
        <f t="shared" si="77"/>
        <v>4</v>
      </c>
      <c r="J132" s="18">
        <f>VLOOKUP(E132,Katalog!$C$3:$F$13,2,0)</f>
        <v>160000</v>
      </c>
      <c r="K132" s="18">
        <f>VLOOKUP(E132,Katalog!$C$3:$F$13,3,0)</f>
        <v>60000</v>
      </c>
      <c r="L132" t="str">
        <f t="shared" si="78"/>
        <v>PU001</v>
      </c>
      <c r="M132" t="str">
        <f>IFERROR(INDEX(Katalog!$B$4:$B$13,MATCH('Main Data'!L132,Katalog!$C$4:$C$13,0)), "-")</f>
        <v>Jaket Hoodie</v>
      </c>
      <c r="N132" t="str">
        <f>IFERROR(VLOOKUP(L132,Katalog!$A$15:$B$25,2,0),"-")</f>
        <v>Pakaian Unisex</v>
      </c>
      <c r="O132" t="str">
        <f t="shared" si="79"/>
        <v>2</v>
      </c>
      <c r="P132" t="str">
        <f t="shared" si="80"/>
        <v>4</v>
      </c>
      <c r="Q132" s="18">
        <f>IFERROR(VLOOKUP(L132,Katalog!$C$3:$F$13,2,0),0)</f>
        <v>160000</v>
      </c>
      <c r="R132" s="18">
        <f>IFERROR(VLOOKUP(L132,Katalog!$C$3:$F$13,3,0),0)</f>
        <v>60000</v>
      </c>
      <c r="S132" t="str">
        <f t="shared" si="81"/>
        <v>-</v>
      </c>
      <c r="T132" t="str">
        <f>IFERROR(INDEX(Katalog!$B$4:$B$13,MATCH('Main Data'!S132,Katalog!$C$4:$C$13,0)),"-")</f>
        <v>-</v>
      </c>
      <c r="U132" t="str">
        <f>IFERROR(VLOOKUP(S132,Katalog!$A$15:$B$25,2,0),"-")</f>
        <v>-</v>
      </c>
      <c r="V132">
        <f t="shared" si="82"/>
        <v>0</v>
      </c>
      <c r="W132" s="28" t="str">
        <f t="shared" si="83"/>
        <v>-</v>
      </c>
      <c r="X132" s="18">
        <f>IFERROR(VLOOKUP(S132,Katalog!$C$3:$F$13,2,0),0)</f>
        <v>0</v>
      </c>
      <c r="Y132" s="30">
        <f>IFERROR(VLOOKUP(S132,Katalog!$C$3:$F$13,3,0),0)</f>
        <v>0</v>
      </c>
      <c r="Z132" s="2">
        <f t="shared" si="84"/>
        <v>5</v>
      </c>
      <c r="AA132" s="4">
        <f t="shared" si="85"/>
        <v>800000</v>
      </c>
      <c r="AB132" s="4">
        <f t="shared" si="86"/>
        <v>300000</v>
      </c>
      <c r="AC132" s="4" t="s">
        <v>30</v>
      </c>
      <c r="AD132" s="16">
        <f>IFERROR(VLOOKUP(AC132,'Kode Diskon'!$C$2:$D$9,2,0),0)</f>
        <v>0.1</v>
      </c>
      <c r="AE132" s="31">
        <f t="shared" si="87"/>
        <v>80000</v>
      </c>
      <c r="AF132" s="31">
        <f t="shared" si="88"/>
        <v>720000</v>
      </c>
      <c r="AG132" s="31">
        <f t="shared" si="89"/>
        <v>500000</v>
      </c>
      <c r="AH132" s="31">
        <f t="shared" si="90"/>
        <v>420000</v>
      </c>
      <c r="AI132" s="4" t="s">
        <v>8</v>
      </c>
      <c r="AJ132" s="4" t="s">
        <v>9</v>
      </c>
      <c r="AK132" s="4" t="str">
        <f>IFERROR(VLOOKUP(AJ132,'Guide '!$A$13:$B$16,2,0),"-")</f>
        <v>TK</v>
      </c>
      <c r="AL132" s="4" t="s">
        <v>1006</v>
      </c>
      <c r="AM132" s="40">
        <v>45342</v>
      </c>
      <c r="AN132">
        <f t="shared" si="91"/>
        <v>29</v>
      </c>
      <c r="AO132">
        <f t="shared" si="92"/>
        <v>32</v>
      </c>
      <c r="AP132">
        <f t="shared" si="93"/>
        <v>40</v>
      </c>
      <c r="AQ132">
        <f t="shared" si="94"/>
        <v>43</v>
      </c>
      <c r="AR132" s="26">
        <f t="shared" si="95"/>
        <v>56</v>
      </c>
      <c r="AS132" s="26">
        <f t="shared" si="96"/>
        <v>63</v>
      </c>
      <c r="AT132" s="21">
        <f t="shared" si="97"/>
        <v>12</v>
      </c>
      <c r="AU132" s="21">
        <f t="shared" si="98"/>
        <v>19</v>
      </c>
      <c r="AV132">
        <f t="shared" si="99"/>
        <v>73</v>
      </c>
      <c r="AW132">
        <f t="shared" si="100"/>
        <v>76</v>
      </c>
      <c r="AX132">
        <f t="shared" si="101"/>
        <v>84</v>
      </c>
      <c r="AY132">
        <f t="shared" si="102"/>
        <v>87</v>
      </c>
      <c r="AZ132" t="str">
        <f t="shared" si="103"/>
        <v>-</v>
      </c>
      <c r="BA132" t="str">
        <f t="shared" si="104"/>
        <v>-</v>
      </c>
      <c r="BB132" t="str">
        <f t="shared" si="105"/>
        <v>-</v>
      </c>
      <c r="BC132" t="str">
        <f t="shared" si="106"/>
        <v>-</v>
      </c>
      <c r="BD132" s="29" t="str">
        <f t="shared" si="107"/>
        <v>-</v>
      </c>
      <c r="BE132" s="29" t="str">
        <f t="shared" si="108"/>
        <v>-</v>
      </c>
    </row>
    <row r="133" spans="1:57" ht="15" x14ac:dyDescent="0.2">
      <c r="A133" s="2">
        <v>31</v>
      </c>
      <c r="B133" s="2" t="str">
        <f t="shared" si="73"/>
        <v>0031</v>
      </c>
      <c r="C133" t="str">
        <f t="shared" si="74"/>
        <v>ORD-SP-0031-21/02/24</v>
      </c>
      <c r="D133" s="3" t="s">
        <v>105</v>
      </c>
      <c r="E133" t="str">
        <f t="shared" si="75"/>
        <v>PU001</v>
      </c>
      <c r="F133" t="str">
        <f>INDEX(Katalog!$B$4:$B$13,MATCH('Main Data'!E133,Katalog!$C$4:$C$13,0))</f>
        <v>Jaket Hoodie</v>
      </c>
      <c r="G133" t="str">
        <f>VLOOKUP(E133,Katalog!$A$15:$B$25,2,0)</f>
        <v>Pakaian Unisex</v>
      </c>
      <c r="H133" t="str">
        <f t="shared" si="76"/>
        <v>2</v>
      </c>
      <c r="I133" t="str">
        <f t="shared" si="77"/>
        <v>3</v>
      </c>
      <c r="J133" s="18">
        <f>VLOOKUP(E133,Katalog!$C$3:$F$13,2,0)</f>
        <v>160000</v>
      </c>
      <c r="K133" s="18">
        <f>VLOOKUP(E133,Katalog!$C$3:$F$13,3,0)</f>
        <v>60000</v>
      </c>
      <c r="L133" t="str">
        <f t="shared" si="78"/>
        <v>PW001</v>
      </c>
      <c r="M133" t="str">
        <f>IFERROR(INDEX(Katalog!$B$4:$B$13,MATCH('Main Data'!L133,Katalog!$C$4:$C$13,0)), "-")</f>
        <v>Dress</v>
      </c>
      <c r="N133" t="str">
        <f>IFERROR(VLOOKUP(L133,Katalog!$A$15:$B$25,2,0),"-")</f>
        <v>Pakaian Wanita</v>
      </c>
      <c r="O133" t="str">
        <f t="shared" si="79"/>
        <v>4</v>
      </c>
      <c r="P133" t="str">
        <f t="shared" si="80"/>
        <v>3</v>
      </c>
      <c r="Q133" s="18">
        <f>IFERROR(VLOOKUP(L133,Katalog!$C$3:$F$13,2,0),0)</f>
        <v>150000</v>
      </c>
      <c r="R133" s="18">
        <f>IFERROR(VLOOKUP(L133,Katalog!$C$3:$F$13,3,0),0)</f>
        <v>55000</v>
      </c>
      <c r="S133" t="str">
        <f t="shared" si="81"/>
        <v>-</v>
      </c>
      <c r="T133" t="str">
        <f>IFERROR(INDEX(Katalog!$B$4:$B$13,MATCH('Main Data'!S133,Katalog!$C$4:$C$13,0)),"-")</f>
        <v>-</v>
      </c>
      <c r="U133" t="str">
        <f>IFERROR(VLOOKUP(S133,Katalog!$A$15:$B$25,2,0),"-")</f>
        <v>-</v>
      </c>
      <c r="V133">
        <f t="shared" si="82"/>
        <v>0</v>
      </c>
      <c r="W133" s="28" t="str">
        <f t="shared" si="83"/>
        <v>-</v>
      </c>
      <c r="X133" s="18">
        <f>IFERROR(VLOOKUP(S133,Katalog!$C$3:$F$13,2,0),0)</f>
        <v>0</v>
      </c>
      <c r="Y133" s="30">
        <f>IFERROR(VLOOKUP(S133,Katalog!$C$3:$F$13,3,0),0)</f>
        <v>0</v>
      </c>
      <c r="Z133" s="2">
        <f t="shared" si="84"/>
        <v>6</v>
      </c>
      <c r="AA133" s="4">
        <f t="shared" si="85"/>
        <v>920000</v>
      </c>
      <c r="AB133" s="4">
        <f t="shared" si="86"/>
        <v>340000</v>
      </c>
      <c r="AC133" s="4" t="s">
        <v>12</v>
      </c>
      <c r="AD133" s="16">
        <f>IFERROR(VLOOKUP(AC133,'Kode Diskon'!$C$2:$D$9,2,0),0)</f>
        <v>0.15</v>
      </c>
      <c r="AE133" s="31">
        <f t="shared" si="87"/>
        <v>138000</v>
      </c>
      <c r="AF133" s="31">
        <f t="shared" si="88"/>
        <v>782000</v>
      </c>
      <c r="AG133" s="31">
        <f t="shared" si="89"/>
        <v>580000</v>
      </c>
      <c r="AH133" s="31">
        <f t="shared" si="90"/>
        <v>442000</v>
      </c>
      <c r="AI133" s="4" t="s">
        <v>28</v>
      </c>
      <c r="AJ133" s="4" t="s">
        <v>6</v>
      </c>
      <c r="AK133" s="4" t="str">
        <f>IFERROR(VLOOKUP(AJ133,'Guide '!$A$13:$B$16,2,0),"-")</f>
        <v>SP</v>
      </c>
      <c r="AL133" s="4" t="s">
        <v>924</v>
      </c>
      <c r="AM133" s="40">
        <v>45343</v>
      </c>
      <c r="AN133">
        <f t="shared" si="91"/>
        <v>29</v>
      </c>
      <c r="AO133">
        <f t="shared" si="92"/>
        <v>32</v>
      </c>
      <c r="AP133">
        <f t="shared" si="93"/>
        <v>40</v>
      </c>
      <c r="AQ133">
        <f t="shared" si="94"/>
        <v>43</v>
      </c>
      <c r="AR133" s="26">
        <f t="shared" si="95"/>
        <v>56</v>
      </c>
      <c r="AS133" s="26">
        <f t="shared" si="96"/>
        <v>63</v>
      </c>
      <c r="AT133" s="21">
        <f t="shared" si="97"/>
        <v>12</v>
      </c>
      <c r="AU133" s="21">
        <f t="shared" si="98"/>
        <v>19</v>
      </c>
      <c r="AV133">
        <f t="shared" si="99"/>
        <v>73</v>
      </c>
      <c r="AW133">
        <f t="shared" si="100"/>
        <v>76</v>
      </c>
      <c r="AX133">
        <f t="shared" si="101"/>
        <v>84</v>
      </c>
      <c r="AY133">
        <f t="shared" si="102"/>
        <v>87</v>
      </c>
      <c r="AZ133" t="str">
        <f t="shared" si="103"/>
        <v>-</v>
      </c>
      <c r="BA133" t="str">
        <f t="shared" si="104"/>
        <v>-</v>
      </c>
      <c r="BB133" t="str">
        <f t="shared" si="105"/>
        <v>-</v>
      </c>
      <c r="BC133" t="str">
        <f t="shared" si="106"/>
        <v>-</v>
      </c>
      <c r="BD133" s="29" t="str">
        <f t="shared" si="107"/>
        <v>-</v>
      </c>
      <c r="BE133" s="29" t="str">
        <f t="shared" si="108"/>
        <v>-</v>
      </c>
    </row>
    <row r="134" spans="1:57" ht="15" x14ac:dyDescent="0.2">
      <c r="A134" s="2">
        <v>343</v>
      </c>
      <c r="B134" s="2" t="str">
        <f t="shared" si="73"/>
        <v>0343</v>
      </c>
      <c r="C134" t="str">
        <f t="shared" si="74"/>
        <v>ORD-TK-0343-21/02/24</v>
      </c>
      <c r="D134" s="3" t="s">
        <v>395</v>
      </c>
      <c r="E134" t="str">
        <f t="shared" si="75"/>
        <v>PW001</v>
      </c>
      <c r="F134" t="str">
        <f>INDEX(Katalog!$B$4:$B$13,MATCH('Main Data'!E134,Katalog!$C$4:$C$13,0))</f>
        <v>Dress</v>
      </c>
      <c r="G134" t="str">
        <f>VLOOKUP(E134,Katalog!$A$15:$B$25,2,0)</f>
        <v>Pakaian Wanita</v>
      </c>
      <c r="H134" t="str">
        <f t="shared" si="76"/>
        <v>4</v>
      </c>
      <c r="I134" t="str">
        <f t="shared" si="77"/>
        <v>5</v>
      </c>
      <c r="J134" s="18">
        <f>VLOOKUP(E134,Katalog!$C$3:$F$13,2,0)</f>
        <v>150000</v>
      </c>
      <c r="K134" s="18">
        <f>VLOOKUP(E134,Katalog!$C$3:$F$13,3,0)</f>
        <v>55000</v>
      </c>
      <c r="L134" t="str">
        <f t="shared" si="78"/>
        <v>PW003</v>
      </c>
      <c r="M134" t="str">
        <f>IFERROR(INDEX(Katalog!$B$4:$B$13,MATCH('Main Data'!L134,Katalog!$C$4:$C$13,0)), "-")</f>
        <v>Kaftan</v>
      </c>
      <c r="N134" t="str">
        <f>IFERROR(VLOOKUP(L134,Katalog!$A$15:$B$25,2,0),"-")</f>
        <v>Pakaian Wanita</v>
      </c>
      <c r="O134" t="str">
        <f t="shared" si="79"/>
        <v>3</v>
      </c>
      <c r="P134" t="str">
        <f t="shared" si="80"/>
        <v>2</v>
      </c>
      <c r="Q134" s="18">
        <f>IFERROR(VLOOKUP(L134,Katalog!$C$3:$F$13,2,0),0)</f>
        <v>200000</v>
      </c>
      <c r="R134" s="18">
        <f>IFERROR(VLOOKUP(L134,Katalog!$C$3:$F$13,3,0),0)</f>
        <v>100000</v>
      </c>
      <c r="S134" t="str">
        <f t="shared" si="81"/>
        <v>-</v>
      </c>
      <c r="T134" t="str">
        <f>IFERROR(INDEX(Katalog!$B$4:$B$13,MATCH('Main Data'!S134,Katalog!$C$4:$C$13,0)),"-")</f>
        <v>-</v>
      </c>
      <c r="U134" t="str">
        <f>IFERROR(VLOOKUP(S134,Katalog!$A$15:$B$25,2,0),"-")</f>
        <v>-</v>
      </c>
      <c r="V134">
        <f t="shared" si="82"/>
        <v>0</v>
      </c>
      <c r="W134" s="28" t="str">
        <f t="shared" si="83"/>
        <v>-</v>
      </c>
      <c r="X134" s="18">
        <f>IFERROR(VLOOKUP(S134,Katalog!$C$3:$F$13,2,0),0)</f>
        <v>0</v>
      </c>
      <c r="Y134" s="30">
        <f>IFERROR(VLOOKUP(S134,Katalog!$C$3:$F$13,3,0),0)</f>
        <v>0</v>
      </c>
      <c r="Z134" s="2">
        <f t="shared" si="84"/>
        <v>7</v>
      </c>
      <c r="AA134" s="4">
        <f t="shared" si="85"/>
        <v>1200000</v>
      </c>
      <c r="AB134" s="4">
        <f t="shared" si="86"/>
        <v>520000</v>
      </c>
      <c r="AC134" s="4" t="s">
        <v>10</v>
      </c>
      <c r="AD134" s="16">
        <f>IFERROR(VLOOKUP(AC134,'Kode Diskon'!$C$2:$D$9,2,0),0)</f>
        <v>0</v>
      </c>
      <c r="AE134" s="31">
        <f t="shared" si="87"/>
        <v>0</v>
      </c>
      <c r="AF134" s="31">
        <f t="shared" si="88"/>
        <v>1200000</v>
      </c>
      <c r="AG134" s="31">
        <f t="shared" si="89"/>
        <v>680000</v>
      </c>
      <c r="AH134" s="31">
        <f t="shared" si="90"/>
        <v>680000</v>
      </c>
      <c r="AI134" s="4" t="s">
        <v>10</v>
      </c>
      <c r="AJ134" s="4" t="s">
        <v>9</v>
      </c>
      <c r="AK134" s="4" t="str">
        <f>IFERROR(VLOOKUP(AJ134,'Guide '!$A$13:$B$16,2,0),"-")</f>
        <v>TK</v>
      </c>
      <c r="AL134" s="4" t="s">
        <v>923</v>
      </c>
      <c r="AM134" s="40">
        <v>45343</v>
      </c>
      <c r="AN134">
        <f t="shared" si="91"/>
        <v>29</v>
      </c>
      <c r="AO134">
        <f t="shared" si="92"/>
        <v>32</v>
      </c>
      <c r="AP134">
        <f t="shared" si="93"/>
        <v>40</v>
      </c>
      <c r="AQ134">
        <f t="shared" si="94"/>
        <v>43</v>
      </c>
      <c r="AR134" s="26">
        <f t="shared" si="95"/>
        <v>56</v>
      </c>
      <c r="AS134" s="26">
        <f t="shared" si="96"/>
        <v>63</v>
      </c>
      <c r="AT134" s="21">
        <f t="shared" si="97"/>
        <v>12</v>
      </c>
      <c r="AU134" s="21">
        <f t="shared" si="98"/>
        <v>19</v>
      </c>
      <c r="AV134">
        <f t="shared" si="99"/>
        <v>73</v>
      </c>
      <c r="AW134">
        <f t="shared" si="100"/>
        <v>76</v>
      </c>
      <c r="AX134">
        <f t="shared" si="101"/>
        <v>84</v>
      </c>
      <c r="AY134">
        <f t="shared" si="102"/>
        <v>87</v>
      </c>
      <c r="AZ134" t="str">
        <f t="shared" si="103"/>
        <v>-</v>
      </c>
      <c r="BA134" t="str">
        <f t="shared" si="104"/>
        <v>-</v>
      </c>
      <c r="BB134" t="str">
        <f t="shared" si="105"/>
        <v>-</v>
      </c>
      <c r="BC134" t="str">
        <f t="shared" si="106"/>
        <v>-</v>
      </c>
      <c r="BD134" s="29" t="str">
        <f t="shared" si="107"/>
        <v>-</v>
      </c>
      <c r="BE134" s="29" t="str">
        <f t="shared" si="108"/>
        <v>-</v>
      </c>
    </row>
    <row r="135" spans="1:57" ht="15" x14ac:dyDescent="0.2">
      <c r="A135" s="2">
        <v>599</v>
      </c>
      <c r="B135" s="2" t="str">
        <f t="shared" si="73"/>
        <v>0599</v>
      </c>
      <c r="C135" t="str">
        <f t="shared" si="74"/>
        <v>ORD-SP-0599-21/02/24</v>
      </c>
      <c r="D135" s="3" t="s">
        <v>612</v>
      </c>
      <c r="E135" t="str">
        <f t="shared" si="75"/>
        <v>PP002</v>
      </c>
      <c r="F135" t="str">
        <f>INDEX(Katalog!$B$4:$B$13,MATCH('Main Data'!E135,Katalog!$C$4:$C$13,0))</f>
        <v>Celana Pendek</v>
      </c>
      <c r="G135" t="str">
        <f>VLOOKUP(E135,Katalog!$A$15:$B$25,2,0)</f>
        <v>Pakaian Pria</v>
      </c>
      <c r="H135" t="str">
        <f t="shared" si="76"/>
        <v>3</v>
      </c>
      <c r="I135" t="str">
        <f t="shared" si="77"/>
        <v>5</v>
      </c>
      <c r="J135" s="18">
        <f>VLOOKUP(E135,Katalog!$C$3:$F$13,2,0)</f>
        <v>60000</v>
      </c>
      <c r="K135" s="18">
        <f>VLOOKUP(E135,Katalog!$C$3:$F$13,3,0)</f>
        <v>25000</v>
      </c>
      <c r="L135" t="str">
        <f t="shared" si="78"/>
        <v>SP002</v>
      </c>
      <c r="M135" t="str">
        <f>IFERROR(INDEX(Katalog!$B$4:$B$13,MATCH('Main Data'!L135,Katalog!$C$4:$C$13,0)), "-")</f>
        <v>Sandal Slip On</v>
      </c>
      <c r="N135" t="str">
        <f>IFERROR(VLOOKUP(L135,Katalog!$A$15:$B$25,2,0),"-")</f>
        <v>Sepatu Pria</v>
      </c>
      <c r="O135" t="str">
        <f t="shared" si="79"/>
        <v>4</v>
      </c>
      <c r="P135" t="str">
        <f t="shared" si="80"/>
        <v>4</v>
      </c>
      <c r="Q135" s="18">
        <f>IFERROR(VLOOKUP(L135,Katalog!$C$3:$F$13,2,0),0)</f>
        <v>120000</v>
      </c>
      <c r="R135" s="18">
        <f>IFERROR(VLOOKUP(L135,Katalog!$C$3:$F$13,3,0),0)</f>
        <v>60000</v>
      </c>
      <c r="S135" t="str">
        <f t="shared" si="81"/>
        <v>-</v>
      </c>
      <c r="T135" t="str">
        <f>IFERROR(INDEX(Katalog!$B$4:$B$13,MATCH('Main Data'!S135,Katalog!$C$4:$C$13,0)),"-")</f>
        <v>-</v>
      </c>
      <c r="U135" t="str">
        <f>IFERROR(VLOOKUP(S135,Katalog!$A$15:$B$25,2,0),"-")</f>
        <v>-</v>
      </c>
      <c r="V135">
        <f t="shared" si="82"/>
        <v>0</v>
      </c>
      <c r="W135" s="28" t="str">
        <f t="shared" si="83"/>
        <v>-</v>
      </c>
      <c r="X135" s="18">
        <f>IFERROR(VLOOKUP(S135,Katalog!$C$3:$F$13,2,0),0)</f>
        <v>0</v>
      </c>
      <c r="Y135" s="30">
        <f>IFERROR(VLOOKUP(S135,Katalog!$C$3:$F$13,3,0),0)</f>
        <v>0</v>
      </c>
      <c r="Z135" s="2">
        <f t="shared" si="84"/>
        <v>7</v>
      </c>
      <c r="AA135" s="4">
        <f t="shared" si="85"/>
        <v>660000</v>
      </c>
      <c r="AB135" s="4">
        <f t="shared" si="86"/>
        <v>315000</v>
      </c>
      <c r="AC135" s="4" t="s">
        <v>10</v>
      </c>
      <c r="AD135" s="16">
        <f>IFERROR(VLOOKUP(AC135,'Kode Diskon'!$C$2:$D$9,2,0),0)</f>
        <v>0</v>
      </c>
      <c r="AE135" s="31">
        <f t="shared" si="87"/>
        <v>0</v>
      </c>
      <c r="AF135" s="31">
        <f t="shared" si="88"/>
        <v>660000</v>
      </c>
      <c r="AG135" s="31">
        <f t="shared" si="89"/>
        <v>345000</v>
      </c>
      <c r="AH135" s="31">
        <f t="shared" si="90"/>
        <v>345000</v>
      </c>
      <c r="AI135" s="4" t="s">
        <v>10</v>
      </c>
      <c r="AJ135" s="4" t="s">
        <v>6</v>
      </c>
      <c r="AK135" s="4" t="str">
        <f>IFERROR(VLOOKUP(AJ135,'Guide '!$A$13:$B$16,2,0),"-")</f>
        <v>SP</v>
      </c>
      <c r="AL135" s="4" t="s">
        <v>924</v>
      </c>
      <c r="AM135" s="40">
        <v>45343</v>
      </c>
      <c r="AN135">
        <f t="shared" si="91"/>
        <v>29</v>
      </c>
      <c r="AO135">
        <f t="shared" si="92"/>
        <v>32</v>
      </c>
      <c r="AP135">
        <f t="shared" si="93"/>
        <v>40</v>
      </c>
      <c r="AQ135">
        <f t="shared" si="94"/>
        <v>43</v>
      </c>
      <c r="AR135" s="26">
        <f t="shared" si="95"/>
        <v>56</v>
      </c>
      <c r="AS135" s="26">
        <f t="shared" si="96"/>
        <v>63</v>
      </c>
      <c r="AT135" s="21">
        <f t="shared" si="97"/>
        <v>12</v>
      </c>
      <c r="AU135" s="21">
        <f t="shared" si="98"/>
        <v>19</v>
      </c>
      <c r="AV135">
        <f t="shared" si="99"/>
        <v>73</v>
      </c>
      <c r="AW135">
        <f t="shared" si="100"/>
        <v>76</v>
      </c>
      <c r="AX135">
        <f t="shared" si="101"/>
        <v>84</v>
      </c>
      <c r="AY135">
        <f t="shared" si="102"/>
        <v>87</v>
      </c>
      <c r="AZ135" t="str">
        <f t="shared" si="103"/>
        <v>-</v>
      </c>
      <c r="BA135" t="str">
        <f t="shared" si="104"/>
        <v>-</v>
      </c>
      <c r="BB135" t="str">
        <f t="shared" si="105"/>
        <v>-</v>
      </c>
      <c r="BC135" t="str">
        <f t="shared" si="106"/>
        <v>-</v>
      </c>
      <c r="BD135" s="29" t="str">
        <f t="shared" si="107"/>
        <v>-</v>
      </c>
      <c r="BE135" s="29" t="str">
        <f t="shared" si="108"/>
        <v>-</v>
      </c>
    </row>
    <row r="136" spans="1:57" ht="15" x14ac:dyDescent="0.2">
      <c r="A136" s="2">
        <v>828</v>
      </c>
      <c r="B136" s="2" t="str">
        <f t="shared" si="73"/>
        <v>0828</v>
      </c>
      <c r="C136" t="str">
        <f t="shared" si="74"/>
        <v>ORD-BL-0828-22/02/24</v>
      </c>
      <c r="D136" s="3" t="s">
        <v>787</v>
      </c>
      <c r="E136" t="str">
        <f t="shared" si="75"/>
        <v>PP001</v>
      </c>
      <c r="F136" t="str">
        <f>INDEX(Katalog!$B$4:$B$13,MATCH('Main Data'!E136,Katalog!$C$4:$C$13,0))</f>
        <v>Kaos Polo</v>
      </c>
      <c r="G136" t="str">
        <f>VLOOKUP(E136,Katalog!$A$15:$B$25,2,0)</f>
        <v>Pakaian Pria</v>
      </c>
      <c r="H136" t="str">
        <f t="shared" si="76"/>
        <v>2</v>
      </c>
      <c r="I136" t="str">
        <f t="shared" si="77"/>
        <v>2</v>
      </c>
      <c r="J136" s="18">
        <f>VLOOKUP(E136,Katalog!$C$3:$F$13,2,0)</f>
        <v>80000</v>
      </c>
      <c r="K136" s="18">
        <f>VLOOKUP(E136,Katalog!$C$3:$F$13,3,0)</f>
        <v>30000</v>
      </c>
      <c r="L136" t="str">
        <f t="shared" si="78"/>
        <v>SP001</v>
      </c>
      <c r="M136" t="str">
        <f>IFERROR(INDEX(Katalog!$B$4:$B$13,MATCH('Main Data'!L136,Katalog!$C$4:$C$13,0)), "-")</f>
        <v>Sneakers</v>
      </c>
      <c r="N136" t="str">
        <f>IFERROR(VLOOKUP(L136,Katalog!$A$15:$B$25,2,0),"-")</f>
        <v>Sepatu Pria</v>
      </c>
      <c r="O136" t="str">
        <f t="shared" si="79"/>
        <v>1</v>
      </c>
      <c r="P136" t="str">
        <f t="shared" si="80"/>
        <v>5</v>
      </c>
      <c r="Q136" s="18">
        <f>IFERROR(VLOOKUP(L136,Katalog!$C$3:$F$13,2,0),0)</f>
        <v>300000</v>
      </c>
      <c r="R136" s="18">
        <f>IFERROR(VLOOKUP(L136,Katalog!$C$3:$F$13,3,0),0)</f>
        <v>100000</v>
      </c>
      <c r="S136" t="str">
        <f t="shared" si="81"/>
        <v>-</v>
      </c>
      <c r="T136" t="str">
        <f>IFERROR(INDEX(Katalog!$B$4:$B$13,MATCH('Main Data'!S136,Katalog!$C$4:$C$13,0)),"-")</f>
        <v>-</v>
      </c>
      <c r="U136" t="str">
        <f>IFERROR(VLOOKUP(S136,Katalog!$A$15:$B$25,2,0),"-")</f>
        <v>-</v>
      </c>
      <c r="V136">
        <f t="shared" si="82"/>
        <v>0</v>
      </c>
      <c r="W136" s="28" t="str">
        <f t="shared" si="83"/>
        <v>-</v>
      </c>
      <c r="X136" s="18">
        <f>IFERROR(VLOOKUP(S136,Katalog!$C$3:$F$13,2,0),0)</f>
        <v>0</v>
      </c>
      <c r="Y136" s="30">
        <f>IFERROR(VLOOKUP(S136,Katalog!$C$3:$F$13,3,0),0)</f>
        <v>0</v>
      </c>
      <c r="Z136" s="2">
        <f t="shared" si="84"/>
        <v>3</v>
      </c>
      <c r="AA136" s="4">
        <f t="shared" si="85"/>
        <v>460000</v>
      </c>
      <c r="AB136" s="4">
        <f t="shared" si="86"/>
        <v>160000</v>
      </c>
      <c r="AC136" s="4" t="s">
        <v>10</v>
      </c>
      <c r="AD136" s="16">
        <f>IFERROR(VLOOKUP(AC136,'Kode Diskon'!$C$2:$D$9,2,0),0)</f>
        <v>0</v>
      </c>
      <c r="AE136" s="31">
        <f t="shared" si="87"/>
        <v>0</v>
      </c>
      <c r="AF136" s="31">
        <f t="shared" si="88"/>
        <v>460000</v>
      </c>
      <c r="AG136" s="31">
        <f t="shared" si="89"/>
        <v>300000</v>
      </c>
      <c r="AH136" s="31">
        <f t="shared" si="90"/>
        <v>300000</v>
      </c>
      <c r="AI136" s="4" t="s">
        <v>10</v>
      </c>
      <c r="AJ136" s="4" t="s">
        <v>11</v>
      </c>
      <c r="AK136" s="4" t="str">
        <f>IFERROR(VLOOKUP(AJ136,'Guide '!$A$13:$B$16,2,0),"-")</f>
        <v>BL</v>
      </c>
      <c r="AL136" s="4" t="s">
        <v>925</v>
      </c>
      <c r="AM136" s="40">
        <v>45344</v>
      </c>
      <c r="AN136">
        <f t="shared" si="91"/>
        <v>29</v>
      </c>
      <c r="AO136">
        <f t="shared" si="92"/>
        <v>32</v>
      </c>
      <c r="AP136">
        <f t="shared" si="93"/>
        <v>40</v>
      </c>
      <c r="AQ136">
        <f t="shared" si="94"/>
        <v>43</v>
      </c>
      <c r="AR136" s="26">
        <f t="shared" si="95"/>
        <v>56</v>
      </c>
      <c r="AS136" s="26">
        <f t="shared" si="96"/>
        <v>63</v>
      </c>
      <c r="AT136" s="21">
        <f t="shared" si="97"/>
        <v>12</v>
      </c>
      <c r="AU136" s="21">
        <f t="shared" si="98"/>
        <v>19</v>
      </c>
      <c r="AV136">
        <f t="shared" si="99"/>
        <v>73</v>
      </c>
      <c r="AW136">
        <f t="shared" si="100"/>
        <v>76</v>
      </c>
      <c r="AX136">
        <f t="shared" si="101"/>
        <v>84</v>
      </c>
      <c r="AY136">
        <f t="shared" si="102"/>
        <v>87</v>
      </c>
      <c r="AZ136" t="str">
        <f t="shared" si="103"/>
        <v>-</v>
      </c>
      <c r="BA136" t="str">
        <f t="shared" si="104"/>
        <v>-</v>
      </c>
      <c r="BB136" t="str">
        <f t="shared" si="105"/>
        <v>-</v>
      </c>
      <c r="BC136" t="str">
        <f t="shared" si="106"/>
        <v>-</v>
      </c>
      <c r="BD136" s="29" t="str">
        <f t="shared" si="107"/>
        <v>-</v>
      </c>
      <c r="BE136" s="29" t="str">
        <f t="shared" si="108"/>
        <v>-</v>
      </c>
    </row>
    <row r="137" spans="1:57" ht="15" x14ac:dyDescent="0.2">
      <c r="A137" s="2">
        <v>876</v>
      </c>
      <c r="B137" s="2" t="str">
        <f t="shared" si="73"/>
        <v>0876</v>
      </c>
      <c r="C137" t="str">
        <f t="shared" si="74"/>
        <v>ORD-SP-0876-23/02/24</v>
      </c>
      <c r="D137" s="3" t="s">
        <v>593</v>
      </c>
      <c r="E137" t="str">
        <f t="shared" si="75"/>
        <v>PW001</v>
      </c>
      <c r="F137" t="str">
        <f>INDEX(Katalog!$B$4:$B$13,MATCH('Main Data'!E137,Katalog!$C$4:$C$13,0))</f>
        <v>Dress</v>
      </c>
      <c r="G137" t="str">
        <f>VLOOKUP(E137,Katalog!$A$15:$B$25,2,0)</f>
        <v>Pakaian Wanita</v>
      </c>
      <c r="H137" t="str">
        <f t="shared" si="76"/>
        <v>1</v>
      </c>
      <c r="I137" t="str">
        <f t="shared" si="77"/>
        <v>2</v>
      </c>
      <c r="J137" s="18">
        <f>VLOOKUP(E137,Katalog!$C$3:$F$13,2,0)</f>
        <v>150000</v>
      </c>
      <c r="K137" s="18">
        <f>VLOOKUP(E137,Katalog!$C$3:$F$13,3,0)</f>
        <v>55000</v>
      </c>
      <c r="L137" t="str">
        <f t="shared" si="78"/>
        <v>-</v>
      </c>
      <c r="M137" t="str">
        <f>IFERROR(INDEX(Katalog!$B$4:$B$13,MATCH('Main Data'!L137,Katalog!$C$4:$C$13,0)), "-")</f>
        <v>-</v>
      </c>
      <c r="N137" t="str">
        <f>IFERROR(VLOOKUP(L137,Katalog!$A$15:$B$25,2,0),"-")</f>
        <v>-</v>
      </c>
      <c r="O137">
        <f t="shared" si="79"/>
        <v>0</v>
      </c>
      <c r="P137" t="str">
        <f t="shared" si="80"/>
        <v>-</v>
      </c>
      <c r="Q137" s="18">
        <f>IFERROR(VLOOKUP(L137,Katalog!$C$3:$F$13,2,0),0)</f>
        <v>0</v>
      </c>
      <c r="R137" s="18">
        <f>IFERROR(VLOOKUP(L137,Katalog!$C$3:$F$13,3,0),0)</f>
        <v>0</v>
      </c>
      <c r="S137" t="str">
        <f t="shared" si="81"/>
        <v>-</v>
      </c>
      <c r="T137" t="str">
        <f>IFERROR(INDEX(Katalog!$B$4:$B$13,MATCH('Main Data'!S137,Katalog!$C$4:$C$13,0)),"-")</f>
        <v>-</v>
      </c>
      <c r="U137" t="str">
        <f>IFERROR(VLOOKUP(S137,Katalog!$A$15:$B$25,2,0),"-")</f>
        <v>-</v>
      </c>
      <c r="V137">
        <f t="shared" si="82"/>
        <v>0</v>
      </c>
      <c r="W137" s="28" t="str">
        <f t="shared" si="83"/>
        <v>-</v>
      </c>
      <c r="X137" s="18">
        <f>IFERROR(VLOOKUP(S137,Katalog!$C$3:$F$13,2,0),0)</f>
        <v>0</v>
      </c>
      <c r="Y137" s="30">
        <f>IFERROR(VLOOKUP(S137,Katalog!$C$3:$F$13,3,0),0)</f>
        <v>0</v>
      </c>
      <c r="Z137" s="2">
        <f t="shared" si="84"/>
        <v>1</v>
      </c>
      <c r="AA137" s="4">
        <f t="shared" si="85"/>
        <v>150000</v>
      </c>
      <c r="AB137" s="4">
        <f t="shared" si="86"/>
        <v>55000</v>
      </c>
      <c r="AC137" s="4" t="s">
        <v>12</v>
      </c>
      <c r="AD137" s="16">
        <f>IFERROR(VLOOKUP(AC137,'Kode Diskon'!$C$2:$D$9,2,0),0)</f>
        <v>0.15</v>
      </c>
      <c r="AE137" s="31">
        <f t="shared" si="87"/>
        <v>22500</v>
      </c>
      <c r="AF137" s="31">
        <f t="shared" si="88"/>
        <v>127500</v>
      </c>
      <c r="AG137" s="31">
        <f t="shared" si="89"/>
        <v>95000</v>
      </c>
      <c r="AH137" s="31">
        <f t="shared" si="90"/>
        <v>72500</v>
      </c>
      <c r="AI137" s="4" t="s">
        <v>28</v>
      </c>
      <c r="AJ137" s="4" t="s">
        <v>6</v>
      </c>
      <c r="AK137" s="4" t="str">
        <f>IFERROR(VLOOKUP(AJ137,'Guide '!$A$13:$B$16,2,0),"-")</f>
        <v>SP</v>
      </c>
      <c r="AL137" s="4" t="s">
        <v>924</v>
      </c>
      <c r="AM137" s="40">
        <v>45345</v>
      </c>
      <c r="AN137">
        <f t="shared" si="91"/>
        <v>29</v>
      </c>
      <c r="AO137">
        <f t="shared" si="92"/>
        <v>32</v>
      </c>
      <c r="AP137">
        <f t="shared" si="93"/>
        <v>40</v>
      </c>
      <c r="AQ137">
        <f t="shared" si="94"/>
        <v>43</v>
      </c>
      <c r="AR137" s="26" t="str">
        <f t="shared" si="95"/>
        <v>-</v>
      </c>
      <c r="AS137" s="26" t="str">
        <f t="shared" si="96"/>
        <v>-</v>
      </c>
      <c r="AT137" s="21">
        <f t="shared" si="97"/>
        <v>12</v>
      </c>
      <c r="AU137" s="21">
        <f t="shared" si="98"/>
        <v>19</v>
      </c>
      <c r="AV137" t="str">
        <f t="shared" si="99"/>
        <v>-</v>
      </c>
      <c r="AW137" t="str">
        <f t="shared" si="100"/>
        <v>-</v>
      </c>
      <c r="AX137" t="str">
        <f t="shared" si="101"/>
        <v>-</v>
      </c>
      <c r="AY137" t="str">
        <f t="shared" si="102"/>
        <v>-</v>
      </c>
      <c r="AZ137" t="str">
        <f t="shared" si="103"/>
        <v>-</v>
      </c>
      <c r="BA137" t="str">
        <f t="shared" si="104"/>
        <v>-</v>
      </c>
      <c r="BB137" t="str">
        <f t="shared" si="105"/>
        <v>-</v>
      </c>
      <c r="BC137" t="str">
        <f t="shared" si="106"/>
        <v>-</v>
      </c>
      <c r="BD137" s="29" t="str">
        <f t="shared" si="107"/>
        <v>-</v>
      </c>
      <c r="BE137" s="29" t="str">
        <f t="shared" si="108"/>
        <v>-</v>
      </c>
    </row>
    <row r="138" spans="1:57" ht="15" x14ac:dyDescent="0.2">
      <c r="A138" s="2">
        <v>486</v>
      </c>
      <c r="B138" s="2" t="str">
        <f t="shared" si="73"/>
        <v>0486</v>
      </c>
      <c r="C138" t="str">
        <f t="shared" si="74"/>
        <v>ORD-SP-0486-24/02/24</v>
      </c>
      <c r="D138" s="3" t="s">
        <v>518</v>
      </c>
      <c r="E138" t="str">
        <f t="shared" si="75"/>
        <v>PW002</v>
      </c>
      <c r="F138" t="str">
        <f>INDEX(Katalog!$B$4:$B$13,MATCH('Main Data'!E138,Katalog!$C$4:$C$13,0))</f>
        <v>Blouse</v>
      </c>
      <c r="G138" t="str">
        <f>VLOOKUP(E138,Katalog!$A$15:$B$25,2,0)</f>
        <v>Pakaian Wanita</v>
      </c>
      <c r="H138" t="str">
        <f t="shared" si="76"/>
        <v>2</v>
      </c>
      <c r="I138" t="str">
        <f t="shared" si="77"/>
        <v>4</v>
      </c>
      <c r="J138" s="18">
        <f>VLOOKUP(E138,Katalog!$C$3:$F$13,2,0)</f>
        <v>125000</v>
      </c>
      <c r="K138" s="18">
        <f>VLOOKUP(E138,Katalog!$C$3:$F$13,3,0)</f>
        <v>50000</v>
      </c>
      <c r="L138" t="str">
        <f t="shared" si="78"/>
        <v>SW001</v>
      </c>
      <c r="M138" t="str">
        <f>IFERROR(INDEX(Katalog!$B$4:$B$13,MATCH('Main Data'!L138,Katalog!$C$4:$C$13,0)), "-")</f>
        <v>Flat Shoes</v>
      </c>
      <c r="N138" t="str">
        <f>IFERROR(VLOOKUP(L138,Katalog!$A$15:$B$25,2,0),"-")</f>
        <v>Sepatu Wanita</v>
      </c>
      <c r="O138" t="str">
        <f t="shared" si="79"/>
        <v>2</v>
      </c>
      <c r="P138" t="str">
        <f t="shared" si="80"/>
        <v>4</v>
      </c>
      <c r="Q138" s="18">
        <f>IFERROR(VLOOKUP(L138,Katalog!$C$3:$F$13,2,0),0)</f>
        <v>150000</v>
      </c>
      <c r="R138" s="18">
        <f>IFERROR(VLOOKUP(L138,Katalog!$C$3:$F$13,3,0),0)</f>
        <v>70000</v>
      </c>
      <c r="S138" t="str">
        <f t="shared" si="81"/>
        <v>PW002</v>
      </c>
      <c r="T138" t="str">
        <f>IFERROR(INDEX(Katalog!$B$4:$B$13,MATCH('Main Data'!S138,Katalog!$C$4:$C$13,0)),"-")</f>
        <v>Blouse</v>
      </c>
      <c r="U138" t="str">
        <f>IFERROR(VLOOKUP(S138,Katalog!$A$15:$B$25,2,0),"-")</f>
        <v>Pakaian Wanita</v>
      </c>
      <c r="V138" t="str">
        <f t="shared" si="82"/>
        <v>2</v>
      </c>
      <c r="W138" s="28" t="str">
        <f t="shared" si="83"/>
        <v>2</v>
      </c>
      <c r="X138" s="18">
        <f>IFERROR(VLOOKUP(S138,Katalog!$C$3:$F$13,2,0),0)</f>
        <v>125000</v>
      </c>
      <c r="Y138" s="30">
        <f>IFERROR(VLOOKUP(S138,Katalog!$C$3:$F$13,3,0),0)</f>
        <v>50000</v>
      </c>
      <c r="Z138" s="2">
        <f t="shared" si="84"/>
        <v>6</v>
      </c>
      <c r="AA138" s="4">
        <f t="shared" si="85"/>
        <v>800000</v>
      </c>
      <c r="AB138" s="4">
        <f t="shared" si="86"/>
        <v>340000</v>
      </c>
      <c r="AC138" s="4" t="s">
        <v>10</v>
      </c>
      <c r="AD138" s="16">
        <f>IFERROR(VLOOKUP(AC138,'Kode Diskon'!$C$2:$D$9,2,0),0)</f>
        <v>0</v>
      </c>
      <c r="AE138" s="31">
        <f t="shared" si="87"/>
        <v>0</v>
      </c>
      <c r="AF138" s="31">
        <f t="shared" si="88"/>
        <v>800000</v>
      </c>
      <c r="AG138" s="31">
        <f t="shared" si="89"/>
        <v>460000</v>
      </c>
      <c r="AH138" s="31">
        <f t="shared" si="90"/>
        <v>460000</v>
      </c>
      <c r="AI138" s="4" t="s">
        <v>10</v>
      </c>
      <c r="AJ138" s="4" t="s">
        <v>6</v>
      </c>
      <c r="AK138" s="4" t="str">
        <f>IFERROR(VLOOKUP(AJ138,'Guide '!$A$13:$B$16,2,0),"-")</f>
        <v>SP</v>
      </c>
      <c r="AL138" s="4" t="s">
        <v>922</v>
      </c>
      <c r="AM138" s="40">
        <v>45346</v>
      </c>
      <c r="AN138">
        <f t="shared" si="91"/>
        <v>29</v>
      </c>
      <c r="AO138">
        <f t="shared" si="92"/>
        <v>32</v>
      </c>
      <c r="AP138">
        <f t="shared" si="93"/>
        <v>40</v>
      </c>
      <c r="AQ138">
        <f t="shared" si="94"/>
        <v>43</v>
      </c>
      <c r="AR138" s="26">
        <f t="shared" si="95"/>
        <v>56</v>
      </c>
      <c r="AS138" s="26">
        <f t="shared" si="96"/>
        <v>63</v>
      </c>
      <c r="AT138" s="21">
        <f t="shared" si="97"/>
        <v>12</v>
      </c>
      <c r="AU138" s="21">
        <f t="shared" si="98"/>
        <v>19</v>
      </c>
      <c r="AV138">
        <f t="shared" si="99"/>
        <v>73</v>
      </c>
      <c r="AW138">
        <f t="shared" si="100"/>
        <v>76</v>
      </c>
      <c r="AX138">
        <f t="shared" si="101"/>
        <v>84</v>
      </c>
      <c r="AY138">
        <f t="shared" si="102"/>
        <v>87</v>
      </c>
      <c r="AZ138">
        <f t="shared" si="103"/>
        <v>100</v>
      </c>
      <c r="BA138">
        <f t="shared" si="104"/>
        <v>107</v>
      </c>
      <c r="BB138">
        <f t="shared" si="105"/>
        <v>117</v>
      </c>
      <c r="BC138">
        <f t="shared" si="106"/>
        <v>120</v>
      </c>
      <c r="BD138" s="29">
        <f t="shared" si="107"/>
        <v>128</v>
      </c>
      <c r="BE138" s="29">
        <f t="shared" si="108"/>
        <v>131</v>
      </c>
    </row>
    <row r="139" spans="1:57" ht="15" x14ac:dyDescent="0.2">
      <c r="A139" s="2">
        <v>579</v>
      </c>
      <c r="B139" s="2" t="str">
        <f t="shared" si="73"/>
        <v>0579</v>
      </c>
      <c r="C139" t="str">
        <f t="shared" si="74"/>
        <v>ORD-BL-0579-24/02/24</v>
      </c>
      <c r="D139" s="3" t="s">
        <v>94</v>
      </c>
      <c r="E139" t="str">
        <f t="shared" si="75"/>
        <v>PP002</v>
      </c>
      <c r="F139" t="str">
        <f>INDEX(Katalog!$B$4:$B$13,MATCH('Main Data'!E139,Katalog!$C$4:$C$13,0))</f>
        <v>Celana Pendek</v>
      </c>
      <c r="G139" t="str">
        <f>VLOOKUP(E139,Katalog!$A$15:$B$25,2,0)</f>
        <v>Pakaian Pria</v>
      </c>
      <c r="H139" t="str">
        <f t="shared" si="76"/>
        <v>1</v>
      </c>
      <c r="I139" t="str">
        <f t="shared" si="77"/>
        <v>1</v>
      </c>
      <c r="J139" s="18">
        <f>VLOOKUP(E139,Katalog!$C$3:$F$13,2,0)</f>
        <v>60000</v>
      </c>
      <c r="K139" s="18">
        <f>VLOOKUP(E139,Katalog!$C$3:$F$13,3,0)</f>
        <v>25000</v>
      </c>
      <c r="L139" t="str">
        <f t="shared" si="78"/>
        <v>-</v>
      </c>
      <c r="M139" t="str">
        <f>IFERROR(INDEX(Katalog!$B$4:$B$13,MATCH('Main Data'!L139,Katalog!$C$4:$C$13,0)), "-")</f>
        <v>-</v>
      </c>
      <c r="N139" t="str">
        <f>IFERROR(VLOOKUP(L139,Katalog!$A$15:$B$25,2,0),"-")</f>
        <v>-</v>
      </c>
      <c r="O139">
        <f t="shared" si="79"/>
        <v>0</v>
      </c>
      <c r="P139" t="str">
        <f t="shared" si="80"/>
        <v>-</v>
      </c>
      <c r="Q139" s="18">
        <f>IFERROR(VLOOKUP(L139,Katalog!$C$3:$F$13,2,0),0)</f>
        <v>0</v>
      </c>
      <c r="R139" s="18">
        <f>IFERROR(VLOOKUP(L139,Katalog!$C$3:$F$13,3,0),0)</f>
        <v>0</v>
      </c>
      <c r="S139" t="str">
        <f t="shared" si="81"/>
        <v>-</v>
      </c>
      <c r="T139" t="str">
        <f>IFERROR(INDEX(Katalog!$B$4:$B$13,MATCH('Main Data'!S139,Katalog!$C$4:$C$13,0)),"-")</f>
        <v>-</v>
      </c>
      <c r="U139" t="str">
        <f>IFERROR(VLOOKUP(S139,Katalog!$A$15:$B$25,2,0),"-")</f>
        <v>-</v>
      </c>
      <c r="V139">
        <f t="shared" si="82"/>
        <v>0</v>
      </c>
      <c r="W139" s="28" t="str">
        <f t="shared" si="83"/>
        <v>-</v>
      </c>
      <c r="X139" s="18">
        <f>IFERROR(VLOOKUP(S139,Katalog!$C$3:$F$13,2,0),0)</f>
        <v>0</v>
      </c>
      <c r="Y139" s="30">
        <f>IFERROR(VLOOKUP(S139,Katalog!$C$3:$F$13,3,0),0)</f>
        <v>0</v>
      </c>
      <c r="Z139" s="2">
        <f t="shared" si="84"/>
        <v>1</v>
      </c>
      <c r="AA139" s="4">
        <f t="shared" si="85"/>
        <v>60000</v>
      </c>
      <c r="AB139" s="4">
        <f t="shared" si="86"/>
        <v>25000</v>
      </c>
      <c r="AC139" s="4" t="s">
        <v>31</v>
      </c>
      <c r="AD139" s="16">
        <f>IFERROR(VLOOKUP(AC139,'Kode Diskon'!$C$2:$D$9,2,0),0)</f>
        <v>0.15</v>
      </c>
      <c r="AE139" s="31">
        <f t="shared" si="87"/>
        <v>9000</v>
      </c>
      <c r="AF139" s="31">
        <f t="shared" si="88"/>
        <v>51000</v>
      </c>
      <c r="AG139" s="31">
        <f t="shared" si="89"/>
        <v>35000</v>
      </c>
      <c r="AH139" s="31">
        <f t="shared" si="90"/>
        <v>26000</v>
      </c>
      <c r="AI139" s="4" t="s">
        <v>8</v>
      </c>
      <c r="AJ139" s="4" t="s">
        <v>11</v>
      </c>
      <c r="AK139" s="4" t="str">
        <f>IFERROR(VLOOKUP(AJ139,'Guide '!$A$13:$B$16,2,0),"-")</f>
        <v>BL</v>
      </c>
      <c r="AL139" s="4" t="s">
        <v>921</v>
      </c>
      <c r="AM139" s="40">
        <v>45346</v>
      </c>
      <c r="AN139">
        <f t="shared" si="91"/>
        <v>29</v>
      </c>
      <c r="AO139">
        <f t="shared" si="92"/>
        <v>32</v>
      </c>
      <c r="AP139">
        <f t="shared" si="93"/>
        <v>40</v>
      </c>
      <c r="AQ139">
        <f t="shared" si="94"/>
        <v>43</v>
      </c>
      <c r="AR139" s="26" t="str">
        <f t="shared" si="95"/>
        <v>-</v>
      </c>
      <c r="AS139" s="26" t="str">
        <f t="shared" si="96"/>
        <v>-</v>
      </c>
      <c r="AT139" s="21">
        <f t="shared" si="97"/>
        <v>12</v>
      </c>
      <c r="AU139" s="21">
        <f t="shared" si="98"/>
        <v>19</v>
      </c>
      <c r="AV139" t="str">
        <f t="shared" si="99"/>
        <v>-</v>
      </c>
      <c r="AW139" t="str">
        <f t="shared" si="100"/>
        <v>-</v>
      </c>
      <c r="AX139" t="str">
        <f t="shared" si="101"/>
        <v>-</v>
      </c>
      <c r="AY139" t="str">
        <f t="shared" si="102"/>
        <v>-</v>
      </c>
      <c r="AZ139" t="str">
        <f t="shared" si="103"/>
        <v>-</v>
      </c>
      <c r="BA139" t="str">
        <f t="shared" si="104"/>
        <v>-</v>
      </c>
      <c r="BB139" t="str">
        <f t="shared" si="105"/>
        <v>-</v>
      </c>
      <c r="BC139" t="str">
        <f t="shared" si="106"/>
        <v>-</v>
      </c>
      <c r="BD139" s="29" t="str">
        <f t="shared" si="107"/>
        <v>-</v>
      </c>
      <c r="BE139" s="29" t="str">
        <f t="shared" si="108"/>
        <v>-</v>
      </c>
    </row>
    <row r="140" spans="1:57" ht="15" x14ac:dyDescent="0.2">
      <c r="A140" s="2">
        <v>679</v>
      </c>
      <c r="B140" s="2" t="str">
        <f t="shared" si="73"/>
        <v>0679</v>
      </c>
      <c r="C140" t="str">
        <f t="shared" si="74"/>
        <v>ORD-BL-0679-24/02/24</v>
      </c>
      <c r="D140" s="3" t="s">
        <v>676</v>
      </c>
      <c r="E140" t="str">
        <f t="shared" si="75"/>
        <v>SP002</v>
      </c>
      <c r="F140" t="str">
        <f>INDEX(Katalog!$B$4:$B$13,MATCH('Main Data'!E140,Katalog!$C$4:$C$13,0))</f>
        <v>Sandal Slip On</v>
      </c>
      <c r="G140" t="str">
        <f>VLOOKUP(E140,Katalog!$A$15:$B$25,2,0)</f>
        <v>Sepatu Pria</v>
      </c>
      <c r="H140" t="str">
        <f t="shared" si="76"/>
        <v>1</v>
      </c>
      <c r="I140" t="str">
        <f t="shared" si="77"/>
        <v>3</v>
      </c>
      <c r="J140" s="18">
        <f>VLOOKUP(E140,Katalog!$C$3:$F$13,2,0)</f>
        <v>120000</v>
      </c>
      <c r="K140" s="18">
        <f>VLOOKUP(E140,Katalog!$C$3:$F$13,3,0)</f>
        <v>60000</v>
      </c>
      <c r="L140" t="str">
        <f t="shared" si="78"/>
        <v>PP002</v>
      </c>
      <c r="M140" t="str">
        <f>IFERROR(INDEX(Katalog!$B$4:$B$13,MATCH('Main Data'!L140,Katalog!$C$4:$C$13,0)), "-")</f>
        <v>Celana Pendek</v>
      </c>
      <c r="N140" t="str">
        <f>IFERROR(VLOOKUP(L140,Katalog!$A$15:$B$25,2,0),"-")</f>
        <v>Pakaian Pria</v>
      </c>
      <c r="O140" t="str">
        <f t="shared" si="79"/>
        <v>1</v>
      </c>
      <c r="P140" t="str">
        <f t="shared" si="80"/>
        <v>3</v>
      </c>
      <c r="Q140" s="18">
        <f>IFERROR(VLOOKUP(L140,Katalog!$C$3:$F$13,2,0),0)</f>
        <v>60000</v>
      </c>
      <c r="R140" s="18">
        <f>IFERROR(VLOOKUP(L140,Katalog!$C$3:$F$13,3,0),0)</f>
        <v>25000</v>
      </c>
      <c r="S140" t="str">
        <f t="shared" si="81"/>
        <v>SP002</v>
      </c>
      <c r="T140" t="str">
        <f>IFERROR(INDEX(Katalog!$B$4:$B$13,MATCH('Main Data'!S140,Katalog!$C$4:$C$13,0)),"-")</f>
        <v>Sandal Slip On</v>
      </c>
      <c r="U140" t="str">
        <f>IFERROR(VLOOKUP(S140,Katalog!$A$15:$B$25,2,0),"-")</f>
        <v>Sepatu Pria</v>
      </c>
      <c r="V140" t="str">
        <f t="shared" si="82"/>
        <v>2</v>
      </c>
      <c r="W140" s="28" t="str">
        <f t="shared" si="83"/>
        <v>2</v>
      </c>
      <c r="X140" s="18">
        <f>IFERROR(VLOOKUP(S140,Katalog!$C$3:$F$13,2,0),0)</f>
        <v>120000</v>
      </c>
      <c r="Y140" s="30">
        <f>IFERROR(VLOOKUP(S140,Katalog!$C$3:$F$13,3,0),0)</f>
        <v>60000</v>
      </c>
      <c r="Z140" s="2">
        <f t="shared" si="84"/>
        <v>4</v>
      </c>
      <c r="AA140" s="4">
        <f t="shared" si="85"/>
        <v>420000</v>
      </c>
      <c r="AB140" s="4">
        <f t="shared" si="86"/>
        <v>205000</v>
      </c>
      <c r="AC140" s="4" t="s">
        <v>10</v>
      </c>
      <c r="AD140" s="16">
        <f>IFERROR(VLOOKUP(AC140,'Kode Diskon'!$C$2:$D$9,2,0),0)</f>
        <v>0</v>
      </c>
      <c r="AE140" s="31">
        <f t="shared" si="87"/>
        <v>0</v>
      </c>
      <c r="AF140" s="31">
        <f t="shared" si="88"/>
        <v>420000</v>
      </c>
      <c r="AG140" s="31">
        <f t="shared" si="89"/>
        <v>215000</v>
      </c>
      <c r="AH140" s="31">
        <f t="shared" si="90"/>
        <v>215000</v>
      </c>
      <c r="AI140" s="4" t="s">
        <v>10</v>
      </c>
      <c r="AJ140" s="4" t="s">
        <v>11</v>
      </c>
      <c r="AK140" s="4" t="str">
        <f>IFERROR(VLOOKUP(AJ140,'Guide '!$A$13:$B$16,2,0),"-")</f>
        <v>BL</v>
      </c>
      <c r="AL140" s="4" t="s">
        <v>925</v>
      </c>
      <c r="AM140" s="40">
        <v>45346</v>
      </c>
      <c r="AN140">
        <f t="shared" si="91"/>
        <v>29</v>
      </c>
      <c r="AO140">
        <f t="shared" si="92"/>
        <v>32</v>
      </c>
      <c r="AP140">
        <f t="shared" si="93"/>
        <v>40</v>
      </c>
      <c r="AQ140">
        <f t="shared" si="94"/>
        <v>43</v>
      </c>
      <c r="AR140" s="26">
        <f t="shared" si="95"/>
        <v>56</v>
      </c>
      <c r="AS140" s="26">
        <f t="shared" si="96"/>
        <v>63</v>
      </c>
      <c r="AT140" s="21">
        <f t="shared" si="97"/>
        <v>12</v>
      </c>
      <c r="AU140" s="21">
        <f t="shared" si="98"/>
        <v>19</v>
      </c>
      <c r="AV140">
        <f t="shared" si="99"/>
        <v>73</v>
      </c>
      <c r="AW140">
        <f t="shared" si="100"/>
        <v>76</v>
      </c>
      <c r="AX140">
        <f t="shared" si="101"/>
        <v>84</v>
      </c>
      <c r="AY140">
        <f t="shared" si="102"/>
        <v>87</v>
      </c>
      <c r="AZ140">
        <f t="shared" si="103"/>
        <v>100</v>
      </c>
      <c r="BA140">
        <f t="shared" si="104"/>
        <v>107</v>
      </c>
      <c r="BB140">
        <f t="shared" si="105"/>
        <v>117</v>
      </c>
      <c r="BC140">
        <f t="shared" si="106"/>
        <v>120</v>
      </c>
      <c r="BD140" s="29">
        <f t="shared" si="107"/>
        <v>128</v>
      </c>
      <c r="BE140" s="29">
        <f t="shared" si="108"/>
        <v>131</v>
      </c>
    </row>
    <row r="141" spans="1:57" ht="15" x14ac:dyDescent="0.2">
      <c r="A141" s="2">
        <v>727</v>
      </c>
      <c r="B141" s="2" t="str">
        <f t="shared" si="73"/>
        <v>0727</v>
      </c>
      <c r="C141" t="str">
        <f t="shared" si="74"/>
        <v>ORD-SP-0727-24/02/24</v>
      </c>
      <c r="D141" s="3" t="s">
        <v>713</v>
      </c>
      <c r="E141" t="str">
        <f t="shared" si="75"/>
        <v>PP001</v>
      </c>
      <c r="F141" t="str">
        <f>INDEX(Katalog!$B$4:$B$13,MATCH('Main Data'!E141,Katalog!$C$4:$C$13,0))</f>
        <v>Kaos Polo</v>
      </c>
      <c r="G141" t="str">
        <f>VLOOKUP(E141,Katalog!$A$15:$B$25,2,0)</f>
        <v>Pakaian Pria</v>
      </c>
      <c r="H141" t="str">
        <f t="shared" si="76"/>
        <v>3</v>
      </c>
      <c r="I141" t="str">
        <f t="shared" si="77"/>
        <v>3</v>
      </c>
      <c r="J141" s="18">
        <f>VLOOKUP(E141,Katalog!$C$3:$F$13,2,0)</f>
        <v>80000</v>
      </c>
      <c r="K141" s="18">
        <f>VLOOKUP(E141,Katalog!$C$3:$F$13,3,0)</f>
        <v>30000</v>
      </c>
      <c r="L141" t="str">
        <f t="shared" si="78"/>
        <v>PU001</v>
      </c>
      <c r="M141" t="str">
        <f>IFERROR(INDEX(Katalog!$B$4:$B$13,MATCH('Main Data'!L141,Katalog!$C$4:$C$13,0)), "-")</f>
        <v>Jaket Hoodie</v>
      </c>
      <c r="N141" t="str">
        <f>IFERROR(VLOOKUP(L141,Katalog!$A$15:$B$25,2,0),"-")</f>
        <v>Pakaian Unisex</v>
      </c>
      <c r="O141" t="str">
        <f t="shared" si="79"/>
        <v>1</v>
      </c>
      <c r="P141" t="str">
        <f t="shared" si="80"/>
        <v>3</v>
      </c>
      <c r="Q141" s="18">
        <f>IFERROR(VLOOKUP(L141,Katalog!$C$3:$F$13,2,0),0)</f>
        <v>160000</v>
      </c>
      <c r="R141" s="18">
        <f>IFERROR(VLOOKUP(L141,Katalog!$C$3:$F$13,3,0),0)</f>
        <v>60000</v>
      </c>
      <c r="S141" t="str">
        <f t="shared" si="81"/>
        <v>-</v>
      </c>
      <c r="T141" t="str">
        <f>IFERROR(INDEX(Katalog!$B$4:$B$13,MATCH('Main Data'!S141,Katalog!$C$4:$C$13,0)),"-")</f>
        <v>-</v>
      </c>
      <c r="U141" t="str">
        <f>IFERROR(VLOOKUP(S141,Katalog!$A$15:$B$25,2,0),"-")</f>
        <v>-</v>
      </c>
      <c r="V141">
        <f t="shared" si="82"/>
        <v>0</v>
      </c>
      <c r="W141" s="28" t="str">
        <f t="shared" si="83"/>
        <v>-</v>
      </c>
      <c r="X141" s="18">
        <f>IFERROR(VLOOKUP(S141,Katalog!$C$3:$F$13,2,0),0)</f>
        <v>0</v>
      </c>
      <c r="Y141" s="30">
        <f>IFERROR(VLOOKUP(S141,Katalog!$C$3:$F$13,3,0),0)</f>
        <v>0</v>
      </c>
      <c r="Z141" s="2">
        <f t="shared" si="84"/>
        <v>4</v>
      </c>
      <c r="AA141" s="4">
        <f t="shared" si="85"/>
        <v>400000</v>
      </c>
      <c r="AB141" s="4">
        <f t="shared" si="86"/>
        <v>150000</v>
      </c>
      <c r="AC141" s="4" t="s">
        <v>10</v>
      </c>
      <c r="AD141" s="16">
        <f>IFERROR(VLOOKUP(AC141,'Kode Diskon'!$C$2:$D$9,2,0),0)</f>
        <v>0</v>
      </c>
      <c r="AE141" s="31">
        <f t="shared" si="87"/>
        <v>0</v>
      </c>
      <c r="AF141" s="31">
        <f t="shared" si="88"/>
        <v>400000</v>
      </c>
      <c r="AG141" s="31">
        <f t="shared" si="89"/>
        <v>250000</v>
      </c>
      <c r="AH141" s="31">
        <f t="shared" si="90"/>
        <v>250000</v>
      </c>
      <c r="AI141" s="4" t="s">
        <v>10</v>
      </c>
      <c r="AJ141" s="4" t="s">
        <v>6</v>
      </c>
      <c r="AK141" s="4" t="str">
        <f>IFERROR(VLOOKUP(AJ141,'Guide '!$A$13:$B$16,2,0),"-")</f>
        <v>SP</v>
      </c>
      <c r="AL141" s="4" t="s">
        <v>924</v>
      </c>
      <c r="AM141" s="40">
        <v>45346</v>
      </c>
      <c r="AN141">
        <f t="shared" si="91"/>
        <v>29</v>
      </c>
      <c r="AO141">
        <f t="shared" si="92"/>
        <v>32</v>
      </c>
      <c r="AP141">
        <f t="shared" si="93"/>
        <v>40</v>
      </c>
      <c r="AQ141">
        <f t="shared" si="94"/>
        <v>43</v>
      </c>
      <c r="AR141" s="26">
        <f t="shared" si="95"/>
        <v>56</v>
      </c>
      <c r="AS141" s="26">
        <f t="shared" si="96"/>
        <v>63</v>
      </c>
      <c r="AT141" s="21">
        <f t="shared" si="97"/>
        <v>12</v>
      </c>
      <c r="AU141" s="21">
        <f t="shared" si="98"/>
        <v>19</v>
      </c>
      <c r="AV141">
        <f t="shared" si="99"/>
        <v>73</v>
      </c>
      <c r="AW141">
        <f t="shared" si="100"/>
        <v>76</v>
      </c>
      <c r="AX141">
        <f t="shared" si="101"/>
        <v>84</v>
      </c>
      <c r="AY141">
        <f t="shared" si="102"/>
        <v>87</v>
      </c>
      <c r="AZ141" t="str">
        <f t="shared" si="103"/>
        <v>-</v>
      </c>
      <c r="BA141" t="str">
        <f t="shared" si="104"/>
        <v>-</v>
      </c>
      <c r="BB141" t="str">
        <f t="shared" si="105"/>
        <v>-</v>
      </c>
      <c r="BC141" t="str">
        <f t="shared" si="106"/>
        <v>-</v>
      </c>
      <c r="BD141" s="29" t="str">
        <f t="shared" si="107"/>
        <v>-</v>
      </c>
      <c r="BE141" s="29" t="str">
        <f t="shared" si="108"/>
        <v>-</v>
      </c>
    </row>
    <row r="142" spans="1:57" ht="15" x14ac:dyDescent="0.2">
      <c r="A142" s="2">
        <v>902</v>
      </c>
      <c r="B142" s="2" t="str">
        <f t="shared" si="73"/>
        <v>0902</v>
      </c>
      <c r="C142" t="str">
        <f t="shared" si="74"/>
        <v>ORD-SP-0902-24/02/24</v>
      </c>
      <c r="D142" s="3" t="s">
        <v>840</v>
      </c>
      <c r="E142" t="str">
        <f t="shared" si="75"/>
        <v>SP002</v>
      </c>
      <c r="F142" t="str">
        <f>INDEX(Katalog!$B$4:$B$13,MATCH('Main Data'!E142,Katalog!$C$4:$C$13,0))</f>
        <v>Sandal Slip On</v>
      </c>
      <c r="G142" t="str">
        <f>VLOOKUP(E142,Katalog!$A$15:$B$25,2,0)</f>
        <v>Sepatu Pria</v>
      </c>
      <c r="H142" t="str">
        <f t="shared" si="76"/>
        <v>3</v>
      </c>
      <c r="I142" t="str">
        <f t="shared" si="77"/>
        <v>2</v>
      </c>
      <c r="J142" s="18">
        <f>VLOOKUP(E142,Katalog!$C$3:$F$13,2,0)</f>
        <v>120000</v>
      </c>
      <c r="K142" s="18">
        <f>VLOOKUP(E142,Katalog!$C$3:$F$13,3,0)</f>
        <v>60000</v>
      </c>
      <c r="L142" t="str">
        <f t="shared" si="78"/>
        <v>SW001</v>
      </c>
      <c r="M142" t="str">
        <f>IFERROR(INDEX(Katalog!$B$4:$B$13,MATCH('Main Data'!L142,Katalog!$C$4:$C$13,0)), "-")</f>
        <v>Flat Shoes</v>
      </c>
      <c r="N142" t="str">
        <f>IFERROR(VLOOKUP(L142,Katalog!$A$15:$B$25,2,0),"-")</f>
        <v>Sepatu Wanita</v>
      </c>
      <c r="O142" t="str">
        <f t="shared" si="79"/>
        <v>2</v>
      </c>
      <c r="P142" t="str">
        <f t="shared" si="80"/>
        <v>1</v>
      </c>
      <c r="Q142" s="18">
        <f>IFERROR(VLOOKUP(L142,Katalog!$C$3:$F$13,2,0),0)</f>
        <v>150000</v>
      </c>
      <c r="R142" s="18">
        <f>IFERROR(VLOOKUP(L142,Katalog!$C$3:$F$13,3,0),0)</f>
        <v>70000</v>
      </c>
      <c r="S142" t="str">
        <f t="shared" si="81"/>
        <v>-</v>
      </c>
      <c r="T142" t="str">
        <f>IFERROR(INDEX(Katalog!$B$4:$B$13,MATCH('Main Data'!S142,Katalog!$C$4:$C$13,0)),"-")</f>
        <v>-</v>
      </c>
      <c r="U142" t="str">
        <f>IFERROR(VLOOKUP(S142,Katalog!$A$15:$B$25,2,0),"-")</f>
        <v>-</v>
      </c>
      <c r="V142">
        <f t="shared" si="82"/>
        <v>0</v>
      </c>
      <c r="W142" s="28" t="str">
        <f t="shared" si="83"/>
        <v>-</v>
      </c>
      <c r="X142" s="18">
        <f>IFERROR(VLOOKUP(S142,Katalog!$C$3:$F$13,2,0),0)</f>
        <v>0</v>
      </c>
      <c r="Y142" s="30">
        <f>IFERROR(VLOOKUP(S142,Katalog!$C$3:$F$13,3,0),0)</f>
        <v>0</v>
      </c>
      <c r="Z142" s="2">
        <f t="shared" si="84"/>
        <v>5</v>
      </c>
      <c r="AA142" s="4">
        <f t="shared" si="85"/>
        <v>660000</v>
      </c>
      <c r="AB142" s="4">
        <f t="shared" si="86"/>
        <v>320000</v>
      </c>
      <c r="AC142" s="4" t="s">
        <v>5</v>
      </c>
      <c r="AD142" s="16">
        <f>IFERROR(VLOOKUP(AC142,'Kode Diskon'!$C$2:$D$9,2,0),0)</f>
        <v>0.1</v>
      </c>
      <c r="AE142" s="31">
        <f t="shared" si="87"/>
        <v>66000</v>
      </c>
      <c r="AF142" s="31">
        <f t="shared" si="88"/>
        <v>594000</v>
      </c>
      <c r="AG142" s="31">
        <f t="shared" si="89"/>
        <v>340000</v>
      </c>
      <c r="AH142" s="31">
        <f t="shared" si="90"/>
        <v>274000</v>
      </c>
      <c r="AI142" s="4" t="s">
        <v>28</v>
      </c>
      <c r="AJ142" s="4" t="s">
        <v>6</v>
      </c>
      <c r="AK142" s="4" t="str">
        <f>IFERROR(VLOOKUP(AJ142,'Guide '!$A$13:$B$16,2,0),"-")</f>
        <v>SP</v>
      </c>
      <c r="AL142" s="4" t="s">
        <v>921</v>
      </c>
      <c r="AM142" s="40">
        <v>45346</v>
      </c>
      <c r="AN142">
        <f t="shared" si="91"/>
        <v>29</v>
      </c>
      <c r="AO142">
        <f t="shared" si="92"/>
        <v>32</v>
      </c>
      <c r="AP142">
        <f t="shared" si="93"/>
        <v>40</v>
      </c>
      <c r="AQ142">
        <f t="shared" si="94"/>
        <v>43</v>
      </c>
      <c r="AR142" s="26">
        <f t="shared" si="95"/>
        <v>56</v>
      </c>
      <c r="AS142" s="26">
        <f t="shared" si="96"/>
        <v>63</v>
      </c>
      <c r="AT142" s="21">
        <f t="shared" si="97"/>
        <v>12</v>
      </c>
      <c r="AU142" s="21">
        <f t="shared" si="98"/>
        <v>19</v>
      </c>
      <c r="AV142">
        <f t="shared" si="99"/>
        <v>73</v>
      </c>
      <c r="AW142">
        <f t="shared" si="100"/>
        <v>76</v>
      </c>
      <c r="AX142">
        <f t="shared" si="101"/>
        <v>84</v>
      </c>
      <c r="AY142">
        <f t="shared" si="102"/>
        <v>87</v>
      </c>
      <c r="AZ142" t="str">
        <f t="shared" si="103"/>
        <v>-</v>
      </c>
      <c r="BA142" t="str">
        <f t="shared" si="104"/>
        <v>-</v>
      </c>
      <c r="BB142" t="str">
        <f t="shared" si="105"/>
        <v>-</v>
      </c>
      <c r="BC142" t="str">
        <f t="shared" si="106"/>
        <v>-</v>
      </c>
      <c r="BD142" s="29" t="str">
        <f t="shared" si="107"/>
        <v>-</v>
      </c>
      <c r="BE142" s="29" t="str">
        <f t="shared" si="108"/>
        <v>-</v>
      </c>
    </row>
    <row r="143" spans="1:57" ht="15" x14ac:dyDescent="0.2">
      <c r="A143" s="2">
        <v>22</v>
      </c>
      <c r="B143" s="2" t="str">
        <f t="shared" si="73"/>
        <v>0022</v>
      </c>
      <c r="C143" t="str">
        <f t="shared" si="74"/>
        <v>ORD-SP-0022-25/02/24</v>
      </c>
      <c r="D143" s="3" t="s">
        <v>96</v>
      </c>
      <c r="E143" t="str">
        <f t="shared" si="75"/>
        <v>PU001</v>
      </c>
      <c r="F143" t="str">
        <f>INDEX(Katalog!$B$4:$B$13,MATCH('Main Data'!E143,Katalog!$C$4:$C$13,0))</f>
        <v>Jaket Hoodie</v>
      </c>
      <c r="G143" t="str">
        <f>VLOOKUP(E143,Katalog!$A$15:$B$25,2,0)</f>
        <v>Pakaian Unisex</v>
      </c>
      <c r="H143" t="str">
        <f t="shared" si="76"/>
        <v>1</v>
      </c>
      <c r="I143" t="str">
        <f t="shared" si="77"/>
        <v>1</v>
      </c>
      <c r="J143" s="18">
        <f>VLOOKUP(E143,Katalog!$C$3:$F$13,2,0)</f>
        <v>160000</v>
      </c>
      <c r="K143" s="18">
        <f>VLOOKUP(E143,Katalog!$C$3:$F$13,3,0)</f>
        <v>60000</v>
      </c>
      <c r="L143" t="str">
        <f t="shared" si="78"/>
        <v>PW001</v>
      </c>
      <c r="M143" t="str">
        <f>IFERROR(INDEX(Katalog!$B$4:$B$13,MATCH('Main Data'!L143,Katalog!$C$4:$C$13,0)), "-")</f>
        <v>Dress</v>
      </c>
      <c r="N143" t="str">
        <f>IFERROR(VLOOKUP(L143,Katalog!$A$15:$B$25,2,0),"-")</f>
        <v>Pakaian Wanita</v>
      </c>
      <c r="O143" t="str">
        <f t="shared" si="79"/>
        <v>3</v>
      </c>
      <c r="P143" t="str">
        <f t="shared" si="80"/>
        <v>1</v>
      </c>
      <c r="Q143" s="18">
        <f>IFERROR(VLOOKUP(L143,Katalog!$C$3:$F$13,2,0),0)</f>
        <v>150000</v>
      </c>
      <c r="R143" s="18">
        <f>IFERROR(VLOOKUP(L143,Katalog!$C$3:$F$13,3,0),0)</f>
        <v>55000</v>
      </c>
      <c r="S143" t="str">
        <f t="shared" si="81"/>
        <v>-</v>
      </c>
      <c r="T143" t="str">
        <f>IFERROR(INDEX(Katalog!$B$4:$B$13,MATCH('Main Data'!S143,Katalog!$C$4:$C$13,0)),"-")</f>
        <v>-</v>
      </c>
      <c r="U143" t="str">
        <f>IFERROR(VLOOKUP(S143,Katalog!$A$15:$B$25,2,0),"-")</f>
        <v>-</v>
      </c>
      <c r="V143">
        <f t="shared" si="82"/>
        <v>0</v>
      </c>
      <c r="W143" s="28" t="str">
        <f t="shared" si="83"/>
        <v>-</v>
      </c>
      <c r="X143" s="18">
        <f>IFERROR(VLOOKUP(S143,Katalog!$C$3:$F$13,2,0),0)</f>
        <v>0</v>
      </c>
      <c r="Y143" s="30">
        <f>IFERROR(VLOOKUP(S143,Katalog!$C$3:$F$13,3,0),0)</f>
        <v>0</v>
      </c>
      <c r="Z143" s="2">
        <f t="shared" si="84"/>
        <v>4</v>
      </c>
      <c r="AA143" s="4">
        <f t="shared" si="85"/>
        <v>610000</v>
      </c>
      <c r="AB143" s="4">
        <f t="shared" si="86"/>
        <v>225000</v>
      </c>
      <c r="AC143" s="4" t="s">
        <v>7</v>
      </c>
      <c r="AD143" s="16">
        <f>IFERROR(VLOOKUP(AC143,'Kode Diskon'!$C$2:$D$9,2,0),0)</f>
        <v>0.2</v>
      </c>
      <c r="AE143" s="31">
        <f t="shared" si="87"/>
        <v>122000</v>
      </c>
      <c r="AF143" s="31">
        <f t="shared" si="88"/>
        <v>488000</v>
      </c>
      <c r="AG143" s="31">
        <f t="shared" si="89"/>
        <v>385000</v>
      </c>
      <c r="AH143" s="31">
        <f t="shared" si="90"/>
        <v>263000</v>
      </c>
      <c r="AI143" s="4" t="s">
        <v>8</v>
      </c>
      <c r="AJ143" s="4" t="s">
        <v>6</v>
      </c>
      <c r="AK143" s="4" t="str">
        <f>IFERROR(VLOOKUP(AJ143,'Guide '!$A$13:$B$16,2,0),"-")</f>
        <v>SP</v>
      </c>
      <c r="AL143" s="4" t="s">
        <v>923</v>
      </c>
      <c r="AM143" s="40">
        <v>45347</v>
      </c>
      <c r="AN143">
        <f t="shared" si="91"/>
        <v>29</v>
      </c>
      <c r="AO143">
        <f t="shared" si="92"/>
        <v>32</v>
      </c>
      <c r="AP143">
        <f t="shared" si="93"/>
        <v>40</v>
      </c>
      <c r="AQ143">
        <f t="shared" si="94"/>
        <v>43</v>
      </c>
      <c r="AR143" s="26">
        <f t="shared" si="95"/>
        <v>56</v>
      </c>
      <c r="AS143" s="26">
        <f t="shared" si="96"/>
        <v>63</v>
      </c>
      <c r="AT143" s="21">
        <f t="shared" si="97"/>
        <v>12</v>
      </c>
      <c r="AU143" s="21">
        <f t="shared" si="98"/>
        <v>19</v>
      </c>
      <c r="AV143">
        <f t="shared" si="99"/>
        <v>73</v>
      </c>
      <c r="AW143">
        <f t="shared" si="100"/>
        <v>76</v>
      </c>
      <c r="AX143">
        <f t="shared" si="101"/>
        <v>84</v>
      </c>
      <c r="AY143">
        <f t="shared" si="102"/>
        <v>87</v>
      </c>
      <c r="AZ143" t="str">
        <f t="shared" si="103"/>
        <v>-</v>
      </c>
      <c r="BA143" t="str">
        <f t="shared" si="104"/>
        <v>-</v>
      </c>
      <c r="BB143" t="str">
        <f t="shared" si="105"/>
        <v>-</v>
      </c>
      <c r="BC143" t="str">
        <f t="shared" si="106"/>
        <v>-</v>
      </c>
      <c r="BD143" s="29" t="str">
        <f t="shared" si="107"/>
        <v>-</v>
      </c>
      <c r="BE143" s="29" t="str">
        <f t="shared" si="108"/>
        <v>-</v>
      </c>
    </row>
    <row r="144" spans="1:57" ht="15" x14ac:dyDescent="0.2">
      <c r="A144" s="2">
        <v>211</v>
      </c>
      <c r="B144" s="2" t="str">
        <f t="shared" si="73"/>
        <v>0211</v>
      </c>
      <c r="C144" t="str">
        <f t="shared" si="74"/>
        <v>ORD-TK-0211-25/02/24</v>
      </c>
      <c r="D144" s="3" t="s">
        <v>280</v>
      </c>
      <c r="E144" t="str">
        <f t="shared" si="75"/>
        <v>SP001</v>
      </c>
      <c r="F144" t="str">
        <f>INDEX(Katalog!$B$4:$B$13,MATCH('Main Data'!E144,Katalog!$C$4:$C$13,0))</f>
        <v>Sneakers</v>
      </c>
      <c r="G144" t="str">
        <f>VLOOKUP(E144,Katalog!$A$15:$B$25,2,0)</f>
        <v>Sepatu Pria</v>
      </c>
      <c r="H144" t="str">
        <f t="shared" si="76"/>
        <v>4</v>
      </c>
      <c r="I144" t="str">
        <f t="shared" si="77"/>
        <v>1</v>
      </c>
      <c r="J144" s="18">
        <f>VLOOKUP(E144,Katalog!$C$3:$F$13,2,0)</f>
        <v>300000</v>
      </c>
      <c r="K144" s="18">
        <f>VLOOKUP(E144,Katalog!$C$3:$F$13,3,0)</f>
        <v>100000</v>
      </c>
      <c r="L144" t="str">
        <f t="shared" si="78"/>
        <v>PU001</v>
      </c>
      <c r="M144" t="str">
        <f>IFERROR(INDEX(Katalog!$B$4:$B$13,MATCH('Main Data'!L144,Katalog!$C$4:$C$13,0)), "-")</f>
        <v>Jaket Hoodie</v>
      </c>
      <c r="N144" t="str">
        <f>IFERROR(VLOOKUP(L144,Katalog!$A$15:$B$25,2,0),"-")</f>
        <v>Pakaian Unisex</v>
      </c>
      <c r="O144" t="str">
        <f t="shared" si="79"/>
        <v>3</v>
      </c>
      <c r="P144" t="str">
        <f t="shared" si="80"/>
        <v>4</v>
      </c>
      <c r="Q144" s="18">
        <f>IFERROR(VLOOKUP(L144,Katalog!$C$3:$F$13,2,0),0)</f>
        <v>160000</v>
      </c>
      <c r="R144" s="18">
        <f>IFERROR(VLOOKUP(L144,Katalog!$C$3:$F$13,3,0),0)</f>
        <v>60000</v>
      </c>
      <c r="S144" t="str">
        <f t="shared" si="81"/>
        <v>-</v>
      </c>
      <c r="T144" t="str">
        <f>IFERROR(INDEX(Katalog!$B$4:$B$13,MATCH('Main Data'!S144,Katalog!$C$4:$C$13,0)),"-")</f>
        <v>-</v>
      </c>
      <c r="U144" t="str">
        <f>IFERROR(VLOOKUP(S144,Katalog!$A$15:$B$25,2,0),"-")</f>
        <v>-</v>
      </c>
      <c r="V144">
        <f t="shared" si="82"/>
        <v>0</v>
      </c>
      <c r="W144" s="28" t="str">
        <f t="shared" si="83"/>
        <v>-</v>
      </c>
      <c r="X144" s="18">
        <f>IFERROR(VLOOKUP(S144,Katalog!$C$3:$F$13,2,0),0)</f>
        <v>0</v>
      </c>
      <c r="Y144" s="30">
        <f>IFERROR(VLOOKUP(S144,Katalog!$C$3:$F$13,3,0),0)</f>
        <v>0</v>
      </c>
      <c r="Z144" s="2">
        <f t="shared" si="84"/>
        <v>7</v>
      </c>
      <c r="AA144" s="4">
        <f t="shared" si="85"/>
        <v>1680000</v>
      </c>
      <c r="AB144" s="4">
        <f t="shared" si="86"/>
        <v>580000</v>
      </c>
      <c r="AC144" s="4" t="s">
        <v>10</v>
      </c>
      <c r="AD144" s="16">
        <f>IFERROR(VLOOKUP(AC144,'Kode Diskon'!$C$2:$D$9,2,0),0)</f>
        <v>0</v>
      </c>
      <c r="AE144" s="31">
        <f t="shared" si="87"/>
        <v>0</v>
      </c>
      <c r="AF144" s="31">
        <f t="shared" si="88"/>
        <v>1680000</v>
      </c>
      <c r="AG144" s="31">
        <f t="shared" si="89"/>
        <v>1100000</v>
      </c>
      <c r="AH144" s="31">
        <f t="shared" si="90"/>
        <v>1100000</v>
      </c>
      <c r="AI144" s="4" t="s">
        <v>10</v>
      </c>
      <c r="AJ144" s="4" t="s">
        <v>9</v>
      </c>
      <c r="AK144" s="4" t="str">
        <f>IFERROR(VLOOKUP(AJ144,'Guide '!$A$13:$B$16,2,0),"-")</f>
        <v>TK</v>
      </c>
      <c r="AL144" s="4" t="s">
        <v>925</v>
      </c>
      <c r="AM144" s="40">
        <v>45347</v>
      </c>
      <c r="AN144">
        <f t="shared" si="91"/>
        <v>29</v>
      </c>
      <c r="AO144">
        <f t="shared" si="92"/>
        <v>32</v>
      </c>
      <c r="AP144">
        <f t="shared" si="93"/>
        <v>40</v>
      </c>
      <c r="AQ144">
        <f t="shared" si="94"/>
        <v>43</v>
      </c>
      <c r="AR144" s="26">
        <f t="shared" si="95"/>
        <v>56</v>
      </c>
      <c r="AS144" s="26">
        <f t="shared" si="96"/>
        <v>63</v>
      </c>
      <c r="AT144" s="21">
        <f t="shared" si="97"/>
        <v>12</v>
      </c>
      <c r="AU144" s="21">
        <f t="shared" si="98"/>
        <v>19</v>
      </c>
      <c r="AV144">
        <f t="shared" si="99"/>
        <v>73</v>
      </c>
      <c r="AW144">
        <f t="shared" si="100"/>
        <v>76</v>
      </c>
      <c r="AX144">
        <f t="shared" si="101"/>
        <v>84</v>
      </c>
      <c r="AY144">
        <f t="shared" si="102"/>
        <v>87</v>
      </c>
      <c r="AZ144" t="str">
        <f t="shared" si="103"/>
        <v>-</v>
      </c>
      <c r="BA144" t="str">
        <f t="shared" si="104"/>
        <v>-</v>
      </c>
      <c r="BB144" t="str">
        <f t="shared" si="105"/>
        <v>-</v>
      </c>
      <c r="BC144" t="str">
        <f t="shared" si="106"/>
        <v>-</v>
      </c>
      <c r="BD144" s="29" t="str">
        <f t="shared" si="107"/>
        <v>-</v>
      </c>
      <c r="BE144" s="29" t="str">
        <f t="shared" si="108"/>
        <v>-</v>
      </c>
    </row>
    <row r="145" spans="1:57" ht="15" x14ac:dyDescent="0.2">
      <c r="A145" s="2">
        <v>777</v>
      </c>
      <c r="B145" s="2" t="str">
        <f t="shared" si="73"/>
        <v>0777</v>
      </c>
      <c r="C145" t="str">
        <f t="shared" si="74"/>
        <v>ORD-TK-0777-26/02/24</v>
      </c>
      <c r="D145" s="3" t="s">
        <v>752</v>
      </c>
      <c r="E145" t="str">
        <f t="shared" si="75"/>
        <v>PW002</v>
      </c>
      <c r="F145" t="str">
        <f>INDEX(Katalog!$B$4:$B$13,MATCH('Main Data'!E145,Katalog!$C$4:$C$13,0))</f>
        <v>Blouse</v>
      </c>
      <c r="G145" t="str">
        <f>VLOOKUP(E145,Katalog!$A$15:$B$25,2,0)</f>
        <v>Pakaian Wanita</v>
      </c>
      <c r="H145" t="str">
        <f t="shared" si="76"/>
        <v>2</v>
      </c>
      <c r="I145" t="str">
        <f t="shared" si="77"/>
        <v>2</v>
      </c>
      <c r="J145" s="18">
        <f>VLOOKUP(E145,Katalog!$C$3:$F$13,2,0)</f>
        <v>125000</v>
      </c>
      <c r="K145" s="18">
        <f>VLOOKUP(E145,Katalog!$C$3:$F$13,3,0)</f>
        <v>50000</v>
      </c>
      <c r="L145" t="str">
        <f t="shared" si="78"/>
        <v>PP001</v>
      </c>
      <c r="M145" t="str">
        <f>IFERROR(INDEX(Katalog!$B$4:$B$13,MATCH('Main Data'!L145,Katalog!$C$4:$C$13,0)), "-")</f>
        <v>Kaos Polo</v>
      </c>
      <c r="N145" t="str">
        <f>IFERROR(VLOOKUP(L145,Katalog!$A$15:$B$25,2,0),"-")</f>
        <v>Pakaian Pria</v>
      </c>
      <c r="O145" t="str">
        <f t="shared" si="79"/>
        <v>3</v>
      </c>
      <c r="P145" t="str">
        <f t="shared" si="80"/>
        <v>4</v>
      </c>
      <c r="Q145" s="18">
        <f>IFERROR(VLOOKUP(L145,Katalog!$C$3:$F$13,2,0),0)</f>
        <v>80000</v>
      </c>
      <c r="R145" s="18">
        <f>IFERROR(VLOOKUP(L145,Katalog!$C$3:$F$13,3,0),0)</f>
        <v>30000</v>
      </c>
      <c r="S145" t="str">
        <f t="shared" si="81"/>
        <v>-</v>
      </c>
      <c r="T145" t="str">
        <f>IFERROR(INDEX(Katalog!$B$4:$B$13,MATCH('Main Data'!S145,Katalog!$C$4:$C$13,0)),"-")</f>
        <v>-</v>
      </c>
      <c r="U145" t="str">
        <f>IFERROR(VLOOKUP(S145,Katalog!$A$15:$B$25,2,0),"-")</f>
        <v>-</v>
      </c>
      <c r="V145">
        <f t="shared" si="82"/>
        <v>0</v>
      </c>
      <c r="W145" s="28" t="str">
        <f t="shared" si="83"/>
        <v>-</v>
      </c>
      <c r="X145" s="18">
        <f>IFERROR(VLOOKUP(S145,Katalog!$C$3:$F$13,2,0),0)</f>
        <v>0</v>
      </c>
      <c r="Y145" s="30">
        <f>IFERROR(VLOOKUP(S145,Katalog!$C$3:$F$13,3,0),0)</f>
        <v>0</v>
      </c>
      <c r="Z145" s="2">
        <f t="shared" si="84"/>
        <v>5</v>
      </c>
      <c r="AA145" s="4">
        <f t="shared" si="85"/>
        <v>490000</v>
      </c>
      <c r="AB145" s="4">
        <f t="shared" si="86"/>
        <v>190000</v>
      </c>
      <c r="AC145" s="4" t="s">
        <v>29</v>
      </c>
      <c r="AD145" s="16">
        <f>IFERROR(VLOOKUP(AC145,'Kode Diskon'!$C$2:$D$9,2,0),0)</f>
        <v>0.1</v>
      </c>
      <c r="AE145" s="31">
        <f t="shared" si="87"/>
        <v>49000</v>
      </c>
      <c r="AF145" s="31">
        <f t="shared" si="88"/>
        <v>441000</v>
      </c>
      <c r="AG145" s="31">
        <f t="shared" si="89"/>
        <v>300000</v>
      </c>
      <c r="AH145" s="31">
        <f t="shared" si="90"/>
        <v>251000</v>
      </c>
      <c r="AI145" s="4" t="s">
        <v>28</v>
      </c>
      <c r="AJ145" s="4" t="s">
        <v>9</v>
      </c>
      <c r="AK145" s="4" t="str">
        <f>IFERROR(VLOOKUP(AJ145,'Guide '!$A$13:$B$16,2,0),"-")</f>
        <v>TK</v>
      </c>
      <c r="AL145" s="4" t="s">
        <v>925</v>
      </c>
      <c r="AM145" s="40">
        <v>45348</v>
      </c>
      <c r="AN145">
        <f t="shared" si="91"/>
        <v>29</v>
      </c>
      <c r="AO145">
        <f t="shared" si="92"/>
        <v>32</v>
      </c>
      <c r="AP145">
        <f t="shared" si="93"/>
        <v>40</v>
      </c>
      <c r="AQ145">
        <f t="shared" si="94"/>
        <v>43</v>
      </c>
      <c r="AR145" s="26">
        <f t="shared" si="95"/>
        <v>56</v>
      </c>
      <c r="AS145" s="26">
        <f t="shared" si="96"/>
        <v>63</v>
      </c>
      <c r="AT145" s="21">
        <f t="shared" si="97"/>
        <v>12</v>
      </c>
      <c r="AU145" s="21">
        <f t="shared" si="98"/>
        <v>19</v>
      </c>
      <c r="AV145">
        <f t="shared" si="99"/>
        <v>73</v>
      </c>
      <c r="AW145">
        <f t="shared" si="100"/>
        <v>76</v>
      </c>
      <c r="AX145">
        <f t="shared" si="101"/>
        <v>84</v>
      </c>
      <c r="AY145">
        <f t="shared" si="102"/>
        <v>87</v>
      </c>
      <c r="AZ145" t="str">
        <f t="shared" si="103"/>
        <v>-</v>
      </c>
      <c r="BA145" t="str">
        <f t="shared" si="104"/>
        <v>-</v>
      </c>
      <c r="BB145" t="str">
        <f t="shared" si="105"/>
        <v>-</v>
      </c>
      <c r="BC145" t="str">
        <f t="shared" si="106"/>
        <v>-</v>
      </c>
      <c r="BD145" s="29" t="str">
        <f t="shared" si="107"/>
        <v>-</v>
      </c>
      <c r="BE145" s="29" t="str">
        <f t="shared" si="108"/>
        <v>-</v>
      </c>
    </row>
    <row r="146" spans="1:57" ht="15" x14ac:dyDescent="0.2">
      <c r="A146" s="2">
        <v>850</v>
      </c>
      <c r="B146" s="2" t="str">
        <f t="shared" si="73"/>
        <v>0850</v>
      </c>
      <c r="C146" t="str">
        <f t="shared" si="74"/>
        <v>ORD-TK-0850-26/02/24</v>
      </c>
      <c r="D146" s="3" t="s">
        <v>803</v>
      </c>
      <c r="E146" t="str">
        <f t="shared" si="75"/>
        <v>PP003</v>
      </c>
      <c r="F146" t="str">
        <f>INDEX(Katalog!$B$4:$B$13,MATCH('Main Data'!E146,Katalog!$C$4:$C$13,0))</f>
        <v>Jaket Jeans</v>
      </c>
      <c r="G146" t="str">
        <f>VLOOKUP(E146,Katalog!$A$15:$B$25,2,0)</f>
        <v>Pakaian Pria</v>
      </c>
      <c r="H146" t="str">
        <f t="shared" si="76"/>
        <v>2</v>
      </c>
      <c r="I146" t="str">
        <f t="shared" si="77"/>
        <v>1</v>
      </c>
      <c r="J146" s="18">
        <f>VLOOKUP(E146,Katalog!$C$3:$F$13,2,0)</f>
        <v>150000</v>
      </c>
      <c r="K146" s="18">
        <f>VLOOKUP(E146,Katalog!$C$3:$F$13,3,0)</f>
        <v>70000</v>
      </c>
      <c r="L146" t="str">
        <f t="shared" si="78"/>
        <v>SP001</v>
      </c>
      <c r="M146" t="str">
        <f>IFERROR(INDEX(Katalog!$B$4:$B$13,MATCH('Main Data'!L146,Katalog!$C$4:$C$13,0)), "-")</f>
        <v>Sneakers</v>
      </c>
      <c r="N146" t="str">
        <f>IFERROR(VLOOKUP(L146,Katalog!$A$15:$B$25,2,0),"-")</f>
        <v>Sepatu Pria</v>
      </c>
      <c r="O146" t="str">
        <f t="shared" si="79"/>
        <v>1</v>
      </c>
      <c r="P146" t="str">
        <f t="shared" si="80"/>
        <v>2</v>
      </c>
      <c r="Q146" s="18">
        <f>IFERROR(VLOOKUP(L146,Katalog!$C$3:$F$13,2,0),0)</f>
        <v>300000</v>
      </c>
      <c r="R146" s="18">
        <f>IFERROR(VLOOKUP(L146,Katalog!$C$3:$F$13,3,0),0)</f>
        <v>100000</v>
      </c>
      <c r="S146" t="str">
        <f t="shared" si="81"/>
        <v>PP003</v>
      </c>
      <c r="T146" t="str">
        <f>IFERROR(INDEX(Katalog!$B$4:$B$13,MATCH('Main Data'!S146,Katalog!$C$4:$C$13,0)),"-")</f>
        <v>Jaket Jeans</v>
      </c>
      <c r="U146" t="str">
        <f>IFERROR(VLOOKUP(S146,Katalog!$A$15:$B$25,2,0),"-")</f>
        <v>Pakaian Pria</v>
      </c>
      <c r="V146" t="str">
        <f t="shared" si="82"/>
        <v>3</v>
      </c>
      <c r="W146" s="28" t="str">
        <f t="shared" si="83"/>
        <v>4</v>
      </c>
      <c r="X146" s="18">
        <f>IFERROR(VLOOKUP(S146,Katalog!$C$3:$F$13,2,0),0)</f>
        <v>150000</v>
      </c>
      <c r="Y146" s="30">
        <f>IFERROR(VLOOKUP(S146,Katalog!$C$3:$F$13,3,0),0)</f>
        <v>70000</v>
      </c>
      <c r="Z146" s="2">
        <f t="shared" si="84"/>
        <v>6</v>
      </c>
      <c r="AA146" s="4">
        <f t="shared" si="85"/>
        <v>1050000</v>
      </c>
      <c r="AB146" s="4">
        <f t="shared" si="86"/>
        <v>450000</v>
      </c>
      <c r="AC146" s="4" t="s">
        <v>10</v>
      </c>
      <c r="AD146" s="16">
        <f>IFERROR(VLOOKUP(AC146,'Kode Diskon'!$C$2:$D$9,2,0),0)</f>
        <v>0</v>
      </c>
      <c r="AE146" s="31">
        <f t="shared" si="87"/>
        <v>0</v>
      </c>
      <c r="AF146" s="31">
        <f t="shared" si="88"/>
        <v>1050000</v>
      </c>
      <c r="AG146" s="31">
        <f t="shared" si="89"/>
        <v>600000</v>
      </c>
      <c r="AH146" s="31">
        <f t="shared" si="90"/>
        <v>600000</v>
      </c>
      <c r="AI146" s="4" t="s">
        <v>10</v>
      </c>
      <c r="AJ146" s="4" t="s">
        <v>9</v>
      </c>
      <c r="AK146" s="4" t="str">
        <f>IFERROR(VLOOKUP(AJ146,'Guide '!$A$13:$B$16,2,0),"-")</f>
        <v>TK</v>
      </c>
      <c r="AL146" s="4" t="s">
        <v>921</v>
      </c>
      <c r="AM146" s="40">
        <v>45348</v>
      </c>
      <c r="AN146">
        <f t="shared" si="91"/>
        <v>29</v>
      </c>
      <c r="AO146">
        <f t="shared" si="92"/>
        <v>32</v>
      </c>
      <c r="AP146">
        <f t="shared" si="93"/>
        <v>40</v>
      </c>
      <c r="AQ146">
        <f t="shared" si="94"/>
        <v>43</v>
      </c>
      <c r="AR146" s="26">
        <f t="shared" si="95"/>
        <v>56</v>
      </c>
      <c r="AS146" s="26">
        <f t="shared" si="96"/>
        <v>63</v>
      </c>
      <c r="AT146" s="21">
        <f t="shared" si="97"/>
        <v>12</v>
      </c>
      <c r="AU146" s="21">
        <f t="shared" si="98"/>
        <v>19</v>
      </c>
      <c r="AV146">
        <f t="shared" si="99"/>
        <v>73</v>
      </c>
      <c r="AW146">
        <f t="shared" si="100"/>
        <v>76</v>
      </c>
      <c r="AX146">
        <f t="shared" si="101"/>
        <v>84</v>
      </c>
      <c r="AY146">
        <f t="shared" si="102"/>
        <v>87</v>
      </c>
      <c r="AZ146">
        <f t="shared" si="103"/>
        <v>100</v>
      </c>
      <c r="BA146">
        <f t="shared" si="104"/>
        <v>107</v>
      </c>
      <c r="BB146">
        <f t="shared" si="105"/>
        <v>117</v>
      </c>
      <c r="BC146">
        <f t="shared" si="106"/>
        <v>120</v>
      </c>
      <c r="BD146" s="29">
        <f t="shared" si="107"/>
        <v>128</v>
      </c>
      <c r="BE146" s="29">
        <f t="shared" si="108"/>
        <v>131</v>
      </c>
    </row>
    <row r="147" spans="1:57" ht="15" x14ac:dyDescent="0.2">
      <c r="A147" s="2">
        <v>855</v>
      </c>
      <c r="B147" s="2" t="str">
        <f t="shared" si="73"/>
        <v>0855</v>
      </c>
      <c r="C147" t="str">
        <f t="shared" si="74"/>
        <v>ORD-BB-0855-26/02/24</v>
      </c>
      <c r="D147" s="3" t="s">
        <v>806</v>
      </c>
      <c r="E147" t="str">
        <f t="shared" si="75"/>
        <v>PP001</v>
      </c>
      <c r="F147" t="str">
        <f>INDEX(Katalog!$B$4:$B$13,MATCH('Main Data'!E147,Katalog!$C$4:$C$13,0))</f>
        <v>Kaos Polo</v>
      </c>
      <c r="G147" t="str">
        <f>VLOOKUP(E147,Katalog!$A$15:$B$25,2,0)</f>
        <v>Pakaian Pria</v>
      </c>
      <c r="H147" t="str">
        <f t="shared" si="76"/>
        <v>2</v>
      </c>
      <c r="I147" t="str">
        <f t="shared" si="77"/>
        <v>3</v>
      </c>
      <c r="J147" s="18">
        <f>VLOOKUP(E147,Katalog!$C$3:$F$13,2,0)</f>
        <v>80000</v>
      </c>
      <c r="K147" s="18">
        <f>VLOOKUP(E147,Katalog!$C$3:$F$13,3,0)</f>
        <v>30000</v>
      </c>
      <c r="L147" t="str">
        <f t="shared" si="78"/>
        <v>SW001</v>
      </c>
      <c r="M147" t="str">
        <f>IFERROR(INDEX(Katalog!$B$4:$B$13,MATCH('Main Data'!L147,Katalog!$C$4:$C$13,0)), "-")</f>
        <v>Flat Shoes</v>
      </c>
      <c r="N147" t="str">
        <f>IFERROR(VLOOKUP(L147,Katalog!$A$15:$B$25,2,0),"-")</f>
        <v>Sepatu Wanita</v>
      </c>
      <c r="O147" t="str">
        <f t="shared" si="79"/>
        <v>2</v>
      </c>
      <c r="P147" t="str">
        <f t="shared" si="80"/>
        <v>5</v>
      </c>
      <c r="Q147" s="18">
        <f>IFERROR(VLOOKUP(L147,Katalog!$C$3:$F$13,2,0),0)</f>
        <v>150000</v>
      </c>
      <c r="R147" s="18">
        <f>IFERROR(VLOOKUP(L147,Katalog!$C$3:$F$13,3,0),0)</f>
        <v>70000</v>
      </c>
      <c r="S147" t="str">
        <f t="shared" si="81"/>
        <v>-</v>
      </c>
      <c r="T147" t="str">
        <f>IFERROR(INDEX(Katalog!$B$4:$B$13,MATCH('Main Data'!S147,Katalog!$C$4:$C$13,0)),"-")</f>
        <v>-</v>
      </c>
      <c r="U147" t="str">
        <f>IFERROR(VLOOKUP(S147,Katalog!$A$15:$B$25,2,0),"-")</f>
        <v>-</v>
      </c>
      <c r="V147">
        <f t="shared" si="82"/>
        <v>0</v>
      </c>
      <c r="W147" s="28" t="str">
        <f t="shared" si="83"/>
        <v>-</v>
      </c>
      <c r="X147" s="18">
        <f>IFERROR(VLOOKUP(S147,Katalog!$C$3:$F$13,2,0),0)</f>
        <v>0</v>
      </c>
      <c r="Y147" s="30">
        <f>IFERROR(VLOOKUP(S147,Katalog!$C$3:$F$13,3,0),0)</f>
        <v>0</v>
      </c>
      <c r="Z147" s="2">
        <f t="shared" si="84"/>
        <v>4</v>
      </c>
      <c r="AA147" s="4">
        <f t="shared" si="85"/>
        <v>460000</v>
      </c>
      <c r="AB147" s="4">
        <f t="shared" si="86"/>
        <v>200000</v>
      </c>
      <c r="AC147" s="4" t="s">
        <v>27</v>
      </c>
      <c r="AD147" s="16">
        <f>IFERROR(VLOOKUP(AC147,'Kode Diskon'!$C$2:$D$9,2,0),0)</f>
        <v>0.15</v>
      </c>
      <c r="AE147" s="31">
        <f t="shared" si="87"/>
        <v>69000</v>
      </c>
      <c r="AF147" s="31">
        <f t="shared" si="88"/>
        <v>391000</v>
      </c>
      <c r="AG147" s="31">
        <f t="shared" si="89"/>
        <v>260000</v>
      </c>
      <c r="AH147" s="31">
        <f t="shared" si="90"/>
        <v>191000</v>
      </c>
      <c r="AI147" s="4" t="s">
        <v>28</v>
      </c>
      <c r="AJ147" s="4" t="s">
        <v>13</v>
      </c>
      <c r="AK147" s="4" t="str">
        <f>IFERROR(VLOOKUP(AJ147,'Guide '!$A$13:$B$16,2,0),"-")</f>
        <v>BB</v>
      </c>
      <c r="AL147" s="4" t="s">
        <v>925</v>
      </c>
      <c r="AM147" s="40">
        <v>45348</v>
      </c>
      <c r="AN147">
        <f t="shared" si="91"/>
        <v>29</v>
      </c>
      <c r="AO147">
        <f t="shared" si="92"/>
        <v>32</v>
      </c>
      <c r="AP147">
        <f t="shared" si="93"/>
        <v>40</v>
      </c>
      <c r="AQ147">
        <f t="shared" si="94"/>
        <v>43</v>
      </c>
      <c r="AR147" s="26">
        <f t="shared" si="95"/>
        <v>56</v>
      </c>
      <c r="AS147" s="26">
        <f t="shared" si="96"/>
        <v>63</v>
      </c>
      <c r="AT147" s="21">
        <f t="shared" si="97"/>
        <v>12</v>
      </c>
      <c r="AU147" s="21">
        <f t="shared" si="98"/>
        <v>19</v>
      </c>
      <c r="AV147">
        <f t="shared" si="99"/>
        <v>73</v>
      </c>
      <c r="AW147">
        <f t="shared" si="100"/>
        <v>76</v>
      </c>
      <c r="AX147">
        <f t="shared" si="101"/>
        <v>84</v>
      </c>
      <c r="AY147">
        <f t="shared" si="102"/>
        <v>87</v>
      </c>
      <c r="AZ147" t="str">
        <f t="shared" si="103"/>
        <v>-</v>
      </c>
      <c r="BA147" t="str">
        <f t="shared" si="104"/>
        <v>-</v>
      </c>
      <c r="BB147" t="str">
        <f t="shared" si="105"/>
        <v>-</v>
      </c>
      <c r="BC147" t="str">
        <f t="shared" si="106"/>
        <v>-</v>
      </c>
      <c r="BD147" s="29" t="str">
        <f t="shared" si="107"/>
        <v>-</v>
      </c>
      <c r="BE147" s="29" t="str">
        <f t="shared" si="108"/>
        <v>-</v>
      </c>
    </row>
    <row r="148" spans="1:57" ht="15" x14ac:dyDescent="0.2">
      <c r="A148" s="2">
        <v>124</v>
      </c>
      <c r="B148" s="2" t="str">
        <f t="shared" si="73"/>
        <v>0124</v>
      </c>
      <c r="C148" t="str">
        <f t="shared" si="74"/>
        <v>ORD-SP-0124-27/02/24</v>
      </c>
      <c r="D148" s="3" t="s">
        <v>195</v>
      </c>
      <c r="E148" t="str">
        <f t="shared" si="75"/>
        <v>PW003</v>
      </c>
      <c r="F148" t="str">
        <f>INDEX(Katalog!$B$4:$B$13,MATCH('Main Data'!E148,Katalog!$C$4:$C$13,0))</f>
        <v>Kaftan</v>
      </c>
      <c r="G148" t="str">
        <f>VLOOKUP(E148,Katalog!$A$15:$B$25,2,0)</f>
        <v>Pakaian Wanita</v>
      </c>
      <c r="H148" t="str">
        <f t="shared" si="76"/>
        <v>2</v>
      </c>
      <c r="I148" t="str">
        <f t="shared" si="77"/>
        <v>5</v>
      </c>
      <c r="J148" s="18">
        <f>VLOOKUP(E148,Katalog!$C$3:$F$13,2,0)</f>
        <v>200000</v>
      </c>
      <c r="K148" s="18">
        <f>VLOOKUP(E148,Katalog!$C$3:$F$13,3,0)</f>
        <v>100000</v>
      </c>
      <c r="L148" t="str">
        <f t="shared" si="78"/>
        <v>PP003</v>
      </c>
      <c r="M148" t="str">
        <f>IFERROR(INDEX(Katalog!$B$4:$B$13,MATCH('Main Data'!L148,Katalog!$C$4:$C$13,0)), "-")</f>
        <v>Jaket Jeans</v>
      </c>
      <c r="N148" t="str">
        <f>IFERROR(VLOOKUP(L148,Katalog!$A$15:$B$25,2,0),"-")</f>
        <v>Pakaian Pria</v>
      </c>
      <c r="O148" t="str">
        <f t="shared" si="79"/>
        <v>2</v>
      </c>
      <c r="P148" t="str">
        <f t="shared" si="80"/>
        <v>2</v>
      </c>
      <c r="Q148" s="18">
        <f>IFERROR(VLOOKUP(L148,Katalog!$C$3:$F$13,2,0),0)</f>
        <v>150000</v>
      </c>
      <c r="R148" s="18">
        <f>IFERROR(VLOOKUP(L148,Katalog!$C$3:$F$13,3,0),0)</f>
        <v>70000</v>
      </c>
      <c r="S148" t="str">
        <f t="shared" si="81"/>
        <v>-</v>
      </c>
      <c r="T148" t="str">
        <f>IFERROR(INDEX(Katalog!$B$4:$B$13,MATCH('Main Data'!S148,Katalog!$C$4:$C$13,0)),"-")</f>
        <v>-</v>
      </c>
      <c r="U148" t="str">
        <f>IFERROR(VLOOKUP(S148,Katalog!$A$15:$B$25,2,0),"-")</f>
        <v>-</v>
      </c>
      <c r="V148">
        <f t="shared" si="82"/>
        <v>0</v>
      </c>
      <c r="W148" s="28" t="str">
        <f t="shared" si="83"/>
        <v>-</v>
      </c>
      <c r="X148" s="18">
        <f>IFERROR(VLOOKUP(S148,Katalog!$C$3:$F$13,2,0),0)</f>
        <v>0</v>
      </c>
      <c r="Y148" s="30">
        <f>IFERROR(VLOOKUP(S148,Katalog!$C$3:$F$13,3,0),0)</f>
        <v>0</v>
      </c>
      <c r="Z148" s="2">
        <f t="shared" si="84"/>
        <v>4</v>
      </c>
      <c r="AA148" s="4">
        <f t="shared" si="85"/>
        <v>700000</v>
      </c>
      <c r="AB148" s="4">
        <f t="shared" si="86"/>
        <v>340000</v>
      </c>
      <c r="AC148" s="4" t="s">
        <v>12</v>
      </c>
      <c r="AD148" s="16">
        <f>IFERROR(VLOOKUP(AC148,'Kode Diskon'!$C$2:$D$9,2,0),0)</f>
        <v>0.15</v>
      </c>
      <c r="AE148" s="31">
        <f t="shared" si="87"/>
        <v>105000</v>
      </c>
      <c r="AF148" s="31">
        <f t="shared" si="88"/>
        <v>595000</v>
      </c>
      <c r="AG148" s="31">
        <f t="shared" si="89"/>
        <v>360000</v>
      </c>
      <c r="AH148" s="31">
        <f t="shared" si="90"/>
        <v>255000</v>
      </c>
      <c r="AI148" s="4" t="s">
        <v>28</v>
      </c>
      <c r="AJ148" s="4" t="s">
        <v>6</v>
      </c>
      <c r="AK148" s="4" t="str">
        <f>IFERROR(VLOOKUP(AJ148,'Guide '!$A$13:$B$16,2,0),"-")</f>
        <v>SP</v>
      </c>
      <c r="AL148" s="4" t="s">
        <v>921</v>
      </c>
      <c r="AM148" s="40">
        <v>45349</v>
      </c>
      <c r="AN148">
        <f t="shared" si="91"/>
        <v>29</v>
      </c>
      <c r="AO148">
        <f t="shared" si="92"/>
        <v>32</v>
      </c>
      <c r="AP148">
        <f t="shared" si="93"/>
        <v>40</v>
      </c>
      <c r="AQ148">
        <f t="shared" si="94"/>
        <v>43</v>
      </c>
      <c r="AR148" s="26">
        <f t="shared" si="95"/>
        <v>56</v>
      </c>
      <c r="AS148" s="26">
        <f t="shared" si="96"/>
        <v>63</v>
      </c>
      <c r="AT148" s="21">
        <f t="shared" si="97"/>
        <v>12</v>
      </c>
      <c r="AU148" s="21">
        <f t="shared" si="98"/>
        <v>19</v>
      </c>
      <c r="AV148">
        <f t="shared" si="99"/>
        <v>73</v>
      </c>
      <c r="AW148">
        <f t="shared" si="100"/>
        <v>76</v>
      </c>
      <c r="AX148">
        <f t="shared" si="101"/>
        <v>84</v>
      </c>
      <c r="AY148">
        <f t="shared" si="102"/>
        <v>87</v>
      </c>
      <c r="AZ148" t="str">
        <f t="shared" si="103"/>
        <v>-</v>
      </c>
      <c r="BA148" t="str">
        <f t="shared" si="104"/>
        <v>-</v>
      </c>
      <c r="BB148" t="str">
        <f t="shared" si="105"/>
        <v>-</v>
      </c>
      <c r="BC148" t="str">
        <f t="shared" si="106"/>
        <v>-</v>
      </c>
      <c r="BD148" s="29" t="str">
        <f t="shared" si="107"/>
        <v>-</v>
      </c>
      <c r="BE148" s="29" t="str">
        <f t="shared" si="108"/>
        <v>-</v>
      </c>
    </row>
    <row r="149" spans="1:57" ht="15" x14ac:dyDescent="0.2">
      <c r="A149" s="2">
        <v>414</v>
      </c>
      <c r="B149" s="2" t="str">
        <f t="shared" si="73"/>
        <v>0414</v>
      </c>
      <c r="C149" t="str">
        <f t="shared" si="74"/>
        <v>ORD-BL-0414-27/02/24</v>
      </c>
      <c r="D149" s="3" t="s">
        <v>458</v>
      </c>
      <c r="E149" t="str">
        <f t="shared" si="75"/>
        <v>PU001</v>
      </c>
      <c r="F149" t="str">
        <f>INDEX(Katalog!$B$4:$B$13,MATCH('Main Data'!E149,Katalog!$C$4:$C$13,0))</f>
        <v>Jaket Hoodie</v>
      </c>
      <c r="G149" t="str">
        <f>VLOOKUP(E149,Katalog!$A$15:$B$25,2,0)</f>
        <v>Pakaian Unisex</v>
      </c>
      <c r="H149" t="str">
        <f t="shared" si="76"/>
        <v>2</v>
      </c>
      <c r="I149" t="str">
        <f t="shared" si="77"/>
        <v>4</v>
      </c>
      <c r="J149" s="18">
        <f>VLOOKUP(E149,Katalog!$C$3:$F$13,2,0)</f>
        <v>160000</v>
      </c>
      <c r="K149" s="18">
        <f>VLOOKUP(E149,Katalog!$C$3:$F$13,3,0)</f>
        <v>60000</v>
      </c>
      <c r="L149" t="str">
        <f t="shared" si="78"/>
        <v>PP001</v>
      </c>
      <c r="M149" t="str">
        <f>IFERROR(INDEX(Katalog!$B$4:$B$13,MATCH('Main Data'!L149,Katalog!$C$4:$C$13,0)), "-")</f>
        <v>Kaos Polo</v>
      </c>
      <c r="N149" t="str">
        <f>IFERROR(VLOOKUP(L149,Katalog!$A$15:$B$25,2,0),"-")</f>
        <v>Pakaian Pria</v>
      </c>
      <c r="O149" t="str">
        <f t="shared" si="79"/>
        <v>1</v>
      </c>
      <c r="P149" t="str">
        <f t="shared" si="80"/>
        <v>1</v>
      </c>
      <c r="Q149" s="18">
        <f>IFERROR(VLOOKUP(L149,Katalog!$C$3:$F$13,2,0),0)</f>
        <v>80000</v>
      </c>
      <c r="R149" s="18">
        <f>IFERROR(VLOOKUP(L149,Katalog!$C$3:$F$13,3,0),0)</f>
        <v>30000</v>
      </c>
      <c r="S149" t="str">
        <f t="shared" si="81"/>
        <v>-</v>
      </c>
      <c r="T149" t="str">
        <f>IFERROR(INDEX(Katalog!$B$4:$B$13,MATCH('Main Data'!S149,Katalog!$C$4:$C$13,0)),"-")</f>
        <v>-</v>
      </c>
      <c r="U149" t="str">
        <f>IFERROR(VLOOKUP(S149,Katalog!$A$15:$B$25,2,0),"-")</f>
        <v>-</v>
      </c>
      <c r="V149">
        <f t="shared" si="82"/>
        <v>0</v>
      </c>
      <c r="W149" s="28" t="str">
        <f t="shared" si="83"/>
        <v>-</v>
      </c>
      <c r="X149" s="18">
        <f>IFERROR(VLOOKUP(S149,Katalog!$C$3:$F$13,2,0),0)</f>
        <v>0</v>
      </c>
      <c r="Y149" s="30">
        <f>IFERROR(VLOOKUP(S149,Katalog!$C$3:$F$13,3,0),0)</f>
        <v>0</v>
      </c>
      <c r="Z149" s="2">
        <f t="shared" si="84"/>
        <v>3</v>
      </c>
      <c r="AA149" s="4">
        <f t="shared" si="85"/>
        <v>400000</v>
      </c>
      <c r="AB149" s="4">
        <f t="shared" si="86"/>
        <v>150000</v>
      </c>
      <c r="AC149" s="4" t="s">
        <v>31</v>
      </c>
      <c r="AD149" s="16">
        <f>IFERROR(VLOOKUP(AC149,'Kode Diskon'!$C$2:$D$9,2,0),0)</f>
        <v>0.15</v>
      </c>
      <c r="AE149" s="31">
        <f t="shared" si="87"/>
        <v>60000</v>
      </c>
      <c r="AF149" s="31">
        <f t="shared" si="88"/>
        <v>340000</v>
      </c>
      <c r="AG149" s="31">
        <f t="shared" si="89"/>
        <v>250000</v>
      </c>
      <c r="AH149" s="31">
        <f t="shared" si="90"/>
        <v>190000</v>
      </c>
      <c r="AI149" s="4" t="s">
        <v>8</v>
      </c>
      <c r="AJ149" s="4" t="s">
        <v>11</v>
      </c>
      <c r="AK149" s="4" t="str">
        <f>IFERROR(VLOOKUP(AJ149,'Guide '!$A$13:$B$16,2,0),"-")</f>
        <v>BL</v>
      </c>
      <c r="AL149" s="4" t="s">
        <v>924</v>
      </c>
      <c r="AM149" s="40">
        <v>45349</v>
      </c>
      <c r="AN149">
        <f t="shared" si="91"/>
        <v>29</v>
      </c>
      <c r="AO149">
        <f t="shared" si="92"/>
        <v>32</v>
      </c>
      <c r="AP149">
        <f t="shared" si="93"/>
        <v>40</v>
      </c>
      <c r="AQ149">
        <f t="shared" si="94"/>
        <v>43</v>
      </c>
      <c r="AR149" s="26">
        <f t="shared" si="95"/>
        <v>56</v>
      </c>
      <c r="AS149" s="26">
        <f t="shared" si="96"/>
        <v>63</v>
      </c>
      <c r="AT149" s="21">
        <f t="shared" si="97"/>
        <v>12</v>
      </c>
      <c r="AU149" s="21">
        <f t="shared" si="98"/>
        <v>19</v>
      </c>
      <c r="AV149">
        <f t="shared" si="99"/>
        <v>73</v>
      </c>
      <c r="AW149">
        <f t="shared" si="100"/>
        <v>76</v>
      </c>
      <c r="AX149">
        <f t="shared" si="101"/>
        <v>84</v>
      </c>
      <c r="AY149">
        <f t="shared" si="102"/>
        <v>87</v>
      </c>
      <c r="AZ149" t="str">
        <f t="shared" si="103"/>
        <v>-</v>
      </c>
      <c r="BA149" t="str">
        <f t="shared" si="104"/>
        <v>-</v>
      </c>
      <c r="BB149" t="str">
        <f t="shared" si="105"/>
        <v>-</v>
      </c>
      <c r="BC149" t="str">
        <f t="shared" si="106"/>
        <v>-</v>
      </c>
      <c r="BD149" s="29" t="str">
        <f t="shared" si="107"/>
        <v>-</v>
      </c>
      <c r="BE149" s="29" t="str">
        <f t="shared" si="108"/>
        <v>-</v>
      </c>
    </row>
    <row r="150" spans="1:57" ht="15" x14ac:dyDescent="0.2">
      <c r="A150" s="2">
        <v>660</v>
      </c>
      <c r="B150" s="2" t="str">
        <f t="shared" si="73"/>
        <v>0660</v>
      </c>
      <c r="C150" t="str">
        <f t="shared" si="74"/>
        <v>ORD-BL-0660-27/02/24</v>
      </c>
      <c r="D150" s="3" t="s">
        <v>661</v>
      </c>
      <c r="E150" t="str">
        <f t="shared" si="75"/>
        <v>SW001</v>
      </c>
      <c r="F150" t="str">
        <f>INDEX(Katalog!$B$4:$B$13,MATCH('Main Data'!E150,Katalog!$C$4:$C$13,0))</f>
        <v>Flat Shoes</v>
      </c>
      <c r="G150" t="str">
        <f>VLOOKUP(E150,Katalog!$A$15:$B$25,2,0)</f>
        <v>Sepatu Wanita</v>
      </c>
      <c r="H150" t="str">
        <f t="shared" si="76"/>
        <v>3</v>
      </c>
      <c r="I150" t="str">
        <f t="shared" si="77"/>
        <v>1</v>
      </c>
      <c r="J150" s="18">
        <f>VLOOKUP(E150,Katalog!$C$3:$F$13,2,0)</f>
        <v>150000</v>
      </c>
      <c r="K150" s="18">
        <f>VLOOKUP(E150,Katalog!$C$3:$F$13,3,0)</f>
        <v>70000</v>
      </c>
      <c r="L150" t="str">
        <f t="shared" si="78"/>
        <v>PW003</v>
      </c>
      <c r="M150" t="str">
        <f>IFERROR(INDEX(Katalog!$B$4:$B$13,MATCH('Main Data'!L150,Katalog!$C$4:$C$13,0)), "-")</f>
        <v>Kaftan</v>
      </c>
      <c r="N150" t="str">
        <f>IFERROR(VLOOKUP(L150,Katalog!$A$15:$B$25,2,0),"-")</f>
        <v>Pakaian Wanita</v>
      </c>
      <c r="O150" t="str">
        <f t="shared" si="79"/>
        <v>2</v>
      </c>
      <c r="P150" t="str">
        <f t="shared" si="80"/>
        <v>1</v>
      </c>
      <c r="Q150" s="18">
        <f>IFERROR(VLOOKUP(L150,Katalog!$C$3:$F$13,2,0),0)</f>
        <v>200000</v>
      </c>
      <c r="R150" s="18">
        <f>IFERROR(VLOOKUP(L150,Katalog!$C$3:$F$13,3,0),0)</f>
        <v>100000</v>
      </c>
      <c r="S150" t="str">
        <f t="shared" si="81"/>
        <v>PW002</v>
      </c>
      <c r="T150" t="str">
        <f>IFERROR(INDEX(Katalog!$B$4:$B$13,MATCH('Main Data'!S150,Katalog!$C$4:$C$13,0)),"-")</f>
        <v>Blouse</v>
      </c>
      <c r="U150" t="str">
        <f>IFERROR(VLOOKUP(S150,Katalog!$A$15:$B$25,2,0),"-")</f>
        <v>Pakaian Wanita</v>
      </c>
      <c r="V150" t="str">
        <f t="shared" si="82"/>
        <v>1</v>
      </c>
      <c r="W150" s="28" t="str">
        <f t="shared" si="83"/>
        <v>2</v>
      </c>
      <c r="X150" s="18">
        <f>IFERROR(VLOOKUP(S150,Katalog!$C$3:$F$13,2,0),0)</f>
        <v>125000</v>
      </c>
      <c r="Y150" s="30">
        <f>IFERROR(VLOOKUP(S150,Katalog!$C$3:$F$13,3,0),0)</f>
        <v>50000</v>
      </c>
      <c r="Z150" s="2">
        <f t="shared" si="84"/>
        <v>6</v>
      </c>
      <c r="AA150" s="4">
        <f t="shared" si="85"/>
        <v>975000</v>
      </c>
      <c r="AB150" s="4">
        <f t="shared" si="86"/>
        <v>460000</v>
      </c>
      <c r="AC150" s="4" t="s">
        <v>10</v>
      </c>
      <c r="AD150" s="16">
        <f>IFERROR(VLOOKUP(AC150,'Kode Diskon'!$C$2:$D$9,2,0),0)</f>
        <v>0</v>
      </c>
      <c r="AE150" s="31">
        <f t="shared" si="87"/>
        <v>0</v>
      </c>
      <c r="AF150" s="31">
        <f t="shared" si="88"/>
        <v>975000</v>
      </c>
      <c r="AG150" s="31">
        <f t="shared" si="89"/>
        <v>515000</v>
      </c>
      <c r="AH150" s="31">
        <f t="shared" si="90"/>
        <v>515000</v>
      </c>
      <c r="AI150" s="4" t="s">
        <v>10</v>
      </c>
      <c r="AJ150" s="4" t="s">
        <v>11</v>
      </c>
      <c r="AK150" s="4" t="str">
        <f>IFERROR(VLOOKUP(AJ150,'Guide '!$A$13:$B$16,2,0),"-")</f>
        <v>BL</v>
      </c>
      <c r="AL150" s="4" t="s">
        <v>921</v>
      </c>
      <c r="AM150" s="40">
        <v>45349</v>
      </c>
      <c r="AN150">
        <f t="shared" si="91"/>
        <v>29</v>
      </c>
      <c r="AO150">
        <f t="shared" si="92"/>
        <v>32</v>
      </c>
      <c r="AP150">
        <f t="shared" si="93"/>
        <v>40</v>
      </c>
      <c r="AQ150">
        <f t="shared" si="94"/>
        <v>43</v>
      </c>
      <c r="AR150" s="26">
        <f t="shared" si="95"/>
        <v>56</v>
      </c>
      <c r="AS150" s="26">
        <f t="shared" si="96"/>
        <v>63</v>
      </c>
      <c r="AT150" s="21">
        <f t="shared" si="97"/>
        <v>12</v>
      </c>
      <c r="AU150" s="21">
        <f t="shared" si="98"/>
        <v>19</v>
      </c>
      <c r="AV150">
        <f t="shared" si="99"/>
        <v>73</v>
      </c>
      <c r="AW150">
        <f t="shared" si="100"/>
        <v>76</v>
      </c>
      <c r="AX150">
        <f t="shared" si="101"/>
        <v>84</v>
      </c>
      <c r="AY150">
        <f t="shared" si="102"/>
        <v>87</v>
      </c>
      <c r="AZ150">
        <f t="shared" si="103"/>
        <v>100</v>
      </c>
      <c r="BA150">
        <f t="shared" si="104"/>
        <v>107</v>
      </c>
      <c r="BB150">
        <f t="shared" si="105"/>
        <v>117</v>
      </c>
      <c r="BC150">
        <f t="shared" si="106"/>
        <v>120</v>
      </c>
      <c r="BD150" s="29">
        <f t="shared" si="107"/>
        <v>128</v>
      </c>
      <c r="BE150" s="29">
        <f t="shared" si="108"/>
        <v>131</v>
      </c>
    </row>
    <row r="151" spans="1:57" ht="15" x14ac:dyDescent="0.2">
      <c r="A151" s="2">
        <v>83</v>
      </c>
      <c r="B151" s="2" t="str">
        <f t="shared" si="73"/>
        <v>0083</v>
      </c>
      <c r="C151" t="str">
        <f t="shared" si="74"/>
        <v>ORD-SP-0083-28/02/24</v>
      </c>
      <c r="D151" s="3" t="s">
        <v>156</v>
      </c>
      <c r="E151" t="str">
        <f t="shared" si="75"/>
        <v>PW003</v>
      </c>
      <c r="F151" t="str">
        <f>INDEX(Katalog!$B$4:$B$13,MATCH('Main Data'!E151,Katalog!$C$4:$C$13,0))</f>
        <v>Kaftan</v>
      </c>
      <c r="G151" t="str">
        <f>VLOOKUP(E151,Katalog!$A$15:$B$25,2,0)</f>
        <v>Pakaian Wanita</v>
      </c>
      <c r="H151" t="str">
        <f t="shared" si="76"/>
        <v>1</v>
      </c>
      <c r="I151" t="str">
        <f t="shared" si="77"/>
        <v>3</v>
      </c>
      <c r="J151" s="18">
        <f>VLOOKUP(E151,Katalog!$C$3:$F$13,2,0)</f>
        <v>200000</v>
      </c>
      <c r="K151" s="18">
        <f>VLOOKUP(E151,Katalog!$C$3:$F$13,3,0)</f>
        <v>100000</v>
      </c>
      <c r="L151" t="str">
        <f t="shared" si="78"/>
        <v>-</v>
      </c>
      <c r="M151" t="str">
        <f>IFERROR(INDEX(Katalog!$B$4:$B$13,MATCH('Main Data'!L151,Katalog!$C$4:$C$13,0)), "-")</f>
        <v>-</v>
      </c>
      <c r="N151" t="str">
        <f>IFERROR(VLOOKUP(L151,Katalog!$A$15:$B$25,2,0),"-")</f>
        <v>-</v>
      </c>
      <c r="O151">
        <f t="shared" si="79"/>
        <v>0</v>
      </c>
      <c r="P151" t="str">
        <f t="shared" si="80"/>
        <v>-</v>
      </c>
      <c r="Q151" s="18">
        <f>IFERROR(VLOOKUP(L151,Katalog!$C$3:$F$13,2,0),0)</f>
        <v>0</v>
      </c>
      <c r="R151" s="18">
        <f>IFERROR(VLOOKUP(L151,Katalog!$C$3:$F$13,3,0),0)</f>
        <v>0</v>
      </c>
      <c r="S151" t="str">
        <f t="shared" si="81"/>
        <v>-</v>
      </c>
      <c r="T151" t="str">
        <f>IFERROR(INDEX(Katalog!$B$4:$B$13,MATCH('Main Data'!S151,Katalog!$C$4:$C$13,0)),"-")</f>
        <v>-</v>
      </c>
      <c r="U151" t="str">
        <f>IFERROR(VLOOKUP(S151,Katalog!$A$15:$B$25,2,0),"-")</f>
        <v>-</v>
      </c>
      <c r="V151">
        <f t="shared" si="82"/>
        <v>0</v>
      </c>
      <c r="W151" s="28" t="str">
        <f t="shared" si="83"/>
        <v>-</v>
      </c>
      <c r="X151" s="18">
        <f>IFERROR(VLOOKUP(S151,Katalog!$C$3:$F$13,2,0),0)</f>
        <v>0</v>
      </c>
      <c r="Y151" s="30">
        <f>IFERROR(VLOOKUP(S151,Katalog!$C$3:$F$13,3,0),0)</f>
        <v>0</v>
      </c>
      <c r="Z151" s="2">
        <f t="shared" si="84"/>
        <v>1</v>
      </c>
      <c r="AA151" s="4">
        <f t="shared" si="85"/>
        <v>200000</v>
      </c>
      <c r="AB151" s="4">
        <f t="shared" si="86"/>
        <v>100000</v>
      </c>
      <c r="AC151" s="4" t="s">
        <v>12</v>
      </c>
      <c r="AD151" s="16">
        <f>IFERROR(VLOOKUP(AC151,'Kode Diskon'!$C$2:$D$9,2,0),0)</f>
        <v>0.15</v>
      </c>
      <c r="AE151" s="31">
        <f t="shared" si="87"/>
        <v>30000</v>
      </c>
      <c r="AF151" s="31">
        <f t="shared" si="88"/>
        <v>170000</v>
      </c>
      <c r="AG151" s="31">
        <f t="shared" si="89"/>
        <v>100000</v>
      </c>
      <c r="AH151" s="31">
        <f t="shared" si="90"/>
        <v>70000</v>
      </c>
      <c r="AI151" s="4" t="s">
        <v>28</v>
      </c>
      <c r="AJ151" s="4" t="s">
        <v>6</v>
      </c>
      <c r="AK151" s="4" t="str">
        <f>IFERROR(VLOOKUP(AJ151,'Guide '!$A$13:$B$16,2,0),"-")</f>
        <v>SP</v>
      </c>
      <c r="AL151" s="4" t="s">
        <v>925</v>
      </c>
      <c r="AM151" s="40">
        <v>45350</v>
      </c>
      <c r="AN151">
        <f t="shared" si="91"/>
        <v>29</v>
      </c>
      <c r="AO151">
        <f t="shared" si="92"/>
        <v>32</v>
      </c>
      <c r="AP151">
        <f t="shared" si="93"/>
        <v>40</v>
      </c>
      <c r="AQ151">
        <f t="shared" si="94"/>
        <v>43</v>
      </c>
      <c r="AR151" s="26" t="str">
        <f t="shared" si="95"/>
        <v>-</v>
      </c>
      <c r="AS151" s="26" t="str">
        <f t="shared" si="96"/>
        <v>-</v>
      </c>
      <c r="AT151" s="21">
        <f t="shared" si="97"/>
        <v>12</v>
      </c>
      <c r="AU151" s="21">
        <f t="shared" si="98"/>
        <v>19</v>
      </c>
      <c r="AV151" t="str">
        <f t="shared" si="99"/>
        <v>-</v>
      </c>
      <c r="AW151" t="str">
        <f t="shared" si="100"/>
        <v>-</v>
      </c>
      <c r="AX151" t="str">
        <f t="shared" si="101"/>
        <v>-</v>
      </c>
      <c r="AY151" t="str">
        <f t="shared" si="102"/>
        <v>-</v>
      </c>
      <c r="AZ151" t="str">
        <f t="shared" si="103"/>
        <v>-</v>
      </c>
      <c r="BA151" t="str">
        <f t="shared" si="104"/>
        <v>-</v>
      </c>
      <c r="BB151" t="str">
        <f t="shared" si="105"/>
        <v>-</v>
      </c>
      <c r="BC151" t="str">
        <f t="shared" si="106"/>
        <v>-</v>
      </c>
      <c r="BD151" s="29" t="str">
        <f t="shared" si="107"/>
        <v>-</v>
      </c>
      <c r="BE151" s="29" t="str">
        <f t="shared" si="108"/>
        <v>-</v>
      </c>
    </row>
    <row r="152" spans="1:57" ht="15" x14ac:dyDescent="0.2">
      <c r="A152" s="2">
        <v>156</v>
      </c>
      <c r="B152" s="2" t="str">
        <f t="shared" si="73"/>
        <v>0156</v>
      </c>
      <c r="C152" t="str">
        <f t="shared" si="74"/>
        <v>ORD-SP-0156-28/02/24</v>
      </c>
      <c r="D152" s="3" t="s">
        <v>226</v>
      </c>
      <c r="E152" t="str">
        <f t="shared" si="75"/>
        <v>PP001</v>
      </c>
      <c r="F152" t="str">
        <f>INDEX(Katalog!$B$4:$B$13,MATCH('Main Data'!E152,Katalog!$C$4:$C$13,0))</f>
        <v>Kaos Polo</v>
      </c>
      <c r="G152" t="str">
        <f>VLOOKUP(E152,Katalog!$A$15:$B$25,2,0)</f>
        <v>Pakaian Pria</v>
      </c>
      <c r="H152" t="str">
        <f t="shared" si="76"/>
        <v>1</v>
      </c>
      <c r="I152" t="str">
        <f t="shared" si="77"/>
        <v>2</v>
      </c>
      <c r="J152" s="18">
        <f>VLOOKUP(E152,Katalog!$C$3:$F$13,2,0)</f>
        <v>80000</v>
      </c>
      <c r="K152" s="18">
        <f>VLOOKUP(E152,Katalog!$C$3:$F$13,3,0)</f>
        <v>30000</v>
      </c>
      <c r="L152" t="str">
        <f t="shared" si="78"/>
        <v>PP003</v>
      </c>
      <c r="M152" t="str">
        <f>IFERROR(INDEX(Katalog!$B$4:$B$13,MATCH('Main Data'!L152,Katalog!$C$4:$C$13,0)), "-")</f>
        <v>Jaket Jeans</v>
      </c>
      <c r="N152" t="str">
        <f>IFERROR(VLOOKUP(L152,Katalog!$A$15:$B$25,2,0),"-")</f>
        <v>Pakaian Pria</v>
      </c>
      <c r="O152" t="str">
        <f t="shared" si="79"/>
        <v>2</v>
      </c>
      <c r="P152" t="str">
        <f t="shared" si="80"/>
        <v>5</v>
      </c>
      <c r="Q152" s="18">
        <f>IFERROR(VLOOKUP(L152,Katalog!$C$3:$F$13,2,0),0)</f>
        <v>150000</v>
      </c>
      <c r="R152" s="18">
        <f>IFERROR(VLOOKUP(L152,Katalog!$C$3:$F$13,3,0),0)</f>
        <v>70000</v>
      </c>
      <c r="S152" t="str">
        <f t="shared" si="81"/>
        <v>PW001</v>
      </c>
      <c r="T152" t="str">
        <f>IFERROR(INDEX(Katalog!$B$4:$B$13,MATCH('Main Data'!S152,Katalog!$C$4:$C$13,0)),"-")</f>
        <v>Dress</v>
      </c>
      <c r="U152" t="str">
        <f>IFERROR(VLOOKUP(S152,Katalog!$A$15:$B$25,2,0),"-")</f>
        <v>Pakaian Wanita</v>
      </c>
      <c r="V152" t="str">
        <f t="shared" si="82"/>
        <v>1</v>
      </c>
      <c r="W152" s="28" t="str">
        <f t="shared" si="83"/>
        <v>2</v>
      </c>
      <c r="X152" s="18">
        <f>IFERROR(VLOOKUP(S152,Katalog!$C$3:$F$13,2,0),0)</f>
        <v>150000</v>
      </c>
      <c r="Y152" s="30">
        <f>IFERROR(VLOOKUP(S152,Katalog!$C$3:$F$13,3,0),0)</f>
        <v>55000</v>
      </c>
      <c r="Z152" s="2">
        <f t="shared" si="84"/>
        <v>4</v>
      </c>
      <c r="AA152" s="4">
        <f t="shared" si="85"/>
        <v>530000</v>
      </c>
      <c r="AB152" s="4">
        <f t="shared" si="86"/>
        <v>225000</v>
      </c>
      <c r="AC152" s="4" t="s">
        <v>12</v>
      </c>
      <c r="AD152" s="16">
        <f>IFERROR(VLOOKUP(AC152,'Kode Diskon'!$C$2:$D$9,2,0),0)</f>
        <v>0.15</v>
      </c>
      <c r="AE152" s="31">
        <f t="shared" si="87"/>
        <v>79500</v>
      </c>
      <c r="AF152" s="31">
        <f t="shared" si="88"/>
        <v>450500</v>
      </c>
      <c r="AG152" s="31">
        <f t="shared" si="89"/>
        <v>305000</v>
      </c>
      <c r="AH152" s="31">
        <f t="shared" si="90"/>
        <v>225500</v>
      </c>
      <c r="AI152" s="4" t="s">
        <v>28</v>
      </c>
      <c r="AJ152" s="4" t="s">
        <v>6</v>
      </c>
      <c r="AK152" s="4" t="str">
        <f>IFERROR(VLOOKUP(AJ152,'Guide '!$A$13:$B$16,2,0),"-")</f>
        <v>SP</v>
      </c>
      <c r="AL152" s="4" t="s">
        <v>921</v>
      </c>
      <c r="AM152" s="40">
        <v>45350</v>
      </c>
      <c r="AN152">
        <f t="shared" si="91"/>
        <v>29</v>
      </c>
      <c r="AO152">
        <f t="shared" si="92"/>
        <v>32</v>
      </c>
      <c r="AP152">
        <f t="shared" si="93"/>
        <v>40</v>
      </c>
      <c r="AQ152">
        <f t="shared" si="94"/>
        <v>43</v>
      </c>
      <c r="AR152" s="26">
        <f t="shared" si="95"/>
        <v>56</v>
      </c>
      <c r="AS152" s="26">
        <f t="shared" si="96"/>
        <v>63</v>
      </c>
      <c r="AT152" s="21">
        <f t="shared" si="97"/>
        <v>12</v>
      </c>
      <c r="AU152" s="21">
        <f t="shared" si="98"/>
        <v>19</v>
      </c>
      <c r="AV152">
        <f t="shared" si="99"/>
        <v>73</v>
      </c>
      <c r="AW152">
        <f t="shared" si="100"/>
        <v>76</v>
      </c>
      <c r="AX152">
        <f t="shared" si="101"/>
        <v>84</v>
      </c>
      <c r="AY152">
        <f t="shared" si="102"/>
        <v>87</v>
      </c>
      <c r="AZ152">
        <f t="shared" si="103"/>
        <v>100</v>
      </c>
      <c r="BA152">
        <f t="shared" si="104"/>
        <v>107</v>
      </c>
      <c r="BB152">
        <f t="shared" si="105"/>
        <v>117</v>
      </c>
      <c r="BC152">
        <f t="shared" si="106"/>
        <v>120</v>
      </c>
      <c r="BD152" s="29">
        <f t="shared" si="107"/>
        <v>128</v>
      </c>
      <c r="BE152" s="29">
        <f t="shared" si="108"/>
        <v>131</v>
      </c>
    </row>
    <row r="153" spans="1:57" ht="15" x14ac:dyDescent="0.2">
      <c r="A153" s="2">
        <v>300</v>
      </c>
      <c r="B153" s="2" t="str">
        <f t="shared" si="73"/>
        <v>0300</v>
      </c>
      <c r="C153" t="str">
        <f t="shared" si="74"/>
        <v>ORD-SP-0300-28/02/24</v>
      </c>
      <c r="D153" s="3" t="s">
        <v>356</v>
      </c>
      <c r="E153" t="str">
        <f t="shared" si="75"/>
        <v>PW001</v>
      </c>
      <c r="F153" t="str">
        <f>INDEX(Katalog!$B$4:$B$13,MATCH('Main Data'!E153,Katalog!$C$4:$C$13,0))</f>
        <v>Dress</v>
      </c>
      <c r="G153" t="str">
        <f>VLOOKUP(E153,Katalog!$A$15:$B$25,2,0)</f>
        <v>Pakaian Wanita</v>
      </c>
      <c r="H153" t="str">
        <f t="shared" si="76"/>
        <v>1</v>
      </c>
      <c r="I153" t="str">
        <f t="shared" si="77"/>
        <v>3</v>
      </c>
      <c r="J153" s="18">
        <f>VLOOKUP(E153,Katalog!$C$3:$F$13,2,0)</f>
        <v>150000</v>
      </c>
      <c r="K153" s="18">
        <f>VLOOKUP(E153,Katalog!$C$3:$F$13,3,0)</f>
        <v>55000</v>
      </c>
      <c r="L153" t="str">
        <f t="shared" si="78"/>
        <v>SP002</v>
      </c>
      <c r="M153" t="str">
        <f>IFERROR(INDEX(Katalog!$B$4:$B$13,MATCH('Main Data'!L153,Katalog!$C$4:$C$13,0)), "-")</f>
        <v>Sandal Slip On</v>
      </c>
      <c r="N153" t="str">
        <f>IFERROR(VLOOKUP(L153,Katalog!$A$15:$B$25,2,0),"-")</f>
        <v>Sepatu Pria</v>
      </c>
      <c r="O153" t="str">
        <f t="shared" si="79"/>
        <v>2</v>
      </c>
      <c r="P153" t="str">
        <f t="shared" si="80"/>
        <v>4</v>
      </c>
      <c r="Q153" s="18">
        <f>IFERROR(VLOOKUP(L153,Katalog!$C$3:$F$13,2,0),0)</f>
        <v>120000</v>
      </c>
      <c r="R153" s="18">
        <f>IFERROR(VLOOKUP(L153,Katalog!$C$3:$F$13,3,0),0)</f>
        <v>60000</v>
      </c>
      <c r="S153" t="str">
        <f t="shared" si="81"/>
        <v>PP002</v>
      </c>
      <c r="T153" t="str">
        <f>IFERROR(INDEX(Katalog!$B$4:$B$13,MATCH('Main Data'!S153,Katalog!$C$4:$C$13,0)),"-")</f>
        <v>Celana Pendek</v>
      </c>
      <c r="U153" t="str">
        <f>IFERROR(VLOOKUP(S153,Katalog!$A$15:$B$25,2,0),"-")</f>
        <v>Pakaian Pria</v>
      </c>
      <c r="V153" t="str">
        <f t="shared" si="82"/>
        <v>1</v>
      </c>
      <c r="W153" s="28" t="str">
        <f t="shared" si="83"/>
        <v>4</v>
      </c>
      <c r="X153" s="18">
        <f>IFERROR(VLOOKUP(S153,Katalog!$C$3:$F$13,2,0),0)</f>
        <v>60000</v>
      </c>
      <c r="Y153" s="30">
        <f>IFERROR(VLOOKUP(S153,Katalog!$C$3:$F$13,3,0),0)</f>
        <v>25000</v>
      </c>
      <c r="Z153" s="2">
        <f t="shared" si="84"/>
        <v>4</v>
      </c>
      <c r="AA153" s="4">
        <f t="shared" si="85"/>
        <v>450000</v>
      </c>
      <c r="AB153" s="4">
        <f t="shared" si="86"/>
        <v>200000</v>
      </c>
      <c r="AC153" s="4" t="s">
        <v>12</v>
      </c>
      <c r="AD153" s="16">
        <f>IFERROR(VLOOKUP(AC153,'Kode Diskon'!$C$2:$D$9,2,0),0)</f>
        <v>0.15</v>
      </c>
      <c r="AE153" s="31">
        <f t="shared" si="87"/>
        <v>67500</v>
      </c>
      <c r="AF153" s="31">
        <f t="shared" si="88"/>
        <v>382500</v>
      </c>
      <c r="AG153" s="31">
        <f t="shared" si="89"/>
        <v>250000</v>
      </c>
      <c r="AH153" s="31">
        <f t="shared" si="90"/>
        <v>182500</v>
      </c>
      <c r="AI153" s="4" t="s">
        <v>28</v>
      </c>
      <c r="AJ153" s="4" t="s">
        <v>6</v>
      </c>
      <c r="AK153" s="4" t="str">
        <f>IFERROR(VLOOKUP(AJ153,'Guide '!$A$13:$B$16,2,0),"-")</f>
        <v>SP</v>
      </c>
      <c r="AL153" s="4" t="s">
        <v>925</v>
      </c>
      <c r="AM153" s="40">
        <v>45350</v>
      </c>
      <c r="AN153">
        <f t="shared" si="91"/>
        <v>29</v>
      </c>
      <c r="AO153">
        <f t="shared" si="92"/>
        <v>32</v>
      </c>
      <c r="AP153">
        <f t="shared" si="93"/>
        <v>40</v>
      </c>
      <c r="AQ153">
        <f t="shared" si="94"/>
        <v>43</v>
      </c>
      <c r="AR153" s="26">
        <f t="shared" si="95"/>
        <v>56</v>
      </c>
      <c r="AS153" s="26">
        <f t="shared" si="96"/>
        <v>63</v>
      </c>
      <c r="AT153" s="21">
        <f t="shared" si="97"/>
        <v>12</v>
      </c>
      <c r="AU153" s="21">
        <f t="shared" si="98"/>
        <v>19</v>
      </c>
      <c r="AV153">
        <f t="shared" si="99"/>
        <v>73</v>
      </c>
      <c r="AW153">
        <f t="shared" si="100"/>
        <v>76</v>
      </c>
      <c r="AX153">
        <f t="shared" si="101"/>
        <v>84</v>
      </c>
      <c r="AY153">
        <f t="shared" si="102"/>
        <v>87</v>
      </c>
      <c r="AZ153">
        <f t="shared" si="103"/>
        <v>100</v>
      </c>
      <c r="BA153">
        <f t="shared" si="104"/>
        <v>107</v>
      </c>
      <c r="BB153">
        <f t="shared" si="105"/>
        <v>117</v>
      </c>
      <c r="BC153">
        <f t="shared" si="106"/>
        <v>120</v>
      </c>
      <c r="BD153" s="29">
        <f t="shared" si="107"/>
        <v>128</v>
      </c>
      <c r="BE153" s="29">
        <f t="shared" si="108"/>
        <v>131</v>
      </c>
    </row>
    <row r="154" spans="1:57" ht="15" x14ac:dyDescent="0.2">
      <c r="A154" s="2">
        <v>756</v>
      </c>
      <c r="B154" s="2" t="str">
        <f t="shared" si="73"/>
        <v>0756</v>
      </c>
      <c r="C154" t="str">
        <f t="shared" si="74"/>
        <v>ORD-BL-0756-28/02/24</v>
      </c>
      <c r="D154" s="3" t="s">
        <v>685</v>
      </c>
      <c r="E154" t="str">
        <f t="shared" si="75"/>
        <v>PU001</v>
      </c>
      <c r="F154" t="str">
        <f>INDEX(Katalog!$B$4:$B$13,MATCH('Main Data'!E154,Katalog!$C$4:$C$13,0))</f>
        <v>Jaket Hoodie</v>
      </c>
      <c r="G154" t="str">
        <f>VLOOKUP(E154,Katalog!$A$15:$B$25,2,0)</f>
        <v>Pakaian Unisex</v>
      </c>
      <c r="H154" t="str">
        <f t="shared" si="76"/>
        <v>1</v>
      </c>
      <c r="I154" t="str">
        <f t="shared" si="77"/>
        <v>4</v>
      </c>
      <c r="J154" s="18">
        <f>VLOOKUP(E154,Katalog!$C$3:$F$13,2,0)</f>
        <v>160000</v>
      </c>
      <c r="K154" s="18">
        <f>VLOOKUP(E154,Katalog!$C$3:$F$13,3,0)</f>
        <v>60000</v>
      </c>
      <c r="L154" t="str">
        <f t="shared" si="78"/>
        <v>-</v>
      </c>
      <c r="M154" t="str">
        <f>IFERROR(INDEX(Katalog!$B$4:$B$13,MATCH('Main Data'!L154,Katalog!$C$4:$C$13,0)), "-")</f>
        <v>-</v>
      </c>
      <c r="N154" t="str">
        <f>IFERROR(VLOOKUP(L154,Katalog!$A$15:$B$25,2,0),"-")</f>
        <v>-</v>
      </c>
      <c r="O154">
        <f t="shared" si="79"/>
        <v>0</v>
      </c>
      <c r="P154" t="str">
        <f t="shared" si="80"/>
        <v>-</v>
      </c>
      <c r="Q154" s="18">
        <f>IFERROR(VLOOKUP(L154,Katalog!$C$3:$F$13,2,0),0)</f>
        <v>0</v>
      </c>
      <c r="R154" s="18">
        <f>IFERROR(VLOOKUP(L154,Katalog!$C$3:$F$13,3,0),0)</f>
        <v>0</v>
      </c>
      <c r="S154" t="str">
        <f t="shared" si="81"/>
        <v>-</v>
      </c>
      <c r="T154" t="str">
        <f>IFERROR(INDEX(Katalog!$B$4:$B$13,MATCH('Main Data'!S154,Katalog!$C$4:$C$13,0)),"-")</f>
        <v>-</v>
      </c>
      <c r="U154" t="str">
        <f>IFERROR(VLOOKUP(S154,Katalog!$A$15:$B$25,2,0),"-")</f>
        <v>-</v>
      </c>
      <c r="V154">
        <f t="shared" si="82"/>
        <v>0</v>
      </c>
      <c r="W154" s="28" t="str">
        <f t="shared" si="83"/>
        <v>-</v>
      </c>
      <c r="X154" s="18">
        <f>IFERROR(VLOOKUP(S154,Katalog!$C$3:$F$13,2,0),0)</f>
        <v>0</v>
      </c>
      <c r="Y154" s="30">
        <f>IFERROR(VLOOKUP(S154,Katalog!$C$3:$F$13,3,0),0)</f>
        <v>0</v>
      </c>
      <c r="Z154" s="2">
        <f t="shared" si="84"/>
        <v>1</v>
      </c>
      <c r="AA154" s="4">
        <f t="shared" si="85"/>
        <v>160000</v>
      </c>
      <c r="AB154" s="4">
        <f t="shared" si="86"/>
        <v>60000</v>
      </c>
      <c r="AC154" s="4" t="s">
        <v>31</v>
      </c>
      <c r="AD154" s="16">
        <f>IFERROR(VLOOKUP(AC154,'Kode Diskon'!$C$2:$D$9,2,0),0)</f>
        <v>0.15</v>
      </c>
      <c r="AE154" s="31">
        <f t="shared" si="87"/>
        <v>24000</v>
      </c>
      <c r="AF154" s="31">
        <f t="shared" si="88"/>
        <v>136000</v>
      </c>
      <c r="AG154" s="31">
        <f t="shared" si="89"/>
        <v>100000</v>
      </c>
      <c r="AH154" s="31">
        <f t="shared" si="90"/>
        <v>76000</v>
      </c>
      <c r="AI154" s="4" t="s">
        <v>8</v>
      </c>
      <c r="AJ154" s="4" t="s">
        <v>11</v>
      </c>
      <c r="AK154" s="4" t="str">
        <f>IFERROR(VLOOKUP(AJ154,'Guide '!$A$13:$B$16,2,0),"-")</f>
        <v>BL</v>
      </c>
      <c r="AL154" s="4" t="s">
        <v>1006</v>
      </c>
      <c r="AM154" s="40">
        <v>45350</v>
      </c>
      <c r="AN154">
        <f t="shared" si="91"/>
        <v>29</v>
      </c>
      <c r="AO154">
        <f t="shared" si="92"/>
        <v>32</v>
      </c>
      <c r="AP154">
        <f t="shared" si="93"/>
        <v>40</v>
      </c>
      <c r="AQ154">
        <f t="shared" si="94"/>
        <v>43</v>
      </c>
      <c r="AR154" s="26" t="str">
        <f t="shared" si="95"/>
        <v>-</v>
      </c>
      <c r="AS154" s="26" t="str">
        <f t="shared" si="96"/>
        <v>-</v>
      </c>
      <c r="AT154" s="21">
        <f t="shared" si="97"/>
        <v>12</v>
      </c>
      <c r="AU154" s="21">
        <f t="shared" si="98"/>
        <v>19</v>
      </c>
      <c r="AV154" t="str">
        <f t="shared" si="99"/>
        <v>-</v>
      </c>
      <c r="AW154" t="str">
        <f t="shared" si="100"/>
        <v>-</v>
      </c>
      <c r="AX154" t="str">
        <f t="shared" si="101"/>
        <v>-</v>
      </c>
      <c r="AY154" t="str">
        <f t="shared" si="102"/>
        <v>-</v>
      </c>
      <c r="AZ154" t="str">
        <f t="shared" si="103"/>
        <v>-</v>
      </c>
      <c r="BA154" t="str">
        <f t="shared" si="104"/>
        <v>-</v>
      </c>
      <c r="BB154" t="str">
        <f t="shared" si="105"/>
        <v>-</v>
      </c>
      <c r="BC154" t="str">
        <f t="shared" si="106"/>
        <v>-</v>
      </c>
      <c r="BD154" s="29" t="str">
        <f t="shared" si="107"/>
        <v>-</v>
      </c>
      <c r="BE154" s="29" t="str">
        <f t="shared" si="108"/>
        <v>-</v>
      </c>
    </row>
    <row r="155" spans="1:57" ht="15" x14ac:dyDescent="0.2">
      <c r="A155" s="2">
        <v>977</v>
      </c>
      <c r="B155" s="2" t="str">
        <f t="shared" si="73"/>
        <v>0977</v>
      </c>
      <c r="C155" t="str">
        <f t="shared" si="74"/>
        <v>ORD-TK-0977-28/02/24</v>
      </c>
      <c r="D155" s="3" t="s">
        <v>902</v>
      </c>
      <c r="E155" t="str">
        <f t="shared" si="75"/>
        <v>PP003</v>
      </c>
      <c r="F155" t="str">
        <f>INDEX(Katalog!$B$4:$B$13,MATCH('Main Data'!E155,Katalog!$C$4:$C$13,0))</f>
        <v>Jaket Jeans</v>
      </c>
      <c r="G155" t="str">
        <f>VLOOKUP(E155,Katalog!$A$15:$B$25,2,0)</f>
        <v>Pakaian Pria</v>
      </c>
      <c r="H155" t="str">
        <f t="shared" si="76"/>
        <v>6</v>
      </c>
      <c r="I155" t="str">
        <f t="shared" si="77"/>
        <v>1</v>
      </c>
      <c r="J155" s="18">
        <f>VLOOKUP(E155,Katalog!$C$3:$F$13,2,0)</f>
        <v>150000</v>
      </c>
      <c r="K155" s="18">
        <f>VLOOKUP(E155,Katalog!$C$3:$F$13,3,0)</f>
        <v>70000</v>
      </c>
      <c r="L155" t="str">
        <f t="shared" si="78"/>
        <v>PP001</v>
      </c>
      <c r="M155" t="str">
        <f>IFERROR(INDEX(Katalog!$B$4:$B$13,MATCH('Main Data'!L155,Katalog!$C$4:$C$13,0)), "-")</f>
        <v>Kaos Polo</v>
      </c>
      <c r="N155" t="str">
        <f>IFERROR(VLOOKUP(L155,Katalog!$A$15:$B$25,2,0),"-")</f>
        <v>Pakaian Pria</v>
      </c>
      <c r="O155" t="str">
        <f t="shared" si="79"/>
        <v>1</v>
      </c>
      <c r="P155" t="str">
        <f t="shared" si="80"/>
        <v>4</v>
      </c>
      <c r="Q155" s="18">
        <f>IFERROR(VLOOKUP(L155,Katalog!$C$3:$F$13,2,0),0)</f>
        <v>80000</v>
      </c>
      <c r="R155" s="18">
        <f>IFERROR(VLOOKUP(L155,Katalog!$C$3:$F$13,3,0),0)</f>
        <v>30000</v>
      </c>
      <c r="S155" t="str">
        <f t="shared" si="81"/>
        <v>-</v>
      </c>
      <c r="T155" t="str">
        <f>IFERROR(INDEX(Katalog!$B$4:$B$13,MATCH('Main Data'!S155,Katalog!$C$4:$C$13,0)),"-")</f>
        <v>-</v>
      </c>
      <c r="U155" t="str">
        <f>IFERROR(VLOOKUP(S155,Katalog!$A$15:$B$25,2,0),"-")</f>
        <v>-</v>
      </c>
      <c r="V155">
        <f t="shared" si="82"/>
        <v>0</v>
      </c>
      <c r="W155" s="28" t="str">
        <f t="shared" si="83"/>
        <v>-</v>
      </c>
      <c r="X155" s="18">
        <f>IFERROR(VLOOKUP(S155,Katalog!$C$3:$F$13,2,0),0)</f>
        <v>0</v>
      </c>
      <c r="Y155" s="30">
        <f>IFERROR(VLOOKUP(S155,Katalog!$C$3:$F$13,3,0),0)</f>
        <v>0</v>
      </c>
      <c r="Z155" s="2">
        <f t="shared" si="84"/>
        <v>7</v>
      </c>
      <c r="AA155" s="4">
        <f t="shared" si="85"/>
        <v>980000</v>
      </c>
      <c r="AB155" s="4">
        <f t="shared" si="86"/>
        <v>450000</v>
      </c>
      <c r="AC155" s="4" t="s">
        <v>30</v>
      </c>
      <c r="AD155" s="16">
        <f>IFERROR(VLOOKUP(AC155,'Kode Diskon'!$C$2:$D$9,2,0),0)</f>
        <v>0.1</v>
      </c>
      <c r="AE155" s="31">
        <f t="shared" si="87"/>
        <v>98000</v>
      </c>
      <c r="AF155" s="31">
        <f t="shared" si="88"/>
        <v>882000</v>
      </c>
      <c r="AG155" s="31">
        <f t="shared" si="89"/>
        <v>530000</v>
      </c>
      <c r="AH155" s="31">
        <f t="shared" si="90"/>
        <v>432000</v>
      </c>
      <c r="AI155" s="4" t="s">
        <v>8</v>
      </c>
      <c r="AJ155" s="4" t="s">
        <v>9</v>
      </c>
      <c r="AK155" s="4" t="str">
        <f>IFERROR(VLOOKUP(AJ155,'Guide '!$A$13:$B$16,2,0),"-")</f>
        <v>TK</v>
      </c>
      <c r="AL155" s="4" t="s">
        <v>921</v>
      </c>
      <c r="AM155" s="40">
        <v>45350</v>
      </c>
      <c r="AN155">
        <f t="shared" si="91"/>
        <v>29</v>
      </c>
      <c r="AO155">
        <f t="shared" si="92"/>
        <v>32</v>
      </c>
      <c r="AP155">
        <f t="shared" si="93"/>
        <v>40</v>
      </c>
      <c r="AQ155">
        <f t="shared" si="94"/>
        <v>43</v>
      </c>
      <c r="AR155" s="26">
        <f t="shared" si="95"/>
        <v>56</v>
      </c>
      <c r="AS155" s="26">
        <f t="shared" si="96"/>
        <v>63</v>
      </c>
      <c r="AT155" s="21">
        <f t="shared" si="97"/>
        <v>12</v>
      </c>
      <c r="AU155" s="21">
        <f t="shared" si="98"/>
        <v>19</v>
      </c>
      <c r="AV155">
        <f t="shared" si="99"/>
        <v>73</v>
      </c>
      <c r="AW155">
        <f t="shared" si="100"/>
        <v>76</v>
      </c>
      <c r="AX155">
        <f t="shared" si="101"/>
        <v>84</v>
      </c>
      <c r="AY155">
        <f t="shared" si="102"/>
        <v>87</v>
      </c>
      <c r="AZ155" t="str">
        <f t="shared" si="103"/>
        <v>-</v>
      </c>
      <c r="BA155" t="str">
        <f t="shared" si="104"/>
        <v>-</v>
      </c>
      <c r="BB155" t="str">
        <f t="shared" si="105"/>
        <v>-</v>
      </c>
      <c r="BC155" t="str">
        <f t="shared" si="106"/>
        <v>-</v>
      </c>
      <c r="BD155" s="29" t="str">
        <f t="shared" si="107"/>
        <v>-</v>
      </c>
      <c r="BE155" s="29" t="str">
        <f t="shared" si="108"/>
        <v>-</v>
      </c>
    </row>
    <row r="156" spans="1:57" ht="15" x14ac:dyDescent="0.2">
      <c r="A156" s="2">
        <v>588</v>
      </c>
      <c r="B156" s="2" t="str">
        <f t="shared" si="73"/>
        <v>0588</v>
      </c>
      <c r="C156" t="str">
        <f t="shared" si="74"/>
        <v>ORD-BB-0588-29/02/24</v>
      </c>
      <c r="D156" s="3" t="s">
        <v>188</v>
      </c>
      <c r="E156" t="str">
        <f t="shared" si="75"/>
        <v>SW001</v>
      </c>
      <c r="F156" t="str">
        <f>INDEX(Katalog!$B$4:$B$13,MATCH('Main Data'!E156,Katalog!$C$4:$C$13,0))</f>
        <v>Flat Shoes</v>
      </c>
      <c r="G156" t="str">
        <f>VLOOKUP(E156,Katalog!$A$15:$B$25,2,0)</f>
        <v>Sepatu Wanita</v>
      </c>
      <c r="H156" t="str">
        <f t="shared" si="76"/>
        <v>4</v>
      </c>
      <c r="I156" t="str">
        <f t="shared" si="77"/>
        <v>4</v>
      </c>
      <c r="J156" s="18">
        <f>VLOOKUP(E156,Katalog!$C$3:$F$13,2,0)</f>
        <v>150000</v>
      </c>
      <c r="K156" s="18">
        <f>VLOOKUP(E156,Katalog!$C$3:$F$13,3,0)</f>
        <v>70000</v>
      </c>
      <c r="L156" t="str">
        <f t="shared" si="78"/>
        <v>-</v>
      </c>
      <c r="M156" t="str">
        <f>IFERROR(INDEX(Katalog!$B$4:$B$13,MATCH('Main Data'!L156,Katalog!$C$4:$C$13,0)), "-")</f>
        <v>-</v>
      </c>
      <c r="N156" t="str">
        <f>IFERROR(VLOOKUP(L156,Katalog!$A$15:$B$25,2,0),"-")</f>
        <v>-</v>
      </c>
      <c r="O156">
        <f t="shared" si="79"/>
        <v>0</v>
      </c>
      <c r="P156" t="str">
        <f t="shared" si="80"/>
        <v>-</v>
      </c>
      <c r="Q156" s="18">
        <f>IFERROR(VLOOKUP(L156,Katalog!$C$3:$F$13,2,0),0)</f>
        <v>0</v>
      </c>
      <c r="R156" s="18">
        <f>IFERROR(VLOOKUP(L156,Katalog!$C$3:$F$13,3,0),0)</f>
        <v>0</v>
      </c>
      <c r="S156" t="str">
        <f t="shared" si="81"/>
        <v>-</v>
      </c>
      <c r="T156" t="str">
        <f>IFERROR(INDEX(Katalog!$B$4:$B$13,MATCH('Main Data'!S156,Katalog!$C$4:$C$13,0)),"-")</f>
        <v>-</v>
      </c>
      <c r="U156" t="str">
        <f>IFERROR(VLOOKUP(S156,Katalog!$A$15:$B$25,2,0),"-")</f>
        <v>-</v>
      </c>
      <c r="V156">
        <f t="shared" si="82"/>
        <v>0</v>
      </c>
      <c r="W156" s="28" t="str">
        <f t="shared" si="83"/>
        <v>-</v>
      </c>
      <c r="X156" s="18">
        <f>IFERROR(VLOOKUP(S156,Katalog!$C$3:$F$13,2,0),0)</f>
        <v>0</v>
      </c>
      <c r="Y156" s="30">
        <f>IFERROR(VLOOKUP(S156,Katalog!$C$3:$F$13,3,0),0)</f>
        <v>0</v>
      </c>
      <c r="Z156" s="2">
        <f t="shared" si="84"/>
        <v>4</v>
      </c>
      <c r="AA156" s="4">
        <f t="shared" si="85"/>
        <v>600000</v>
      </c>
      <c r="AB156" s="4">
        <f t="shared" si="86"/>
        <v>280000</v>
      </c>
      <c r="AC156" s="4" t="s">
        <v>27</v>
      </c>
      <c r="AD156" s="16">
        <f>IFERROR(VLOOKUP(AC156,'Kode Diskon'!$C$2:$D$9,2,0),0)</f>
        <v>0.15</v>
      </c>
      <c r="AE156" s="31">
        <f t="shared" si="87"/>
        <v>90000</v>
      </c>
      <c r="AF156" s="31">
        <f t="shared" si="88"/>
        <v>510000</v>
      </c>
      <c r="AG156" s="31">
        <f t="shared" si="89"/>
        <v>320000</v>
      </c>
      <c r="AH156" s="31">
        <f t="shared" si="90"/>
        <v>230000</v>
      </c>
      <c r="AI156" s="4" t="s">
        <v>28</v>
      </c>
      <c r="AJ156" s="4" t="s">
        <v>13</v>
      </c>
      <c r="AK156" s="4" t="str">
        <f>IFERROR(VLOOKUP(AJ156,'Guide '!$A$13:$B$16,2,0),"-")</f>
        <v>BB</v>
      </c>
      <c r="AL156" s="4" t="s">
        <v>923</v>
      </c>
      <c r="AM156" s="40">
        <v>45351</v>
      </c>
      <c r="AN156">
        <f t="shared" si="91"/>
        <v>29</v>
      </c>
      <c r="AO156">
        <f t="shared" si="92"/>
        <v>32</v>
      </c>
      <c r="AP156">
        <f t="shared" si="93"/>
        <v>40</v>
      </c>
      <c r="AQ156">
        <f t="shared" si="94"/>
        <v>43</v>
      </c>
      <c r="AR156" s="26" t="str">
        <f t="shared" si="95"/>
        <v>-</v>
      </c>
      <c r="AS156" s="26" t="str">
        <f t="shared" si="96"/>
        <v>-</v>
      </c>
      <c r="AT156" s="21">
        <f t="shared" si="97"/>
        <v>12</v>
      </c>
      <c r="AU156" s="21">
        <f t="shared" si="98"/>
        <v>19</v>
      </c>
      <c r="AV156" t="str">
        <f t="shared" si="99"/>
        <v>-</v>
      </c>
      <c r="AW156" t="str">
        <f t="shared" si="100"/>
        <v>-</v>
      </c>
      <c r="AX156" t="str">
        <f t="shared" si="101"/>
        <v>-</v>
      </c>
      <c r="AY156" t="str">
        <f t="shared" si="102"/>
        <v>-</v>
      </c>
      <c r="AZ156" t="str">
        <f t="shared" si="103"/>
        <v>-</v>
      </c>
      <c r="BA156" t="str">
        <f t="shared" si="104"/>
        <v>-</v>
      </c>
      <c r="BB156" t="str">
        <f t="shared" si="105"/>
        <v>-</v>
      </c>
      <c r="BC156" t="str">
        <f t="shared" si="106"/>
        <v>-</v>
      </c>
      <c r="BD156" s="29" t="str">
        <f t="shared" si="107"/>
        <v>-</v>
      </c>
      <c r="BE156" s="29" t="str">
        <f t="shared" si="108"/>
        <v>-</v>
      </c>
    </row>
    <row r="157" spans="1:57" ht="15" x14ac:dyDescent="0.2">
      <c r="A157" s="2">
        <v>776</v>
      </c>
      <c r="B157" s="2" t="str">
        <f t="shared" si="73"/>
        <v>0776</v>
      </c>
      <c r="C157" t="str">
        <f t="shared" si="74"/>
        <v>ORD-SP-0776-29/02/24</v>
      </c>
      <c r="D157" s="3" t="s">
        <v>751</v>
      </c>
      <c r="E157" t="str">
        <f t="shared" si="75"/>
        <v>SW001</v>
      </c>
      <c r="F157" t="str">
        <f>INDEX(Katalog!$B$4:$B$13,MATCH('Main Data'!E157,Katalog!$C$4:$C$13,0))</f>
        <v>Flat Shoes</v>
      </c>
      <c r="G157" t="str">
        <f>VLOOKUP(E157,Katalog!$A$15:$B$25,2,0)</f>
        <v>Sepatu Wanita</v>
      </c>
      <c r="H157" t="str">
        <f t="shared" si="76"/>
        <v>1</v>
      </c>
      <c r="I157" t="str">
        <f t="shared" si="77"/>
        <v>1</v>
      </c>
      <c r="J157" s="18">
        <f>VLOOKUP(E157,Katalog!$C$3:$F$13,2,0)</f>
        <v>150000</v>
      </c>
      <c r="K157" s="18">
        <f>VLOOKUP(E157,Katalog!$C$3:$F$13,3,0)</f>
        <v>70000</v>
      </c>
      <c r="L157" t="str">
        <f t="shared" si="78"/>
        <v>PW002</v>
      </c>
      <c r="M157" t="str">
        <f>IFERROR(INDEX(Katalog!$B$4:$B$13,MATCH('Main Data'!L157,Katalog!$C$4:$C$13,0)), "-")</f>
        <v>Blouse</v>
      </c>
      <c r="N157" t="str">
        <f>IFERROR(VLOOKUP(L157,Katalog!$A$15:$B$25,2,0),"-")</f>
        <v>Pakaian Wanita</v>
      </c>
      <c r="O157" t="str">
        <f t="shared" si="79"/>
        <v>1</v>
      </c>
      <c r="P157" t="str">
        <f t="shared" si="80"/>
        <v>1</v>
      </c>
      <c r="Q157" s="18">
        <f>IFERROR(VLOOKUP(L157,Katalog!$C$3:$F$13,2,0),0)</f>
        <v>125000</v>
      </c>
      <c r="R157" s="18">
        <f>IFERROR(VLOOKUP(L157,Katalog!$C$3:$F$13,3,0),0)</f>
        <v>50000</v>
      </c>
      <c r="S157" t="str">
        <f t="shared" si="81"/>
        <v>PP003</v>
      </c>
      <c r="T157" t="str">
        <f>IFERROR(INDEX(Katalog!$B$4:$B$13,MATCH('Main Data'!S157,Katalog!$C$4:$C$13,0)),"-")</f>
        <v>Jaket Jeans</v>
      </c>
      <c r="U157" t="str">
        <f>IFERROR(VLOOKUP(S157,Katalog!$A$15:$B$25,2,0),"-")</f>
        <v>Pakaian Pria</v>
      </c>
      <c r="V157" t="str">
        <f t="shared" si="82"/>
        <v>1</v>
      </c>
      <c r="W157" s="28" t="str">
        <f t="shared" si="83"/>
        <v>2</v>
      </c>
      <c r="X157" s="18">
        <f>IFERROR(VLOOKUP(S157,Katalog!$C$3:$F$13,2,0),0)</f>
        <v>150000</v>
      </c>
      <c r="Y157" s="30">
        <f>IFERROR(VLOOKUP(S157,Katalog!$C$3:$F$13,3,0),0)</f>
        <v>70000</v>
      </c>
      <c r="Z157" s="2">
        <f t="shared" si="84"/>
        <v>3</v>
      </c>
      <c r="AA157" s="4">
        <f t="shared" si="85"/>
        <v>425000</v>
      </c>
      <c r="AB157" s="4">
        <f t="shared" si="86"/>
        <v>190000</v>
      </c>
      <c r="AC157" s="4" t="s">
        <v>5</v>
      </c>
      <c r="AD157" s="16">
        <f>IFERROR(VLOOKUP(AC157,'Kode Diskon'!$C$2:$D$9,2,0),0)</f>
        <v>0.1</v>
      </c>
      <c r="AE157" s="31">
        <f t="shared" si="87"/>
        <v>42500</v>
      </c>
      <c r="AF157" s="31">
        <f t="shared" si="88"/>
        <v>382500</v>
      </c>
      <c r="AG157" s="31">
        <f t="shared" si="89"/>
        <v>235000</v>
      </c>
      <c r="AH157" s="31">
        <f t="shared" si="90"/>
        <v>192500</v>
      </c>
      <c r="AI157" s="4" t="s">
        <v>28</v>
      </c>
      <c r="AJ157" s="4" t="s">
        <v>6</v>
      </c>
      <c r="AK157" s="4" t="str">
        <f>IFERROR(VLOOKUP(AJ157,'Guide '!$A$13:$B$16,2,0),"-")</f>
        <v>SP</v>
      </c>
      <c r="AL157" s="4" t="s">
        <v>1006</v>
      </c>
      <c r="AM157" s="40">
        <v>45351</v>
      </c>
      <c r="AN157">
        <f t="shared" si="91"/>
        <v>29</v>
      </c>
      <c r="AO157">
        <f t="shared" si="92"/>
        <v>32</v>
      </c>
      <c r="AP157">
        <f t="shared" si="93"/>
        <v>40</v>
      </c>
      <c r="AQ157">
        <f t="shared" si="94"/>
        <v>43</v>
      </c>
      <c r="AR157" s="26">
        <f t="shared" si="95"/>
        <v>56</v>
      </c>
      <c r="AS157" s="26">
        <f t="shared" si="96"/>
        <v>63</v>
      </c>
      <c r="AT157" s="21">
        <f t="shared" si="97"/>
        <v>12</v>
      </c>
      <c r="AU157" s="21">
        <f t="shared" si="98"/>
        <v>19</v>
      </c>
      <c r="AV157">
        <f t="shared" si="99"/>
        <v>73</v>
      </c>
      <c r="AW157">
        <f t="shared" si="100"/>
        <v>76</v>
      </c>
      <c r="AX157">
        <f t="shared" si="101"/>
        <v>84</v>
      </c>
      <c r="AY157">
        <f t="shared" si="102"/>
        <v>87</v>
      </c>
      <c r="AZ157">
        <f t="shared" si="103"/>
        <v>100</v>
      </c>
      <c r="BA157">
        <f t="shared" si="104"/>
        <v>107</v>
      </c>
      <c r="BB157">
        <f t="shared" si="105"/>
        <v>117</v>
      </c>
      <c r="BC157">
        <f t="shared" si="106"/>
        <v>120</v>
      </c>
      <c r="BD157" s="29">
        <f t="shared" si="107"/>
        <v>128</v>
      </c>
      <c r="BE157" s="29">
        <f t="shared" si="108"/>
        <v>131</v>
      </c>
    </row>
    <row r="158" spans="1:57" ht="15" x14ac:dyDescent="0.2">
      <c r="A158" s="2">
        <v>781</v>
      </c>
      <c r="B158" s="2" t="str">
        <f t="shared" si="73"/>
        <v>0781</v>
      </c>
      <c r="C158" t="str">
        <f t="shared" si="74"/>
        <v>ORD-SP-0781-29/02/24</v>
      </c>
      <c r="D158" s="3" t="s">
        <v>222</v>
      </c>
      <c r="E158" t="str">
        <f t="shared" si="75"/>
        <v>PW003</v>
      </c>
      <c r="F158" t="str">
        <f>INDEX(Katalog!$B$4:$B$13,MATCH('Main Data'!E158,Katalog!$C$4:$C$13,0))</f>
        <v>Kaftan</v>
      </c>
      <c r="G158" t="str">
        <f>VLOOKUP(E158,Katalog!$A$15:$B$25,2,0)</f>
        <v>Pakaian Wanita</v>
      </c>
      <c r="H158" t="str">
        <f t="shared" si="76"/>
        <v>4</v>
      </c>
      <c r="I158" t="str">
        <f t="shared" si="77"/>
        <v>3</v>
      </c>
      <c r="J158" s="18">
        <f>VLOOKUP(E158,Katalog!$C$3:$F$13,2,0)</f>
        <v>200000</v>
      </c>
      <c r="K158" s="18">
        <f>VLOOKUP(E158,Katalog!$C$3:$F$13,3,0)</f>
        <v>100000</v>
      </c>
      <c r="L158" t="str">
        <f t="shared" si="78"/>
        <v>-</v>
      </c>
      <c r="M158" t="str">
        <f>IFERROR(INDEX(Katalog!$B$4:$B$13,MATCH('Main Data'!L158,Katalog!$C$4:$C$13,0)), "-")</f>
        <v>-</v>
      </c>
      <c r="N158" t="str">
        <f>IFERROR(VLOOKUP(L158,Katalog!$A$15:$B$25,2,0),"-")</f>
        <v>-</v>
      </c>
      <c r="O158">
        <f t="shared" si="79"/>
        <v>0</v>
      </c>
      <c r="P158" t="str">
        <f t="shared" si="80"/>
        <v>-</v>
      </c>
      <c r="Q158" s="18">
        <f>IFERROR(VLOOKUP(L158,Katalog!$C$3:$F$13,2,0),0)</f>
        <v>0</v>
      </c>
      <c r="R158" s="18">
        <f>IFERROR(VLOOKUP(L158,Katalog!$C$3:$F$13,3,0),0)</f>
        <v>0</v>
      </c>
      <c r="S158" t="str">
        <f t="shared" si="81"/>
        <v>-</v>
      </c>
      <c r="T158" t="str">
        <f>IFERROR(INDEX(Katalog!$B$4:$B$13,MATCH('Main Data'!S158,Katalog!$C$4:$C$13,0)),"-")</f>
        <v>-</v>
      </c>
      <c r="U158" t="str">
        <f>IFERROR(VLOOKUP(S158,Katalog!$A$15:$B$25,2,0),"-")</f>
        <v>-</v>
      </c>
      <c r="V158">
        <f t="shared" si="82"/>
        <v>0</v>
      </c>
      <c r="W158" s="28" t="str">
        <f t="shared" si="83"/>
        <v>-</v>
      </c>
      <c r="X158" s="18">
        <f>IFERROR(VLOOKUP(S158,Katalog!$C$3:$F$13,2,0),0)</f>
        <v>0</v>
      </c>
      <c r="Y158" s="30">
        <f>IFERROR(VLOOKUP(S158,Katalog!$C$3:$F$13,3,0),0)</f>
        <v>0</v>
      </c>
      <c r="Z158" s="2">
        <f t="shared" si="84"/>
        <v>4</v>
      </c>
      <c r="AA158" s="4">
        <f t="shared" si="85"/>
        <v>800000</v>
      </c>
      <c r="AB158" s="4">
        <f t="shared" si="86"/>
        <v>400000</v>
      </c>
      <c r="AC158" s="4" t="s">
        <v>10</v>
      </c>
      <c r="AD158" s="16">
        <f>IFERROR(VLOOKUP(AC158,'Kode Diskon'!$C$2:$D$9,2,0),0)</f>
        <v>0</v>
      </c>
      <c r="AE158" s="31">
        <f t="shared" si="87"/>
        <v>0</v>
      </c>
      <c r="AF158" s="31">
        <f t="shared" si="88"/>
        <v>800000</v>
      </c>
      <c r="AG158" s="31">
        <f t="shared" si="89"/>
        <v>400000</v>
      </c>
      <c r="AH158" s="31">
        <f t="shared" si="90"/>
        <v>400000</v>
      </c>
      <c r="AI158" s="4" t="s">
        <v>10</v>
      </c>
      <c r="AJ158" s="4" t="s">
        <v>6</v>
      </c>
      <c r="AK158" s="4" t="str">
        <f>IFERROR(VLOOKUP(AJ158,'Guide '!$A$13:$B$16,2,0),"-")</f>
        <v>SP</v>
      </c>
      <c r="AL158" s="4" t="s">
        <v>921</v>
      </c>
      <c r="AM158" s="40">
        <v>45351</v>
      </c>
      <c r="AN158">
        <f t="shared" si="91"/>
        <v>29</v>
      </c>
      <c r="AO158">
        <f t="shared" si="92"/>
        <v>32</v>
      </c>
      <c r="AP158">
        <f t="shared" si="93"/>
        <v>40</v>
      </c>
      <c r="AQ158">
        <f t="shared" si="94"/>
        <v>43</v>
      </c>
      <c r="AR158" s="26" t="str">
        <f t="shared" si="95"/>
        <v>-</v>
      </c>
      <c r="AS158" s="26" t="str">
        <f t="shared" si="96"/>
        <v>-</v>
      </c>
      <c r="AT158" s="21">
        <f t="shared" si="97"/>
        <v>12</v>
      </c>
      <c r="AU158" s="21">
        <f t="shared" si="98"/>
        <v>19</v>
      </c>
      <c r="AV158" t="str">
        <f t="shared" si="99"/>
        <v>-</v>
      </c>
      <c r="AW158" t="str">
        <f t="shared" si="100"/>
        <v>-</v>
      </c>
      <c r="AX158" t="str">
        <f t="shared" si="101"/>
        <v>-</v>
      </c>
      <c r="AY158" t="str">
        <f t="shared" si="102"/>
        <v>-</v>
      </c>
      <c r="AZ158" t="str">
        <f t="shared" si="103"/>
        <v>-</v>
      </c>
      <c r="BA158" t="str">
        <f t="shared" si="104"/>
        <v>-</v>
      </c>
      <c r="BB158" t="str">
        <f t="shared" si="105"/>
        <v>-</v>
      </c>
      <c r="BC158" t="str">
        <f t="shared" si="106"/>
        <v>-</v>
      </c>
      <c r="BD158" s="29" t="str">
        <f t="shared" si="107"/>
        <v>-</v>
      </c>
      <c r="BE158" s="29" t="str">
        <f t="shared" si="108"/>
        <v>-</v>
      </c>
    </row>
    <row r="159" spans="1:57" ht="15" x14ac:dyDescent="0.2">
      <c r="A159" s="2">
        <v>229</v>
      </c>
      <c r="B159" s="2" t="str">
        <f t="shared" si="73"/>
        <v>0229</v>
      </c>
      <c r="C159" t="str">
        <f t="shared" si="74"/>
        <v>ORD-SP-0229-01/03/24</v>
      </c>
      <c r="D159" s="3" t="s">
        <v>295</v>
      </c>
      <c r="E159" t="str">
        <f t="shared" si="75"/>
        <v>PP002</v>
      </c>
      <c r="F159" t="str">
        <f>INDEX(Katalog!$B$4:$B$13,MATCH('Main Data'!E159,Katalog!$C$4:$C$13,0))</f>
        <v>Celana Pendek</v>
      </c>
      <c r="G159" t="str">
        <f>VLOOKUP(E159,Katalog!$A$15:$B$25,2,0)</f>
        <v>Pakaian Pria</v>
      </c>
      <c r="H159" t="str">
        <f t="shared" si="76"/>
        <v>2</v>
      </c>
      <c r="I159" t="str">
        <f t="shared" si="77"/>
        <v>1</v>
      </c>
      <c r="J159" s="18">
        <f>VLOOKUP(E159,Katalog!$C$3:$F$13,2,0)</f>
        <v>60000</v>
      </c>
      <c r="K159" s="18">
        <f>VLOOKUP(E159,Katalog!$C$3:$F$13,3,0)</f>
        <v>25000</v>
      </c>
      <c r="L159" t="str">
        <f t="shared" si="78"/>
        <v>SP001</v>
      </c>
      <c r="M159" t="str">
        <f>IFERROR(INDEX(Katalog!$B$4:$B$13,MATCH('Main Data'!L159,Katalog!$C$4:$C$13,0)), "-")</f>
        <v>Sneakers</v>
      </c>
      <c r="N159" t="str">
        <f>IFERROR(VLOOKUP(L159,Katalog!$A$15:$B$25,2,0),"-")</f>
        <v>Sepatu Pria</v>
      </c>
      <c r="O159" t="str">
        <f t="shared" si="79"/>
        <v>2</v>
      </c>
      <c r="P159" t="str">
        <f t="shared" si="80"/>
        <v>1</v>
      </c>
      <c r="Q159" s="18">
        <f>IFERROR(VLOOKUP(L159,Katalog!$C$3:$F$13,2,0),0)</f>
        <v>300000</v>
      </c>
      <c r="R159" s="18">
        <f>IFERROR(VLOOKUP(L159,Katalog!$C$3:$F$13,3,0),0)</f>
        <v>100000</v>
      </c>
      <c r="S159" t="str">
        <f t="shared" si="81"/>
        <v>SP002</v>
      </c>
      <c r="T159" t="str">
        <f>IFERROR(INDEX(Katalog!$B$4:$B$13,MATCH('Main Data'!S159,Katalog!$C$4:$C$13,0)),"-")</f>
        <v>Sandal Slip On</v>
      </c>
      <c r="U159" t="str">
        <f>IFERROR(VLOOKUP(S159,Katalog!$A$15:$B$25,2,0),"-")</f>
        <v>Sepatu Pria</v>
      </c>
      <c r="V159" t="str">
        <f t="shared" si="82"/>
        <v>1</v>
      </c>
      <c r="W159" s="28" t="str">
        <f t="shared" si="83"/>
        <v>1</v>
      </c>
      <c r="X159" s="18">
        <f>IFERROR(VLOOKUP(S159,Katalog!$C$3:$F$13,2,0),0)</f>
        <v>120000</v>
      </c>
      <c r="Y159" s="30">
        <f>IFERROR(VLOOKUP(S159,Katalog!$C$3:$F$13,3,0),0)</f>
        <v>60000</v>
      </c>
      <c r="Z159" s="2">
        <f t="shared" si="84"/>
        <v>5</v>
      </c>
      <c r="AA159" s="4">
        <f t="shared" si="85"/>
        <v>840000</v>
      </c>
      <c r="AB159" s="4">
        <f t="shared" si="86"/>
        <v>310000</v>
      </c>
      <c r="AC159" s="4" t="s">
        <v>7</v>
      </c>
      <c r="AD159" s="16">
        <f>IFERROR(VLOOKUP(AC159,'Kode Diskon'!$C$2:$D$9,2,0),0)</f>
        <v>0.2</v>
      </c>
      <c r="AE159" s="31">
        <f t="shared" si="87"/>
        <v>168000</v>
      </c>
      <c r="AF159" s="31">
        <f t="shared" si="88"/>
        <v>672000</v>
      </c>
      <c r="AG159" s="31">
        <f t="shared" si="89"/>
        <v>530000</v>
      </c>
      <c r="AH159" s="31">
        <f t="shared" si="90"/>
        <v>362000</v>
      </c>
      <c r="AI159" s="4" t="s">
        <v>8</v>
      </c>
      <c r="AJ159" s="4" t="s">
        <v>6</v>
      </c>
      <c r="AK159" s="4" t="str">
        <f>IFERROR(VLOOKUP(AJ159,'Guide '!$A$13:$B$16,2,0),"-")</f>
        <v>SP</v>
      </c>
      <c r="AL159" s="4" t="s">
        <v>921</v>
      </c>
      <c r="AM159" s="40">
        <v>45352</v>
      </c>
      <c r="AN159">
        <f t="shared" si="91"/>
        <v>29</v>
      </c>
      <c r="AO159">
        <f t="shared" si="92"/>
        <v>32</v>
      </c>
      <c r="AP159">
        <f t="shared" si="93"/>
        <v>40</v>
      </c>
      <c r="AQ159">
        <f t="shared" si="94"/>
        <v>43</v>
      </c>
      <c r="AR159" s="26">
        <f t="shared" si="95"/>
        <v>56</v>
      </c>
      <c r="AS159" s="26">
        <f t="shared" si="96"/>
        <v>63</v>
      </c>
      <c r="AT159" s="21">
        <f t="shared" si="97"/>
        <v>12</v>
      </c>
      <c r="AU159" s="21">
        <f t="shared" si="98"/>
        <v>19</v>
      </c>
      <c r="AV159">
        <f t="shared" si="99"/>
        <v>73</v>
      </c>
      <c r="AW159">
        <f t="shared" si="100"/>
        <v>76</v>
      </c>
      <c r="AX159">
        <f t="shared" si="101"/>
        <v>84</v>
      </c>
      <c r="AY159">
        <f t="shared" si="102"/>
        <v>87</v>
      </c>
      <c r="AZ159">
        <f t="shared" si="103"/>
        <v>100</v>
      </c>
      <c r="BA159">
        <f t="shared" si="104"/>
        <v>107</v>
      </c>
      <c r="BB159">
        <f t="shared" si="105"/>
        <v>117</v>
      </c>
      <c r="BC159">
        <f t="shared" si="106"/>
        <v>120</v>
      </c>
      <c r="BD159" s="29">
        <f t="shared" si="107"/>
        <v>128</v>
      </c>
      <c r="BE159" s="29">
        <f t="shared" si="108"/>
        <v>131</v>
      </c>
    </row>
    <row r="160" spans="1:57" ht="15" x14ac:dyDescent="0.2">
      <c r="A160" s="2">
        <v>288</v>
      </c>
      <c r="B160" s="2" t="str">
        <f t="shared" si="73"/>
        <v>0288</v>
      </c>
      <c r="C160" t="str">
        <f t="shared" si="74"/>
        <v>ORD-SP-0288-01/03/24</v>
      </c>
      <c r="D160" s="3" t="s">
        <v>344</v>
      </c>
      <c r="E160" t="str">
        <f t="shared" si="75"/>
        <v>PW003</v>
      </c>
      <c r="F160" t="str">
        <f>INDEX(Katalog!$B$4:$B$13,MATCH('Main Data'!E160,Katalog!$C$4:$C$13,0))</f>
        <v>Kaftan</v>
      </c>
      <c r="G160" t="str">
        <f>VLOOKUP(E160,Katalog!$A$15:$B$25,2,0)</f>
        <v>Pakaian Wanita</v>
      </c>
      <c r="H160" t="str">
        <f t="shared" si="76"/>
        <v>2</v>
      </c>
      <c r="I160" t="str">
        <f t="shared" si="77"/>
        <v>2</v>
      </c>
      <c r="J160" s="18">
        <f>VLOOKUP(E160,Katalog!$C$3:$F$13,2,0)</f>
        <v>200000</v>
      </c>
      <c r="K160" s="18">
        <f>VLOOKUP(E160,Katalog!$C$3:$F$13,3,0)</f>
        <v>100000</v>
      </c>
      <c r="L160" t="str">
        <f t="shared" si="78"/>
        <v>PP003</v>
      </c>
      <c r="M160" t="str">
        <f>IFERROR(INDEX(Katalog!$B$4:$B$13,MATCH('Main Data'!L160,Katalog!$C$4:$C$13,0)), "-")</f>
        <v>Jaket Jeans</v>
      </c>
      <c r="N160" t="str">
        <f>IFERROR(VLOOKUP(L160,Katalog!$A$15:$B$25,2,0),"-")</f>
        <v>Pakaian Pria</v>
      </c>
      <c r="O160" t="str">
        <f t="shared" si="79"/>
        <v>1</v>
      </c>
      <c r="P160" t="str">
        <f t="shared" si="80"/>
        <v>4</v>
      </c>
      <c r="Q160" s="18">
        <f>IFERROR(VLOOKUP(L160,Katalog!$C$3:$F$13,2,0),0)</f>
        <v>150000</v>
      </c>
      <c r="R160" s="18">
        <f>IFERROR(VLOOKUP(L160,Katalog!$C$3:$F$13,3,0),0)</f>
        <v>70000</v>
      </c>
      <c r="S160" t="str">
        <f t="shared" si="81"/>
        <v>-</v>
      </c>
      <c r="T160" t="str">
        <f>IFERROR(INDEX(Katalog!$B$4:$B$13,MATCH('Main Data'!S160,Katalog!$C$4:$C$13,0)),"-")</f>
        <v>-</v>
      </c>
      <c r="U160" t="str">
        <f>IFERROR(VLOOKUP(S160,Katalog!$A$15:$B$25,2,0),"-")</f>
        <v>-</v>
      </c>
      <c r="V160">
        <f t="shared" si="82"/>
        <v>0</v>
      </c>
      <c r="W160" s="28" t="str">
        <f t="shared" si="83"/>
        <v>-</v>
      </c>
      <c r="X160" s="18">
        <f>IFERROR(VLOOKUP(S160,Katalog!$C$3:$F$13,2,0),0)</f>
        <v>0</v>
      </c>
      <c r="Y160" s="30">
        <f>IFERROR(VLOOKUP(S160,Katalog!$C$3:$F$13,3,0),0)</f>
        <v>0</v>
      </c>
      <c r="Z160" s="2">
        <f t="shared" si="84"/>
        <v>3</v>
      </c>
      <c r="AA160" s="4">
        <f t="shared" si="85"/>
        <v>550000</v>
      </c>
      <c r="AB160" s="4">
        <f t="shared" si="86"/>
        <v>270000</v>
      </c>
      <c r="AC160" s="4" t="s">
        <v>5</v>
      </c>
      <c r="AD160" s="16">
        <f>IFERROR(VLOOKUP(AC160,'Kode Diskon'!$C$2:$D$9,2,0),0)</f>
        <v>0.1</v>
      </c>
      <c r="AE160" s="31">
        <f t="shared" si="87"/>
        <v>55000</v>
      </c>
      <c r="AF160" s="31">
        <f t="shared" si="88"/>
        <v>495000</v>
      </c>
      <c r="AG160" s="31">
        <f t="shared" si="89"/>
        <v>280000</v>
      </c>
      <c r="AH160" s="31">
        <f t="shared" si="90"/>
        <v>225000</v>
      </c>
      <c r="AI160" s="4" t="s">
        <v>28</v>
      </c>
      <c r="AJ160" s="4" t="s">
        <v>6</v>
      </c>
      <c r="AK160" s="4" t="str">
        <f>IFERROR(VLOOKUP(AJ160,'Guide '!$A$13:$B$16,2,0),"-")</f>
        <v>SP</v>
      </c>
      <c r="AL160" s="4" t="s">
        <v>924</v>
      </c>
      <c r="AM160" s="40">
        <v>45352</v>
      </c>
      <c r="AN160">
        <f t="shared" si="91"/>
        <v>29</v>
      </c>
      <c r="AO160">
        <f t="shared" si="92"/>
        <v>32</v>
      </c>
      <c r="AP160">
        <f t="shared" si="93"/>
        <v>40</v>
      </c>
      <c r="AQ160">
        <f t="shared" si="94"/>
        <v>43</v>
      </c>
      <c r="AR160" s="26">
        <f t="shared" si="95"/>
        <v>56</v>
      </c>
      <c r="AS160" s="26">
        <f t="shared" si="96"/>
        <v>63</v>
      </c>
      <c r="AT160" s="21">
        <f t="shared" si="97"/>
        <v>12</v>
      </c>
      <c r="AU160" s="21">
        <f t="shared" si="98"/>
        <v>19</v>
      </c>
      <c r="AV160">
        <f t="shared" si="99"/>
        <v>73</v>
      </c>
      <c r="AW160">
        <f t="shared" si="100"/>
        <v>76</v>
      </c>
      <c r="AX160">
        <f t="shared" si="101"/>
        <v>84</v>
      </c>
      <c r="AY160">
        <f t="shared" si="102"/>
        <v>87</v>
      </c>
      <c r="AZ160" t="str">
        <f t="shared" si="103"/>
        <v>-</v>
      </c>
      <c r="BA160" t="str">
        <f t="shared" si="104"/>
        <v>-</v>
      </c>
      <c r="BB160" t="str">
        <f t="shared" si="105"/>
        <v>-</v>
      </c>
      <c r="BC160" t="str">
        <f t="shared" si="106"/>
        <v>-</v>
      </c>
      <c r="BD160" s="29" t="str">
        <f t="shared" si="107"/>
        <v>-</v>
      </c>
      <c r="BE160" s="29" t="str">
        <f t="shared" si="108"/>
        <v>-</v>
      </c>
    </row>
    <row r="161" spans="1:57" ht="15" x14ac:dyDescent="0.2">
      <c r="A161" s="2">
        <v>621</v>
      </c>
      <c r="B161" s="2" t="str">
        <f t="shared" si="73"/>
        <v>0621</v>
      </c>
      <c r="C161" t="str">
        <f t="shared" si="74"/>
        <v>ORD-SP-0621-01/03/24</v>
      </c>
      <c r="D161" s="3" t="s">
        <v>630</v>
      </c>
      <c r="E161" t="str">
        <f t="shared" si="75"/>
        <v>SW001</v>
      </c>
      <c r="F161" t="str">
        <f>INDEX(Katalog!$B$4:$B$13,MATCH('Main Data'!E161,Katalog!$C$4:$C$13,0))</f>
        <v>Flat Shoes</v>
      </c>
      <c r="G161" t="str">
        <f>VLOOKUP(E161,Katalog!$A$15:$B$25,2,0)</f>
        <v>Sepatu Wanita</v>
      </c>
      <c r="H161" t="str">
        <f t="shared" si="76"/>
        <v>7</v>
      </c>
      <c r="I161" t="str">
        <f t="shared" si="77"/>
        <v>4</v>
      </c>
      <c r="J161" s="18">
        <f>VLOOKUP(E161,Katalog!$C$3:$F$13,2,0)</f>
        <v>150000</v>
      </c>
      <c r="K161" s="18">
        <f>VLOOKUP(E161,Katalog!$C$3:$F$13,3,0)</f>
        <v>70000</v>
      </c>
      <c r="L161" t="str">
        <f t="shared" si="78"/>
        <v>-</v>
      </c>
      <c r="M161" t="str">
        <f>IFERROR(INDEX(Katalog!$B$4:$B$13,MATCH('Main Data'!L161,Katalog!$C$4:$C$13,0)), "-")</f>
        <v>-</v>
      </c>
      <c r="N161" t="str">
        <f>IFERROR(VLOOKUP(L161,Katalog!$A$15:$B$25,2,0),"-")</f>
        <v>-</v>
      </c>
      <c r="O161">
        <f t="shared" si="79"/>
        <v>0</v>
      </c>
      <c r="P161" t="str">
        <f t="shared" si="80"/>
        <v>-</v>
      </c>
      <c r="Q161" s="18">
        <f>IFERROR(VLOOKUP(L161,Katalog!$C$3:$F$13,2,0),0)</f>
        <v>0</v>
      </c>
      <c r="R161" s="18">
        <f>IFERROR(VLOOKUP(L161,Katalog!$C$3:$F$13,3,0),0)</f>
        <v>0</v>
      </c>
      <c r="S161" t="str">
        <f t="shared" si="81"/>
        <v>-</v>
      </c>
      <c r="T161" t="str">
        <f>IFERROR(INDEX(Katalog!$B$4:$B$13,MATCH('Main Data'!S161,Katalog!$C$4:$C$13,0)),"-")</f>
        <v>-</v>
      </c>
      <c r="U161" t="str">
        <f>IFERROR(VLOOKUP(S161,Katalog!$A$15:$B$25,2,0),"-")</f>
        <v>-</v>
      </c>
      <c r="V161">
        <f t="shared" si="82"/>
        <v>0</v>
      </c>
      <c r="W161" s="28" t="str">
        <f t="shared" si="83"/>
        <v>-</v>
      </c>
      <c r="X161" s="18">
        <f>IFERROR(VLOOKUP(S161,Katalog!$C$3:$F$13,2,0),0)</f>
        <v>0</v>
      </c>
      <c r="Y161" s="30">
        <f>IFERROR(VLOOKUP(S161,Katalog!$C$3:$F$13,3,0),0)</f>
        <v>0</v>
      </c>
      <c r="Z161" s="2">
        <f t="shared" si="84"/>
        <v>7</v>
      </c>
      <c r="AA161" s="4">
        <f t="shared" si="85"/>
        <v>1050000</v>
      </c>
      <c r="AB161" s="4">
        <f t="shared" si="86"/>
        <v>490000</v>
      </c>
      <c r="AC161" s="4" t="s">
        <v>12</v>
      </c>
      <c r="AD161" s="16">
        <f>IFERROR(VLOOKUP(AC161,'Kode Diskon'!$C$2:$D$9,2,0),0)</f>
        <v>0.15</v>
      </c>
      <c r="AE161" s="31">
        <f t="shared" si="87"/>
        <v>157500</v>
      </c>
      <c r="AF161" s="31">
        <f t="shared" si="88"/>
        <v>892500</v>
      </c>
      <c r="AG161" s="31">
        <f t="shared" si="89"/>
        <v>560000</v>
      </c>
      <c r="AH161" s="31">
        <f t="shared" si="90"/>
        <v>402500</v>
      </c>
      <c r="AI161" s="4" t="s">
        <v>28</v>
      </c>
      <c r="AJ161" s="4" t="s">
        <v>6</v>
      </c>
      <c r="AK161" s="4" t="str">
        <f>IFERROR(VLOOKUP(AJ161,'Guide '!$A$13:$B$16,2,0),"-")</f>
        <v>SP</v>
      </c>
      <c r="AL161" s="4" t="s">
        <v>1006</v>
      </c>
      <c r="AM161" s="40">
        <v>45352</v>
      </c>
      <c r="AN161">
        <f t="shared" si="91"/>
        <v>29</v>
      </c>
      <c r="AO161">
        <f t="shared" si="92"/>
        <v>32</v>
      </c>
      <c r="AP161">
        <f t="shared" si="93"/>
        <v>40</v>
      </c>
      <c r="AQ161">
        <f t="shared" si="94"/>
        <v>43</v>
      </c>
      <c r="AR161" s="26" t="str">
        <f t="shared" si="95"/>
        <v>-</v>
      </c>
      <c r="AS161" s="26" t="str">
        <f t="shared" si="96"/>
        <v>-</v>
      </c>
      <c r="AT161" s="21">
        <f t="shared" si="97"/>
        <v>12</v>
      </c>
      <c r="AU161" s="21">
        <f t="shared" si="98"/>
        <v>19</v>
      </c>
      <c r="AV161" t="str">
        <f t="shared" si="99"/>
        <v>-</v>
      </c>
      <c r="AW161" t="str">
        <f t="shared" si="100"/>
        <v>-</v>
      </c>
      <c r="AX161" t="str">
        <f t="shared" si="101"/>
        <v>-</v>
      </c>
      <c r="AY161" t="str">
        <f t="shared" si="102"/>
        <v>-</v>
      </c>
      <c r="AZ161" t="str">
        <f t="shared" si="103"/>
        <v>-</v>
      </c>
      <c r="BA161" t="str">
        <f t="shared" si="104"/>
        <v>-</v>
      </c>
      <c r="BB161" t="str">
        <f t="shared" si="105"/>
        <v>-</v>
      </c>
      <c r="BC161" t="str">
        <f t="shared" si="106"/>
        <v>-</v>
      </c>
      <c r="BD161" s="29" t="str">
        <f t="shared" si="107"/>
        <v>-</v>
      </c>
      <c r="BE161" s="29" t="str">
        <f t="shared" si="108"/>
        <v>-</v>
      </c>
    </row>
    <row r="162" spans="1:57" ht="15" x14ac:dyDescent="0.2">
      <c r="A162" s="2">
        <v>633</v>
      </c>
      <c r="B162" s="2" t="str">
        <f t="shared" si="73"/>
        <v>0633</v>
      </c>
      <c r="C162" t="str">
        <f t="shared" si="74"/>
        <v>ORD-BL-0633-01/03/24</v>
      </c>
      <c r="D162" s="3" t="s">
        <v>642</v>
      </c>
      <c r="E162" t="str">
        <f t="shared" si="75"/>
        <v>PW002</v>
      </c>
      <c r="F162" t="str">
        <f>INDEX(Katalog!$B$4:$B$13,MATCH('Main Data'!E162,Katalog!$C$4:$C$13,0))</f>
        <v>Blouse</v>
      </c>
      <c r="G162" t="str">
        <f>VLOOKUP(E162,Katalog!$A$15:$B$25,2,0)</f>
        <v>Pakaian Wanita</v>
      </c>
      <c r="H162" t="str">
        <f t="shared" si="76"/>
        <v>1</v>
      </c>
      <c r="I162" t="str">
        <f t="shared" si="77"/>
        <v>5</v>
      </c>
      <c r="J162" s="18">
        <f>VLOOKUP(E162,Katalog!$C$3:$F$13,2,0)</f>
        <v>125000</v>
      </c>
      <c r="K162" s="18">
        <f>VLOOKUP(E162,Katalog!$C$3:$F$13,3,0)</f>
        <v>50000</v>
      </c>
      <c r="L162" t="str">
        <f t="shared" si="78"/>
        <v>PP003</v>
      </c>
      <c r="M162" t="str">
        <f>IFERROR(INDEX(Katalog!$B$4:$B$13,MATCH('Main Data'!L162,Katalog!$C$4:$C$13,0)), "-")</f>
        <v>Jaket Jeans</v>
      </c>
      <c r="N162" t="str">
        <f>IFERROR(VLOOKUP(L162,Katalog!$A$15:$B$25,2,0),"-")</f>
        <v>Pakaian Pria</v>
      </c>
      <c r="O162" t="str">
        <f t="shared" si="79"/>
        <v>1</v>
      </c>
      <c r="P162" t="str">
        <f t="shared" si="80"/>
        <v>5</v>
      </c>
      <c r="Q162" s="18">
        <f>IFERROR(VLOOKUP(L162,Katalog!$C$3:$F$13,2,0),0)</f>
        <v>150000</v>
      </c>
      <c r="R162" s="18">
        <f>IFERROR(VLOOKUP(L162,Katalog!$C$3:$F$13,3,0),0)</f>
        <v>70000</v>
      </c>
      <c r="S162" t="str">
        <f t="shared" si="81"/>
        <v>-</v>
      </c>
      <c r="T162" t="str">
        <f>IFERROR(INDEX(Katalog!$B$4:$B$13,MATCH('Main Data'!S162,Katalog!$C$4:$C$13,0)),"-")</f>
        <v>-</v>
      </c>
      <c r="U162" t="str">
        <f>IFERROR(VLOOKUP(S162,Katalog!$A$15:$B$25,2,0),"-")</f>
        <v>-</v>
      </c>
      <c r="V162">
        <f t="shared" si="82"/>
        <v>0</v>
      </c>
      <c r="W162" s="28" t="str">
        <f t="shared" si="83"/>
        <v>-</v>
      </c>
      <c r="X162" s="18">
        <f>IFERROR(VLOOKUP(S162,Katalog!$C$3:$F$13,2,0),0)</f>
        <v>0</v>
      </c>
      <c r="Y162" s="30">
        <f>IFERROR(VLOOKUP(S162,Katalog!$C$3:$F$13,3,0),0)</f>
        <v>0</v>
      </c>
      <c r="Z162" s="2">
        <f t="shared" si="84"/>
        <v>2</v>
      </c>
      <c r="AA162" s="4">
        <f t="shared" si="85"/>
        <v>275000</v>
      </c>
      <c r="AB162" s="4">
        <f t="shared" si="86"/>
        <v>120000</v>
      </c>
      <c r="AC162" s="4" t="s">
        <v>10</v>
      </c>
      <c r="AD162" s="16">
        <f>IFERROR(VLOOKUP(AC162,'Kode Diskon'!$C$2:$D$9,2,0),0)</f>
        <v>0</v>
      </c>
      <c r="AE162" s="31">
        <f t="shared" si="87"/>
        <v>0</v>
      </c>
      <c r="AF162" s="31">
        <f t="shared" si="88"/>
        <v>275000</v>
      </c>
      <c r="AG162" s="31">
        <f t="shared" si="89"/>
        <v>155000</v>
      </c>
      <c r="AH162" s="31">
        <f t="shared" si="90"/>
        <v>155000</v>
      </c>
      <c r="AI162" s="4" t="s">
        <v>10</v>
      </c>
      <c r="AJ162" s="4" t="s">
        <v>11</v>
      </c>
      <c r="AK162" s="4" t="str">
        <f>IFERROR(VLOOKUP(AJ162,'Guide '!$A$13:$B$16,2,0),"-")</f>
        <v>BL</v>
      </c>
      <c r="AL162" s="4" t="s">
        <v>924</v>
      </c>
      <c r="AM162" s="40">
        <v>45352</v>
      </c>
      <c r="AN162">
        <f t="shared" si="91"/>
        <v>29</v>
      </c>
      <c r="AO162">
        <f t="shared" si="92"/>
        <v>32</v>
      </c>
      <c r="AP162">
        <f t="shared" si="93"/>
        <v>40</v>
      </c>
      <c r="AQ162">
        <f t="shared" si="94"/>
        <v>43</v>
      </c>
      <c r="AR162" s="26">
        <f t="shared" si="95"/>
        <v>56</v>
      </c>
      <c r="AS162" s="26">
        <f t="shared" si="96"/>
        <v>63</v>
      </c>
      <c r="AT162" s="21">
        <f t="shared" si="97"/>
        <v>12</v>
      </c>
      <c r="AU162" s="21">
        <f t="shared" si="98"/>
        <v>19</v>
      </c>
      <c r="AV162">
        <f t="shared" si="99"/>
        <v>73</v>
      </c>
      <c r="AW162">
        <f t="shared" si="100"/>
        <v>76</v>
      </c>
      <c r="AX162">
        <f t="shared" si="101"/>
        <v>84</v>
      </c>
      <c r="AY162">
        <f t="shared" si="102"/>
        <v>87</v>
      </c>
      <c r="AZ162" t="str">
        <f t="shared" si="103"/>
        <v>-</v>
      </c>
      <c r="BA162" t="str">
        <f t="shared" si="104"/>
        <v>-</v>
      </c>
      <c r="BB162" t="str">
        <f t="shared" si="105"/>
        <v>-</v>
      </c>
      <c r="BC162" t="str">
        <f t="shared" si="106"/>
        <v>-</v>
      </c>
      <c r="BD162" s="29" t="str">
        <f t="shared" si="107"/>
        <v>-</v>
      </c>
      <c r="BE162" s="29" t="str">
        <f t="shared" si="108"/>
        <v>-</v>
      </c>
    </row>
    <row r="163" spans="1:57" ht="15" x14ac:dyDescent="0.2">
      <c r="A163" s="2">
        <v>654</v>
      </c>
      <c r="B163" s="2" t="str">
        <f t="shared" si="73"/>
        <v>0654</v>
      </c>
      <c r="C163" t="str">
        <f t="shared" si="74"/>
        <v>ORD-SP-0654-01/03/24</v>
      </c>
      <c r="D163" s="3" t="s">
        <v>503</v>
      </c>
      <c r="E163" t="str">
        <f t="shared" si="75"/>
        <v>SW001</v>
      </c>
      <c r="F163" t="str">
        <f>INDEX(Katalog!$B$4:$B$13,MATCH('Main Data'!E163,Katalog!$C$4:$C$13,0))</f>
        <v>Flat Shoes</v>
      </c>
      <c r="G163" t="str">
        <f>VLOOKUP(E163,Katalog!$A$15:$B$25,2,0)</f>
        <v>Sepatu Wanita</v>
      </c>
      <c r="H163" t="str">
        <f t="shared" si="76"/>
        <v>1</v>
      </c>
      <c r="I163" t="str">
        <f t="shared" si="77"/>
        <v>2</v>
      </c>
      <c r="J163" s="18">
        <f>VLOOKUP(E163,Katalog!$C$3:$F$13,2,0)</f>
        <v>150000</v>
      </c>
      <c r="K163" s="18">
        <f>VLOOKUP(E163,Katalog!$C$3:$F$13,3,0)</f>
        <v>70000</v>
      </c>
      <c r="L163" t="str">
        <f t="shared" si="78"/>
        <v>-</v>
      </c>
      <c r="M163" t="str">
        <f>IFERROR(INDEX(Katalog!$B$4:$B$13,MATCH('Main Data'!L163,Katalog!$C$4:$C$13,0)), "-")</f>
        <v>-</v>
      </c>
      <c r="N163" t="str">
        <f>IFERROR(VLOOKUP(L163,Katalog!$A$15:$B$25,2,0),"-")</f>
        <v>-</v>
      </c>
      <c r="O163">
        <f t="shared" si="79"/>
        <v>0</v>
      </c>
      <c r="P163" t="str">
        <f t="shared" si="80"/>
        <v>-</v>
      </c>
      <c r="Q163" s="18">
        <f>IFERROR(VLOOKUP(L163,Katalog!$C$3:$F$13,2,0),0)</f>
        <v>0</v>
      </c>
      <c r="R163" s="18">
        <f>IFERROR(VLOOKUP(L163,Katalog!$C$3:$F$13,3,0),0)</f>
        <v>0</v>
      </c>
      <c r="S163" t="str">
        <f t="shared" si="81"/>
        <v>-</v>
      </c>
      <c r="T163" t="str">
        <f>IFERROR(INDEX(Katalog!$B$4:$B$13,MATCH('Main Data'!S163,Katalog!$C$4:$C$13,0)),"-")</f>
        <v>-</v>
      </c>
      <c r="U163" t="str">
        <f>IFERROR(VLOOKUP(S163,Katalog!$A$15:$B$25,2,0),"-")</f>
        <v>-</v>
      </c>
      <c r="V163">
        <f t="shared" si="82"/>
        <v>0</v>
      </c>
      <c r="W163" s="28" t="str">
        <f t="shared" si="83"/>
        <v>-</v>
      </c>
      <c r="X163" s="18">
        <f>IFERROR(VLOOKUP(S163,Katalog!$C$3:$F$13,2,0),0)</f>
        <v>0</v>
      </c>
      <c r="Y163" s="30">
        <f>IFERROR(VLOOKUP(S163,Katalog!$C$3:$F$13,3,0),0)</f>
        <v>0</v>
      </c>
      <c r="Z163" s="2">
        <f t="shared" si="84"/>
        <v>1</v>
      </c>
      <c r="AA163" s="4">
        <f t="shared" si="85"/>
        <v>150000</v>
      </c>
      <c r="AB163" s="4">
        <f t="shared" si="86"/>
        <v>70000</v>
      </c>
      <c r="AC163" s="4" t="s">
        <v>7</v>
      </c>
      <c r="AD163" s="16">
        <f>IFERROR(VLOOKUP(AC163,'Kode Diskon'!$C$2:$D$9,2,0),0)</f>
        <v>0.2</v>
      </c>
      <c r="AE163" s="31">
        <f t="shared" si="87"/>
        <v>30000</v>
      </c>
      <c r="AF163" s="31">
        <f t="shared" si="88"/>
        <v>120000</v>
      </c>
      <c r="AG163" s="31">
        <f t="shared" si="89"/>
        <v>80000</v>
      </c>
      <c r="AH163" s="31">
        <f t="shared" si="90"/>
        <v>50000</v>
      </c>
      <c r="AI163" s="4" t="s">
        <v>8</v>
      </c>
      <c r="AJ163" s="4" t="s">
        <v>6</v>
      </c>
      <c r="AK163" s="4" t="str">
        <f>IFERROR(VLOOKUP(AJ163,'Guide '!$A$13:$B$16,2,0),"-")</f>
        <v>SP</v>
      </c>
      <c r="AL163" s="4" t="s">
        <v>925</v>
      </c>
      <c r="AM163" s="40">
        <v>45352</v>
      </c>
      <c r="AN163">
        <f t="shared" si="91"/>
        <v>29</v>
      </c>
      <c r="AO163">
        <f t="shared" si="92"/>
        <v>32</v>
      </c>
      <c r="AP163">
        <f t="shared" si="93"/>
        <v>40</v>
      </c>
      <c r="AQ163">
        <f t="shared" si="94"/>
        <v>43</v>
      </c>
      <c r="AR163" s="26" t="str">
        <f t="shared" si="95"/>
        <v>-</v>
      </c>
      <c r="AS163" s="26" t="str">
        <f t="shared" si="96"/>
        <v>-</v>
      </c>
      <c r="AT163" s="21">
        <f t="shared" si="97"/>
        <v>12</v>
      </c>
      <c r="AU163" s="21">
        <f t="shared" si="98"/>
        <v>19</v>
      </c>
      <c r="AV163" t="str">
        <f t="shared" si="99"/>
        <v>-</v>
      </c>
      <c r="AW163" t="str">
        <f t="shared" si="100"/>
        <v>-</v>
      </c>
      <c r="AX163" t="str">
        <f t="shared" si="101"/>
        <v>-</v>
      </c>
      <c r="AY163" t="str">
        <f t="shared" si="102"/>
        <v>-</v>
      </c>
      <c r="AZ163" t="str">
        <f t="shared" si="103"/>
        <v>-</v>
      </c>
      <c r="BA163" t="str">
        <f t="shared" si="104"/>
        <v>-</v>
      </c>
      <c r="BB163" t="str">
        <f t="shared" si="105"/>
        <v>-</v>
      </c>
      <c r="BC163" t="str">
        <f t="shared" si="106"/>
        <v>-</v>
      </c>
      <c r="BD163" s="29" t="str">
        <f t="shared" si="107"/>
        <v>-</v>
      </c>
      <c r="BE163" s="29" t="str">
        <f t="shared" si="108"/>
        <v>-</v>
      </c>
    </row>
    <row r="164" spans="1:57" ht="15" x14ac:dyDescent="0.2">
      <c r="A164" s="2">
        <v>982</v>
      </c>
      <c r="B164" s="2" t="str">
        <f t="shared" si="73"/>
        <v>0982</v>
      </c>
      <c r="C164" t="str">
        <f t="shared" si="74"/>
        <v>ORD-BB-0982-01/03/24</v>
      </c>
      <c r="D164" s="3" t="s">
        <v>905</v>
      </c>
      <c r="E164" t="str">
        <f t="shared" si="75"/>
        <v>PP003</v>
      </c>
      <c r="F164" t="str">
        <f>INDEX(Katalog!$B$4:$B$13,MATCH('Main Data'!E164,Katalog!$C$4:$C$13,0))</f>
        <v>Jaket Jeans</v>
      </c>
      <c r="G164" t="str">
        <f>VLOOKUP(E164,Katalog!$A$15:$B$25,2,0)</f>
        <v>Pakaian Pria</v>
      </c>
      <c r="H164" t="str">
        <f t="shared" si="76"/>
        <v>3</v>
      </c>
      <c r="I164" t="str">
        <f t="shared" si="77"/>
        <v>5</v>
      </c>
      <c r="J164" s="18">
        <f>VLOOKUP(E164,Katalog!$C$3:$F$13,2,0)</f>
        <v>150000</v>
      </c>
      <c r="K164" s="18">
        <f>VLOOKUP(E164,Katalog!$C$3:$F$13,3,0)</f>
        <v>70000</v>
      </c>
      <c r="L164" t="str">
        <f t="shared" si="78"/>
        <v>-</v>
      </c>
      <c r="M164" t="str">
        <f>IFERROR(INDEX(Katalog!$B$4:$B$13,MATCH('Main Data'!L164,Katalog!$C$4:$C$13,0)), "-")</f>
        <v>-</v>
      </c>
      <c r="N164" t="str">
        <f>IFERROR(VLOOKUP(L164,Katalog!$A$15:$B$25,2,0),"-")</f>
        <v>-</v>
      </c>
      <c r="O164">
        <f t="shared" si="79"/>
        <v>0</v>
      </c>
      <c r="P164" t="str">
        <f t="shared" si="80"/>
        <v>-</v>
      </c>
      <c r="Q164" s="18">
        <f>IFERROR(VLOOKUP(L164,Katalog!$C$3:$F$13,2,0),0)</f>
        <v>0</v>
      </c>
      <c r="R164" s="18">
        <f>IFERROR(VLOOKUP(L164,Katalog!$C$3:$F$13,3,0),0)</f>
        <v>0</v>
      </c>
      <c r="S164" t="str">
        <f t="shared" si="81"/>
        <v>-</v>
      </c>
      <c r="T164" t="str">
        <f>IFERROR(INDEX(Katalog!$B$4:$B$13,MATCH('Main Data'!S164,Katalog!$C$4:$C$13,0)),"-")</f>
        <v>-</v>
      </c>
      <c r="U164" t="str">
        <f>IFERROR(VLOOKUP(S164,Katalog!$A$15:$B$25,2,0),"-")</f>
        <v>-</v>
      </c>
      <c r="V164">
        <f t="shared" si="82"/>
        <v>0</v>
      </c>
      <c r="W164" s="28" t="str">
        <f t="shared" si="83"/>
        <v>-</v>
      </c>
      <c r="X164" s="18">
        <f>IFERROR(VLOOKUP(S164,Katalog!$C$3:$F$13,2,0),0)</f>
        <v>0</v>
      </c>
      <c r="Y164" s="30">
        <f>IFERROR(VLOOKUP(S164,Katalog!$C$3:$F$13,3,0),0)</f>
        <v>0</v>
      </c>
      <c r="Z164" s="2">
        <f t="shared" si="84"/>
        <v>3</v>
      </c>
      <c r="AA164" s="4">
        <f t="shared" si="85"/>
        <v>450000</v>
      </c>
      <c r="AB164" s="4">
        <f t="shared" si="86"/>
        <v>210000</v>
      </c>
      <c r="AC164" s="4" t="s">
        <v>27</v>
      </c>
      <c r="AD164" s="16">
        <f>IFERROR(VLOOKUP(AC164,'Kode Diskon'!$C$2:$D$9,2,0),0)</f>
        <v>0.15</v>
      </c>
      <c r="AE164" s="31">
        <f t="shared" si="87"/>
        <v>67500</v>
      </c>
      <c r="AF164" s="31">
        <f t="shared" si="88"/>
        <v>382500</v>
      </c>
      <c r="AG164" s="31">
        <f t="shared" si="89"/>
        <v>240000</v>
      </c>
      <c r="AH164" s="31">
        <f t="shared" si="90"/>
        <v>172500</v>
      </c>
      <c r="AI164" s="4" t="s">
        <v>28</v>
      </c>
      <c r="AJ164" s="4" t="s">
        <v>13</v>
      </c>
      <c r="AK164" s="4" t="str">
        <f>IFERROR(VLOOKUP(AJ164,'Guide '!$A$13:$B$16,2,0),"-")</f>
        <v>BB</v>
      </c>
      <c r="AL164" s="4" t="s">
        <v>921</v>
      </c>
      <c r="AM164" s="40">
        <v>45352</v>
      </c>
      <c r="AN164">
        <f t="shared" si="91"/>
        <v>29</v>
      </c>
      <c r="AO164">
        <f t="shared" si="92"/>
        <v>32</v>
      </c>
      <c r="AP164">
        <f t="shared" si="93"/>
        <v>40</v>
      </c>
      <c r="AQ164">
        <f t="shared" si="94"/>
        <v>43</v>
      </c>
      <c r="AR164" s="26" t="str">
        <f t="shared" si="95"/>
        <v>-</v>
      </c>
      <c r="AS164" s="26" t="str">
        <f t="shared" si="96"/>
        <v>-</v>
      </c>
      <c r="AT164" s="21">
        <f t="shared" si="97"/>
        <v>12</v>
      </c>
      <c r="AU164" s="21">
        <f t="shared" si="98"/>
        <v>19</v>
      </c>
      <c r="AV164" t="str">
        <f t="shared" si="99"/>
        <v>-</v>
      </c>
      <c r="AW164" t="str">
        <f t="shared" si="100"/>
        <v>-</v>
      </c>
      <c r="AX164" t="str">
        <f t="shared" si="101"/>
        <v>-</v>
      </c>
      <c r="AY164" t="str">
        <f t="shared" si="102"/>
        <v>-</v>
      </c>
      <c r="AZ164" t="str">
        <f t="shared" si="103"/>
        <v>-</v>
      </c>
      <c r="BA164" t="str">
        <f t="shared" si="104"/>
        <v>-</v>
      </c>
      <c r="BB164" t="str">
        <f t="shared" si="105"/>
        <v>-</v>
      </c>
      <c r="BC164" t="str">
        <f t="shared" si="106"/>
        <v>-</v>
      </c>
      <c r="BD164" s="29" t="str">
        <f t="shared" si="107"/>
        <v>-</v>
      </c>
      <c r="BE164" s="29" t="str">
        <f t="shared" si="108"/>
        <v>-</v>
      </c>
    </row>
    <row r="165" spans="1:57" ht="15" x14ac:dyDescent="0.2">
      <c r="A165" s="2">
        <v>88</v>
      </c>
      <c r="B165" s="2" t="str">
        <f t="shared" si="73"/>
        <v>0088</v>
      </c>
      <c r="C165" t="str">
        <f t="shared" si="74"/>
        <v>ORD-BL-0088-02/03/24</v>
      </c>
      <c r="D165" s="3" t="s">
        <v>161</v>
      </c>
      <c r="E165" t="str">
        <f t="shared" si="75"/>
        <v>SW001</v>
      </c>
      <c r="F165" t="str">
        <f>INDEX(Katalog!$B$4:$B$13,MATCH('Main Data'!E165,Katalog!$C$4:$C$13,0))</f>
        <v>Flat Shoes</v>
      </c>
      <c r="G165" t="str">
        <f>VLOOKUP(E165,Katalog!$A$15:$B$25,2,0)</f>
        <v>Sepatu Wanita</v>
      </c>
      <c r="H165" t="str">
        <f t="shared" si="76"/>
        <v>2</v>
      </c>
      <c r="I165" t="str">
        <f t="shared" si="77"/>
        <v>3</v>
      </c>
      <c r="J165" s="18">
        <f>VLOOKUP(E165,Katalog!$C$3:$F$13,2,0)</f>
        <v>150000</v>
      </c>
      <c r="K165" s="18">
        <f>VLOOKUP(E165,Katalog!$C$3:$F$13,3,0)</f>
        <v>70000</v>
      </c>
      <c r="L165" t="str">
        <f t="shared" si="78"/>
        <v>PW001</v>
      </c>
      <c r="M165" t="str">
        <f>IFERROR(INDEX(Katalog!$B$4:$B$13,MATCH('Main Data'!L165,Katalog!$C$4:$C$13,0)), "-")</f>
        <v>Dress</v>
      </c>
      <c r="N165" t="str">
        <f>IFERROR(VLOOKUP(L165,Katalog!$A$15:$B$25,2,0),"-")</f>
        <v>Pakaian Wanita</v>
      </c>
      <c r="O165" t="str">
        <f t="shared" si="79"/>
        <v>3</v>
      </c>
      <c r="P165" t="str">
        <f t="shared" si="80"/>
        <v>1</v>
      </c>
      <c r="Q165" s="18">
        <f>IFERROR(VLOOKUP(L165,Katalog!$C$3:$F$13,2,0),0)</f>
        <v>150000</v>
      </c>
      <c r="R165" s="18">
        <f>IFERROR(VLOOKUP(L165,Katalog!$C$3:$F$13,3,0),0)</f>
        <v>55000</v>
      </c>
      <c r="S165" t="str">
        <f t="shared" si="81"/>
        <v>-</v>
      </c>
      <c r="T165" t="str">
        <f>IFERROR(INDEX(Katalog!$B$4:$B$13,MATCH('Main Data'!S165,Katalog!$C$4:$C$13,0)),"-")</f>
        <v>-</v>
      </c>
      <c r="U165" t="str">
        <f>IFERROR(VLOOKUP(S165,Katalog!$A$15:$B$25,2,0),"-")</f>
        <v>-</v>
      </c>
      <c r="V165">
        <f t="shared" si="82"/>
        <v>0</v>
      </c>
      <c r="W165" s="28" t="str">
        <f t="shared" si="83"/>
        <v>-</v>
      </c>
      <c r="X165" s="18">
        <f>IFERROR(VLOOKUP(S165,Katalog!$C$3:$F$13,2,0),0)</f>
        <v>0</v>
      </c>
      <c r="Y165" s="30">
        <f>IFERROR(VLOOKUP(S165,Katalog!$C$3:$F$13,3,0),0)</f>
        <v>0</v>
      </c>
      <c r="Z165" s="2">
        <f t="shared" si="84"/>
        <v>5</v>
      </c>
      <c r="AA165" s="4">
        <f t="shared" si="85"/>
        <v>750000</v>
      </c>
      <c r="AB165" s="4">
        <f t="shared" si="86"/>
        <v>305000</v>
      </c>
      <c r="AC165" s="4" t="s">
        <v>31</v>
      </c>
      <c r="AD165" s="16">
        <f>IFERROR(VLOOKUP(AC165,'Kode Diskon'!$C$2:$D$9,2,0),0)</f>
        <v>0.15</v>
      </c>
      <c r="AE165" s="31">
        <f t="shared" si="87"/>
        <v>112500</v>
      </c>
      <c r="AF165" s="31">
        <f t="shared" si="88"/>
        <v>637500</v>
      </c>
      <c r="AG165" s="31">
        <f t="shared" si="89"/>
        <v>445000</v>
      </c>
      <c r="AH165" s="31">
        <f t="shared" si="90"/>
        <v>332500</v>
      </c>
      <c r="AI165" s="4" t="s">
        <v>8</v>
      </c>
      <c r="AJ165" s="4" t="s">
        <v>11</v>
      </c>
      <c r="AK165" s="4" t="str">
        <f>IFERROR(VLOOKUP(AJ165,'Guide '!$A$13:$B$16,2,0),"-")</f>
        <v>BL</v>
      </c>
      <c r="AL165" s="4" t="s">
        <v>925</v>
      </c>
      <c r="AM165" s="40">
        <v>45353</v>
      </c>
      <c r="AN165">
        <f t="shared" si="91"/>
        <v>29</v>
      </c>
      <c r="AO165">
        <f t="shared" si="92"/>
        <v>32</v>
      </c>
      <c r="AP165">
        <f t="shared" si="93"/>
        <v>40</v>
      </c>
      <c r="AQ165">
        <f t="shared" si="94"/>
        <v>43</v>
      </c>
      <c r="AR165" s="26">
        <f t="shared" si="95"/>
        <v>56</v>
      </c>
      <c r="AS165" s="26">
        <f t="shared" si="96"/>
        <v>63</v>
      </c>
      <c r="AT165" s="21">
        <f t="shared" si="97"/>
        <v>12</v>
      </c>
      <c r="AU165" s="21">
        <f t="shared" si="98"/>
        <v>19</v>
      </c>
      <c r="AV165">
        <f t="shared" si="99"/>
        <v>73</v>
      </c>
      <c r="AW165">
        <f t="shared" si="100"/>
        <v>76</v>
      </c>
      <c r="AX165">
        <f t="shared" si="101"/>
        <v>84</v>
      </c>
      <c r="AY165">
        <f t="shared" si="102"/>
        <v>87</v>
      </c>
      <c r="AZ165" t="str">
        <f t="shared" si="103"/>
        <v>-</v>
      </c>
      <c r="BA165" t="str">
        <f t="shared" si="104"/>
        <v>-</v>
      </c>
      <c r="BB165" t="str">
        <f t="shared" si="105"/>
        <v>-</v>
      </c>
      <c r="BC165" t="str">
        <f t="shared" si="106"/>
        <v>-</v>
      </c>
      <c r="BD165" s="29" t="str">
        <f t="shared" si="107"/>
        <v>-</v>
      </c>
      <c r="BE165" s="29" t="str">
        <f t="shared" si="108"/>
        <v>-</v>
      </c>
    </row>
    <row r="166" spans="1:57" ht="15" x14ac:dyDescent="0.2">
      <c r="A166" s="2">
        <v>129</v>
      </c>
      <c r="B166" s="2" t="str">
        <f t="shared" si="73"/>
        <v>0129</v>
      </c>
      <c r="C166" t="str">
        <f t="shared" si="74"/>
        <v>ORD-BB-0129-02/03/24</v>
      </c>
      <c r="D166" s="3" t="s">
        <v>199</v>
      </c>
      <c r="E166" t="str">
        <f t="shared" si="75"/>
        <v>PP001</v>
      </c>
      <c r="F166" t="str">
        <f>INDEX(Katalog!$B$4:$B$13,MATCH('Main Data'!E166,Katalog!$C$4:$C$13,0))</f>
        <v>Kaos Polo</v>
      </c>
      <c r="G166" t="str">
        <f>VLOOKUP(E166,Katalog!$A$15:$B$25,2,0)</f>
        <v>Pakaian Pria</v>
      </c>
      <c r="H166" t="str">
        <f t="shared" si="76"/>
        <v>3</v>
      </c>
      <c r="I166" t="str">
        <f t="shared" si="77"/>
        <v>2</v>
      </c>
      <c r="J166" s="18">
        <f>VLOOKUP(E166,Katalog!$C$3:$F$13,2,0)</f>
        <v>80000</v>
      </c>
      <c r="K166" s="18">
        <f>VLOOKUP(E166,Katalog!$C$3:$F$13,3,0)</f>
        <v>30000</v>
      </c>
      <c r="L166" t="str">
        <f t="shared" si="78"/>
        <v>-</v>
      </c>
      <c r="M166" t="str">
        <f>IFERROR(INDEX(Katalog!$B$4:$B$13,MATCH('Main Data'!L166,Katalog!$C$4:$C$13,0)), "-")</f>
        <v>-</v>
      </c>
      <c r="N166" t="str">
        <f>IFERROR(VLOOKUP(L166,Katalog!$A$15:$B$25,2,0),"-")</f>
        <v>-</v>
      </c>
      <c r="O166">
        <f t="shared" si="79"/>
        <v>0</v>
      </c>
      <c r="P166" t="str">
        <f t="shared" si="80"/>
        <v>-</v>
      </c>
      <c r="Q166" s="18">
        <f>IFERROR(VLOOKUP(L166,Katalog!$C$3:$F$13,2,0),0)</f>
        <v>0</v>
      </c>
      <c r="R166" s="18">
        <f>IFERROR(VLOOKUP(L166,Katalog!$C$3:$F$13,3,0),0)</f>
        <v>0</v>
      </c>
      <c r="S166" t="str">
        <f t="shared" si="81"/>
        <v>-</v>
      </c>
      <c r="T166" t="str">
        <f>IFERROR(INDEX(Katalog!$B$4:$B$13,MATCH('Main Data'!S166,Katalog!$C$4:$C$13,0)),"-")</f>
        <v>-</v>
      </c>
      <c r="U166" t="str">
        <f>IFERROR(VLOOKUP(S166,Katalog!$A$15:$B$25,2,0),"-")</f>
        <v>-</v>
      </c>
      <c r="V166">
        <f t="shared" si="82"/>
        <v>0</v>
      </c>
      <c r="W166" s="28" t="str">
        <f t="shared" si="83"/>
        <v>-</v>
      </c>
      <c r="X166" s="18">
        <f>IFERROR(VLOOKUP(S166,Katalog!$C$3:$F$13,2,0),0)</f>
        <v>0</v>
      </c>
      <c r="Y166" s="30">
        <f>IFERROR(VLOOKUP(S166,Katalog!$C$3:$F$13,3,0),0)</f>
        <v>0</v>
      </c>
      <c r="Z166" s="2">
        <f t="shared" si="84"/>
        <v>3</v>
      </c>
      <c r="AA166" s="4">
        <f t="shared" si="85"/>
        <v>240000</v>
      </c>
      <c r="AB166" s="4">
        <f t="shared" si="86"/>
        <v>90000</v>
      </c>
      <c r="AC166" s="4" t="s">
        <v>27</v>
      </c>
      <c r="AD166" s="16">
        <f>IFERROR(VLOOKUP(AC166,'Kode Diskon'!$C$2:$D$9,2,0),0)</f>
        <v>0.15</v>
      </c>
      <c r="AE166" s="31">
        <f t="shared" si="87"/>
        <v>36000</v>
      </c>
      <c r="AF166" s="31">
        <f t="shared" si="88"/>
        <v>204000</v>
      </c>
      <c r="AG166" s="31">
        <f t="shared" si="89"/>
        <v>150000</v>
      </c>
      <c r="AH166" s="31">
        <f t="shared" si="90"/>
        <v>114000</v>
      </c>
      <c r="AI166" s="4" t="s">
        <v>28</v>
      </c>
      <c r="AJ166" s="4" t="s">
        <v>13</v>
      </c>
      <c r="AK166" s="4" t="str">
        <f>IFERROR(VLOOKUP(AJ166,'Guide '!$A$13:$B$16,2,0),"-")</f>
        <v>BB</v>
      </c>
      <c r="AL166" s="4" t="s">
        <v>925</v>
      </c>
      <c r="AM166" s="40">
        <v>45353</v>
      </c>
      <c r="AN166">
        <f t="shared" si="91"/>
        <v>29</v>
      </c>
      <c r="AO166">
        <f t="shared" si="92"/>
        <v>32</v>
      </c>
      <c r="AP166">
        <f t="shared" si="93"/>
        <v>40</v>
      </c>
      <c r="AQ166">
        <f t="shared" si="94"/>
        <v>43</v>
      </c>
      <c r="AR166" s="26" t="str">
        <f t="shared" si="95"/>
        <v>-</v>
      </c>
      <c r="AS166" s="26" t="str">
        <f t="shared" si="96"/>
        <v>-</v>
      </c>
      <c r="AT166" s="21">
        <f t="shared" si="97"/>
        <v>12</v>
      </c>
      <c r="AU166" s="21">
        <f t="shared" si="98"/>
        <v>19</v>
      </c>
      <c r="AV166" t="str">
        <f t="shared" si="99"/>
        <v>-</v>
      </c>
      <c r="AW166" t="str">
        <f t="shared" si="100"/>
        <v>-</v>
      </c>
      <c r="AX166" t="str">
        <f t="shared" si="101"/>
        <v>-</v>
      </c>
      <c r="AY166" t="str">
        <f t="shared" si="102"/>
        <v>-</v>
      </c>
      <c r="AZ166" t="str">
        <f t="shared" si="103"/>
        <v>-</v>
      </c>
      <c r="BA166" t="str">
        <f t="shared" si="104"/>
        <v>-</v>
      </c>
      <c r="BB166" t="str">
        <f t="shared" si="105"/>
        <v>-</v>
      </c>
      <c r="BC166" t="str">
        <f t="shared" si="106"/>
        <v>-</v>
      </c>
      <c r="BD166" s="29" t="str">
        <f t="shared" si="107"/>
        <v>-</v>
      </c>
      <c r="BE166" s="29" t="str">
        <f t="shared" si="108"/>
        <v>-</v>
      </c>
    </row>
    <row r="167" spans="1:57" ht="15" x14ac:dyDescent="0.2">
      <c r="A167" s="2">
        <v>146</v>
      </c>
      <c r="B167" s="2" t="str">
        <f t="shared" si="73"/>
        <v>0146</v>
      </c>
      <c r="C167" t="str">
        <f t="shared" si="74"/>
        <v>ORD-TK-0146-02/03/24</v>
      </c>
      <c r="D167" s="3" t="s">
        <v>216</v>
      </c>
      <c r="E167" t="str">
        <f t="shared" si="75"/>
        <v>PW002</v>
      </c>
      <c r="F167" t="str">
        <f>INDEX(Katalog!$B$4:$B$13,MATCH('Main Data'!E167,Katalog!$C$4:$C$13,0))</f>
        <v>Blouse</v>
      </c>
      <c r="G167" t="str">
        <f>VLOOKUP(E167,Katalog!$A$15:$B$25,2,0)</f>
        <v>Pakaian Wanita</v>
      </c>
      <c r="H167" t="str">
        <f t="shared" si="76"/>
        <v>6</v>
      </c>
      <c r="I167" t="str">
        <f t="shared" si="77"/>
        <v>1</v>
      </c>
      <c r="J167" s="18">
        <f>VLOOKUP(E167,Katalog!$C$3:$F$13,2,0)</f>
        <v>125000</v>
      </c>
      <c r="K167" s="18">
        <f>VLOOKUP(E167,Katalog!$C$3:$F$13,3,0)</f>
        <v>50000</v>
      </c>
      <c r="L167" t="str">
        <f t="shared" si="78"/>
        <v>PW003</v>
      </c>
      <c r="M167" t="str">
        <f>IFERROR(INDEX(Katalog!$B$4:$B$13,MATCH('Main Data'!L167,Katalog!$C$4:$C$13,0)), "-")</f>
        <v>Kaftan</v>
      </c>
      <c r="N167" t="str">
        <f>IFERROR(VLOOKUP(L167,Katalog!$A$15:$B$25,2,0),"-")</f>
        <v>Pakaian Wanita</v>
      </c>
      <c r="O167" t="str">
        <f t="shared" si="79"/>
        <v>1</v>
      </c>
      <c r="P167" t="str">
        <f t="shared" si="80"/>
        <v>3</v>
      </c>
      <c r="Q167" s="18">
        <f>IFERROR(VLOOKUP(L167,Katalog!$C$3:$F$13,2,0),0)</f>
        <v>200000</v>
      </c>
      <c r="R167" s="18">
        <f>IFERROR(VLOOKUP(L167,Katalog!$C$3:$F$13,3,0),0)</f>
        <v>100000</v>
      </c>
      <c r="S167" t="str">
        <f t="shared" si="81"/>
        <v>-</v>
      </c>
      <c r="T167" t="str">
        <f>IFERROR(INDEX(Katalog!$B$4:$B$13,MATCH('Main Data'!S167,Katalog!$C$4:$C$13,0)),"-")</f>
        <v>-</v>
      </c>
      <c r="U167" t="str">
        <f>IFERROR(VLOOKUP(S167,Katalog!$A$15:$B$25,2,0),"-")</f>
        <v>-</v>
      </c>
      <c r="V167">
        <f t="shared" si="82"/>
        <v>0</v>
      </c>
      <c r="W167" s="28" t="str">
        <f t="shared" si="83"/>
        <v>-</v>
      </c>
      <c r="X167" s="18">
        <f>IFERROR(VLOOKUP(S167,Katalog!$C$3:$F$13,2,0),0)</f>
        <v>0</v>
      </c>
      <c r="Y167" s="30">
        <f>IFERROR(VLOOKUP(S167,Katalog!$C$3:$F$13,3,0),0)</f>
        <v>0</v>
      </c>
      <c r="Z167" s="2">
        <f t="shared" si="84"/>
        <v>7</v>
      </c>
      <c r="AA167" s="4">
        <f t="shared" si="85"/>
        <v>950000</v>
      </c>
      <c r="AB167" s="4">
        <f t="shared" si="86"/>
        <v>400000</v>
      </c>
      <c r="AC167" s="4" t="s">
        <v>30</v>
      </c>
      <c r="AD167" s="16">
        <f>IFERROR(VLOOKUP(AC167,'Kode Diskon'!$C$2:$D$9,2,0),0)</f>
        <v>0.1</v>
      </c>
      <c r="AE167" s="31">
        <f t="shared" si="87"/>
        <v>95000</v>
      </c>
      <c r="AF167" s="31">
        <f t="shared" si="88"/>
        <v>855000</v>
      </c>
      <c r="AG167" s="31">
        <f t="shared" si="89"/>
        <v>550000</v>
      </c>
      <c r="AH167" s="31">
        <f t="shared" si="90"/>
        <v>455000</v>
      </c>
      <c r="AI167" s="4" t="s">
        <v>8</v>
      </c>
      <c r="AJ167" s="4" t="s">
        <v>9</v>
      </c>
      <c r="AK167" s="4" t="str">
        <f>IFERROR(VLOOKUP(AJ167,'Guide '!$A$13:$B$16,2,0),"-")</f>
        <v>TK</v>
      </c>
      <c r="AL167" s="4" t="s">
        <v>925</v>
      </c>
      <c r="AM167" s="40">
        <v>45353</v>
      </c>
      <c r="AN167">
        <f t="shared" si="91"/>
        <v>29</v>
      </c>
      <c r="AO167">
        <f t="shared" si="92"/>
        <v>32</v>
      </c>
      <c r="AP167">
        <f t="shared" si="93"/>
        <v>40</v>
      </c>
      <c r="AQ167">
        <f t="shared" si="94"/>
        <v>43</v>
      </c>
      <c r="AR167" s="26">
        <f t="shared" si="95"/>
        <v>56</v>
      </c>
      <c r="AS167" s="26">
        <f t="shared" si="96"/>
        <v>63</v>
      </c>
      <c r="AT167" s="21">
        <f t="shared" si="97"/>
        <v>12</v>
      </c>
      <c r="AU167" s="21">
        <f t="shared" si="98"/>
        <v>19</v>
      </c>
      <c r="AV167">
        <f t="shared" si="99"/>
        <v>73</v>
      </c>
      <c r="AW167">
        <f t="shared" si="100"/>
        <v>76</v>
      </c>
      <c r="AX167">
        <f t="shared" si="101"/>
        <v>84</v>
      </c>
      <c r="AY167">
        <f t="shared" si="102"/>
        <v>87</v>
      </c>
      <c r="AZ167" t="str">
        <f t="shared" si="103"/>
        <v>-</v>
      </c>
      <c r="BA167" t="str">
        <f t="shared" si="104"/>
        <v>-</v>
      </c>
      <c r="BB167" t="str">
        <f t="shared" si="105"/>
        <v>-</v>
      </c>
      <c r="BC167" t="str">
        <f t="shared" si="106"/>
        <v>-</v>
      </c>
      <c r="BD167" s="29" t="str">
        <f t="shared" si="107"/>
        <v>-</v>
      </c>
      <c r="BE167" s="29" t="str">
        <f t="shared" si="108"/>
        <v>-</v>
      </c>
    </row>
    <row r="168" spans="1:57" ht="15" x14ac:dyDescent="0.2">
      <c r="A168" s="2">
        <v>171</v>
      </c>
      <c r="B168" s="2" t="str">
        <f t="shared" si="73"/>
        <v>0171</v>
      </c>
      <c r="C168" t="str">
        <f t="shared" si="74"/>
        <v>ORD-SP-0171-02/03/24</v>
      </c>
      <c r="D168" s="3" t="s">
        <v>240</v>
      </c>
      <c r="E168" t="str">
        <f t="shared" si="75"/>
        <v>PP002</v>
      </c>
      <c r="F168" t="str">
        <f>INDEX(Katalog!$B$4:$B$13,MATCH('Main Data'!E168,Katalog!$C$4:$C$13,0))</f>
        <v>Celana Pendek</v>
      </c>
      <c r="G168" t="str">
        <f>VLOOKUP(E168,Katalog!$A$15:$B$25,2,0)</f>
        <v>Pakaian Pria</v>
      </c>
      <c r="H168" t="str">
        <f t="shared" si="76"/>
        <v>3</v>
      </c>
      <c r="I168" t="str">
        <f t="shared" si="77"/>
        <v>1</v>
      </c>
      <c r="J168" s="18">
        <f>VLOOKUP(E168,Katalog!$C$3:$F$13,2,0)</f>
        <v>60000</v>
      </c>
      <c r="K168" s="18">
        <f>VLOOKUP(E168,Katalog!$C$3:$F$13,3,0)</f>
        <v>25000</v>
      </c>
      <c r="L168" t="str">
        <f t="shared" si="78"/>
        <v>SP002</v>
      </c>
      <c r="M168" t="str">
        <f>IFERROR(INDEX(Katalog!$B$4:$B$13,MATCH('Main Data'!L168,Katalog!$C$4:$C$13,0)), "-")</f>
        <v>Sandal Slip On</v>
      </c>
      <c r="N168" t="str">
        <f>IFERROR(VLOOKUP(L168,Katalog!$A$15:$B$25,2,0),"-")</f>
        <v>Sepatu Pria</v>
      </c>
      <c r="O168" t="str">
        <f t="shared" si="79"/>
        <v>1</v>
      </c>
      <c r="P168" t="str">
        <f t="shared" si="80"/>
        <v>2</v>
      </c>
      <c r="Q168" s="18">
        <f>IFERROR(VLOOKUP(L168,Katalog!$C$3:$F$13,2,0),0)</f>
        <v>120000</v>
      </c>
      <c r="R168" s="18">
        <f>IFERROR(VLOOKUP(L168,Katalog!$C$3:$F$13,3,0),0)</f>
        <v>60000</v>
      </c>
      <c r="S168" t="str">
        <f t="shared" si="81"/>
        <v>PW003</v>
      </c>
      <c r="T168" t="str">
        <f>IFERROR(INDEX(Katalog!$B$4:$B$13,MATCH('Main Data'!S168,Katalog!$C$4:$C$13,0)),"-")</f>
        <v>Kaftan</v>
      </c>
      <c r="U168" t="str">
        <f>IFERROR(VLOOKUP(S168,Katalog!$A$15:$B$25,2,0),"-")</f>
        <v>Pakaian Wanita</v>
      </c>
      <c r="V168" t="str">
        <f t="shared" si="82"/>
        <v>2</v>
      </c>
      <c r="W168" s="28" t="str">
        <f t="shared" si="83"/>
        <v>1</v>
      </c>
      <c r="X168" s="18">
        <f>IFERROR(VLOOKUP(S168,Katalog!$C$3:$F$13,2,0),0)</f>
        <v>200000</v>
      </c>
      <c r="Y168" s="30">
        <f>IFERROR(VLOOKUP(S168,Katalog!$C$3:$F$13,3,0),0)</f>
        <v>100000</v>
      </c>
      <c r="Z168" s="2">
        <f t="shared" si="84"/>
        <v>6</v>
      </c>
      <c r="AA168" s="4">
        <f t="shared" si="85"/>
        <v>700000</v>
      </c>
      <c r="AB168" s="4">
        <f t="shared" si="86"/>
        <v>335000</v>
      </c>
      <c r="AC168" s="4" t="s">
        <v>10</v>
      </c>
      <c r="AD168" s="16">
        <f>IFERROR(VLOOKUP(AC168,'Kode Diskon'!$C$2:$D$9,2,0),0)</f>
        <v>0</v>
      </c>
      <c r="AE168" s="31">
        <f t="shared" si="87"/>
        <v>0</v>
      </c>
      <c r="AF168" s="31">
        <f t="shared" si="88"/>
        <v>700000</v>
      </c>
      <c r="AG168" s="31">
        <f t="shared" si="89"/>
        <v>365000</v>
      </c>
      <c r="AH168" s="31">
        <f t="shared" si="90"/>
        <v>365000</v>
      </c>
      <c r="AI168" s="4" t="s">
        <v>10</v>
      </c>
      <c r="AJ168" s="4" t="s">
        <v>6</v>
      </c>
      <c r="AK168" s="4" t="str">
        <f>IFERROR(VLOOKUP(AJ168,'Guide '!$A$13:$B$16,2,0),"-")</f>
        <v>SP</v>
      </c>
      <c r="AL168" s="4" t="s">
        <v>922</v>
      </c>
      <c r="AM168" s="40">
        <v>45353</v>
      </c>
      <c r="AN168">
        <f t="shared" si="91"/>
        <v>29</v>
      </c>
      <c r="AO168">
        <f t="shared" si="92"/>
        <v>32</v>
      </c>
      <c r="AP168">
        <f t="shared" si="93"/>
        <v>40</v>
      </c>
      <c r="AQ168">
        <f t="shared" si="94"/>
        <v>43</v>
      </c>
      <c r="AR168" s="26">
        <f t="shared" si="95"/>
        <v>56</v>
      </c>
      <c r="AS168" s="26">
        <f t="shared" si="96"/>
        <v>63</v>
      </c>
      <c r="AT168" s="21">
        <f t="shared" si="97"/>
        <v>12</v>
      </c>
      <c r="AU168" s="21">
        <f t="shared" si="98"/>
        <v>19</v>
      </c>
      <c r="AV168">
        <f t="shared" si="99"/>
        <v>73</v>
      </c>
      <c r="AW168">
        <f t="shared" si="100"/>
        <v>76</v>
      </c>
      <c r="AX168">
        <f t="shared" si="101"/>
        <v>84</v>
      </c>
      <c r="AY168">
        <f t="shared" si="102"/>
        <v>87</v>
      </c>
      <c r="AZ168">
        <f t="shared" si="103"/>
        <v>100</v>
      </c>
      <c r="BA168">
        <f t="shared" si="104"/>
        <v>107</v>
      </c>
      <c r="BB168">
        <f t="shared" si="105"/>
        <v>117</v>
      </c>
      <c r="BC168">
        <f t="shared" si="106"/>
        <v>120</v>
      </c>
      <c r="BD168" s="29">
        <f t="shared" si="107"/>
        <v>128</v>
      </c>
      <c r="BE168" s="29">
        <f t="shared" si="108"/>
        <v>131</v>
      </c>
    </row>
    <row r="169" spans="1:57" ht="15" x14ac:dyDescent="0.2">
      <c r="A169" s="2">
        <v>178</v>
      </c>
      <c r="B169" s="2" t="str">
        <f t="shared" si="73"/>
        <v>0178</v>
      </c>
      <c r="C169" t="str">
        <f t="shared" si="74"/>
        <v>ORD-SP-0178-02/03/24</v>
      </c>
      <c r="D169" s="3" t="s">
        <v>247</v>
      </c>
      <c r="E169" t="str">
        <f t="shared" si="75"/>
        <v>PU001</v>
      </c>
      <c r="F169" t="str">
        <f>INDEX(Katalog!$B$4:$B$13,MATCH('Main Data'!E169,Katalog!$C$4:$C$13,0))</f>
        <v>Jaket Hoodie</v>
      </c>
      <c r="G169" t="str">
        <f>VLOOKUP(E169,Katalog!$A$15:$B$25,2,0)</f>
        <v>Pakaian Unisex</v>
      </c>
      <c r="H169" t="str">
        <f t="shared" si="76"/>
        <v>1</v>
      </c>
      <c r="I169" t="str">
        <f t="shared" si="77"/>
        <v>3</v>
      </c>
      <c r="J169" s="18">
        <f>VLOOKUP(E169,Katalog!$C$3:$F$13,2,0)</f>
        <v>160000</v>
      </c>
      <c r="K169" s="18">
        <f>VLOOKUP(E169,Katalog!$C$3:$F$13,3,0)</f>
        <v>60000</v>
      </c>
      <c r="L169" t="str">
        <f t="shared" si="78"/>
        <v>SP002</v>
      </c>
      <c r="M169" t="str">
        <f>IFERROR(INDEX(Katalog!$B$4:$B$13,MATCH('Main Data'!L169,Katalog!$C$4:$C$13,0)), "-")</f>
        <v>Sandal Slip On</v>
      </c>
      <c r="N169" t="str">
        <f>IFERROR(VLOOKUP(L169,Katalog!$A$15:$B$25,2,0),"-")</f>
        <v>Sepatu Pria</v>
      </c>
      <c r="O169" t="str">
        <f t="shared" si="79"/>
        <v>1</v>
      </c>
      <c r="P169" t="str">
        <f t="shared" si="80"/>
        <v>5</v>
      </c>
      <c r="Q169" s="18">
        <f>IFERROR(VLOOKUP(L169,Katalog!$C$3:$F$13,2,0),0)</f>
        <v>120000</v>
      </c>
      <c r="R169" s="18">
        <f>IFERROR(VLOOKUP(L169,Katalog!$C$3:$F$13,3,0),0)</f>
        <v>60000</v>
      </c>
      <c r="S169" t="str">
        <f t="shared" si="81"/>
        <v>-</v>
      </c>
      <c r="T169" t="str">
        <f>IFERROR(INDEX(Katalog!$B$4:$B$13,MATCH('Main Data'!S169,Katalog!$C$4:$C$13,0)),"-")</f>
        <v>-</v>
      </c>
      <c r="U169" t="str">
        <f>IFERROR(VLOOKUP(S169,Katalog!$A$15:$B$25,2,0),"-")</f>
        <v>-</v>
      </c>
      <c r="V169">
        <f t="shared" si="82"/>
        <v>0</v>
      </c>
      <c r="W169" s="28" t="str">
        <f t="shared" si="83"/>
        <v>-</v>
      </c>
      <c r="X169" s="18">
        <f>IFERROR(VLOOKUP(S169,Katalog!$C$3:$F$13,2,0),0)</f>
        <v>0</v>
      </c>
      <c r="Y169" s="30">
        <f>IFERROR(VLOOKUP(S169,Katalog!$C$3:$F$13,3,0),0)</f>
        <v>0</v>
      </c>
      <c r="Z169" s="2">
        <f t="shared" si="84"/>
        <v>2</v>
      </c>
      <c r="AA169" s="4">
        <f t="shared" si="85"/>
        <v>280000</v>
      </c>
      <c r="AB169" s="4">
        <f t="shared" si="86"/>
        <v>120000</v>
      </c>
      <c r="AC169" s="4" t="s">
        <v>5</v>
      </c>
      <c r="AD169" s="16">
        <f>IFERROR(VLOOKUP(AC169,'Kode Diskon'!$C$2:$D$9,2,0),0)</f>
        <v>0.1</v>
      </c>
      <c r="AE169" s="31">
        <f t="shared" si="87"/>
        <v>28000</v>
      </c>
      <c r="AF169" s="31">
        <f t="shared" si="88"/>
        <v>252000</v>
      </c>
      <c r="AG169" s="31">
        <f t="shared" si="89"/>
        <v>160000</v>
      </c>
      <c r="AH169" s="31">
        <f t="shared" si="90"/>
        <v>132000</v>
      </c>
      <c r="AI169" s="4" t="s">
        <v>28</v>
      </c>
      <c r="AJ169" s="4" t="s">
        <v>6</v>
      </c>
      <c r="AK169" s="4" t="str">
        <f>IFERROR(VLOOKUP(AJ169,'Guide '!$A$13:$B$16,2,0),"-")</f>
        <v>SP</v>
      </c>
      <c r="AL169" s="4" t="s">
        <v>921</v>
      </c>
      <c r="AM169" s="40">
        <v>45353</v>
      </c>
      <c r="AN169">
        <f t="shared" si="91"/>
        <v>29</v>
      </c>
      <c r="AO169">
        <f t="shared" si="92"/>
        <v>32</v>
      </c>
      <c r="AP169">
        <f t="shared" si="93"/>
        <v>40</v>
      </c>
      <c r="AQ169">
        <f t="shared" si="94"/>
        <v>43</v>
      </c>
      <c r="AR169" s="26">
        <f t="shared" si="95"/>
        <v>56</v>
      </c>
      <c r="AS169" s="26">
        <f t="shared" si="96"/>
        <v>63</v>
      </c>
      <c r="AT169" s="21">
        <f t="shared" si="97"/>
        <v>12</v>
      </c>
      <c r="AU169" s="21">
        <f t="shared" si="98"/>
        <v>19</v>
      </c>
      <c r="AV169">
        <f t="shared" si="99"/>
        <v>73</v>
      </c>
      <c r="AW169">
        <f t="shared" si="100"/>
        <v>76</v>
      </c>
      <c r="AX169">
        <f t="shared" si="101"/>
        <v>84</v>
      </c>
      <c r="AY169">
        <f t="shared" si="102"/>
        <v>87</v>
      </c>
      <c r="AZ169" t="str">
        <f t="shared" si="103"/>
        <v>-</v>
      </c>
      <c r="BA169" t="str">
        <f t="shared" si="104"/>
        <v>-</v>
      </c>
      <c r="BB169" t="str">
        <f t="shared" si="105"/>
        <v>-</v>
      </c>
      <c r="BC169" t="str">
        <f t="shared" si="106"/>
        <v>-</v>
      </c>
      <c r="BD169" s="29" t="str">
        <f t="shared" si="107"/>
        <v>-</v>
      </c>
      <c r="BE169" s="29" t="str">
        <f t="shared" si="108"/>
        <v>-</v>
      </c>
    </row>
    <row r="170" spans="1:57" ht="15" x14ac:dyDescent="0.2">
      <c r="A170" s="2">
        <v>209</v>
      </c>
      <c r="B170" s="2" t="str">
        <f t="shared" si="73"/>
        <v>0209</v>
      </c>
      <c r="C170" t="str">
        <f t="shared" si="74"/>
        <v>ORD-SP-0209-02/03/24</v>
      </c>
      <c r="D170" s="3" t="s">
        <v>278</v>
      </c>
      <c r="E170" t="str">
        <f t="shared" si="75"/>
        <v>PW003</v>
      </c>
      <c r="F170" t="str">
        <f>INDEX(Katalog!$B$4:$B$13,MATCH('Main Data'!E170,Katalog!$C$4:$C$13,0))</f>
        <v>Kaftan</v>
      </c>
      <c r="G170" t="str">
        <f>VLOOKUP(E170,Katalog!$A$15:$B$25,2,0)</f>
        <v>Pakaian Wanita</v>
      </c>
      <c r="H170" t="str">
        <f t="shared" si="76"/>
        <v>1</v>
      </c>
      <c r="I170" t="str">
        <f t="shared" si="77"/>
        <v>4</v>
      </c>
      <c r="J170" s="18">
        <f>VLOOKUP(E170,Katalog!$C$3:$F$13,2,0)</f>
        <v>200000</v>
      </c>
      <c r="K170" s="18">
        <f>VLOOKUP(E170,Katalog!$C$3:$F$13,3,0)</f>
        <v>100000</v>
      </c>
      <c r="L170" t="str">
        <f t="shared" si="78"/>
        <v>SW001</v>
      </c>
      <c r="M170" t="str">
        <f>IFERROR(INDEX(Katalog!$B$4:$B$13,MATCH('Main Data'!L170,Katalog!$C$4:$C$13,0)), "-")</f>
        <v>Flat Shoes</v>
      </c>
      <c r="N170" t="str">
        <f>IFERROR(VLOOKUP(L170,Katalog!$A$15:$B$25,2,0),"-")</f>
        <v>Sepatu Wanita</v>
      </c>
      <c r="O170" t="str">
        <f t="shared" si="79"/>
        <v>1</v>
      </c>
      <c r="P170" t="str">
        <f t="shared" si="80"/>
        <v>4</v>
      </c>
      <c r="Q170" s="18">
        <f>IFERROR(VLOOKUP(L170,Katalog!$C$3:$F$13,2,0),0)</f>
        <v>150000</v>
      </c>
      <c r="R170" s="18">
        <f>IFERROR(VLOOKUP(L170,Katalog!$C$3:$F$13,3,0),0)</f>
        <v>70000</v>
      </c>
      <c r="S170" t="str">
        <f t="shared" si="81"/>
        <v>-</v>
      </c>
      <c r="T170" t="str">
        <f>IFERROR(INDEX(Katalog!$B$4:$B$13,MATCH('Main Data'!S170,Katalog!$C$4:$C$13,0)),"-")</f>
        <v>-</v>
      </c>
      <c r="U170" t="str">
        <f>IFERROR(VLOOKUP(S170,Katalog!$A$15:$B$25,2,0),"-")</f>
        <v>-</v>
      </c>
      <c r="V170">
        <f t="shared" si="82"/>
        <v>0</v>
      </c>
      <c r="W170" s="28" t="str">
        <f t="shared" si="83"/>
        <v>-</v>
      </c>
      <c r="X170" s="18">
        <f>IFERROR(VLOOKUP(S170,Katalog!$C$3:$F$13,2,0),0)</f>
        <v>0</v>
      </c>
      <c r="Y170" s="30">
        <f>IFERROR(VLOOKUP(S170,Katalog!$C$3:$F$13,3,0),0)</f>
        <v>0</v>
      </c>
      <c r="Z170" s="2">
        <f t="shared" si="84"/>
        <v>2</v>
      </c>
      <c r="AA170" s="4">
        <f t="shared" si="85"/>
        <v>350000</v>
      </c>
      <c r="AB170" s="4">
        <f t="shared" si="86"/>
        <v>170000</v>
      </c>
      <c r="AC170" s="4" t="s">
        <v>12</v>
      </c>
      <c r="AD170" s="16">
        <f>IFERROR(VLOOKUP(AC170,'Kode Diskon'!$C$2:$D$9,2,0),0)</f>
        <v>0.15</v>
      </c>
      <c r="AE170" s="31">
        <f t="shared" si="87"/>
        <v>52500</v>
      </c>
      <c r="AF170" s="31">
        <f t="shared" si="88"/>
        <v>297500</v>
      </c>
      <c r="AG170" s="31">
        <f t="shared" si="89"/>
        <v>180000</v>
      </c>
      <c r="AH170" s="31">
        <f t="shared" si="90"/>
        <v>127500</v>
      </c>
      <c r="AI170" s="4" t="s">
        <v>28</v>
      </c>
      <c r="AJ170" s="4" t="s">
        <v>6</v>
      </c>
      <c r="AK170" s="4" t="str">
        <f>IFERROR(VLOOKUP(AJ170,'Guide '!$A$13:$B$16,2,0),"-")</f>
        <v>SP</v>
      </c>
      <c r="AL170" s="4" t="s">
        <v>925</v>
      </c>
      <c r="AM170" s="40">
        <v>45353</v>
      </c>
      <c r="AN170">
        <f t="shared" si="91"/>
        <v>29</v>
      </c>
      <c r="AO170">
        <f t="shared" si="92"/>
        <v>32</v>
      </c>
      <c r="AP170">
        <f t="shared" si="93"/>
        <v>40</v>
      </c>
      <c r="AQ170">
        <f t="shared" si="94"/>
        <v>43</v>
      </c>
      <c r="AR170" s="26">
        <f t="shared" si="95"/>
        <v>56</v>
      </c>
      <c r="AS170" s="26">
        <f t="shared" si="96"/>
        <v>63</v>
      </c>
      <c r="AT170" s="21">
        <f t="shared" si="97"/>
        <v>12</v>
      </c>
      <c r="AU170" s="21">
        <f t="shared" si="98"/>
        <v>19</v>
      </c>
      <c r="AV170">
        <f t="shared" si="99"/>
        <v>73</v>
      </c>
      <c r="AW170">
        <f t="shared" si="100"/>
        <v>76</v>
      </c>
      <c r="AX170">
        <f t="shared" si="101"/>
        <v>84</v>
      </c>
      <c r="AY170">
        <f t="shared" si="102"/>
        <v>87</v>
      </c>
      <c r="AZ170" t="str">
        <f t="shared" si="103"/>
        <v>-</v>
      </c>
      <c r="BA170" t="str">
        <f t="shared" si="104"/>
        <v>-</v>
      </c>
      <c r="BB170" t="str">
        <f t="shared" si="105"/>
        <v>-</v>
      </c>
      <c r="BC170" t="str">
        <f t="shared" si="106"/>
        <v>-</v>
      </c>
      <c r="BD170" s="29" t="str">
        <f t="shared" si="107"/>
        <v>-</v>
      </c>
      <c r="BE170" s="29" t="str">
        <f t="shared" si="108"/>
        <v>-</v>
      </c>
    </row>
    <row r="171" spans="1:57" ht="15" x14ac:dyDescent="0.2">
      <c r="A171" s="2">
        <v>258</v>
      </c>
      <c r="B171" s="2" t="str">
        <f t="shared" si="73"/>
        <v>0258</v>
      </c>
      <c r="C171" t="str">
        <f t="shared" si="74"/>
        <v>ORD-SP-0258-02/03/24</v>
      </c>
      <c r="D171" s="3" t="s">
        <v>322</v>
      </c>
      <c r="E171" t="str">
        <f t="shared" si="75"/>
        <v>SW001</v>
      </c>
      <c r="F171" t="str">
        <f>INDEX(Katalog!$B$4:$B$13,MATCH('Main Data'!E171,Katalog!$C$4:$C$13,0))</f>
        <v>Flat Shoes</v>
      </c>
      <c r="G171" t="str">
        <f>VLOOKUP(E171,Katalog!$A$15:$B$25,2,0)</f>
        <v>Sepatu Wanita</v>
      </c>
      <c r="H171" t="str">
        <f t="shared" si="76"/>
        <v>1</v>
      </c>
      <c r="I171" t="str">
        <f t="shared" si="77"/>
        <v>1</v>
      </c>
      <c r="J171" s="18">
        <f>VLOOKUP(E171,Katalog!$C$3:$F$13,2,0)</f>
        <v>150000</v>
      </c>
      <c r="K171" s="18">
        <f>VLOOKUP(E171,Katalog!$C$3:$F$13,3,0)</f>
        <v>70000</v>
      </c>
      <c r="L171" t="str">
        <f t="shared" si="78"/>
        <v>-</v>
      </c>
      <c r="M171" t="str">
        <f>IFERROR(INDEX(Katalog!$B$4:$B$13,MATCH('Main Data'!L171,Katalog!$C$4:$C$13,0)), "-")</f>
        <v>-</v>
      </c>
      <c r="N171" t="str">
        <f>IFERROR(VLOOKUP(L171,Katalog!$A$15:$B$25,2,0),"-")</f>
        <v>-</v>
      </c>
      <c r="O171">
        <f t="shared" si="79"/>
        <v>0</v>
      </c>
      <c r="P171" t="str">
        <f t="shared" si="80"/>
        <v>-</v>
      </c>
      <c r="Q171" s="18">
        <f>IFERROR(VLOOKUP(L171,Katalog!$C$3:$F$13,2,0),0)</f>
        <v>0</v>
      </c>
      <c r="R171" s="18">
        <f>IFERROR(VLOOKUP(L171,Katalog!$C$3:$F$13,3,0),0)</f>
        <v>0</v>
      </c>
      <c r="S171" t="str">
        <f t="shared" si="81"/>
        <v>-</v>
      </c>
      <c r="T171" t="str">
        <f>IFERROR(INDEX(Katalog!$B$4:$B$13,MATCH('Main Data'!S171,Katalog!$C$4:$C$13,0)),"-")</f>
        <v>-</v>
      </c>
      <c r="U171" t="str">
        <f>IFERROR(VLOOKUP(S171,Katalog!$A$15:$B$25,2,0),"-")</f>
        <v>-</v>
      </c>
      <c r="V171">
        <f t="shared" si="82"/>
        <v>0</v>
      </c>
      <c r="W171" s="28" t="str">
        <f t="shared" si="83"/>
        <v>-</v>
      </c>
      <c r="X171" s="18">
        <f>IFERROR(VLOOKUP(S171,Katalog!$C$3:$F$13,2,0),0)</f>
        <v>0</v>
      </c>
      <c r="Y171" s="30">
        <f>IFERROR(VLOOKUP(S171,Katalog!$C$3:$F$13,3,0),0)</f>
        <v>0</v>
      </c>
      <c r="Z171" s="2">
        <f t="shared" si="84"/>
        <v>1</v>
      </c>
      <c r="AA171" s="4">
        <f t="shared" si="85"/>
        <v>150000</v>
      </c>
      <c r="AB171" s="4">
        <f t="shared" si="86"/>
        <v>70000</v>
      </c>
      <c r="AC171" s="4" t="s">
        <v>7</v>
      </c>
      <c r="AD171" s="16">
        <f>IFERROR(VLOOKUP(AC171,'Kode Diskon'!$C$2:$D$9,2,0),0)</f>
        <v>0.2</v>
      </c>
      <c r="AE171" s="31">
        <f t="shared" si="87"/>
        <v>30000</v>
      </c>
      <c r="AF171" s="31">
        <f t="shared" si="88"/>
        <v>120000</v>
      </c>
      <c r="AG171" s="31">
        <f t="shared" si="89"/>
        <v>80000</v>
      </c>
      <c r="AH171" s="31">
        <f t="shared" si="90"/>
        <v>50000</v>
      </c>
      <c r="AI171" s="4" t="s">
        <v>8</v>
      </c>
      <c r="AJ171" s="4" t="s">
        <v>6</v>
      </c>
      <c r="AK171" s="4" t="str">
        <f>IFERROR(VLOOKUP(AJ171,'Guide '!$A$13:$B$16,2,0),"-")</f>
        <v>SP</v>
      </c>
      <c r="AL171" s="4" t="s">
        <v>921</v>
      </c>
      <c r="AM171" s="40">
        <v>45353</v>
      </c>
      <c r="AN171">
        <f t="shared" si="91"/>
        <v>29</v>
      </c>
      <c r="AO171">
        <f t="shared" si="92"/>
        <v>32</v>
      </c>
      <c r="AP171">
        <f t="shared" si="93"/>
        <v>40</v>
      </c>
      <c r="AQ171">
        <f t="shared" si="94"/>
        <v>43</v>
      </c>
      <c r="AR171" s="26" t="str">
        <f t="shared" si="95"/>
        <v>-</v>
      </c>
      <c r="AS171" s="26" t="str">
        <f t="shared" si="96"/>
        <v>-</v>
      </c>
      <c r="AT171" s="21">
        <f t="shared" si="97"/>
        <v>12</v>
      </c>
      <c r="AU171" s="21">
        <f t="shared" si="98"/>
        <v>19</v>
      </c>
      <c r="AV171" t="str">
        <f t="shared" si="99"/>
        <v>-</v>
      </c>
      <c r="AW171" t="str">
        <f t="shared" si="100"/>
        <v>-</v>
      </c>
      <c r="AX171" t="str">
        <f t="shared" si="101"/>
        <v>-</v>
      </c>
      <c r="AY171" t="str">
        <f t="shared" si="102"/>
        <v>-</v>
      </c>
      <c r="AZ171" t="str">
        <f t="shared" si="103"/>
        <v>-</v>
      </c>
      <c r="BA171" t="str">
        <f t="shared" si="104"/>
        <v>-</v>
      </c>
      <c r="BB171" t="str">
        <f t="shared" si="105"/>
        <v>-</v>
      </c>
      <c r="BC171" t="str">
        <f t="shared" si="106"/>
        <v>-</v>
      </c>
      <c r="BD171" s="29" t="str">
        <f t="shared" si="107"/>
        <v>-</v>
      </c>
      <c r="BE171" s="29" t="str">
        <f t="shared" si="108"/>
        <v>-</v>
      </c>
    </row>
    <row r="172" spans="1:57" ht="15" x14ac:dyDescent="0.2">
      <c r="A172" s="2">
        <v>436</v>
      </c>
      <c r="B172" s="2" t="str">
        <f t="shared" si="73"/>
        <v>0436</v>
      </c>
      <c r="C172" t="str">
        <f t="shared" si="74"/>
        <v>ORD-SP-0436-02/03/24</v>
      </c>
      <c r="D172" s="3" t="s">
        <v>477</v>
      </c>
      <c r="E172" t="str">
        <f t="shared" si="75"/>
        <v>PW001</v>
      </c>
      <c r="F172" t="str">
        <f>INDEX(Katalog!$B$4:$B$13,MATCH('Main Data'!E172,Katalog!$C$4:$C$13,0))</f>
        <v>Dress</v>
      </c>
      <c r="G172" t="str">
        <f>VLOOKUP(E172,Katalog!$A$15:$B$25,2,0)</f>
        <v>Pakaian Wanita</v>
      </c>
      <c r="H172" t="str">
        <f t="shared" si="76"/>
        <v>1</v>
      </c>
      <c r="I172" t="str">
        <f t="shared" si="77"/>
        <v>5</v>
      </c>
      <c r="J172" s="18">
        <f>VLOOKUP(E172,Katalog!$C$3:$F$13,2,0)</f>
        <v>150000</v>
      </c>
      <c r="K172" s="18">
        <f>VLOOKUP(E172,Katalog!$C$3:$F$13,3,0)</f>
        <v>55000</v>
      </c>
      <c r="L172" t="str">
        <f t="shared" si="78"/>
        <v>PU001</v>
      </c>
      <c r="M172" t="str">
        <f>IFERROR(INDEX(Katalog!$B$4:$B$13,MATCH('Main Data'!L172,Katalog!$C$4:$C$13,0)), "-")</f>
        <v>Jaket Hoodie</v>
      </c>
      <c r="N172" t="str">
        <f>IFERROR(VLOOKUP(L172,Katalog!$A$15:$B$25,2,0),"-")</f>
        <v>Pakaian Unisex</v>
      </c>
      <c r="O172" t="str">
        <f t="shared" si="79"/>
        <v>3</v>
      </c>
      <c r="P172" t="str">
        <f t="shared" si="80"/>
        <v>4</v>
      </c>
      <c r="Q172" s="18">
        <f>IFERROR(VLOOKUP(L172,Katalog!$C$3:$F$13,2,0),0)</f>
        <v>160000</v>
      </c>
      <c r="R172" s="18">
        <f>IFERROR(VLOOKUP(L172,Katalog!$C$3:$F$13,3,0),0)</f>
        <v>60000</v>
      </c>
      <c r="S172" t="str">
        <f t="shared" si="81"/>
        <v>-</v>
      </c>
      <c r="T172" t="str">
        <f>IFERROR(INDEX(Katalog!$B$4:$B$13,MATCH('Main Data'!S172,Katalog!$C$4:$C$13,0)),"-")</f>
        <v>-</v>
      </c>
      <c r="U172" t="str">
        <f>IFERROR(VLOOKUP(S172,Katalog!$A$15:$B$25,2,0),"-")</f>
        <v>-</v>
      </c>
      <c r="V172">
        <f t="shared" si="82"/>
        <v>0</v>
      </c>
      <c r="W172" s="28" t="str">
        <f t="shared" si="83"/>
        <v>-</v>
      </c>
      <c r="X172" s="18">
        <f>IFERROR(VLOOKUP(S172,Katalog!$C$3:$F$13,2,0),0)</f>
        <v>0</v>
      </c>
      <c r="Y172" s="30">
        <f>IFERROR(VLOOKUP(S172,Katalog!$C$3:$F$13,3,0),0)</f>
        <v>0</v>
      </c>
      <c r="Z172" s="2">
        <f t="shared" si="84"/>
        <v>4</v>
      </c>
      <c r="AA172" s="4">
        <f t="shared" si="85"/>
        <v>630000</v>
      </c>
      <c r="AB172" s="4">
        <f t="shared" si="86"/>
        <v>235000</v>
      </c>
      <c r="AC172" s="4" t="s">
        <v>5</v>
      </c>
      <c r="AD172" s="16">
        <f>IFERROR(VLOOKUP(AC172,'Kode Diskon'!$C$2:$D$9,2,0),0)</f>
        <v>0.1</v>
      </c>
      <c r="AE172" s="31">
        <f t="shared" si="87"/>
        <v>63000</v>
      </c>
      <c r="AF172" s="31">
        <f t="shared" si="88"/>
        <v>567000</v>
      </c>
      <c r="AG172" s="31">
        <f t="shared" si="89"/>
        <v>395000</v>
      </c>
      <c r="AH172" s="31">
        <f t="shared" si="90"/>
        <v>332000</v>
      </c>
      <c r="AI172" s="4" t="s">
        <v>28</v>
      </c>
      <c r="AJ172" s="4" t="s">
        <v>6</v>
      </c>
      <c r="AK172" s="4" t="str">
        <f>IFERROR(VLOOKUP(AJ172,'Guide '!$A$13:$B$16,2,0),"-")</f>
        <v>SP</v>
      </c>
      <c r="AL172" s="4" t="s">
        <v>921</v>
      </c>
      <c r="AM172" s="40">
        <v>45353</v>
      </c>
      <c r="AN172">
        <f t="shared" si="91"/>
        <v>29</v>
      </c>
      <c r="AO172">
        <f t="shared" si="92"/>
        <v>32</v>
      </c>
      <c r="AP172">
        <f t="shared" si="93"/>
        <v>40</v>
      </c>
      <c r="AQ172">
        <f t="shared" si="94"/>
        <v>43</v>
      </c>
      <c r="AR172" s="26">
        <f t="shared" si="95"/>
        <v>56</v>
      </c>
      <c r="AS172" s="26">
        <f t="shared" si="96"/>
        <v>63</v>
      </c>
      <c r="AT172" s="21">
        <f t="shared" si="97"/>
        <v>12</v>
      </c>
      <c r="AU172" s="21">
        <f t="shared" si="98"/>
        <v>19</v>
      </c>
      <c r="AV172">
        <f t="shared" si="99"/>
        <v>73</v>
      </c>
      <c r="AW172">
        <f t="shared" si="100"/>
        <v>76</v>
      </c>
      <c r="AX172">
        <f t="shared" si="101"/>
        <v>84</v>
      </c>
      <c r="AY172">
        <f t="shared" si="102"/>
        <v>87</v>
      </c>
      <c r="AZ172" t="str">
        <f t="shared" si="103"/>
        <v>-</v>
      </c>
      <c r="BA172" t="str">
        <f t="shared" si="104"/>
        <v>-</v>
      </c>
      <c r="BB172" t="str">
        <f t="shared" si="105"/>
        <v>-</v>
      </c>
      <c r="BC172" t="str">
        <f t="shared" si="106"/>
        <v>-</v>
      </c>
      <c r="BD172" s="29" t="str">
        <f t="shared" si="107"/>
        <v>-</v>
      </c>
      <c r="BE172" s="29" t="str">
        <f t="shared" si="108"/>
        <v>-</v>
      </c>
    </row>
    <row r="173" spans="1:57" ht="15" x14ac:dyDescent="0.2">
      <c r="A173" s="2">
        <v>476</v>
      </c>
      <c r="B173" s="2" t="str">
        <f t="shared" si="73"/>
        <v>0476</v>
      </c>
      <c r="C173" t="str">
        <f t="shared" si="74"/>
        <v>ORD-BB-0476-02/03/24</v>
      </c>
      <c r="D173" s="3" t="s">
        <v>512</v>
      </c>
      <c r="E173" t="str">
        <f t="shared" si="75"/>
        <v>PW002</v>
      </c>
      <c r="F173" t="str">
        <f>INDEX(Katalog!$B$4:$B$13,MATCH('Main Data'!E173,Katalog!$C$4:$C$13,0))</f>
        <v>Blouse</v>
      </c>
      <c r="G173" t="str">
        <f>VLOOKUP(E173,Katalog!$A$15:$B$25,2,0)</f>
        <v>Pakaian Wanita</v>
      </c>
      <c r="H173" t="str">
        <f t="shared" si="76"/>
        <v>2</v>
      </c>
      <c r="I173" t="str">
        <f t="shared" si="77"/>
        <v>5</v>
      </c>
      <c r="J173" s="18">
        <f>VLOOKUP(E173,Katalog!$C$3:$F$13,2,0)</f>
        <v>125000</v>
      </c>
      <c r="K173" s="18">
        <f>VLOOKUP(E173,Katalog!$C$3:$F$13,3,0)</f>
        <v>50000</v>
      </c>
      <c r="L173" t="str">
        <f t="shared" si="78"/>
        <v>SP002</v>
      </c>
      <c r="M173" t="str">
        <f>IFERROR(INDEX(Katalog!$B$4:$B$13,MATCH('Main Data'!L173,Katalog!$C$4:$C$13,0)), "-")</f>
        <v>Sandal Slip On</v>
      </c>
      <c r="N173" t="str">
        <f>IFERROR(VLOOKUP(L173,Katalog!$A$15:$B$25,2,0),"-")</f>
        <v>Sepatu Pria</v>
      </c>
      <c r="O173" t="str">
        <f t="shared" si="79"/>
        <v>3</v>
      </c>
      <c r="P173" t="str">
        <f t="shared" si="80"/>
        <v>1</v>
      </c>
      <c r="Q173" s="18">
        <f>IFERROR(VLOOKUP(L173,Katalog!$C$3:$F$13,2,0),0)</f>
        <v>120000</v>
      </c>
      <c r="R173" s="18">
        <f>IFERROR(VLOOKUP(L173,Katalog!$C$3:$F$13,3,0),0)</f>
        <v>60000</v>
      </c>
      <c r="S173" t="str">
        <f t="shared" si="81"/>
        <v>-</v>
      </c>
      <c r="T173" t="str">
        <f>IFERROR(INDEX(Katalog!$B$4:$B$13,MATCH('Main Data'!S173,Katalog!$C$4:$C$13,0)),"-")</f>
        <v>-</v>
      </c>
      <c r="U173" t="str">
        <f>IFERROR(VLOOKUP(S173,Katalog!$A$15:$B$25,2,0),"-")</f>
        <v>-</v>
      </c>
      <c r="V173">
        <f t="shared" si="82"/>
        <v>0</v>
      </c>
      <c r="W173" s="28" t="str">
        <f t="shared" si="83"/>
        <v>-</v>
      </c>
      <c r="X173" s="18">
        <f>IFERROR(VLOOKUP(S173,Katalog!$C$3:$F$13,2,0),0)</f>
        <v>0</v>
      </c>
      <c r="Y173" s="30">
        <f>IFERROR(VLOOKUP(S173,Katalog!$C$3:$F$13,3,0),0)</f>
        <v>0</v>
      </c>
      <c r="Z173" s="2">
        <f t="shared" si="84"/>
        <v>5</v>
      </c>
      <c r="AA173" s="4">
        <f t="shared" si="85"/>
        <v>610000</v>
      </c>
      <c r="AB173" s="4">
        <f t="shared" si="86"/>
        <v>280000</v>
      </c>
      <c r="AC173" s="4" t="s">
        <v>27</v>
      </c>
      <c r="AD173" s="16">
        <f>IFERROR(VLOOKUP(AC173,'Kode Diskon'!$C$2:$D$9,2,0),0)</f>
        <v>0.15</v>
      </c>
      <c r="AE173" s="31">
        <f t="shared" si="87"/>
        <v>91500</v>
      </c>
      <c r="AF173" s="31">
        <f t="shared" si="88"/>
        <v>518500</v>
      </c>
      <c r="AG173" s="31">
        <f t="shared" si="89"/>
        <v>330000</v>
      </c>
      <c r="AH173" s="31">
        <f t="shared" si="90"/>
        <v>238500</v>
      </c>
      <c r="AI173" s="4" t="s">
        <v>28</v>
      </c>
      <c r="AJ173" s="4" t="s">
        <v>13</v>
      </c>
      <c r="AK173" s="4" t="str">
        <f>IFERROR(VLOOKUP(AJ173,'Guide '!$A$13:$B$16,2,0),"-")</f>
        <v>BB</v>
      </c>
      <c r="AL173" s="4" t="s">
        <v>925</v>
      </c>
      <c r="AM173" s="40">
        <v>45353</v>
      </c>
      <c r="AN173">
        <f t="shared" si="91"/>
        <v>29</v>
      </c>
      <c r="AO173">
        <f t="shared" si="92"/>
        <v>32</v>
      </c>
      <c r="AP173">
        <f t="shared" si="93"/>
        <v>40</v>
      </c>
      <c r="AQ173">
        <f t="shared" si="94"/>
        <v>43</v>
      </c>
      <c r="AR173" s="26">
        <f t="shared" si="95"/>
        <v>56</v>
      </c>
      <c r="AS173" s="26">
        <f t="shared" si="96"/>
        <v>63</v>
      </c>
      <c r="AT173" s="21">
        <f t="shared" si="97"/>
        <v>12</v>
      </c>
      <c r="AU173" s="21">
        <f t="shared" si="98"/>
        <v>19</v>
      </c>
      <c r="AV173">
        <f t="shared" si="99"/>
        <v>73</v>
      </c>
      <c r="AW173">
        <f t="shared" si="100"/>
        <v>76</v>
      </c>
      <c r="AX173">
        <f t="shared" si="101"/>
        <v>84</v>
      </c>
      <c r="AY173">
        <f t="shared" si="102"/>
        <v>87</v>
      </c>
      <c r="AZ173" t="str">
        <f t="shared" si="103"/>
        <v>-</v>
      </c>
      <c r="BA173" t="str">
        <f t="shared" si="104"/>
        <v>-</v>
      </c>
      <c r="BB173" t="str">
        <f t="shared" si="105"/>
        <v>-</v>
      </c>
      <c r="BC173" t="str">
        <f t="shared" si="106"/>
        <v>-</v>
      </c>
      <c r="BD173" s="29" t="str">
        <f t="shared" si="107"/>
        <v>-</v>
      </c>
      <c r="BE173" s="29" t="str">
        <f t="shared" si="108"/>
        <v>-</v>
      </c>
    </row>
    <row r="174" spans="1:57" ht="15" x14ac:dyDescent="0.2">
      <c r="A174" s="2">
        <v>630</v>
      </c>
      <c r="B174" s="2" t="str">
        <f t="shared" si="73"/>
        <v>0630</v>
      </c>
      <c r="C174" t="str">
        <f t="shared" si="74"/>
        <v>ORD-SP-0630-02/03/24</v>
      </c>
      <c r="D174" s="3" t="s">
        <v>639</v>
      </c>
      <c r="E174" t="str">
        <f t="shared" si="75"/>
        <v>SP002</v>
      </c>
      <c r="F174" t="str">
        <f>INDEX(Katalog!$B$4:$B$13,MATCH('Main Data'!E174,Katalog!$C$4:$C$13,0))</f>
        <v>Sandal Slip On</v>
      </c>
      <c r="G174" t="str">
        <f>VLOOKUP(E174,Katalog!$A$15:$B$25,2,0)</f>
        <v>Sepatu Pria</v>
      </c>
      <c r="H174" t="str">
        <f t="shared" si="76"/>
        <v>3</v>
      </c>
      <c r="I174" t="str">
        <f t="shared" si="77"/>
        <v>2</v>
      </c>
      <c r="J174" s="18">
        <f>VLOOKUP(E174,Katalog!$C$3:$F$13,2,0)</f>
        <v>120000</v>
      </c>
      <c r="K174" s="18">
        <f>VLOOKUP(E174,Katalog!$C$3:$F$13,3,0)</f>
        <v>60000</v>
      </c>
      <c r="L174" t="str">
        <f t="shared" si="78"/>
        <v>SW001</v>
      </c>
      <c r="M174" t="str">
        <f>IFERROR(INDEX(Katalog!$B$4:$B$13,MATCH('Main Data'!L174,Katalog!$C$4:$C$13,0)), "-")</f>
        <v>Flat Shoes</v>
      </c>
      <c r="N174" t="str">
        <f>IFERROR(VLOOKUP(L174,Katalog!$A$15:$B$25,2,0),"-")</f>
        <v>Sepatu Wanita</v>
      </c>
      <c r="O174" t="str">
        <f t="shared" si="79"/>
        <v>1</v>
      </c>
      <c r="P174" t="str">
        <f t="shared" si="80"/>
        <v>2</v>
      </c>
      <c r="Q174" s="18">
        <f>IFERROR(VLOOKUP(L174,Katalog!$C$3:$F$13,2,0),0)</f>
        <v>150000</v>
      </c>
      <c r="R174" s="18">
        <f>IFERROR(VLOOKUP(L174,Katalog!$C$3:$F$13,3,0),0)</f>
        <v>70000</v>
      </c>
      <c r="S174" t="str">
        <f t="shared" si="81"/>
        <v>SW001</v>
      </c>
      <c r="T174" t="str">
        <f>IFERROR(INDEX(Katalog!$B$4:$B$13,MATCH('Main Data'!S174,Katalog!$C$4:$C$13,0)),"-")</f>
        <v>Flat Shoes</v>
      </c>
      <c r="U174" t="str">
        <f>IFERROR(VLOOKUP(S174,Katalog!$A$15:$B$25,2,0),"-")</f>
        <v>Sepatu Wanita</v>
      </c>
      <c r="V174" t="str">
        <f t="shared" si="82"/>
        <v>2</v>
      </c>
      <c r="W174" s="28" t="str">
        <f t="shared" si="83"/>
        <v>2</v>
      </c>
      <c r="X174" s="18">
        <f>IFERROR(VLOOKUP(S174,Katalog!$C$3:$F$13,2,0),0)</f>
        <v>150000</v>
      </c>
      <c r="Y174" s="30">
        <f>IFERROR(VLOOKUP(S174,Katalog!$C$3:$F$13,3,0),0)</f>
        <v>70000</v>
      </c>
      <c r="Z174" s="2">
        <f t="shared" si="84"/>
        <v>6</v>
      </c>
      <c r="AA174" s="4">
        <f t="shared" si="85"/>
        <v>810000</v>
      </c>
      <c r="AB174" s="4">
        <f t="shared" si="86"/>
        <v>390000</v>
      </c>
      <c r="AC174" s="4" t="s">
        <v>7</v>
      </c>
      <c r="AD174" s="16">
        <f>IFERROR(VLOOKUP(AC174,'Kode Diskon'!$C$2:$D$9,2,0),0)</f>
        <v>0.2</v>
      </c>
      <c r="AE174" s="31">
        <f t="shared" si="87"/>
        <v>162000</v>
      </c>
      <c r="AF174" s="31">
        <f t="shared" si="88"/>
        <v>648000</v>
      </c>
      <c r="AG174" s="31">
        <f t="shared" si="89"/>
        <v>420000</v>
      </c>
      <c r="AH174" s="31">
        <f t="shared" si="90"/>
        <v>258000</v>
      </c>
      <c r="AI174" s="4" t="s">
        <v>8</v>
      </c>
      <c r="AJ174" s="4" t="s">
        <v>6</v>
      </c>
      <c r="AK174" s="4" t="str">
        <f>IFERROR(VLOOKUP(AJ174,'Guide '!$A$13:$B$16,2,0),"-")</f>
        <v>SP</v>
      </c>
      <c r="AL174" s="4" t="s">
        <v>925</v>
      </c>
      <c r="AM174" s="40">
        <v>45353</v>
      </c>
      <c r="AN174">
        <f t="shared" si="91"/>
        <v>29</v>
      </c>
      <c r="AO174">
        <f t="shared" si="92"/>
        <v>32</v>
      </c>
      <c r="AP174">
        <f t="shared" si="93"/>
        <v>40</v>
      </c>
      <c r="AQ174">
        <f t="shared" si="94"/>
        <v>43</v>
      </c>
      <c r="AR174" s="26">
        <f t="shared" si="95"/>
        <v>56</v>
      </c>
      <c r="AS174" s="26">
        <f t="shared" si="96"/>
        <v>63</v>
      </c>
      <c r="AT174" s="21">
        <f t="shared" si="97"/>
        <v>12</v>
      </c>
      <c r="AU174" s="21">
        <f t="shared" si="98"/>
        <v>19</v>
      </c>
      <c r="AV174">
        <f t="shared" si="99"/>
        <v>73</v>
      </c>
      <c r="AW174">
        <f t="shared" si="100"/>
        <v>76</v>
      </c>
      <c r="AX174">
        <f t="shared" si="101"/>
        <v>84</v>
      </c>
      <c r="AY174">
        <f t="shared" si="102"/>
        <v>87</v>
      </c>
      <c r="AZ174">
        <f t="shared" si="103"/>
        <v>100</v>
      </c>
      <c r="BA174">
        <f t="shared" si="104"/>
        <v>107</v>
      </c>
      <c r="BB174">
        <f t="shared" si="105"/>
        <v>117</v>
      </c>
      <c r="BC174">
        <f t="shared" si="106"/>
        <v>120</v>
      </c>
      <c r="BD174" s="29">
        <f t="shared" si="107"/>
        <v>128</v>
      </c>
      <c r="BE174" s="29">
        <f t="shared" si="108"/>
        <v>131</v>
      </c>
    </row>
    <row r="175" spans="1:57" ht="15" x14ac:dyDescent="0.2">
      <c r="A175" s="2">
        <v>689</v>
      </c>
      <c r="B175" s="2" t="str">
        <f t="shared" si="73"/>
        <v>0689</v>
      </c>
      <c r="C175" t="str">
        <f t="shared" si="74"/>
        <v>ORD-BB-0689-02/03/24</v>
      </c>
      <c r="D175" s="3" t="s">
        <v>685</v>
      </c>
      <c r="E175" t="str">
        <f t="shared" si="75"/>
        <v>PU001</v>
      </c>
      <c r="F175" t="str">
        <f>INDEX(Katalog!$B$4:$B$13,MATCH('Main Data'!E175,Katalog!$C$4:$C$13,0))</f>
        <v>Jaket Hoodie</v>
      </c>
      <c r="G175" t="str">
        <f>VLOOKUP(E175,Katalog!$A$15:$B$25,2,0)</f>
        <v>Pakaian Unisex</v>
      </c>
      <c r="H175" t="str">
        <f t="shared" si="76"/>
        <v>1</v>
      </c>
      <c r="I175" t="str">
        <f t="shared" si="77"/>
        <v>4</v>
      </c>
      <c r="J175" s="18">
        <f>VLOOKUP(E175,Katalog!$C$3:$F$13,2,0)</f>
        <v>160000</v>
      </c>
      <c r="K175" s="18">
        <f>VLOOKUP(E175,Katalog!$C$3:$F$13,3,0)</f>
        <v>60000</v>
      </c>
      <c r="L175" t="str">
        <f t="shared" si="78"/>
        <v>-</v>
      </c>
      <c r="M175" t="str">
        <f>IFERROR(INDEX(Katalog!$B$4:$B$13,MATCH('Main Data'!L175,Katalog!$C$4:$C$13,0)), "-")</f>
        <v>-</v>
      </c>
      <c r="N175" t="str">
        <f>IFERROR(VLOOKUP(L175,Katalog!$A$15:$B$25,2,0),"-")</f>
        <v>-</v>
      </c>
      <c r="O175">
        <f t="shared" si="79"/>
        <v>0</v>
      </c>
      <c r="P175" t="str">
        <f t="shared" si="80"/>
        <v>-</v>
      </c>
      <c r="Q175" s="18">
        <f>IFERROR(VLOOKUP(L175,Katalog!$C$3:$F$13,2,0),0)</f>
        <v>0</v>
      </c>
      <c r="R175" s="18">
        <f>IFERROR(VLOOKUP(L175,Katalog!$C$3:$F$13,3,0),0)</f>
        <v>0</v>
      </c>
      <c r="S175" t="str">
        <f t="shared" si="81"/>
        <v>-</v>
      </c>
      <c r="T175" t="str">
        <f>IFERROR(INDEX(Katalog!$B$4:$B$13,MATCH('Main Data'!S175,Katalog!$C$4:$C$13,0)),"-")</f>
        <v>-</v>
      </c>
      <c r="U175" t="str">
        <f>IFERROR(VLOOKUP(S175,Katalog!$A$15:$B$25,2,0),"-")</f>
        <v>-</v>
      </c>
      <c r="V175">
        <f t="shared" si="82"/>
        <v>0</v>
      </c>
      <c r="W175" s="28" t="str">
        <f t="shared" si="83"/>
        <v>-</v>
      </c>
      <c r="X175" s="18">
        <f>IFERROR(VLOOKUP(S175,Katalog!$C$3:$F$13,2,0),0)</f>
        <v>0</v>
      </c>
      <c r="Y175" s="30">
        <f>IFERROR(VLOOKUP(S175,Katalog!$C$3:$F$13,3,0),0)</f>
        <v>0</v>
      </c>
      <c r="Z175" s="2">
        <f t="shared" si="84"/>
        <v>1</v>
      </c>
      <c r="AA175" s="4">
        <f t="shared" si="85"/>
        <v>160000</v>
      </c>
      <c r="AB175" s="4">
        <f t="shared" si="86"/>
        <v>60000</v>
      </c>
      <c r="AC175" s="4" t="s">
        <v>10</v>
      </c>
      <c r="AD175" s="16">
        <f>IFERROR(VLOOKUP(AC175,'Kode Diskon'!$C$2:$D$9,2,0),0)</f>
        <v>0</v>
      </c>
      <c r="AE175" s="31">
        <f t="shared" si="87"/>
        <v>0</v>
      </c>
      <c r="AF175" s="31">
        <f t="shared" si="88"/>
        <v>160000</v>
      </c>
      <c r="AG175" s="31">
        <f t="shared" si="89"/>
        <v>100000</v>
      </c>
      <c r="AH175" s="31">
        <f t="shared" si="90"/>
        <v>100000</v>
      </c>
      <c r="AI175" s="4" t="s">
        <v>10</v>
      </c>
      <c r="AJ175" s="4" t="s">
        <v>13</v>
      </c>
      <c r="AK175" s="4" t="str">
        <f>IFERROR(VLOOKUP(AJ175,'Guide '!$A$13:$B$16,2,0),"-")</f>
        <v>BB</v>
      </c>
      <c r="AL175" s="4" t="s">
        <v>924</v>
      </c>
      <c r="AM175" s="40">
        <v>45353</v>
      </c>
      <c r="AN175">
        <f t="shared" si="91"/>
        <v>29</v>
      </c>
      <c r="AO175">
        <f t="shared" si="92"/>
        <v>32</v>
      </c>
      <c r="AP175">
        <f t="shared" si="93"/>
        <v>40</v>
      </c>
      <c r="AQ175">
        <f t="shared" si="94"/>
        <v>43</v>
      </c>
      <c r="AR175" s="26" t="str">
        <f t="shared" si="95"/>
        <v>-</v>
      </c>
      <c r="AS175" s="26" t="str">
        <f t="shared" si="96"/>
        <v>-</v>
      </c>
      <c r="AT175" s="21">
        <f t="shared" si="97"/>
        <v>12</v>
      </c>
      <c r="AU175" s="21">
        <f t="shared" si="98"/>
        <v>19</v>
      </c>
      <c r="AV175" t="str">
        <f t="shared" si="99"/>
        <v>-</v>
      </c>
      <c r="AW175" t="str">
        <f t="shared" si="100"/>
        <v>-</v>
      </c>
      <c r="AX175" t="str">
        <f t="shared" si="101"/>
        <v>-</v>
      </c>
      <c r="AY175" t="str">
        <f t="shared" si="102"/>
        <v>-</v>
      </c>
      <c r="AZ175" t="str">
        <f t="shared" si="103"/>
        <v>-</v>
      </c>
      <c r="BA175" t="str">
        <f t="shared" si="104"/>
        <v>-</v>
      </c>
      <c r="BB175" t="str">
        <f t="shared" si="105"/>
        <v>-</v>
      </c>
      <c r="BC175" t="str">
        <f t="shared" si="106"/>
        <v>-</v>
      </c>
      <c r="BD175" s="29" t="str">
        <f t="shared" si="107"/>
        <v>-</v>
      </c>
      <c r="BE175" s="29" t="str">
        <f t="shared" si="108"/>
        <v>-</v>
      </c>
    </row>
    <row r="176" spans="1:57" ht="15" x14ac:dyDescent="0.2">
      <c r="A176" s="2">
        <v>338</v>
      </c>
      <c r="B176" s="2" t="str">
        <f t="shared" si="73"/>
        <v>0338</v>
      </c>
      <c r="C176" t="str">
        <f t="shared" si="74"/>
        <v>ORD-TK-0338-03/03/24</v>
      </c>
      <c r="D176" s="3" t="s">
        <v>390</v>
      </c>
      <c r="E176" t="str">
        <f t="shared" si="75"/>
        <v>SW001</v>
      </c>
      <c r="F176" t="str">
        <f>INDEX(Katalog!$B$4:$B$13,MATCH('Main Data'!E176,Katalog!$C$4:$C$13,0))</f>
        <v>Flat Shoes</v>
      </c>
      <c r="G176" t="str">
        <f>VLOOKUP(E176,Katalog!$A$15:$B$25,2,0)</f>
        <v>Sepatu Wanita</v>
      </c>
      <c r="H176" t="str">
        <f t="shared" si="76"/>
        <v>1</v>
      </c>
      <c r="I176" t="str">
        <f t="shared" si="77"/>
        <v>3</v>
      </c>
      <c r="J176" s="18">
        <f>VLOOKUP(E176,Katalog!$C$3:$F$13,2,0)</f>
        <v>150000</v>
      </c>
      <c r="K176" s="18">
        <f>VLOOKUP(E176,Katalog!$C$3:$F$13,3,0)</f>
        <v>70000</v>
      </c>
      <c r="L176" t="str">
        <f t="shared" si="78"/>
        <v>-</v>
      </c>
      <c r="M176" t="str">
        <f>IFERROR(INDEX(Katalog!$B$4:$B$13,MATCH('Main Data'!L176,Katalog!$C$4:$C$13,0)), "-")</f>
        <v>-</v>
      </c>
      <c r="N176" t="str">
        <f>IFERROR(VLOOKUP(L176,Katalog!$A$15:$B$25,2,0),"-")</f>
        <v>-</v>
      </c>
      <c r="O176">
        <f t="shared" si="79"/>
        <v>0</v>
      </c>
      <c r="P176" t="str">
        <f t="shared" si="80"/>
        <v>-</v>
      </c>
      <c r="Q176" s="18">
        <f>IFERROR(VLOOKUP(L176,Katalog!$C$3:$F$13,2,0),0)</f>
        <v>0</v>
      </c>
      <c r="R176" s="18">
        <f>IFERROR(VLOOKUP(L176,Katalog!$C$3:$F$13,3,0),0)</f>
        <v>0</v>
      </c>
      <c r="S176" t="str">
        <f t="shared" si="81"/>
        <v>-</v>
      </c>
      <c r="T176" t="str">
        <f>IFERROR(INDEX(Katalog!$B$4:$B$13,MATCH('Main Data'!S176,Katalog!$C$4:$C$13,0)),"-")</f>
        <v>-</v>
      </c>
      <c r="U176" t="str">
        <f>IFERROR(VLOOKUP(S176,Katalog!$A$15:$B$25,2,0),"-")</f>
        <v>-</v>
      </c>
      <c r="V176">
        <f t="shared" si="82"/>
        <v>0</v>
      </c>
      <c r="W176" s="28" t="str">
        <f t="shared" si="83"/>
        <v>-</v>
      </c>
      <c r="X176" s="18">
        <f>IFERROR(VLOOKUP(S176,Katalog!$C$3:$F$13,2,0),0)</f>
        <v>0</v>
      </c>
      <c r="Y176" s="30">
        <f>IFERROR(VLOOKUP(S176,Katalog!$C$3:$F$13,3,0),0)</f>
        <v>0</v>
      </c>
      <c r="Z176" s="2">
        <f t="shared" si="84"/>
        <v>1</v>
      </c>
      <c r="AA176" s="4">
        <f t="shared" si="85"/>
        <v>150000</v>
      </c>
      <c r="AB176" s="4">
        <f t="shared" si="86"/>
        <v>70000</v>
      </c>
      <c r="AC176" s="4" t="s">
        <v>30</v>
      </c>
      <c r="AD176" s="16">
        <f>IFERROR(VLOOKUP(AC176,'Kode Diskon'!$C$2:$D$9,2,0),0)</f>
        <v>0.1</v>
      </c>
      <c r="AE176" s="31">
        <f t="shared" si="87"/>
        <v>15000</v>
      </c>
      <c r="AF176" s="31">
        <f t="shared" si="88"/>
        <v>135000</v>
      </c>
      <c r="AG176" s="31">
        <f t="shared" si="89"/>
        <v>80000</v>
      </c>
      <c r="AH176" s="31">
        <f t="shared" si="90"/>
        <v>65000</v>
      </c>
      <c r="AI176" s="4" t="s">
        <v>8</v>
      </c>
      <c r="AJ176" s="4" t="s">
        <v>9</v>
      </c>
      <c r="AK176" s="4" t="str">
        <f>IFERROR(VLOOKUP(AJ176,'Guide '!$A$13:$B$16,2,0),"-")</f>
        <v>TK</v>
      </c>
      <c r="AL176" s="4" t="s">
        <v>924</v>
      </c>
      <c r="AM176" s="40">
        <v>45354</v>
      </c>
      <c r="AN176">
        <f t="shared" si="91"/>
        <v>29</v>
      </c>
      <c r="AO176">
        <f t="shared" si="92"/>
        <v>32</v>
      </c>
      <c r="AP176">
        <f t="shared" si="93"/>
        <v>40</v>
      </c>
      <c r="AQ176">
        <f t="shared" si="94"/>
        <v>43</v>
      </c>
      <c r="AR176" s="26" t="str">
        <f t="shared" si="95"/>
        <v>-</v>
      </c>
      <c r="AS176" s="26" t="str">
        <f t="shared" si="96"/>
        <v>-</v>
      </c>
      <c r="AT176" s="21">
        <f t="shared" si="97"/>
        <v>12</v>
      </c>
      <c r="AU176" s="21">
        <f t="shared" si="98"/>
        <v>19</v>
      </c>
      <c r="AV176" t="str">
        <f t="shared" si="99"/>
        <v>-</v>
      </c>
      <c r="AW176" t="str">
        <f t="shared" si="100"/>
        <v>-</v>
      </c>
      <c r="AX176" t="str">
        <f t="shared" si="101"/>
        <v>-</v>
      </c>
      <c r="AY176" t="str">
        <f t="shared" si="102"/>
        <v>-</v>
      </c>
      <c r="AZ176" t="str">
        <f t="shared" si="103"/>
        <v>-</v>
      </c>
      <c r="BA176" t="str">
        <f t="shared" si="104"/>
        <v>-</v>
      </c>
      <c r="BB176" t="str">
        <f t="shared" si="105"/>
        <v>-</v>
      </c>
      <c r="BC176" t="str">
        <f t="shared" si="106"/>
        <v>-</v>
      </c>
      <c r="BD176" s="29" t="str">
        <f t="shared" si="107"/>
        <v>-</v>
      </c>
      <c r="BE176" s="29" t="str">
        <f t="shared" si="108"/>
        <v>-</v>
      </c>
    </row>
    <row r="177" spans="1:57" ht="15" x14ac:dyDescent="0.2">
      <c r="A177" s="2">
        <v>555</v>
      </c>
      <c r="B177" s="2" t="str">
        <f t="shared" si="73"/>
        <v>0555</v>
      </c>
      <c r="C177" t="str">
        <f t="shared" si="74"/>
        <v>ORD-SP-0555-03/03/24</v>
      </c>
      <c r="D177" s="3" t="s">
        <v>577</v>
      </c>
      <c r="E177" t="str">
        <f t="shared" si="75"/>
        <v>SP001</v>
      </c>
      <c r="F177" t="str">
        <f>INDEX(Katalog!$B$4:$B$13,MATCH('Main Data'!E177,Katalog!$C$4:$C$13,0))</f>
        <v>Sneakers</v>
      </c>
      <c r="G177" t="str">
        <f>VLOOKUP(E177,Katalog!$A$15:$B$25,2,0)</f>
        <v>Sepatu Pria</v>
      </c>
      <c r="H177" t="str">
        <f t="shared" si="76"/>
        <v>3</v>
      </c>
      <c r="I177" t="str">
        <f t="shared" si="77"/>
        <v>4</v>
      </c>
      <c r="J177" s="18">
        <f>VLOOKUP(E177,Katalog!$C$3:$F$13,2,0)</f>
        <v>300000</v>
      </c>
      <c r="K177" s="18">
        <f>VLOOKUP(E177,Katalog!$C$3:$F$13,3,0)</f>
        <v>100000</v>
      </c>
      <c r="L177" t="str">
        <f t="shared" si="78"/>
        <v>PP003</v>
      </c>
      <c r="M177" t="str">
        <f>IFERROR(INDEX(Katalog!$B$4:$B$13,MATCH('Main Data'!L177,Katalog!$C$4:$C$13,0)), "-")</f>
        <v>Jaket Jeans</v>
      </c>
      <c r="N177" t="str">
        <f>IFERROR(VLOOKUP(L177,Katalog!$A$15:$B$25,2,0),"-")</f>
        <v>Pakaian Pria</v>
      </c>
      <c r="O177" t="str">
        <f t="shared" si="79"/>
        <v>1</v>
      </c>
      <c r="P177" t="str">
        <f t="shared" si="80"/>
        <v>2</v>
      </c>
      <c r="Q177" s="18">
        <f>IFERROR(VLOOKUP(L177,Katalog!$C$3:$F$13,2,0),0)</f>
        <v>150000</v>
      </c>
      <c r="R177" s="18">
        <f>IFERROR(VLOOKUP(L177,Katalog!$C$3:$F$13,3,0),0)</f>
        <v>70000</v>
      </c>
      <c r="S177" t="str">
        <f t="shared" si="81"/>
        <v>SP001</v>
      </c>
      <c r="T177" t="str">
        <f>IFERROR(INDEX(Katalog!$B$4:$B$13,MATCH('Main Data'!S177,Katalog!$C$4:$C$13,0)),"-")</f>
        <v>Sneakers</v>
      </c>
      <c r="U177" t="str">
        <f>IFERROR(VLOOKUP(S177,Katalog!$A$15:$B$25,2,0),"-")</f>
        <v>Sepatu Pria</v>
      </c>
      <c r="V177" t="str">
        <f t="shared" si="82"/>
        <v>2</v>
      </c>
      <c r="W177" s="28" t="str">
        <f t="shared" si="83"/>
        <v>2</v>
      </c>
      <c r="X177" s="18">
        <f>IFERROR(VLOOKUP(S177,Katalog!$C$3:$F$13,2,0),0)</f>
        <v>300000</v>
      </c>
      <c r="Y177" s="30">
        <f>IFERROR(VLOOKUP(S177,Katalog!$C$3:$F$13,3,0),0)</f>
        <v>100000</v>
      </c>
      <c r="Z177" s="2">
        <f t="shared" si="84"/>
        <v>6</v>
      </c>
      <c r="AA177" s="4">
        <f t="shared" si="85"/>
        <v>1650000</v>
      </c>
      <c r="AB177" s="4">
        <f t="shared" si="86"/>
        <v>570000</v>
      </c>
      <c r="AC177" s="4" t="s">
        <v>5</v>
      </c>
      <c r="AD177" s="16">
        <f>IFERROR(VLOOKUP(AC177,'Kode Diskon'!$C$2:$D$9,2,0),0)</f>
        <v>0.1</v>
      </c>
      <c r="AE177" s="31">
        <f t="shared" si="87"/>
        <v>165000</v>
      </c>
      <c r="AF177" s="31">
        <f t="shared" si="88"/>
        <v>1485000</v>
      </c>
      <c r="AG177" s="31">
        <f t="shared" si="89"/>
        <v>1080000</v>
      </c>
      <c r="AH177" s="31">
        <f t="shared" si="90"/>
        <v>915000</v>
      </c>
      <c r="AI177" s="4" t="s">
        <v>28</v>
      </c>
      <c r="AJ177" s="4" t="s">
        <v>6</v>
      </c>
      <c r="AK177" s="4" t="str">
        <f>IFERROR(VLOOKUP(AJ177,'Guide '!$A$13:$B$16,2,0),"-")</f>
        <v>SP</v>
      </c>
      <c r="AL177" s="4" t="s">
        <v>924</v>
      </c>
      <c r="AM177" s="40">
        <v>45354</v>
      </c>
      <c r="AN177">
        <f t="shared" si="91"/>
        <v>29</v>
      </c>
      <c r="AO177">
        <f t="shared" si="92"/>
        <v>32</v>
      </c>
      <c r="AP177">
        <f t="shared" si="93"/>
        <v>40</v>
      </c>
      <c r="AQ177">
        <f t="shared" si="94"/>
        <v>43</v>
      </c>
      <c r="AR177" s="26">
        <f t="shared" si="95"/>
        <v>56</v>
      </c>
      <c r="AS177" s="26">
        <f t="shared" si="96"/>
        <v>63</v>
      </c>
      <c r="AT177" s="21">
        <f t="shared" si="97"/>
        <v>12</v>
      </c>
      <c r="AU177" s="21">
        <f t="shared" si="98"/>
        <v>19</v>
      </c>
      <c r="AV177">
        <f t="shared" si="99"/>
        <v>73</v>
      </c>
      <c r="AW177">
        <f t="shared" si="100"/>
        <v>76</v>
      </c>
      <c r="AX177">
        <f t="shared" si="101"/>
        <v>84</v>
      </c>
      <c r="AY177">
        <f t="shared" si="102"/>
        <v>87</v>
      </c>
      <c r="AZ177">
        <f t="shared" si="103"/>
        <v>100</v>
      </c>
      <c r="BA177">
        <f t="shared" si="104"/>
        <v>107</v>
      </c>
      <c r="BB177">
        <f t="shared" si="105"/>
        <v>117</v>
      </c>
      <c r="BC177">
        <f t="shared" si="106"/>
        <v>120</v>
      </c>
      <c r="BD177" s="29">
        <f t="shared" si="107"/>
        <v>128</v>
      </c>
      <c r="BE177" s="29">
        <f t="shared" si="108"/>
        <v>131</v>
      </c>
    </row>
    <row r="178" spans="1:57" ht="15" x14ac:dyDescent="0.2">
      <c r="A178" s="2">
        <v>688</v>
      </c>
      <c r="B178" s="2" t="str">
        <f t="shared" si="73"/>
        <v>0688</v>
      </c>
      <c r="C178" t="str">
        <f t="shared" si="74"/>
        <v>ORD-SP-0688-03/03/24</v>
      </c>
      <c r="D178" s="3" t="s">
        <v>684</v>
      </c>
      <c r="E178" t="str">
        <f t="shared" si="75"/>
        <v>PU001</v>
      </c>
      <c r="F178" t="str">
        <f>INDEX(Katalog!$B$4:$B$13,MATCH('Main Data'!E178,Katalog!$C$4:$C$13,0))</f>
        <v>Jaket Hoodie</v>
      </c>
      <c r="G178" t="str">
        <f>VLOOKUP(E178,Katalog!$A$15:$B$25,2,0)</f>
        <v>Pakaian Unisex</v>
      </c>
      <c r="H178" t="str">
        <f t="shared" si="76"/>
        <v>4</v>
      </c>
      <c r="I178" t="str">
        <f t="shared" si="77"/>
        <v>2</v>
      </c>
      <c r="J178" s="18">
        <f>VLOOKUP(E178,Katalog!$C$3:$F$13,2,0)</f>
        <v>160000</v>
      </c>
      <c r="K178" s="18">
        <f>VLOOKUP(E178,Katalog!$C$3:$F$13,3,0)</f>
        <v>60000</v>
      </c>
      <c r="L178" t="str">
        <f t="shared" si="78"/>
        <v>PP002</v>
      </c>
      <c r="M178" t="str">
        <f>IFERROR(INDEX(Katalog!$B$4:$B$13,MATCH('Main Data'!L178,Katalog!$C$4:$C$13,0)), "-")</f>
        <v>Celana Pendek</v>
      </c>
      <c r="N178" t="str">
        <f>IFERROR(VLOOKUP(L178,Katalog!$A$15:$B$25,2,0),"-")</f>
        <v>Pakaian Pria</v>
      </c>
      <c r="O178" t="str">
        <f t="shared" si="79"/>
        <v>1</v>
      </c>
      <c r="P178" t="str">
        <f t="shared" si="80"/>
        <v>2</v>
      </c>
      <c r="Q178" s="18">
        <f>IFERROR(VLOOKUP(L178,Katalog!$C$3:$F$13,2,0),0)</f>
        <v>60000</v>
      </c>
      <c r="R178" s="18">
        <f>IFERROR(VLOOKUP(L178,Katalog!$C$3:$F$13,3,0),0)</f>
        <v>25000</v>
      </c>
      <c r="S178" t="str">
        <f t="shared" si="81"/>
        <v>-</v>
      </c>
      <c r="T178" t="str">
        <f>IFERROR(INDEX(Katalog!$B$4:$B$13,MATCH('Main Data'!S178,Katalog!$C$4:$C$13,0)),"-")</f>
        <v>-</v>
      </c>
      <c r="U178" t="str">
        <f>IFERROR(VLOOKUP(S178,Katalog!$A$15:$B$25,2,0),"-")</f>
        <v>-</v>
      </c>
      <c r="V178">
        <f t="shared" si="82"/>
        <v>0</v>
      </c>
      <c r="W178" s="28" t="str">
        <f t="shared" si="83"/>
        <v>-</v>
      </c>
      <c r="X178" s="18">
        <f>IFERROR(VLOOKUP(S178,Katalog!$C$3:$F$13,2,0),0)</f>
        <v>0</v>
      </c>
      <c r="Y178" s="30">
        <f>IFERROR(VLOOKUP(S178,Katalog!$C$3:$F$13,3,0),0)</f>
        <v>0</v>
      </c>
      <c r="Z178" s="2">
        <f t="shared" si="84"/>
        <v>5</v>
      </c>
      <c r="AA178" s="4">
        <f t="shared" si="85"/>
        <v>700000</v>
      </c>
      <c r="AB178" s="4">
        <f t="shared" si="86"/>
        <v>265000</v>
      </c>
      <c r="AC178" s="4" t="s">
        <v>7</v>
      </c>
      <c r="AD178" s="16">
        <f>IFERROR(VLOOKUP(AC178,'Kode Diskon'!$C$2:$D$9,2,0),0)</f>
        <v>0.2</v>
      </c>
      <c r="AE178" s="31">
        <f t="shared" si="87"/>
        <v>140000</v>
      </c>
      <c r="AF178" s="31">
        <f t="shared" si="88"/>
        <v>560000</v>
      </c>
      <c r="AG178" s="31">
        <f t="shared" si="89"/>
        <v>435000</v>
      </c>
      <c r="AH178" s="31">
        <f t="shared" si="90"/>
        <v>295000</v>
      </c>
      <c r="AI178" s="4" t="s">
        <v>8</v>
      </c>
      <c r="AJ178" s="4" t="s">
        <v>6</v>
      </c>
      <c r="AK178" s="4" t="str">
        <f>IFERROR(VLOOKUP(AJ178,'Guide '!$A$13:$B$16,2,0),"-")</f>
        <v>SP</v>
      </c>
      <c r="AL178" s="4" t="s">
        <v>924</v>
      </c>
      <c r="AM178" s="40">
        <v>45354</v>
      </c>
      <c r="AN178">
        <f t="shared" si="91"/>
        <v>29</v>
      </c>
      <c r="AO178">
        <f t="shared" si="92"/>
        <v>32</v>
      </c>
      <c r="AP178">
        <f t="shared" si="93"/>
        <v>40</v>
      </c>
      <c r="AQ178">
        <f t="shared" si="94"/>
        <v>43</v>
      </c>
      <c r="AR178" s="26">
        <f t="shared" si="95"/>
        <v>56</v>
      </c>
      <c r="AS178" s="26">
        <f t="shared" si="96"/>
        <v>63</v>
      </c>
      <c r="AT178" s="21">
        <f t="shared" si="97"/>
        <v>12</v>
      </c>
      <c r="AU178" s="21">
        <f t="shared" si="98"/>
        <v>19</v>
      </c>
      <c r="AV178">
        <f t="shared" si="99"/>
        <v>73</v>
      </c>
      <c r="AW178">
        <f t="shared" si="100"/>
        <v>76</v>
      </c>
      <c r="AX178">
        <f t="shared" si="101"/>
        <v>84</v>
      </c>
      <c r="AY178">
        <f t="shared" si="102"/>
        <v>87</v>
      </c>
      <c r="AZ178" t="str">
        <f t="shared" si="103"/>
        <v>-</v>
      </c>
      <c r="BA178" t="str">
        <f t="shared" si="104"/>
        <v>-</v>
      </c>
      <c r="BB178" t="str">
        <f t="shared" si="105"/>
        <v>-</v>
      </c>
      <c r="BC178" t="str">
        <f t="shared" si="106"/>
        <v>-</v>
      </c>
      <c r="BD178" s="29" t="str">
        <f t="shared" si="107"/>
        <v>-</v>
      </c>
      <c r="BE178" s="29" t="str">
        <f t="shared" si="108"/>
        <v>-</v>
      </c>
    </row>
    <row r="179" spans="1:57" ht="15" x14ac:dyDescent="0.2">
      <c r="A179" s="2">
        <v>328</v>
      </c>
      <c r="B179" s="2" t="str">
        <f t="shared" si="73"/>
        <v>0328</v>
      </c>
      <c r="C179" t="str">
        <f t="shared" si="74"/>
        <v>ORD-BB-0328-04/03/24</v>
      </c>
      <c r="D179" s="3" t="s">
        <v>214</v>
      </c>
      <c r="E179" t="str">
        <f t="shared" si="75"/>
        <v>PU001</v>
      </c>
      <c r="F179" t="str">
        <f>INDEX(Katalog!$B$4:$B$13,MATCH('Main Data'!E179,Katalog!$C$4:$C$13,0))</f>
        <v>Jaket Hoodie</v>
      </c>
      <c r="G179" t="str">
        <f>VLOOKUP(E179,Katalog!$A$15:$B$25,2,0)</f>
        <v>Pakaian Unisex</v>
      </c>
      <c r="H179" t="str">
        <f t="shared" si="76"/>
        <v>1</v>
      </c>
      <c r="I179" t="str">
        <f t="shared" si="77"/>
        <v>1</v>
      </c>
      <c r="J179" s="18">
        <f>VLOOKUP(E179,Katalog!$C$3:$F$13,2,0)</f>
        <v>160000</v>
      </c>
      <c r="K179" s="18">
        <f>VLOOKUP(E179,Katalog!$C$3:$F$13,3,0)</f>
        <v>60000</v>
      </c>
      <c r="L179" t="str">
        <f t="shared" si="78"/>
        <v>-</v>
      </c>
      <c r="M179" t="str">
        <f>IFERROR(INDEX(Katalog!$B$4:$B$13,MATCH('Main Data'!L179,Katalog!$C$4:$C$13,0)), "-")</f>
        <v>-</v>
      </c>
      <c r="N179" t="str">
        <f>IFERROR(VLOOKUP(L179,Katalog!$A$15:$B$25,2,0),"-")</f>
        <v>-</v>
      </c>
      <c r="O179">
        <f t="shared" si="79"/>
        <v>0</v>
      </c>
      <c r="P179" t="str">
        <f t="shared" si="80"/>
        <v>-</v>
      </c>
      <c r="Q179" s="18">
        <f>IFERROR(VLOOKUP(L179,Katalog!$C$3:$F$13,2,0),0)</f>
        <v>0</v>
      </c>
      <c r="R179" s="18">
        <f>IFERROR(VLOOKUP(L179,Katalog!$C$3:$F$13,3,0),0)</f>
        <v>0</v>
      </c>
      <c r="S179" t="str">
        <f t="shared" si="81"/>
        <v>-</v>
      </c>
      <c r="T179" t="str">
        <f>IFERROR(INDEX(Katalog!$B$4:$B$13,MATCH('Main Data'!S179,Katalog!$C$4:$C$13,0)),"-")</f>
        <v>-</v>
      </c>
      <c r="U179" t="str">
        <f>IFERROR(VLOOKUP(S179,Katalog!$A$15:$B$25,2,0),"-")</f>
        <v>-</v>
      </c>
      <c r="V179">
        <f t="shared" si="82"/>
        <v>0</v>
      </c>
      <c r="W179" s="28" t="str">
        <f t="shared" si="83"/>
        <v>-</v>
      </c>
      <c r="X179" s="18">
        <f>IFERROR(VLOOKUP(S179,Katalog!$C$3:$F$13,2,0),0)</f>
        <v>0</v>
      </c>
      <c r="Y179" s="30">
        <f>IFERROR(VLOOKUP(S179,Katalog!$C$3:$F$13,3,0),0)</f>
        <v>0</v>
      </c>
      <c r="Z179" s="2">
        <f t="shared" si="84"/>
        <v>1</v>
      </c>
      <c r="AA179" s="4">
        <f t="shared" si="85"/>
        <v>160000</v>
      </c>
      <c r="AB179" s="4">
        <f t="shared" si="86"/>
        <v>60000</v>
      </c>
      <c r="AC179" s="4" t="s">
        <v>27</v>
      </c>
      <c r="AD179" s="16">
        <f>IFERROR(VLOOKUP(AC179,'Kode Diskon'!$C$2:$D$9,2,0),0)</f>
        <v>0.15</v>
      </c>
      <c r="AE179" s="31">
        <f t="shared" si="87"/>
        <v>24000</v>
      </c>
      <c r="AF179" s="31">
        <f t="shared" si="88"/>
        <v>136000</v>
      </c>
      <c r="AG179" s="31">
        <f t="shared" si="89"/>
        <v>100000</v>
      </c>
      <c r="AH179" s="31">
        <f t="shared" si="90"/>
        <v>76000</v>
      </c>
      <c r="AI179" s="4" t="s">
        <v>28</v>
      </c>
      <c r="AJ179" s="4" t="s">
        <v>13</v>
      </c>
      <c r="AK179" s="4" t="str">
        <f>IFERROR(VLOOKUP(AJ179,'Guide '!$A$13:$B$16,2,0),"-")</f>
        <v>BB</v>
      </c>
      <c r="AL179" s="4" t="s">
        <v>925</v>
      </c>
      <c r="AM179" s="40">
        <v>45355</v>
      </c>
      <c r="AN179">
        <f t="shared" si="91"/>
        <v>29</v>
      </c>
      <c r="AO179">
        <f t="shared" si="92"/>
        <v>32</v>
      </c>
      <c r="AP179">
        <f t="shared" si="93"/>
        <v>40</v>
      </c>
      <c r="AQ179">
        <f t="shared" si="94"/>
        <v>43</v>
      </c>
      <c r="AR179" s="26" t="str">
        <f t="shared" si="95"/>
        <v>-</v>
      </c>
      <c r="AS179" s="26" t="str">
        <f t="shared" si="96"/>
        <v>-</v>
      </c>
      <c r="AT179" s="21">
        <f t="shared" si="97"/>
        <v>12</v>
      </c>
      <c r="AU179" s="21">
        <f t="shared" si="98"/>
        <v>19</v>
      </c>
      <c r="AV179" t="str">
        <f t="shared" si="99"/>
        <v>-</v>
      </c>
      <c r="AW179" t="str">
        <f t="shared" si="100"/>
        <v>-</v>
      </c>
      <c r="AX179" t="str">
        <f t="shared" si="101"/>
        <v>-</v>
      </c>
      <c r="AY179" t="str">
        <f t="shared" si="102"/>
        <v>-</v>
      </c>
      <c r="AZ179" t="str">
        <f t="shared" si="103"/>
        <v>-</v>
      </c>
      <c r="BA179" t="str">
        <f t="shared" si="104"/>
        <v>-</v>
      </c>
      <c r="BB179" t="str">
        <f t="shared" si="105"/>
        <v>-</v>
      </c>
      <c r="BC179" t="str">
        <f t="shared" si="106"/>
        <v>-</v>
      </c>
      <c r="BD179" s="29" t="str">
        <f t="shared" si="107"/>
        <v>-</v>
      </c>
      <c r="BE179" s="29" t="str">
        <f t="shared" si="108"/>
        <v>-</v>
      </c>
    </row>
    <row r="180" spans="1:57" ht="15" x14ac:dyDescent="0.2">
      <c r="A180" s="2">
        <v>564</v>
      </c>
      <c r="B180" s="2" t="str">
        <f t="shared" si="73"/>
        <v>0564</v>
      </c>
      <c r="C180" t="str">
        <f t="shared" si="74"/>
        <v>ORD-BB-0564-04/03/24</v>
      </c>
      <c r="D180" s="3" t="s">
        <v>585</v>
      </c>
      <c r="E180" t="str">
        <f t="shared" si="75"/>
        <v>PP003</v>
      </c>
      <c r="F180" t="str">
        <f>INDEX(Katalog!$B$4:$B$13,MATCH('Main Data'!E180,Katalog!$C$4:$C$13,0))</f>
        <v>Jaket Jeans</v>
      </c>
      <c r="G180" t="str">
        <f>VLOOKUP(E180,Katalog!$A$15:$B$25,2,0)</f>
        <v>Pakaian Pria</v>
      </c>
      <c r="H180" t="str">
        <f t="shared" si="76"/>
        <v>2</v>
      </c>
      <c r="I180" t="str">
        <f t="shared" si="77"/>
        <v>1</v>
      </c>
      <c r="J180" s="18">
        <f>VLOOKUP(E180,Katalog!$C$3:$F$13,2,0)</f>
        <v>150000</v>
      </c>
      <c r="K180" s="18">
        <f>VLOOKUP(E180,Katalog!$C$3:$F$13,3,0)</f>
        <v>70000</v>
      </c>
      <c r="L180" t="str">
        <f t="shared" si="78"/>
        <v>-</v>
      </c>
      <c r="M180" t="str">
        <f>IFERROR(INDEX(Katalog!$B$4:$B$13,MATCH('Main Data'!L180,Katalog!$C$4:$C$13,0)), "-")</f>
        <v>-</v>
      </c>
      <c r="N180" t="str">
        <f>IFERROR(VLOOKUP(L180,Katalog!$A$15:$B$25,2,0),"-")</f>
        <v>-</v>
      </c>
      <c r="O180">
        <f t="shared" si="79"/>
        <v>0</v>
      </c>
      <c r="P180" t="str">
        <f t="shared" si="80"/>
        <v>-</v>
      </c>
      <c r="Q180" s="18">
        <f>IFERROR(VLOOKUP(L180,Katalog!$C$3:$F$13,2,0),0)</f>
        <v>0</v>
      </c>
      <c r="R180" s="18">
        <f>IFERROR(VLOOKUP(L180,Katalog!$C$3:$F$13,3,0),0)</f>
        <v>0</v>
      </c>
      <c r="S180" t="str">
        <f t="shared" si="81"/>
        <v>-</v>
      </c>
      <c r="T180" t="str">
        <f>IFERROR(INDEX(Katalog!$B$4:$B$13,MATCH('Main Data'!S180,Katalog!$C$4:$C$13,0)),"-")</f>
        <v>-</v>
      </c>
      <c r="U180" t="str">
        <f>IFERROR(VLOOKUP(S180,Katalog!$A$15:$B$25,2,0),"-")</f>
        <v>-</v>
      </c>
      <c r="V180">
        <f t="shared" si="82"/>
        <v>0</v>
      </c>
      <c r="W180" s="28" t="str">
        <f t="shared" si="83"/>
        <v>-</v>
      </c>
      <c r="X180" s="18">
        <f>IFERROR(VLOOKUP(S180,Katalog!$C$3:$F$13,2,0),0)</f>
        <v>0</v>
      </c>
      <c r="Y180" s="30">
        <f>IFERROR(VLOOKUP(S180,Katalog!$C$3:$F$13,3,0),0)</f>
        <v>0</v>
      </c>
      <c r="Z180" s="2">
        <f t="shared" si="84"/>
        <v>2</v>
      </c>
      <c r="AA180" s="4">
        <f t="shared" si="85"/>
        <v>300000</v>
      </c>
      <c r="AB180" s="4">
        <f t="shared" si="86"/>
        <v>140000</v>
      </c>
      <c r="AC180" s="4" t="s">
        <v>27</v>
      </c>
      <c r="AD180" s="16">
        <f>IFERROR(VLOOKUP(AC180,'Kode Diskon'!$C$2:$D$9,2,0),0)</f>
        <v>0.15</v>
      </c>
      <c r="AE180" s="31">
        <f t="shared" si="87"/>
        <v>45000</v>
      </c>
      <c r="AF180" s="31">
        <f t="shared" si="88"/>
        <v>255000</v>
      </c>
      <c r="AG180" s="31">
        <f t="shared" si="89"/>
        <v>160000</v>
      </c>
      <c r="AH180" s="31">
        <f t="shared" si="90"/>
        <v>115000</v>
      </c>
      <c r="AI180" s="4" t="s">
        <v>28</v>
      </c>
      <c r="AJ180" s="4" t="s">
        <v>13</v>
      </c>
      <c r="AK180" s="4" t="str">
        <f>IFERROR(VLOOKUP(AJ180,'Guide '!$A$13:$B$16,2,0),"-")</f>
        <v>BB</v>
      </c>
      <c r="AL180" s="4" t="s">
        <v>921</v>
      </c>
      <c r="AM180" s="40">
        <v>45355</v>
      </c>
      <c r="AN180">
        <f t="shared" si="91"/>
        <v>29</v>
      </c>
      <c r="AO180">
        <f t="shared" si="92"/>
        <v>32</v>
      </c>
      <c r="AP180">
        <f t="shared" si="93"/>
        <v>40</v>
      </c>
      <c r="AQ180">
        <f t="shared" si="94"/>
        <v>43</v>
      </c>
      <c r="AR180" s="26" t="str">
        <f t="shared" si="95"/>
        <v>-</v>
      </c>
      <c r="AS180" s="26" t="str">
        <f t="shared" si="96"/>
        <v>-</v>
      </c>
      <c r="AT180" s="21">
        <f t="shared" si="97"/>
        <v>12</v>
      </c>
      <c r="AU180" s="21">
        <f t="shared" si="98"/>
        <v>19</v>
      </c>
      <c r="AV180" t="str">
        <f t="shared" si="99"/>
        <v>-</v>
      </c>
      <c r="AW180" t="str">
        <f t="shared" si="100"/>
        <v>-</v>
      </c>
      <c r="AX180" t="str">
        <f t="shared" si="101"/>
        <v>-</v>
      </c>
      <c r="AY180" t="str">
        <f t="shared" si="102"/>
        <v>-</v>
      </c>
      <c r="AZ180" t="str">
        <f t="shared" si="103"/>
        <v>-</v>
      </c>
      <c r="BA180" t="str">
        <f t="shared" si="104"/>
        <v>-</v>
      </c>
      <c r="BB180" t="str">
        <f t="shared" si="105"/>
        <v>-</v>
      </c>
      <c r="BC180" t="str">
        <f t="shared" si="106"/>
        <v>-</v>
      </c>
      <c r="BD180" s="29" t="str">
        <f t="shared" si="107"/>
        <v>-</v>
      </c>
      <c r="BE180" s="29" t="str">
        <f t="shared" si="108"/>
        <v>-</v>
      </c>
    </row>
    <row r="181" spans="1:57" ht="15" x14ac:dyDescent="0.2">
      <c r="A181" s="2">
        <v>26</v>
      </c>
      <c r="B181" s="2" t="str">
        <f t="shared" si="73"/>
        <v>0026</v>
      </c>
      <c r="C181" t="str">
        <f t="shared" si="74"/>
        <v>ORD-BL-0026-05/03/24</v>
      </c>
      <c r="D181" s="3" t="s">
        <v>100</v>
      </c>
      <c r="E181" t="str">
        <f t="shared" si="75"/>
        <v>PP003</v>
      </c>
      <c r="F181" t="str">
        <f>INDEX(Katalog!$B$4:$B$13,MATCH('Main Data'!E181,Katalog!$C$4:$C$13,0))</f>
        <v>Jaket Jeans</v>
      </c>
      <c r="G181" t="str">
        <f>VLOOKUP(E181,Katalog!$A$15:$B$25,2,0)</f>
        <v>Pakaian Pria</v>
      </c>
      <c r="H181" t="str">
        <f t="shared" si="76"/>
        <v>2</v>
      </c>
      <c r="I181" t="str">
        <f t="shared" si="77"/>
        <v>3</v>
      </c>
      <c r="J181" s="18">
        <f>VLOOKUP(E181,Katalog!$C$3:$F$13,2,0)</f>
        <v>150000</v>
      </c>
      <c r="K181" s="18">
        <f>VLOOKUP(E181,Katalog!$C$3:$F$13,3,0)</f>
        <v>70000</v>
      </c>
      <c r="L181" t="str">
        <f t="shared" si="78"/>
        <v>PW001</v>
      </c>
      <c r="M181" t="str">
        <f>IFERROR(INDEX(Katalog!$B$4:$B$13,MATCH('Main Data'!L181,Katalog!$C$4:$C$13,0)), "-")</f>
        <v>Dress</v>
      </c>
      <c r="N181" t="str">
        <f>IFERROR(VLOOKUP(L181,Katalog!$A$15:$B$25,2,0),"-")</f>
        <v>Pakaian Wanita</v>
      </c>
      <c r="O181" t="str">
        <f t="shared" si="79"/>
        <v>3</v>
      </c>
      <c r="P181" t="str">
        <f t="shared" si="80"/>
        <v>1</v>
      </c>
      <c r="Q181" s="18">
        <f>IFERROR(VLOOKUP(L181,Katalog!$C$3:$F$13,2,0),0)</f>
        <v>150000</v>
      </c>
      <c r="R181" s="18">
        <f>IFERROR(VLOOKUP(L181,Katalog!$C$3:$F$13,3,0),0)</f>
        <v>55000</v>
      </c>
      <c r="S181" t="str">
        <f t="shared" si="81"/>
        <v>-</v>
      </c>
      <c r="T181" t="str">
        <f>IFERROR(INDEX(Katalog!$B$4:$B$13,MATCH('Main Data'!S181,Katalog!$C$4:$C$13,0)),"-")</f>
        <v>-</v>
      </c>
      <c r="U181" t="str">
        <f>IFERROR(VLOOKUP(S181,Katalog!$A$15:$B$25,2,0),"-")</f>
        <v>-</v>
      </c>
      <c r="V181">
        <f t="shared" si="82"/>
        <v>0</v>
      </c>
      <c r="W181" s="28" t="str">
        <f t="shared" si="83"/>
        <v>-</v>
      </c>
      <c r="X181" s="18">
        <f>IFERROR(VLOOKUP(S181,Katalog!$C$3:$F$13,2,0),0)</f>
        <v>0</v>
      </c>
      <c r="Y181" s="30">
        <f>IFERROR(VLOOKUP(S181,Katalog!$C$3:$F$13,3,0),0)</f>
        <v>0</v>
      </c>
      <c r="Z181" s="2">
        <f t="shared" si="84"/>
        <v>5</v>
      </c>
      <c r="AA181" s="4">
        <f t="shared" si="85"/>
        <v>750000</v>
      </c>
      <c r="AB181" s="4">
        <f t="shared" si="86"/>
        <v>305000</v>
      </c>
      <c r="AC181" s="4" t="s">
        <v>31</v>
      </c>
      <c r="AD181" s="16">
        <f>IFERROR(VLOOKUP(AC181,'Kode Diskon'!$C$2:$D$9,2,0),0)</f>
        <v>0.15</v>
      </c>
      <c r="AE181" s="31">
        <f t="shared" si="87"/>
        <v>112500</v>
      </c>
      <c r="AF181" s="31">
        <f t="shared" si="88"/>
        <v>637500</v>
      </c>
      <c r="AG181" s="31">
        <f t="shared" si="89"/>
        <v>445000</v>
      </c>
      <c r="AH181" s="31">
        <f t="shared" si="90"/>
        <v>332500</v>
      </c>
      <c r="AI181" s="4" t="s">
        <v>8</v>
      </c>
      <c r="AJ181" s="4" t="s">
        <v>11</v>
      </c>
      <c r="AK181" s="4" t="str">
        <f>IFERROR(VLOOKUP(AJ181,'Guide '!$A$13:$B$16,2,0),"-")</f>
        <v>BL</v>
      </c>
      <c r="AL181" s="4" t="s">
        <v>925</v>
      </c>
      <c r="AM181" s="40">
        <v>45356</v>
      </c>
      <c r="AN181">
        <f t="shared" si="91"/>
        <v>29</v>
      </c>
      <c r="AO181">
        <f t="shared" si="92"/>
        <v>32</v>
      </c>
      <c r="AP181">
        <f t="shared" si="93"/>
        <v>40</v>
      </c>
      <c r="AQ181">
        <f t="shared" si="94"/>
        <v>43</v>
      </c>
      <c r="AR181" s="26">
        <f t="shared" si="95"/>
        <v>56</v>
      </c>
      <c r="AS181" s="26">
        <f t="shared" si="96"/>
        <v>63</v>
      </c>
      <c r="AT181" s="21">
        <f t="shared" si="97"/>
        <v>12</v>
      </c>
      <c r="AU181" s="21">
        <f t="shared" si="98"/>
        <v>19</v>
      </c>
      <c r="AV181">
        <f t="shared" si="99"/>
        <v>73</v>
      </c>
      <c r="AW181">
        <f t="shared" si="100"/>
        <v>76</v>
      </c>
      <c r="AX181">
        <f t="shared" si="101"/>
        <v>84</v>
      </c>
      <c r="AY181">
        <f t="shared" si="102"/>
        <v>87</v>
      </c>
      <c r="AZ181" t="str">
        <f t="shared" si="103"/>
        <v>-</v>
      </c>
      <c r="BA181" t="str">
        <f t="shared" si="104"/>
        <v>-</v>
      </c>
      <c r="BB181" t="str">
        <f t="shared" si="105"/>
        <v>-</v>
      </c>
      <c r="BC181" t="str">
        <f t="shared" si="106"/>
        <v>-</v>
      </c>
      <c r="BD181" s="29" t="str">
        <f t="shared" si="107"/>
        <v>-</v>
      </c>
      <c r="BE181" s="29" t="str">
        <f t="shared" si="108"/>
        <v>-</v>
      </c>
    </row>
    <row r="182" spans="1:57" ht="15" x14ac:dyDescent="0.2">
      <c r="A182" s="2">
        <v>326</v>
      </c>
      <c r="B182" s="2" t="str">
        <f t="shared" si="73"/>
        <v>0326</v>
      </c>
      <c r="C182" t="str">
        <f t="shared" si="74"/>
        <v>ORD-TK-0326-05/03/24</v>
      </c>
      <c r="D182" s="3" t="s">
        <v>380</v>
      </c>
      <c r="E182" t="str">
        <f t="shared" si="75"/>
        <v>SP001</v>
      </c>
      <c r="F182" t="str">
        <f>INDEX(Katalog!$B$4:$B$13,MATCH('Main Data'!E182,Katalog!$C$4:$C$13,0))</f>
        <v>Sneakers</v>
      </c>
      <c r="G182" t="str">
        <f>VLOOKUP(E182,Katalog!$A$15:$B$25,2,0)</f>
        <v>Sepatu Pria</v>
      </c>
      <c r="H182" t="str">
        <f t="shared" si="76"/>
        <v>1</v>
      </c>
      <c r="I182" t="str">
        <f t="shared" si="77"/>
        <v>5</v>
      </c>
      <c r="J182" s="18">
        <f>VLOOKUP(E182,Katalog!$C$3:$F$13,2,0)</f>
        <v>300000</v>
      </c>
      <c r="K182" s="18">
        <f>VLOOKUP(E182,Katalog!$C$3:$F$13,3,0)</f>
        <v>100000</v>
      </c>
      <c r="L182" t="str">
        <f t="shared" si="78"/>
        <v>-</v>
      </c>
      <c r="M182" t="str">
        <f>IFERROR(INDEX(Katalog!$B$4:$B$13,MATCH('Main Data'!L182,Katalog!$C$4:$C$13,0)), "-")</f>
        <v>-</v>
      </c>
      <c r="N182" t="str">
        <f>IFERROR(VLOOKUP(L182,Katalog!$A$15:$B$25,2,0),"-")</f>
        <v>-</v>
      </c>
      <c r="O182">
        <f t="shared" si="79"/>
        <v>0</v>
      </c>
      <c r="P182" t="str">
        <f t="shared" si="80"/>
        <v>-</v>
      </c>
      <c r="Q182" s="18">
        <f>IFERROR(VLOOKUP(L182,Katalog!$C$3:$F$13,2,0),0)</f>
        <v>0</v>
      </c>
      <c r="R182" s="18">
        <f>IFERROR(VLOOKUP(L182,Katalog!$C$3:$F$13,3,0),0)</f>
        <v>0</v>
      </c>
      <c r="S182" t="str">
        <f t="shared" si="81"/>
        <v>-</v>
      </c>
      <c r="T182" t="str">
        <f>IFERROR(INDEX(Katalog!$B$4:$B$13,MATCH('Main Data'!S182,Katalog!$C$4:$C$13,0)),"-")</f>
        <v>-</v>
      </c>
      <c r="U182" t="str">
        <f>IFERROR(VLOOKUP(S182,Katalog!$A$15:$B$25,2,0),"-")</f>
        <v>-</v>
      </c>
      <c r="V182">
        <f t="shared" si="82"/>
        <v>0</v>
      </c>
      <c r="W182" s="28" t="str">
        <f t="shared" si="83"/>
        <v>-</v>
      </c>
      <c r="X182" s="18">
        <f>IFERROR(VLOOKUP(S182,Katalog!$C$3:$F$13,2,0),0)</f>
        <v>0</v>
      </c>
      <c r="Y182" s="30">
        <f>IFERROR(VLOOKUP(S182,Katalog!$C$3:$F$13,3,0),0)</f>
        <v>0</v>
      </c>
      <c r="Z182" s="2">
        <f t="shared" si="84"/>
        <v>1</v>
      </c>
      <c r="AA182" s="4">
        <f t="shared" si="85"/>
        <v>300000</v>
      </c>
      <c r="AB182" s="4">
        <f t="shared" si="86"/>
        <v>100000</v>
      </c>
      <c r="AC182" s="4" t="s">
        <v>10</v>
      </c>
      <c r="AD182" s="16">
        <f>IFERROR(VLOOKUP(AC182,'Kode Diskon'!$C$2:$D$9,2,0),0)</f>
        <v>0</v>
      </c>
      <c r="AE182" s="31">
        <f t="shared" si="87"/>
        <v>0</v>
      </c>
      <c r="AF182" s="31">
        <f t="shared" si="88"/>
        <v>300000</v>
      </c>
      <c r="AG182" s="31">
        <f t="shared" si="89"/>
        <v>200000</v>
      </c>
      <c r="AH182" s="31">
        <f t="shared" si="90"/>
        <v>200000</v>
      </c>
      <c r="AI182" s="4" t="s">
        <v>10</v>
      </c>
      <c r="AJ182" s="4" t="s">
        <v>9</v>
      </c>
      <c r="AK182" s="4" t="str">
        <f>IFERROR(VLOOKUP(AJ182,'Guide '!$A$13:$B$16,2,0),"-")</f>
        <v>TK</v>
      </c>
      <c r="AL182" s="4" t="s">
        <v>1006</v>
      </c>
      <c r="AM182" s="40">
        <v>45356</v>
      </c>
      <c r="AN182">
        <f t="shared" si="91"/>
        <v>29</v>
      </c>
      <c r="AO182">
        <f t="shared" si="92"/>
        <v>32</v>
      </c>
      <c r="AP182">
        <f t="shared" si="93"/>
        <v>40</v>
      </c>
      <c r="AQ182">
        <f t="shared" si="94"/>
        <v>43</v>
      </c>
      <c r="AR182" s="26" t="str">
        <f t="shared" si="95"/>
        <v>-</v>
      </c>
      <c r="AS182" s="26" t="str">
        <f t="shared" si="96"/>
        <v>-</v>
      </c>
      <c r="AT182" s="21">
        <f t="shared" si="97"/>
        <v>12</v>
      </c>
      <c r="AU182" s="21">
        <f t="shared" si="98"/>
        <v>19</v>
      </c>
      <c r="AV182" t="str">
        <f t="shared" si="99"/>
        <v>-</v>
      </c>
      <c r="AW182" t="str">
        <f t="shared" si="100"/>
        <v>-</v>
      </c>
      <c r="AX182" t="str">
        <f t="shared" si="101"/>
        <v>-</v>
      </c>
      <c r="AY182" t="str">
        <f t="shared" si="102"/>
        <v>-</v>
      </c>
      <c r="AZ182" t="str">
        <f t="shared" si="103"/>
        <v>-</v>
      </c>
      <c r="BA182" t="str">
        <f t="shared" si="104"/>
        <v>-</v>
      </c>
      <c r="BB182" t="str">
        <f t="shared" si="105"/>
        <v>-</v>
      </c>
      <c r="BC182" t="str">
        <f t="shared" si="106"/>
        <v>-</v>
      </c>
      <c r="BD182" s="29" t="str">
        <f t="shared" si="107"/>
        <v>-</v>
      </c>
      <c r="BE182" s="29" t="str">
        <f t="shared" si="108"/>
        <v>-</v>
      </c>
    </row>
    <row r="183" spans="1:57" ht="15" x14ac:dyDescent="0.2">
      <c r="A183" s="2">
        <v>404</v>
      </c>
      <c r="B183" s="2" t="str">
        <f t="shared" si="73"/>
        <v>0404</v>
      </c>
      <c r="C183" t="str">
        <f t="shared" si="74"/>
        <v>ORD-BB-0404-05/03/24</v>
      </c>
      <c r="D183" s="3" t="s">
        <v>390</v>
      </c>
      <c r="E183" t="str">
        <f t="shared" si="75"/>
        <v>SW001</v>
      </c>
      <c r="F183" t="str">
        <f>INDEX(Katalog!$B$4:$B$13,MATCH('Main Data'!E183,Katalog!$C$4:$C$13,0))</f>
        <v>Flat Shoes</v>
      </c>
      <c r="G183" t="str">
        <f>VLOOKUP(E183,Katalog!$A$15:$B$25,2,0)</f>
        <v>Sepatu Wanita</v>
      </c>
      <c r="H183" t="str">
        <f t="shared" si="76"/>
        <v>1</v>
      </c>
      <c r="I183" t="str">
        <f t="shared" si="77"/>
        <v>3</v>
      </c>
      <c r="J183" s="18">
        <f>VLOOKUP(E183,Katalog!$C$3:$F$13,2,0)</f>
        <v>150000</v>
      </c>
      <c r="K183" s="18">
        <f>VLOOKUP(E183,Katalog!$C$3:$F$13,3,0)</f>
        <v>70000</v>
      </c>
      <c r="L183" t="str">
        <f t="shared" si="78"/>
        <v>-</v>
      </c>
      <c r="M183" t="str">
        <f>IFERROR(INDEX(Katalog!$B$4:$B$13,MATCH('Main Data'!L183,Katalog!$C$4:$C$13,0)), "-")</f>
        <v>-</v>
      </c>
      <c r="N183" t="str">
        <f>IFERROR(VLOOKUP(L183,Katalog!$A$15:$B$25,2,0),"-")</f>
        <v>-</v>
      </c>
      <c r="O183">
        <f t="shared" si="79"/>
        <v>0</v>
      </c>
      <c r="P183" t="str">
        <f t="shared" si="80"/>
        <v>-</v>
      </c>
      <c r="Q183" s="18">
        <f>IFERROR(VLOOKUP(L183,Katalog!$C$3:$F$13,2,0),0)</f>
        <v>0</v>
      </c>
      <c r="R183" s="18">
        <f>IFERROR(VLOOKUP(L183,Katalog!$C$3:$F$13,3,0),0)</f>
        <v>0</v>
      </c>
      <c r="S183" t="str">
        <f t="shared" si="81"/>
        <v>-</v>
      </c>
      <c r="T183" t="str">
        <f>IFERROR(INDEX(Katalog!$B$4:$B$13,MATCH('Main Data'!S183,Katalog!$C$4:$C$13,0)),"-")</f>
        <v>-</v>
      </c>
      <c r="U183" t="str">
        <f>IFERROR(VLOOKUP(S183,Katalog!$A$15:$B$25,2,0),"-")</f>
        <v>-</v>
      </c>
      <c r="V183">
        <f t="shared" si="82"/>
        <v>0</v>
      </c>
      <c r="W183" s="28" t="str">
        <f t="shared" si="83"/>
        <v>-</v>
      </c>
      <c r="X183" s="18">
        <f>IFERROR(VLOOKUP(S183,Katalog!$C$3:$F$13,2,0),0)</f>
        <v>0</v>
      </c>
      <c r="Y183" s="30">
        <f>IFERROR(VLOOKUP(S183,Katalog!$C$3:$F$13,3,0),0)</f>
        <v>0</v>
      </c>
      <c r="Z183" s="2">
        <f t="shared" si="84"/>
        <v>1</v>
      </c>
      <c r="AA183" s="4">
        <f t="shared" si="85"/>
        <v>150000</v>
      </c>
      <c r="AB183" s="4">
        <f t="shared" si="86"/>
        <v>70000</v>
      </c>
      <c r="AC183" s="4" t="s">
        <v>27</v>
      </c>
      <c r="AD183" s="16">
        <f>IFERROR(VLOOKUP(AC183,'Kode Diskon'!$C$2:$D$9,2,0),0)</f>
        <v>0.15</v>
      </c>
      <c r="AE183" s="31">
        <f t="shared" si="87"/>
        <v>22500</v>
      </c>
      <c r="AF183" s="31">
        <f t="shared" si="88"/>
        <v>127500</v>
      </c>
      <c r="AG183" s="31">
        <f t="shared" si="89"/>
        <v>80000</v>
      </c>
      <c r="AH183" s="31">
        <f t="shared" si="90"/>
        <v>57500</v>
      </c>
      <c r="AI183" s="4" t="s">
        <v>28</v>
      </c>
      <c r="AJ183" s="4" t="s">
        <v>13</v>
      </c>
      <c r="AK183" s="4" t="str">
        <f>IFERROR(VLOOKUP(AJ183,'Guide '!$A$13:$B$16,2,0),"-")</f>
        <v>BB</v>
      </c>
      <c r="AL183" s="4" t="s">
        <v>924</v>
      </c>
      <c r="AM183" s="40">
        <v>45356</v>
      </c>
      <c r="AN183">
        <f t="shared" si="91"/>
        <v>29</v>
      </c>
      <c r="AO183">
        <f t="shared" si="92"/>
        <v>32</v>
      </c>
      <c r="AP183">
        <f t="shared" si="93"/>
        <v>40</v>
      </c>
      <c r="AQ183">
        <f t="shared" si="94"/>
        <v>43</v>
      </c>
      <c r="AR183" s="26" t="str">
        <f t="shared" si="95"/>
        <v>-</v>
      </c>
      <c r="AS183" s="26" t="str">
        <f t="shared" si="96"/>
        <v>-</v>
      </c>
      <c r="AT183" s="21">
        <f t="shared" si="97"/>
        <v>12</v>
      </c>
      <c r="AU183" s="21">
        <f t="shared" si="98"/>
        <v>19</v>
      </c>
      <c r="AV183" t="str">
        <f t="shared" si="99"/>
        <v>-</v>
      </c>
      <c r="AW183" t="str">
        <f t="shared" si="100"/>
        <v>-</v>
      </c>
      <c r="AX183" t="str">
        <f t="shared" si="101"/>
        <v>-</v>
      </c>
      <c r="AY183" t="str">
        <f t="shared" si="102"/>
        <v>-</v>
      </c>
      <c r="AZ183" t="str">
        <f t="shared" si="103"/>
        <v>-</v>
      </c>
      <c r="BA183" t="str">
        <f t="shared" si="104"/>
        <v>-</v>
      </c>
      <c r="BB183" t="str">
        <f t="shared" si="105"/>
        <v>-</v>
      </c>
      <c r="BC183" t="str">
        <f t="shared" si="106"/>
        <v>-</v>
      </c>
      <c r="BD183" s="29" t="str">
        <f t="shared" si="107"/>
        <v>-</v>
      </c>
      <c r="BE183" s="29" t="str">
        <f t="shared" si="108"/>
        <v>-</v>
      </c>
    </row>
    <row r="184" spans="1:57" ht="15" x14ac:dyDescent="0.2">
      <c r="A184" s="2">
        <v>507</v>
      </c>
      <c r="B184" s="2" t="str">
        <f t="shared" si="73"/>
        <v>0507</v>
      </c>
      <c r="C184" t="str">
        <f t="shared" si="74"/>
        <v>ORD-SP-0507-05/03/24</v>
      </c>
      <c r="D184" s="3" t="s">
        <v>536</v>
      </c>
      <c r="E184" t="str">
        <f t="shared" si="75"/>
        <v>PP001</v>
      </c>
      <c r="F184" t="str">
        <f>INDEX(Katalog!$B$4:$B$13,MATCH('Main Data'!E184,Katalog!$C$4:$C$13,0))</f>
        <v>Kaos Polo</v>
      </c>
      <c r="G184" t="str">
        <f>VLOOKUP(E184,Katalog!$A$15:$B$25,2,0)</f>
        <v>Pakaian Pria</v>
      </c>
      <c r="H184" t="str">
        <f t="shared" si="76"/>
        <v>1</v>
      </c>
      <c r="I184" t="str">
        <f t="shared" si="77"/>
        <v>2</v>
      </c>
      <c r="J184" s="18">
        <f>VLOOKUP(E184,Katalog!$C$3:$F$13,2,0)</f>
        <v>80000</v>
      </c>
      <c r="K184" s="18">
        <f>VLOOKUP(E184,Katalog!$C$3:$F$13,3,0)</f>
        <v>30000</v>
      </c>
      <c r="L184" t="str">
        <f t="shared" si="78"/>
        <v>PU001</v>
      </c>
      <c r="M184" t="str">
        <f>IFERROR(INDEX(Katalog!$B$4:$B$13,MATCH('Main Data'!L184,Katalog!$C$4:$C$13,0)), "-")</f>
        <v>Jaket Hoodie</v>
      </c>
      <c r="N184" t="str">
        <f>IFERROR(VLOOKUP(L184,Katalog!$A$15:$B$25,2,0),"-")</f>
        <v>Pakaian Unisex</v>
      </c>
      <c r="O184" t="str">
        <f t="shared" si="79"/>
        <v>6</v>
      </c>
      <c r="P184" t="str">
        <f t="shared" si="80"/>
        <v>2</v>
      </c>
      <c r="Q184" s="18">
        <f>IFERROR(VLOOKUP(L184,Katalog!$C$3:$F$13,2,0),0)</f>
        <v>160000</v>
      </c>
      <c r="R184" s="18">
        <f>IFERROR(VLOOKUP(L184,Katalog!$C$3:$F$13,3,0),0)</f>
        <v>60000</v>
      </c>
      <c r="S184" t="str">
        <f t="shared" si="81"/>
        <v>-</v>
      </c>
      <c r="T184" t="str">
        <f>IFERROR(INDEX(Katalog!$B$4:$B$13,MATCH('Main Data'!S184,Katalog!$C$4:$C$13,0)),"-")</f>
        <v>-</v>
      </c>
      <c r="U184" t="str">
        <f>IFERROR(VLOOKUP(S184,Katalog!$A$15:$B$25,2,0),"-")</f>
        <v>-</v>
      </c>
      <c r="V184">
        <f t="shared" si="82"/>
        <v>0</v>
      </c>
      <c r="W184" s="28" t="str">
        <f t="shared" si="83"/>
        <v>-</v>
      </c>
      <c r="X184" s="18">
        <f>IFERROR(VLOOKUP(S184,Katalog!$C$3:$F$13,2,0),0)</f>
        <v>0</v>
      </c>
      <c r="Y184" s="30">
        <f>IFERROR(VLOOKUP(S184,Katalog!$C$3:$F$13,3,0),0)</f>
        <v>0</v>
      </c>
      <c r="Z184" s="2">
        <f t="shared" si="84"/>
        <v>7</v>
      </c>
      <c r="AA184" s="4">
        <f t="shared" si="85"/>
        <v>1040000</v>
      </c>
      <c r="AB184" s="4">
        <f t="shared" si="86"/>
        <v>390000</v>
      </c>
      <c r="AC184" s="4" t="s">
        <v>7</v>
      </c>
      <c r="AD184" s="16">
        <f>IFERROR(VLOOKUP(AC184,'Kode Diskon'!$C$2:$D$9,2,0),0)</f>
        <v>0.2</v>
      </c>
      <c r="AE184" s="31">
        <f t="shared" si="87"/>
        <v>208000</v>
      </c>
      <c r="AF184" s="31">
        <f t="shared" si="88"/>
        <v>832000</v>
      </c>
      <c r="AG184" s="31">
        <f t="shared" si="89"/>
        <v>650000</v>
      </c>
      <c r="AH184" s="31">
        <f t="shared" si="90"/>
        <v>442000</v>
      </c>
      <c r="AI184" s="4" t="s">
        <v>8</v>
      </c>
      <c r="AJ184" s="4" t="s">
        <v>6</v>
      </c>
      <c r="AK184" s="4" t="str">
        <f>IFERROR(VLOOKUP(AJ184,'Guide '!$A$13:$B$16,2,0),"-")</f>
        <v>SP</v>
      </c>
      <c r="AL184" s="4" t="s">
        <v>925</v>
      </c>
      <c r="AM184" s="40">
        <v>45356</v>
      </c>
      <c r="AN184">
        <f t="shared" si="91"/>
        <v>29</v>
      </c>
      <c r="AO184">
        <f t="shared" si="92"/>
        <v>32</v>
      </c>
      <c r="AP184">
        <f t="shared" si="93"/>
        <v>40</v>
      </c>
      <c r="AQ184">
        <f t="shared" si="94"/>
        <v>43</v>
      </c>
      <c r="AR184" s="26">
        <f t="shared" si="95"/>
        <v>56</v>
      </c>
      <c r="AS184" s="26">
        <f t="shared" si="96"/>
        <v>63</v>
      </c>
      <c r="AT184" s="21">
        <f t="shared" si="97"/>
        <v>12</v>
      </c>
      <c r="AU184" s="21">
        <f t="shared" si="98"/>
        <v>19</v>
      </c>
      <c r="AV184">
        <f t="shared" si="99"/>
        <v>73</v>
      </c>
      <c r="AW184">
        <f t="shared" si="100"/>
        <v>76</v>
      </c>
      <c r="AX184">
        <f t="shared" si="101"/>
        <v>84</v>
      </c>
      <c r="AY184">
        <f t="shared" si="102"/>
        <v>87</v>
      </c>
      <c r="AZ184" t="str">
        <f t="shared" si="103"/>
        <v>-</v>
      </c>
      <c r="BA184" t="str">
        <f t="shared" si="104"/>
        <v>-</v>
      </c>
      <c r="BB184" t="str">
        <f t="shared" si="105"/>
        <v>-</v>
      </c>
      <c r="BC184" t="str">
        <f t="shared" si="106"/>
        <v>-</v>
      </c>
      <c r="BD184" s="29" t="str">
        <f t="shared" si="107"/>
        <v>-</v>
      </c>
      <c r="BE184" s="29" t="str">
        <f t="shared" si="108"/>
        <v>-</v>
      </c>
    </row>
    <row r="185" spans="1:57" ht="15" x14ac:dyDescent="0.2">
      <c r="A185" s="2">
        <v>807</v>
      </c>
      <c r="B185" s="2" t="str">
        <f t="shared" si="73"/>
        <v>0807</v>
      </c>
      <c r="C185" t="str">
        <f t="shared" si="74"/>
        <v>ORD-SP-0807-05/03/24</v>
      </c>
      <c r="D185" s="3" t="s">
        <v>377</v>
      </c>
      <c r="E185" t="str">
        <f t="shared" si="75"/>
        <v>PU001</v>
      </c>
      <c r="F185" t="str">
        <f>INDEX(Katalog!$B$4:$B$13,MATCH('Main Data'!E185,Katalog!$C$4:$C$13,0))</f>
        <v>Jaket Hoodie</v>
      </c>
      <c r="G185" t="str">
        <f>VLOOKUP(E185,Katalog!$A$15:$B$25,2,0)</f>
        <v>Pakaian Unisex</v>
      </c>
      <c r="H185" t="str">
        <f t="shared" si="76"/>
        <v>3</v>
      </c>
      <c r="I185" t="str">
        <f t="shared" si="77"/>
        <v>1</v>
      </c>
      <c r="J185" s="18">
        <f>VLOOKUP(E185,Katalog!$C$3:$F$13,2,0)</f>
        <v>160000</v>
      </c>
      <c r="K185" s="18">
        <f>VLOOKUP(E185,Katalog!$C$3:$F$13,3,0)</f>
        <v>60000</v>
      </c>
      <c r="L185" t="str">
        <f t="shared" si="78"/>
        <v>-</v>
      </c>
      <c r="M185" t="str">
        <f>IFERROR(INDEX(Katalog!$B$4:$B$13,MATCH('Main Data'!L185,Katalog!$C$4:$C$13,0)), "-")</f>
        <v>-</v>
      </c>
      <c r="N185" t="str">
        <f>IFERROR(VLOOKUP(L185,Katalog!$A$15:$B$25,2,0),"-")</f>
        <v>-</v>
      </c>
      <c r="O185">
        <f t="shared" si="79"/>
        <v>0</v>
      </c>
      <c r="P185" t="str">
        <f t="shared" si="80"/>
        <v>-</v>
      </c>
      <c r="Q185" s="18">
        <f>IFERROR(VLOOKUP(L185,Katalog!$C$3:$F$13,2,0),0)</f>
        <v>0</v>
      </c>
      <c r="R185" s="18">
        <f>IFERROR(VLOOKUP(L185,Katalog!$C$3:$F$13,3,0),0)</f>
        <v>0</v>
      </c>
      <c r="S185" t="str">
        <f t="shared" si="81"/>
        <v>-</v>
      </c>
      <c r="T185" t="str">
        <f>IFERROR(INDEX(Katalog!$B$4:$B$13,MATCH('Main Data'!S185,Katalog!$C$4:$C$13,0)),"-")</f>
        <v>-</v>
      </c>
      <c r="U185" t="str">
        <f>IFERROR(VLOOKUP(S185,Katalog!$A$15:$B$25,2,0),"-")</f>
        <v>-</v>
      </c>
      <c r="V185">
        <f t="shared" si="82"/>
        <v>0</v>
      </c>
      <c r="W185" s="28" t="str">
        <f t="shared" si="83"/>
        <v>-</v>
      </c>
      <c r="X185" s="18">
        <f>IFERROR(VLOOKUP(S185,Katalog!$C$3:$F$13,2,0),0)</f>
        <v>0</v>
      </c>
      <c r="Y185" s="30">
        <f>IFERROR(VLOOKUP(S185,Katalog!$C$3:$F$13,3,0),0)</f>
        <v>0</v>
      </c>
      <c r="Z185" s="2">
        <f t="shared" si="84"/>
        <v>3</v>
      </c>
      <c r="AA185" s="4">
        <f t="shared" si="85"/>
        <v>480000</v>
      </c>
      <c r="AB185" s="4">
        <f t="shared" si="86"/>
        <v>180000</v>
      </c>
      <c r="AC185" s="4" t="s">
        <v>7</v>
      </c>
      <c r="AD185" s="16">
        <f>IFERROR(VLOOKUP(AC185,'Kode Diskon'!$C$2:$D$9,2,0),0)</f>
        <v>0.2</v>
      </c>
      <c r="AE185" s="31">
        <f t="shared" si="87"/>
        <v>96000</v>
      </c>
      <c r="AF185" s="31">
        <f t="shared" si="88"/>
        <v>384000</v>
      </c>
      <c r="AG185" s="31">
        <f t="shared" si="89"/>
        <v>300000</v>
      </c>
      <c r="AH185" s="31">
        <f t="shared" si="90"/>
        <v>204000</v>
      </c>
      <c r="AI185" s="4" t="s">
        <v>8</v>
      </c>
      <c r="AJ185" s="4" t="s">
        <v>6</v>
      </c>
      <c r="AK185" s="4" t="str">
        <f>IFERROR(VLOOKUP(AJ185,'Guide '!$A$13:$B$16,2,0),"-")</f>
        <v>SP</v>
      </c>
      <c r="AL185" s="4" t="s">
        <v>923</v>
      </c>
      <c r="AM185" s="40">
        <v>45356</v>
      </c>
      <c r="AN185">
        <f t="shared" si="91"/>
        <v>29</v>
      </c>
      <c r="AO185">
        <f t="shared" si="92"/>
        <v>32</v>
      </c>
      <c r="AP185">
        <f t="shared" si="93"/>
        <v>40</v>
      </c>
      <c r="AQ185">
        <f t="shared" si="94"/>
        <v>43</v>
      </c>
      <c r="AR185" s="26" t="str">
        <f t="shared" si="95"/>
        <v>-</v>
      </c>
      <c r="AS185" s="26" t="str">
        <f t="shared" si="96"/>
        <v>-</v>
      </c>
      <c r="AT185" s="21">
        <f t="shared" si="97"/>
        <v>12</v>
      </c>
      <c r="AU185" s="21">
        <f t="shared" si="98"/>
        <v>19</v>
      </c>
      <c r="AV185" t="str">
        <f t="shared" si="99"/>
        <v>-</v>
      </c>
      <c r="AW185" t="str">
        <f t="shared" si="100"/>
        <v>-</v>
      </c>
      <c r="AX185" t="str">
        <f t="shared" si="101"/>
        <v>-</v>
      </c>
      <c r="AY185" t="str">
        <f t="shared" si="102"/>
        <v>-</v>
      </c>
      <c r="AZ185" t="str">
        <f t="shared" si="103"/>
        <v>-</v>
      </c>
      <c r="BA185" t="str">
        <f t="shared" si="104"/>
        <v>-</v>
      </c>
      <c r="BB185" t="str">
        <f t="shared" si="105"/>
        <v>-</v>
      </c>
      <c r="BC185" t="str">
        <f t="shared" si="106"/>
        <v>-</v>
      </c>
      <c r="BD185" s="29" t="str">
        <f t="shared" si="107"/>
        <v>-</v>
      </c>
      <c r="BE185" s="29" t="str">
        <f t="shared" si="108"/>
        <v>-</v>
      </c>
    </row>
    <row r="186" spans="1:57" ht="15" x14ac:dyDescent="0.2">
      <c r="A186" s="2">
        <v>280</v>
      </c>
      <c r="B186" s="2" t="str">
        <f t="shared" si="73"/>
        <v>0280</v>
      </c>
      <c r="C186" t="str">
        <f t="shared" si="74"/>
        <v>ORD-SP-0280-06/03/24</v>
      </c>
      <c r="D186" s="3" t="s">
        <v>116</v>
      </c>
      <c r="E186" t="str">
        <f t="shared" si="75"/>
        <v>PP003</v>
      </c>
      <c r="F186" t="str">
        <f>INDEX(Katalog!$B$4:$B$13,MATCH('Main Data'!E186,Katalog!$C$4:$C$13,0))</f>
        <v>Jaket Jeans</v>
      </c>
      <c r="G186" t="str">
        <f>VLOOKUP(E186,Katalog!$A$15:$B$25,2,0)</f>
        <v>Pakaian Pria</v>
      </c>
      <c r="H186" t="str">
        <f t="shared" si="76"/>
        <v>1</v>
      </c>
      <c r="I186" t="str">
        <f t="shared" si="77"/>
        <v>5</v>
      </c>
      <c r="J186" s="18">
        <f>VLOOKUP(E186,Katalog!$C$3:$F$13,2,0)</f>
        <v>150000</v>
      </c>
      <c r="K186" s="18">
        <f>VLOOKUP(E186,Katalog!$C$3:$F$13,3,0)</f>
        <v>70000</v>
      </c>
      <c r="L186" t="str">
        <f t="shared" si="78"/>
        <v>-</v>
      </c>
      <c r="M186" t="str">
        <f>IFERROR(INDEX(Katalog!$B$4:$B$13,MATCH('Main Data'!L186,Katalog!$C$4:$C$13,0)), "-")</f>
        <v>-</v>
      </c>
      <c r="N186" t="str">
        <f>IFERROR(VLOOKUP(L186,Katalog!$A$15:$B$25,2,0),"-")</f>
        <v>-</v>
      </c>
      <c r="O186">
        <f t="shared" si="79"/>
        <v>0</v>
      </c>
      <c r="P186" t="str">
        <f t="shared" si="80"/>
        <v>-</v>
      </c>
      <c r="Q186" s="18">
        <f>IFERROR(VLOOKUP(L186,Katalog!$C$3:$F$13,2,0),0)</f>
        <v>0</v>
      </c>
      <c r="R186" s="18">
        <f>IFERROR(VLOOKUP(L186,Katalog!$C$3:$F$13,3,0),0)</f>
        <v>0</v>
      </c>
      <c r="S186" t="str">
        <f t="shared" si="81"/>
        <v>-</v>
      </c>
      <c r="T186" t="str">
        <f>IFERROR(INDEX(Katalog!$B$4:$B$13,MATCH('Main Data'!S186,Katalog!$C$4:$C$13,0)),"-")</f>
        <v>-</v>
      </c>
      <c r="U186" t="str">
        <f>IFERROR(VLOOKUP(S186,Katalog!$A$15:$B$25,2,0),"-")</f>
        <v>-</v>
      </c>
      <c r="V186">
        <f t="shared" si="82"/>
        <v>0</v>
      </c>
      <c r="W186" s="28" t="str">
        <f t="shared" si="83"/>
        <v>-</v>
      </c>
      <c r="X186" s="18">
        <f>IFERROR(VLOOKUP(S186,Katalog!$C$3:$F$13,2,0),0)</f>
        <v>0</v>
      </c>
      <c r="Y186" s="30">
        <f>IFERROR(VLOOKUP(S186,Katalog!$C$3:$F$13,3,0),0)</f>
        <v>0</v>
      </c>
      <c r="Z186" s="2">
        <f t="shared" si="84"/>
        <v>1</v>
      </c>
      <c r="AA186" s="4">
        <f t="shared" si="85"/>
        <v>150000</v>
      </c>
      <c r="AB186" s="4">
        <f t="shared" si="86"/>
        <v>70000</v>
      </c>
      <c r="AC186" s="4" t="s">
        <v>12</v>
      </c>
      <c r="AD186" s="16">
        <f>IFERROR(VLOOKUP(AC186,'Kode Diskon'!$C$2:$D$9,2,0),0)</f>
        <v>0.15</v>
      </c>
      <c r="AE186" s="31">
        <f t="shared" si="87"/>
        <v>22500</v>
      </c>
      <c r="AF186" s="31">
        <f t="shared" si="88"/>
        <v>127500</v>
      </c>
      <c r="AG186" s="31">
        <f t="shared" si="89"/>
        <v>80000</v>
      </c>
      <c r="AH186" s="31">
        <f t="shared" si="90"/>
        <v>57500</v>
      </c>
      <c r="AI186" s="4" t="s">
        <v>28</v>
      </c>
      <c r="AJ186" s="4" t="s">
        <v>6</v>
      </c>
      <c r="AK186" s="4" t="str">
        <f>IFERROR(VLOOKUP(AJ186,'Guide '!$A$13:$B$16,2,0),"-")</f>
        <v>SP</v>
      </c>
      <c r="AL186" s="4" t="s">
        <v>924</v>
      </c>
      <c r="AM186" s="40">
        <v>45357</v>
      </c>
      <c r="AN186">
        <f t="shared" si="91"/>
        <v>29</v>
      </c>
      <c r="AO186">
        <f t="shared" si="92"/>
        <v>32</v>
      </c>
      <c r="AP186">
        <f t="shared" si="93"/>
        <v>40</v>
      </c>
      <c r="AQ186">
        <f t="shared" si="94"/>
        <v>43</v>
      </c>
      <c r="AR186" s="26" t="str">
        <f t="shared" si="95"/>
        <v>-</v>
      </c>
      <c r="AS186" s="26" t="str">
        <f t="shared" si="96"/>
        <v>-</v>
      </c>
      <c r="AT186" s="21">
        <f t="shared" si="97"/>
        <v>12</v>
      </c>
      <c r="AU186" s="21">
        <f t="shared" si="98"/>
        <v>19</v>
      </c>
      <c r="AV186" t="str">
        <f t="shared" si="99"/>
        <v>-</v>
      </c>
      <c r="AW186" t="str">
        <f t="shared" si="100"/>
        <v>-</v>
      </c>
      <c r="AX186" t="str">
        <f t="shared" si="101"/>
        <v>-</v>
      </c>
      <c r="AY186" t="str">
        <f t="shared" si="102"/>
        <v>-</v>
      </c>
      <c r="AZ186" t="str">
        <f t="shared" si="103"/>
        <v>-</v>
      </c>
      <c r="BA186" t="str">
        <f t="shared" si="104"/>
        <v>-</v>
      </c>
      <c r="BB186" t="str">
        <f t="shared" si="105"/>
        <v>-</v>
      </c>
      <c r="BC186" t="str">
        <f t="shared" si="106"/>
        <v>-</v>
      </c>
      <c r="BD186" s="29" t="str">
        <f t="shared" si="107"/>
        <v>-</v>
      </c>
      <c r="BE186" s="29" t="str">
        <f t="shared" si="108"/>
        <v>-</v>
      </c>
    </row>
    <row r="187" spans="1:57" ht="15" x14ac:dyDescent="0.2">
      <c r="A187" s="2">
        <v>270</v>
      </c>
      <c r="B187" s="2" t="str">
        <f t="shared" si="73"/>
        <v>0270</v>
      </c>
      <c r="C187" t="str">
        <f t="shared" si="74"/>
        <v>ORD-BL-0270-07/03/24</v>
      </c>
      <c r="D187" s="3" t="s">
        <v>332</v>
      </c>
      <c r="E187" t="str">
        <f t="shared" si="75"/>
        <v>PU001</v>
      </c>
      <c r="F187" t="str">
        <f>INDEX(Katalog!$B$4:$B$13,MATCH('Main Data'!E187,Katalog!$C$4:$C$13,0))</f>
        <v>Jaket Hoodie</v>
      </c>
      <c r="G187" t="str">
        <f>VLOOKUP(E187,Katalog!$A$15:$B$25,2,0)</f>
        <v>Pakaian Unisex</v>
      </c>
      <c r="H187" t="str">
        <f t="shared" si="76"/>
        <v>1</v>
      </c>
      <c r="I187" t="str">
        <f t="shared" si="77"/>
        <v>5</v>
      </c>
      <c r="J187" s="18">
        <f>VLOOKUP(E187,Katalog!$C$3:$F$13,2,0)</f>
        <v>160000</v>
      </c>
      <c r="K187" s="18">
        <f>VLOOKUP(E187,Katalog!$C$3:$F$13,3,0)</f>
        <v>60000</v>
      </c>
      <c r="L187" t="str">
        <f t="shared" si="78"/>
        <v>PP001</v>
      </c>
      <c r="M187" t="str">
        <f>IFERROR(INDEX(Katalog!$B$4:$B$13,MATCH('Main Data'!L187,Katalog!$C$4:$C$13,0)), "-")</f>
        <v>Kaos Polo</v>
      </c>
      <c r="N187" t="str">
        <f>IFERROR(VLOOKUP(L187,Katalog!$A$15:$B$25,2,0),"-")</f>
        <v>Pakaian Pria</v>
      </c>
      <c r="O187" t="str">
        <f t="shared" si="79"/>
        <v>1</v>
      </c>
      <c r="P187" t="str">
        <f t="shared" si="80"/>
        <v>1</v>
      </c>
      <c r="Q187" s="18">
        <f>IFERROR(VLOOKUP(L187,Katalog!$C$3:$F$13,2,0),0)</f>
        <v>80000</v>
      </c>
      <c r="R187" s="18">
        <f>IFERROR(VLOOKUP(L187,Katalog!$C$3:$F$13,3,0),0)</f>
        <v>30000</v>
      </c>
      <c r="S187" t="str">
        <f t="shared" si="81"/>
        <v>-</v>
      </c>
      <c r="T187" t="str">
        <f>IFERROR(INDEX(Katalog!$B$4:$B$13,MATCH('Main Data'!S187,Katalog!$C$4:$C$13,0)),"-")</f>
        <v>-</v>
      </c>
      <c r="U187" t="str">
        <f>IFERROR(VLOOKUP(S187,Katalog!$A$15:$B$25,2,0),"-")</f>
        <v>-</v>
      </c>
      <c r="V187">
        <f t="shared" si="82"/>
        <v>0</v>
      </c>
      <c r="W187" s="28" t="str">
        <f t="shared" si="83"/>
        <v>-</v>
      </c>
      <c r="X187" s="18">
        <f>IFERROR(VLOOKUP(S187,Katalog!$C$3:$F$13,2,0),0)</f>
        <v>0</v>
      </c>
      <c r="Y187" s="30">
        <f>IFERROR(VLOOKUP(S187,Katalog!$C$3:$F$13,3,0),0)</f>
        <v>0</v>
      </c>
      <c r="Z187" s="2">
        <f t="shared" si="84"/>
        <v>2</v>
      </c>
      <c r="AA187" s="4">
        <f t="shared" si="85"/>
        <v>240000</v>
      </c>
      <c r="AB187" s="4">
        <f t="shared" si="86"/>
        <v>90000</v>
      </c>
      <c r="AC187" s="4" t="s">
        <v>31</v>
      </c>
      <c r="AD187" s="16">
        <f>IFERROR(VLOOKUP(AC187,'Kode Diskon'!$C$2:$D$9,2,0),0)</f>
        <v>0.15</v>
      </c>
      <c r="AE187" s="31">
        <f t="shared" si="87"/>
        <v>36000</v>
      </c>
      <c r="AF187" s="31">
        <f t="shared" si="88"/>
        <v>204000</v>
      </c>
      <c r="AG187" s="31">
        <f t="shared" si="89"/>
        <v>150000</v>
      </c>
      <c r="AH187" s="31">
        <f t="shared" si="90"/>
        <v>114000</v>
      </c>
      <c r="AI187" s="4" t="s">
        <v>8</v>
      </c>
      <c r="AJ187" s="4" t="s">
        <v>11</v>
      </c>
      <c r="AK187" s="4" t="str">
        <f>IFERROR(VLOOKUP(AJ187,'Guide '!$A$13:$B$16,2,0),"-")</f>
        <v>BL</v>
      </c>
      <c r="AL187" s="4" t="s">
        <v>925</v>
      </c>
      <c r="AM187" s="40">
        <v>45358</v>
      </c>
      <c r="AN187">
        <f t="shared" si="91"/>
        <v>29</v>
      </c>
      <c r="AO187">
        <f t="shared" si="92"/>
        <v>32</v>
      </c>
      <c r="AP187">
        <f t="shared" si="93"/>
        <v>40</v>
      </c>
      <c r="AQ187">
        <f t="shared" si="94"/>
        <v>43</v>
      </c>
      <c r="AR187" s="26">
        <f t="shared" si="95"/>
        <v>56</v>
      </c>
      <c r="AS187" s="26">
        <f t="shared" si="96"/>
        <v>63</v>
      </c>
      <c r="AT187" s="21">
        <f t="shared" si="97"/>
        <v>12</v>
      </c>
      <c r="AU187" s="21">
        <f t="shared" si="98"/>
        <v>19</v>
      </c>
      <c r="AV187">
        <f t="shared" si="99"/>
        <v>73</v>
      </c>
      <c r="AW187">
        <f t="shared" si="100"/>
        <v>76</v>
      </c>
      <c r="AX187">
        <f t="shared" si="101"/>
        <v>84</v>
      </c>
      <c r="AY187">
        <f t="shared" si="102"/>
        <v>87</v>
      </c>
      <c r="AZ187" t="str">
        <f t="shared" si="103"/>
        <v>-</v>
      </c>
      <c r="BA187" t="str">
        <f t="shared" si="104"/>
        <v>-</v>
      </c>
      <c r="BB187" t="str">
        <f t="shared" si="105"/>
        <v>-</v>
      </c>
      <c r="BC187" t="str">
        <f t="shared" si="106"/>
        <v>-</v>
      </c>
      <c r="BD187" s="29" t="str">
        <f t="shared" si="107"/>
        <v>-</v>
      </c>
      <c r="BE187" s="29" t="str">
        <f t="shared" si="108"/>
        <v>-</v>
      </c>
    </row>
    <row r="188" spans="1:57" ht="15" x14ac:dyDescent="0.2">
      <c r="A188" s="2">
        <v>302</v>
      </c>
      <c r="B188" s="2" t="str">
        <f t="shared" si="73"/>
        <v>0302</v>
      </c>
      <c r="C188" t="str">
        <f t="shared" si="74"/>
        <v>ORD-BL-0302-07/03/24</v>
      </c>
      <c r="D188" s="3" t="s">
        <v>328</v>
      </c>
      <c r="E188" t="str">
        <f t="shared" si="75"/>
        <v>PP002</v>
      </c>
      <c r="F188" t="str">
        <f>INDEX(Katalog!$B$4:$B$13,MATCH('Main Data'!E188,Katalog!$C$4:$C$13,0))</f>
        <v>Celana Pendek</v>
      </c>
      <c r="G188" t="str">
        <f>VLOOKUP(E188,Katalog!$A$15:$B$25,2,0)</f>
        <v>Pakaian Pria</v>
      </c>
      <c r="H188" t="str">
        <f t="shared" si="76"/>
        <v>1</v>
      </c>
      <c r="I188" t="str">
        <f t="shared" si="77"/>
        <v>2</v>
      </c>
      <c r="J188" s="18">
        <f>VLOOKUP(E188,Katalog!$C$3:$F$13,2,0)</f>
        <v>60000</v>
      </c>
      <c r="K188" s="18">
        <f>VLOOKUP(E188,Katalog!$C$3:$F$13,3,0)</f>
        <v>25000</v>
      </c>
      <c r="L188" t="str">
        <f t="shared" si="78"/>
        <v>-</v>
      </c>
      <c r="M188" t="str">
        <f>IFERROR(INDEX(Katalog!$B$4:$B$13,MATCH('Main Data'!L188,Katalog!$C$4:$C$13,0)), "-")</f>
        <v>-</v>
      </c>
      <c r="N188" t="str">
        <f>IFERROR(VLOOKUP(L188,Katalog!$A$15:$B$25,2,0),"-")</f>
        <v>-</v>
      </c>
      <c r="O188">
        <f t="shared" si="79"/>
        <v>0</v>
      </c>
      <c r="P188" t="str">
        <f t="shared" si="80"/>
        <v>-</v>
      </c>
      <c r="Q188" s="18">
        <f>IFERROR(VLOOKUP(L188,Katalog!$C$3:$F$13,2,0),0)</f>
        <v>0</v>
      </c>
      <c r="R188" s="18">
        <f>IFERROR(VLOOKUP(L188,Katalog!$C$3:$F$13,3,0),0)</f>
        <v>0</v>
      </c>
      <c r="S188" t="str">
        <f t="shared" si="81"/>
        <v>-</v>
      </c>
      <c r="T188" t="str">
        <f>IFERROR(INDEX(Katalog!$B$4:$B$13,MATCH('Main Data'!S188,Katalog!$C$4:$C$13,0)),"-")</f>
        <v>-</v>
      </c>
      <c r="U188" t="str">
        <f>IFERROR(VLOOKUP(S188,Katalog!$A$15:$B$25,2,0),"-")</f>
        <v>-</v>
      </c>
      <c r="V188">
        <f t="shared" si="82"/>
        <v>0</v>
      </c>
      <c r="W188" s="28" t="str">
        <f t="shared" si="83"/>
        <v>-</v>
      </c>
      <c r="X188" s="18">
        <f>IFERROR(VLOOKUP(S188,Katalog!$C$3:$F$13,2,0),0)</f>
        <v>0</v>
      </c>
      <c r="Y188" s="30">
        <f>IFERROR(VLOOKUP(S188,Katalog!$C$3:$F$13,3,0),0)</f>
        <v>0</v>
      </c>
      <c r="Z188" s="2">
        <f t="shared" si="84"/>
        <v>1</v>
      </c>
      <c r="AA188" s="4">
        <f t="shared" si="85"/>
        <v>60000</v>
      </c>
      <c r="AB188" s="4">
        <f t="shared" si="86"/>
        <v>25000</v>
      </c>
      <c r="AC188" s="4" t="s">
        <v>31</v>
      </c>
      <c r="AD188" s="16">
        <f>IFERROR(VLOOKUP(AC188,'Kode Diskon'!$C$2:$D$9,2,0),0)</f>
        <v>0.15</v>
      </c>
      <c r="AE188" s="31">
        <f t="shared" si="87"/>
        <v>9000</v>
      </c>
      <c r="AF188" s="31">
        <f t="shared" si="88"/>
        <v>51000</v>
      </c>
      <c r="AG188" s="31">
        <f t="shared" si="89"/>
        <v>35000</v>
      </c>
      <c r="AH188" s="31">
        <f t="shared" si="90"/>
        <v>26000</v>
      </c>
      <c r="AI188" s="4" t="s">
        <v>8</v>
      </c>
      <c r="AJ188" s="4" t="s">
        <v>11</v>
      </c>
      <c r="AK188" s="4" t="str">
        <f>IFERROR(VLOOKUP(AJ188,'Guide '!$A$13:$B$16,2,0),"-")</f>
        <v>BL</v>
      </c>
      <c r="AL188" s="4" t="s">
        <v>1006</v>
      </c>
      <c r="AM188" s="40">
        <v>45358</v>
      </c>
      <c r="AN188">
        <f t="shared" si="91"/>
        <v>29</v>
      </c>
      <c r="AO188">
        <f t="shared" si="92"/>
        <v>32</v>
      </c>
      <c r="AP188">
        <f t="shared" si="93"/>
        <v>40</v>
      </c>
      <c r="AQ188">
        <f t="shared" si="94"/>
        <v>43</v>
      </c>
      <c r="AR188" s="26" t="str">
        <f t="shared" si="95"/>
        <v>-</v>
      </c>
      <c r="AS188" s="26" t="str">
        <f t="shared" si="96"/>
        <v>-</v>
      </c>
      <c r="AT188" s="21">
        <f t="shared" si="97"/>
        <v>12</v>
      </c>
      <c r="AU188" s="21">
        <f t="shared" si="98"/>
        <v>19</v>
      </c>
      <c r="AV188" t="str">
        <f t="shared" si="99"/>
        <v>-</v>
      </c>
      <c r="AW188" t="str">
        <f t="shared" si="100"/>
        <v>-</v>
      </c>
      <c r="AX188" t="str">
        <f t="shared" si="101"/>
        <v>-</v>
      </c>
      <c r="AY188" t="str">
        <f t="shared" si="102"/>
        <v>-</v>
      </c>
      <c r="AZ188" t="str">
        <f t="shared" si="103"/>
        <v>-</v>
      </c>
      <c r="BA188" t="str">
        <f t="shared" si="104"/>
        <v>-</v>
      </c>
      <c r="BB188" t="str">
        <f t="shared" si="105"/>
        <v>-</v>
      </c>
      <c r="BC188" t="str">
        <f t="shared" si="106"/>
        <v>-</v>
      </c>
      <c r="BD188" s="29" t="str">
        <f t="shared" si="107"/>
        <v>-</v>
      </c>
      <c r="BE188" s="29" t="str">
        <f t="shared" si="108"/>
        <v>-</v>
      </c>
    </row>
    <row r="189" spans="1:57" ht="15" x14ac:dyDescent="0.2">
      <c r="A189" s="2">
        <v>381</v>
      </c>
      <c r="B189" s="2" t="str">
        <f t="shared" si="73"/>
        <v>0381</v>
      </c>
      <c r="C189" t="str">
        <f t="shared" si="74"/>
        <v>ORD-TK-0381-07/03/24</v>
      </c>
      <c r="D189" s="3" t="s">
        <v>430</v>
      </c>
      <c r="E189" t="str">
        <f t="shared" si="75"/>
        <v>SW001</v>
      </c>
      <c r="F189" t="str">
        <f>INDEX(Katalog!$B$4:$B$13,MATCH('Main Data'!E189,Katalog!$C$4:$C$13,0))</f>
        <v>Flat Shoes</v>
      </c>
      <c r="G189" t="str">
        <f>VLOOKUP(E189,Katalog!$A$15:$B$25,2,0)</f>
        <v>Sepatu Wanita</v>
      </c>
      <c r="H189" t="str">
        <f t="shared" si="76"/>
        <v>1</v>
      </c>
      <c r="I189" t="str">
        <f t="shared" si="77"/>
        <v>3</v>
      </c>
      <c r="J189" s="18">
        <f>VLOOKUP(E189,Katalog!$C$3:$F$13,2,0)</f>
        <v>150000</v>
      </c>
      <c r="K189" s="18">
        <f>VLOOKUP(E189,Katalog!$C$3:$F$13,3,0)</f>
        <v>70000</v>
      </c>
      <c r="L189" t="str">
        <f t="shared" si="78"/>
        <v>PP002</v>
      </c>
      <c r="M189" t="str">
        <f>IFERROR(INDEX(Katalog!$B$4:$B$13,MATCH('Main Data'!L189,Katalog!$C$4:$C$13,0)), "-")</f>
        <v>Celana Pendek</v>
      </c>
      <c r="N189" t="str">
        <f>IFERROR(VLOOKUP(L189,Katalog!$A$15:$B$25,2,0),"-")</f>
        <v>Pakaian Pria</v>
      </c>
      <c r="O189" t="str">
        <f t="shared" si="79"/>
        <v>2</v>
      </c>
      <c r="P189" t="str">
        <f t="shared" si="80"/>
        <v>3</v>
      </c>
      <c r="Q189" s="18">
        <f>IFERROR(VLOOKUP(L189,Katalog!$C$3:$F$13,2,0),0)</f>
        <v>60000</v>
      </c>
      <c r="R189" s="18">
        <f>IFERROR(VLOOKUP(L189,Katalog!$C$3:$F$13,3,0),0)</f>
        <v>25000</v>
      </c>
      <c r="S189" t="str">
        <f t="shared" si="81"/>
        <v>-</v>
      </c>
      <c r="T189" t="str">
        <f>IFERROR(INDEX(Katalog!$B$4:$B$13,MATCH('Main Data'!S189,Katalog!$C$4:$C$13,0)),"-")</f>
        <v>-</v>
      </c>
      <c r="U189" t="str">
        <f>IFERROR(VLOOKUP(S189,Katalog!$A$15:$B$25,2,0),"-")</f>
        <v>-</v>
      </c>
      <c r="V189">
        <f t="shared" si="82"/>
        <v>0</v>
      </c>
      <c r="W189" s="28" t="str">
        <f t="shared" si="83"/>
        <v>-</v>
      </c>
      <c r="X189" s="18">
        <f>IFERROR(VLOOKUP(S189,Katalog!$C$3:$F$13,2,0),0)</f>
        <v>0</v>
      </c>
      <c r="Y189" s="30">
        <f>IFERROR(VLOOKUP(S189,Katalog!$C$3:$F$13,3,0),0)</f>
        <v>0</v>
      </c>
      <c r="Z189" s="2">
        <f t="shared" si="84"/>
        <v>3</v>
      </c>
      <c r="AA189" s="4">
        <f t="shared" si="85"/>
        <v>270000</v>
      </c>
      <c r="AB189" s="4">
        <f t="shared" si="86"/>
        <v>120000</v>
      </c>
      <c r="AC189" s="4" t="s">
        <v>10</v>
      </c>
      <c r="AD189" s="16">
        <f>IFERROR(VLOOKUP(AC189,'Kode Diskon'!$C$2:$D$9,2,0),0)</f>
        <v>0</v>
      </c>
      <c r="AE189" s="31">
        <f t="shared" si="87"/>
        <v>0</v>
      </c>
      <c r="AF189" s="31">
        <f t="shared" si="88"/>
        <v>270000</v>
      </c>
      <c r="AG189" s="31">
        <f t="shared" si="89"/>
        <v>150000</v>
      </c>
      <c r="AH189" s="31">
        <f t="shared" si="90"/>
        <v>150000</v>
      </c>
      <c r="AI189" s="4" t="s">
        <v>10</v>
      </c>
      <c r="AJ189" s="4" t="s">
        <v>9</v>
      </c>
      <c r="AK189" s="4" t="str">
        <f>IFERROR(VLOOKUP(AJ189,'Guide '!$A$13:$B$16,2,0),"-")</f>
        <v>TK</v>
      </c>
      <c r="AL189" s="4" t="s">
        <v>924</v>
      </c>
      <c r="AM189" s="40">
        <v>45358</v>
      </c>
      <c r="AN189">
        <f t="shared" si="91"/>
        <v>29</v>
      </c>
      <c r="AO189">
        <f t="shared" si="92"/>
        <v>32</v>
      </c>
      <c r="AP189">
        <f t="shared" si="93"/>
        <v>40</v>
      </c>
      <c r="AQ189">
        <f t="shared" si="94"/>
        <v>43</v>
      </c>
      <c r="AR189" s="26">
        <f t="shared" si="95"/>
        <v>56</v>
      </c>
      <c r="AS189" s="26">
        <f t="shared" si="96"/>
        <v>63</v>
      </c>
      <c r="AT189" s="21">
        <f t="shared" si="97"/>
        <v>12</v>
      </c>
      <c r="AU189" s="21">
        <f t="shared" si="98"/>
        <v>19</v>
      </c>
      <c r="AV189">
        <f t="shared" si="99"/>
        <v>73</v>
      </c>
      <c r="AW189">
        <f t="shared" si="100"/>
        <v>76</v>
      </c>
      <c r="AX189">
        <f t="shared" si="101"/>
        <v>84</v>
      </c>
      <c r="AY189">
        <f t="shared" si="102"/>
        <v>87</v>
      </c>
      <c r="AZ189" t="str">
        <f t="shared" si="103"/>
        <v>-</v>
      </c>
      <c r="BA189" t="str">
        <f t="shared" si="104"/>
        <v>-</v>
      </c>
      <c r="BB189" t="str">
        <f t="shared" si="105"/>
        <v>-</v>
      </c>
      <c r="BC189" t="str">
        <f t="shared" si="106"/>
        <v>-</v>
      </c>
      <c r="BD189" s="29" t="str">
        <f t="shared" si="107"/>
        <v>-</v>
      </c>
      <c r="BE189" s="29" t="str">
        <f t="shared" si="108"/>
        <v>-</v>
      </c>
    </row>
    <row r="190" spans="1:57" ht="15" x14ac:dyDescent="0.2">
      <c r="A190" s="2">
        <v>607</v>
      </c>
      <c r="B190" s="2" t="str">
        <f t="shared" si="73"/>
        <v>0607</v>
      </c>
      <c r="C190" t="str">
        <f t="shared" si="74"/>
        <v>ORD-SP-0607-07/03/24</v>
      </c>
      <c r="D190" s="3" t="s">
        <v>619</v>
      </c>
      <c r="E190" t="str">
        <f t="shared" si="75"/>
        <v>SW001</v>
      </c>
      <c r="F190" t="str">
        <f>INDEX(Katalog!$B$4:$B$13,MATCH('Main Data'!E190,Katalog!$C$4:$C$13,0))</f>
        <v>Flat Shoes</v>
      </c>
      <c r="G190" t="str">
        <f>VLOOKUP(E190,Katalog!$A$15:$B$25,2,0)</f>
        <v>Sepatu Wanita</v>
      </c>
      <c r="H190" t="str">
        <f t="shared" si="76"/>
        <v>3</v>
      </c>
      <c r="I190" t="str">
        <f t="shared" si="77"/>
        <v>3</v>
      </c>
      <c r="J190" s="18">
        <f>VLOOKUP(E190,Katalog!$C$3:$F$13,2,0)</f>
        <v>150000</v>
      </c>
      <c r="K190" s="18">
        <f>VLOOKUP(E190,Katalog!$C$3:$F$13,3,0)</f>
        <v>70000</v>
      </c>
      <c r="L190" t="str">
        <f t="shared" si="78"/>
        <v>SP002</v>
      </c>
      <c r="M190" t="str">
        <f>IFERROR(INDEX(Katalog!$B$4:$B$13,MATCH('Main Data'!L190,Katalog!$C$4:$C$13,0)), "-")</f>
        <v>Sandal Slip On</v>
      </c>
      <c r="N190" t="str">
        <f>IFERROR(VLOOKUP(L190,Katalog!$A$15:$B$25,2,0),"-")</f>
        <v>Sepatu Pria</v>
      </c>
      <c r="O190" t="str">
        <f t="shared" si="79"/>
        <v>1</v>
      </c>
      <c r="P190" t="str">
        <f t="shared" si="80"/>
        <v>3</v>
      </c>
      <c r="Q190" s="18">
        <f>IFERROR(VLOOKUP(L190,Katalog!$C$3:$F$13,2,0),0)</f>
        <v>120000</v>
      </c>
      <c r="R190" s="18">
        <f>IFERROR(VLOOKUP(L190,Katalog!$C$3:$F$13,3,0),0)</f>
        <v>60000</v>
      </c>
      <c r="S190" t="str">
        <f t="shared" si="81"/>
        <v>-</v>
      </c>
      <c r="T190" t="str">
        <f>IFERROR(INDEX(Katalog!$B$4:$B$13,MATCH('Main Data'!S190,Katalog!$C$4:$C$13,0)),"-")</f>
        <v>-</v>
      </c>
      <c r="U190" t="str">
        <f>IFERROR(VLOOKUP(S190,Katalog!$A$15:$B$25,2,0),"-")</f>
        <v>-</v>
      </c>
      <c r="V190">
        <f t="shared" si="82"/>
        <v>0</v>
      </c>
      <c r="W190" s="28" t="str">
        <f t="shared" si="83"/>
        <v>-</v>
      </c>
      <c r="X190" s="18">
        <f>IFERROR(VLOOKUP(S190,Katalog!$C$3:$F$13,2,0),0)</f>
        <v>0</v>
      </c>
      <c r="Y190" s="30">
        <f>IFERROR(VLOOKUP(S190,Katalog!$C$3:$F$13,3,0),0)</f>
        <v>0</v>
      </c>
      <c r="Z190" s="2">
        <f t="shared" si="84"/>
        <v>4</v>
      </c>
      <c r="AA190" s="4">
        <f t="shared" si="85"/>
        <v>570000</v>
      </c>
      <c r="AB190" s="4">
        <f t="shared" si="86"/>
        <v>270000</v>
      </c>
      <c r="AC190" s="4" t="s">
        <v>5</v>
      </c>
      <c r="AD190" s="16">
        <f>IFERROR(VLOOKUP(AC190,'Kode Diskon'!$C$2:$D$9,2,0),0)</f>
        <v>0.1</v>
      </c>
      <c r="AE190" s="31">
        <f t="shared" si="87"/>
        <v>57000</v>
      </c>
      <c r="AF190" s="31">
        <f t="shared" si="88"/>
        <v>513000</v>
      </c>
      <c r="AG190" s="31">
        <f t="shared" si="89"/>
        <v>300000</v>
      </c>
      <c r="AH190" s="31">
        <f t="shared" si="90"/>
        <v>243000</v>
      </c>
      <c r="AI190" s="4" t="s">
        <v>28</v>
      </c>
      <c r="AJ190" s="4" t="s">
        <v>6</v>
      </c>
      <c r="AK190" s="4" t="str">
        <f>IFERROR(VLOOKUP(AJ190,'Guide '!$A$13:$B$16,2,0),"-")</f>
        <v>SP</v>
      </c>
      <c r="AL190" s="4" t="s">
        <v>925</v>
      </c>
      <c r="AM190" s="40">
        <v>45358</v>
      </c>
      <c r="AN190">
        <f t="shared" si="91"/>
        <v>29</v>
      </c>
      <c r="AO190">
        <f t="shared" si="92"/>
        <v>32</v>
      </c>
      <c r="AP190">
        <f t="shared" si="93"/>
        <v>40</v>
      </c>
      <c r="AQ190">
        <f t="shared" si="94"/>
        <v>43</v>
      </c>
      <c r="AR190" s="26">
        <f t="shared" si="95"/>
        <v>56</v>
      </c>
      <c r="AS190" s="26">
        <f t="shared" si="96"/>
        <v>63</v>
      </c>
      <c r="AT190" s="21">
        <f t="shared" si="97"/>
        <v>12</v>
      </c>
      <c r="AU190" s="21">
        <f t="shared" si="98"/>
        <v>19</v>
      </c>
      <c r="AV190">
        <f t="shared" si="99"/>
        <v>73</v>
      </c>
      <c r="AW190">
        <f t="shared" si="100"/>
        <v>76</v>
      </c>
      <c r="AX190">
        <f t="shared" si="101"/>
        <v>84</v>
      </c>
      <c r="AY190">
        <f t="shared" si="102"/>
        <v>87</v>
      </c>
      <c r="AZ190" t="str">
        <f t="shared" si="103"/>
        <v>-</v>
      </c>
      <c r="BA190" t="str">
        <f t="shared" si="104"/>
        <v>-</v>
      </c>
      <c r="BB190" t="str">
        <f t="shared" si="105"/>
        <v>-</v>
      </c>
      <c r="BC190" t="str">
        <f t="shared" si="106"/>
        <v>-</v>
      </c>
      <c r="BD190" s="29" t="str">
        <f t="shared" si="107"/>
        <v>-</v>
      </c>
      <c r="BE190" s="29" t="str">
        <f t="shared" si="108"/>
        <v>-</v>
      </c>
    </row>
    <row r="191" spans="1:57" ht="15" x14ac:dyDescent="0.2">
      <c r="A191" s="2">
        <v>867</v>
      </c>
      <c r="B191" s="2" t="str">
        <f t="shared" si="73"/>
        <v>0867</v>
      </c>
      <c r="C191" t="str">
        <f t="shared" si="74"/>
        <v>ORD-TK-0867-07/03/24</v>
      </c>
      <c r="D191" s="3" t="s">
        <v>310</v>
      </c>
      <c r="E191" t="str">
        <f t="shared" si="75"/>
        <v>PP002</v>
      </c>
      <c r="F191" t="str">
        <f>INDEX(Katalog!$B$4:$B$13,MATCH('Main Data'!E191,Katalog!$C$4:$C$13,0))</f>
        <v>Celana Pendek</v>
      </c>
      <c r="G191" t="str">
        <f>VLOOKUP(E191,Katalog!$A$15:$B$25,2,0)</f>
        <v>Pakaian Pria</v>
      </c>
      <c r="H191" t="str">
        <f t="shared" si="76"/>
        <v>1</v>
      </c>
      <c r="I191" t="str">
        <f t="shared" si="77"/>
        <v>5</v>
      </c>
      <c r="J191" s="18">
        <f>VLOOKUP(E191,Katalog!$C$3:$F$13,2,0)</f>
        <v>60000</v>
      </c>
      <c r="K191" s="18">
        <f>VLOOKUP(E191,Katalog!$C$3:$F$13,3,0)</f>
        <v>25000</v>
      </c>
      <c r="L191" t="str">
        <f t="shared" si="78"/>
        <v>-</v>
      </c>
      <c r="M191" t="str">
        <f>IFERROR(INDEX(Katalog!$B$4:$B$13,MATCH('Main Data'!L191,Katalog!$C$4:$C$13,0)), "-")</f>
        <v>-</v>
      </c>
      <c r="N191" t="str">
        <f>IFERROR(VLOOKUP(L191,Katalog!$A$15:$B$25,2,0),"-")</f>
        <v>-</v>
      </c>
      <c r="O191">
        <f t="shared" si="79"/>
        <v>0</v>
      </c>
      <c r="P191" t="str">
        <f t="shared" si="80"/>
        <v>-</v>
      </c>
      <c r="Q191" s="18">
        <f>IFERROR(VLOOKUP(L191,Katalog!$C$3:$F$13,2,0),0)</f>
        <v>0</v>
      </c>
      <c r="R191" s="18">
        <f>IFERROR(VLOOKUP(L191,Katalog!$C$3:$F$13,3,0),0)</f>
        <v>0</v>
      </c>
      <c r="S191" t="str">
        <f t="shared" si="81"/>
        <v>-</v>
      </c>
      <c r="T191" t="str">
        <f>IFERROR(INDEX(Katalog!$B$4:$B$13,MATCH('Main Data'!S191,Katalog!$C$4:$C$13,0)),"-")</f>
        <v>-</v>
      </c>
      <c r="U191" t="str">
        <f>IFERROR(VLOOKUP(S191,Katalog!$A$15:$B$25,2,0),"-")</f>
        <v>-</v>
      </c>
      <c r="V191">
        <f t="shared" si="82"/>
        <v>0</v>
      </c>
      <c r="W191" s="28" t="str">
        <f t="shared" si="83"/>
        <v>-</v>
      </c>
      <c r="X191" s="18">
        <f>IFERROR(VLOOKUP(S191,Katalog!$C$3:$F$13,2,0),0)</f>
        <v>0</v>
      </c>
      <c r="Y191" s="30">
        <f>IFERROR(VLOOKUP(S191,Katalog!$C$3:$F$13,3,0),0)</f>
        <v>0</v>
      </c>
      <c r="Z191" s="2">
        <f t="shared" si="84"/>
        <v>1</v>
      </c>
      <c r="AA191" s="4">
        <f t="shared" si="85"/>
        <v>60000</v>
      </c>
      <c r="AB191" s="4">
        <f t="shared" si="86"/>
        <v>25000</v>
      </c>
      <c r="AC191" s="4" t="s">
        <v>29</v>
      </c>
      <c r="AD191" s="16">
        <f>IFERROR(VLOOKUP(AC191,'Kode Diskon'!$C$2:$D$9,2,0),0)</f>
        <v>0.1</v>
      </c>
      <c r="AE191" s="31">
        <f t="shared" si="87"/>
        <v>6000</v>
      </c>
      <c r="AF191" s="31">
        <f t="shared" si="88"/>
        <v>54000</v>
      </c>
      <c r="AG191" s="31">
        <f t="shared" si="89"/>
        <v>35000</v>
      </c>
      <c r="AH191" s="31">
        <f t="shared" si="90"/>
        <v>29000</v>
      </c>
      <c r="AI191" s="4" t="s">
        <v>28</v>
      </c>
      <c r="AJ191" s="4" t="s">
        <v>9</v>
      </c>
      <c r="AK191" s="4" t="str">
        <f>IFERROR(VLOOKUP(AJ191,'Guide '!$A$13:$B$16,2,0),"-")</f>
        <v>TK</v>
      </c>
      <c r="AL191" s="4" t="s">
        <v>923</v>
      </c>
      <c r="AM191" s="40">
        <v>45358</v>
      </c>
      <c r="AN191">
        <f t="shared" si="91"/>
        <v>29</v>
      </c>
      <c r="AO191">
        <f t="shared" si="92"/>
        <v>32</v>
      </c>
      <c r="AP191">
        <f t="shared" si="93"/>
        <v>40</v>
      </c>
      <c r="AQ191">
        <f t="shared" si="94"/>
        <v>43</v>
      </c>
      <c r="AR191" s="26" t="str">
        <f t="shared" si="95"/>
        <v>-</v>
      </c>
      <c r="AS191" s="26" t="str">
        <f t="shared" si="96"/>
        <v>-</v>
      </c>
      <c r="AT191" s="21">
        <f t="shared" si="97"/>
        <v>12</v>
      </c>
      <c r="AU191" s="21">
        <f t="shared" si="98"/>
        <v>19</v>
      </c>
      <c r="AV191" t="str">
        <f t="shared" si="99"/>
        <v>-</v>
      </c>
      <c r="AW191" t="str">
        <f t="shared" si="100"/>
        <v>-</v>
      </c>
      <c r="AX191" t="str">
        <f t="shared" si="101"/>
        <v>-</v>
      </c>
      <c r="AY191" t="str">
        <f t="shared" si="102"/>
        <v>-</v>
      </c>
      <c r="AZ191" t="str">
        <f t="shared" si="103"/>
        <v>-</v>
      </c>
      <c r="BA191" t="str">
        <f t="shared" si="104"/>
        <v>-</v>
      </c>
      <c r="BB191" t="str">
        <f t="shared" si="105"/>
        <v>-</v>
      </c>
      <c r="BC191" t="str">
        <f t="shared" si="106"/>
        <v>-</v>
      </c>
      <c r="BD191" s="29" t="str">
        <f t="shared" si="107"/>
        <v>-</v>
      </c>
      <c r="BE191" s="29" t="str">
        <f t="shared" si="108"/>
        <v>-</v>
      </c>
    </row>
    <row r="192" spans="1:57" ht="15" x14ac:dyDescent="0.2">
      <c r="A192" s="2">
        <v>7</v>
      </c>
      <c r="B192" s="2" t="str">
        <f t="shared" si="73"/>
        <v>0007</v>
      </c>
      <c r="C192" t="str">
        <f t="shared" si="74"/>
        <v>ORD-BB-0007-08/03/24</v>
      </c>
      <c r="D192" s="3" t="s">
        <v>81</v>
      </c>
      <c r="E192" t="str">
        <f t="shared" si="75"/>
        <v>PU001</v>
      </c>
      <c r="F192" t="str">
        <f>INDEX(Katalog!$B$4:$B$13,MATCH('Main Data'!E192,Katalog!$C$4:$C$13,0))</f>
        <v>Jaket Hoodie</v>
      </c>
      <c r="G192" t="str">
        <f>VLOOKUP(E192,Katalog!$A$15:$B$25,2,0)</f>
        <v>Pakaian Unisex</v>
      </c>
      <c r="H192" t="str">
        <f t="shared" si="76"/>
        <v>4</v>
      </c>
      <c r="I192" t="str">
        <f t="shared" si="77"/>
        <v>4</v>
      </c>
      <c r="J192" s="18">
        <f>VLOOKUP(E192,Katalog!$C$3:$F$13,2,0)</f>
        <v>160000</v>
      </c>
      <c r="K192" s="18">
        <f>VLOOKUP(E192,Katalog!$C$3:$F$13,3,0)</f>
        <v>60000</v>
      </c>
      <c r="L192" t="str">
        <f t="shared" si="78"/>
        <v>-</v>
      </c>
      <c r="M192" t="str">
        <f>IFERROR(INDEX(Katalog!$B$4:$B$13,MATCH('Main Data'!L192,Katalog!$C$4:$C$13,0)), "-")</f>
        <v>-</v>
      </c>
      <c r="N192" t="str">
        <f>IFERROR(VLOOKUP(L192,Katalog!$A$15:$B$25,2,0),"-")</f>
        <v>-</v>
      </c>
      <c r="O192">
        <f t="shared" si="79"/>
        <v>0</v>
      </c>
      <c r="P192" t="str">
        <f t="shared" si="80"/>
        <v>-</v>
      </c>
      <c r="Q192" s="18">
        <f>IFERROR(VLOOKUP(L192,Katalog!$C$3:$F$13,2,0),0)</f>
        <v>0</v>
      </c>
      <c r="R192" s="18">
        <f>IFERROR(VLOOKUP(L192,Katalog!$C$3:$F$13,3,0),0)</f>
        <v>0</v>
      </c>
      <c r="S192" t="str">
        <f t="shared" si="81"/>
        <v>-</v>
      </c>
      <c r="T192" t="str">
        <f>IFERROR(INDEX(Katalog!$B$4:$B$13,MATCH('Main Data'!S192,Katalog!$C$4:$C$13,0)),"-")</f>
        <v>-</v>
      </c>
      <c r="U192" t="str">
        <f>IFERROR(VLOOKUP(S192,Katalog!$A$15:$B$25,2,0),"-")</f>
        <v>-</v>
      </c>
      <c r="V192">
        <f t="shared" si="82"/>
        <v>0</v>
      </c>
      <c r="W192" s="28" t="str">
        <f t="shared" si="83"/>
        <v>-</v>
      </c>
      <c r="X192" s="18">
        <f>IFERROR(VLOOKUP(S192,Katalog!$C$3:$F$13,2,0),0)</f>
        <v>0</v>
      </c>
      <c r="Y192" s="30">
        <f>IFERROR(VLOOKUP(S192,Katalog!$C$3:$F$13,3,0),0)</f>
        <v>0</v>
      </c>
      <c r="Z192" s="2">
        <f t="shared" si="84"/>
        <v>4</v>
      </c>
      <c r="AA192" s="4">
        <f t="shared" si="85"/>
        <v>640000</v>
      </c>
      <c r="AB192" s="4">
        <f t="shared" si="86"/>
        <v>240000</v>
      </c>
      <c r="AC192" s="4" t="s">
        <v>27</v>
      </c>
      <c r="AD192" s="16">
        <f>IFERROR(VLOOKUP(AC192,'Kode Diskon'!$C$2:$D$9,2,0),0)</f>
        <v>0.15</v>
      </c>
      <c r="AE192" s="31">
        <f t="shared" si="87"/>
        <v>96000</v>
      </c>
      <c r="AF192" s="31">
        <f t="shared" si="88"/>
        <v>544000</v>
      </c>
      <c r="AG192" s="31">
        <f t="shared" si="89"/>
        <v>400000</v>
      </c>
      <c r="AH192" s="31">
        <f t="shared" si="90"/>
        <v>304000</v>
      </c>
      <c r="AI192" s="4" t="s">
        <v>28</v>
      </c>
      <c r="AJ192" s="4" t="s">
        <v>13</v>
      </c>
      <c r="AK192" s="4" t="str">
        <f>IFERROR(VLOOKUP(AJ192,'Guide '!$A$13:$B$16,2,0),"-")</f>
        <v>BB</v>
      </c>
      <c r="AL192" s="4" t="s">
        <v>924</v>
      </c>
      <c r="AM192" s="40">
        <v>45359</v>
      </c>
      <c r="AN192">
        <f t="shared" si="91"/>
        <v>29</v>
      </c>
      <c r="AO192">
        <f t="shared" si="92"/>
        <v>32</v>
      </c>
      <c r="AP192">
        <f t="shared" si="93"/>
        <v>40</v>
      </c>
      <c r="AQ192">
        <f t="shared" si="94"/>
        <v>43</v>
      </c>
      <c r="AR192" s="26" t="str">
        <f t="shared" si="95"/>
        <v>-</v>
      </c>
      <c r="AS192" s="26" t="str">
        <f t="shared" si="96"/>
        <v>-</v>
      </c>
      <c r="AT192" s="21">
        <f t="shared" si="97"/>
        <v>12</v>
      </c>
      <c r="AU192" s="21">
        <f t="shared" si="98"/>
        <v>19</v>
      </c>
      <c r="AV192" t="str">
        <f t="shared" si="99"/>
        <v>-</v>
      </c>
      <c r="AW192" t="str">
        <f t="shared" si="100"/>
        <v>-</v>
      </c>
      <c r="AX192" t="str">
        <f t="shared" si="101"/>
        <v>-</v>
      </c>
      <c r="AY192" t="str">
        <f t="shared" si="102"/>
        <v>-</v>
      </c>
      <c r="AZ192" t="str">
        <f t="shared" si="103"/>
        <v>-</v>
      </c>
      <c r="BA192" t="str">
        <f t="shared" si="104"/>
        <v>-</v>
      </c>
      <c r="BB192" t="str">
        <f t="shared" si="105"/>
        <v>-</v>
      </c>
      <c r="BC192" t="str">
        <f t="shared" si="106"/>
        <v>-</v>
      </c>
      <c r="BD192" s="29" t="str">
        <f t="shared" si="107"/>
        <v>-</v>
      </c>
      <c r="BE192" s="29" t="str">
        <f t="shared" si="108"/>
        <v>-</v>
      </c>
    </row>
    <row r="193" spans="1:57" ht="15" x14ac:dyDescent="0.2">
      <c r="A193" s="2">
        <v>36</v>
      </c>
      <c r="B193" s="2" t="str">
        <f t="shared" si="73"/>
        <v>0036</v>
      </c>
      <c r="C193" t="str">
        <f t="shared" si="74"/>
        <v>ORD-BL-0036-08/03/24</v>
      </c>
      <c r="D193" s="3" t="s">
        <v>110</v>
      </c>
      <c r="E193" t="str">
        <f t="shared" si="75"/>
        <v>PW002</v>
      </c>
      <c r="F193" t="str">
        <f>INDEX(Katalog!$B$4:$B$13,MATCH('Main Data'!E193,Katalog!$C$4:$C$13,0))</f>
        <v>Blouse</v>
      </c>
      <c r="G193" t="str">
        <f>VLOOKUP(E193,Katalog!$A$15:$B$25,2,0)</f>
        <v>Pakaian Wanita</v>
      </c>
      <c r="H193" t="str">
        <f t="shared" si="76"/>
        <v>1</v>
      </c>
      <c r="I193" t="str">
        <f t="shared" si="77"/>
        <v>1</v>
      </c>
      <c r="J193" s="18">
        <f>VLOOKUP(E193,Katalog!$C$3:$F$13,2,0)</f>
        <v>125000</v>
      </c>
      <c r="K193" s="18">
        <f>VLOOKUP(E193,Katalog!$C$3:$F$13,3,0)</f>
        <v>50000</v>
      </c>
      <c r="L193" t="str">
        <f t="shared" si="78"/>
        <v>SW001</v>
      </c>
      <c r="M193" t="str">
        <f>IFERROR(INDEX(Katalog!$B$4:$B$13,MATCH('Main Data'!L193,Katalog!$C$4:$C$13,0)), "-")</f>
        <v>Flat Shoes</v>
      </c>
      <c r="N193" t="str">
        <f>IFERROR(VLOOKUP(L193,Katalog!$A$15:$B$25,2,0),"-")</f>
        <v>Sepatu Wanita</v>
      </c>
      <c r="O193" t="str">
        <f t="shared" si="79"/>
        <v>1</v>
      </c>
      <c r="P193" t="str">
        <f t="shared" si="80"/>
        <v>5</v>
      </c>
      <c r="Q193" s="18">
        <f>IFERROR(VLOOKUP(L193,Katalog!$C$3:$F$13,2,0),0)</f>
        <v>150000</v>
      </c>
      <c r="R193" s="18">
        <f>IFERROR(VLOOKUP(L193,Katalog!$C$3:$F$13,3,0),0)</f>
        <v>70000</v>
      </c>
      <c r="S193" t="str">
        <f t="shared" si="81"/>
        <v>-</v>
      </c>
      <c r="T193" t="str">
        <f>IFERROR(INDEX(Katalog!$B$4:$B$13,MATCH('Main Data'!S193,Katalog!$C$4:$C$13,0)),"-")</f>
        <v>-</v>
      </c>
      <c r="U193" t="str">
        <f>IFERROR(VLOOKUP(S193,Katalog!$A$15:$B$25,2,0),"-")</f>
        <v>-</v>
      </c>
      <c r="V193">
        <f t="shared" si="82"/>
        <v>0</v>
      </c>
      <c r="W193" s="28" t="str">
        <f t="shared" si="83"/>
        <v>-</v>
      </c>
      <c r="X193" s="18">
        <f>IFERROR(VLOOKUP(S193,Katalog!$C$3:$F$13,2,0),0)</f>
        <v>0</v>
      </c>
      <c r="Y193" s="30">
        <f>IFERROR(VLOOKUP(S193,Katalog!$C$3:$F$13,3,0),0)</f>
        <v>0</v>
      </c>
      <c r="Z193" s="2">
        <f t="shared" si="84"/>
        <v>2</v>
      </c>
      <c r="AA193" s="4">
        <f t="shared" si="85"/>
        <v>275000</v>
      </c>
      <c r="AB193" s="4">
        <f t="shared" si="86"/>
        <v>120000</v>
      </c>
      <c r="AC193" s="4" t="s">
        <v>10</v>
      </c>
      <c r="AD193" s="16">
        <f>IFERROR(VLOOKUP(AC193,'Kode Diskon'!$C$2:$D$9,2,0),0)</f>
        <v>0</v>
      </c>
      <c r="AE193" s="31">
        <f t="shared" si="87"/>
        <v>0</v>
      </c>
      <c r="AF193" s="31">
        <f t="shared" si="88"/>
        <v>275000</v>
      </c>
      <c r="AG193" s="31">
        <f t="shared" si="89"/>
        <v>155000</v>
      </c>
      <c r="AH193" s="31">
        <f t="shared" si="90"/>
        <v>155000</v>
      </c>
      <c r="AI193" s="4" t="s">
        <v>10</v>
      </c>
      <c r="AJ193" s="4" t="s">
        <v>11</v>
      </c>
      <c r="AK193" s="4" t="str">
        <f>IFERROR(VLOOKUP(AJ193,'Guide '!$A$13:$B$16,2,0),"-")</f>
        <v>BL</v>
      </c>
      <c r="AL193" s="4" t="s">
        <v>924</v>
      </c>
      <c r="AM193" s="40">
        <v>45359</v>
      </c>
      <c r="AN193">
        <f t="shared" si="91"/>
        <v>29</v>
      </c>
      <c r="AO193">
        <f t="shared" si="92"/>
        <v>32</v>
      </c>
      <c r="AP193">
        <f t="shared" si="93"/>
        <v>40</v>
      </c>
      <c r="AQ193">
        <f t="shared" si="94"/>
        <v>43</v>
      </c>
      <c r="AR193" s="26">
        <f t="shared" si="95"/>
        <v>56</v>
      </c>
      <c r="AS193" s="26">
        <f t="shared" si="96"/>
        <v>63</v>
      </c>
      <c r="AT193" s="21">
        <f t="shared" si="97"/>
        <v>12</v>
      </c>
      <c r="AU193" s="21">
        <f t="shared" si="98"/>
        <v>19</v>
      </c>
      <c r="AV193">
        <f t="shared" si="99"/>
        <v>73</v>
      </c>
      <c r="AW193">
        <f t="shared" si="100"/>
        <v>76</v>
      </c>
      <c r="AX193">
        <f t="shared" si="101"/>
        <v>84</v>
      </c>
      <c r="AY193">
        <f t="shared" si="102"/>
        <v>87</v>
      </c>
      <c r="AZ193" t="str">
        <f t="shared" si="103"/>
        <v>-</v>
      </c>
      <c r="BA193" t="str">
        <f t="shared" si="104"/>
        <v>-</v>
      </c>
      <c r="BB193" t="str">
        <f t="shared" si="105"/>
        <v>-</v>
      </c>
      <c r="BC193" t="str">
        <f t="shared" si="106"/>
        <v>-</v>
      </c>
      <c r="BD193" s="29" t="str">
        <f t="shared" si="107"/>
        <v>-</v>
      </c>
      <c r="BE193" s="29" t="str">
        <f t="shared" si="108"/>
        <v>-</v>
      </c>
    </row>
    <row r="194" spans="1:57" ht="15" x14ac:dyDescent="0.2">
      <c r="A194" s="2">
        <v>333</v>
      </c>
      <c r="B194" s="2" t="str">
        <f t="shared" si="73"/>
        <v>0333</v>
      </c>
      <c r="C194" t="str">
        <f t="shared" si="74"/>
        <v>ORD-BL-0333-08/03/24</v>
      </c>
      <c r="D194" s="3" t="s">
        <v>386</v>
      </c>
      <c r="E194" t="str">
        <f t="shared" si="75"/>
        <v>SP002</v>
      </c>
      <c r="F194" t="str">
        <f>INDEX(Katalog!$B$4:$B$13,MATCH('Main Data'!E194,Katalog!$C$4:$C$13,0))</f>
        <v>Sandal Slip On</v>
      </c>
      <c r="G194" t="str">
        <f>VLOOKUP(E194,Katalog!$A$15:$B$25,2,0)</f>
        <v>Sepatu Pria</v>
      </c>
      <c r="H194" t="str">
        <f t="shared" si="76"/>
        <v>1</v>
      </c>
      <c r="I194" t="str">
        <f t="shared" si="77"/>
        <v>2</v>
      </c>
      <c r="J194" s="18">
        <f>VLOOKUP(E194,Katalog!$C$3:$F$13,2,0)</f>
        <v>120000</v>
      </c>
      <c r="K194" s="18">
        <f>VLOOKUP(E194,Katalog!$C$3:$F$13,3,0)</f>
        <v>60000</v>
      </c>
      <c r="L194" t="str">
        <f t="shared" si="78"/>
        <v>SW001</v>
      </c>
      <c r="M194" t="str">
        <f>IFERROR(INDEX(Katalog!$B$4:$B$13,MATCH('Main Data'!L194,Katalog!$C$4:$C$13,0)), "-")</f>
        <v>Flat Shoes</v>
      </c>
      <c r="N194" t="str">
        <f>IFERROR(VLOOKUP(L194,Katalog!$A$15:$B$25,2,0),"-")</f>
        <v>Sepatu Wanita</v>
      </c>
      <c r="O194" t="str">
        <f t="shared" si="79"/>
        <v>3</v>
      </c>
      <c r="P194" t="str">
        <f t="shared" si="80"/>
        <v>1</v>
      </c>
      <c r="Q194" s="18">
        <f>IFERROR(VLOOKUP(L194,Katalog!$C$3:$F$13,2,0),0)</f>
        <v>150000</v>
      </c>
      <c r="R194" s="18">
        <f>IFERROR(VLOOKUP(L194,Katalog!$C$3:$F$13,3,0),0)</f>
        <v>70000</v>
      </c>
      <c r="S194" t="str">
        <f t="shared" si="81"/>
        <v>-</v>
      </c>
      <c r="T194" t="str">
        <f>IFERROR(INDEX(Katalog!$B$4:$B$13,MATCH('Main Data'!S194,Katalog!$C$4:$C$13,0)),"-")</f>
        <v>-</v>
      </c>
      <c r="U194" t="str">
        <f>IFERROR(VLOOKUP(S194,Katalog!$A$15:$B$25,2,0),"-")</f>
        <v>-</v>
      </c>
      <c r="V194">
        <f t="shared" si="82"/>
        <v>0</v>
      </c>
      <c r="W194" s="28" t="str">
        <f t="shared" si="83"/>
        <v>-</v>
      </c>
      <c r="X194" s="18">
        <f>IFERROR(VLOOKUP(S194,Katalog!$C$3:$F$13,2,0),0)</f>
        <v>0</v>
      </c>
      <c r="Y194" s="30">
        <f>IFERROR(VLOOKUP(S194,Katalog!$C$3:$F$13,3,0),0)</f>
        <v>0</v>
      </c>
      <c r="Z194" s="2">
        <f t="shared" si="84"/>
        <v>4</v>
      </c>
      <c r="AA194" s="4">
        <f t="shared" si="85"/>
        <v>570000</v>
      </c>
      <c r="AB194" s="4">
        <f t="shared" si="86"/>
        <v>270000</v>
      </c>
      <c r="AC194" s="4" t="s">
        <v>31</v>
      </c>
      <c r="AD194" s="16">
        <f>IFERROR(VLOOKUP(AC194,'Kode Diskon'!$C$2:$D$9,2,0),0)</f>
        <v>0.15</v>
      </c>
      <c r="AE194" s="31">
        <f t="shared" si="87"/>
        <v>85500</v>
      </c>
      <c r="AF194" s="31">
        <f t="shared" si="88"/>
        <v>484500</v>
      </c>
      <c r="AG194" s="31">
        <f t="shared" si="89"/>
        <v>300000</v>
      </c>
      <c r="AH194" s="31">
        <f t="shared" si="90"/>
        <v>214500</v>
      </c>
      <c r="AI194" s="4" t="s">
        <v>8</v>
      </c>
      <c r="AJ194" s="4" t="s">
        <v>11</v>
      </c>
      <c r="AK194" s="4" t="str">
        <f>IFERROR(VLOOKUP(AJ194,'Guide '!$A$13:$B$16,2,0),"-")</f>
        <v>BL</v>
      </c>
      <c r="AL194" s="4" t="s">
        <v>925</v>
      </c>
      <c r="AM194" s="40">
        <v>45359</v>
      </c>
      <c r="AN194">
        <f t="shared" si="91"/>
        <v>29</v>
      </c>
      <c r="AO194">
        <f t="shared" si="92"/>
        <v>32</v>
      </c>
      <c r="AP194">
        <f t="shared" si="93"/>
        <v>40</v>
      </c>
      <c r="AQ194">
        <f t="shared" si="94"/>
        <v>43</v>
      </c>
      <c r="AR194" s="26">
        <f t="shared" si="95"/>
        <v>56</v>
      </c>
      <c r="AS194" s="26">
        <f t="shared" si="96"/>
        <v>63</v>
      </c>
      <c r="AT194" s="21">
        <f t="shared" si="97"/>
        <v>12</v>
      </c>
      <c r="AU194" s="21">
        <f t="shared" si="98"/>
        <v>19</v>
      </c>
      <c r="AV194">
        <f t="shared" si="99"/>
        <v>73</v>
      </c>
      <c r="AW194">
        <f t="shared" si="100"/>
        <v>76</v>
      </c>
      <c r="AX194">
        <f t="shared" si="101"/>
        <v>84</v>
      </c>
      <c r="AY194">
        <f t="shared" si="102"/>
        <v>87</v>
      </c>
      <c r="AZ194" t="str">
        <f t="shared" si="103"/>
        <v>-</v>
      </c>
      <c r="BA194" t="str">
        <f t="shared" si="104"/>
        <v>-</v>
      </c>
      <c r="BB194" t="str">
        <f t="shared" si="105"/>
        <v>-</v>
      </c>
      <c r="BC194" t="str">
        <f t="shared" si="106"/>
        <v>-</v>
      </c>
      <c r="BD194" s="29" t="str">
        <f t="shared" si="107"/>
        <v>-</v>
      </c>
      <c r="BE194" s="29" t="str">
        <f t="shared" si="108"/>
        <v>-</v>
      </c>
    </row>
    <row r="195" spans="1:57" ht="15" x14ac:dyDescent="0.2">
      <c r="A195" s="2">
        <v>362</v>
      </c>
      <c r="B195" s="2" t="str">
        <f t="shared" ref="B195:B258" si="109">TEXT(A195,"0000")</f>
        <v>0362</v>
      </c>
      <c r="C195" t="str">
        <f t="shared" ref="C195:C258" si="110">CONCATENATE("ORD","-",AK195,"-",B195,"-",TEXT(AM195,"dd/mm/yy"))</f>
        <v>ORD-BL-0362-08/03/24</v>
      </c>
      <c r="D195" s="3" t="s">
        <v>413</v>
      </c>
      <c r="E195" t="str">
        <f t="shared" ref="E195:E258" si="111">MID(D195,AT195+2,AU195-AT195-2)</f>
        <v>SP002</v>
      </c>
      <c r="F195" t="str">
        <f>INDEX(Katalog!$B$4:$B$13,MATCH('Main Data'!E195,Katalog!$C$4:$C$13,0))</f>
        <v>Sandal Slip On</v>
      </c>
      <c r="G195" t="str">
        <f>VLOOKUP(E195,Katalog!$A$15:$B$25,2,0)</f>
        <v>Sepatu Pria</v>
      </c>
      <c r="H195" t="str">
        <f t="shared" ref="H195:H258" si="112">MID(D195,AN195+2,AO195-AN195-2)</f>
        <v>3</v>
      </c>
      <c r="I195" t="str">
        <f t="shared" ref="I195:I258" si="113">MID(D195,AP195+2,AQ195-AP195-2)</f>
        <v>5</v>
      </c>
      <c r="J195" s="18">
        <f>VLOOKUP(E195,Katalog!$C$3:$F$13,2,0)</f>
        <v>120000</v>
      </c>
      <c r="K195" s="18">
        <f>VLOOKUP(E195,Katalog!$C$3:$F$13,3,0)</f>
        <v>60000</v>
      </c>
      <c r="L195" t="str">
        <f t="shared" ref="L195:L258" si="114">IFERROR(MID(D195,AR195+2,AS195-AR195-2),"-")</f>
        <v>PW003</v>
      </c>
      <c r="M195" t="str">
        <f>IFERROR(INDEX(Katalog!$B$4:$B$13,MATCH('Main Data'!L195,Katalog!$C$4:$C$13,0)), "-")</f>
        <v>Kaftan</v>
      </c>
      <c r="N195" t="str">
        <f>IFERROR(VLOOKUP(L195,Katalog!$A$15:$B$25,2,0),"-")</f>
        <v>Pakaian Wanita</v>
      </c>
      <c r="O195" t="str">
        <f t="shared" ref="O195:O258" si="115">IFERROR(MID(D195,AV195+2,AW195-AV195-2),0)</f>
        <v>1</v>
      </c>
      <c r="P195" t="str">
        <f t="shared" ref="P195:P258" si="116">IFERROR(MID(D195,AX195+2,AY195-AX195-2),"-")</f>
        <v>5</v>
      </c>
      <c r="Q195" s="18">
        <f>IFERROR(VLOOKUP(L195,Katalog!$C$3:$F$13,2,0),0)</f>
        <v>200000</v>
      </c>
      <c r="R195" s="18">
        <f>IFERROR(VLOOKUP(L195,Katalog!$C$3:$F$13,3,0),0)</f>
        <v>100000</v>
      </c>
      <c r="S195" t="str">
        <f t="shared" ref="S195:S258" si="117">IFERROR(MID(D195,AZ195+2,BA195-AZ195-2),"-")</f>
        <v>-</v>
      </c>
      <c r="T195" t="str">
        <f>IFERROR(INDEX(Katalog!$B$4:$B$13,MATCH('Main Data'!S195,Katalog!$C$4:$C$13,0)),"-")</f>
        <v>-</v>
      </c>
      <c r="U195" t="str">
        <f>IFERROR(VLOOKUP(S195,Katalog!$A$15:$B$25,2,0),"-")</f>
        <v>-</v>
      </c>
      <c r="V195">
        <f t="shared" ref="V195:V258" si="118">IFERROR(MID(D195,BB195+2,BC195-BB195-2),0)</f>
        <v>0</v>
      </c>
      <c r="W195" s="28" t="str">
        <f t="shared" ref="W195:W258" si="119">IFERROR(MID(D195,BD195+2,BE195-BD195-2),"-")</f>
        <v>-</v>
      </c>
      <c r="X195" s="18">
        <f>IFERROR(VLOOKUP(S195,Katalog!$C$3:$F$13,2,0),0)</f>
        <v>0</v>
      </c>
      <c r="Y195" s="30">
        <f>IFERROR(VLOOKUP(S195,Katalog!$C$3:$F$13,3,0),0)</f>
        <v>0</v>
      </c>
      <c r="Z195" s="2">
        <f t="shared" ref="Z195:Z258" si="120">H195+O195+V195</f>
        <v>4</v>
      </c>
      <c r="AA195" s="4">
        <f t="shared" ref="AA195:AA258" si="121">J195*H195+Q195*O195+X195*V195</f>
        <v>560000</v>
      </c>
      <c r="AB195" s="4">
        <f t="shared" ref="AB195:AB258" si="122">K195*H195+R195*O195+Y195*V195</f>
        <v>280000</v>
      </c>
      <c r="AC195" s="4" t="s">
        <v>31</v>
      </c>
      <c r="AD195" s="16">
        <f>IFERROR(VLOOKUP(AC195,'Kode Diskon'!$C$2:$D$9,2,0),0)</f>
        <v>0.15</v>
      </c>
      <c r="AE195" s="31">
        <f t="shared" ref="AE195:AE258" si="123">AA195*AD195</f>
        <v>84000</v>
      </c>
      <c r="AF195" s="31">
        <f t="shared" ref="AF195:AF258" si="124">AA195-AE195</f>
        <v>476000</v>
      </c>
      <c r="AG195" s="31">
        <f t="shared" ref="AG195:AG258" si="125">AA195-AB195</f>
        <v>280000</v>
      </c>
      <c r="AH195" s="31">
        <f t="shared" ref="AH195:AH258" si="126">AF195-AB195</f>
        <v>196000</v>
      </c>
      <c r="AI195" s="4" t="s">
        <v>8</v>
      </c>
      <c r="AJ195" s="4" t="s">
        <v>11</v>
      </c>
      <c r="AK195" s="4" t="str">
        <f>IFERROR(VLOOKUP(AJ195,'Guide '!$A$13:$B$16,2,0),"-")</f>
        <v>BL</v>
      </c>
      <c r="AL195" s="4" t="s">
        <v>924</v>
      </c>
      <c r="AM195" s="40">
        <v>45359</v>
      </c>
      <c r="AN195">
        <f t="shared" ref="AN195:AN258" si="127">FIND(":",D195,AT195+1)</f>
        <v>29</v>
      </c>
      <c r="AO195">
        <f t="shared" ref="AO195:AO258" si="128">FIND(",",D195,AU195+1)</f>
        <v>32</v>
      </c>
      <c r="AP195">
        <f t="shared" ref="AP195:AP258" si="129">FIND(":",D195,AN195+1)</f>
        <v>40</v>
      </c>
      <c r="AQ195">
        <f t="shared" ref="AQ195:AQ258" si="130">FIND("}",D195,AO195+1)</f>
        <v>43</v>
      </c>
      <c r="AR195" s="26">
        <f t="shared" ref="AR195:AR258" si="131">IFERROR(FIND(":",D195,AP195+1),"-")</f>
        <v>56</v>
      </c>
      <c r="AS195" s="26">
        <f t="shared" ref="AS195:AS258" si="132">IFERROR(FIND(",",D195,AQ195+2),"-")</f>
        <v>63</v>
      </c>
      <c r="AT195" s="21">
        <f t="shared" ref="AT195:AT258" si="133">FIND(":",D195)</f>
        <v>12</v>
      </c>
      <c r="AU195" s="21">
        <f t="shared" ref="AU195:AU258" si="134">FIND(",",D195)</f>
        <v>19</v>
      </c>
      <c r="AV195">
        <f t="shared" ref="AV195:AV258" si="135">IFERROR(FIND(":",D195,AR195+1),"-")</f>
        <v>73</v>
      </c>
      <c r="AW195">
        <f t="shared" ref="AW195:AW258" si="136">IFERROR(FIND(",",D195,AS195+1),"-")</f>
        <v>76</v>
      </c>
      <c r="AX195">
        <f t="shared" ref="AX195:AX258" si="137">IFERROR(FIND(":",D195,AV195+1),"-")</f>
        <v>84</v>
      </c>
      <c r="AY195">
        <f t="shared" ref="AY195:AY258" si="138">IFERROR(FIND("}",D195,AW195+1),"-")</f>
        <v>87</v>
      </c>
      <c r="AZ195" t="str">
        <f t="shared" ref="AZ195:AZ258" si="139">IFERROR(FIND(":",D195,AX195+1),"-")</f>
        <v>-</v>
      </c>
      <c r="BA195" t="str">
        <f t="shared" ref="BA195:BA258" si="140">IFERROR(FIND(",",D195,AY195+2),"-")</f>
        <v>-</v>
      </c>
      <c r="BB195" t="str">
        <f t="shared" ref="BB195:BB258" si="141">IFERROR(FIND(":",D195,AZ195+1),"-")</f>
        <v>-</v>
      </c>
      <c r="BC195" t="str">
        <f t="shared" ref="BC195:BC258" si="142">IFERROR(FIND(",",D195,BA195+1),"-")</f>
        <v>-</v>
      </c>
      <c r="BD195" s="29" t="str">
        <f t="shared" ref="BD195:BD258" si="143">IFERROR(FIND(":",D195,BB195+1),"-")</f>
        <v>-</v>
      </c>
      <c r="BE195" s="29" t="str">
        <f t="shared" ref="BE195:BE258" si="144">IFERROR(FIND("}",D195,BC195+1),"-")</f>
        <v>-</v>
      </c>
    </row>
    <row r="196" spans="1:57" ht="15" x14ac:dyDescent="0.2">
      <c r="A196" s="2">
        <v>540</v>
      </c>
      <c r="B196" s="2" t="str">
        <f t="shared" si="109"/>
        <v>0540</v>
      </c>
      <c r="C196" t="str">
        <f t="shared" si="110"/>
        <v>ORD-BL-0540-08/03/24</v>
      </c>
      <c r="D196" s="3" t="s">
        <v>564</v>
      </c>
      <c r="E196" t="str">
        <f t="shared" si="111"/>
        <v>PW001</v>
      </c>
      <c r="F196" t="str">
        <f>INDEX(Katalog!$B$4:$B$13,MATCH('Main Data'!E196,Katalog!$C$4:$C$13,0))</f>
        <v>Dress</v>
      </c>
      <c r="G196" t="str">
        <f>VLOOKUP(E196,Katalog!$A$15:$B$25,2,0)</f>
        <v>Pakaian Wanita</v>
      </c>
      <c r="H196" t="str">
        <f t="shared" si="112"/>
        <v>3</v>
      </c>
      <c r="I196" t="str">
        <f t="shared" si="113"/>
        <v>4</v>
      </c>
      <c r="J196" s="18">
        <f>VLOOKUP(E196,Katalog!$C$3:$F$13,2,0)</f>
        <v>150000</v>
      </c>
      <c r="K196" s="18">
        <f>VLOOKUP(E196,Katalog!$C$3:$F$13,3,0)</f>
        <v>55000</v>
      </c>
      <c r="L196" t="str">
        <f t="shared" si="114"/>
        <v>PW002</v>
      </c>
      <c r="M196" t="str">
        <f>IFERROR(INDEX(Katalog!$B$4:$B$13,MATCH('Main Data'!L196,Katalog!$C$4:$C$13,0)), "-")</f>
        <v>Blouse</v>
      </c>
      <c r="N196" t="str">
        <f>IFERROR(VLOOKUP(L196,Katalog!$A$15:$B$25,2,0),"-")</f>
        <v>Pakaian Wanita</v>
      </c>
      <c r="O196" t="str">
        <f t="shared" si="115"/>
        <v>2</v>
      </c>
      <c r="P196" t="str">
        <f t="shared" si="116"/>
        <v>4</v>
      </c>
      <c r="Q196" s="18">
        <f>IFERROR(VLOOKUP(L196,Katalog!$C$3:$F$13,2,0),0)</f>
        <v>125000</v>
      </c>
      <c r="R196" s="18">
        <f>IFERROR(VLOOKUP(L196,Katalog!$C$3:$F$13,3,0),0)</f>
        <v>50000</v>
      </c>
      <c r="S196" t="str">
        <f t="shared" si="117"/>
        <v>PP002</v>
      </c>
      <c r="T196" t="str">
        <f>IFERROR(INDEX(Katalog!$B$4:$B$13,MATCH('Main Data'!S196,Katalog!$C$4:$C$13,0)),"-")</f>
        <v>Celana Pendek</v>
      </c>
      <c r="U196" t="str">
        <f>IFERROR(VLOOKUP(S196,Katalog!$A$15:$B$25,2,0),"-")</f>
        <v>Pakaian Pria</v>
      </c>
      <c r="V196" t="str">
        <f t="shared" si="118"/>
        <v>1</v>
      </c>
      <c r="W196" s="28" t="str">
        <f t="shared" si="119"/>
        <v>1</v>
      </c>
      <c r="X196" s="18">
        <f>IFERROR(VLOOKUP(S196,Katalog!$C$3:$F$13,2,0),0)</f>
        <v>60000</v>
      </c>
      <c r="Y196" s="30">
        <f>IFERROR(VLOOKUP(S196,Katalog!$C$3:$F$13,3,0),0)</f>
        <v>25000</v>
      </c>
      <c r="Z196" s="2">
        <f t="shared" si="120"/>
        <v>6</v>
      </c>
      <c r="AA196" s="4">
        <f t="shared" si="121"/>
        <v>760000</v>
      </c>
      <c r="AB196" s="4">
        <f t="shared" si="122"/>
        <v>290000</v>
      </c>
      <c r="AC196" s="4" t="s">
        <v>31</v>
      </c>
      <c r="AD196" s="16">
        <f>IFERROR(VLOOKUP(AC196,'Kode Diskon'!$C$2:$D$9,2,0),0)</f>
        <v>0.15</v>
      </c>
      <c r="AE196" s="31">
        <f t="shared" si="123"/>
        <v>114000</v>
      </c>
      <c r="AF196" s="31">
        <f t="shared" si="124"/>
        <v>646000</v>
      </c>
      <c r="AG196" s="31">
        <f t="shared" si="125"/>
        <v>470000</v>
      </c>
      <c r="AH196" s="31">
        <f t="shared" si="126"/>
        <v>356000</v>
      </c>
      <c r="AI196" s="4" t="s">
        <v>8</v>
      </c>
      <c r="AJ196" s="4" t="s">
        <v>11</v>
      </c>
      <c r="AK196" s="4" t="str">
        <f>IFERROR(VLOOKUP(AJ196,'Guide '!$A$13:$B$16,2,0),"-")</f>
        <v>BL</v>
      </c>
      <c r="AL196" s="4" t="s">
        <v>921</v>
      </c>
      <c r="AM196" s="40">
        <v>45359</v>
      </c>
      <c r="AN196">
        <f t="shared" si="127"/>
        <v>29</v>
      </c>
      <c r="AO196">
        <f t="shared" si="128"/>
        <v>32</v>
      </c>
      <c r="AP196">
        <f t="shared" si="129"/>
        <v>40</v>
      </c>
      <c r="AQ196">
        <f t="shared" si="130"/>
        <v>43</v>
      </c>
      <c r="AR196" s="26">
        <f t="shared" si="131"/>
        <v>56</v>
      </c>
      <c r="AS196" s="26">
        <f t="shared" si="132"/>
        <v>63</v>
      </c>
      <c r="AT196" s="21">
        <f t="shared" si="133"/>
        <v>12</v>
      </c>
      <c r="AU196" s="21">
        <f t="shared" si="134"/>
        <v>19</v>
      </c>
      <c r="AV196">
        <f t="shared" si="135"/>
        <v>73</v>
      </c>
      <c r="AW196">
        <f t="shared" si="136"/>
        <v>76</v>
      </c>
      <c r="AX196">
        <f t="shared" si="137"/>
        <v>84</v>
      </c>
      <c r="AY196">
        <f t="shared" si="138"/>
        <v>87</v>
      </c>
      <c r="AZ196">
        <f t="shared" si="139"/>
        <v>100</v>
      </c>
      <c r="BA196">
        <f t="shared" si="140"/>
        <v>107</v>
      </c>
      <c r="BB196">
        <f t="shared" si="141"/>
        <v>117</v>
      </c>
      <c r="BC196">
        <f t="shared" si="142"/>
        <v>120</v>
      </c>
      <c r="BD196" s="29">
        <f t="shared" si="143"/>
        <v>128</v>
      </c>
      <c r="BE196" s="29">
        <f t="shared" si="144"/>
        <v>131</v>
      </c>
    </row>
    <row r="197" spans="1:57" ht="15" x14ac:dyDescent="0.2">
      <c r="A197" s="2">
        <v>682</v>
      </c>
      <c r="B197" s="2" t="str">
        <f t="shared" si="109"/>
        <v>0682</v>
      </c>
      <c r="C197" t="str">
        <f t="shared" si="110"/>
        <v>ORD-SP-0682-08/03/24</v>
      </c>
      <c r="D197" s="3" t="s">
        <v>679</v>
      </c>
      <c r="E197" t="str">
        <f t="shared" si="111"/>
        <v>PP003</v>
      </c>
      <c r="F197" t="str">
        <f>INDEX(Katalog!$B$4:$B$13,MATCH('Main Data'!E197,Katalog!$C$4:$C$13,0))</f>
        <v>Jaket Jeans</v>
      </c>
      <c r="G197" t="str">
        <f>VLOOKUP(E197,Katalog!$A$15:$B$25,2,0)</f>
        <v>Pakaian Pria</v>
      </c>
      <c r="H197" t="str">
        <f t="shared" si="112"/>
        <v>4</v>
      </c>
      <c r="I197" t="str">
        <f t="shared" si="113"/>
        <v>4</v>
      </c>
      <c r="J197" s="18">
        <f>VLOOKUP(E197,Katalog!$C$3:$F$13,2,0)</f>
        <v>150000</v>
      </c>
      <c r="K197" s="18">
        <f>VLOOKUP(E197,Katalog!$C$3:$F$13,3,0)</f>
        <v>70000</v>
      </c>
      <c r="L197" t="str">
        <f t="shared" si="114"/>
        <v>SW001</v>
      </c>
      <c r="M197" t="str">
        <f>IFERROR(INDEX(Katalog!$B$4:$B$13,MATCH('Main Data'!L197,Katalog!$C$4:$C$13,0)), "-")</f>
        <v>Flat Shoes</v>
      </c>
      <c r="N197" t="str">
        <f>IFERROR(VLOOKUP(L197,Katalog!$A$15:$B$25,2,0),"-")</f>
        <v>Sepatu Wanita</v>
      </c>
      <c r="O197" t="str">
        <f t="shared" si="115"/>
        <v>2</v>
      </c>
      <c r="P197" t="str">
        <f t="shared" si="116"/>
        <v>3</v>
      </c>
      <c r="Q197" s="18">
        <f>IFERROR(VLOOKUP(L197,Katalog!$C$3:$F$13,2,0),0)</f>
        <v>150000</v>
      </c>
      <c r="R197" s="18">
        <f>IFERROR(VLOOKUP(L197,Katalog!$C$3:$F$13,3,0),0)</f>
        <v>70000</v>
      </c>
      <c r="S197" t="str">
        <f t="shared" si="117"/>
        <v>-</v>
      </c>
      <c r="T197" t="str">
        <f>IFERROR(INDEX(Katalog!$B$4:$B$13,MATCH('Main Data'!S197,Katalog!$C$4:$C$13,0)),"-")</f>
        <v>-</v>
      </c>
      <c r="U197" t="str">
        <f>IFERROR(VLOOKUP(S197,Katalog!$A$15:$B$25,2,0),"-")</f>
        <v>-</v>
      </c>
      <c r="V197">
        <f t="shared" si="118"/>
        <v>0</v>
      </c>
      <c r="W197" s="28" t="str">
        <f t="shared" si="119"/>
        <v>-</v>
      </c>
      <c r="X197" s="18">
        <f>IFERROR(VLOOKUP(S197,Katalog!$C$3:$F$13,2,0),0)</f>
        <v>0</v>
      </c>
      <c r="Y197" s="30">
        <f>IFERROR(VLOOKUP(S197,Katalog!$C$3:$F$13,3,0),0)</f>
        <v>0</v>
      </c>
      <c r="Z197" s="2">
        <f t="shared" si="120"/>
        <v>6</v>
      </c>
      <c r="AA197" s="4">
        <f t="shared" si="121"/>
        <v>900000</v>
      </c>
      <c r="AB197" s="4">
        <f t="shared" si="122"/>
        <v>420000</v>
      </c>
      <c r="AC197" s="4" t="s">
        <v>5</v>
      </c>
      <c r="AD197" s="16">
        <f>IFERROR(VLOOKUP(AC197,'Kode Diskon'!$C$2:$D$9,2,0),0)</f>
        <v>0.1</v>
      </c>
      <c r="AE197" s="31">
        <f t="shared" si="123"/>
        <v>90000</v>
      </c>
      <c r="AF197" s="31">
        <f t="shared" si="124"/>
        <v>810000</v>
      </c>
      <c r="AG197" s="31">
        <f t="shared" si="125"/>
        <v>480000</v>
      </c>
      <c r="AH197" s="31">
        <f t="shared" si="126"/>
        <v>390000</v>
      </c>
      <c r="AI197" s="4" t="s">
        <v>28</v>
      </c>
      <c r="AJ197" s="4" t="s">
        <v>6</v>
      </c>
      <c r="AK197" s="4" t="str">
        <f>IFERROR(VLOOKUP(AJ197,'Guide '!$A$13:$B$16,2,0),"-")</f>
        <v>SP</v>
      </c>
      <c r="AL197" s="4" t="s">
        <v>922</v>
      </c>
      <c r="AM197" s="40">
        <v>45359</v>
      </c>
      <c r="AN197">
        <f t="shared" si="127"/>
        <v>29</v>
      </c>
      <c r="AO197">
        <f t="shared" si="128"/>
        <v>32</v>
      </c>
      <c r="AP197">
        <f t="shared" si="129"/>
        <v>40</v>
      </c>
      <c r="AQ197">
        <f t="shared" si="130"/>
        <v>43</v>
      </c>
      <c r="AR197" s="26">
        <f t="shared" si="131"/>
        <v>56</v>
      </c>
      <c r="AS197" s="26">
        <f t="shared" si="132"/>
        <v>63</v>
      </c>
      <c r="AT197" s="21">
        <f t="shared" si="133"/>
        <v>12</v>
      </c>
      <c r="AU197" s="21">
        <f t="shared" si="134"/>
        <v>19</v>
      </c>
      <c r="AV197">
        <f t="shared" si="135"/>
        <v>73</v>
      </c>
      <c r="AW197">
        <f t="shared" si="136"/>
        <v>76</v>
      </c>
      <c r="AX197">
        <f t="shared" si="137"/>
        <v>84</v>
      </c>
      <c r="AY197">
        <f t="shared" si="138"/>
        <v>87</v>
      </c>
      <c r="AZ197" t="str">
        <f t="shared" si="139"/>
        <v>-</v>
      </c>
      <c r="BA197" t="str">
        <f t="shared" si="140"/>
        <v>-</v>
      </c>
      <c r="BB197" t="str">
        <f t="shared" si="141"/>
        <v>-</v>
      </c>
      <c r="BC197" t="str">
        <f t="shared" si="142"/>
        <v>-</v>
      </c>
      <c r="BD197" s="29" t="str">
        <f t="shared" si="143"/>
        <v>-</v>
      </c>
      <c r="BE197" s="29" t="str">
        <f t="shared" si="144"/>
        <v>-</v>
      </c>
    </row>
    <row r="198" spans="1:57" ht="15" x14ac:dyDescent="0.2">
      <c r="A198" s="2">
        <v>354</v>
      </c>
      <c r="B198" s="2" t="str">
        <f t="shared" si="109"/>
        <v>0354</v>
      </c>
      <c r="C198" t="str">
        <f t="shared" si="110"/>
        <v>ORD-TK-0354-09/03/24</v>
      </c>
      <c r="D198" s="3" t="s">
        <v>405</v>
      </c>
      <c r="E198" t="str">
        <f t="shared" si="111"/>
        <v>SP001</v>
      </c>
      <c r="F198" t="str">
        <f>INDEX(Katalog!$B$4:$B$13,MATCH('Main Data'!E198,Katalog!$C$4:$C$13,0))</f>
        <v>Sneakers</v>
      </c>
      <c r="G198" t="str">
        <f>VLOOKUP(E198,Katalog!$A$15:$B$25,2,0)</f>
        <v>Sepatu Pria</v>
      </c>
      <c r="H198" t="str">
        <f t="shared" si="112"/>
        <v>3</v>
      </c>
      <c r="I198" t="str">
        <f t="shared" si="113"/>
        <v>3</v>
      </c>
      <c r="J198" s="18">
        <f>VLOOKUP(E198,Katalog!$C$3:$F$13,2,0)</f>
        <v>300000</v>
      </c>
      <c r="K198" s="18">
        <f>VLOOKUP(E198,Katalog!$C$3:$F$13,3,0)</f>
        <v>100000</v>
      </c>
      <c r="L198" t="str">
        <f t="shared" si="114"/>
        <v>PW001</v>
      </c>
      <c r="M198" t="str">
        <f>IFERROR(INDEX(Katalog!$B$4:$B$13,MATCH('Main Data'!L198,Katalog!$C$4:$C$13,0)), "-")</f>
        <v>Dress</v>
      </c>
      <c r="N198" t="str">
        <f>IFERROR(VLOOKUP(L198,Katalog!$A$15:$B$25,2,0),"-")</f>
        <v>Pakaian Wanita</v>
      </c>
      <c r="O198" t="str">
        <f t="shared" si="115"/>
        <v>1</v>
      </c>
      <c r="P198" t="str">
        <f t="shared" si="116"/>
        <v>1</v>
      </c>
      <c r="Q198" s="18">
        <f>IFERROR(VLOOKUP(L198,Katalog!$C$3:$F$13,2,0),0)</f>
        <v>150000</v>
      </c>
      <c r="R198" s="18">
        <f>IFERROR(VLOOKUP(L198,Katalog!$C$3:$F$13,3,0),0)</f>
        <v>55000</v>
      </c>
      <c r="S198" t="str">
        <f t="shared" si="117"/>
        <v>SW001</v>
      </c>
      <c r="T198" t="str">
        <f>IFERROR(INDEX(Katalog!$B$4:$B$13,MATCH('Main Data'!S198,Katalog!$C$4:$C$13,0)),"-")</f>
        <v>Flat Shoes</v>
      </c>
      <c r="U198" t="str">
        <f>IFERROR(VLOOKUP(S198,Katalog!$A$15:$B$25,2,0),"-")</f>
        <v>Sepatu Wanita</v>
      </c>
      <c r="V198" t="str">
        <f t="shared" si="118"/>
        <v>1</v>
      </c>
      <c r="W198" s="28" t="str">
        <f t="shared" si="119"/>
        <v>1</v>
      </c>
      <c r="X198" s="18">
        <f>IFERROR(VLOOKUP(S198,Katalog!$C$3:$F$13,2,0),0)</f>
        <v>150000</v>
      </c>
      <c r="Y198" s="30">
        <f>IFERROR(VLOOKUP(S198,Katalog!$C$3:$F$13,3,0),0)</f>
        <v>70000</v>
      </c>
      <c r="Z198" s="2">
        <f t="shared" si="120"/>
        <v>5</v>
      </c>
      <c r="AA198" s="4">
        <f t="shared" si="121"/>
        <v>1200000</v>
      </c>
      <c r="AB198" s="4">
        <f t="shared" si="122"/>
        <v>425000</v>
      </c>
      <c r="AC198" s="4" t="s">
        <v>29</v>
      </c>
      <c r="AD198" s="16">
        <f>IFERROR(VLOOKUP(AC198,'Kode Diskon'!$C$2:$D$9,2,0),0)</f>
        <v>0.1</v>
      </c>
      <c r="AE198" s="31">
        <f t="shared" si="123"/>
        <v>120000</v>
      </c>
      <c r="AF198" s="31">
        <f t="shared" si="124"/>
        <v>1080000</v>
      </c>
      <c r="AG198" s="31">
        <f t="shared" si="125"/>
        <v>775000</v>
      </c>
      <c r="AH198" s="31">
        <f t="shared" si="126"/>
        <v>655000</v>
      </c>
      <c r="AI198" s="4" t="s">
        <v>28</v>
      </c>
      <c r="AJ198" s="4" t="s">
        <v>9</v>
      </c>
      <c r="AK198" s="4" t="str">
        <f>IFERROR(VLOOKUP(AJ198,'Guide '!$A$13:$B$16,2,0),"-")</f>
        <v>TK</v>
      </c>
      <c r="AL198" s="4" t="s">
        <v>925</v>
      </c>
      <c r="AM198" s="40">
        <v>45360</v>
      </c>
      <c r="AN198">
        <f t="shared" si="127"/>
        <v>29</v>
      </c>
      <c r="AO198">
        <f t="shared" si="128"/>
        <v>32</v>
      </c>
      <c r="AP198">
        <f t="shared" si="129"/>
        <v>40</v>
      </c>
      <c r="AQ198">
        <f t="shared" si="130"/>
        <v>43</v>
      </c>
      <c r="AR198" s="26">
        <f t="shared" si="131"/>
        <v>56</v>
      </c>
      <c r="AS198" s="26">
        <f t="shared" si="132"/>
        <v>63</v>
      </c>
      <c r="AT198" s="21">
        <f t="shared" si="133"/>
        <v>12</v>
      </c>
      <c r="AU198" s="21">
        <f t="shared" si="134"/>
        <v>19</v>
      </c>
      <c r="AV198">
        <f t="shared" si="135"/>
        <v>73</v>
      </c>
      <c r="AW198">
        <f t="shared" si="136"/>
        <v>76</v>
      </c>
      <c r="AX198">
        <f t="shared" si="137"/>
        <v>84</v>
      </c>
      <c r="AY198">
        <f t="shared" si="138"/>
        <v>87</v>
      </c>
      <c r="AZ198">
        <f t="shared" si="139"/>
        <v>100</v>
      </c>
      <c r="BA198">
        <f t="shared" si="140"/>
        <v>107</v>
      </c>
      <c r="BB198">
        <f t="shared" si="141"/>
        <v>117</v>
      </c>
      <c r="BC198">
        <f t="shared" si="142"/>
        <v>120</v>
      </c>
      <c r="BD198" s="29">
        <f t="shared" si="143"/>
        <v>128</v>
      </c>
      <c r="BE198" s="29">
        <f t="shared" si="144"/>
        <v>131</v>
      </c>
    </row>
    <row r="199" spans="1:57" ht="15" x14ac:dyDescent="0.2">
      <c r="A199" s="2">
        <v>365</v>
      </c>
      <c r="B199" s="2" t="str">
        <f t="shared" si="109"/>
        <v>0365</v>
      </c>
      <c r="C199" t="str">
        <f t="shared" si="110"/>
        <v>ORD-SP-0365-09/03/24</v>
      </c>
      <c r="D199" s="3" t="s">
        <v>416</v>
      </c>
      <c r="E199" t="str">
        <f t="shared" si="111"/>
        <v>PW002</v>
      </c>
      <c r="F199" t="str">
        <f>INDEX(Katalog!$B$4:$B$13,MATCH('Main Data'!E199,Katalog!$C$4:$C$13,0))</f>
        <v>Blouse</v>
      </c>
      <c r="G199" t="str">
        <f>VLOOKUP(E199,Katalog!$A$15:$B$25,2,0)</f>
        <v>Pakaian Wanita</v>
      </c>
      <c r="H199" t="str">
        <f t="shared" si="112"/>
        <v>2</v>
      </c>
      <c r="I199" t="str">
        <f t="shared" si="113"/>
        <v>2</v>
      </c>
      <c r="J199" s="18">
        <f>VLOOKUP(E199,Katalog!$C$3:$F$13,2,0)</f>
        <v>125000</v>
      </c>
      <c r="K199" s="18">
        <f>VLOOKUP(E199,Katalog!$C$3:$F$13,3,0)</f>
        <v>50000</v>
      </c>
      <c r="L199" t="str">
        <f t="shared" si="114"/>
        <v>PW001</v>
      </c>
      <c r="M199" t="str">
        <f>IFERROR(INDEX(Katalog!$B$4:$B$13,MATCH('Main Data'!L199,Katalog!$C$4:$C$13,0)), "-")</f>
        <v>Dress</v>
      </c>
      <c r="N199" t="str">
        <f>IFERROR(VLOOKUP(L199,Katalog!$A$15:$B$25,2,0),"-")</f>
        <v>Pakaian Wanita</v>
      </c>
      <c r="O199" t="str">
        <f t="shared" si="115"/>
        <v>1</v>
      </c>
      <c r="P199" t="str">
        <f t="shared" si="116"/>
        <v>1</v>
      </c>
      <c r="Q199" s="18">
        <f>IFERROR(VLOOKUP(L199,Katalog!$C$3:$F$13,2,0),0)</f>
        <v>150000</v>
      </c>
      <c r="R199" s="18">
        <f>IFERROR(VLOOKUP(L199,Katalog!$C$3:$F$13,3,0),0)</f>
        <v>55000</v>
      </c>
      <c r="S199" t="str">
        <f t="shared" si="117"/>
        <v>-</v>
      </c>
      <c r="T199" t="str">
        <f>IFERROR(INDEX(Katalog!$B$4:$B$13,MATCH('Main Data'!S199,Katalog!$C$4:$C$13,0)),"-")</f>
        <v>-</v>
      </c>
      <c r="U199" t="str">
        <f>IFERROR(VLOOKUP(S199,Katalog!$A$15:$B$25,2,0),"-")</f>
        <v>-</v>
      </c>
      <c r="V199">
        <f t="shared" si="118"/>
        <v>0</v>
      </c>
      <c r="W199" s="28" t="str">
        <f t="shared" si="119"/>
        <v>-</v>
      </c>
      <c r="X199" s="18">
        <f>IFERROR(VLOOKUP(S199,Katalog!$C$3:$F$13,2,0),0)</f>
        <v>0</v>
      </c>
      <c r="Y199" s="30">
        <f>IFERROR(VLOOKUP(S199,Katalog!$C$3:$F$13,3,0),0)</f>
        <v>0</v>
      </c>
      <c r="Z199" s="2">
        <f t="shared" si="120"/>
        <v>3</v>
      </c>
      <c r="AA199" s="4">
        <f t="shared" si="121"/>
        <v>400000</v>
      </c>
      <c r="AB199" s="4">
        <f t="shared" si="122"/>
        <v>155000</v>
      </c>
      <c r="AC199" s="4" t="s">
        <v>10</v>
      </c>
      <c r="AD199" s="16">
        <f>IFERROR(VLOOKUP(AC199,'Kode Diskon'!$C$2:$D$9,2,0),0)</f>
        <v>0</v>
      </c>
      <c r="AE199" s="31">
        <f t="shared" si="123"/>
        <v>0</v>
      </c>
      <c r="AF199" s="31">
        <f t="shared" si="124"/>
        <v>400000</v>
      </c>
      <c r="AG199" s="31">
        <f t="shared" si="125"/>
        <v>245000</v>
      </c>
      <c r="AH199" s="31">
        <f t="shared" si="126"/>
        <v>245000</v>
      </c>
      <c r="AI199" s="4" t="s">
        <v>10</v>
      </c>
      <c r="AJ199" s="4" t="s">
        <v>6</v>
      </c>
      <c r="AK199" s="4" t="str">
        <f>IFERROR(VLOOKUP(AJ199,'Guide '!$A$13:$B$16,2,0),"-")</f>
        <v>SP</v>
      </c>
      <c r="AL199" s="4" t="s">
        <v>922</v>
      </c>
      <c r="AM199" s="40">
        <v>45360</v>
      </c>
      <c r="AN199">
        <f t="shared" si="127"/>
        <v>29</v>
      </c>
      <c r="AO199">
        <f t="shared" si="128"/>
        <v>32</v>
      </c>
      <c r="AP199">
        <f t="shared" si="129"/>
        <v>40</v>
      </c>
      <c r="AQ199">
        <f t="shared" si="130"/>
        <v>43</v>
      </c>
      <c r="AR199" s="26">
        <f t="shared" si="131"/>
        <v>56</v>
      </c>
      <c r="AS199" s="26">
        <f t="shared" si="132"/>
        <v>63</v>
      </c>
      <c r="AT199" s="21">
        <f t="shared" si="133"/>
        <v>12</v>
      </c>
      <c r="AU199" s="21">
        <f t="shared" si="134"/>
        <v>19</v>
      </c>
      <c r="AV199">
        <f t="shared" si="135"/>
        <v>73</v>
      </c>
      <c r="AW199">
        <f t="shared" si="136"/>
        <v>76</v>
      </c>
      <c r="AX199">
        <f t="shared" si="137"/>
        <v>84</v>
      </c>
      <c r="AY199">
        <f t="shared" si="138"/>
        <v>87</v>
      </c>
      <c r="AZ199" t="str">
        <f t="shared" si="139"/>
        <v>-</v>
      </c>
      <c r="BA199" t="str">
        <f t="shared" si="140"/>
        <v>-</v>
      </c>
      <c r="BB199" t="str">
        <f t="shared" si="141"/>
        <v>-</v>
      </c>
      <c r="BC199" t="str">
        <f t="shared" si="142"/>
        <v>-</v>
      </c>
      <c r="BD199" s="29" t="str">
        <f t="shared" si="143"/>
        <v>-</v>
      </c>
      <c r="BE199" s="29" t="str">
        <f t="shared" si="144"/>
        <v>-</v>
      </c>
    </row>
    <row r="200" spans="1:57" ht="15" x14ac:dyDescent="0.2">
      <c r="A200" s="2">
        <v>14</v>
      </c>
      <c r="B200" s="2" t="str">
        <f t="shared" si="109"/>
        <v>0014</v>
      </c>
      <c r="C200" t="str">
        <f t="shared" si="110"/>
        <v>ORD-SP-0014-11/03/24</v>
      </c>
      <c r="D200" s="3" t="s">
        <v>88</v>
      </c>
      <c r="E200" t="str">
        <f t="shared" si="111"/>
        <v>PP001</v>
      </c>
      <c r="F200" t="str">
        <f>INDEX(Katalog!$B$4:$B$13,MATCH('Main Data'!E200,Katalog!$C$4:$C$13,0))</f>
        <v>Kaos Polo</v>
      </c>
      <c r="G200" t="str">
        <f>VLOOKUP(E200,Katalog!$A$15:$B$25,2,0)</f>
        <v>Pakaian Pria</v>
      </c>
      <c r="H200" t="str">
        <f t="shared" si="112"/>
        <v>1</v>
      </c>
      <c r="I200" t="str">
        <f t="shared" si="113"/>
        <v>2</v>
      </c>
      <c r="J200" s="18">
        <f>VLOOKUP(E200,Katalog!$C$3:$F$13,2,0)</f>
        <v>80000</v>
      </c>
      <c r="K200" s="18">
        <f>VLOOKUP(E200,Katalog!$C$3:$F$13,3,0)</f>
        <v>30000</v>
      </c>
      <c r="L200" t="str">
        <f t="shared" si="114"/>
        <v>PP002</v>
      </c>
      <c r="M200" t="str">
        <f>IFERROR(INDEX(Katalog!$B$4:$B$13,MATCH('Main Data'!L200,Katalog!$C$4:$C$13,0)), "-")</f>
        <v>Celana Pendek</v>
      </c>
      <c r="N200" t="str">
        <f>IFERROR(VLOOKUP(L200,Katalog!$A$15:$B$25,2,0),"-")</f>
        <v>Pakaian Pria</v>
      </c>
      <c r="O200" t="str">
        <f t="shared" si="115"/>
        <v>1</v>
      </c>
      <c r="P200" t="str">
        <f t="shared" si="116"/>
        <v>2</v>
      </c>
      <c r="Q200" s="18">
        <f>IFERROR(VLOOKUP(L200,Katalog!$C$3:$F$13,2,0),0)</f>
        <v>60000</v>
      </c>
      <c r="R200" s="18">
        <f>IFERROR(VLOOKUP(L200,Katalog!$C$3:$F$13,3,0),0)</f>
        <v>25000</v>
      </c>
      <c r="S200" t="str">
        <f t="shared" si="117"/>
        <v>PP001</v>
      </c>
      <c r="T200" t="str">
        <f>IFERROR(INDEX(Katalog!$B$4:$B$13,MATCH('Main Data'!S200,Katalog!$C$4:$C$13,0)),"-")</f>
        <v>Kaos Polo</v>
      </c>
      <c r="U200" t="str">
        <f>IFERROR(VLOOKUP(S200,Katalog!$A$15:$B$25,2,0),"-")</f>
        <v>Pakaian Pria</v>
      </c>
      <c r="V200" t="str">
        <f t="shared" si="118"/>
        <v>1</v>
      </c>
      <c r="W200" s="28" t="str">
        <f t="shared" si="119"/>
        <v>5</v>
      </c>
      <c r="X200" s="18">
        <f>IFERROR(VLOOKUP(S200,Katalog!$C$3:$F$13,2,0),0)</f>
        <v>80000</v>
      </c>
      <c r="Y200" s="30">
        <f>IFERROR(VLOOKUP(S200,Katalog!$C$3:$F$13,3,0),0)</f>
        <v>30000</v>
      </c>
      <c r="Z200" s="2">
        <f t="shared" si="120"/>
        <v>3</v>
      </c>
      <c r="AA200" s="4">
        <f t="shared" si="121"/>
        <v>220000</v>
      </c>
      <c r="AB200" s="4">
        <f t="shared" si="122"/>
        <v>85000</v>
      </c>
      <c r="AC200" s="4" t="s">
        <v>12</v>
      </c>
      <c r="AD200" s="16">
        <f>IFERROR(VLOOKUP(AC200,'Kode Diskon'!$C$2:$D$9,2,0),0)</f>
        <v>0.15</v>
      </c>
      <c r="AE200" s="31">
        <f t="shared" si="123"/>
        <v>33000</v>
      </c>
      <c r="AF200" s="31">
        <f t="shared" si="124"/>
        <v>187000</v>
      </c>
      <c r="AG200" s="31">
        <f t="shared" si="125"/>
        <v>135000</v>
      </c>
      <c r="AH200" s="31">
        <f t="shared" si="126"/>
        <v>102000</v>
      </c>
      <c r="AI200" s="4" t="s">
        <v>28</v>
      </c>
      <c r="AJ200" s="4" t="s">
        <v>6</v>
      </c>
      <c r="AK200" s="4" t="str">
        <f>IFERROR(VLOOKUP(AJ200,'Guide '!$A$13:$B$16,2,0),"-")</f>
        <v>SP</v>
      </c>
      <c r="AL200" s="4" t="s">
        <v>1006</v>
      </c>
      <c r="AM200" s="40">
        <v>45362</v>
      </c>
      <c r="AN200">
        <f t="shared" si="127"/>
        <v>29</v>
      </c>
      <c r="AO200">
        <f t="shared" si="128"/>
        <v>32</v>
      </c>
      <c r="AP200">
        <f t="shared" si="129"/>
        <v>40</v>
      </c>
      <c r="AQ200">
        <f t="shared" si="130"/>
        <v>43</v>
      </c>
      <c r="AR200" s="26">
        <f t="shared" si="131"/>
        <v>56</v>
      </c>
      <c r="AS200" s="26">
        <f t="shared" si="132"/>
        <v>63</v>
      </c>
      <c r="AT200" s="21">
        <f t="shared" si="133"/>
        <v>12</v>
      </c>
      <c r="AU200" s="21">
        <f t="shared" si="134"/>
        <v>19</v>
      </c>
      <c r="AV200">
        <f t="shared" si="135"/>
        <v>73</v>
      </c>
      <c r="AW200">
        <f t="shared" si="136"/>
        <v>76</v>
      </c>
      <c r="AX200">
        <f t="shared" si="137"/>
        <v>84</v>
      </c>
      <c r="AY200">
        <f t="shared" si="138"/>
        <v>87</v>
      </c>
      <c r="AZ200">
        <f t="shared" si="139"/>
        <v>100</v>
      </c>
      <c r="BA200">
        <f t="shared" si="140"/>
        <v>107</v>
      </c>
      <c r="BB200">
        <f t="shared" si="141"/>
        <v>117</v>
      </c>
      <c r="BC200">
        <f t="shared" si="142"/>
        <v>120</v>
      </c>
      <c r="BD200" s="29">
        <f t="shared" si="143"/>
        <v>128</v>
      </c>
      <c r="BE200" s="29">
        <f t="shared" si="144"/>
        <v>131</v>
      </c>
    </row>
    <row r="201" spans="1:57" ht="15" x14ac:dyDescent="0.2">
      <c r="A201" s="2">
        <v>214</v>
      </c>
      <c r="B201" s="2" t="str">
        <f t="shared" si="109"/>
        <v>0214</v>
      </c>
      <c r="C201" t="str">
        <f t="shared" si="110"/>
        <v>ORD-SP-0214-11/03/24</v>
      </c>
      <c r="D201" s="3" t="s">
        <v>94</v>
      </c>
      <c r="E201" t="str">
        <f t="shared" si="111"/>
        <v>PP002</v>
      </c>
      <c r="F201" t="str">
        <f>INDEX(Katalog!$B$4:$B$13,MATCH('Main Data'!E201,Katalog!$C$4:$C$13,0))</f>
        <v>Celana Pendek</v>
      </c>
      <c r="G201" t="str">
        <f>VLOOKUP(E201,Katalog!$A$15:$B$25,2,0)</f>
        <v>Pakaian Pria</v>
      </c>
      <c r="H201" t="str">
        <f t="shared" si="112"/>
        <v>1</v>
      </c>
      <c r="I201" t="str">
        <f t="shared" si="113"/>
        <v>1</v>
      </c>
      <c r="J201" s="18">
        <f>VLOOKUP(E201,Katalog!$C$3:$F$13,2,0)</f>
        <v>60000</v>
      </c>
      <c r="K201" s="18">
        <f>VLOOKUP(E201,Katalog!$C$3:$F$13,3,0)</f>
        <v>25000</v>
      </c>
      <c r="L201" t="str">
        <f t="shared" si="114"/>
        <v>-</v>
      </c>
      <c r="M201" t="str">
        <f>IFERROR(INDEX(Katalog!$B$4:$B$13,MATCH('Main Data'!L201,Katalog!$C$4:$C$13,0)), "-")</f>
        <v>-</v>
      </c>
      <c r="N201" t="str">
        <f>IFERROR(VLOOKUP(L201,Katalog!$A$15:$B$25,2,0),"-")</f>
        <v>-</v>
      </c>
      <c r="O201">
        <f t="shared" si="115"/>
        <v>0</v>
      </c>
      <c r="P201" t="str">
        <f t="shared" si="116"/>
        <v>-</v>
      </c>
      <c r="Q201" s="18">
        <f>IFERROR(VLOOKUP(L201,Katalog!$C$3:$F$13,2,0),0)</f>
        <v>0</v>
      </c>
      <c r="R201" s="18">
        <f>IFERROR(VLOOKUP(L201,Katalog!$C$3:$F$13,3,0),0)</f>
        <v>0</v>
      </c>
      <c r="S201" t="str">
        <f t="shared" si="117"/>
        <v>-</v>
      </c>
      <c r="T201" t="str">
        <f>IFERROR(INDEX(Katalog!$B$4:$B$13,MATCH('Main Data'!S201,Katalog!$C$4:$C$13,0)),"-")</f>
        <v>-</v>
      </c>
      <c r="U201" t="str">
        <f>IFERROR(VLOOKUP(S201,Katalog!$A$15:$B$25,2,0),"-")</f>
        <v>-</v>
      </c>
      <c r="V201">
        <f t="shared" si="118"/>
        <v>0</v>
      </c>
      <c r="W201" s="28" t="str">
        <f t="shared" si="119"/>
        <v>-</v>
      </c>
      <c r="X201" s="18">
        <f>IFERROR(VLOOKUP(S201,Katalog!$C$3:$F$13,2,0),0)</f>
        <v>0</v>
      </c>
      <c r="Y201" s="30">
        <f>IFERROR(VLOOKUP(S201,Katalog!$C$3:$F$13,3,0),0)</f>
        <v>0</v>
      </c>
      <c r="Z201" s="2">
        <f t="shared" si="120"/>
        <v>1</v>
      </c>
      <c r="AA201" s="4">
        <f t="shared" si="121"/>
        <v>60000</v>
      </c>
      <c r="AB201" s="4">
        <f t="shared" si="122"/>
        <v>25000</v>
      </c>
      <c r="AC201" s="4" t="s">
        <v>7</v>
      </c>
      <c r="AD201" s="16">
        <f>IFERROR(VLOOKUP(AC201,'Kode Diskon'!$C$2:$D$9,2,0),0)</f>
        <v>0.2</v>
      </c>
      <c r="AE201" s="31">
        <f t="shared" si="123"/>
        <v>12000</v>
      </c>
      <c r="AF201" s="31">
        <f t="shared" si="124"/>
        <v>48000</v>
      </c>
      <c r="AG201" s="31">
        <f t="shared" si="125"/>
        <v>35000</v>
      </c>
      <c r="AH201" s="31">
        <f t="shared" si="126"/>
        <v>23000</v>
      </c>
      <c r="AI201" s="4" t="s">
        <v>8</v>
      </c>
      <c r="AJ201" s="4" t="s">
        <v>6</v>
      </c>
      <c r="AK201" s="4" t="str">
        <f>IFERROR(VLOOKUP(AJ201,'Guide '!$A$13:$B$16,2,0),"-")</f>
        <v>SP</v>
      </c>
      <c r="AL201" s="4" t="s">
        <v>1006</v>
      </c>
      <c r="AM201" s="40">
        <v>45362</v>
      </c>
      <c r="AN201">
        <f t="shared" si="127"/>
        <v>29</v>
      </c>
      <c r="AO201">
        <f t="shared" si="128"/>
        <v>32</v>
      </c>
      <c r="AP201">
        <f t="shared" si="129"/>
        <v>40</v>
      </c>
      <c r="AQ201">
        <f t="shared" si="130"/>
        <v>43</v>
      </c>
      <c r="AR201" s="26" t="str">
        <f t="shared" si="131"/>
        <v>-</v>
      </c>
      <c r="AS201" s="26" t="str">
        <f t="shared" si="132"/>
        <v>-</v>
      </c>
      <c r="AT201" s="21">
        <f t="shared" si="133"/>
        <v>12</v>
      </c>
      <c r="AU201" s="21">
        <f t="shared" si="134"/>
        <v>19</v>
      </c>
      <c r="AV201" t="str">
        <f t="shared" si="135"/>
        <v>-</v>
      </c>
      <c r="AW201" t="str">
        <f t="shared" si="136"/>
        <v>-</v>
      </c>
      <c r="AX201" t="str">
        <f t="shared" si="137"/>
        <v>-</v>
      </c>
      <c r="AY201" t="str">
        <f t="shared" si="138"/>
        <v>-</v>
      </c>
      <c r="AZ201" t="str">
        <f t="shared" si="139"/>
        <v>-</v>
      </c>
      <c r="BA201" t="str">
        <f t="shared" si="140"/>
        <v>-</v>
      </c>
      <c r="BB201" t="str">
        <f t="shared" si="141"/>
        <v>-</v>
      </c>
      <c r="BC201" t="str">
        <f t="shared" si="142"/>
        <v>-</v>
      </c>
      <c r="BD201" s="29" t="str">
        <f t="shared" si="143"/>
        <v>-</v>
      </c>
      <c r="BE201" s="29" t="str">
        <f t="shared" si="144"/>
        <v>-</v>
      </c>
    </row>
    <row r="202" spans="1:57" ht="15" x14ac:dyDescent="0.2">
      <c r="A202" s="2">
        <v>484</v>
      </c>
      <c r="B202" s="2" t="str">
        <f t="shared" si="109"/>
        <v>0484</v>
      </c>
      <c r="C202" t="str">
        <f t="shared" si="110"/>
        <v>ORD-TK-0484-11/03/24</v>
      </c>
      <c r="D202" s="3" t="s">
        <v>410</v>
      </c>
      <c r="E202" t="str">
        <f t="shared" si="111"/>
        <v>PP001</v>
      </c>
      <c r="F202" t="str">
        <f>INDEX(Katalog!$B$4:$B$13,MATCH('Main Data'!E202,Katalog!$C$4:$C$13,0))</f>
        <v>Kaos Polo</v>
      </c>
      <c r="G202" t="str">
        <f>VLOOKUP(E202,Katalog!$A$15:$B$25,2,0)</f>
        <v>Pakaian Pria</v>
      </c>
      <c r="H202" t="str">
        <f t="shared" si="112"/>
        <v>1</v>
      </c>
      <c r="I202" t="str">
        <f t="shared" si="113"/>
        <v>3</v>
      </c>
      <c r="J202" s="18">
        <f>VLOOKUP(E202,Katalog!$C$3:$F$13,2,0)</f>
        <v>80000</v>
      </c>
      <c r="K202" s="18">
        <f>VLOOKUP(E202,Katalog!$C$3:$F$13,3,0)</f>
        <v>30000</v>
      </c>
      <c r="L202" t="str">
        <f t="shared" si="114"/>
        <v>-</v>
      </c>
      <c r="M202" t="str">
        <f>IFERROR(INDEX(Katalog!$B$4:$B$13,MATCH('Main Data'!L202,Katalog!$C$4:$C$13,0)), "-")</f>
        <v>-</v>
      </c>
      <c r="N202" t="str">
        <f>IFERROR(VLOOKUP(L202,Katalog!$A$15:$B$25,2,0),"-")</f>
        <v>-</v>
      </c>
      <c r="O202">
        <f t="shared" si="115"/>
        <v>0</v>
      </c>
      <c r="P202" t="str">
        <f t="shared" si="116"/>
        <v>-</v>
      </c>
      <c r="Q202" s="18">
        <f>IFERROR(VLOOKUP(L202,Katalog!$C$3:$F$13,2,0),0)</f>
        <v>0</v>
      </c>
      <c r="R202" s="18">
        <f>IFERROR(VLOOKUP(L202,Katalog!$C$3:$F$13,3,0),0)</f>
        <v>0</v>
      </c>
      <c r="S202" t="str">
        <f t="shared" si="117"/>
        <v>-</v>
      </c>
      <c r="T202" t="str">
        <f>IFERROR(INDEX(Katalog!$B$4:$B$13,MATCH('Main Data'!S202,Katalog!$C$4:$C$13,0)),"-")</f>
        <v>-</v>
      </c>
      <c r="U202" t="str">
        <f>IFERROR(VLOOKUP(S202,Katalog!$A$15:$B$25,2,0),"-")</f>
        <v>-</v>
      </c>
      <c r="V202">
        <f t="shared" si="118"/>
        <v>0</v>
      </c>
      <c r="W202" s="28" t="str">
        <f t="shared" si="119"/>
        <v>-</v>
      </c>
      <c r="X202" s="18">
        <f>IFERROR(VLOOKUP(S202,Katalog!$C$3:$F$13,2,0),0)</f>
        <v>0</v>
      </c>
      <c r="Y202" s="30">
        <f>IFERROR(VLOOKUP(S202,Katalog!$C$3:$F$13,3,0),0)</f>
        <v>0</v>
      </c>
      <c r="Z202" s="2">
        <f t="shared" si="120"/>
        <v>1</v>
      </c>
      <c r="AA202" s="4">
        <f t="shared" si="121"/>
        <v>80000</v>
      </c>
      <c r="AB202" s="4">
        <f t="shared" si="122"/>
        <v>30000</v>
      </c>
      <c r="AC202" s="4" t="s">
        <v>29</v>
      </c>
      <c r="AD202" s="16">
        <f>IFERROR(VLOOKUP(AC202,'Kode Diskon'!$C$2:$D$9,2,0),0)</f>
        <v>0.1</v>
      </c>
      <c r="AE202" s="31">
        <f t="shared" si="123"/>
        <v>8000</v>
      </c>
      <c r="AF202" s="31">
        <f t="shared" si="124"/>
        <v>72000</v>
      </c>
      <c r="AG202" s="31">
        <f t="shared" si="125"/>
        <v>50000</v>
      </c>
      <c r="AH202" s="31">
        <f t="shared" si="126"/>
        <v>42000</v>
      </c>
      <c r="AI202" s="4" t="s">
        <v>28</v>
      </c>
      <c r="AJ202" s="4" t="s">
        <v>9</v>
      </c>
      <c r="AK202" s="4" t="str">
        <f>IFERROR(VLOOKUP(AJ202,'Guide '!$A$13:$B$16,2,0),"-")</f>
        <v>TK</v>
      </c>
      <c r="AL202" s="4" t="s">
        <v>925</v>
      </c>
      <c r="AM202" s="40">
        <v>45362</v>
      </c>
      <c r="AN202">
        <f t="shared" si="127"/>
        <v>29</v>
      </c>
      <c r="AO202">
        <f t="shared" si="128"/>
        <v>32</v>
      </c>
      <c r="AP202">
        <f t="shared" si="129"/>
        <v>40</v>
      </c>
      <c r="AQ202">
        <f t="shared" si="130"/>
        <v>43</v>
      </c>
      <c r="AR202" s="26" t="str">
        <f t="shared" si="131"/>
        <v>-</v>
      </c>
      <c r="AS202" s="26" t="str">
        <f t="shared" si="132"/>
        <v>-</v>
      </c>
      <c r="AT202" s="21">
        <f t="shared" si="133"/>
        <v>12</v>
      </c>
      <c r="AU202" s="21">
        <f t="shared" si="134"/>
        <v>19</v>
      </c>
      <c r="AV202" t="str">
        <f t="shared" si="135"/>
        <v>-</v>
      </c>
      <c r="AW202" t="str">
        <f t="shared" si="136"/>
        <v>-</v>
      </c>
      <c r="AX202" t="str">
        <f t="shared" si="137"/>
        <v>-</v>
      </c>
      <c r="AY202" t="str">
        <f t="shared" si="138"/>
        <v>-</v>
      </c>
      <c r="AZ202" t="str">
        <f t="shared" si="139"/>
        <v>-</v>
      </c>
      <c r="BA202" t="str">
        <f t="shared" si="140"/>
        <v>-</v>
      </c>
      <c r="BB202" t="str">
        <f t="shared" si="141"/>
        <v>-</v>
      </c>
      <c r="BC202" t="str">
        <f t="shared" si="142"/>
        <v>-</v>
      </c>
      <c r="BD202" s="29" t="str">
        <f t="shared" si="143"/>
        <v>-</v>
      </c>
      <c r="BE202" s="29" t="str">
        <f t="shared" si="144"/>
        <v>-</v>
      </c>
    </row>
    <row r="203" spans="1:57" ht="15" x14ac:dyDescent="0.2">
      <c r="A203" s="2">
        <v>252</v>
      </c>
      <c r="B203" s="2" t="str">
        <f t="shared" si="109"/>
        <v>0252</v>
      </c>
      <c r="C203" t="str">
        <f t="shared" si="110"/>
        <v>ORD-TK-0252-12/03/24</v>
      </c>
      <c r="D203" s="3" t="s">
        <v>317</v>
      </c>
      <c r="E203" t="str">
        <f t="shared" si="111"/>
        <v>SP002</v>
      </c>
      <c r="F203" t="str">
        <f>INDEX(Katalog!$B$4:$B$13,MATCH('Main Data'!E203,Katalog!$C$4:$C$13,0))</f>
        <v>Sandal Slip On</v>
      </c>
      <c r="G203" t="str">
        <f>VLOOKUP(E203,Katalog!$A$15:$B$25,2,0)</f>
        <v>Sepatu Pria</v>
      </c>
      <c r="H203" t="str">
        <f t="shared" si="112"/>
        <v>2</v>
      </c>
      <c r="I203" t="str">
        <f t="shared" si="113"/>
        <v>4</v>
      </c>
      <c r="J203" s="18">
        <f>VLOOKUP(E203,Katalog!$C$3:$F$13,2,0)</f>
        <v>120000</v>
      </c>
      <c r="K203" s="18">
        <f>VLOOKUP(E203,Katalog!$C$3:$F$13,3,0)</f>
        <v>60000</v>
      </c>
      <c r="L203" t="str">
        <f t="shared" si="114"/>
        <v>PU001</v>
      </c>
      <c r="M203" t="str">
        <f>IFERROR(INDEX(Katalog!$B$4:$B$13,MATCH('Main Data'!L203,Katalog!$C$4:$C$13,0)), "-")</f>
        <v>Jaket Hoodie</v>
      </c>
      <c r="N203" t="str">
        <f>IFERROR(VLOOKUP(L203,Katalog!$A$15:$B$25,2,0),"-")</f>
        <v>Pakaian Unisex</v>
      </c>
      <c r="O203" t="str">
        <f t="shared" si="115"/>
        <v>3</v>
      </c>
      <c r="P203" t="str">
        <f t="shared" si="116"/>
        <v>2</v>
      </c>
      <c r="Q203" s="18">
        <f>IFERROR(VLOOKUP(L203,Katalog!$C$3:$F$13,2,0),0)</f>
        <v>160000</v>
      </c>
      <c r="R203" s="18">
        <f>IFERROR(VLOOKUP(L203,Katalog!$C$3:$F$13,3,0),0)</f>
        <v>60000</v>
      </c>
      <c r="S203" t="str">
        <f t="shared" si="117"/>
        <v>SP002</v>
      </c>
      <c r="T203" t="str">
        <f>IFERROR(INDEX(Katalog!$B$4:$B$13,MATCH('Main Data'!S203,Katalog!$C$4:$C$13,0)),"-")</f>
        <v>Sandal Slip On</v>
      </c>
      <c r="U203" t="str">
        <f>IFERROR(VLOOKUP(S203,Katalog!$A$15:$B$25,2,0),"-")</f>
        <v>Sepatu Pria</v>
      </c>
      <c r="V203" t="str">
        <f t="shared" si="118"/>
        <v>2</v>
      </c>
      <c r="W203" s="28" t="str">
        <f t="shared" si="119"/>
        <v>1</v>
      </c>
      <c r="X203" s="18">
        <f>IFERROR(VLOOKUP(S203,Katalog!$C$3:$F$13,2,0),0)</f>
        <v>120000</v>
      </c>
      <c r="Y203" s="30">
        <f>IFERROR(VLOOKUP(S203,Katalog!$C$3:$F$13,3,0),0)</f>
        <v>60000</v>
      </c>
      <c r="Z203" s="2">
        <f t="shared" si="120"/>
        <v>7</v>
      </c>
      <c r="AA203" s="4">
        <f t="shared" si="121"/>
        <v>960000</v>
      </c>
      <c r="AB203" s="4">
        <f t="shared" si="122"/>
        <v>420000</v>
      </c>
      <c r="AC203" s="4" t="s">
        <v>30</v>
      </c>
      <c r="AD203" s="16">
        <f>IFERROR(VLOOKUP(AC203,'Kode Diskon'!$C$2:$D$9,2,0),0)</f>
        <v>0.1</v>
      </c>
      <c r="AE203" s="31">
        <f t="shared" si="123"/>
        <v>96000</v>
      </c>
      <c r="AF203" s="31">
        <f t="shared" si="124"/>
        <v>864000</v>
      </c>
      <c r="AG203" s="31">
        <f t="shared" si="125"/>
        <v>540000</v>
      </c>
      <c r="AH203" s="31">
        <f t="shared" si="126"/>
        <v>444000</v>
      </c>
      <c r="AI203" s="4" t="s">
        <v>8</v>
      </c>
      <c r="AJ203" s="4" t="s">
        <v>9</v>
      </c>
      <c r="AK203" s="4" t="str">
        <f>IFERROR(VLOOKUP(AJ203,'Guide '!$A$13:$B$16,2,0),"-")</f>
        <v>TK</v>
      </c>
      <c r="AL203" s="4" t="s">
        <v>925</v>
      </c>
      <c r="AM203" s="40">
        <v>45363</v>
      </c>
      <c r="AN203">
        <f t="shared" si="127"/>
        <v>29</v>
      </c>
      <c r="AO203">
        <f t="shared" si="128"/>
        <v>32</v>
      </c>
      <c r="AP203">
        <f t="shared" si="129"/>
        <v>40</v>
      </c>
      <c r="AQ203">
        <f t="shared" si="130"/>
        <v>43</v>
      </c>
      <c r="AR203" s="26">
        <f t="shared" si="131"/>
        <v>56</v>
      </c>
      <c r="AS203" s="26">
        <f t="shared" si="132"/>
        <v>63</v>
      </c>
      <c r="AT203" s="21">
        <f t="shared" si="133"/>
        <v>12</v>
      </c>
      <c r="AU203" s="21">
        <f t="shared" si="134"/>
        <v>19</v>
      </c>
      <c r="AV203">
        <f t="shared" si="135"/>
        <v>73</v>
      </c>
      <c r="AW203">
        <f t="shared" si="136"/>
        <v>76</v>
      </c>
      <c r="AX203">
        <f t="shared" si="137"/>
        <v>84</v>
      </c>
      <c r="AY203">
        <f t="shared" si="138"/>
        <v>87</v>
      </c>
      <c r="AZ203">
        <f t="shared" si="139"/>
        <v>100</v>
      </c>
      <c r="BA203">
        <f t="shared" si="140"/>
        <v>107</v>
      </c>
      <c r="BB203">
        <f t="shared" si="141"/>
        <v>117</v>
      </c>
      <c r="BC203">
        <f t="shared" si="142"/>
        <v>120</v>
      </c>
      <c r="BD203" s="29">
        <f t="shared" si="143"/>
        <v>128</v>
      </c>
      <c r="BE203" s="29">
        <f t="shared" si="144"/>
        <v>131</v>
      </c>
    </row>
    <row r="204" spans="1:57" ht="15" x14ac:dyDescent="0.2">
      <c r="A204" s="2">
        <v>577</v>
      </c>
      <c r="B204" s="2" t="str">
        <f t="shared" si="109"/>
        <v>0577</v>
      </c>
      <c r="C204" t="str">
        <f t="shared" si="110"/>
        <v>ORD-SP-0577-13/03/24</v>
      </c>
      <c r="D204" s="3" t="s">
        <v>595</v>
      </c>
      <c r="E204" t="str">
        <f t="shared" si="111"/>
        <v>PW001</v>
      </c>
      <c r="F204" t="str">
        <f>INDEX(Katalog!$B$4:$B$13,MATCH('Main Data'!E204,Katalog!$C$4:$C$13,0))</f>
        <v>Dress</v>
      </c>
      <c r="G204" t="str">
        <f>VLOOKUP(E204,Katalog!$A$15:$B$25,2,0)</f>
        <v>Pakaian Wanita</v>
      </c>
      <c r="H204" t="str">
        <f t="shared" si="112"/>
        <v>1</v>
      </c>
      <c r="I204" t="str">
        <f t="shared" si="113"/>
        <v>1</v>
      </c>
      <c r="J204" s="18">
        <f>VLOOKUP(E204,Katalog!$C$3:$F$13,2,0)</f>
        <v>150000</v>
      </c>
      <c r="K204" s="18">
        <f>VLOOKUP(E204,Katalog!$C$3:$F$13,3,0)</f>
        <v>55000</v>
      </c>
      <c r="L204" t="str">
        <f t="shared" si="114"/>
        <v>PU001</v>
      </c>
      <c r="M204" t="str">
        <f>IFERROR(INDEX(Katalog!$B$4:$B$13,MATCH('Main Data'!L204,Katalog!$C$4:$C$13,0)), "-")</f>
        <v>Jaket Hoodie</v>
      </c>
      <c r="N204" t="str">
        <f>IFERROR(VLOOKUP(L204,Katalog!$A$15:$B$25,2,0),"-")</f>
        <v>Pakaian Unisex</v>
      </c>
      <c r="O204" t="str">
        <f t="shared" si="115"/>
        <v>3</v>
      </c>
      <c r="P204" t="str">
        <f t="shared" si="116"/>
        <v>1</v>
      </c>
      <c r="Q204" s="18">
        <f>IFERROR(VLOOKUP(L204,Katalog!$C$3:$F$13,2,0),0)</f>
        <v>160000</v>
      </c>
      <c r="R204" s="18">
        <f>IFERROR(VLOOKUP(L204,Katalog!$C$3:$F$13,3,0),0)</f>
        <v>60000</v>
      </c>
      <c r="S204" t="str">
        <f t="shared" si="117"/>
        <v>PW001</v>
      </c>
      <c r="T204" t="str">
        <f>IFERROR(INDEX(Katalog!$B$4:$B$13,MATCH('Main Data'!S204,Katalog!$C$4:$C$13,0)),"-")</f>
        <v>Dress</v>
      </c>
      <c r="U204" t="str">
        <f>IFERROR(VLOOKUP(S204,Katalog!$A$15:$B$25,2,0),"-")</f>
        <v>Pakaian Wanita</v>
      </c>
      <c r="V204" t="str">
        <f t="shared" si="118"/>
        <v>1</v>
      </c>
      <c r="W204" s="28" t="str">
        <f t="shared" si="119"/>
        <v>4</v>
      </c>
      <c r="X204" s="18">
        <f>IFERROR(VLOOKUP(S204,Katalog!$C$3:$F$13,2,0),0)</f>
        <v>150000</v>
      </c>
      <c r="Y204" s="30">
        <f>IFERROR(VLOOKUP(S204,Katalog!$C$3:$F$13,3,0),0)</f>
        <v>55000</v>
      </c>
      <c r="Z204" s="2">
        <f t="shared" si="120"/>
        <v>5</v>
      </c>
      <c r="AA204" s="4">
        <f t="shared" si="121"/>
        <v>780000</v>
      </c>
      <c r="AB204" s="4">
        <f t="shared" si="122"/>
        <v>290000</v>
      </c>
      <c r="AC204" s="4" t="s">
        <v>12</v>
      </c>
      <c r="AD204" s="16">
        <f>IFERROR(VLOOKUP(AC204,'Kode Diskon'!$C$2:$D$9,2,0),0)</f>
        <v>0.15</v>
      </c>
      <c r="AE204" s="31">
        <f t="shared" si="123"/>
        <v>117000</v>
      </c>
      <c r="AF204" s="31">
        <f t="shared" si="124"/>
        <v>663000</v>
      </c>
      <c r="AG204" s="31">
        <f t="shared" si="125"/>
        <v>490000</v>
      </c>
      <c r="AH204" s="31">
        <f t="shared" si="126"/>
        <v>373000</v>
      </c>
      <c r="AI204" s="4" t="s">
        <v>28</v>
      </c>
      <c r="AJ204" s="4" t="s">
        <v>6</v>
      </c>
      <c r="AK204" s="4" t="str">
        <f>IFERROR(VLOOKUP(AJ204,'Guide '!$A$13:$B$16,2,0),"-")</f>
        <v>SP</v>
      </c>
      <c r="AL204" s="4" t="s">
        <v>1006</v>
      </c>
      <c r="AM204" s="40">
        <v>45364</v>
      </c>
      <c r="AN204">
        <f t="shared" si="127"/>
        <v>29</v>
      </c>
      <c r="AO204">
        <f t="shared" si="128"/>
        <v>32</v>
      </c>
      <c r="AP204">
        <f t="shared" si="129"/>
        <v>40</v>
      </c>
      <c r="AQ204">
        <f t="shared" si="130"/>
        <v>43</v>
      </c>
      <c r="AR204" s="26">
        <f t="shared" si="131"/>
        <v>56</v>
      </c>
      <c r="AS204" s="26">
        <f t="shared" si="132"/>
        <v>63</v>
      </c>
      <c r="AT204" s="21">
        <f t="shared" si="133"/>
        <v>12</v>
      </c>
      <c r="AU204" s="21">
        <f t="shared" si="134"/>
        <v>19</v>
      </c>
      <c r="AV204">
        <f t="shared" si="135"/>
        <v>73</v>
      </c>
      <c r="AW204">
        <f t="shared" si="136"/>
        <v>76</v>
      </c>
      <c r="AX204">
        <f t="shared" si="137"/>
        <v>84</v>
      </c>
      <c r="AY204">
        <f t="shared" si="138"/>
        <v>87</v>
      </c>
      <c r="AZ204">
        <f t="shared" si="139"/>
        <v>100</v>
      </c>
      <c r="BA204">
        <f t="shared" si="140"/>
        <v>107</v>
      </c>
      <c r="BB204">
        <f t="shared" si="141"/>
        <v>117</v>
      </c>
      <c r="BC204">
        <f t="shared" si="142"/>
        <v>120</v>
      </c>
      <c r="BD204" s="29">
        <f t="shared" si="143"/>
        <v>128</v>
      </c>
      <c r="BE204" s="29">
        <f t="shared" si="144"/>
        <v>131</v>
      </c>
    </row>
    <row r="205" spans="1:57" ht="15" x14ac:dyDescent="0.2">
      <c r="A205" s="2">
        <v>308</v>
      </c>
      <c r="B205" s="2" t="str">
        <f t="shared" si="109"/>
        <v>0308</v>
      </c>
      <c r="C205" t="str">
        <f t="shared" si="110"/>
        <v>ORD-TK-0308-14/03/24</v>
      </c>
      <c r="D205" s="3" t="s">
        <v>363</v>
      </c>
      <c r="E205" t="str">
        <f t="shared" si="111"/>
        <v>PP001</v>
      </c>
      <c r="F205" t="str">
        <f>INDEX(Katalog!$B$4:$B$13,MATCH('Main Data'!E205,Katalog!$C$4:$C$13,0))</f>
        <v>Kaos Polo</v>
      </c>
      <c r="G205" t="str">
        <f>VLOOKUP(E205,Katalog!$A$15:$B$25,2,0)</f>
        <v>Pakaian Pria</v>
      </c>
      <c r="H205" t="str">
        <f t="shared" si="112"/>
        <v>5</v>
      </c>
      <c r="I205" t="str">
        <f t="shared" si="113"/>
        <v>4</v>
      </c>
      <c r="J205" s="18">
        <f>VLOOKUP(E205,Katalog!$C$3:$F$13,2,0)</f>
        <v>80000</v>
      </c>
      <c r="K205" s="18">
        <f>VLOOKUP(E205,Katalog!$C$3:$F$13,3,0)</f>
        <v>30000</v>
      </c>
      <c r="L205" t="str">
        <f t="shared" si="114"/>
        <v>SP001</v>
      </c>
      <c r="M205" t="str">
        <f>IFERROR(INDEX(Katalog!$B$4:$B$13,MATCH('Main Data'!L205,Katalog!$C$4:$C$13,0)), "-")</f>
        <v>Sneakers</v>
      </c>
      <c r="N205" t="str">
        <f>IFERROR(VLOOKUP(L205,Katalog!$A$15:$B$25,2,0),"-")</f>
        <v>Sepatu Pria</v>
      </c>
      <c r="O205" t="str">
        <f t="shared" si="115"/>
        <v>2</v>
      </c>
      <c r="P205" t="str">
        <f t="shared" si="116"/>
        <v>3</v>
      </c>
      <c r="Q205" s="18">
        <f>IFERROR(VLOOKUP(L205,Katalog!$C$3:$F$13,2,0),0)</f>
        <v>300000</v>
      </c>
      <c r="R205" s="18">
        <f>IFERROR(VLOOKUP(L205,Katalog!$C$3:$F$13,3,0),0)</f>
        <v>100000</v>
      </c>
      <c r="S205" t="str">
        <f t="shared" si="117"/>
        <v>-</v>
      </c>
      <c r="T205" t="str">
        <f>IFERROR(INDEX(Katalog!$B$4:$B$13,MATCH('Main Data'!S205,Katalog!$C$4:$C$13,0)),"-")</f>
        <v>-</v>
      </c>
      <c r="U205" t="str">
        <f>IFERROR(VLOOKUP(S205,Katalog!$A$15:$B$25,2,0),"-")</f>
        <v>-</v>
      </c>
      <c r="V205">
        <f t="shared" si="118"/>
        <v>0</v>
      </c>
      <c r="W205" s="28" t="str">
        <f t="shared" si="119"/>
        <v>-</v>
      </c>
      <c r="X205" s="18">
        <f>IFERROR(VLOOKUP(S205,Katalog!$C$3:$F$13,2,0),0)</f>
        <v>0</v>
      </c>
      <c r="Y205" s="30">
        <f>IFERROR(VLOOKUP(S205,Katalog!$C$3:$F$13,3,0),0)</f>
        <v>0</v>
      </c>
      <c r="Z205" s="2">
        <f t="shared" si="120"/>
        <v>7</v>
      </c>
      <c r="AA205" s="4">
        <f t="shared" si="121"/>
        <v>1000000</v>
      </c>
      <c r="AB205" s="4">
        <f t="shared" si="122"/>
        <v>350000</v>
      </c>
      <c r="AC205" s="4" t="s">
        <v>30</v>
      </c>
      <c r="AD205" s="16">
        <f>IFERROR(VLOOKUP(AC205,'Kode Diskon'!$C$2:$D$9,2,0),0)</f>
        <v>0.1</v>
      </c>
      <c r="AE205" s="31">
        <f t="shared" si="123"/>
        <v>100000</v>
      </c>
      <c r="AF205" s="31">
        <f t="shared" si="124"/>
        <v>900000</v>
      </c>
      <c r="AG205" s="31">
        <f t="shared" si="125"/>
        <v>650000</v>
      </c>
      <c r="AH205" s="31">
        <f t="shared" si="126"/>
        <v>550000</v>
      </c>
      <c r="AI205" s="4" t="s">
        <v>8</v>
      </c>
      <c r="AJ205" s="4" t="s">
        <v>9</v>
      </c>
      <c r="AK205" s="4" t="str">
        <f>IFERROR(VLOOKUP(AJ205,'Guide '!$A$13:$B$16,2,0),"-")</f>
        <v>TK</v>
      </c>
      <c r="AL205" s="4" t="s">
        <v>923</v>
      </c>
      <c r="AM205" s="40">
        <v>45365</v>
      </c>
      <c r="AN205">
        <f t="shared" si="127"/>
        <v>29</v>
      </c>
      <c r="AO205">
        <f t="shared" si="128"/>
        <v>32</v>
      </c>
      <c r="AP205">
        <f t="shared" si="129"/>
        <v>40</v>
      </c>
      <c r="AQ205">
        <f t="shared" si="130"/>
        <v>43</v>
      </c>
      <c r="AR205" s="26">
        <f t="shared" si="131"/>
        <v>56</v>
      </c>
      <c r="AS205" s="26">
        <f t="shared" si="132"/>
        <v>63</v>
      </c>
      <c r="AT205" s="21">
        <f t="shared" si="133"/>
        <v>12</v>
      </c>
      <c r="AU205" s="21">
        <f t="shared" si="134"/>
        <v>19</v>
      </c>
      <c r="AV205">
        <f t="shared" si="135"/>
        <v>73</v>
      </c>
      <c r="AW205">
        <f t="shared" si="136"/>
        <v>76</v>
      </c>
      <c r="AX205">
        <f t="shared" si="137"/>
        <v>84</v>
      </c>
      <c r="AY205">
        <f t="shared" si="138"/>
        <v>87</v>
      </c>
      <c r="AZ205" t="str">
        <f t="shared" si="139"/>
        <v>-</v>
      </c>
      <c r="BA205" t="str">
        <f t="shared" si="140"/>
        <v>-</v>
      </c>
      <c r="BB205" t="str">
        <f t="shared" si="141"/>
        <v>-</v>
      </c>
      <c r="BC205" t="str">
        <f t="shared" si="142"/>
        <v>-</v>
      </c>
      <c r="BD205" s="29" t="str">
        <f t="shared" si="143"/>
        <v>-</v>
      </c>
      <c r="BE205" s="29" t="str">
        <f t="shared" si="144"/>
        <v>-</v>
      </c>
    </row>
    <row r="206" spans="1:57" ht="15" x14ac:dyDescent="0.2">
      <c r="A206" s="2">
        <v>465</v>
      </c>
      <c r="B206" s="2" t="str">
        <f t="shared" si="109"/>
        <v>0465</v>
      </c>
      <c r="C206" t="str">
        <f t="shared" si="110"/>
        <v>ORD-BL-0465-14/03/24</v>
      </c>
      <c r="D206" s="3" t="s">
        <v>503</v>
      </c>
      <c r="E206" t="str">
        <f t="shared" si="111"/>
        <v>SW001</v>
      </c>
      <c r="F206" t="str">
        <f>INDEX(Katalog!$B$4:$B$13,MATCH('Main Data'!E206,Katalog!$C$4:$C$13,0))</f>
        <v>Flat Shoes</v>
      </c>
      <c r="G206" t="str">
        <f>VLOOKUP(E206,Katalog!$A$15:$B$25,2,0)</f>
        <v>Sepatu Wanita</v>
      </c>
      <c r="H206" t="str">
        <f t="shared" si="112"/>
        <v>1</v>
      </c>
      <c r="I206" t="str">
        <f t="shared" si="113"/>
        <v>2</v>
      </c>
      <c r="J206" s="18">
        <f>VLOOKUP(E206,Katalog!$C$3:$F$13,2,0)</f>
        <v>150000</v>
      </c>
      <c r="K206" s="18">
        <f>VLOOKUP(E206,Katalog!$C$3:$F$13,3,0)</f>
        <v>70000</v>
      </c>
      <c r="L206" t="str">
        <f t="shared" si="114"/>
        <v>-</v>
      </c>
      <c r="M206" t="str">
        <f>IFERROR(INDEX(Katalog!$B$4:$B$13,MATCH('Main Data'!L206,Katalog!$C$4:$C$13,0)), "-")</f>
        <v>-</v>
      </c>
      <c r="N206" t="str">
        <f>IFERROR(VLOOKUP(L206,Katalog!$A$15:$B$25,2,0),"-")</f>
        <v>-</v>
      </c>
      <c r="O206">
        <f t="shared" si="115"/>
        <v>0</v>
      </c>
      <c r="P206" t="str">
        <f t="shared" si="116"/>
        <v>-</v>
      </c>
      <c r="Q206" s="18">
        <f>IFERROR(VLOOKUP(L206,Katalog!$C$3:$F$13,2,0),0)</f>
        <v>0</v>
      </c>
      <c r="R206" s="18">
        <f>IFERROR(VLOOKUP(L206,Katalog!$C$3:$F$13,3,0),0)</f>
        <v>0</v>
      </c>
      <c r="S206" t="str">
        <f t="shared" si="117"/>
        <v>-</v>
      </c>
      <c r="T206" t="str">
        <f>IFERROR(INDEX(Katalog!$B$4:$B$13,MATCH('Main Data'!S206,Katalog!$C$4:$C$13,0)),"-")</f>
        <v>-</v>
      </c>
      <c r="U206" t="str">
        <f>IFERROR(VLOOKUP(S206,Katalog!$A$15:$B$25,2,0),"-")</f>
        <v>-</v>
      </c>
      <c r="V206">
        <f t="shared" si="118"/>
        <v>0</v>
      </c>
      <c r="W206" s="28" t="str">
        <f t="shared" si="119"/>
        <v>-</v>
      </c>
      <c r="X206" s="18">
        <f>IFERROR(VLOOKUP(S206,Katalog!$C$3:$F$13,2,0),0)</f>
        <v>0</v>
      </c>
      <c r="Y206" s="30">
        <f>IFERROR(VLOOKUP(S206,Katalog!$C$3:$F$13,3,0),0)</f>
        <v>0</v>
      </c>
      <c r="Z206" s="2">
        <f t="shared" si="120"/>
        <v>1</v>
      </c>
      <c r="AA206" s="4">
        <f t="shared" si="121"/>
        <v>150000</v>
      </c>
      <c r="AB206" s="4">
        <f t="shared" si="122"/>
        <v>70000</v>
      </c>
      <c r="AC206" s="4" t="s">
        <v>31</v>
      </c>
      <c r="AD206" s="16">
        <f>IFERROR(VLOOKUP(AC206,'Kode Diskon'!$C$2:$D$9,2,0),0)</f>
        <v>0.15</v>
      </c>
      <c r="AE206" s="31">
        <f t="shared" si="123"/>
        <v>22500</v>
      </c>
      <c r="AF206" s="31">
        <f t="shared" si="124"/>
        <v>127500</v>
      </c>
      <c r="AG206" s="31">
        <f t="shared" si="125"/>
        <v>80000</v>
      </c>
      <c r="AH206" s="31">
        <f t="shared" si="126"/>
        <v>57500</v>
      </c>
      <c r="AI206" s="4" t="s">
        <v>8</v>
      </c>
      <c r="AJ206" s="4" t="s">
        <v>11</v>
      </c>
      <c r="AK206" s="4" t="str">
        <f>IFERROR(VLOOKUP(AJ206,'Guide '!$A$13:$B$16,2,0),"-")</f>
        <v>BL</v>
      </c>
      <c r="AL206" s="4" t="s">
        <v>925</v>
      </c>
      <c r="AM206" s="40">
        <v>45365</v>
      </c>
      <c r="AN206">
        <f t="shared" si="127"/>
        <v>29</v>
      </c>
      <c r="AO206">
        <f t="shared" si="128"/>
        <v>32</v>
      </c>
      <c r="AP206">
        <f t="shared" si="129"/>
        <v>40</v>
      </c>
      <c r="AQ206">
        <f t="shared" si="130"/>
        <v>43</v>
      </c>
      <c r="AR206" s="26" t="str">
        <f t="shared" si="131"/>
        <v>-</v>
      </c>
      <c r="AS206" s="26" t="str">
        <f t="shared" si="132"/>
        <v>-</v>
      </c>
      <c r="AT206" s="21">
        <f t="shared" si="133"/>
        <v>12</v>
      </c>
      <c r="AU206" s="21">
        <f t="shared" si="134"/>
        <v>19</v>
      </c>
      <c r="AV206" t="str">
        <f t="shared" si="135"/>
        <v>-</v>
      </c>
      <c r="AW206" t="str">
        <f t="shared" si="136"/>
        <v>-</v>
      </c>
      <c r="AX206" t="str">
        <f t="shared" si="137"/>
        <v>-</v>
      </c>
      <c r="AY206" t="str">
        <f t="shared" si="138"/>
        <v>-</v>
      </c>
      <c r="AZ206" t="str">
        <f t="shared" si="139"/>
        <v>-</v>
      </c>
      <c r="BA206" t="str">
        <f t="shared" si="140"/>
        <v>-</v>
      </c>
      <c r="BB206" t="str">
        <f t="shared" si="141"/>
        <v>-</v>
      </c>
      <c r="BC206" t="str">
        <f t="shared" si="142"/>
        <v>-</v>
      </c>
      <c r="BD206" s="29" t="str">
        <f t="shared" si="143"/>
        <v>-</v>
      </c>
      <c r="BE206" s="29" t="str">
        <f t="shared" si="144"/>
        <v>-</v>
      </c>
    </row>
    <row r="207" spans="1:57" ht="15" x14ac:dyDescent="0.2">
      <c r="A207" s="2">
        <v>472</v>
      </c>
      <c r="B207" s="2" t="str">
        <f t="shared" si="109"/>
        <v>0472</v>
      </c>
      <c r="C207" t="str">
        <f t="shared" si="110"/>
        <v>ORD-SP-0472-14/03/24</v>
      </c>
      <c r="D207" s="3" t="s">
        <v>508</v>
      </c>
      <c r="E207" t="str">
        <f t="shared" si="111"/>
        <v>SP001</v>
      </c>
      <c r="F207" t="str">
        <f>INDEX(Katalog!$B$4:$B$13,MATCH('Main Data'!E207,Katalog!$C$4:$C$13,0))</f>
        <v>Sneakers</v>
      </c>
      <c r="G207" t="str">
        <f>VLOOKUP(E207,Katalog!$A$15:$B$25,2,0)</f>
        <v>Sepatu Pria</v>
      </c>
      <c r="H207" t="str">
        <f t="shared" si="112"/>
        <v>2</v>
      </c>
      <c r="I207" t="str">
        <f t="shared" si="113"/>
        <v>2</v>
      </c>
      <c r="J207" s="18">
        <f>VLOOKUP(E207,Katalog!$C$3:$F$13,2,0)</f>
        <v>300000</v>
      </c>
      <c r="K207" s="18">
        <f>VLOOKUP(E207,Katalog!$C$3:$F$13,3,0)</f>
        <v>100000</v>
      </c>
      <c r="L207" t="str">
        <f t="shared" si="114"/>
        <v>-</v>
      </c>
      <c r="M207" t="str">
        <f>IFERROR(INDEX(Katalog!$B$4:$B$13,MATCH('Main Data'!L207,Katalog!$C$4:$C$13,0)), "-")</f>
        <v>-</v>
      </c>
      <c r="N207" t="str">
        <f>IFERROR(VLOOKUP(L207,Katalog!$A$15:$B$25,2,0),"-")</f>
        <v>-</v>
      </c>
      <c r="O207">
        <f t="shared" si="115"/>
        <v>0</v>
      </c>
      <c r="P207" t="str">
        <f t="shared" si="116"/>
        <v>-</v>
      </c>
      <c r="Q207" s="18">
        <f>IFERROR(VLOOKUP(L207,Katalog!$C$3:$F$13,2,0),0)</f>
        <v>0</v>
      </c>
      <c r="R207" s="18">
        <f>IFERROR(VLOOKUP(L207,Katalog!$C$3:$F$13,3,0),0)</f>
        <v>0</v>
      </c>
      <c r="S207" t="str">
        <f t="shared" si="117"/>
        <v>-</v>
      </c>
      <c r="T207" t="str">
        <f>IFERROR(INDEX(Katalog!$B$4:$B$13,MATCH('Main Data'!S207,Katalog!$C$4:$C$13,0)),"-")</f>
        <v>-</v>
      </c>
      <c r="U207" t="str">
        <f>IFERROR(VLOOKUP(S207,Katalog!$A$15:$B$25,2,0),"-")</f>
        <v>-</v>
      </c>
      <c r="V207">
        <f t="shared" si="118"/>
        <v>0</v>
      </c>
      <c r="W207" s="28" t="str">
        <f t="shared" si="119"/>
        <v>-</v>
      </c>
      <c r="X207" s="18">
        <f>IFERROR(VLOOKUP(S207,Katalog!$C$3:$F$13,2,0),0)</f>
        <v>0</v>
      </c>
      <c r="Y207" s="30">
        <f>IFERROR(VLOOKUP(S207,Katalog!$C$3:$F$13,3,0),0)</f>
        <v>0</v>
      </c>
      <c r="Z207" s="2">
        <f t="shared" si="120"/>
        <v>2</v>
      </c>
      <c r="AA207" s="4">
        <f t="shared" si="121"/>
        <v>600000</v>
      </c>
      <c r="AB207" s="4">
        <f t="shared" si="122"/>
        <v>200000</v>
      </c>
      <c r="AC207" s="4" t="s">
        <v>5</v>
      </c>
      <c r="AD207" s="16">
        <f>IFERROR(VLOOKUP(AC207,'Kode Diskon'!$C$2:$D$9,2,0),0)</f>
        <v>0.1</v>
      </c>
      <c r="AE207" s="31">
        <f t="shared" si="123"/>
        <v>60000</v>
      </c>
      <c r="AF207" s="31">
        <f t="shared" si="124"/>
        <v>540000</v>
      </c>
      <c r="AG207" s="31">
        <f t="shared" si="125"/>
        <v>400000</v>
      </c>
      <c r="AH207" s="31">
        <f t="shared" si="126"/>
        <v>340000</v>
      </c>
      <c r="AI207" s="4" t="s">
        <v>28</v>
      </c>
      <c r="AJ207" s="4" t="s">
        <v>6</v>
      </c>
      <c r="AK207" s="4" t="str">
        <f>IFERROR(VLOOKUP(AJ207,'Guide '!$A$13:$B$16,2,0),"-")</f>
        <v>SP</v>
      </c>
      <c r="AL207" s="4" t="s">
        <v>924</v>
      </c>
      <c r="AM207" s="40">
        <v>45365</v>
      </c>
      <c r="AN207">
        <f t="shared" si="127"/>
        <v>29</v>
      </c>
      <c r="AO207">
        <f t="shared" si="128"/>
        <v>32</v>
      </c>
      <c r="AP207">
        <f t="shared" si="129"/>
        <v>40</v>
      </c>
      <c r="AQ207">
        <f t="shared" si="130"/>
        <v>43</v>
      </c>
      <c r="AR207" s="26" t="str">
        <f t="shared" si="131"/>
        <v>-</v>
      </c>
      <c r="AS207" s="26" t="str">
        <f t="shared" si="132"/>
        <v>-</v>
      </c>
      <c r="AT207" s="21">
        <f t="shared" si="133"/>
        <v>12</v>
      </c>
      <c r="AU207" s="21">
        <f t="shared" si="134"/>
        <v>19</v>
      </c>
      <c r="AV207" t="str">
        <f t="shared" si="135"/>
        <v>-</v>
      </c>
      <c r="AW207" t="str">
        <f t="shared" si="136"/>
        <v>-</v>
      </c>
      <c r="AX207" t="str">
        <f t="shared" si="137"/>
        <v>-</v>
      </c>
      <c r="AY207" t="str">
        <f t="shared" si="138"/>
        <v>-</v>
      </c>
      <c r="AZ207" t="str">
        <f t="shared" si="139"/>
        <v>-</v>
      </c>
      <c r="BA207" t="str">
        <f t="shared" si="140"/>
        <v>-</v>
      </c>
      <c r="BB207" t="str">
        <f t="shared" si="141"/>
        <v>-</v>
      </c>
      <c r="BC207" t="str">
        <f t="shared" si="142"/>
        <v>-</v>
      </c>
      <c r="BD207" s="29" t="str">
        <f t="shared" si="143"/>
        <v>-</v>
      </c>
      <c r="BE207" s="29" t="str">
        <f t="shared" si="144"/>
        <v>-</v>
      </c>
    </row>
    <row r="208" spans="1:57" ht="15" x14ac:dyDescent="0.2">
      <c r="A208" s="2">
        <v>628</v>
      </c>
      <c r="B208" s="2" t="str">
        <f t="shared" si="109"/>
        <v>0628</v>
      </c>
      <c r="C208" t="str">
        <f t="shared" si="110"/>
        <v>ORD-SP-0628-14/03/24</v>
      </c>
      <c r="D208" s="3" t="s">
        <v>637</v>
      </c>
      <c r="E208" t="str">
        <f t="shared" si="111"/>
        <v>SP001</v>
      </c>
      <c r="F208" t="str">
        <f>INDEX(Katalog!$B$4:$B$13,MATCH('Main Data'!E208,Katalog!$C$4:$C$13,0))</f>
        <v>Sneakers</v>
      </c>
      <c r="G208" t="str">
        <f>VLOOKUP(E208,Katalog!$A$15:$B$25,2,0)</f>
        <v>Sepatu Pria</v>
      </c>
      <c r="H208" t="str">
        <f t="shared" si="112"/>
        <v>1</v>
      </c>
      <c r="I208" t="str">
        <f t="shared" si="113"/>
        <v>1</v>
      </c>
      <c r="J208" s="18">
        <f>VLOOKUP(E208,Katalog!$C$3:$F$13,2,0)</f>
        <v>300000</v>
      </c>
      <c r="K208" s="18">
        <f>VLOOKUP(E208,Katalog!$C$3:$F$13,3,0)</f>
        <v>100000</v>
      </c>
      <c r="L208" t="str">
        <f t="shared" si="114"/>
        <v>PW003</v>
      </c>
      <c r="M208" t="str">
        <f>IFERROR(INDEX(Katalog!$B$4:$B$13,MATCH('Main Data'!L208,Katalog!$C$4:$C$13,0)), "-")</f>
        <v>Kaftan</v>
      </c>
      <c r="N208" t="str">
        <f>IFERROR(VLOOKUP(L208,Katalog!$A$15:$B$25,2,0),"-")</f>
        <v>Pakaian Wanita</v>
      </c>
      <c r="O208" t="str">
        <f t="shared" si="115"/>
        <v>1</v>
      </c>
      <c r="P208" t="str">
        <f t="shared" si="116"/>
        <v>2</v>
      </c>
      <c r="Q208" s="18">
        <f>IFERROR(VLOOKUP(L208,Katalog!$C$3:$F$13,2,0),0)</f>
        <v>200000</v>
      </c>
      <c r="R208" s="18">
        <f>IFERROR(VLOOKUP(L208,Katalog!$C$3:$F$13,3,0),0)</f>
        <v>100000</v>
      </c>
      <c r="S208" t="str">
        <f t="shared" si="117"/>
        <v>PP002</v>
      </c>
      <c r="T208" t="str">
        <f>IFERROR(INDEX(Katalog!$B$4:$B$13,MATCH('Main Data'!S208,Katalog!$C$4:$C$13,0)),"-")</f>
        <v>Celana Pendek</v>
      </c>
      <c r="U208" t="str">
        <f>IFERROR(VLOOKUP(S208,Katalog!$A$15:$B$25,2,0),"-")</f>
        <v>Pakaian Pria</v>
      </c>
      <c r="V208" t="str">
        <f t="shared" si="118"/>
        <v>4</v>
      </c>
      <c r="W208" s="28" t="str">
        <f t="shared" si="119"/>
        <v>4</v>
      </c>
      <c r="X208" s="18">
        <f>IFERROR(VLOOKUP(S208,Katalog!$C$3:$F$13,2,0),0)</f>
        <v>60000</v>
      </c>
      <c r="Y208" s="30">
        <f>IFERROR(VLOOKUP(S208,Katalog!$C$3:$F$13,3,0),0)</f>
        <v>25000</v>
      </c>
      <c r="Z208" s="2">
        <f t="shared" si="120"/>
        <v>6</v>
      </c>
      <c r="AA208" s="4">
        <f t="shared" si="121"/>
        <v>740000</v>
      </c>
      <c r="AB208" s="4">
        <f t="shared" si="122"/>
        <v>300000</v>
      </c>
      <c r="AC208" s="4" t="s">
        <v>7</v>
      </c>
      <c r="AD208" s="16">
        <f>IFERROR(VLOOKUP(AC208,'Kode Diskon'!$C$2:$D$9,2,0),0)</f>
        <v>0.2</v>
      </c>
      <c r="AE208" s="31">
        <f t="shared" si="123"/>
        <v>148000</v>
      </c>
      <c r="AF208" s="31">
        <f t="shared" si="124"/>
        <v>592000</v>
      </c>
      <c r="AG208" s="31">
        <f t="shared" si="125"/>
        <v>440000</v>
      </c>
      <c r="AH208" s="31">
        <f t="shared" si="126"/>
        <v>292000</v>
      </c>
      <c r="AI208" s="4" t="s">
        <v>8</v>
      </c>
      <c r="AJ208" s="4" t="s">
        <v>6</v>
      </c>
      <c r="AK208" s="4" t="str">
        <f>IFERROR(VLOOKUP(AJ208,'Guide '!$A$13:$B$16,2,0),"-")</f>
        <v>SP</v>
      </c>
      <c r="AL208" s="4" t="s">
        <v>925</v>
      </c>
      <c r="AM208" s="40">
        <v>45365</v>
      </c>
      <c r="AN208">
        <f t="shared" si="127"/>
        <v>29</v>
      </c>
      <c r="AO208">
        <f t="shared" si="128"/>
        <v>32</v>
      </c>
      <c r="AP208">
        <f t="shared" si="129"/>
        <v>40</v>
      </c>
      <c r="AQ208">
        <f t="shared" si="130"/>
        <v>43</v>
      </c>
      <c r="AR208" s="26">
        <f t="shared" si="131"/>
        <v>56</v>
      </c>
      <c r="AS208" s="26">
        <f t="shared" si="132"/>
        <v>63</v>
      </c>
      <c r="AT208" s="21">
        <f t="shared" si="133"/>
        <v>12</v>
      </c>
      <c r="AU208" s="21">
        <f t="shared" si="134"/>
        <v>19</v>
      </c>
      <c r="AV208">
        <f t="shared" si="135"/>
        <v>73</v>
      </c>
      <c r="AW208">
        <f t="shared" si="136"/>
        <v>76</v>
      </c>
      <c r="AX208">
        <f t="shared" si="137"/>
        <v>84</v>
      </c>
      <c r="AY208">
        <f t="shared" si="138"/>
        <v>87</v>
      </c>
      <c r="AZ208">
        <f t="shared" si="139"/>
        <v>100</v>
      </c>
      <c r="BA208">
        <f t="shared" si="140"/>
        <v>107</v>
      </c>
      <c r="BB208">
        <f t="shared" si="141"/>
        <v>117</v>
      </c>
      <c r="BC208">
        <f t="shared" si="142"/>
        <v>120</v>
      </c>
      <c r="BD208" s="29">
        <f t="shared" si="143"/>
        <v>128</v>
      </c>
      <c r="BE208" s="29">
        <f t="shared" si="144"/>
        <v>131</v>
      </c>
    </row>
    <row r="209" spans="1:57" ht="15" x14ac:dyDescent="0.2">
      <c r="A209" s="2">
        <v>126</v>
      </c>
      <c r="B209" s="2" t="str">
        <f t="shared" si="109"/>
        <v>0126</v>
      </c>
      <c r="C209" t="str">
        <f t="shared" si="110"/>
        <v>ORD-TK-0126-15/03/24</v>
      </c>
      <c r="D209" s="3" t="s">
        <v>197</v>
      </c>
      <c r="E209" t="str">
        <f t="shared" si="111"/>
        <v>PW003</v>
      </c>
      <c r="F209" t="str">
        <f>INDEX(Katalog!$B$4:$B$13,MATCH('Main Data'!E209,Katalog!$C$4:$C$13,0))</f>
        <v>Kaftan</v>
      </c>
      <c r="G209" t="str">
        <f>VLOOKUP(E209,Katalog!$A$15:$B$25,2,0)</f>
        <v>Pakaian Wanita</v>
      </c>
      <c r="H209" t="str">
        <f t="shared" si="112"/>
        <v>4</v>
      </c>
      <c r="I209" t="str">
        <f t="shared" si="113"/>
        <v>5</v>
      </c>
      <c r="J209" s="18">
        <f>VLOOKUP(E209,Katalog!$C$3:$F$13,2,0)</f>
        <v>200000</v>
      </c>
      <c r="K209" s="18">
        <f>VLOOKUP(E209,Katalog!$C$3:$F$13,3,0)</f>
        <v>100000</v>
      </c>
      <c r="L209" t="str">
        <f t="shared" si="114"/>
        <v>SW001</v>
      </c>
      <c r="M209" t="str">
        <f>IFERROR(INDEX(Katalog!$B$4:$B$13,MATCH('Main Data'!L209,Katalog!$C$4:$C$13,0)), "-")</f>
        <v>Flat Shoes</v>
      </c>
      <c r="N209" t="str">
        <f>IFERROR(VLOOKUP(L209,Katalog!$A$15:$B$25,2,0),"-")</f>
        <v>Sepatu Wanita</v>
      </c>
      <c r="O209" t="str">
        <f t="shared" si="115"/>
        <v>1</v>
      </c>
      <c r="P209" t="str">
        <f t="shared" si="116"/>
        <v>2</v>
      </c>
      <c r="Q209" s="18">
        <f>IFERROR(VLOOKUP(L209,Katalog!$C$3:$F$13,2,0),0)</f>
        <v>150000</v>
      </c>
      <c r="R209" s="18">
        <f>IFERROR(VLOOKUP(L209,Katalog!$C$3:$F$13,3,0),0)</f>
        <v>70000</v>
      </c>
      <c r="S209" t="str">
        <f t="shared" si="117"/>
        <v>PW002</v>
      </c>
      <c r="T209" t="str">
        <f>IFERROR(INDEX(Katalog!$B$4:$B$13,MATCH('Main Data'!S209,Katalog!$C$4:$C$13,0)),"-")</f>
        <v>Blouse</v>
      </c>
      <c r="U209" t="str">
        <f>IFERROR(VLOOKUP(S209,Katalog!$A$15:$B$25,2,0),"-")</f>
        <v>Pakaian Wanita</v>
      </c>
      <c r="V209" t="str">
        <f t="shared" si="118"/>
        <v>2</v>
      </c>
      <c r="W209" s="28" t="str">
        <f t="shared" si="119"/>
        <v>5</v>
      </c>
      <c r="X209" s="18">
        <f>IFERROR(VLOOKUP(S209,Katalog!$C$3:$F$13,2,0),0)</f>
        <v>125000</v>
      </c>
      <c r="Y209" s="30">
        <f>IFERROR(VLOOKUP(S209,Katalog!$C$3:$F$13,3,0),0)</f>
        <v>50000</v>
      </c>
      <c r="Z209" s="2">
        <f t="shared" si="120"/>
        <v>7</v>
      </c>
      <c r="AA209" s="4">
        <f t="shared" si="121"/>
        <v>1200000</v>
      </c>
      <c r="AB209" s="4">
        <f t="shared" si="122"/>
        <v>570000</v>
      </c>
      <c r="AC209" s="4" t="s">
        <v>30</v>
      </c>
      <c r="AD209" s="16">
        <f>IFERROR(VLOOKUP(AC209,'Kode Diskon'!$C$2:$D$9,2,0),0)</f>
        <v>0.1</v>
      </c>
      <c r="AE209" s="31">
        <f t="shared" si="123"/>
        <v>120000</v>
      </c>
      <c r="AF209" s="31">
        <f t="shared" si="124"/>
        <v>1080000</v>
      </c>
      <c r="AG209" s="31">
        <f t="shared" si="125"/>
        <v>630000</v>
      </c>
      <c r="AH209" s="31">
        <f t="shared" si="126"/>
        <v>510000</v>
      </c>
      <c r="AI209" s="4" t="s">
        <v>8</v>
      </c>
      <c r="AJ209" s="4" t="s">
        <v>9</v>
      </c>
      <c r="AK209" s="4" t="str">
        <f>IFERROR(VLOOKUP(AJ209,'Guide '!$A$13:$B$16,2,0),"-")</f>
        <v>TK</v>
      </c>
      <c r="AL209" s="4" t="s">
        <v>923</v>
      </c>
      <c r="AM209" s="40">
        <v>45366</v>
      </c>
      <c r="AN209">
        <f t="shared" si="127"/>
        <v>29</v>
      </c>
      <c r="AO209">
        <f t="shared" si="128"/>
        <v>32</v>
      </c>
      <c r="AP209">
        <f t="shared" si="129"/>
        <v>40</v>
      </c>
      <c r="AQ209">
        <f t="shared" si="130"/>
        <v>43</v>
      </c>
      <c r="AR209" s="26">
        <f t="shared" si="131"/>
        <v>56</v>
      </c>
      <c r="AS209" s="26">
        <f t="shared" si="132"/>
        <v>63</v>
      </c>
      <c r="AT209" s="21">
        <f t="shared" si="133"/>
        <v>12</v>
      </c>
      <c r="AU209" s="21">
        <f t="shared" si="134"/>
        <v>19</v>
      </c>
      <c r="AV209">
        <f t="shared" si="135"/>
        <v>73</v>
      </c>
      <c r="AW209">
        <f t="shared" si="136"/>
        <v>76</v>
      </c>
      <c r="AX209">
        <f t="shared" si="137"/>
        <v>84</v>
      </c>
      <c r="AY209">
        <f t="shared" si="138"/>
        <v>87</v>
      </c>
      <c r="AZ209">
        <f t="shared" si="139"/>
        <v>100</v>
      </c>
      <c r="BA209">
        <f t="shared" si="140"/>
        <v>107</v>
      </c>
      <c r="BB209">
        <f t="shared" si="141"/>
        <v>117</v>
      </c>
      <c r="BC209">
        <f t="shared" si="142"/>
        <v>120</v>
      </c>
      <c r="BD209" s="29">
        <f t="shared" si="143"/>
        <v>128</v>
      </c>
      <c r="BE209" s="29">
        <f t="shared" si="144"/>
        <v>131</v>
      </c>
    </row>
    <row r="210" spans="1:57" ht="15" x14ac:dyDescent="0.2">
      <c r="A210" s="2">
        <v>132</v>
      </c>
      <c r="B210" s="2" t="str">
        <f t="shared" si="109"/>
        <v>0132</v>
      </c>
      <c r="C210" t="str">
        <f t="shared" si="110"/>
        <v>ORD-SP-0132-15/03/24</v>
      </c>
      <c r="D210" s="3" t="s">
        <v>202</v>
      </c>
      <c r="E210" t="str">
        <f t="shared" si="111"/>
        <v>PP003</v>
      </c>
      <c r="F210" t="str">
        <f>INDEX(Katalog!$B$4:$B$13,MATCH('Main Data'!E210,Katalog!$C$4:$C$13,0))</f>
        <v>Jaket Jeans</v>
      </c>
      <c r="G210" t="str">
        <f>VLOOKUP(E210,Katalog!$A$15:$B$25,2,0)</f>
        <v>Pakaian Pria</v>
      </c>
      <c r="H210" t="str">
        <f t="shared" si="112"/>
        <v>5</v>
      </c>
      <c r="I210" t="str">
        <f t="shared" si="113"/>
        <v>5</v>
      </c>
      <c r="J210" s="18">
        <f>VLOOKUP(E210,Katalog!$C$3:$F$13,2,0)</f>
        <v>150000</v>
      </c>
      <c r="K210" s="18">
        <f>VLOOKUP(E210,Katalog!$C$3:$F$13,3,0)</f>
        <v>70000</v>
      </c>
      <c r="L210" t="str">
        <f t="shared" si="114"/>
        <v>PW002</v>
      </c>
      <c r="M210" t="str">
        <f>IFERROR(INDEX(Katalog!$B$4:$B$13,MATCH('Main Data'!L210,Katalog!$C$4:$C$13,0)), "-")</f>
        <v>Blouse</v>
      </c>
      <c r="N210" t="str">
        <f>IFERROR(VLOOKUP(L210,Katalog!$A$15:$B$25,2,0),"-")</f>
        <v>Pakaian Wanita</v>
      </c>
      <c r="O210" t="str">
        <f t="shared" si="115"/>
        <v>1</v>
      </c>
      <c r="P210" t="str">
        <f t="shared" si="116"/>
        <v>1</v>
      </c>
      <c r="Q210" s="18">
        <f>IFERROR(VLOOKUP(L210,Katalog!$C$3:$F$13,2,0),0)</f>
        <v>125000</v>
      </c>
      <c r="R210" s="18">
        <f>IFERROR(VLOOKUP(L210,Katalog!$C$3:$F$13,3,0),0)</f>
        <v>50000</v>
      </c>
      <c r="S210" t="str">
        <f t="shared" si="117"/>
        <v>-</v>
      </c>
      <c r="T210" t="str">
        <f>IFERROR(INDEX(Katalog!$B$4:$B$13,MATCH('Main Data'!S210,Katalog!$C$4:$C$13,0)),"-")</f>
        <v>-</v>
      </c>
      <c r="U210" t="str">
        <f>IFERROR(VLOOKUP(S210,Katalog!$A$15:$B$25,2,0),"-")</f>
        <v>-</v>
      </c>
      <c r="V210">
        <f t="shared" si="118"/>
        <v>0</v>
      </c>
      <c r="W210" s="28" t="str">
        <f t="shared" si="119"/>
        <v>-</v>
      </c>
      <c r="X210" s="18">
        <f>IFERROR(VLOOKUP(S210,Katalog!$C$3:$F$13,2,0),0)</f>
        <v>0</v>
      </c>
      <c r="Y210" s="30">
        <f>IFERROR(VLOOKUP(S210,Katalog!$C$3:$F$13,3,0),0)</f>
        <v>0</v>
      </c>
      <c r="Z210" s="2">
        <f t="shared" si="120"/>
        <v>6</v>
      </c>
      <c r="AA210" s="4">
        <f t="shared" si="121"/>
        <v>875000</v>
      </c>
      <c r="AB210" s="4">
        <f t="shared" si="122"/>
        <v>400000</v>
      </c>
      <c r="AC210" s="4" t="s">
        <v>7</v>
      </c>
      <c r="AD210" s="16">
        <f>IFERROR(VLOOKUP(AC210,'Kode Diskon'!$C$2:$D$9,2,0),0)</f>
        <v>0.2</v>
      </c>
      <c r="AE210" s="31">
        <f t="shared" si="123"/>
        <v>175000</v>
      </c>
      <c r="AF210" s="31">
        <f t="shared" si="124"/>
        <v>700000</v>
      </c>
      <c r="AG210" s="31">
        <f t="shared" si="125"/>
        <v>475000</v>
      </c>
      <c r="AH210" s="31">
        <f t="shared" si="126"/>
        <v>300000</v>
      </c>
      <c r="AI210" s="4" t="s">
        <v>8</v>
      </c>
      <c r="AJ210" s="4" t="s">
        <v>6</v>
      </c>
      <c r="AK210" s="4" t="str">
        <f>IFERROR(VLOOKUP(AJ210,'Guide '!$A$13:$B$16,2,0),"-")</f>
        <v>SP</v>
      </c>
      <c r="AL210" s="4" t="s">
        <v>925</v>
      </c>
      <c r="AM210" s="40">
        <v>45366</v>
      </c>
      <c r="AN210">
        <f t="shared" si="127"/>
        <v>29</v>
      </c>
      <c r="AO210">
        <f t="shared" si="128"/>
        <v>32</v>
      </c>
      <c r="AP210">
        <f t="shared" si="129"/>
        <v>40</v>
      </c>
      <c r="AQ210">
        <f t="shared" si="130"/>
        <v>43</v>
      </c>
      <c r="AR210" s="26">
        <f t="shared" si="131"/>
        <v>56</v>
      </c>
      <c r="AS210" s="26">
        <f t="shared" si="132"/>
        <v>63</v>
      </c>
      <c r="AT210" s="21">
        <f t="shared" si="133"/>
        <v>12</v>
      </c>
      <c r="AU210" s="21">
        <f t="shared" si="134"/>
        <v>19</v>
      </c>
      <c r="AV210">
        <f t="shared" si="135"/>
        <v>73</v>
      </c>
      <c r="AW210">
        <f t="shared" si="136"/>
        <v>76</v>
      </c>
      <c r="AX210">
        <f t="shared" si="137"/>
        <v>84</v>
      </c>
      <c r="AY210">
        <f t="shared" si="138"/>
        <v>87</v>
      </c>
      <c r="AZ210" t="str">
        <f t="shared" si="139"/>
        <v>-</v>
      </c>
      <c r="BA210" t="str">
        <f t="shared" si="140"/>
        <v>-</v>
      </c>
      <c r="BB210" t="str">
        <f t="shared" si="141"/>
        <v>-</v>
      </c>
      <c r="BC210" t="str">
        <f t="shared" si="142"/>
        <v>-</v>
      </c>
      <c r="BD210" s="29" t="str">
        <f t="shared" si="143"/>
        <v>-</v>
      </c>
      <c r="BE210" s="29" t="str">
        <f t="shared" si="144"/>
        <v>-</v>
      </c>
    </row>
    <row r="211" spans="1:57" ht="15" x14ac:dyDescent="0.2">
      <c r="A211" s="2">
        <v>334</v>
      </c>
      <c r="B211" s="2" t="str">
        <f t="shared" si="109"/>
        <v>0334</v>
      </c>
      <c r="C211" t="str">
        <f t="shared" si="110"/>
        <v>ORD-TK-0334-15/03/24</v>
      </c>
      <c r="D211" s="3" t="s">
        <v>387</v>
      </c>
      <c r="E211" t="str">
        <f t="shared" si="111"/>
        <v>SP001</v>
      </c>
      <c r="F211" t="str">
        <f>INDEX(Katalog!$B$4:$B$13,MATCH('Main Data'!E211,Katalog!$C$4:$C$13,0))</f>
        <v>Sneakers</v>
      </c>
      <c r="G211" t="str">
        <f>VLOOKUP(E211,Katalog!$A$15:$B$25,2,0)</f>
        <v>Sepatu Pria</v>
      </c>
      <c r="H211" t="str">
        <f t="shared" si="112"/>
        <v>6</v>
      </c>
      <c r="I211" t="str">
        <f t="shared" si="113"/>
        <v>4</v>
      </c>
      <c r="J211" s="18">
        <f>VLOOKUP(E211,Katalog!$C$3:$F$13,2,0)</f>
        <v>300000</v>
      </c>
      <c r="K211" s="18">
        <f>VLOOKUP(E211,Katalog!$C$3:$F$13,3,0)</f>
        <v>100000</v>
      </c>
      <c r="L211" t="str">
        <f t="shared" si="114"/>
        <v>PU001</v>
      </c>
      <c r="M211" t="str">
        <f>IFERROR(INDEX(Katalog!$B$4:$B$13,MATCH('Main Data'!L211,Katalog!$C$4:$C$13,0)), "-")</f>
        <v>Jaket Hoodie</v>
      </c>
      <c r="N211" t="str">
        <f>IFERROR(VLOOKUP(L211,Katalog!$A$15:$B$25,2,0),"-")</f>
        <v>Pakaian Unisex</v>
      </c>
      <c r="O211" t="str">
        <f t="shared" si="115"/>
        <v>1</v>
      </c>
      <c r="P211" t="str">
        <f t="shared" si="116"/>
        <v>4</v>
      </c>
      <c r="Q211" s="18">
        <f>IFERROR(VLOOKUP(L211,Katalog!$C$3:$F$13,2,0),0)</f>
        <v>160000</v>
      </c>
      <c r="R211" s="18">
        <f>IFERROR(VLOOKUP(L211,Katalog!$C$3:$F$13,3,0),0)</f>
        <v>60000</v>
      </c>
      <c r="S211" t="str">
        <f t="shared" si="117"/>
        <v>-</v>
      </c>
      <c r="T211" t="str">
        <f>IFERROR(INDEX(Katalog!$B$4:$B$13,MATCH('Main Data'!S211,Katalog!$C$4:$C$13,0)),"-")</f>
        <v>-</v>
      </c>
      <c r="U211" t="str">
        <f>IFERROR(VLOOKUP(S211,Katalog!$A$15:$B$25,2,0),"-")</f>
        <v>-</v>
      </c>
      <c r="V211">
        <f t="shared" si="118"/>
        <v>0</v>
      </c>
      <c r="W211" s="28" t="str">
        <f t="shared" si="119"/>
        <v>-</v>
      </c>
      <c r="X211" s="18">
        <f>IFERROR(VLOOKUP(S211,Katalog!$C$3:$F$13,2,0),0)</f>
        <v>0</v>
      </c>
      <c r="Y211" s="30">
        <f>IFERROR(VLOOKUP(S211,Katalog!$C$3:$F$13,3,0),0)</f>
        <v>0</v>
      </c>
      <c r="Z211" s="2">
        <f t="shared" si="120"/>
        <v>7</v>
      </c>
      <c r="AA211" s="4">
        <f t="shared" si="121"/>
        <v>1960000</v>
      </c>
      <c r="AB211" s="4">
        <f t="shared" si="122"/>
        <v>660000</v>
      </c>
      <c r="AC211" s="4" t="s">
        <v>29</v>
      </c>
      <c r="AD211" s="16">
        <f>IFERROR(VLOOKUP(AC211,'Kode Diskon'!$C$2:$D$9,2,0),0)</f>
        <v>0.1</v>
      </c>
      <c r="AE211" s="31">
        <f t="shared" si="123"/>
        <v>196000</v>
      </c>
      <c r="AF211" s="31">
        <f t="shared" si="124"/>
        <v>1764000</v>
      </c>
      <c r="AG211" s="31">
        <f t="shared" si="125"/>
        <v>1300000</v>
      </c>
      <c r="AH211" s="31">
        <f t="shared" si="126"/>
        <v>1104000</v>
      </c>
      <c r="AI211" s="4" t="s">
        <v>28</v>
      </c>
      <c r="AJ211" s="4" t="s">
        <v>9</v>
      </c>
      <c r="AK211" s="4" t="str">
        <f>IFERROR(VLOOKUP(AJ211,'Guide '!$A$13:$B$16,2,0),"-")</f>
        <v>TK</v>
      </c>
      <c r="AL211" s="4" t="s">
        <v>925</v>
      </c>
      <c r="AM211" s="40">
        <v>45366</v>
      </c>
      <c r="AN211">
        <f t="shared" si="127"/>
        <v>29</v>
      </c>
      <c r="AO211">
        <f t="shared" si="128"/>
        <v>32</v>
      </c>
      <c r="AP211">
        <f t="shared" si="129"/>
        <v>40</v>
      </c>
      <c r="AQ211">
        <f t="shared" si="130"/>
        <v>43</v>
      </c>
      <c r="AR211" s="26">
        <f t="shared" si="131"/>
        <v>56</v>
      </c>
      <c r="AS211" s="26">
        <f t="shared" si="132"/>
        <v>63</v>
      </c>
      <c r="AT211" s="21">
        <f t="shared" si="133"/>
        <v>12</v>
      </c>
      <c r="AU211" s="21">
        <f t="shared" si="134"/>
        <v>19</v>
      </c>
      <c r="AV211">
        <f t="shared" si="135"/>
        <v>73</v>
      </c>
      <c r="AW211">
        <f t="shared" si="136"/>
        <v>76</v>
      </c>
      <c r="AX211">
        <f t="shared" si="137"/>
        <v>84</v>
      </c>
      <c r="AY211">
        <f t="shared" si="138"/>
        <v>87</v>
      </c>
      <c r="AZ211" t="str">
        <f t="shared" si="139"/>
        <v>-</v>
      </c>
      <c r="BA211" t="str">
        <f t="shared" si="140"/>
        <v>-</v>
      </c>
      <c r="BB211" t="str">
        <f t="shared" si="141"/>
        <v>-</v>
      </c>
      <c r="BC211" t="str">
        <f t="shared" si="142"/>
        <v>-</v>
      </c>
      <c r="BD211" s="29" t="str">
        <f t="shared" si="143"/>
        <v>-</v>
      </c>
      <c r="BE211" s="29" t="str">
        <f t="shared" si="144"/>
        <v>-</v>
      </c>
    </row>
    <row r="212" spans="1:57" ht="15" x14ac:dyDescent="0.2">
      <c r="A212" s="2">
        <v>263</v>
      </c>
      <c r="B212" s="2" t="str">
        <f t="shared" si="109"/>
        <v>0263</v>
      </c>
      <c r="C212" t="str">
        <f t="shared" si="110"/>
        <v>ORD-TK-0263-16/03/24</v>
      </c>
      <c r="D212" s="3" t="s">
        <v>327</v>
      </c>
      <c r="E212" t="str">
        <f t="shared" si="111"/>
        <v>PP003</v>
      </c>
      <c r="F212" t="str">
        <f>INDEX(Katalog!$B$4:$B$13,MATCH('Main Data'!E212,Katalog!$C$4:$C$13,0))</f>
        <v>Jaket Jeans</v>
      </c>
      <c r="G212" t="str">
        <f>VLOOKUP(E212,Katalog!$A$15:$B$25,2,0)</f>
        <v>Pakaian Pria</v>
      </c>
      <c r="H212" t="str">
        <f t="shared" si="112"/>
        <v>1</v>
      </c>
      <c r="I212" t="str">
        <f t="shared" si="113"/>
        <v>3</v>
      </c>
      <c r="J212" s="18">
        <f>VLOOKUP(E212,Katalog!$C$3:$F$13,2,0)</f>
        <v>150000</v>
      </c>
      <c r="K212" s="18">
        <f>VLOOKUP(E212,Katalog!$C$3:$F$13,3,0)</f>
        <v>70000</v>
      </c>
      <c r="L212" t="str">
        <f t="shared" si="114"/>
        <v>SW001</v>
      </c>
      <c r="M212" t="str">
        <f>IFERROR(INDEX(Katalog!$B$4:$B$13,MATCH('Main Data'!L212,Katalog!$C$4:$C$13,0)), "-")</f>
        <v>Flat Shoes</v>
      </c>
      <c r="N212" t="str">
        <f>IFERROR(VLOOKUP(L212,Katalog!$A$15:$B$25,2,0),"-")</f>
        <v>Sepatu Wanita</v>
      </c>
      <c r="O212" t="str">
        <f t="shared" si="115"/>
        <v>3</v>
      </c>
      <c r="P212" t="str">
        <f t="shared" si="116"/>
        <v>3</v>
      </c>
      <c r="Q212" s="18">
        <f>IFERROR(VLOOKUP(L212,Katalog!$C$3:$F$13,2,0),0)</f>
        <v>150000</v>
      </c>
      <c r="R212" s="18">
        <f>IFERROR(VLOOKUP(L212,Katalog!$C$3:$F$13,3,0),0)</f>
        <v>70000</v>
      </c>
      <c r="S212" t="str">
        <f t="shared" si="117"/>
        <v>-</v>
      </c>
      <c r="T212" t="str">
        <f>IFERROR(INDEX(Katalog!$B$4:$B$13,MATCH('Main Data'!S212,Katalog!$C$4:$C$13,0)),"-")</f>
        <v>-</v>
      </c>
      <c r="U212" t="str">
        <f>IFERROR(VLOOKUP(S212,Katalog!$A$15:$B$25,2,0),"-")</f>
        <v>-</v>
      </c>
      <c r="V212">
        <f t="shared" si="118"/>
        <v>0</v>
      </c>
      <c r="W212" s="28" t="str">
        <f t="shared" si="119"/>
        <v>-</v>
      </c>
      <c r="X212" s="18">
        <f>IFERROR(VLOOKUP(S212,Katalog!$C$3:$F$13,2,0),0)</f>
        <v>0</v>
      </c>
      <c r="Y212" s="30">
        <f>IFERROR(VLOOKUP(S212,Katalog!$C$3:$F$13,3,0),0)</f>
        <v>0</v>
      </c>
      <c r="Z212" s="2">
        <f t="shared" si="120"/>
        <v>4</v>
      </c>
      <c r="AA212" s="4">
        <f t="shared" si="121"/>
        <v>600000</v>
      </c>
      <c r="AB212" s="4">
        <f t="shared" si="122"/>
        <v>280000</v>
      </c>
      <c r="AC212" s="4" t="s">
        <v>10</v>
      </c>
      <c r="AD212" s="16">
        <f>IFERROR(VLOOKUP(AC212,'Kode Diskon'!$C$2:$D$9,2,0),0)</f>
        <v>0</v>
      </c>
      <c r="AE212" s="31">
        <f t="shared" si="123"/>
        <v>0</v>
      </c>
      <c r="AF212" s="31">
        <f t="shared" si="124"/>
        <v>600000</v>
      </c>
      <c r="AG212" s="31">
        <f t="shared" si="125"/>
        <v>320000</v>
      </c>
      <c r="AH212" s="31">
        <f t="shared" si="126"/>
        <v>320000</v>
      </c>
      <c r="AI212" s="4" t="s">
        <v>10</v>
      </c>
      <c r="AJ212" s="4" t="s">
        <v>9</v>
      </c>
      <c r="AK212" s="4" t="str">
        <f>IFERROR(VLOOKUP(AJ212,'Guide '!$A$13:$B$16,2,0),"-")</f>
        <v>TK</v>
      </c>
      <c r="AL212" s="4" t="s">
        <v>1006</v>
      </c>
      <c r="AM212" s="40">
        <v>45367</v>
      </c>
      <c r="AN212">
        <f t="shared" si="127"/>
        <v>29</v>
      </c>
      <c r="AO212">
        <f t="shared" si="128"/>
        <v>32</v>
      </c>
      <c r="AP212">
        <f t="shared" si="129"/>
        <v>40</v>
      </c>
      <c r="AQ212">
        <f t="shared" si="130"/>
        <v>43</v>
      </c>
      <c r="AR212" s="26">
        <f t="shared" si="131"/>
        <v>56</v>
      </c>
      <c r="AS212" s="26">
        <f t="shared" si="132"/>
        <v>63</v>
      </c>
      <c r="AT212" s="21">
        <f t="shared" si="133"/>
        <v>12</v>
      </c>
      <c r="AU212" s="21">
        <f t="shared" si="134"/>
        <v>19</v>
      </c>
      <c r="AV212">
        <f t="shared" si="135"/>
        <v>73</v>
      </c>
      <c r="AW212">
        <f t="shared" si="136"/>
        <v>76</v>
      </c>
      <c r="AX212">
        <f t="shared" si="137"/>
        <v>84</v>
      </c>
      <c r="AY212">
        <f t="shared" si="138"/>
        <v>87</v>
      </c>
      <c r="AZ212" t="str">
        <f t="shared" si="139"/>
        <v>-</v>
      </c>
      <c r="BA212" t="str">
        <f t="shared" si="140"/>
        <v>-</v>
      </c>
      <c r="BB212" t="str">
        <f t="shared" si="141"/>
        <v>-</v>
      </c>
      <c r="BC212" t="str">
        <f t="shared" si="142"/>
        <v>-</v>
      </c>
      <c r="BD212" s="29" t="str">
        <f t="shared" si="143"/>
        <v>-</v>
      </c>
      <c r="BE212" s="29" t="str">
        <f t="shared" si="144"/>
        <v>-</v>
      </c>
    </row>
    <row r="213" spans="1:57" ht="15" x14ac:dyDescent="0.2">
      <c r="A213" s="2">
        <v>592</v>
      </c>
      <c r="B213" s="2" t="str">
        <f t="shared" si="109"/>
        <v>0592</v>
      </c>
      <c r="C213" t="str">
        <f t="shared" si="110"/>
        <v>ORD-BL-0592-16/03/24</v>
      </c>
      <c r="D213" s="3" t="s">
        <v>90</v>
      </c>
      <c r="E213" t="str">
        <f t="shared" si="111"/>
        <v>PP001</v>
      </c>
      <c r="F213" t="str">
        <f>INDEX(Katalog!$B$4:$B$13,MATCH('Main Data'!E213,Katalog!$C$4:$C$13,0))</f>
        <v>Kaos Polo</v>
      </c>
      <c r="G213" t="str">
        <f>VLOOKUP(E213,Katalog!$A$15:$B$25,2,0)</f>
        <v>Pakaian Pria</v>
      </c>
      <c r="H213" t="str">
        <f t="shared" si="112"/>
        <v>1</v>
      </c>
      <c r="I213" t="str">
        <f t="shared" si="113"/>
        <v>1</v>
      </c>
      <c r="J213" s="18">
        <f>VLOOKUP(E213,Katalog!$C$3:$F$13,2,0)</f>
        <v>80000</v>
      </c>
      <c r="K213" s="18">
        <f>VLOOKUP(E213,Katalog!$C$3:$F$13,3,0)</f>
        <v>30000</v>
      </c>
      <c r="L213" t="str">
        <f t="shared" si="114"/>
        <v>-</v>
      </c>
      <c r="M213" t="str">
        <f>IFERROR(INDEX(Katalog!$B$4:$B$13,MATCH('Main Data'!L213,Katalog!$C$4:$C$13,0)), "-")</f>
        <v>-</v>
      </c>
      <c r="N213" t="str">
        <f>IFERROR(VLOOKUP(L213,Katalog!$A$15:$B$25,2,0),"-")</f>
        <v>-</v>
      </c>
      <c r="O213">
        <f t="shared" si="115"/>
        <v>0</v>
      </c>
      <c r="P213" t="str">
        <f t="shared" si="116"/>
        <v>-</v>
      </c>
      <c r="Q213" s="18">
        <f>IFERROR(VLOOKUP(L213,Katalog!$C$3:$F$13,2,0),0)</f>
        <v>0</v>
      </c>
      <c r="R213" s="18">
        <f>IFERROR(VLOOKUP(L213,Katalog!$C$3:$F$13,3,0),0)</f>
        <v>0</v>
      </c>
      <c r="S213" t="str">
        <f t="shared" si="117"/>
        <v>-</v>
      </c>
      <c r="T213" t="str">
        <f>IFERROR(INDEX(Katalog!$B$4:$B$13,MATCH('Main Data'!S213,Katalog!$C$4:$C$13,0)),"-")</f>
        <v>-</v>
      </c>
      <c r="U213" t="str">
        <f>IFERROR(VLOOKUP(S213,Katalog!$A$15:$B$25,2,0),"-")</f>
        <v>-</v>
      </c>
      <c r="V213">
        <f t="shared" si="118"/>
        <v>0</v>
      </c>
      <c r="W213" s="28" t="str">
        <f t="shared" si="119"/>
        <v>-</v>
      </c>
      <c r="X213" s="18">
        <f>IFERROR(VLOOKUP(S213,Katalog!$C$3:$F$13,2,0),0)</f>
        <v>0</v>
      </c>
      <c r="Y213" s="30">
        <f>IFERROR(VLOOKUP(S213,Katalog!$C$3:$F$13,3,0),0)</f>
        <v>0</v>
      </c>
      <c r="Z213" s="2">
        <f t="shared" si="120"/>
        <v>1</v>
      </c>
      <c r="AA213" s="4">
        <f t="shared" si="121"/>
        <v>80000</v>
      </c>
      <c r="AB213" s="4">
        <f t="shared" si="122"/>
        <v>30000</v>
      </c>
      <c r="AC213" s="4" t="s">
        <v>31</v>
      </c>
      <c r="AD213" s="16">
        <f>IFERROR(VLOOKUP(AC213,'Kode Diskon'!$C$2:$D$9,2,0),0)</f>
        <v>0.15</v>
      </c>
      <c r="AE213" s="31">
        <f t="shared" si="123"/>
        <v>12000</v>
      </c>
      <c r="AF213" s="31">
        <f t="shared" si="124"/>
        <v>68000</v>
      </c>
      <c r="AG213" s="31">
        <f t="shared" si="125"/>
        <v>50000</v>
      </c>
      <c r="AH213" s="31">
        <f t="shared" si="126"/>
        <v>38000</v>
      </c>
      <c r="AI213" s="4" t="s">
        <v>8</v>
      </c>
      <c r="AJ213" s="4" t="s">
        <v>11</v>
      </c>
      <c r="AK213" s="4" t="str">
        <f>IFERROR(VLOOKUP(AJ213,'Guide '!$A$13:$B$16,2,0),"-")</f>
        <v>BL</v>
      </c>
      <c r="AL213" s="4" t="s">
        <v>1006</v>
      </c>
      <c r="AM213" s="40">
        <v>45367</v>
      </c>
      <c r="AN213">
        <f t="shared" si="127"/>
        <v>29</v>
      </c>
      <c r="AO213">
        <f t="shared" si="128"/>
        <v>32</v>
      </c>
      <c r="AP213">
        <f t="shared" si="129"/>
        <v>40</v>
      </c>
      <c r="AQ213">
        <f t="shared" si="130"/>
        <v>43</v>
      </c>
      <c r="AR213" s="26" t="str">
        <f t="shared" si="131"/>
        <v>-</v>
      </c>
      <c r="AS213" s="26" t="str">
        <f t="shared" si="132"/>
        <v>-</v>
      </c>
      <c r="AT213" s="21">
        <f t="shared" si="133"/>
        <v>12</v>
      </c>
      <c r="AU213" s="21">
        <f t="shared" si="134"/>
        <v>19</v>
      </c>
      <c r="AV213" t="str">
        <f t="shared" si="135"/>
        <v>-</v>
      </c>
      <c r="AW213" t="str">
        <f t="shared" si="136"/>
        <v>-</v>
      </c>
      <c r="AX213" t="str">
        <f t="shared" si="137"/>
        <v>-</v>
      </c>
      <c r="AY213" t="str">
        <f t="shared" si="138"/>
        <v>-</v>
      </c>
      <c r="AZ213" t="str">
        <f t="shared" si="139"/>
        <v>-</v>
      </c>
      <c r="BA213" t="str">
        <f t="shared" si="140"/>
        <v>-</v>
      </c>
      <c r="BB213" t="str">
        <f t="shared" si="141"/>
        <v>-</v>
      </c>
      <c r="BC213" t="str">
        <f t="shared" si="142"/>
        <v>-</v>
      </c>
      <c r="BD213" s="29" t="str">
        <f t="shared" si="143"/>
        <v>-</v>
      </c>
      <c r="BE213" s="29" t="str">
        <f t="shared" si="144"/>
        <v>-</v>
      </c>
    </row>
    <row r="214" spans="1:57" ht="15" x14ac:dyDescent="0.2">
      <c r="A214" s="2">
        <v>973</v>
      </c>
      <c r="B214" s="2" t="str">
        <f t="shared" si="109"/>
        <v>0973</v>
      </c>
      <c r="C214" t="str">
        <f t="shared" si="110"/>
        <v>ORD-BL-0973-16/03/24</v>
      </c>
      <c r="D214" s="3" t="s">
        <v>186</v>
      </c>
      <c r="E214" t="str">
        <f t="shared" si="111"/>
        <v>PU001</v>
      </c>
      <c r="F214" t="str">
        <f>INDEX(Katalog!$B$4:$B$13,MATCH('Main Data'!E214,Katalog!$C$4:$C$13,0))</f>
        <v>Jaket Hoodie</v>
      </c>
      <c r="G214" t="str">
        <f>VLOOKUP(E214,Katalog!$A$15:$B$25,2,0)</f>
        <v>Pakaian Unisex</v>
      </c>
      <c r="H214" t="str">
        <f t="shared" si="112"/>
        <v>2</v>
      </c>
      <c r="I214" t="str">
        <f t="shared" si="113"/>
        <v>3</v>
      </c>
      <c r="J214" s="18">
        <f>VLOOKUP(E214,Katalog!$C$3:$F$13,2,0)</f>
        <v>160000</v>
      </c>
      <c r="K214" s="18">
        <f>VLOOKUP(E214,Katalog!$C$3:$F$13,3,0)</f>
        <v>60000</v>
      </c>
      <c r="L214" t="str">
        <f t="shared" si="114"/>
        <v>-</v>
      </c>
      <c r="M214" t="str">
        <f>IFERROR(INDEX(Katalog!$B$4:$B$13,MATCH('Main Data'!L214,Katalog!$C$4:$C$13,0)), "-")</f>
        <v>-</v>
      </c>
      <c r="N214" t="str">
        <f>IFERROR(VLOOKUP(L214,Katalog!$A$15:$B$25,2,0),"-")</f>
        <v>-</v>
      </c>
      <c r="O214">
        <f t="shared" si="115"/>
        <v>0</v>
      </c>
      <c r="P214" t="str">
        <f t="shared" si="116"/>
        <v>-</v>
      </c>
      <c r="Q214" s="18">
        <f>IFERROR(VLOOKUP(L214,Katalog!$C$3:$F$13,2,0),0)</f>
        <v>0</v>
      </c>
      <c r="R214" s="18">
        <f>IFERROR(VLOOKUP(L214,Katalog!$C$3:$F$13,3,0),0)</f>
        <v>0</v>
      </c>
      <c r="S214" t="str">
        <f t="shared" si="117"/>
        <v>-</v>
      </c>
      <c r="T214" t="str">
        <f>IFERROR(INDEX(Katalog!$B$4:$B$13,MATCH('Main Data'!S214,Katalog!$C$4:$C$13,0)),"-")</f>
        <v>-</v>
      </c>
      <c r="U214" t="str">
        <f>IFERROR(VLOOKUP(S214,Katalog!$A$15:$B$25,2,0),"-")</f>
        <v>-</v>
      </c>
      <c r="V214">
        <f t="shared" si="118"/>
        <v>0</v>
      </c>
      <c r="W214" s="28" t="str">
        <f t="shared" si="119"/>
        <v>-</v>
      </c>
      <c r="X214" s="18">
        <f>IFERROR(VLOOKUP(S214,Katalog!$C$3:$F$13,2,0),0)</f>
        <v>0</v>
      </c>
      <c r="Y214" s="30">
        <f>IFERROR(VLOOKUP(S214,Katalog!$C$3:$F$13,3,0),0)</f>
        <v>0</v>
      </c>
      <c r="Z214" s="2">
        <f t="shared" si="120"/>
        <v>2</v>
      </c>
      <c r="AA214" s="4">
        <f t="shared" si="121"/>
        <v>320000</v>
      </c>
      <c r="AB214" s="4">
        <f t="shared" si="122"/>
        <v>120000</v>
      </c>
      <c r="AC214" s="4" t="s">
        <v>31</v>
      </c>
      <c r="AD214" s="16">
        <f>IFERROR(VLOOKUP(AC214,'Kode Diskon'!$C$2:$D$9,2,0),0)</f>
        <v>0.15</v>
      </c>
      <c r="AE214" s="31">
        <f t="shared" si="123"/>
        <v>48000</v>
      </c>
      <c r="AF214" s="31">
        <f t="shared" si="124"/>
        <v>272000</v>
      </c>
      <c r="AG214" s="31">
        <f t="shared" si="125"/>
        <v>200000</v>
      </c>
      <c r="AH214" s="31">
        <f t="shared" si="126"/>
        <v>152000</v>
      </c>
      <c r="AI214" s="4" t="s">
        <v>8</v>
      </c>
      <c r="AJ214" s="4" t="s">
        <v>11</v>
      </c>
      <c r="AK214" s="4" t="str">
        <f>IFERROR(VLOOKUP(AJ214,'Guide '!$A$13:$B$16,2,0),"-")</f>
        <v>BL</v>
      </c>
      <c r="AL214" s="4" t="s">
        <v>924</v>
      </c>
      <c r="AM214" s="40">
        <v>45367</v>
      </c>
      <c r="AN214">
        <f t="shared" si="127"/>
        <v>29</v>
      </c>
      <c r="AO214">
        <f t="shared" si="128"/>
        <v>32</v>
      </c>
      <c r="AP214">
        <f t="shared" si="129"/>
        <v>40</v>
      </c>
      <c r="AQ214">
        <f t="shared" si="130"/>
        <v>43</v>
      </c>
      <c r="AR214" s="26" t="str">
        <f t="shared" si="131"/>
        <v>-</v>
      </c>
      <c r="AS214" s="26" t="str">
        <f t="shared" si="132"/>
        <v>-</v>
      </c>
      <c r="AT214" s="21">
        <f t="shared" si="133"/>
        <v>12</v>
      </c>
      <c r="AU214" s="21">
        <f t="shared" si="134"/>
        <v>19</v>
      </c>
      <c r="AV214" t="str">
        <f t="shared" si="135"/>
        <v>-</v>
      </c>
      <c r="AW214" t="str">
        <f t="shared" si="136"/>
        <v>-</v>
      </c>
      <c r="AX214" t="str">
        <f t="shared" si="137"/>
        <v>-</v>
      </c>
      <c r="AY214" t="str">
        <f t="shared" si="138"/>
        <v>-</v>
      </c>
      <c r="AZ214" t="str">
        <f t="shared" si="139"/>
        <v>-</v>
      </c>
      <c r="BA214" t="str">
        <f t="shared" si="140"/>
        <v>-</v>
      </c>
      <c r="BB214" t="str">
        <f t="shared" si="141"/>
        <v>-</v>
      </c>
      <c r="BC214" t="str">
        <f t="shared" si="142"/>
        <v>-</v>
      </c>
      <c r="BD214" s="29" t="str">
        <f t="shared" si="143"/>
        <v>-</v>
      </c>
      <c r="BE214" s="29" t="str">
        <f t="shared" si="144"/>
        <v>-</v>
      </c>
    </row>
    <row r="215" spans="1:57" ht="15" x14ac:dyDescent="0.2">
      <c r="A215" s="2">
        <v>21</v>
      </c>
      <c r="B215" s="2" t="str">
        <f t="shared" si="109"/>
        <v>0021</v>
      </c>
      <c r="C215" t="str">
        <f t="shared" si="110"/>
        <v>ORD-SP-0021-17/03/24</v>
      </c>
      <c r="D215" s="3" t="s">
        <v>95</v>
      </c>
      <c r="E215" t="str">
        <f t="shared" si="111"/>
        <v>PW002</v>
      </c>
      <c r="F215" t="str">
        <f>INDEX(Katalog!$B$4:$B$13,MATCH('Main Data'!E215,Katalog!$C$4:$C$13,0))</f>
        <v>Blouse</v>
      </c>
      <c r="G215" t="str">
        <f>VLOOKUP(E215,Katalog!$A$15:$B$25,2,0)</f>
        <v>Pakaian Wanita</v>
      </c>
      <c r="H215" t="str">
        <f t="shared" si="112"/>
        <v>2</v>
      </c>
      <c r="I215" t="str">
        <f t="shared" si="113"/>
        <v>5</v>
      </c>
      <c r="J215" s="18">
        <f>VLOOKUP(E215,Katalog!$C$3:$F$13,2,0)</f>
        <v>125000</v>
      </c>
      <c r="K215" s="18">
        <f>VLOOKUP(E215,Katalog!$C$3:$F$13,3,0)</f>
        <v>50000</v>
      </c>
      <c r="L215" t="str">
        <f t="shared" si="114"/>
        <v>SP002</v>
      </c>
      <c r="M215" t="str">
        <f>IFERROR(INDEX(Katalog!$B$4:$B$13,MATCH('Main Data'!L215,Katalog!$C$4:$C$13,0)), "-")</f>
        <v>Sandal Slip On</v>
      </c>
      <c r="N215" t="str">
        <f>IFERROR(VLOOKUP(L215,Katalog!$A$15:$B$25,2,0),"-")</f>
        <v>Sepatu Pria</v>
      </c>
      <c r="O215" t="str">
        <f t="shared" si="115"/>
        <v>1</v>
      </c>
      <c r="P215" t="str">
        <f t="shared" si="116"/>
        <v>2</v>
      </c>
      <c r="Q215" s="18">
        <f>IFERROR(VLOOKUP(L215,Katalog!$C$3:$F$13,2,0),0)</f>
        <v>120000</v>
      </c>
      <c r="R215" s="18">
        <f>IFERROR(VLOOKUP(L215,Katalog!$C$3:$F$13,3,0),0)</f>
        <v>60000</v>
      </c>
      <c r="S215" t="str">
        <f t="shared" si="117"/>
        <v>-</v>
      </c>
      <c r="T215" t="str">
        <f>IFERROR(INDEX(Katalog!$B$4:$B$13,MATCH('Main Data'!S215,Katalog!$C$4:$C$13,0)),"-")</f>
        <v>-</v>
      </c>
      <c r="U215" t="str">
        <f>IFERROR(VLOOKUP(S215,Katalog!$A$15:$B$25,2,0),"-")</f>
        <v>-</v>
      </c>
      <c r="V215">
        <f t="shared" si="118"/>
        <v>0</v>
      </c>
      <c r="W215" s="28" t="str">
        <f t="shared" si="119"/>
        <v>-</v>
      </c>
      <c r="X215" s="18">
        <f>IFERROR(VLOOKUP(S215,Katalog!$C$3:$F$13,2,0),0)</f>
        <v>0</v>
      </c>
      <c r="Y215" s="30">
        <f>IFERROR(VLOOKUP(S215,Katalog!$C$3:$F$13,3,0),0)</f>
        <v>0</v>
      </c>
      <c r="Z215" s="2">
        <f t="shared" si="120"/>
        <v>3</v>
      </c>
      <c r="AA215" s="4">
        <f t="shared" si="121"/>
        <v>370000</v>
      </c>
      <c r="AB215" s="4">
        <f t="shared" si="122"/>
        <v>160000</v>
      </c>
      <c r="AC215" s="4" t="s">
        <v>5</v>
      </c>
      <c r="AD215" s="16">
        <f>IFERROR(VLOOKUP(AC215,'Kode Diskon'!$C$2:$D$9,2,0),0)</f>
        <v>0.1</v>
      </c>
      <c r="AE215" s="31">
        <f t="shared" si="123"/>
        <v>37000</v>
      </c>
      <c r="AF215" s="31">
        <f t="shared" si="124"/>
        <v>333000</v>
      </c>
      <c r="AG215" s="31">
        <f t="shared" si="125"/>
        <v>210000</v>
      </c>
      <c r="AH215" s="31">
        <f t="shared" si="126"/>
        <v>173000</v>
      </c>
      <c r="AI215" s="4" t="s">
        <v>28</v>
      </c>
      <c r="AJ215" s="4" t="s">
        <v>6</v>
      </c>
      <c r="AK215" s="4" t="str">
        <f>IFERROR(VLOOKUP(AJ215,'Guide '!$A$13:$B$16,2,0),"-")</f>
        <v>SP</v>
      </c>
      <c r="AL215" s="4" t="s">
        <v>925</v>
      </c>
      <c r="AM215" s="40">
        <v>45368</v>
      </c>
      <c r="AN215">
        <f t="shared" si="127"/>
        <v>29</v>
      </c>
      <c r="AO215">
        <f t="shared" si="128"/>
        <v>32</v>
      </c>
      <c r="AP215">
        <f t="shared" si="129"/>
        <v>40</v>
      </c>
      <c r="AQ215">
        <f t="shared" si="130"/>
        <v>43</v>
      </c>
      <c r="AR215" s="26">
        <f t="shared" si="131"/>
        <v>56</v>
      </c>
      <c r="AS215" s="26">
        <f t="shared" si="132"/>
        <v>63</v>
      </c>
      <c r="AT215" s="21">
        <f t="shared" si="133"/>
        <v>12</v>
      </c>
      <c r="AU215" s="21">
        <f t="shared" si="134"/>
        <v>19</v>
      </c>
      <c r="AV215">
        <f t="shared" si="135"/>
        <v>73</v>
      </c>
      <c r="AW215">
        <f t="shared" si="136"/>
        <v>76</v>
      </c>
      <c r="AX215">
        <f t="shared" si="137"/>
        <v>84</v>
      </c>
      <c r="AY215">
        <f t="shared" si="138"/>
        <v>87</v>
      </c>
      <c r="AZ215" t="str">
        <f t="shared" si="139"/>
        <v>-</v>
      </c>
      <c r="BA215" t="str">
        <f t="shared" si="140"/>
        <v>-</v>
      </c>
      <c r="BB215" t="str">
        <f t="shared" si="141"/>
        <v>-</v>
      </c>
      <c r="BC215" t="str">
        <f t="shared" si="142"/>
        <v>-</v>
      </c>
      <c r="BD215" s="29" t="str">
        <f t="shared" si="143"/>
        <v>-</v>
      </c>
      <c r="BE215" s="29" t="str">
        <f t="shared" si="144"/>
        <v>-</v>
      </c>
    </row>
    <row r="216" spans="1:57" ht="15" x14ac:dyDescent="0.2">
      <c r="A216" s="2">
        <v>55</v>
      </c>
      <c r="B216" s="2" t="str">
        <f t="shared" si="109"/>
        <v>0055</v>
      </c>
      <c r="C216" t="str">
        <f t="shared" si="110"/>
        <v>ORD-SP-0055-17/03/24</v>
      </c>
      <c r="D216" s="3" t="s">
        <v>129</v>
      </c>
      <c r="E216" t="str">
        <f t="shared" si="111"/>
        <v>SP001</v>
      </c>
      <c r="F216" t="str">
        <f>INDEX(Katalog!$B$4:$B$13,MATCH('Main Data'!E216,Katalog!$C$4:$C$13,0))</f>
        <v>Sneakers</v>
      </c>
      <c r="G216" t="str">
        <f>VLOOKUP(E216,Katalog!$A$15:$B$25,2,0)</f>
        <v>Sepatu Pria</v>
      </c>
      <c r="H216" t="str">
        <f t="shared" si="112"/>
        <v>2</v>
      </c>
      <c r="I216" t="str">
        <f t="shared" si="113"/>
        <v>1</v>
      </c>
      <c r="J216" s="18">
        <f>VLOOKUP(E216,Katalog!$C$3:$F$13,2,0)</f>
        <v>300000</v>
      </c>
      <c r="K216" s="18">
        <f>VLOOKUP(E216,Katalog!$C$3:$F$13,3,0)</f>
        <v>100000</v>
      </c>
      <c r="L216" t="str">
        <f t="shared" si="114"/>
        <v>-</v>
      </c>
      <c r="M216" t="str">
        <f>IFERROR(INDEX(Katalog!$B$4:$B$13,MATCH('Main Data'!L216,Katalog!$C$4:$C$13,0)), "-")</f>
        <v>-</v>
      </c>
      <c r="N216" t="str">
        <f>IFERROR(VLOOKUP(L216,Katalog!$A$15:$B$25,2,0),"-")</f>
        <v>-</v>
      </c>
      <c r="O216">
        <f t="shared" si="115"/>
        <v>0</v>
      </c>
      <c r="P216" t="str">
        <f t="shared" si="116"/>
        <v>-</v>
      </c>
      <c r="Q216" s="18">
        <f>IFERROR(VLOOKUP(L216,Katalog!$C$3:$F$13,2,0),0)</f>
        <v>0</v>
      </c>
      <c r="R216" s="18">
        <f>IFERROR(VLOOKUP(L216,Katalog!$C$3:$F$13,3,0),0)</f>
        <v>0</v>
      </c>
      <c r="S216" t="str">
        <f t="shared" si="117"/>
        <v>-</v>
      </c>
      <c r="T216" t="str">
        <f>IFERROR(INDEX(Katalog!$B$4:$B$13,MATCH('Main Data'!S216,Katalog!$C$4:$C$13,0)),"-")</f>
        <v>-</v>
      </c>
      <c r="U216" t="str">
        <f>IFERROR(VLOOKUP(S216,Katalog!$A$15:$B$25,2,0),"-")</f>
        <v>-</v>
      </c>
      <c r="V216">
        <f t="shared" si="118"/>
        <v>0</v>
      </c>
      <c r="W216" s="28" t="str">
        <f t="shared" si="119"/>
        <v>-</v>
      </c>
      <c r="X216" s="18">
        <f>IFERROR(VLOOKUP(S216,Katalog!$C$3:$F$13,2,0),0)</f>
        <v>0</v>
      </c>
      <c r="Y216" s="30">
        <f>IFERROR(VLOOKUP(S216,Katalog!$C$3:$F$13,3,0),0)</f>
        <v>0</v>
      </c>
      <c r="Z216" s="2">
        <f t="shared" si="120"/>
        <v>2</v>
      </c>
      <c r="AA216" s="4">
        <f t="shared" si="121"/>
        <v>600000</v>
      </c>
      <c r="AB216" s="4">
        <f t="shared" si="122"/>
        <v>200000</v>
      </c>
      <c r="AC216" s="4" t="s">
        <v>5</v>
      </c>
      <c r="AD216" s="16">
        <f>IFERROR(VLOOKUP(AC216,'Kode Diskon'!$C$2:$D$9,2,0),0)</f>
        <v>0.1</v>
      </c>
      <c r="AE216" s="31">
        <f t="shared" si="123"/>
        <v>60000</v>
      </c>
      <c r="AF216" s="31">
        <f t="shared" si="124"/>
        <v>540000</v>
      </c>
      <c r="AG216" s="31">
        <f t="shared" si="125"/>
        <v>400000</v>
      </c>
      <c r="AH216" s="31">
        <f t="shared" si="126"/>
        <v>340000</v>
      </c>
      <c r="AI216" s="4" t="s">
        <v>28</v>
      </c>
      <c r="AJ216" s="4" t="s">
        <v>6</v>
      </c>
      <c r="AK216" s="4" t="str">
        <f>IFERROR(VLOOKUP(AJ216,'Guide '!$A$13:$B$16,2,0),"-")</f>
        <v>SP</v>
      </c>
      <c r="AL216" s="4" t="s">
        <v>925</v>
      </c>
      <c r="AM216" s="40">
        <v>45368</v>
      </c>
      <c r="AN216">
        <f t="shared" si="127"/>
        <v>29</v>
      </c>
      <c r="AO216">
        <f t="shared" si="128"/>
        <v>32</v>
      </c>
      <c r="AP216">
        <f t="shared" si="129"/>
        <v>40</v>
      </c>
      <c r="AQ216">
        <f t="shared" si="130"/>
        <v>43</v>
      </c>
      <c r="AR216" s="26" t="str">
        <f t="shared" si="131"/>
        <v>-</v>
      </c>
      <c r="AS216" s="26" t="str">
        <f t="shared" si="132"/>
        <v>-</v>
      </c>
      <c r="AT216" s="21">
        <f t="shared" si="133"/>
        <v>12</v>
      </c>
      <c r="AU216" s="21">
        <f t="shared" si="134"/>
        <v>19</v>
      </c>
      <c r="AV216" t="str">
        <f t="shared" si="135"/>
        <v>-</v>
      </c>
      <c r="AW216" t="str">
        <f t="shared" si="136"/>
        <v>-</v>
      </c>
      <c r="AX216" t="str">
        <f t="shared" si="137"/>
        <v>-</v>
      </c>
      <c r="AY216" t="str">
        <f t="shared" si="138"/>
        <v>-</v>
      </c>
      <c r="AZ216" t="str">
        <f t="shared" si="139"/>
        <v>-</v>
      </c>
      <c r="BA216" t="str">
        <f t="shared" si="140"/>
        <v>-</v>
      </c>
      <c r="BB216" t="str">
        <f t="shared" si="141"/>
        <v>-</v>
      </c>
      <c r="BC216" t="str">
        <f t="shared" si="142"/>
        <v>-</v>
      </c>
      <c r="BD216" s="29" t="str">
        <f t="shared" si="143"/>
        <v>-</v>
      </c>
      <c r="BE216" s="29" t="str">
        <f t="shared" si="144"/>
        <v>-</v>
      </c>
    </row>
    <row r="217" spans="1:57" ht="15" x14ac:dyDescent="0.2">
      <c r="A217" s="2">
        <v>323</v>
      </c>
      <c r="B217" s="2" t="str">
        <f t="shared" si="109"/>
        <v>0323</v>
      </c>
      <c r="C217" t="str">
        <f t="shared" si="110"/>
        <v>ORD-TK-0323-19/03/24</v>
      </c>
      <c r="D217" s="3" t="s">
        <v>377</v>
      </c>
      <c r="E217" t="str">
        <f t="shared" si="111"/>
        <v>PU001</v>
      </c>
      <c r="F217" t="str">
        <f>INDEX(Katalog!$B$4:$B$13,MATCH('Main Data'!E217,Katalog!$C$4:$C$13,0))</f>
        <v>Jaket Hoodie</v>
      </c>
      <c r="G217" t="str">
        <f>VLOOKUP(E217,Katalog!$A$15:$B$25,2,0)</f>
        <v>Pakaian Unisex</v>
      </c>
      <c r="H217" t="str">
        <f t="shared" si="112"/>
        <v>3</v>
      </c>
      <c r="I217" t="str">
        <f t="shared" si="113"/>
        <v>1</v>
      </c>
      <c r="J217" s="18">
        <f>VLOOKUP(E217,Katalog!$C$3:$F$13,2,0)</f>
        <v>160000</v>
      </c>
      <c r="K217" s="18">
        <f>VLOOKUP(E217,Katalog!$C$3:$F$13,3,0)</f>
        <v>60000</v>
      </c>
      <c r="L217" t="str">
        <f t="shared" si="114"/>
        <v>-</v>
      </c>
      <c r="M217" t="str">
        <f>IFERROR(INDEX(Katalog!$B$4:$B$13,MATCH('Main Data'!L217,Katalog!$C$4:$C$13,0)), "-")</f>
        <v>-</v>
      </c>
      <c r="N217" t="str">
        <f>IFERROR(VLOOKUP(L217,Katalog!$A$15:$B$25,2,0),"-")</f>
        <v>-</v>
      </c>
      <c r="O217">
        <f t="shared" si="115"/>
        <v>0</v>
      </c>
      <c r="P217" t="str">
        <f t="shared" si="116"/>
        <v>-</v>
      </c>
      <c r="Q217" s="18">
        <f>IFERROR(VLOOKUP(L217,Katalog!$C$3:$F$13,2,0),0)</f>
        <v>0</v>
      </c>
      <c r="R217" s="18">
        <f>IFERROR(VLOOKUP(L217,Katalog!$C$3:$F$13,3,0),0)</f>
        <v>0</v>
      </c>
      <c r="S217" t="str">
        <f t="shared" si="117"/>
        <v>-</v>
      </c>
      <c r="T217" t="str">
        <f>IFERROR(INDEX(Katalog!$B$4:$B$13,MATCH('Main Data'!S217,Katalog!$C$4:$C$13,0)),"-")</f>
        <v>-</v>
      </c>
      <c r="U217" t="str">
        <f>IFERROR(VLOOKUP(S217,Katalog!$A$15:$B$25,2,0),"-")</f>
        <v>-</v>
      </c>
      <c r="V217">
        <f t="shared" si="118"/>
        <v>0</v>
      </c>
      <c r="W217" s="28" t="str">
        <f t="shared" si="119"/>
        <v>-</v>
      </c>
      <c r="X217" s="18">
        <f>IFERROR(VLOOKUP(S217,Katalog!$C$3:$F$13,2,0),0)</f>
        <v>0</v>
      </c>
      <c r="Y217" s="30">
        <f>IFERROR(VLOOKUP(S217,Katalog!$C$3:$F$13,3,0),0)</f>
        <v>0</v>
      </c>
      <c r="Z217" s="2">
        <f t="shared" si="120"/>
        <v>3</v>
      </c>
      <c r="AA217" s="4">
        <f t="shared" si="121"/>
        <v>480000</v>
      </c>
      <c r="AB217" s="4">
        <f t="shared" si="122"/>
        <v>180000</v>
      </c>
      <c r="AC217" s="4" t="s">
        <v>30</v>
      </c>
      <c r="AD217" s="16">
        <f>IFERROR(VLOOKUP(AC217,'Kode Diskon'!$C$2:$D$9,2,0),0)</f>
        <v>0.1</v>
      </c>
      <c r="AE217" s="31">
        <f t="shared" si="123"/>
        <v>48000</v>
      </c>
      <c r="AF217" s="31">
        <f t="shared" si="124"/>
        <v>432000</v>
      </c>
      <c r="AG217" s="31">
        <f t="shared" si="125"/>
        <v>300000</v>
      </c>
      <c r="AH217" s="31">
        <f t="shared" si="126"/>
        <v>252000</v>
      </c>
      <c r="AI217" s="4" t="s">
        <v>8</v>
      </c>
      <c r="AJ217" s="4" t="s">
        <v>9</v>
      </c>
      <c r="AK217" s="4" t="str">
        <f>IFERROR(VLOOKUP(AJ217,'Guide '!$A$13:$B$16,2,0),"-")</f>
        <v>TK</v>
      </c>
      <c r="AL217" s="4" t="s">
        <v>925</v>
      </c>
      <c r="AM217" s="40">
        <v>45370</v>
      </c>
      <c r="AN217">
        <f t="shared" si="127"/>
        <v>29</v>
      </c>
      <c r="AO217">
        <f t="shared" si="128"/>
        <v>32</v>
      </c>
      <c r="AP217">
        <f t="shared" si="129"/>
        <v>40</v>
      </c>
      <c r="AQ217">
        <f t="shared" si="130"/>
        <v>43</v>
      </c>
      <c r="AR217" s="26" t="str">
        <f t="shared" si="131"/>
        <v>-</v>
      </c>
      <c r="AS217" s="26" t="str">
        <f t="shared" si="132"/>
        <v>-</v>
      </c>
      <c r="AT217" s="21">
        <f t="shared" si="133"/>
        <v>12</v>
      </c>
      <c r="AU217" s="21">
        <f t="shared" si="134"/>
        <v>19</v>
      </c>
      <c r="AV217" t="str">
        <f t="shared" si="135"/>
        <v>-</v>
      </c>
      <c r="AW217" t="str">
        <f t="shared" si="136"/>
        <v>-</v>
      </c>
      <c r="AX217" t="str">
        <f t="shared" si="137"/>
        <v>-</v>
      </c>
      <c r="AY217" t="str">
        <f t="shared" si="138"/>
        <v>-</v>
      </c>
      <c r="AZ217" t="str">
        <f t="shared" si="139"/>
        <v>-</v>
      </c>
      <c r="BA217" t="str">
        <f t="shared" si="140"/>
        <v>-</v>
      </c>
      <c r="BB217" t="str">
        <f t="shared" si="141"/>
        <v>-</v>
      </c>
      <c r="BC217" t="str">
        <f t="shared" si="142"/>
        <v>-</v>
      </c>
      <c r="BD217" s="29" t="str">
        <f t="shared" si="143"/>
        <v>-</v>
      </c>
      <c r="BE217" s="29" t="str">
        <f t="shared" si="144"/>
        <v>-</v>
      </c>
    </row>
    <row r="218" spans="1:57" ht="15" x14ac:dyDescent="0.2">
      <c r="A218" s="2">
        <v>601</v>
      </c>
      <c r="B218" s="2" t="str">
        <f t="shared" si="109"/>
        <v>0601</v>
      </c>
      <c r="C218" t="str">
        <f t="shared" si="110"/>
        <v>ORD-SP-0601-19/03/24</v>
      </c>
      <c r="D218" s="3" t="s">
        <v>613</v>
      </c>
      <c r="E218" t="str">
        <f t="shared" si="111"/>
        <v>PW003</v>
      </c>
      <c r="F218" t="str">
        <f>INDEX(Katalog!$B$4:$B$13,MATCH('Main Data'!E218,Katalog!$C$4:$C$13,0))</f>
        <v>Kaftan</v>
      </c>
      <c r="G218" t="str">
        <f>VLOOKUP(E218,Katalog!$A$15:$B$25,2,0)</f>
        <v>Pakaian Wanita</v>
      </c>
      <c r="H218" t="str">
        <f t="shared" si="112"/>
        <v>1</v>
      </c>
      <c r="I218" t="str">
        <f t="shared" si="113"/>
        <v>1</v>
      </c>
      <c r="J218" s="18">
        <f>VLOOKUP(E218,Katalog!$C$3:$F$13,2,0)</f>
        <v>200000</v>
      </c>
      <c r="K218" s="18">
        <f>VLOOKUP(E218,Katalog!$C$3:$F$13,3,0)</f>
        <v>100000</v>
      </c>
      <c r="L218" t="str">
        <f t="shared" si="114"/>
        <v>PW001</v>
      </c>
      <c r="M218" t="str">
        <f>IFERROR(INDEX(Katalog!$B$4:$B$13,MATCH('Main Data'!L218,Katalog!$C$4:$C$13,0)), "-")</f>
        <v>Dress</v>
      </c>
      <c r="N218" t="str">
        <f>IFERROR(VLOOKUP(L218,Katalog!$A$15:$B$25,2,0),"-")</f>
        <v>Pakaian Wanita</v>
      </c>
      <c r="O218" t="str">
        <f t="shared" si="115"/>
        <v>2</v>
      </c>
      <c r="P218" t="str">
        <f t="shared" si="116"/>
        <v>3</v>
      </c>
      <c r="Q218" s="18">
        <f>IFERROR(VLOOKUP(L218,Katalog!$C$3:$F$13,2,0),0)</f>
        <v>150000</v>
      </c>
      <c r="R218" s="18">
        <f>IFERROR(VLOOKUP(L218,Katalog!$C$3:$F$13,3,0),0)</f>
        <v>55000</v>
      </c>
      <c r="S218" t="str">
        <f t="shared" si="117"/>
        <v>PP001</v>
      </c>
      <c r="T218" t="str">
        <f>IFERROR(INDEX(Katalog!$B$4:$B$13,MATCH('Main Data'!S218,Katalog!$C$4:$C$13,0)),"-")</f>
        <v>Kaos Polo</v>
      </c>
      <c r="U218" t="str">
        <f>IFERROR(VLOOKUP(S218,Katalog!$A$15:$B$25,2,0),"-")</f>
        <v>Pakaian Pria</v>
      </c>
      <c r="V218" t="str">
        <f t="shared" si="118"/>
        <v>3</v>
      </c>
      <c r="W218" s="28" t="str">
        <f t="shared" si="119"/>
        <v>4</v>
      </c>
      <c r="X218" s="18">
        <f>IFERROR(VLOOKUP(S218,Katalog!$C$3:$F$13,2,0),0)</f>
        <v>80000</v>
      </c>
      <c r="Y218" s="30">
        <f>IFERROR(VLOOKUP(S218,Katalog!$C$3:$F$13,3,0),0)</f>
        <v>30000</v>
      </c>
      <c r="Z218" s="2">
        <f t="shared" si="120"/>
        <v>6</v>
      </c>
      <c r="AA218" s="4">
        <f t="shared" si="121"/>
        <v>740000</v>
      </c>
      <c r="AB218" s="4">
        <f t="shared" si="122"/>
        <v>300000</v>
      </c>
      <c r="AC218" s="4" t="s">
        <v>7</v>
      </c>
      <c r="AD218" s="16">
        <f>IFERROR(VLOOKUP(AC218,'Kode Diskon'!$C$2:$D$9,2,0),0)</f>
        <v>0.2</v>
      </c>
      <c r="AE218" s="31">
        <f t="shared" si="123"/>
        <v>148000</v>
      </c>
      <c r="AF218" s="31">
        <f t="shared" si="124"/>
        <v>592000</v>
      </c>
      <c r="AG218" s="31">
        <f t="shared" si="125"/>
        <v>440000</v>
      </c>
      <c r="AH218" s="31">
        <f t="shared" si="126"/>
        <v>292000</v>
      </c>
      <c r="AI218" s="4" t="s">
        <v>8</v>
      </c>
      <c r="AJ218" s="4" t="s">
        <v>6</v>
      </c>
      <c r="AK218" s="4" t="str">
        <f>IFERROR(VLOOKUP(AJ218,'Guide '!$A$13:$B$16,2,0),"-")</f>
        <v>SP</v>
      </c>
      <c r="AL218" s="4" t="s">
        <v>925</v>
      </c>
      <c r="AM218" s="40">
        <v>45370</v>
      </c>
      <c r="AN218">
        <f t="shared" si="127"/>
        <v>29</v>
      </c>
      <c r="AO218">
        <f t="shared" si="128"/>
        <v>32</v>
      </c>
      <c r="AP218">
        <f t="shared" si="129"/>
        <v>40</v>
      </c>
      <c r="AQ218">
        <f t="shared" si="130"/>
        <v>43</v>
      </c>
      <c r="AR218" s="26">
        <f t="shared" si="131"/>
        <v>56</v>
      </c>
      <c r="AS218" s="26">
        <f t="shared" si="132"/>
        <v>63</v>
      </c>
      <c r="AT218" s="21">
        <f t="shared" si="133"/>
        <v>12</v>
      </c>
      <c r="AU218" s="21">
        <f t="shared" si="134"/>
        <v>19</v>
      </c>
      <c r="AV218">
        <f t="shared" si="135"/>
        <v>73</v>
      </c>
      <c r="AW218">
        <f t="shared" si="136"/>
        <v>76</v>
      </c>
      <c r="AX218">
        <f t="shared" si="137"/>
        <v>84</v>
      </c>
      <c r="AY218">
        <f t="shared" si="138"/>
        <v>87</v>
      </c>
      <c r="AZ218">
        <f t="shared" si="139"/>
        <v>100</v>
      </c>
      <c r="BA218">
        <f t="shared" si="140"/>
        <v>107</v>
      </c>
      <c r="BB218">
        <f t="shared" si="141"/>
        <v>117</v>
      </c>
      <c r="BC218">
        <f t="shared" si="142"/>
        <v>120</v>
      </c>
      <c r="BD218" s="29">
        <f t="shared" si="143"/>
        <v>128</v>
      </c>
      <c r="BE218" s="29">
        <f t="shared" si="144"/>
        <v>131</v>
      </c>
    </row>
    <row r="219" spans="1:57" ht="15" x14ac:dyDescent="0.2">
      <c r="A219" s="2">
        <v>637</v>
      </c>
      <c r="B219" s="2" t="str">
        <f t="shared" si="109"/>
        <v>0637</v>
      </c>
      <c r="C219" t="str">
        <f t="shared" si="110"/>
        <v>ORD-BB-0637-19/03/24</v>
      </c>
      <c r="D219" s="3" t="s">
        <v>644</v>
      </c>
      <c r="E219" t="str">
        <f t="shared" si="111"/>
        <v>PU001</v>
      </c>
      <c r="F219" t="str">
        <f>INDEX(Katalog!$B$4:$B$13,MATCH('Main Data'!E219,Katalog!$C$4:$C$13,0))</f>
        <v>Jaket Hoodie</v>
      </c>
      <c r="G219" t="str">
        <f>VLOOKUP(E219,Katalog!$A$15:$B$25,2,0)</f>
        <v>Pakaian Unisex</v>
      </c>
      <c r="H219" t="str">
        <f t="shared" si="112"/>
        <v>1</v>
      </c>
      <c r="I219" t="str">
        <f t="shared" si="113"/>
        <v>5</v>
      </c>
      <c r="J219" s="18">
        <f>VLOOKUP(E219,Katalog!$C$3:$F$13,2,0)</f>
        <v>160000</v>
      </c>
      <c r="K219" s="18">
        <f>VLOOKUP(E219,Katalog!$C$3:$F$13,3,0)</f>
        <v>60000</v>
      </c>
      <c r="L219" t="str">
        <f t="shared" si="114"/>
        <v>PP001</v>
      </c>
      <c r="M219" t="str">
        <f>IFERROR(INDEX(Katalog!$B$4:$B$13,MATCH('Main Data'!L219,Katalog!$C$4:$C$13,0)), "-")</f>
        <v>Kaos Polo</v>
      </c>
      <c r="N219" t="str">
        <f>IFERROR(VLOOKUP(L219,Katalog!$A$15:$B$25,2,0),"-")</f>
        <v>Pakaian Pria</v>
      </c>
      <c r="O219" t="str">
        <f t="shared" si="115"/>
        <v>2</v>
      </c>
      <c r="P219" t="str">
        <f t="shared" si="116"/>
        <v>3</v>
      </c>
      <c r="Q219" s="18">
        <f>IFERROR(VLOOKUP(L219,Katalog!$C$3:$F$13,2,0),0)</f>
        <v>80000</v>
      </c>
      <c r="R219" s="18">
        <f>IFERROR(VLOOKUP(L219,Katalog!$C$3:$F$13,3,0),0)</f>
        <v>30000</v>
      </c>
      <c r="S219" t="str">
        <f t="shared" si="117"/>
        <v>PP002</v>
      </c>
      <c r="T219" t="str">
        <f>IFERROR(INDEX(Katalog!$B$4:$B$13,MATCH('Main Data'!S219,Katalog!$C$4:$C$13,0)),"-")</f>
        <v>Celana Pendek</v>
      </c>
      <c r="U219" t="str">
        <f>IFERROR(VLOOKUP(S219,Katalog!$A$15:$B$25,2,0),"-")</f>
        <v>Pakaian Pria</v>
      </c>
      <c r="V219" t="str">
        <f t="shared" si="118"/>
        <v>3</v>
      </c>
      <c r="W219" s="28" t="str">
        <f t="shared" si="119"/>
        <v>1</v>
      </c>
      <c r="X219" s="18">
        <f>IFERROR(VLOOKUP(S219,Katalog!$C$3:$F$13,2,0),0)</f>
        <v>60000</v>
      </c>
      <c r="Y219" s="30">
        <f>IFERROR(VLOOKUP(S219,Katalog!$C$3:$F$13,3,0),0)</f>
        <v>25000</v>
      </c>
      <c r="Z219" s="2">
        <f t="shared" si="120"/>
        <v>6</v>
      </c>
      <c r="AA219" s="4">
        <f t="shared" si="121"/>
        <v>500000</v>
      </c>
      <c r="AB219" s="4">
        <f t="shared" si="122"/>
        <v>195000</v>
      </c>
      <c r="AC219" s="4" t="s">
        <v>27</v>
      </c>
      <c r="AD219" s="16">
        <f>IFERROR(VLOOKUP(AC219,'Kode Diskon'!$C$2:$D$9,2,0),0)</f>
        <v>0.15</v>
      </c>
      <c r="AE219" s="31">
        <f t="shared" si="123"/>
        <v>75000</v>
      </c>
      <c r="AF219" s="31">
        <f t="shared" si="124"/>
        <v>425000</v>
      </c>
      <c r="AG219" s="31">
        <f t="shared" si="125"/>
        <v>305000</v>
      </c>
      <c r="AH219" s="31">
        <f t="shared" si="126"/>
        <v>230000</v>
      </c>
      <c r="AI219" s="4" t="s">
        <v>28</v>
      </c>
      <c r="AJ219" s="4" t="s">
        <v>13</v>
      </c>
      <c r="AK219" s="4" t="str">
        <f>IFERROR(VLOOKUP(AJ219,'Guide '!$A$13:$B$16,2,0),"-")</f>
        <v>BB</v>
      </c>
      <c r="AL219" s="4" t="s">
        <v>921</v>
      </c>
      <c r="AM219" s="40">
        <v>45370</v>
      </c>
      <c r="AN219">
        <f t="shared" si="127"/>
        <v>29</v>
      </c>
      <c r="AO219">
        <f t="shared" si="128"/>
        <v>32</v>
      </c>
      <c r="AP219">
        <f t="shared" si="129"/>
        <v>40</v>
      </c>
      <c r="AQ219">
        <f t="shared" si="130"/>
        <v>43</v>
      </c>
      <c r="AR219" s="26">
        <f t="shared" si="131"/>
        <v>56</v>
      </c>
      <c r="AS219" s="26">
        <f t="shared" si="132"/>
        <v>63</v>
      </c>
      <c r="AT219" s="21">
        <f t="shared" si="133"/>
        <v>12</v>
      </c>
      <c r="AU219" s="21">
        <f t="shared" si="134"/>
        <v>19</v>
      </c>
      <c r="AV219">
        <f t="shared" si="135"/>
        <v>73</v>
      </c>
      <c r="AW219">
        <f t="shared" si="136"/>
        <v>76</v>
      </c>
      <c r="AX219">
        <f t="shared" si="137"/>
        <v>84</v>
      </c>
      <c r="AY219">
        <f t="shared" si="138"/>
        <v>87</v>
      </c>
      <c r="AZ219">
        <f t="shared" si="139"/>
        <v>100</v>
      </c>
      <c r="BA219">
        <f t="shared" si="140"/>
        <v>107</v>
      </c>
      <c r="BB219">
        <f t="shared" si="141"/>
        <v>117</v>
      </c>
      <c r="BC219">
        <f t="shared" si="142"/>
        <v>120</v>
      </c>
      <c r="BD219" s="29">
        <f t="shared" si="143"/>
        <v>128</v>
      </c>
      <c r="BE219" s="29">
        <f t="shared" si="144"/>
        <v>131</v>
      </c>
    </row>
    <row r="220" spans="1:57" ht="15" x14ac:dyDescent="0.2">
      <c r="A220" s="2">
        <v>53</v>
      </c>
      <c r="B220" s="2" t="str">
        <f t="shared" si="109"/>
        <v>0053</v>
      </c>
      <c r="C220" t="str">
        <f t="shared" si="110"/>
        <v>ORD-BB-0053-20/03/24</v>
      </c>
      <c r="D220" s="3" t="s">
        <v>127</v>
      </c>
      <c r="E220" t="str">
        <f t="shared" si="111"/>
        <v>SP001</v>
      </c>
      <c r="F220" t="str">
        <f>INDEX(Katalog!$B$4:$B$13,MATCH('Main Data'!E220,Katalog!$C$4:$C$13,0))</f>
        <v>Sneakers</v>
      </c>
      <c r="G220" t="str">
        <f>VLOOKUP(E220,Katalog!$A$15:$B$25,2,0)</f>
        <v>Sepatu Pria</v>
      </c>
      <c r="H220" t="str">
        <f t="shared" si="112"/>
        <v>2</v>
      </c>
      <c r="I220" t="str">
        <f t="shared" si="113"/>
        <v>1</v>
      </c>
      <c r="J220" s="18">
        <f>VLOOKUP(E220,Katalog!$C$3:$F$13,2,0)</f>
        <v>300000</v>
      </c>
      <c r="K220" s="18">
        <f>VLOOKUP(E220,Katalog!$C$3:$F$13,3,0)</f>
        <v>100000</v>
      </c>
      <c r="L220" t="str">
        <f t="shared" si="114"/>
        <v>PU001</v>
      </c>
      <c r="M220" t="str">
        <f>IFERROR(INDEX(Katalog!$B$4:$B$13,MATCH('Main Data'!L220,Katalog!$C$4:$C$13,0)), "-")</f>
        <v>Jaket Hoodie</v>
      </c>
      <c r="N220" t="str">
        <f>IFERROR(VLOOKUP(L220,Katalog!$A$15:$B$25,2,0),"-")</f>
        <v>Pakaian Unisex</v>
      </c>
      <c r="O220" t="str">
        <f t="shared" si="115"/>
        <v>1</v>
      </c>
      <c r="P220" t="str">
        <f t="shared" si="116"/>
        <v>1</v>
      </c>
      <c r="Q220" s="18">
        <f>IFERROR(VLOOKUP(L220,Katalog!$C$3:$F$13,2,0),0)</f>
        <v>160000</v>
      </c>
      <c r="R220" s="18">
        <f>IFERROR(VLOOKUP(L220,Katalog!$C$3:$F$13,3,0),0)</f>
        <v>60000</v>
      </c>
      <c r="S220" t="str">
        <f t="shared" si="117"/>
        <v>-</v>
      </c>
      <c r="T220" t="str">
        <f>IFERROR(INDEX(Katalog!$B$4:$B$13,MATCH('Main Data'!S220,Katalog!$C$4:$C$13,0)),"-")</f>
        <v>-</v>
      </c>
      <c r="U220" t="str">
        <f>IFERROR(VLOOKUP(S220,Katalog!$A$15:$B$25,2,0),"-")</f>
        <v>-</v>
      </c>
      <c r="V220">
        <f t="shared" si="118"/>
        <v>0</v>
      </c>
      <c r="W220" s="28" t="str">
        <f t="shared" si="119"/>
        <v>-</v>
      </c>
      <c r="X220" s="18">
        <f>IFERROR(VLOOKUP(S220,Katalog!$C$3:$F$13,2,0),0)</f>
        <v>0</v>
      </c>
      <c r="Y220" s="30">
        <f>IFERROR(VLOOKUP(S220,Katalog!$C$3:$F$13,3,0),0)</f>
        <v>0</v>
      </c>
      <c r="Z220" s="2">
        <f t="shared" si="120"/>
        <v>3</v>
      </c>
      <c r="AA220" s="4">
        <f t="shared" si="121"/>
        <v>760000</v>
      </c>
      <c r="AB220" s="4">
        <f t="shared" si="122"/>
        <v>260000</v>
      </c>
      <c r="AC220" s="4" t="s">
        <v>27</v>
      </c>
      <c r="AD220" s="16">
        <f>IFERROR(VLOOKUP(AC220,'Kode Diskon'!$C$2:$D$9,2,0),0)</f>
        <v>0.15</v>
      </c>
      <c r="AE220" s="31">
        <f t="shared" si="123"/>
        <v>114000</v>
      </c>
      <c r="AF220" s="31">
        <f t="shared" si="124"/>
        <v>646000</v>
      </c>
      <c r="AG220" s="31">
        <f t="shared" si="125"/>
        <v>500000</v>
      </c>
      <c r="AH220" s="31">
        <f t="shared" si="126"/>
        <v>386000</v>
      </c>
      <c r="AI220" s="4" t="s">
        <v>28</v>
      </c>
      <c r="AJ220" s="4" t="s">
        <v>13</v>
      </c>
      <c r="AK220" s="4" t="str">
        <f>IFERROR(VLOOKUP(AJ220,'Guide '!$A$13:$B$16,2,0),"-")</f>
        <v>BB</v>
      </c>
      <c r="AL220" s="4" t="s">
        <v>925</v>
      </c>
      <c r="AM220" s="40">
        <v>45371</v>
      </c>
      <c r="AN220">
        <f t="shared" si="127"/>
        <v>29</v>
      </c>
      <c r="AO220">
        <f t="shared" si="128"/>
        <v>32</v>
      </c>
      <c r="AP220">
        <f t="shared" si="129"/>
        <v>40</v>
      </c>
      <c r="AQ220">
        <f t="shared" si="130"/>
        <v>43</v>
      </c>
      <c r="AR220" s="26">
        <f t="shared" si="131"/>
        <v>56</v>
      </c>
      <c r="AS220" s="26">
        <f t="shared" si="132"/>
        <v>63</v>
      </c>
      <c r="AT220" s="21">
        <f t="shared" si="133"/>
        <v>12</v>
      </c>
      <c r="AU220" s="21">
        <f t="shared" si="134"/>
        <v>19</v>
      </c>
      <c r="AV220">
        <f t="shared" si="135"/>
        <v>73</v>
      </c>
      <c r="AW220">
        <f t="shared" si="136"/>
        <v>76</v>
      </c>
      <c r="AX220">
        <f t="shared" si="137"/>
        <v>84</v>
      </c>
      <c r="AY220">
        <f t="shared" si="138"/>
        <v>87</v>
      </c>
      <c r="AZ220" t="str">
        <f t="shared" si="139"/>
        <v>-</v>
      </c>
      <c r="BA220" t="str">
        <f t="shared" si="140"/>
        <v>-</v>
      </c>
      <c r="BB220" t="str">
        <f t="shared" si="141"/>
        <v>-</v>
      </c>
      <c r="BC220" t="str">
        <f t="shared" si="142"/>
        <v>-</v>
      </c>
      <c r="BD220" s="29" t="str">
        <f t="shared" si="143"/>
        <v>-</v>
      </c>
      <c r="BE220" s="29" t="str">
        <f t="shared" si="144"/>
        <v>-</v>
      </c>
    </row>
    <row r="221" spans="1:57" ht="15" x14ac:dyDescent="0.2">
      <c r="A221" s="2">
        <v>609</v>
      </c>
      <c r="B221" s="2" t="str">
        <f t="shared" si="109"/>
        <v>0609</v>
      </c>
      <c r="C221" t="str">
        <f t="shared" si="110"/>
        <v>ORD-TK-0609-20/03/24</v>
      </c>
      <c r="D221" s="3" t="s">
        <v>621</v>
      </c>
      <c r="E221" t="str">
        <f t="shared" si="111"/>
        <v>PU001</v>
      </c>
      <c r="F221" t="str">
        <f>INDEX(Katalog!$B$4:$B$13,MATCH('Main Data'!E221,Katalog!$C$4:$C$13,0))</f>
        <v>Jaket Hoodie</v>
      </c>
      <c r="G221" t="str">
        <f>VLOOKUP(E221,Katalog!$A$15:$B$25,2,0)</f>
        <v>Pakaian Unisex</v>
      </c>
      <c r="H221" t="str">
        <f t="shared" si="112"/>
        <v>3</v>
      </c>
      <c r="I221" t="str">
        <f t="shared" si="113"/>
        <v>4</v>
      </c>
      <c r="J221" s="18">
        <f>VLOOKUP(E221,Katalog!$C$3:$F$13,2,0)</f>
        <v>160000</v>
      </c>
      <c r="K221" s="18">
        <f>VLOOKUP(E221,Katalog!$C$3:$F$13,3,0)</f>
        <v>60000</v>
      </c>
      <c r="L221" t="str">
        <f t="shared" si="114"/>
        <v>PP003</v>
      </c>
      <c r="M221" t="str">
        <f>IFERROR(INDEX(Katalog!$B$4:$B$13,MATCH('Main Data'!L221,Katalog!$C$4:$C$13,0)), "-")</f>
        <v>Jaket Jeans</v>
      </c>
      <c r="N221" t="str">
        <f>IFERROR(VLOOKUP(L221,Katalog!$A$15:$B$25,2,0),"-")</f>
        <v>Pakaian Pria</v>
      </c>
      <c r="O221" t="str">
        <f t="shared" si="115"/>
        <v>1</v>
      </c>
      <c r="P221" t="str">
        <f t="shared" si="116"/>
        <v>5</v>
      </c>
      <c r="Q221" s="18">
        <f>IFERROR(VLOOKUP(L221,Katalog!$C$3:$F$13,2,0),0)</f>
        <v>150000</v>
      </c>
      <c r="R221" s="18">
        <f>IFERROR(VLOOKUP(L221,Katalog!$C$3:$F$13,3,0),0)</f>
        <v>70000</v>
      </c>
      <c r="S221" t="str">
        <f t="shared" si="117"/>
        <v>-</v>
      </c>
      <c r="T221" t="str">
        <f>IFERROR(INDEX(Katalog!$B$4:$B$13,MATCH('Main Data'!S221,Katalog!$C$4:$C$13,0)),"-")</f>
        <v>-</v>
      </c>
      <c r="U221" t="str">
        <f>IFERROR(VLOOKUP(S221,Katalog!$A$15:$B$25,2,0),"-")</f>
        <v>-</v>
      </c>
      <c r="V221">
        <f t="shared" si="118"/>
        <v>0</v>
      </c>
      <c r="W221" s="28" t="str">
        <f t="shared" si="119"/>
        <v>-</v>
      </c>
      <c r="X221" s="18">
        <f>IFERROR(VLOOKUP(S221,Katalog!$C$3:$F$13,2,0),0)</f>
        <v>0</v>
      </c>
      <c r="Y221" s="30">
        <f>IFERROR(VLOOKUP(S221,Katalog!$C$3:$F$13,3,0),0)</f>
        <v>0</v>
      </c>
      <c r="Z221" s="2">
        <f t="shared" si="120"/>
        <v>4</v>
      </c>
      <c r="AA221" s="4">
        <f t="shared" si="121"/>
        <v>630000</v>
      </c>
      <c r="AB221" s="4">
        <f t="shared" si="122"/>
        <v>250000</v>
      </c>
      <c r="AC221" s="4" t="s">
        <v>29</v>
      </c>
      <c r="AD221" s="16">
        <f>IFERROR(VLOOKUP(AC221,'Kode Diskon'!$C$2:$D$9,2,0),0)</f>
        <v>0.1</v>
      </c>
      <c r="AE221" s="31">
        <f t="shared" si="123"/>
        <v>63000</v>
      </c>
      <c r="AF221" s="31">
        <f t="shared" si="124"/>
        <v>567000</v>
      </c>
      <c r="AG221" s="31">
        <f t="shared" si="125"/>
        <v>380000</v>
      </c>
      <c r="AH221" s="31">
        <f t="shared" si="126"/>
        <v>317000</v>
      </c>
      <c r="AI221" s="4" t="s">
        <v>28</v>
      </c>
      <c r="AJ221" s="4" t="s">
        <v>9</v>
      </c>
      <c r="AK221" s="4" t="str">
        <f>IFERROR(VLOOKUP(AJ221,'Guide '!$A$13:$B$16,2,0),"-")</f>
        <v>TK</v>
      </c>
      <c r="AL221" s="4" t="s">
        <v>925</v>
      </c>
      <c r="AM221" s="40">
        <v>45371</v>
      </c>
      <c r="AN221">
        <f t="shared" si="127"/>
        <v>29</v>
      </c>
      <c r="AO221">
        <f t="shared" si="128"/>
        <v>32</v>
      </c>
      <c r="AP221">
        <f t="shared" si="129"/>
        <v>40</v>
      </c>
      <c r="AQ221">
        <f t="shared" si="130"/>
        <v>43</v>
      </c>
      <c r="AR221" s="26">
        <f t="shared" si="131"/>
        <v>56</v>
      </c>
      <c r="AS221" s="26">
        <f t="shared" si="132"/>
        <v>63</v>
      </c>
      <c r="AT221" s="21">
        <f t="shared" si="133"/>
        <v>12</v>
      </c>
      <c r="AU221" s="21">
        <f t="shared" si="134"/>
        <v>19</v>
      </c>
      <c r="AV221">
        <f t="shared" si="135"/>
        <v>73</v>
      </c>
      <c r="AW221">
        <f t="shared" si="136"/>
        <v>76</v>
      </c>
      <c r="AX221">
        <f t="shared" si="137"/>
        <v>84</v>
      </c>
      <c r="AY221">
        <f t="shared" si="138"/>
        <v>87</v>
      </c>
      <c r="AZ221" t="str">
        <f t="shared" si="139"/>
        <v>-</v>
      </c>
      <c r="BA221" t="str">
        <f t="shared" si="140"/>
        <v>-</v>
      </c>
      <c r="BB221" t="str">
        <f t="shared" si="141"/>
        <v>-</v>
      </c>
      <c r="BC221" t="str">
        <f t="shared" si="142"/>
        <v>-</v>
      </c>
      <c r="BD221" s="29" t="str">
        <f t="shared" si="143"/>
        <v>-</v>
      </c>
      <c r="BE221" s="29" t="str">
        <f t="shared" si="144"/>
        <v>-</v>
      </c>
    </row>
    <row r="222" spans="1:57" ht="15" x14ac:dyDescent="0.2">
      <c r="A222" s="2">
        <v>121</v>
      </c>
      <c r="B222" s="2" t="str">
        <f t="shared" si="109"/>
        <v>0121</v>
      </c>
      <c r="C222" t="str">
        <f t="shared" si="110"/>
        <v>ORD-TK-0121-21/03/24</v>
      </c>
      <c r="D222" s="3" t="s">
        <v>192</v>
      </c>
      <c r="E222" t="str">
        <f t="shared" si="111"/>
        <v>SP001</v>
      </c>
      <c r="F222" t="str">
        <f>INDEX(Katalog!$B$4:$B$13,MATCH('Main Data'!E222,Katalog!$C$4:$C$13,0))</f>
        <v>Sneakers</v>
      </c>
      <c r="G222" t="str">
        <f>VLOOKUP(E222,Katalog!$A$15:$B$25,2,0)</f>
        <v>Sepatu Pria</v>
      </c>
      <c r="H222" t="str">
        <f t="shared" si="112"/>
        <v>2</v>
      </c>
      <c r="I222" t="str">
        <f t="shared" si="113"/>
        <v>3</v>
      </c>
      <c r="J222" s="18">
        <f>VLOOKUP(E222,Katalog!$C$3:$F$13,2,0)</f>
        <v>300000</v>
      </c>
      <c r="K222" s="18">
        <f>VLOOKUP(E222,Katalog!$C$3:$F$13,3,0)</f>
        <v>100000</v>
      </c>
      <c r="L222" t="str">
        <f t="shared" si="114"/>
        <v>SW001</v>
      </c>
      <c r="M222" t="str">
        <f>IFERROR(INDEX(Katalog!$B$4:$B$13,MATCH('Main Data'!L222,Katalog!$C$4:$C$13,0)), "-")</f>
        <v>Flat Shoes</v>
      </c>
      <c r="N222" t="str">
        <f>IFERROR(VLOOKUP(L222,Katalog!$A$15:$B$25,2,0),"-")</f>
        <v>Sepatu Wanita</v>
      </c>
      <c r="O222" t="str">
        <f t="shared" si="115"/>
        <v>1</v>
      </c>
      <c r="P222" t="str">
        <f t="shared" si="116"/>
        <v>2</v>
      </c>
      <c r="Q222" s="18">
        <f>IFERROR(VLOOKUP(L222,Katalog!$C$3:$F$13,2,0),0)</f>
        <v>150000</v>
      </c>
      <c r="R222" s="18">
        <f>IFERROR(VLOOKUP(L222,Katalog!$C$3:$F$13,3,0),0)</f>
        <v>70000</v>
      </c>
      <c r="S222" t="str">
        <f t="shared" si="117"/>
        <v>-</v>
      </c>
      <c r="T222" t="str">
        <f>IFERROR(INDEX(Katalog!$B$4:$B$13,MATCH('Main Data'!S222,Katalog!$C$4:$C$13,0)),"-")</f>
        <v>-</v>
      </c>
      <c r="U222" t="str">
        <f>IFERROR(VLOOKUP(S222,Katalog!$A$15:$B$25,2,0),"-")</f>
        <v>-</v>
      </c>
      <c r="V222">
        <f t="shared" si="118"/>
        <v>0</v>
      </c>
      <c r="W222" s="28" t="str">
        <f t="shared" si="119"/>
        <v>-</v>
      </c>
      <c r="X222" s="18">
        <f>IFERROR(VLOOKUP(S222,Katalog!$C$3:$F$13,2,0),0)</f>
        <v>0</v>
      </c>
      <c r="Y222" s="30">
        <f>IFERROR(VLOOKUP(S222,Katalog!$C$3:$F$13,3,0),0)</f>
        <v>0</v>
      </c>
      <c r="Z222" s="2">
        <f t="shared" si="120"/>
        <v>3</v>
      </c>
      <c r="AA222" s="4">
        <f t="shared" si="121"/>
        <v>750000</v>
      </c>
      <c r="AB222" s="4">
        <f t="shared" si="122"/>
        <v>270000</v>
      </c>
      <c r="AC222" s="4" t="s">
        <v>30</v>
      </c>
      <c r="AD222" s="16">
        <f>IFERROR(VLOOKUP(AC222,'Kode Diskon'!$C$2:$D$9,2,0),0)</f>
        <v>0.1</v>
      </c>
      <c r="AE222" s="31">
        <f t="shared" si="123"/>
        <v>75000</v>
      </c>
      <c r="AF222" s="31">
        <f t="shared" si="124"/>
        <v>675000</v>
      </c>
      <c r="AG222" s="31">
        <f t="shared" si="125"/>
        <v>480000</v>
      </c>
      <c r="AH222" s="31">
        <f t="shared" si="126"/>
        <v>405000</v>
      </c>
      <c r="AI222" s="4" t="s">
        <v>8</v>
      </c>
      <c r="AJ222" s="4" t="s">
        <v>9</v>
      </c>
      <c r="AK222" s="4" t="str">
        <f>IFERROR(VLOOKUP(AJ222,'Guide '!$A$13:$B$16,2,0),"-")</f>
        <v>TK</v>
      </c>
      <c r="AL222" s="4" t="s">
        <v>925</v>
      </c>
      <c r="AM222" s="40">
        <v>45372</v>
      </c>
      <c r="AN222">
        <f t="shared" si="127"/>
        <v>29</v>
      </c>
      <c r="AO222">
        <f t="shared" si="128"/>
        <v>32</v>
      </c>
      <c r="AP222">
        <f t="shared" si="129"/>
        <v>40</v>
      </c>
      <c r="AQ222">
        <f t="shared" si="130"/>
        <v>43</v>
      </c>
      <c r="AR222" s="26">
        <f t="shared" si="131"/>
        <v>56</v>
      </c>
      <c r="AS222" s="26">
        <f t="shared" si="132"/>
        <v>63</v>
      </c>
      <c r="AT222" s="21">
        <f t="shared" si="133"/>
        <v>12</v>
      </c>
      <c r="AU222" s="21">
        <f t="shared" si="134"/>
        <v>19</v>
      </c>
      <c r="AV222">
        <f t="shared" si="135"/>
        <v>73</v>
      </c>
      <c r="AW222">
        <f t="shared" si="136"/>
        <v>76</v>
      </c>
      <c r="AX222">
        <f t="shared" si="137"/>
        <v>84</v>
      </c>
      <c r="AY222">
        <f t="shared" si="138"/>
        <v>87</v>
      </c>
      <c r="AZ222" t="str">
        <f t="shared" si="139"/>
        <v>-</v>
      </c>
      <c r="BA222" t="str">
        <f t="shared" si="140"/>
        <v>-</v>
      </c>
      <c r="BB222" t="str">
        <f t="shared" si="141"/>
        <v>-</v>
      </c>
      <c r="BC222" t="str">
        <f t="shared" si="142"/>
        <v>-</v>
      </c>
      <c r="BD222" s="29" t="str">
        <f t="shared" si="143"/>
        <v>-</v>
      </c>
      <c r="BE222" s="29" t="str">
        <f t="shared" si="144"/>
        <v>-</v>
      </c>
    </row>
    <row r="223" spans="1:57" ht="15" x14ac:dyDescent="0.2">
      <c r="A223" s="2">
        <v>789</v>
      </c>
      <c r="B223" s="2" t="str">
        <f t="shared" si="109"/>
        <v>0789</v>
      </c>
      <c r="C223" t="str">
        <f t="shared" si="110"/>
        <v>ORD-BB-0789-21/03/24</v>
      </c>
      <c r="D223" s="3" t="s">
        <v>200</v>
      </c>
      <c r="E223" t="str">
        <f t="shared" si="111"/>
        <v>SP002</v>
      </c>
      <c r="F223" t="str">
        <f>INDEX(Katalog!$B$4:$B$13,MATCH('Main Data'!E223,Katalog!$C$4:$C$13,0))</f>
        <v>Sandal Slip On</v>
      </c>
      <c r="G223" t="str">
        <f>VLOOKUP(E223,Katalog!$A$15:$B$25,2,0)</f>
        <v>Sepatu Pria</v>
      </c>
      <c r="H223" t="str">
        <f t="shared" si="112"/>
        <v>2</v>
      </c>
      <c r="I223" t="str">
        <f t="shared" si="113"/>
        <v>2</v>
      </c>
      <c r="J223" s="18">
        <f>VLOOKUP(E223,Katalog!$C$3:$F$13,2,0)</f>
        <v>120000</v>
      </c>
      <c r="K223" s="18">
        <f>VLOOKUP(E223,Katalog!$C$3:$F$13,3,0)</f>
        <v>60000</v>
      </c>
      <c r="L223" t="str">
        <f t="shared" si="114"/>
        <v>-</v>
      </c>
      <c r="M223" t="str">
        <f>IFERROR(INDEX(Katalog!$B$4:$B$13,MATCH('Main Data'!L223,Katalog!$C$4:$C$13,0)), "-")</f>
        <v>-</v>
      </c>
      <c r="N223" t="str">
        <f>IFERROR(VLOOKUP(L223,Katalog!$A$15:$B$25,2,0),"-")</f>
        <v>-</v>
      </c>
      <c r="O223">
        <f t="shared" si="115"/>
        <v>0</v>
      </c>
      <c r="P223" t="str">
        <f t="shared" si="116"/>
        <v>-</v>
      </c>
      <c r="Q223" s="18">
        <f>IFERROR(VLOOKUP(L223,Katalog!$C$3:$F$13,2,0),0)</f>
        <v>0</v>
      </c>
      <c r="R223" s="18">
        <f>IFERROR(VLOOKUP(L223,Katalog!$C$3:$F$13,3,0),0)</f>
        <v>0</v>
      </c>
      <c r="S223" t="str">
        <f t="shared" si="117"/>
        <v>-</v>
      </c>
      <c r="T223" t="str">
        <f>IFERROR(INDEX(Katalog!$B$4:$B$13,MATCH('Main Data'!S223,Katalog!$C$4:$C$13,0)),"-")</f>
        <v>-</v>
      </c>
      <c r="U223" t="str">
        <f>IFERROR(VLOOKUP(S223,Katalog!$A$15:$B$25,2,0),"-")</f>
        <v>-</v>
      </c>
      <c r="V223">
        <f t="shared" si="118"/>
        <v>0</v>
      </c>
      <c r="W223" s="28" t="str">
        <f t="shared" si="119"/>
        <v>-</v>
      </c>
      <c r="X223" s="18">
        <f>IFERROR(VLOOKUP(S223,Katalog!$C$3:$F$13,2,0),0)</f>
        <v>0</v>
      </c>
      <c r="Y223" s="30">
        <f>IFERROR(VLOOKUP(S223,Katalog!$C$3:$F$13,3,0),0)</f>
        <v>0</v>
      </c>
      <c r="Z223" s="2">
        <f t="shared" si="120"/>
        <v>2</v>
      </c>
      <c r="AA223" s="4">
        <f t="shared" si="121"/>
        <v>240000</v>
      </c>
      <c r="AB223" s="4">
        <f t="shared" si="122"/>
        <v>120000</v>
      </c>
      <c r="AC223" s="4" t="s">
        <v>27</v>
      </c>
      <c r="AD223" s="16">
        <f>IFERROR(VLOOKUP(AC223,'Kode Diskon'!$C$2:$D$9,2,0),0)</f>
        <v>0.15</v>
      </c>
      <c r="AE223" s="31">
        <f t="shared" si="123"/>
        <v>36000</v>
      </c>
      <c r="AF223" s="31">
        <f t="shared" si="124"/>
        <v>204000</v>
      </c>
      <c r="AG223" s="31">
        <f t="shared" si="125"/>
        <v>120000</v>
      </c>
      <c r="AH223" s="31">
        <f t="shared" si="126"/>
        <v>84000</v>
      </c>
      <c r="AI223" s="4" t="s">
        <v>28</v>
      </c>
      <c r="AJ223" s="4" t="s">
        <v>13</v>
      </c>
      <c r="AK223" s="4" t="str">
        <f>IFERROR(VLOOKUP(AJ223,'Guide '!$A$13:$B$16,2,0),"-")</f>
        <v>BB</v>
      </c>
      <c r="AL223" s="4" t="s">
        <v>921</v>
      </c>
      <c r="AM223" s="40">
        <v>45372</v>
      </c>
      <c r="AN223">
        <f t="shared" si="127"/>
        <v>29</v>
      </c>
      <c r="AO223">
        <f t="shared" si="128"/>
        <v>32</v>
      </c>
      <c r="AP223">
        <f t="shared" si="129"/>
        <v>40</v>
      </c>
      <c r="AQ223">
        <f t="shared" si="130"/>
        <v>43</v>
      </c>
      <c r="AR223" s="26" t="str">
        <f t="shared" si="131"/>
        <v>-</v>
      </c>
      <c r="AS223" s="26" t="str">
        <f t="shared" si="132"/>
        <v>-</v>
      </c>
      <c r="AT223" s="21">
        <f t="shared" si="133"/>
        <v>12</v>
      </c>
      <c r="AU223" s="21">
        <f t="shared" si="134"/>
        <v>19</v>
      </c>
      <c r="AV223" t="str">
        <f t="shared" si="135"/>
        <v>-</v>
      </c>
      <c r="AW223" t="str">
        <f t="shared" si="136"/>
        <v>-</v>
      </c>
      <c r="AX223" t="str">
        <f t="shared" si="137"/>
        <v>-</v>
      </c>
      <c r="AY223" t="str">
        <f t="shared" si="138"/>
        <v>-</v>
      </c>
      <c r="AZ223" t="str">
        <f t="shared" si="139"/>
        <v>-</v>
      </c>
      <c r="BA223" t="str">
        <f t="shared" si="140"/>
        <v>-</v>
      </c>
      <c r="BB223" t="str">
        <f t="shared" si="141"/>
        <v>-</v>
      </c>
      <c r="BC223" t="str">
        <f t="shared" si="142"/>
        <v>-</v>
      </c>
      <c r="BD223" s="29" t="str">
        <f t="shared" si="143"/>
        <v>-</v>
      </c>
      <c r="BE223" s="29" t="str">
        <f t="shared" si="144"/>
        <v>-</v>
      </c>
    </row>
    <row r="224" spans="1:57" ht="15" x14ac:dyDescent="0.2">
      <c r="A224" s="2">
        <v>175</v>
      </c>
      <c r="B224" s="2" t="str">
        <f t="shared" si="109"/>
        <v>0175</v>
      </c>
      <c r="C224" t="str">
        <f t="shared" si="110"/>
        <v>ORD-BB-0175-22/03/24</v>
      </c>
      <c r="D224" s="3" t="s">
        <v>244</v>
      </c>
      <c r="E224" t="str">
        <f t="shared" si="111"/>
        <v>PP002</v>
      </c>
      <c r="F224" t="str">
        <f>INDEX(Katalog!$B$4:$B$13,MATCH('Main Data'!E224,Katalog!$C$4:$C$13,0))</f>
        <v>Celana Pendek</v>
      </c>
      <c r="G224" t="str">
        <f>VLOOKUP(E224,Katalog!$A$15:$B$25,2,0)</f>
        <v>Pakaian Pria</v>
      </c>
      <c r="H224" t="str">
        <f t="shared" si="112"/>
        <v>2</v>
      </c>
      <c r="I224" t="str">
        <f t="shared" si="113"/>
        <v>4</v>
      </c>
      <c r="J224" s="18">
        <f>VLOOKUP(E224,Katalog!$C$3:$F$13,2,0)</f>
        <v>60000</v>
      </c>
      <c r="K224" s="18">
        <f>VLOOKUP(E224,Katalog!$C$3:$F$13,3,0)</f>
        <v>25000</v>
      </c>
      <c r="L224" t="str">
        <f t="shared" si="114"/>
        <v>-</v>
      </c>
      <c r="M224" t="str">
        <f>IFERROR(INDEX(Katalog!$B$4:$B$13,MATCH('Main Data'!L224,Katalog!$C$4:$C$13,0)), "-")</f>
        <v>-</v>
      </c>
      <c r="N224" t="str">
        <f>IFERROR(VLOOKUP(L224,Katalog!$A$15:$B$25,2,0),"-")</f>
        <v>-</v>
      </c>
      <c r="O224">
        <f t="shared" si="115"/>
        <v>0</v>
      </c>
      <c r="P224" t="str">
        <f t="shared" si="116"/>
        <v>-</v>
      </c>
      <c r="Q224" s="18">
        <f>IFERROR(VLOOKUP(L224,Katalog!$C$3:$F$13,2,0),0)</f>
        <v>0</v>
      </c>
      <c r="R224" s="18">
        <f>IFERROR(VLOOKUP(L224,Katalog!$C$3:$F$13,3,0),0)</f>
        <v>0</v>
      </c>
      <c r="S224" t="str">
        <f t="shared" si="117"/>
        <v>-</v>
      </c>
      <c r="T224" t="str">
        <f>IFERROR(INDEX(Katalog!$B$4:$B$13,MATCH('Main Data'!S224,Katalog!$C$4:$C$13,0)),"-")</f>
        <v>-</v>
      </c>
      <c r="U224" t="str">
        <f>IFERROR(VLOOKUP(S224,Katalog!$A$15:$B$25,2,0),"-")</f>
        <v>-</v>
      </c>
      <c r="V224">
        <f t="shared" si="118"/>
        <v>0</v>
      </c>
      <c r="W224" s="28" t="str">
        <f t="shared" si="119"/>
        <v>-</v>
      </c>
      <c r="X224" s="18">
        <f>IFERROR(VLOOKUP(S224,Katalog!$C$3:$F$13,2,0),0)</f>
        <v>0</v>
      </c>
      <c r="Y224" s="30">
        <f>IFERROR(VLOOKUP(S224,Katalog!$C$3:$F$13,3,0),0)</f>
        <v>0</v>
      </c>
      <c r="Z224" s="2">
        <f t="shared" si="120"/>
        <v>2</v>
      </c>
      <c r="AA224" s="4">
        <f t="shared" si="121"/>
        <v>120000</v>
      </c>
      <c r="AB224" s="4">
        <f t="shared" si="122"/>
        <v>50000</v>
      </c>
      <c r="AC224" s="4" t="s">
        <v>27</v>
      </c>
      <c r="AD224" s="16">
        <f>IFERROR(VLOOKUP(AC224,'Kode Diskon'!$C$2:$D$9,2,0),0)</f>
        <v>0.15</v>
      </c>
      <c r="AE224" s="31">
        <f t="shared" si="123"/>
        <v>18000</v>
      </c>
      <c r="AF224" s="31">
        <f t="shared" si="124"/>
        <v>102000</v>
      </c>
      <c r="AG224" s="31">
        <f t="shared" si="125"/>
        <v>70000</v>
      </c>
      <c r="AH224" s="31">
        <f t="shared" si="126"/>
        <v>52000</v>
      </c>
      <c r="AI224" s="4" t="s">
        <v>28</v>
      </c>
      <c r="AJ224" s="4" t="s">
        <v>13</v>
      </c>
      <c r="AK224" s="4" t="str">
        <f>IFERROR(VLOOKUP(AJ224,'Guide '!$A$13:$B$16,2,0),"-")</f>
        <v>BB</v>
      </c>
      <c r="AL224" s="4" t="s">
        <v>1006</v>
      </c>
      <c r="AM224" s="40">
        <v>45373</v>
      </c>
      <c r="AN224">
        <f t="shared" si="127"/>
        <v>29</v>
      </c>
      <c r="AO224">
        <f t="shared" si="128"/>
        <v>32</v>
      </c>
      <c r="AP224">
        <f t="shared" si="129"/>
        <v>40</v>
      </c>
      <c r="AQ224">
        <f t="shared" si="130"/>
        <v>43</v>
      </c>
      <c r="AR224" s="26" t="str">
        <f t="shared" si="131"/>
        <v>-</v>
      </c>
      <c r="AS224" s="26" t="str">
        <f t="shared" si="132"/>
        <v>-</v>
      </c>
      <c r="AT224" s="21">
        <f t="shared" si="133"/>
        <v>12</v>
      </c>
      <c r="AU224" s="21">
        <f t="shared" si="134"/>
        <v>19</v>
      </c>
      <c r="AV224" t="str">
        <f t="shared" si="135"/>
        <v>-</v>
      </c>
      <c r="AW224" t="str">
        <f t="shared" si="136"/>
        <v>-</v>
      </c>
      <c r="AX224" t="str">
        <f t="shared" si="137"/>
        <v>-</v>
      </c>
      <c r="AY224" t="str">
        <f t="shared" si="138"/>
        <v>-</v>
      </c>
      <c r="AZ224" t="str">
        <f t="shared" si="139"/>
        <v>-</v>
      </c>
      <c r="BA224" t="str">
        <f t="shared" si="140"/>
        <v>-</v>
      </c>
      <c r="BB224" t="str">
        <f t="shared" si="141"/>
        <v>-</v>
      </c>
      <c r="BC224" t="str">
        <f t="shared" si="142"/>
        <v>-</v>
      </c>
      <c r="BD224" s="29" t="str">
        <f t="shared" si="143"/>
        <v>-</v>
      </c>
      <c r="BE224" s="29" t="str">
        <f t="shared" si="144"/>
        <v>-</v>
      </c>
    </row>
    <row r="225" spans="1:57" ht="15" x14ac:dyDescent="0.2">
      <c r="A225" s="2">
        <v>301</v>
      </c>
      <c r="B225" s="2" t="str">
        <f t="shared" si="109"/>
        <v>0301</v>
      </c>
      <c r="C225" t="str">
        <f t="shared" si="110"/>
        <v>ORD-SP-0301-22/03/24</v>
      </c>
      <c r="D225" s="3" t="s">
        <v>357</v>
      </c>
      <c r="E225" t="str">
        <f t="shared" si="111"/>
        <v>PP003</v>
      </c>
      <c r="F225" t="str">
        <f>INDEX(Katalog!$B$4:$B$13,MATCH('Main Data'!E225,Katalog!$C$4:$C$13,0))</f>
        <v>Jaket Jeans</v>
      </c>
      <c r="G225" t="str">
        <f>VLOOKUP(E225,Katalog!$A$15:$B$25,2,0)</f>
        <v>Pakaian Pria</v>
      </c>
      <c r="H225" t="str">
        <f t="shared" si="112"/>
        <v>3</v>
      </c>
      <c r="I225" t="str">
        <f t="shared" si="113"/>
        <v>4</v>
      </c>
      <c r="J225" s="18">
        <f>VLOOKUP(E225,Katalog!$C$3:$F$13,2,0)</f>
        <v>150000</v>
      </c>
      <c r="K225" s="18">
        <f>VLOOKUP(E225,Katalog!$C$3:$F$13,3,0)</f>
        <v>70000</v>
      </c>
      <c r="L225" t="str">
        <f t="shared" si="114"/>
        <v>PP002</v>
      </c>
      <c r="M225" t="str">
        <f>IFERROR(INDEX(Katalog!$B$4:$B$13,MATCH('Main Data'!L225,Katalog!$C$4:$C$13,0)), "-")</f>
        <v>Celana Pendek</v>
      </c>
      <c r="N225" t="str">
        <f>IFERROR(VLOOKUP(L225,Katalog!$A$15:$B$25,2,0),"-")</f>
        <v>Pakaian Pria</v>
      </c>
      <c r="O225" t="str">
        <f t="shared" si="115"/>
        <v>4</v>
      </c>
      <c r="P225" t="str">
        <f t="shared" si="116"/>
        <v>4</v>
      </c>
      <c r="Q225" s="18">
        <f>IFERROR(VLOOKUP(L225,Katalog!$C$3:$F$13,2,0),0)</f>
        <v>60000</v>
      </c>
      <c r="R225" s="18">
        <f>IFERROR(VLOOKUP(L225,Katalog!$C$3:$F$13,3,0),0)</f>
        <v>25000</v>
      </c>
      <c r="S225" t="str">
        <f t="shared" si="117"/>
        <v>-</v>
      </c>
      <c r="T225" t="str">
        <f>IFERROR(INDEX(Katalog!$B$4:$B$13,MATCH('Main Data'!S225,Katalog!$C$4:$C$13,0)),"-")</f>
        <v>-</v>
      </c>
      <c r="U225" t="str">
        <f>IFERROR(VLOOKUP(S225,Katalog!$A$15:$B$25,2,0),"-")</f>
        <v>-</v>
      </c>
      <c r="V225">
        <f t="shared" si="118"/>
        <v>0</v>
      </c>
      <c r="W225" s="28" t="str">
        <f t="shared" si="119"/>
        <v>-</v>
      </c>
      <c r="X225" s="18">
        <f>IFERROR(VLOOKUP(S225,Katalog!$C$3:$F$13,2,0),0)</f>
        <v>0</v>
      </c>
      <c r="Y225" s="30">
        <f>IFERROR(VLOOKUP(S225,Katalog!$C$3:$F$13,3,0),0)</f>
        <v>0</v>
      </c>
      <c r="Z225" s="2">
        <f t="shared" si="120"/>
        <v>7</v>
      </c>
      <c r="AA225" s="4">
        <f t="shared" si="121"/>
        <v>690000</v>
      </c>
      <c r="AB225" s="4">
        <f t="shared" si="122"/>
        <v>310000</v>
      </c>
      <c r="AC225" s="4" t="s">
        <v>5</v>
      </c>
      <c r="AD225" s="16">
        <f>IFERROR(VLOOKUP(AC225,'Kode Diskon'!$C$2:$D$9,2,0),0)</f>
        <v>0.1</v>
      </c>
      <c r="AE225" s="31">
        <f t="shared" si="123"/>
        <v>69000</v>
      </c>
      <c r="AF225" s="31">
        <f t="shared" si="124"/>
        <v>621000</v>
      </c>
      <c r="AG225" s="31">
        <f t="shared" si="125"/>
        <v>380000</v>
      </c>
      <c r="AH225" s="31">
        <f t="shared" si="126"/>
        <v>311000</v>
      </c>
      <c r="AI225" s="4" t="s">
        <v>28</v>
      </c>
      <c r="AJ225" s="4" t="s">
        <v>6</v>
      </c>
      <c r="AK225" s="4" t="str">
        <f>IFERROR(VLOOKUP(AJ225,'Guide '!$A$13:$B$16,2,0),"-")</f>
        <v>SP</v>
      </c>
      <c r="AL225" s="4" t="s">
        <v>923</v>
      </c>
      <c r="AM225" s="40">
        <v>45373</v>
      </c>
      <c r="AN225">
        <f t="shared" si="127"/>
        <v>29</v>
      </c>
      <c r="AO225">
        <f t="shared" si="128"/>
        <v>32</v>
      </c>
      <c r="AP225">
        <f t="shared" si="129"/>
        <v>40</v>
      </c>
      <c r="AQ225">
        <f t="shared" si="130"/>
        <v>43</v>
      </c>
      <c r="AR225" s="26">
        <f t="shared" si="131"/>
        <v>56</v>
      </c>
      <c r="AS225" s="26">
        <f t="shared" si="132"/>
        <v>63</v>
      </c>
      <c r="AT225" s="21">
        <f t="shared" si="133"/>
        <v>12</v>
      </c>
      <c r="AU225" s="21">
        <f t="shared" si="134"/>
        <v>19</v>
      </c>
      <c r="AV225">
        <f t="shared" si="135"/>
        <v>73</v>
      </c>
      <c r="AW225">
        <f t="shared" si="136"/>
        <v>76</v>
      </c>
      <c r="AX225">
        <f t="shared" si="137"/>
        <v>84</v>
      </c>
      <c r="AY225">
        <f t="shared" si="138"/>
        <v>87</v>
      </c>
      <c r="AZ225" t="str">
        <f t="shared" si="139"/>
        <v>-</v>
      </c>
      <c r="BA225" t="str">
        <f t="shared" si="140"/>
        <v>-</v>
      </c>
      <c r="BB225" t="str">
        <f t="shared" si="141"/>
        <v>-</v>
      </c>
      <c r="BC225" t="str">
        <f t="shared" si="142"/>
        <v>-</v>
      </c>
      <c r="BD225" s="29" t="str">
        <f t="shared" si="143"/>
        <v>-</v>
      </c>
      <c r="BE225" s="29" t="str">
        <f t="shared" si="144"/>
        <v>-</v>
      </c>
    </row>
    <row r="226" spans="1:57" ht="15" x14ac:dyDescent="0.2">
      <c r="A226" s="2">
        <v>674</v>
      </c>
      <c r="B226" s="2" t="str">
        <f t="shared" si="109"/>
        <v>0674</v>
      </c>
      <c r="C226" t="str">
        <f t="shared" si="110"/>
        <v>ORD-SP-0674-22/03/24</v>
      </c>
      <c r="D226" s="3" t="s">
        <v>672</v>
      </c>
      <c r="E226" t="str">
        <f t="shared" si="111"/>
        <v>PU001</v>
      </c>
      <c r="F226" t="str">
        <f>INDEX(Katalog!$B$4:$B$13,MATCH('Main Data'!E226,Katalog!$C$4:$C$13,0))</f>
        <v>Jaket Hoodie</v>
      </c>
      <c r="G226" t="str">
        <f>VLOOKUP(E226,Katalog!$A$15:$B$25,2,0)</f>
        <v>Pakaian Unisex</v>
      </c>
      <c r="H226" t="str">
        <f t="shared" si="112"/>
        <v>3</v>
      </c>
      <c r="I226" t="str">
        <f t="shared" si="113"/>
        <v>4</v>
      </c>
      <c r="J226" s="18">
        <f>VLOOKUP(E226,Katalog!$C$3:$F$13,2,0)</f>
        <v>160000</v>
      </c>
      <c r="K226" s="18">
        <f>VLOOKUP(E226,Katalog!$C$3:$F$13,3,0)</f>
        <v>60000</v>
      </c>
      <c r="L226" t="str">
        <f t="shared" si="114"/>
        <v>-</v>
      </c>
      <c r="M226" t="str">
        <f>IFERROR(INDEX(Katalog!$B$4:$B$13,MATCH('Main Data'!L226,Katalog!$C$4:$C$13,0)), "-")</f>
        <v>-</v>
      </c>
      <c r="N226" t="str">
        <f>IFERROR(VLOOKUP(L226,Katalog!$A$15:$B$25,2,0),"-")</f>
        <v>-</v>
      </c>
      <c r="O226">
        <f t="shared" si="115"/>
        <v>0</v>
      </c>
      <c r="P226" t="str">
        <f t="shared" si="116"/>
        <v>-</v>
      </c>
      <c r="Q226" s="18">
        <f>IFERROR(VLOOKUP(L226,Katalog!$C$3:$F$13,2,0),0)</f>
        <v>0</v>
      </c>
      <c r="R226" s="18">
        <f>IFERROR(VLOOKUP(L226,Katalog!$C$3:$F$13,3,0),0)</f>
        <v>0</v>
      </c>
      <c r="S226" t="str">
        <f t="shared" si="117"/>
        <v>-</v>
      </c>
      <c r="T226" t="str">
        <f>IFERROR(INDEX(Katalog!$B$4:$B$13,MATCH('Main Data'!S226,Katalog!$C$4:$C$13,0)),"-")</f>
        <v>-</v>
      </c>
      <c r="U226" t="str">
        <f>IFERROR(VLOOKUP(S226,Katalog!$A$15:$B$25,2,0),"-")</f>
        <v>-</v>
      </c>
      <c r="V226">
        <f t="shared" si="118"/>
        <v>0</v>
      </c>
      <c r="W226" s="28" t="str">
        <f t="shared" si="119"/>
        <v>-</v>
      </c>
      <c r="X226" s="18">
        <f>IFERROR(VLOOKUP(S226,Katalog!$C$3:$F$13,2,0),0)</f>
        <v>0</v>
      </c>
      <c r="Y226" s="30">
        <f>IFERROR(VLOOKUP(S226,Katalog!$C$3:$F$13,3,0),0)</f>
        <v>0</v>
      </c>
      <c r="Z226" s="2">
        <f t="shared" si="120"/>
        <v>3</v>
      </c>
      <c r="AA226" s="4">
        <f t="shared" si="121"/>
        <v>480000</v>
      </c>
      <c r="AB226" s="4">
        <f t="shared" si="122"/>
        <v>180000</v>
      </c>
      <c r="AC226" s="4" t="s">
        <v>12</v>
      </c>
      <c r="AD226" s="16">
        <f>IFERROR(VLOOKUP(AC226,'Kode Diskon'!$C$2:$D$9,2,0),0)</f>
        <v>0.15</v>
      </c>
      <c r="AE226" s="31">
        <f t="shared" si="123"/>
        <v>72000</v>
      </c>
      <c r="AF226" s="31">
        <f t="shared" si="124"/>
        <v>408000</v>
      </c>
      <c r="AG226" s="31">
        <f t="shared" si="125"/>
        <v>300000</v>
      </c>
      <c r="AH226" s="31">
        <f t="shared" si="126"/>
        <v>228000</v>
      </c>
      <c r="AI226" s="4" t="s">
        <v>28</v>
      </c>
      <c r="AJ226" s="4" t="s">
        <v>6</v>
      </c>
      <c r="AK226" s="4" t="str">
        <f>IFERROR(VLOOKUP(AJ226,'Guide '!$A$13:$B$16,2,0),"-")</f>
        <v>SP</v>
      </c>
      <c r="AL226" s="4" t="s">
        <v>923</v>
      </c>
      <c r="AM226" s="40">
        <v>45373</v>
      </c>
      <c r="AN226">
        <f t="shared" si="127"/>
        <v>29</v>
      </c>
      <c r="AO226">
        <f t="shared" si="128"/>
        <v>32</v>
      </c>
      <c r="AP226">
        <f t="shared" si="129"/>
        <v>40</v>
      </c>
      <c r="AQ226">
        <f t="shared" si="130"/>
        <v>43</v>
      </c>
      <c r="AR226" s="26" t="str">
        <f t="shared" si="131"/>
        <v>-</v>
      </c>
      <c r="AS226" s="26" t="str">
        <f t="shared" si="132"/>
        <v>-</v>
      </c>
      <c r="AT226" s="21">
        <f t="shared" si="133"/>
        <v>12</v>
      </c>
      <c r="AU226" s="21">
        <f t="shared" si="134"/>
        <v>19</v>
      </c>
      <c r="AV226" t="str">
        <f t="shared" si="135"/>
        <v>-</v>
      </c>
      <c r="AW226" t="str">
        <f t="shared" si="136"/>
        <v>-</v>
      </c>
      <c r="AX226" t="str">
        <f t="shared" si="137"/>
        <v>-</v>
      </c>
      <c r="AY226" t="str">
        <f t="shared" si="138"/>
        <v>-</v>
      </c>
      <c r="AZ226" t="str">
        <f t="shared" si="139"/>
        <v>-</v>
      </c>
      <c r="BA226" t="str">
        <f t="shared" si="140"/>
        <v>-</v>
      </c>
      <c r="BB226" t="str">
        <f t="shared" si="141"/>
        <v>-</v>
      </c>
      <c r="BC226" t="str">
        <f t="shared" si="142"/>
        <v>-</v>
      </c>
      <c r="BD226" s="29" t="str">
        <f t="shared" si="143"/>
        <v>-</v>
      </c>
      <c r="BE226" s="29" t="str">
        <f t="shared" si="144"/>
        <v>-</v>
      </c>
    </row>
    <row r="227" spans="1:57" ht="15" x14ac:dyDescent="0.2">
      <c r="A227" s="2">
        <v>754</v>
      </c>
      <c r="B227" s="2" t="str">
        <f t="shared" si="109"/>
        <v>0754</v>
      </c>
      <c r="C227" t="str">
        <f t="shared" si="110"/>
        <v>ORD-SP-0754-22/03/24</v>
      </c>
      <c r="D227" s="3" t="s">
        <v>734</v>
      </c>
      <c r="E227" t="str">
        <f t="shared" si="111"/>
        <v>PP003</v>
      </c>
      <c r="F227" t="str">
        <f>INDEX(Katalog!$B$4:$B$13,MATCH('Main Data'!E227,Katalog!$C$4:$C$13,0))</f>
        <v>Jaket Jeans</v>
      </c>
      <c r="G227" t="str">
        <f>VLOOKUP(E227,Katalog!$A$15:$B$25,2,0)</f>
        <v>Pakaian Pria</v>
      </c>
      <c r="H227" t="str">
        <f t="shared" si="112"/>
        <v>1</v>
      </c>
      <c r="I227" t="str">
        <f t="shared" si="113"/>
        <v>5</v>
      </c>
      <c r="J227" s="18">
        <f>VLOOKUP(E227,Katalog!$C$3:$F$13,2,0)</f>
        <v>150000</v>
      </c>
      <c r="K227" s="18">
        <f>VLOOKUP(E227,Katalog!$C$3:$F$13,3,0)</f>
        <v>70000</v>
      </c>
      <c r="L227" t="str">
        <f t="shared" si="114"/>
        <v>PP002</v>
      </c>
      <c r="M227" t="str">
        <f>IFERROR(INDEX(Katalog!$B$4:$B$13,MATCH('Main Data'!L227,Katalog!$C$4:$C$13,0)), "-")</f>
        <v>Celana Pendek</v>
      </c>
      <c r="N227" t="str">
        <f>IFERROR(VLOOKUP(L227,Katalog!$A$15:$B$25,2,0),"-")</f>
        <v>Pakaian Pria</v>
      </c>
      <c r="O227" t="str">
        <f t="shared" si="115"/>
        <v>1</v>
      </c>
      <c r="P227" t="str">
        <f t="shared" si="116"/>
        <v>4</v>
      </c>
      <c r="Q227" s="18">
        <f>IFERROR(VLOOKUP(L227,Katalog!$C$3:$F$13,2,0),0)</f>
        <v>60000</v>
      </c>
      <c r="R227" s="18">
        <f>IFERROR(VLOOKUP(L227,Katalog!$C$3:$F$13,3,0),0)</f>
        <v>25000</v>
      </c>
      <c r="S227" t="str">
        <f t="shared" si="117"/>
        <v>SP002</v>
      </c>
      <c r="T227" t="str">
        <f>IFERROR(INDEX(Katalog!$B$4:$B$13,MATCH('Main Data'!S227,Katalog!$C$4:$C$13,0)),"-")</f>
        <v>Sandal Slip On</v>
      </c>
      <c r="U227" t="str">
        <f>IFERROR(VLOOKUP(S227,Katalog!$A$15:$B$25,2,0),"-")</f>
        <v>Sepatu Pria</v>
      </c>
      <c r="V227" t="str">
        <f t="shared" si="118"/>
        <v>5</v>
      </c>
      <c r="W227" s="28" t="str">
        <f t="shared" si="119"/>
        <v>3</v>
      </c>
      <c r="X227" s="18">
        <f>IFERROR(VLOOKUP(S227,Katalog!$C$3:$F$13,2,0),0)</f>
        <v>120000</v>
      </c>
      <c r="Y227" s="30">
        <f>IFERROR(VLOOKUP(S227,Katalog!$C$3:$F$13,3,0),0)</f>
        <v>60000</v>
      </c>
      <c r="Z227" s="2">
        <f t="shared" si="120"/>
        <v>7</v>
      </c>
      <c r="AA227" s="4">
        <f t="shared" si="121"/>
        <v>810000</v>
      </c>
      <c r="AB227" s="4">
        <f t="shared" si="122"/>
        <v>395000</v>
      </c>
      <c r="AC227" s="4" t="s">
        <v>12</v>
      </c>
      <c r="AD227" s="16">
        <f>IFERROR(VLOOKUP(AC227,'Kode Diskon'!$C$2:$D$9,2,0),0)</f>
        <v>0.15</v>
      </c>
      <c r="AE227" s="31">
        <f t="shared" si="123"/>
        <v>121500</v>
      </c>
      <c r="AF227" s="31">
        <f t="shared" si="124"/>
        <v>688500</v>
      </c>
      <c r="AG227" s="31">
        <f t="shared" si="125"/>
        <v>415000</v>
      </c>
      <c r="AH227" s="31">
        <f t="shared" si="126"/>
        <v>293500</v>
      </c>
      <c r="AI227" s="4" t="s">
        <v>28</v>
      </c>
      <c r="AJ227" s="4" t="s">
        <v>6</v>
      </c>
      <c r="AK227" s="4" t="str">
        <f>IFERROR(VLOOKUP(AJ227,'Guide '!$A$13:$B$16,2,0),"-")</f>
        <v>SP</v>
      </c>
      <c r="AL227" s="4" t="s">
        <v>1006</v>
      </c>
      <c r="AM227" s="40">
        <v>45373</v>
      </c>
      <c r="AN227">
        <f t="shared" si="127"/>
        <v>29</v>
      </c>
      <c r="AO227">
        <f t="shared" si="128"/>
        <v>32</v>
      </c>
      <c r="AP227">
        <f t="shared" si="129"/>
        <v>40</v>
      </c>
      <c r="AQ227">
        <f t="shared" si="130"/>
        <v>43</v>
      </c>
      <c r="AR227" s="26">
        <f t="shared" si="131"/>
        <v>56</v>
      </c>
      <c r="AS227" s="26">
        <f t="shared" si="132"/>
        <v>63</v>
      </c>
      <c r="AT227" s="21">
        <f t="shared" si="133"/>
        <v>12</v>
      </c>
      <c r="AU227" s="21">
        <f t="shared" si="134"/>
        <v>19</v>
      </c>
      <c r="AV227">
        <f t="shared" si="135"/>
        <v>73</v>
      </c>
      <c r="AW227">
        <f t="shared" si="136"/>
        <v>76</v>
      </c>
      <c r="AX227">
        <f t="shared" si="137"/>
        <v>84</v>
      </c>
      <c r="AY227">
        <f t="shared" si="138"/>
        <v>87</v>
      </c>
      <c r="AZ227">
        <f t="shared" si="139"/>
        <v>100</v>
      </c>
      <c r="BA227">
        <f t="shared" si="140"/>
        <v>107</v>
      </c>
      <c r="BB227">
        <f t="shared" si="141"/>
        <v>117</v>
      </c>
      <c r="BC227">
        <f t="shared" si="142"/>
        <v>120</v>
      </c>
      <c r="BD227" s="29">
        <f t="shared" si="143"/>
        <v>128</v>
      </c>
      <c r="BE227" s="29">
        <f t="shared" si="144"/>
        <v>131</v>
      </c>
    </row>
    <row r="228" spans="1:57" ht="15" x14ac:dyDescent="0.2">
      <c r="A228" s="2">
        <v>837</v>
      </c>
      <c r="B228" s="2" t="str">
        <f t="shared" si="109"/>
        <v>0837</v>
      </c>
      <c r="C228" t="str">
        <f t="shared" si="110"/>
        <v>ORD-TK-0837-22/03/24</v>
      </c>
      <c r="D228" s="3" t="s">
        <v>469</v>
      </c>
      <c r="E228" t="str">
        <f t="shared" si="111"/>
        <v>SP002</v>
      </c>
      <c r="F228" t="str">
        <f>INDEX(Katalog!$B$4:$B$13,MATCH('Main Data'!E228,Katalog!$C$4:$C$13,0))</f>
        <v>Sandal Slip On</v>
      </c>
      <c r="G228" t="str">
        <f>VLOOKUP(E228,Katalog!$A$15:$B$25,2,0)</f>
        <v>Sepatu Pria</v>
      </c>
      <c r="H228" t="str">
        <f t="shared" si="112"/>
        <v>7</v>
      </c>
      <c r="I228" t="str">
        <f t="shared" si="113"/>
        <v>4</v>
      </c>
      <c r="J228" s="18">
        <f>VLOOKUP(E228,Katalog!$C$3:$F$13,2,0)</f>
        <v>120000</v>
      </c>
      <c r="K228" s="18">
        <f>VLOOKUP(E228,Katalog!$C$3:$F$13,3,0)</f>
        <v>60000</v>
      </c>
      <c r="L228" t="str">
        <f t="shared" si="114"/>
        <v>-</v>
      </c>
      <c r="M228" t="str">
        <f>IFERROR(INDEX(Katalog!$B$4:$B$13,MATCH('Main Data'!L228,Katalog!$C$4:$C$13,0)), "-")</f>
        <v>-</v>
      </c>
      <c r="N228" t="str">
        <f>IFERROR(VLOOKUP(L228,Katalog!$A$15:$B$25,2,0),"-")</f>
        <v>-</v>
      </c>
      <c r="O228">
        <f t="shared" si="115"/>
        <v>0</v>
      </c>
      <c r="P228" t="str">
        <f t="shared" si="116"/>
        <v>-</v>
      </c>
      <c r="Q228" s="18">
        <f>IFERROR(VLOOKUP(L228,Katalog!$C$3:$F$13,2,0),0)</f>
        <v>0</v>
      </c>
      <c r="R228" s="18">
        <f>IFERROR(VLOOKUP(L228,Katalog!$C$3:$F$13,3,0),0)</f>
        <v>0</v>
      </c>
      <c r="S228" t="str">
        <f t="shared" si="117"/>
        <v>-</v>
      </c>
      <c r="T228" t="str">
        <f>IFERROR(INDEX(Katalog!$B$4:$B$13,MATCH('Main Data'!S228,Katalog!$C$4:$C$13,0)),"-")</f>
        <v>-</v>
      </c>
      <c r="U228" t="str">
        <f>IFERROR(VLOOKUP(S228,Katalog!$A$15:$B$25,2,0),"-")</f>
        <v>-</v>
      </c>
      <c r="V228">
        <f t="shared" si="118"/>
        <v>0</v>
      </c>
      <c r="W228" s="28" t="str">
        <f t="shared" si="119"/>
        <v>-</v>
      </c>
      <c r="X228" s="18">
        <f>IFERROR(VLOOKUP(S228,Katalog!$C$3:$F$13,2,0),0)</f>
        <v>0</v>
      </c>
      <c r="Y228" s="30">
        <f>IFERROR(VLOOKUP(S228,Katalog!$C$3:$F$13,3,0),0)</f>
        <v>0</v>
      </c>
      <c r="Z228" s="2">
        <f t="shared" si="120"/>
        <v>7</v>
      </c>
      <c r="AA228" s="4">
        <f t="shared" si="121"/>
        <v>840000</v>
      </c>
      <c r="AB228" s="4">
        <f t="shared" si="122"/>
        <v>420000</v>
      </c>
      <c r="AC228" s="4" t="s">
        <v>29</v>
      </c>
      <c r="AD228" s="16">
        <f>IFERROR(VLOOKUP(AC228,'Kode Diskon'!$C$2:$D$9,2,0),0)</f>
        <v>0.1</v>
      </c>
      <c r="AE228" s="31">
        <f t="shared" si="123"/>
        <v>84000</v>
      </c>
      <c r="AF228" s="31">
        <f t="shared" si="124"/>
        <v>756000</v>
      </c>
      <c r="AG228" s="31">
        <f t="shared" si="125"/>
        <v>420000</v>
      </c>
      <c r="AH228" s="31">
        <f t="shared" si="126"/>
        <v>336000</v>
      </c>
      <c r="AI228" s="4" t="s">
        <v>28</v>
      </c>
      <c r="AJ228" s="4" t="s">
        <v>9</v>
      </c>
      <c r="AK228" s="4" t="str">
        <f>IFERROR(VLOOKUP(AJ228,'Guide '!$A$13:$B$16,2,0),"-")</f>
        <v>TK</v>
      </c>
      <c r="AL228" s="4" t="s">
        <v>925</v>
      </c>
      <c r="AM228" s="40">
        <v>45373</v>
      </c>
      <c r="AN228">
        <f t="shared" si="127"/>
        <v>29</v>
      </c>
      <c r="AO228">
        <f t="shared" si="128"/>
        <v>32</v>
      </c>
      <c r="AP228">
        <f t="shared" si="129"/>
        <v>40</v>
      </c>
      <c r="AQ228">
        <f t="shared" si="130"/>
        <v>43</v>
      </c>
      <c r="AR228" s="26" t="str">
        <f t="shared" si="131"/>
        <v>-</v>
      </c>
      <c r="AS228" s="26" t="str">
        <f t="shared" si="132"/>
        <v>-</v>
      </c>
      <c r="AT228" s="21">
        <f t="shared" si="133"/>
        <v>12</v>
      </c>
      <c r="AU228" s="21">
        <f t="shared" si="134"/>
        <v>19</v>
      </c>
      <c r="AV228" t="str">
        <f t="shared" si="135"/>
        <v>-</v>
      </c>
      <c r="AW228" t="str">
        <f t="shared" si="136"/>
        <v>-</v>
      </c>
      <c r="AX228" t="str">
        <f t="shared" si="137"/>
        <v>-</v>
      </c>
      <c r="AY228" t="str">
        <f t="shared" si="138"/>
        <v>-</v>
      </c>
      <c r="AZ228" t="str">
        <f t="shared" si="139"/>
        <v>-</v>
      </c>
      <c r="BA228" t="str">
        <f t="shared" si="140"/>
        <v>-</v>
      </c>
      <c r="BB228" t="str">
        <f t="shared" si="141"/>
        <v>-</v>
      </c>
      <c r="BC228" t="str">
        <f t="shared" si="142"/>
        <v>-</v>
      </c>
      <c r="BD228" s="29" t="str">
        <f t="shared" si="143"/>
        <v>-</v>
      </c>
      <c r="BE228" s="29" t="str">
        <f t="shared" si="144"/>
        <v>-</v>
      </c>
    </row>
    <row r="229" spans="1:57" ht="15" x14ac:dyDescent="0.2">
      <c r="A229" s="2">
        <v>845</v>
      </c>
      <c r="B229" s="2" t="str">
        <f t="shared" si="109"/>
        <v>0845</v>
      </c>
      <c r="C229" t="str">
        <f t="shared" si="110"/>
        <v>ORD-BB-0845-22/03/24</v>
      </c>
      <c r="D229" s="3" t="s">
        <v>799</v>
      </c>
      <c r="E229" t="str">
        <f t="shared" si="111"/>
        <v>PU001</v>
      </c>
      <c r="F229" t="str">
        <f>INDEX(Katalog!$B$4:$B$13,MATCH('Main Data'!E229,Katalog!$C$4:$C$13,0))</f>
        <v>Jaket Hoodie</v>
      </c>
      <c r="G229" t="str">
        <f>VLOOKUP(E229,Katalog!$A$15:$B$25,2,0)</f>
        <v>Pakaian Unisex</v>
      </c>
      <c r="H229" t="str">
        <f t="shared" si="112"/>
        <v>2</v>
      </c>
      <c r="I229" t="str">
        <f t="shared" si="113"/>
        <v>3</v>
      </c>
      <c r="J229" s="18">
        <f>VLOOKUP(E229,Katalog!$C$3:$F$13,2,0)</f>
        <v>160000</v>
      </c>
      <c r="K229" s="18">
        <f>VLOOKUP(E229,Katalog!$C$3:$F$13,3,0)</f>
        <v>60000</v>
      </c>
      <c r="L229" t="str">
        <f t="shared" si="114"/>
        <v>PW001</v>
      </c>
      <c r="M229" t="str">
        <f>IFERROR(INDEX(Katalog!$B$4:$B$13,MATCH('Main Data'!L229,Katalog!$C$4:$C$13,0)), "-")</f>
        <v>Dress</v>
      </c>
      <c r="N229" t="str">
        <f>IFERROR(VLOOKUP(L229,Katalog!$A$15:$B$25,2,0),"-")</f>
        <v>Pakaian Wanita</v>
      </c>
      <c r="O229" t="str">
        <f t="shared" si="115"/>
        <v>2</v>
      </c>
      <c r="P229" t="str">
        <f t="shared" si="116"/>
        <v>4</v>
      </c>
      <c r="Q229" s="18">
        <f>IFERROR(VLOOKUP(L229,Katalog!$C$3:$F$13,2,0),0)</f>
        <v>150000</v>
      </c>
      <c r="R229" s="18">
        <f>IFERROR(VLOOKUP(L229,Katalog!$C$3:$F$13,3,0),0)</f>
        <v>55000</v>
      </c>
      <c r="S229" t="str">
        <f t="shared" si="117"/>
        <v>PP002</v>
      </c>
      <c r="T229" t="str">
        <f>IFERROR(INDEX(Katalog!$B$4:$B$13,MATCH('Main Data'!S229,Katalog!$C$4:$C$13,0)),"-")</f>
        <v>Celana Pendek</v>
      </c>
      <c r="U229" t="str">
        <f>IFERROR(VLOOKUP(S229,Katalog!$A$15:$B$25,2,0),"-")</f>
        <v>Pakaian Pria</v>
      </c>
      <c r="V229" t="str">
        <f t="shared" si="118"/>
        <v>1</v>
      </c>
      <c r="W229" s="28" t="str">
        <f t="shared" si="119"/>
        <v>5</v>
      </c>
      <c r="X229" s="18">
        <f>IFERROR(VLOOKUP(S229,Katalog!$C$3:$F$13,2,0),0)</f>
        <v>60000</v>
      </c>
      <c r="Y229" s="30">
        <f>IFERROR(VLOOKUP(S229,Katalog!$C$3:$F$13,3,0),0)</f>
        <v>25000</v>
      </c>
      <c r="Z229" s="2">
        <f t="shared" si="120"/>
        <v>5</v>
      </c>
      <c r="AA229" s="4">
        <f t="shared" si="121"/>
        <v>680000</v>
      </c>
      <c r="AB229" s="4">
        <f t="shared" si="122"/>
        <v>255000</v>
      </c>
      <c r="AC229" s="4" t="s">
        <v>27</v>
      </c>
      <c r="AD229" s="16">
        <f>IFERROR(VLOOKUP(AC229,'Kode Diskon'!$C$2:$D$9,2,0),0)</f>
        <v>0.15</v>
      </c>
      <c r="AE229" s="31">
        <f t="shared" si="123"/>
        <v>102000</v>
      </c>
      <c r="AF229" s="31">
        <f t="shared" si="124"/>
        <v>578000</v>
      </c>
      <c r="AG229" s="31">
        <f t="shared" si="125"/>
        <v>425000</v>
      </c>
      <c r="AH229" s="31">
        <f t="shared" si="126"/>
        <v>323000</v>
      </c>
      <c r="AI229" s="4" t="s">
        <v>28</v>
      </c>
      <c r="AJ229" s="4" t="s">
        <v>13</v>
      </c>
      <c r="AK229" s="4" t="str">
        <f>IFERROR(VLOOKUP(AJ229,'Guide '!$A$13:$B$16,2,0),"-")</f>
        <v>BB</v>
      </c>
      <c r="AL229" s="4" t="s">
        <v>921</v>
      </c>
      <c r="AM229" s="40">
        <v>45373</v>
      </c>
      <c r="AN229">
        <f t="shared" si="127"/>
        <v>29</v>
      </c>
      <c r="AO229">
        <f t="shared" si="128"/>
        <v>32</v>
      </c>
      <c r="AP229">
        <f t="shared" si="129"/>
        <v>40</v>
      </c>
      <c r="AQ229">
        <f t="shared" si="130"/>
        <v>43</v>
      </c>
      <c r="AR229" s="26">
        <f t="shared" si="131"/>
        <v>56</v>
      </c>
      <c r="AS229" s="26">
        <f t="shared" si="132"/>
        <v>63</v>
      </c>
      <c r="AT229" s="21">
        <f t="shared" si="133"/>
        <v>12</v>
      </c>
      <c r="AU229" s="21">
        <f t="shared" si="134"/>
        <v>19</v>
      </c>
      <c r="AV229">
        <f t="shared" si="135"/>
        <v>73</v>
      </c>
      <c r="AW229">
        <f t="shared" si="136"/>
        <v>76</v>
      </c>
      <c r="AX229">
        <f t="shared" si="137"/>
        <v>84</v>
      </c>
      <c r="AY229">
        <f t="shared" si="138"/>
        <v>87</v>
      </c>
      <c r="AZ229">
        <f t="shared" si="139"/>
        <v>100</v>
      </c>
      <c r="BA229">
        <f t="shared" si="140"/>
        <v>107</v>
      </c>
      <c r="BB229">
        <f t="shared" si="141"/>
        <v>117</v>
      </c>
      <c r="BC229">
        <f t="shared" si="142"/>
        <v>120</v>
      </c>
      <c r="BD229" s="29">
        <f t="shared" si="143"/>
        <v>128</v>
      </c>
      <c r="BE229" s="29">
        <f t="shared" si="144"/>
        <v>131</v>
      </c>
    </row>
    <row r="230" spans="1:57" ht="15" x14ac:dyDescent="0.2">
      <c r="A230" s="2">
        <v>912</v>
      </c>
      <c r="B230" s="2" t="str">
        <f t="shared" si="109"/>
        <v>0912</v>
      </c>
      <c r="C230" t="str">
        <f t="shared" si="110"/>
        <v>ORD-TK-0912-22/03/24</v>
      </c>
      <c r="D230" s="3" t="s">
        <v>848</v>
      </c>
      <c r="E230" t="str">
        <f t="shared" si="111"/>
        <v>PW002</v>
      </c>
      <c r="F230" t="str">
        <f>INDEX(Katalog!$B$4:$B$13,MATCH('Main Data'!E230,Katalog!$C$4:$C$13,0))</f>
        <v>Blouse</v>
      </c>
      <c r="G230" t="str">
        <f>VLOOKUP(E230,Katalog!$A$15:$B$25,2,0)</f>
        <v>Pakaian Wanita</v>
      </c>
      <c r="H230" t="str">
        <f t="shared" si="112"/>
        <v>6</v>
      </c>
      <c r="I230" t="str">
        <f t="shared" si="113"/>
        <v>2</v>
      </c>
      <c r="J230" s="18">
        <f>VLOOKUP(E230,Katalog!$C$3:$F$13,2,0)</f>
        <v>125000</v>
      </c>
      <c r="K230" s="18">
        <f>VLOOKUP(E230,Katalog!$C$3:$F$13,3,0)</f>
        <v>50000</v>
      </c>
      <c r="L230" t="str">
        <f t="shared" si="114"/>
        <v>SW001</v>
      </c>
      <c r="M230" t="str">
        <f>IFERROR(INDEX(Katalog!$B$4:$B$13,MATCH('Main Data'!L230,Katalog!$C$4:$C$13,0)), "-")</f>
        <v>Flat Shoes</v>
      </c>
      <c r="N230" t="str">
        <f>IFERROR(VLOOKUP(L230,Katalog!$A$15:$B$25,2,0),"-")</f>
        <v>Sepatu Wanita</v>
      </c>
      <c r="O230" t="str">
        <f t="shared" si="115"/>
        <v>1</v>
      </c>
      <c r="P230" t="str">
        <f t="shared" si="116"/>
        <v>5</v>
      </c>
      <c r="Q230" s="18">
        <f>IFERROR(VLOOKUP(L230,Katalog!$C$3:$F$13,2,0),0)</f>
        <v>150000</v>
      </c>
      <c r="R230" s="18">
        <f>IFERROR(VLOOKUP(L230,Katalog!$C$3:$F$13,3,0),0)</f>
        <v>70000</v>
      </c>
      <c r="S230" t="str">
        <f t="shared" si="117"/>
        <v>-</v>
      </c>
      <c r="T230" t="str">
        <f>IFERROR(INDEX(Katalog!$B$4:$B$13,MATCH('Main Data'!S230,Katalog!$C$4:$C$13,0)),"-")</f>
        <v>-</v>
      </c>
      <c r="U230" t="str">
        <f>IFERROR(VLOOKUP(S230,Katalog!$A$15:$B$25,2,0),"-")</f>
        <v>-</v>
      </c>
      <c r="V230">
        <f t="shared" si="118"/>
        <v>0</v>
      </c>
      <c r="W230" s="28" t="str">
        <f t="shared" si="119"/>
        <v>-</v>
      </c>
      <c r="X230" s="18">
        <f>IFERROR(VLOOKUP(S230,Katalog!$C$3:$F$13,2,0),0)</f>
        <v>0</v>
      </c>
      <c r="Y230" s="30">
        <f>IFERROR(VLOOKUP(S230,Katalog!$C$3:$F$13,3,0),0)</f>
        <v>0</v>
      </c>
      <c r="Z230" s="2">
        <f t="shared" si="120"/>
        <v>7</v>
      </c>
      <c r="AA230" s="4">
        <f t="shared" si="121"/>
        <v>900000</v>
      </c>
      <c r="AB230" s="4">
        <f t="shared" si="122"/>
        <v>370000</v>
      </c>
      <c r="AC230" s="4" t="s">
        <v>30</v>
      </c>
      <c r="AD230" s="16">
        <f>IFERROR(VLOOKUP(AC230,'Kode Diskon'!$C$2:$D$9,2,0),0)</f>
        <v>0.1</v>
      </c>
      <c r="AE230" s="31">
        <f t="shared" si="123"/>
        <v>90000</v>
      </c>
      <c r="AF230" s="31">
        <f t="shared" si="124"/>
        <v>810000</v>
      </c>
      <c r="AG230" s="31">
        <f t="shared" si="125"/>
        <v>530000</v>
      </c>
      <c r="AH230" s="31">
        <f t="shared" si="126"/>
        <v>440000</v>
      </c>
      <c r="AI230" s="4" t="s">
        <v>8</v>
      </c>
      <c r="AJ230" s="4" t="s">
        <v>9</v>
      </c>
      <c r="AK230" s="4" t="str">
        <f>IFERROR(VLOOKUP(AJ230,'Guide '!$A$13:$B$16,2,0),"-")</f>
        <v>TK</v>
      </c>
      <c r="AL230" s="4" t="s">
        <v>924</v>
      </c>
      <c r="AM230" s="40">
        <v>45373</v>
      </c>
      <c r="AN230">
        <f t="shared" si="127"/>
        <v>29</v>
      </c>
      <c r="AO230">
        <f t="shared" si="128"/>
        <v>32</v>
      </c>
      <c r="AP230">
        <f t="shared" si="129"/>
        <v>40</v>
      </c>
      <c r="AQ230">
        <f t="shared" si="130"/>
        <v>43</v>
      </c>
      <c r="AR230" s="26">
        <f t="shared" si="131"/>
        <v>56</v>
      </c>
      <c r="AS230" s="26">
        <f t="shared" si="132"/>
        <v>63</v>
      </c>
      <c r="AT230" s="21">
        <f t="shared" si="133"/>
        <v>12</v>
      </c>
      <c r="AU230" s="21">
        <f t="shared" si="134"/>
        <v>19</v>
      </c>
      <c r="AV230">
        <f t="shared" si="135"/>
        <v>73</v>
      </c>
      <c r="AW230">
        <f t="shared" si="136"/>
        <v>76</v>
      </c>
      <c r="AX230">
        <f t="shared" si="137"/>
        <v>84</v>
      </c>
      <c r="AY230">
        <f t="shared" si="138"/>
        <v>87</v>
      </c>
      <c r="AZ230" t="str">
        <f t="shared" si="139"/>
        <v>-</v>
      </c>
      <c r="BA230" t="str">
        <f t="shared" si="140"/>
        <v>-</v>
      </c>
      <c r="BB230" t="str">
        <f t="shared" si="141"/>
        <v>-</v>
      </c>
      <c r="BC230" t="str">
        <f t="shared" si="142"/>
        <v>-</v>
      </c>
      <c r="BD230" s="29" t="str">
        <f t="shared" si="143"/>
        <v>-</v>
      </c>
      <c r="BE230" s="29" t="str">
        <f t="shared" si="144"/>
        <v>-</v>
      </c>
    </row>
    <row r="231" spans="1:57" ht="15" x14ac:dyDescent="0.2">
      <c r="A231" s="2">
        <v>10</v>
      </c>
      <c r="B231" s="2" t="str">
        <f t="shared" si="109"/>
        <v>0010</v>
      </c>
      <c r="C231" t="str">
        <f t="shared" si="110"/>
        <v>ORD-SP-0010-23/03/24</v>
      </c>
      <c r="D231" s="3" t="s">
        <v>84</v>
      </c>
      <c r="E231" t="str">
        <f t="shared" si="111"/>
        <v>PP002</v>
      </c>
      <c r="F231" t="str">
        <f>INDEX(Katalog!$B$4:$B$13,MATCH('Main Data'!E231,Katalog!$C$4:$C$13,0))</f>
        <v>Celana Pendek</v>
      </c>
      <c r="G231" t="str">
        <f>VLOOKUP(E231,Katalog!$A$15:$B$25,2,0)</f>
        <v>Pakaian Pria</v>
      </c>
      <c r="H231" t="str">
        <f t="shared" si="112"/>
        <v>3</v>
      </c>
      <c r="I231" t="str">
        <f t="shared" si="113"/>
        <v>4</v>
      </c>
      <c r="J231" s="18">
        <f>VLOOKUP(E231,Katalog!$C$3:$F$13,2,0)</f>
        <v>60000</v>
      </c>
      <c r="K231" s="18">
        <f>VLOOKUP(E231,Katalog!$C$3:$F$13,3,0)</f>
        <v>25000</v>
      </c>
      <c r="L231" t="str">
        <f t="shared" si="114"/>
        <v>PP001</v>
      </c>
      <c r="M231" t="str">
        <f>IFERROR(INDEX(Katalog!$B$4:$B$13,MATCH('Main Data'!L231,Katalog!$C$4:$C$13,0)), "-")</f>
        <v>Kaos Polo</v>
      </c>
      <c r="N231" t="str">
        <f>IFERROR(VLOOKUP(L231,Katalog!$A$15:$B$25,2,0),"-")</f>
        <v>Pakaian Pria</v>
      </c>
      <c r="O231" t="str">
        <f t="shared" si="115"/>
        <v>2</v>
      </c>
      <c r="P231" t="str">
        <f t="shared" si="116"/>
        <v>5</v>
      </c>
      <c r="Q231" s="18">
        <f>IFERROR(VLOOKUP(L231,Katalog!$C$3:$F$13,2,0),0)</f>
        <v>80000</v>
      </c>
      <c r="R231" s="18">
        <f>IFERROR(VLOOKUP(L231,Katalog!$C$3:$F$13,3,0),0)</f>
        <v>30000</v>
      </c>
      <c r="S231" t="str">
        <f t="shared" si="117"/>
        <v>-</v>
      </c>
      <c r="T231" t="str">
        <f>IFERROR(INDEX(Katalog!$B$4:$B$13,MATCH('Main Data'!S231,Katalog!$C$4:$C$13,0)),"-")</f>
        <v>-</v>
      </c>
      <c r="U231" t="str">
        <f>IFERROR(VLOOKUP(S231,Katalog!$A$15:$B$25,2,0),"-")</f>
        <v>-</v>
      </c>
      <c r="V231">
        <f t="shared" si="118"/>
        <v>0</v>
      </c>
      <c r="W231" s="28" t="str">
        <f t="shared" si="119"/>
        <v>-</v>
      </c>
      <c r="X231" s="18">
        <f>IFERROR(VLOOKUP(S231,Katalog!$C$3:$F$13,2,0),0)</f>
        <v>0</v>
      </c>
      <c r="Y231" s="30">
        <f>IFERROR(VLOOKUP(S231,Katalog!$C$3:$F$13,3,0),0)</f>
        <v>0</v>
      </c>
      <c r="Z231" s="2">
        <f t="shared" si="120"/>
        <v>5</v>
      </c>
      <c r="AA231" s="4">
        <f t="shared" si="121"/>
        <v>340000</v>
      </c>
      <c r="AB231" s="4">
        <f t="shared" si="122"/>
        <v>135000</v>
      </c>
      <c r="AC231" s="4" t="s">
        <v>12</v>
      </c>
      <c r="AD231" s="16">
        <f>IFERROR(VLOOKUP(AC231,'Kode Diskon'!$C$2:$D$9,2,0),0)</f>
        <v>0.15</v>
      </c>
      <c r="AE231" s="31">
        <f t="shared" si="123"/>
        <v>51000</v>
      </c>
      <c r="AF231" s="31">
        <f t="shared" si="124"/>
        <v>289000</v>
      </c>
      <c r="AG231" s="31">
        <f t="shared" si="125"/>
        <v>205000</v>
      </c>
      <c r="AH231" s="31">
        <f t="shared" si="126"/>
        <v>154000</v>
      </c>
      <c r="AI231" s="4" t="s">
        <v>28</v>
      </c>
      <c r="AJ231" s="4" t="s">
        <v>6</v>
      </c>
      <c r="AK231" s="4" t="str">
        <f>IFERROR(VLOOKUP(AJ231,'Guide '!$A$13:$B$16,2,0),"-")</f>
        <v>SP</v>
      </c>
      <c r="AL231" s="4" t="s">
        <v>921</v>
      </c>
      <c r="AM231" s="40">
        <v>45374</v>
      </c>
      <c r="AN231">
        <f t="shared" si="127"/>
        <v>29</v>
      </c>
      <c r="AO231">
        <f t="shared" si="128"/>
        <v>32</v>
      </c>
      <c r="AP231">
        <f t="shared" si="129"/>
        <v>40</v>
      </c>
      <c r="AQ231">
        <f t="shared" si="130"/>
        <v>43</v>
      </c>
      <c r="AR231" s="26">
        <f t="shared" si="131"/>
        <v>56</v>
      </c>
      <c r="AS231" s="26">
        <f t="shared" si="132"/>
        <v>63</v>
      </c>
      <c r="AT231" s="21">
        <f t="shared" si="133"/>
        <v>12</v>
      </c>
      <c r="AU231" s="21">
        <f t="shared" si="134"/>
        <v>19</v>
      </c>
      <c r="AV231">
        <f t="shared" si="135"/>
        <v>73</v>
      </c>
      <c r="AW231">
        <f t="shared" si="136"/>
        <v>76</v>
      </c>
      <c r="AX231">
        <f t="shared" si="137"/>
        <v>84</v>
      </c>
      <c r="AY231">
        <f t="shared" si="138"/>
        <v>87</v>
      </c>
      <c r="AZ231" t="str">
        <f t="shared" si="139"/>
        <v>-</v>
      </c>
      <c r="BA231" t="str">
        <f t="shared" si="140"/>
        <v>-</v>
      </c>
      <c r="BB231" t="str">
        <f t="shared" si="141"/>
        <v>-</v>
      </c>
      <c r="BC231" t="str">
        <f t="shared" si="142"/>
        <v>-</v>
      </c>
      <c r="BD231" s="29" t="str">
        <f t="shared" si="143"/>
        <v>-</v>
      </c>
      <c r="BE231" s="29" t="str">
        <f t="shared" si="144"/>
        <v>-</v>
      </c>
    </row>
    <row r="232" spans="1:57" ht="15" x14ac:dyDescent="0.2">
      <c r="A232" s="2">
        <v>29</v>
      </c>
      <c r="B232" s="2" t="str">
        <f t="shared" si="109"/>
        <v>0029</v>
      </c>
      <c r="C232" t="str">
        <f t="shared" si="110"/>
        <v>ORD-SP-0029-23/03/24</v>
      </c>
      <c r="D232" s="3" t="s">
        <v>103</v>
      </c>
      <c r="E232" t="str">
        <f t="shared" si="111"/>
        <v>PW003</v>
      </c>
      <c r="F232" t="str">
        <f>INDEX(Katalog!$B$4:$B$13,MATCH('Main Data'!E232,Katalog!$C$4:$C$13,0))</f>
        <v>Kaftan</v>
      </c>
      <c r="G232" t="str">
        <f>VLOOKUP(E232,Katalog!$A$15:$B$25,2,0)</f>
        <v>Pakaian Wanita</v>
      </c>
      <c r="H232" t="str">
        <f t="shared" si="112"/>
        <v>1</v>
      </c>
      <c r="I232" t="str">
        <f t="shared" si="113"/>
        <v>1</v>
      </c>
      <c r="J232" s="18">
        <f>VLOOKUP(E232,Katalog!$C$3:$F$13,2,0)</f>
        <v>200000</v>
      </c>
      <c r="K232" s="18">
        <f>VLOOKUP(E232,Katalog!$C$3:$F$13,3,0)</f>
        <v>100000</v>
      </c>
      <c r="L232" t="str">
        <f t="shared" si="114"/>
        <v>-</v>
      </c>
      <c r="M232" t="str">
        <f>IFERROR(INDEX(Katalog!$B$4:$B$13,MATCH('Main Data'!L232,Katalog!$C$4:$C$13,0)), "-")</f>
        <v>-</v>
      </c>
      <c r="N232" t="str">
        <f>IFERROR(VLOOKUP(L232,Katalog!$A$15:$B$25,2,0),"-")</f>
        <v>-</v>
      </c>
      <c r="O232">
        <f t="shared" si="115"/>
        <v>0</v>
      </c>
      <c r="P232" t="str">
        <f t="shared" si="116"/>
        <v>-</v>
      </c>
      <c r="Q232" s="18">
        <f>IFERROR(VLOOKUP(L232,Katalog!$C$3:$F$13,2,0),0)</f>
        <v>0</v>
      </c>
      <c r="R232" s="18">
        <f>IFERROR(VLOOKUP(L232,Katalog!$C$3:$F$13,3,0),0)</f>
        <v>0</v>
      </c>
      <c r="S232" t="str">
        <f t="shared" si="117"/>
        <v>-</v>
      </c>
      <c r="T232" t="str">
        <f>IFERROR(INDEX(Katalog!$B$4:$B$13,MATCH('Main Data'!S232,Katalog!$C$4:$C$13,0)),"-")</f>
        <v>-</v>
      </c>
      <c r="U232" t="str">
        <f>IFERROR(VLOOKUP(S232,Katalog!$A$15:$B$25,2,0),"-")</f>
        <v>-</v>
      </c>
      <c r="V232">
        <f t="shared" si="118"/>
        <v>0</v>
      </c>
      <c r="W232" s="28" t="str">
        <f t="shared" si="119"/>
        <v>-</v>
      </c>
      <c r="X232" s="18">
        <f>IFERROR(VLOOKUP(S232,Katalog!$C$3:$F$13,2,0),0)</f>
        <v>0</v>
      </c>
      <c r="Y232" s="30">
        <f>IFERROR(VLOOKUP(S232,Katalog!$C$3:$F$13,3,0),0)</f>
        <v>0</v>
      </c>
      <c r="Z232" s="2">
        <f t="shared" si="120"/>
        <v>1</v>
      </c>
      <c r="AA232" s="4">
        <f t="shared" si="121"/>
        <v>200000</v>
      </c>
      <c r="AB232" s="4">
        <f t="shared" si="122"/>
        <v>100000</v>
      </c>
      <c r="AC232" s="4" t="s">
        <v>7</v>
      </c>
      <c r="AD232" s="16">
        <f>IFERROR(VLOOKUP(AC232,'Kode Diskon'!$C$2:$D$9,2,0),0)</f>
        <v>0.2</v>
      </c>
      <c r="AE232" s="31">
        <f t="shared" si="123"/>
        <v>40000</v>
      </c>
      <c r="AF232" s="31">
        <f t="shared" si="124"/>
        <v>160000</v>
      </c>
      <c r="AG232" s="31">
        <f t="shared" si="125"/>
        <v>100000</v>
      </c>
      <c r="AH232" s="31">
        <f t="shared" si="126"/>
        <v>60000</v>
      </c>
      <c r="AI232" s="4" t="s">
        <v>8</v>
      </c>
      <c r="AJ232" s="4" t="s">
        <v>6</v>
      </c>
      <c r="AK232" s="4" t="str">
        <f>IFERROR(VLOOKUP(AJ232,'Guide '!$A$13:$B$16,2,0),"-")</f>
        <v>SP</v>
      </c>
      <c r="AL232" s="4" t="s">
        <v>925</v>
      </c>
      <c r="AM232" s="40">
        <v>45374</v>
      </c>
      <c r="AN232">
        <f t="shared" si="127"/>
        <v>29</v>
      </c>
      <c r="AO232">
        <f t="shared" si="128"/>
        <v>32</v>
      </c>
      <c r="AP232">
        <f t="shared" si="129"/>
        <v>40</v>
      </c>
      <c r="AQ232">
        <f t="shared" si="130"/>
        <v>43</v>
      </c>
      <c r="AR232" s="26" t="str">
        <f t="shared" si="131"/>
        <v>-</v>
      </c>
      <c r="AS232" s="26" t="str">
        <f t="shared" si="132"/>
        <v>-</v>
      </c>
      <c r="AT232" s="21">
        <f t="shared" si="133"/>
        <v>12</v>
      </c>
      <c r="AU232" s="21">
        <f t="shared" si="134"/>
        <v>19</v>
      </c>
      <c r="AV232" t="str">
        <f t="shared" si="135"/>
        <v>-</v>
      </c>
      <c r="AW232" t="str">
        <f t="shared" si="136"/>
        <v>-</v>
      </c>
      <c r="AX232" t="str">
        <f t="shared" si="137"/>
        <v>-</v>
      </c>
      <c r="AY232" t="str">
        <f t="shared" si="138"/>
        <v>-</v>
      </c>
      <c r="AZ232" t="str">
        <f t="shared" si="139"/>
        <v>-</v>
      </c>
      <c r="BA232" t="str">
        <f t="shared" si="140"/>
        <v>-</v>
      </c>
      <c r="BB232" t="str">
        <f t="shared" si="141"/>
        <v>-</v>
      </c>
      <c r="BC232" t="str">
        <f t="shared" si="142"/>
        <v>-</v>
      </c>
      <c r="BD232" s="29" t="str">
        <f t="shared" si="143"/>
        <v>-</v>
      </c>
      <c r="BE232" s="29" t="str">
        <f t="shared" si="144"/>
        <v>-</v>
      </c>
    </row>
    <row r="233" spans="1:57" ht="15" x14ac:dyDescent="0.2">
      <c r="A233" s="2">
        <v>379</v>
      </c>
      <c r="B233" s="2" t="str">
        <f t="shared" si="109"/>
        <v>0379</v>
      </c>
      <c r="C233" t="str">
        <f t="shared" si="110"/>
        <v>ORD-SP-0379-23/03/24</v>
      </c>
      <c r="D233" s="3" t="s">
        <v>428</v>
      </c>
      <c r="E233" t="str">
        <f t="shared" si="111"/>
        <v>SW001</v>
      </c>
      <c r="F233" t="str">
        <f>INDEX(Katalog!$B$4:$B$13,MATCH('Main Data'!E233,Katalog!$C$4:$C$13,0))</f>
        <v>Flat Shoes</v>
      </c>
      <c r="G233" t="str">
        <f>VLOOKUP(E233,Katalog!$A$15:$B$25,2,0)</f>
        <v>Sepatu Wanita</v>
      </c>
      <c r="H233" t="str">
        <f t="shared" si="112"/>
        <v>1</v>
      </c>
      <c r="I233" t="str">
        <f t="shared" si="113"/>
        <v>3</v>
      </c>
      <c r="J233" s="18">
        <f>VLOOKUP(E233,Katalog!$C$3:$F$13,2,0)</f>
        <v>150000</v>
      </c>
      <c r="K233" s="18">
        <f>VLOOKUP(E233,Katalog!$C$3:$F$13,3,0)</f>
        <v>70000</v>
      </c>
      <c r="L233" t="str">
        <f t="shared" si="114"/>
        <v>PP002</v>
      </c>
      <c r="M233" t="str">
        <f>IFERROR(INDEX(Katalog!$B$4:$B$13,MATCH('Main Data'!L233,Katalog!$C$4:$C$13,0)), "-")</f>
        <v>Celana Pendek</v>
      </c>
      <c r="N233" t="str">
        <f>IFERROR(VLOOKUP(L233,Katalog!$A$15:$B$25,2,0),"-")</f>
        <v>Pakaian Pria</v>
      </c>
      <c r="O233" t="str">
        <f t="shared" si="115"/>
        <v>2</v>
      </c>
      <c r="P233" t="str">
        <f t="shared" si="116"/>
        <v>1</v>
      </c>
      <c r="Q233" s="18">
        <f>IFERROR(VLOOKUP(L233,Katalog!$C$3:$F$13,2,0),0)</f>
        <v>60000</v>
      </c>
      <c r="R233" s="18">
        <f>IFERROR(VLOOKUP(L233,Katalog!$C$3:$F$13,3,0),0)</f>
        <v>25000</v>
      </c>
      <c r="S233" t="str">
        <f t="shared" si="117"/>
        <v>PW002</v>
      </c>
      <c r="T233" t="str">
        <f>IFERROR(INDEX(Katalog!$B$4:$B$13,MATCH('Main Data'!S233,Katalog!$C$4:$C$13,0)),"-")</f>
        <v>Blouse</v>
      </c>
      <c r="U233" t="str">
        <f>IFERROR(VLOOKUP(S233,Katalog!$A$15:$B$25,2,0),"-")</f>
        <v>Pakaian Wanita</v>
      </c>
      <c r="V233" t="str">
        <f t="shared" si="118"/>
        <v>4</v>
      </c>
      <c r="W233" s="28" t="str">
        <f t="shared" si="119"/>
        <v>4</v>
      </c>
      <c r="X233" s="18">
        <f>IFERROR(VLOOKUP(S233,Katalog!$C$3:$F$13,2,0),0)</f>
        <v>125000</v>
      </c>
      <c r="Y233" s="30">
        <f>IFERROR(VLOOKUP(S233,Katalog!$C$3:$F$13,3,0),0)</f>
        <v>50000</v>
      </c>
      <c r="Z233" s="2">
        <f t="shared" si="120"/>
        <v>7</v>
      </c>
      <c r="AA233" s="4">
        <f t="shared" si="121"/>
        <v>770000</v>
      </c>
      <c r="AB233" s="4">
        <f t="shared" si="122"/>
        <v>320000</v>
      </c>
      <c r="AC233" s="4" t="s">
        <v>7</v>
      </c>
      <c r="AD233" s="16">
        <f>IFERROR(VLOOKUP(AC233,'Kode Diskon'!$C$2:$D$9,2,0),0)</f>
        <v>0.2</v>
      </c>
      <c r="AE233" s="31">
        <f t="shared" si="123"/>
        <v>154000</v>
      </c>
      <c r="AF233" s="31">
        <f t="shared" si="124"/>
        <v>616000</v>
      </c>
      <c r="AG233" s="31">
        <f t="shared" si="125"/>
        <v>450000</v>
      </c>
      <c r="AH233" s="31">
        <f t="shared" si="126"/>
        <v>296000</v>
      </c>
      <c r="AI233" s="4" t="s">
        <v>8</v>
      </c>
      <c r="AJ233" s="4" t="s">
        <v>6</v>
      </c>
      <c r="AK233" s="4" t="str">
        <f>IFERROR(VLOOKUP(AJ233,'Guide '!$A$13:$B$16,2,0),"-")</f>
        <v>SP</v>
      </c>
      <c r="AL233" s="4" t="s">
        <v>921</v>
      </c>
      <c r="AM233" s="40">
        <v>45374</v>
      </c>
      <c r="AN233">
        <f t="shared" si="127"/>
        <v>29</v>
      </c>
      <c r="AO233">
        <f t="shared" si="128"/>
        <v>32</v>
      </c>
      <c r="AP233">
        <f t="shared" si="129"/>
        <v>40</v>
      </c>
      <c r="AQ233">
        <f t="shared" si="130"/>
        <v>43</v>
      </c>
      <c r="AR233" s="26">
        <f t="shared" si="131"/>
        <v>56</v>
      </c>
      <c r="AS233" s="26">
        <f t="shared" si="132"/>
        <v>63</v>
      </c>
      <c r="AT233" s="21">
        <f t="shared" si="133"/>
        <v>12</v>
      </c>
      <c r="AU233" s="21">
        <f t="shared" si="134"/>
        <v>19</v>
      </c>
      <c r="AV233">
        <f t="shared" si="135"/>
        <v>73</v>
      </c>
      <c r="AW233">
        <f t="shared" si="136"/>
        <v>76</v>
      </c>
      <c r="AX233">
        <f t="shared" si="137"/>
        <v>84</v>
      </c>
      <c r="AY233">
        <f t="shared" si="138"/>
        <v>87</v>
      </c>
      <c r="AZ233">
        <f t="shared" si="139"/>
        <v>100</v>
      </c>
      <c r="BA233">
        <f t="shared" si="140"/>
        <v>107</v>
      </c>
      <c r="BB233">
        <f t="shared" si="141"/>
        <v>117</v>
      </c>
      <c r="BC233">
        <f t="shared" si="142"/>
        <v>120</v>
      </c>
      <c r="BD233" s="29">
        <f t="shared" si="143"/>
        <v>128</v>
      </c>
      <c r="BE233" s="29">
        <f t="shared" si="144"/>
        <v>131</v>
      </c>
    </row>
    <row r="234" spans="1:57" ht="15" x14ac:dyDescent="0.2">
      <c r="A234" s="2">
        <v>141</v>
      </c>
      <c r="B234" s="2" t="str">
        <f t="shared" si="109"/>
        <v>0141</v>
      </c>
      <c r="C234" t="str">
        <f t="shared" si="110"/>
        <v>ORD-BB-0141-24/03/24</v>
      </c>
      <c r="D234" s="3" t="s">
        <v>211</v>
      </c>
      <c r="E234" t="str">
        <f t="shared" si="111"/>
        <v>PU001</v>
      </c>
      <c r="F234" t="str">
        <f>INDEX(Katalog!$B$4:$B$13,MATCH('Main Data'!E234,Katalog!$C$4:$C$13,0))</f>
        <v>Jaket Hoodie</v>
      </c>
      <c r="G234" t="str">
        <f>VLOOKUP(E234,Katalog!$A$15:$B$25,2,0)</f>
        <v>Pakaian Unisex</v>
      </c>
      <c r="H234" t="str">
        <f t="shared" si="112"/>
        <v>2</v>
      </c>
      <c r="I234" t="str">
        <f t="shared" si="113"/>
        <v>1</v>
      </c>
      <c r="J234" s="18">
        <f>VLOOKUP(E234,Katalog!$C$3:$F$13,2,0)</f>
        <v>160000</v>
      </c>
      <c r="K234" s="18">
        <f>VLOOKUP(E234,Katalog!$C$3:$F$13,3,0)</f>
        <v>60000</v>
      </c>
      <c r="L234" t="str">
        <f t="shared" si="114"/>
        <v>SW001</v>
      </c>
      <c r="M234" t="str">
        <f>IFERROR(INDEX(Katalog!$B$4:$B$13,MATCH('Main Data'!L234,Katalog!$C$4:$C$13,0)), "-")</f>
        <v>Flat Shoes</v>
      </c>
      <c r="N234" t="str">
        <f>IFERROR(VLOOKUP(L234,Katalog!$A$15:$B$25,2,0),"-")</f>
        <v>Sepatu Wanita</v>
      </c>
      <c r="O234" t="str">
        <f t="shared" si="115"/>
        <v>1</v>
      </c>
      <c r="P234" t="str">
        <f t="shared" si="116"/>
        <v>2</v>
      </c>
      <c r="Q234" s="18">
        <f>IFERROR(VLOOKUP(L234,Katalog!$C$3:$F$13,2,0),0)</f>
        <v>150000</v>
      </c>
      <c r="R234" s="18">
        <f>IFERROR(VLOOKUP(L234,Katalog!$C$3:$F$13,3,0),0)</f>
        <v>70000</v>
      </c>
      <c r="S234" t="str">
        <f t="shared" si="117"/>
        <v>-</v>
      </c>
      <c r="T234" t="str">
        <f>IFERROR(INDEX(Katalog!$B$4:$B$13,MATCH('Main Data'!S234,Katalog!$C$4:$C$13,0)),"-")</f>
        <v>-</v>
      </c>
      <c r="U234" t="str">
        <f>IFERROR(VLOOKUP(S234,Katalog!$A$15:$B$25,2,0),"-")</f>
        <v>-</v>
      </c>
      <c r="V234">
        <f t="shared" si="118"/>
        <v>0</v>
      </c>
      <c r="W234" s="28" t="str">
        <f t="shared" si="119"/>
        <v>-</v>
      </c>
      <c r="X234" s="18">
        <f>IFERROR(VLOOKUP(S234,Katalog!$C$3:$F$13,2,0),0)</f>
        <v>0</v>
      </c>
      <c r="Y234" s="30">
        <f>IFERROR(VLOOKUP(S234,Katalog!$C$3:$F$13,3,0),0)</f>
        <v>0</v>
      </c>
      <c r="Z234" s="2">
        <f t="shared" si="120"/>
        <v>3</v>
      </c>
      <c r="AA234" s="4">
        <f t="shared" si="121"/>
        <v>470000</v>
      </c>
      <c r="AB234" s="4">
        <f t="shared" si="122"/>
        <v>190000</v>
      </c>
      <c r="AC234" s="4" t="s">
        <v>27</v>
      </c>
      <c r="AD234" s="16">
        <f>IFERROR(VLOOKUP(AC234,'Kode Diskon'!$C$2:$D$9,2,0),0)</f>
        <v>0.15</v>
      </c>
      <c r="AE234" s="31">
        <f t="shared" si="123"/>
        <v>70500</v>
      </c>
      <c r="AF234" s="31">
        <f t="shared" si="124"/>
        <v>399500</v>
      </c>
      <c r="AG234" s="31">
        <f t="shared" si="125"/>
        <v>280000</v>
      </c>
      <c r="AH234" s="31">
        <f t="shared" si="126"/>
        <v>209500</v>
      </c>
      <c r="AI234" s="4" t="s">
        <v>28</v>
      </c>
      <c r="AJ234" s="4" t="s">
        <v>13</v>
      </c>
      <c r="AK234" s="4" t="str">
        <f>IFERROR(VLOOKUP(AJ234,'Guide '!$A$13:$B$16,2,0),"-")</f>
        <v>BB</v>
      </c>
      <c r="AL234" s="4" t="s">
        <v>924</v>
      </c>
      <c r="AM234" s="40">
        <v>45375</v>
      </c>
      <c r="AN234">
        <f t="shared" si="127"/>
        <v>29</v>
      </c>
      <c r="AO234">
        <f t="shared" si="128"/>
        <v>32</v>
      </c>
      <c r="AP234">
        <f t="shared" si="129"/>
        <v>40</v>
      </c>
      <c r="AQ234">
        <f t="shared" si="130"/>
        <v>43</v>
      </c>
      <c r="AR234" s="26">
        <f t="shared" si="131"/>
        <v>56</v>
      </c>
      <c r="AS234" s="26">
        <f t="shared" si="132"/>
        <v>63</v>
      </c>
      <c r="AT234" s="21">
        <f t="shared" si="133"/>
        <v>12</v>
      </c>
      <c r="AU234" s="21">
        <f t="shared" si="134"/>
        <v>19</v>
      </c>
      <c r="AV234">
        <f t="shared" si="135"/>
        <v>73</v>
      </c>
      <c r="AW234">
        <f t="shared" si="136"/>
        <v>76</v>
      </c>
      <c r="AX234">
        <f t="shared" si="137"/>
        <v>84</v>
      </c>
      <c r="AY234">
        <f t="shared" si="138"/>
        <v>87</v>
      </c>
      <c r="AZ234" t="str">
        <f t="shared" si="139"/>
        <v>-</v>
      </c>
      <c r="BA234" t="str">
        <f t="shared" si="140"/>
        <v>-</v>
      </c>
      <c r="BB234" t="str">
        <f t="shared" si="141"/>
        <v>-</v>
      </c>
      <c r="BC234" t="str">
        <f t="shared" si="142"/>
        <v>-</v>
      </c>
      <c r="BD234" s="29" t="str">
        <f t="shared" si="143"/>
        <v>-</v>
      </c>
      <c r="BE234" s="29" t="str">
        <f t="shared" si="144"/>
        <v>-</v>
      </c>
    </row>
    <row r="235" spans="1:57" ht="15" x14ac:dyDescent="0.2">
      <c r="A235" s="2">
        <v>600</v>
      </c>
      <c r="B235" s="2" t="str">
        <f t="shared" si="109"/>
        <v>0600</v>
      </c>
      <c r="C235" t="str">
        <f t="shared" si="110"/>
        <v>ORD-TK-0600-24/03/24</v>
      </c>
      <c r="D235" s="3" t="s">
        <v>94</v>
      </c>
      <c r="E235" t="str">
        <f t="shared" si="111"/>
        <v>PP002</v>
      </c>
      <c r="F235" t="str">
        <f>INDEX(Katalog!$B$4:$B$13,MATCH('Main Data'!E235,Katalog!$C$4:$C$13,0))</f>
        <v>Celana Pendek</v>
      </c>
      <c r="G235" t="str">
        <f>VLOOKUP(E235,Katalog!$A$15:$B$25,2,0)</f>
        <v>Pakaian Pria</v>
      </c>
      <c r="H235" t="str">
        <f t="shared" si="112"/>
        <v>1</v>
      </c>
      <c r="I235" t="str">
        <f t="shared" si="113"/>
        <v>1</v>
      </c>
      <c r="J235" s="18">
        <f>VLOOKUP(E235,Katalog!$C$3:$F$13,2,0)</f>
        <v>60000</v>
      </c>
      <c r="K235" s="18">
        <f>VLOOKUP(E235,Katalog!$C$3:$F$13,3,0)</f>
        <v>25000</v>
      </c>
      <c r="L235" t="str">
        <f t="shared" si="114"/>
        <v>-</v>
      </c>
      <c r="M235" t="str">
        <f>IFERROR(INDEX(Katalog!$B$4:$B$13,MATCH('Main Data'!L235,Katalog!$C$4:$C$13,0)), "-")</f>
        <v>-</v>
      </c>
      <c r="N235" t="str">
        <f>IFERROR(VLOOKUP(L235,Katalog!$A$15:$B$25,2,0),"-")</f>
        <v>-</v>
      </c>
      <c r="O235">
        <f t="shared" si="115"/>
        <v>0</v>
      </c>
      <c r="P235" t="str">
        <f t="shared" si="116"/>
        <v>-</v>
      </c>
      <c r="Q235" s="18">
        <f>IFERROR(VLOOKUP(L235,Katalog!$C$3:$F$13,2,0),0)</f>
        <v>0</v>
      </c>
      <c r="R235" s="18">
        <f>IFERROR(VLOOKUP(L235,Katalog!$C$3:$F$13,3,0),0)</f>
        <v>0</v>
      </c>
      <c r="S235" t="str">
        <f t="shared" si="117"/>
        <v>-</v>
      </c>
      <c r="T235" t="str">
        <f>IFERROR(INDEX(Katalog!$B$4:$B$13,MATCH('Main Data'!S235,Katalog!$C$4:$C$13,0)),"-")</f>
        <v>-</v>
      </c>
      <c r="U235" t="str">
        <f>IFERROR(VLOOKUP(S235,Katalog!$A$15:$B$25,2,0),"-")</f>
        <v>-</v>
      </c>
      <c r="V235">
        <f t="shared" si="118"/>
        <v>0</v>
      </c>
      <c r="W235" s="28" t="str">
        <f t="shared" si="119"/>
        <v>-</v>
      </c>
      <c r="X235" s="18">
        <f>IFERROR(VLOOKUP(S235,Katalog!$C$3:$F$13,2,0),0)</f>
        <v>0</v>
      </c>
      <c r="Y235" s="30">
        <f>IFERROR(VLOOKUP(S235,Katalog!$C$3:$F$13,3,0),0)</f>
        <v>0</v>
      </c>
      <c r="Z235" s="2">
        <f t="shared" si="120"/>
        <v>1</v>
      </c>
      <c r="AA235" s="4">
        <f t="shared" si="121"/>
        <v>60000</v>
      </c>
      <c r="AB235" s="4">
        <f t="shared" si="122"/>
        <v>25000</v>
      </c>
      <c r="AC235" s="4" t="s">
        <v>29</v>
      </c>
      <c r="AD235" s="16">
        <f>IFERROR(VLOOKUP(AC235,'Kode Diskon'!$C$2:$D$9,2,0),0)</f>
        <v>0.1</v>
      </c>
      <c r="AE235" s="31">
        <f t="shared" si="123"/>
        <v>6000</v>
      </c>
      <c r="AF235" s="31">
        <f t="shared" si="124"/>
        <v>54000</v>
      </c>
      <c r="AG235" s="31">
        <f t="shared" si="125"/>
        <v>35000</v>
      </c>
      <c r="AH235" s="31">
        <f t="shared" si="126"/>
        <v>29000</v>
      </c>
      <c r="AI235" s="4" t="s">
        <v>28</v>
      </c>
      <c r="AJ235" s="4" t="s">
        <v>9</v>
      </c>
      <c r="AK235" s="4" t="str">
        <f>IFERROR(VLOOKUP(AJ235,'Guide '!$A$13:$B$16,2,0),"-")</f>
        <v>TK</v>
      </c>
      <c r="AL235" s="4" t="s">
        <v>925</v>
      </c>
      <c r="AM235" s="40">
        <v>45375</v>
      </c>
      <c r="AN235">
        <f t="shared" si="127"/>
        <v>29</v>
      </c>
      <c r="AO235">
        <f t="shared" si="128"/>
        <v>32</v>
      </c>
      <c r="AP235">
        <f t="shared" si="129"/>
        <v>40</v>
      </c>
      <c r="AQ235">
        <f t="shared" si="130"/>
        <v>43</v>
      </c>
      <c r="AR235" s="26" t="str">
        <f t="shared" si="131"/>
        <v>-</v>
      </c>
      <c r="AS235" s="26" t="str">
        <f t="shared" si="132"/>
        <v>-</v>
      </c>
      <c r="AT235" s="21">
        <f t="shared" si="133"/>
        <v>12</v>
      </c>
      <c r="AU235" s="21">
        <f t="shared" si="134"/>
        <v>19</v>
      </c>
      <c r="AV235" t="str">
        <f t="shared" si="135"/>
        <v>-</v>
      </c>
      <c r="AW235" t="str">
        <f t="shared" si="136"/>
        <v>-</v>
      </c>
      <c r="AX235" t="str">
        <f t="shared" si="137"/>
        <v>-</v>
      </c>
      <c r="AY235" t="str">
        <f t="shared" si="138"/>
        <v>-</v>
      </c>
      <c r="AZ235" t="str">
        <f t="shared" si="139"/>
        <v>-</v>
      </c>
      <c r="BA235" t="str">
        <f t="shared" si="140"/>
        <v>-</v>
      </c>
      <c r="BB235" t="str">
        <f t="shared" si="141"/>
        <v>-</v>
      </c>
      <c r="BC235" t="str">
        <f t="shared" si="142"/>
        <v>-</v>
      </c>
      <c r="BD235" s="29" t="str">
        <f t="shared" si="143"/>
        <v>-</v>
      </c>
      <c r="BE235" s="29" t="str">
        <f t="shared" si="144"/>
        <v>-</v>
      </c>
    </row>
    <row r="236" spans="1:57" ht="15" x14ac:dyDescent="0.2">
      <c r="A236" s="2">
        <v>757</v>
      </c>
      <c r="B236" s="2" t="str">
        <f t="shared" si="109"/>
        <v>0757</v>
      </c>
      <c r="C236" t="str">
        <f t="shared" si="110"/>
        <v>ORD-BB-0757-24/03/24</v>
      </c>
      <c r="D236" s="3" t="s">
        <v>735</v>
      </c>
      <c r="E236" t="str">
        <f t="shared" si="111"/>
        <v>PW003</v>
      </c>
      <c r="F236" t="str">
        <f>INDEX(Katalog!$B$4:$B$13,MATCH('Main Data'!E236,Katalog!$C$4:$C$13,0))</f>
        <v>Kaftan</v>
      </c>
      <c r="G236" t="str">
        <f>VLOOKUP(E236,Katalog!$A$15:$B$25,2,0)</f>
        <v>Pakaian Wanita</v>
      </c>
      <c r="H236" t="str">
        <f t="shared" si="112"/>
        <v>3</v>
      </c>
      <c r="I236" t="str">
        <f t="shared" si="113"/>
        <v>2</v>
      </c>
      <c r="J236" s="18">
        <f>VLOOKUP(E236,Katalog!$C$3:$F$13,2,0)</f>
        <v>200000</v>
      </c>
      <c r="K236" s="18">
        <f>VLOOKUP(E236,Katalog!$C$3:$F$13,3,0)</f>
        <v>100000</v>
      </c>
      <c r="L236" t="str">
        <f t="shared" si="114"/>
        <v>PP003</v>
      </c>
      <c r="M236" t="str">
        <f>IFERROR(INDEX(Katalog!$B$4:$B$13,MATCH('Main Data'!L236,Katalog!$C$4:$C$13,0)), "-")</f>
        <v>Jaket Jeans</v>
      </c>
      <c r="N236" t="str">
        <f>IFERROR(VLOOKUP(L236,Katalog!$A$15:$B$25,2,0),"-")</f>
        <v>Pakaian Pria</v>
      </c>
      <c r="O236" t="str">
        <f t="shared" si="115"/>
        <v>1</v>
      </c>
      <c r="P236" t="str">
        <f t="shared" si="116"/>
        <v>4</v>
      </c>
      <c r="Q236" s="18">
        <f>IFERROR(VLOOKUP(L236,Katalog!$C$3:$F$13,2,0),0)</f>
        <v>150000</v>
      </c>
      <c r="R236" s="18">
        <f>IFERROR(VLOOKUP(L236,Katalog!$C$3:$F$13,3,0),0)</f>
        <v>70000</v>
      </c>
      <c r="S236" t="str">
        <f t="shared" si="117"/>
        <v>-</v>
      </c>
      <c r="T236" t="str">
        <f>IFERROR(INDEX(Katalog!$B$4:$B$13,MATCH('Main Data'!S236,Katalog!$C$4:$C$13,0)),"-")</f>
        <v>-</v>
      </c>
      <c r="U236" t="str">
        <f>IFERROR(VLOOKUP(S236,Katalog!$A$15:$B$25,2,0),"-")</f>
        <v>-</v>
      </c>
      <c r="V236">
        <f t="shared" si="118"/>
        <v>0</v>
      </c>
      <c r="W236" s="28" t="str">
        <f t="shared" si="119"/>
        <v>-</v>
      </c>
      <c r="X236" s="18">
        <f>IFERROR(VLOOKUP(S236,Katalog!$C$3:$F$13,2,0),0)</f>
        <v>0</v>
      </c>
      <c r="Y236" s="30">
        <f>IFERROR(VLOOKUP(S236,Katalog!$C$3:$F$13,3,0),0)</f>
        <v>0</v>
      </c>
      <c r="Z236" s="2">
        <f t="shared" si="120"/>
        <v>4</v>
      </c>
      <c r="AA236" s="4">
        <f t="shared" si="121"/>
        <v>750000</v>
      </c>
      <c r="AB236" s="4">
        <f t="shared" si="122"/>
        <v>370000</v>
      </c>
      <c r="AC236" s="4" t="s">
        <v>27</v>
      </c>
      <c r="AD236" s="16">
        <f>IFERROR(VLOOKUP(AC236,'Kode Diskon'!$C$2:$D$9,2,0),0)</f>
        <v>0.15</v>
      </c>
      <c r="AE236" s="31">
        <f t="shared" si="123"/>
        <v>112500</v>
      </c>
      <c r="AF236" s="31">
        <f t="shared" si="124"/>
        <v>637500</v>
      </c>
      <c r="AG236" s="31">
        <f t="shared" si="125"/>
        <v>380000</v>
      </c>
      <c r="AH236" s="31">
        <f t="shared" si="126"/>
        <v>267500</v>
      </c>
      <c r="AI236" s="4" t="s">
        <v>28</v>
      </c>
      <c r="AJ236" s="4" t="s">
        <v>13</v>
      </c>
      <c r="AK236" s="4" t="str">
        <f>IFERROR(VLOOKUP(AJ236,'Guide '!$A$13:$B$16,2,0),"-")</f>
        <v>BB</v>
      </c>
      <c r="AL236" s="4" t="s">
        <v>925</v>
      </c>
      <c r="AM236" s="40">
        <v>45375</v>
      </c>
      <c r="AN236">
        <f t="shared" si="127"/>
        <v>29</v>
      </c>
      <c r="AO236">
        <f t="shared" si="128"/>
        <v>32</v>
      </c>
      <c r="AP236">
        <f t="shared" si="129"/>
        <v>40</v>
      </c>
      <c r="AQ236">
        <f t="shared" si="130"/>
        <v>43</v>
      </c>
      <c r="AR236" s="26">
        <f t="shared" si="131"/>
        <v>56</v>
      </c>
      <c r="AS236" s="26">
        <f t="shared" si="132"/>
        <v>63</v>
      </c>
      <c r="AT236" s="21">
        <f t="shared" si="133"/>
        <v>12</v>
      </c>
      <c r="AU236" s="21">
        <f t="shared" si="134"/>
        <v>19</v>
      </c>
      <c r="AV236">
        <f t="shared" si="135"/>
        <v>73</v>
      </c>
      <c r="AW236">
        <f t="shared" si="136"/>
        <v>76</v>
      </c>
      <c r="AX236">
        <f t="shared" si="137"/>
        <v>84</v>
      </c>
      <c r="AY236">
        <f t="shared" si="138"/>
        <v>87</v>
      </c>
      <c r="AZ236" t="str">
        <f t="shared" si="139"/>
        <v>-</v>
      </c>
      <c r="BA236" t="str">
        <f t="shared" si="140"/>
        <v>-</v>
      </c>
      <c r="BB236" t="str">
        <f t="shared" si="141"/>
        <v>-</v>
      </c>
      <c r="BC236" t="str">
        <f t="shared" si="142"/>
        <v>-</v>
      </c>
      <c r="BD236" s="29" t="str">
        <f t="shared" si="143"/>
        <v>-</v>
      </c>
      <c r="BE236" s="29" t="str">
        <f t="shared" si="144"/>
        <v>-</v>
      </c>
    </row>
    <row r="237" spans="1:57" ht="15" x14ac:dyDescent="0.2">
      <c r="A237" s="2">
        <v>174</v>
      </c>
      <c r="B237" s="2" t="str">
        <f t="shared" si="109"/>
        <v>0174</v>
      </c>
      <c r="C237" t="str">
        <f t="shared" si="110"/>
        <v>ORD-SP-0174-25/03/24</v>
      </c>
      <c r="D237" s="3" t="s">
        <v>243</v>
      </c>
      <c r="E237" t="str">
        <f t="shared" si="111"/>
        <v>PU001</v>
      </c>
      <c r="F237" t="str">
        <f>INDEX(Katalog!$B$4:$B$13,MATCH('Main Data'!E237,Katalog!$C$4:$C$13,0))</f>
        <v>Jaket Hoodie</v>
      </c>
      <c r="G237" t="str">
        <f>VLOOKUP(E237,Katalog!$A$15:$B$25,2,0)</f>
        <v>Pakaian Unisex</v>
      </c>
      <c r="H237" t="str">
        <f t="shared" si="112"/>
        <v>1</v>
      </c>
      <c r="I237" t="str">
        <f t="shared" si="113"/>
        <v>2</v>
      </c>
      <c r="J237" s="18">
        <f>VLOOKUP(E237,Katalog!$C$3:$F$13,2,0)</f>
        <v>160000</v>
      </c>
      <c r="K237" s="18">
        <f>VLOOKUP(E237,Katalog!$C$3:$F$13,3,0)</f>
        <v>60000</v>
      </c>
      <c r="L237" t="str">
        <f t="shared" si="114"/>
        <v>-</v>
      </c>
      <c r="M237" t="str">
        <f>IFERROR(INDEX(Katalog!$B$4:$B$13,MATCH('Main Data'!L237,Katalog!$C$4:$C$13,0)), "-")</f>
        <v>-</v>
      </c>
      <c r="N237" t="str">
        <f>IFERROR(VLOOKUP(L237,Katalog!$A$15:$B$25,2,0),"-")</f>
        <v>-</v>
      </c>
      <c r="O237">
        <f t="shared" si="115"/>
        <v>0</v>
      </c>
      <c r="P237" t="str">
        <f t="shared" si="116"/>
        <v>-</v>
      </c>
      <c r="Q237" s="18">
        <f>IFERROR(VLOOKUP(L237,Katalog!$C$3:$F$13,2,0),0)</f>
        <v>0</v>
      </c>
      <c r="R237" s="18">
        <f>IFERROR(VLOOKUP(L237,Katalog!$C$3:$F$13,3,0),0)</f>
        <v>0</v>
      </c>
      <c r="S237" t="str">
        <f t="shared" si="117"/>
        <v>-</v>
      </c>
      <c r="T237" t="str">
        <f>IFERROR(INDEX(Katalog!$B$4:$B$13,MATCH('Main Data'!S237,Katalog!$C$4:$C$13,0)),"-")</f>
        <v>-</v>
      </c>
      <c r="U237" t="str">
        <f>IFERROR(VLOOKUP(S237,Katalog!$A$15:$B$25,2,0),"-")</f>
        <v>-</v>
      </c>
      <c r="V237">
        <f t="shared" si="118"/>
        <v>0</v>
      </c>
      <c r="W237" s="28" t="str">
        <f t="shared" si="119"/>
        <v>-</v>
      </c>
      <c r="X237" s="18">
        <f>IFERROR(VLOOKUP(S237,Katalog!$C$3:$F$13,2,0),0)</f>
        <v>0</v>
      </c>
      <c r="Y237" s="30">
        <f>IFERROR(VLOOKUP(S237,Katalog!$C$3:$F$13,3,0),0)</f>
        <v>0</v>
      </c>
      <c r="Z237" s="2">
        <f t="shared" si="120"/>
        <v>1</v>
      </c>
      <c r="AA237" s="4">
        <f t="shared" si="121"/>
        <v>160000</v>
      </c>
      <c r="AB237" s="4">
        <f t="shared" si="122"/>
        <v>60000</v>
      </c>
      <c r="AC237" s="4" t="s">
        <v>7</v>
      </c>
      <c r="AD237" s="16">
        <f>IFERROR(VLOOKUP(AC237,'Kode Diskon'!$C$2:$D$9,2,0),0)</f>
        <v>0.2</v>
      </c>
      <c r="AE237" s="31">
        <f t="shared" si="123"/>
        <v>32000</v>
      </c>
      <c r="AF237" s="31">
        <f t="shared" si="124"/>
        <v>128000</v>
      </c>
      <c r="AG237" s="31">
        <f t="shared" si="125"/>
        <v>100000</v>
      </c>
      <c r="AH237" s="31">
        <f t="shared" si="126"/>
        <v>68000</v>
      </c>
      <c r="AI237" s="4" t="s">
        <v>8</v>
      </c>
      <c r="AJ237" s="4" t="s">
        <v>6</v>
      </c>
      <c r="AK237" s="4" t="str">
        <f>IFERROR(VLOOKUP(AJ237,'Guide '!$A$13:$B$16,2,0),"-")</f>
        <v>SP</v>
      </c>
      <c r="AL237" s="4" t="s">
        <v>925</v>
      </c>
      <c r="AM237" s="40">
        <v>45376</v>
      </c>
      <c r="AN237">
        <f t="shared" si="127"/>
        <v>29</v>
      </c>
      <c r="AO237">
        <f t="shared" si="128"/>
        <v>32</v>
      </c>
      <c r="AP237">
        <f t="shared" si="129"/>
        <v>40</v>
      </c>
      <c r="AQ237">
        <f t="shared" si="130"/>
        <v>43</v>
      </c>
      <c r="AR237" s="26" t="str">
        <f t="shared" si="131"/>
        <v>-</v>
      </c>
      <c r="AS237" s="26" t="str">
        <f t="shared" si="132"/>
        <v>-</v>
      </c>
      <c r="AT237" s="21">
        <f t="shared" si="133"/>
        <v>12</v>
      </c>
      <c r="AU237" s="21">
        <f t="shared" si="134"/>
        <v>19</v>
      </c>
      <c r="AV237" t="str">
        <f t="shared" si="135"/>
        <v>-</v>
      </c>
      <c r="AW237" t="str">
        <f t="shared" si="136"/>
        <v>-</v>
      </c>
      <c r="AX237" t="str">
        <f t="shared" si="137"/>
        <v>-</v>
      </c>
      <c r="AY237" t="str">
        <f t="shared" si="138"/>
        <v>-</v>
      </c>
      <c r="AZ237" t="str">
        <f t="shared" si="139"/>
        <v>-</v>
      </c>
      <c r="BA237" t="str">
        <f t="shared" si="140"/>
        <v>-</v>
      </c>
      <c r="BB237" t="str">
        <f t="shared" si="141"/>
        <v>-</v>
      </c>
      <c r="BC237" t="str">
        <f t="shared" si="142"/>
        <v>-</v>
      </c>
      <c r="BD237" s="29" t="str">
        <f t="shared" si="143"/>
        <v>-</v>
      </c>
      <c r="BE237" s="29" t="str">
        <f t="shared" si="144"/>
        <v>-</v>
      </c>
    </row>
    <row r="238" spans="1:57" ht="15" x14ac:dyDescent="0.2">
      <c r="A238" s="2">
        <v>242</v>
      </c>
      <c r="B238" s="2" t="str">
        <f t="shared" si="109"/>
        <v>0242</v>
      </c>
      <c r="C238" t="str">
        <f t="shared" si="110"/>
        <v>ORD-SP-0242-25/03/24</v>
      </c>
      <c r="D238" s="3" t="s">
        <v>308</v>
      </c>
      <c r="E238" t="str">
        <f t="shared" si="111"/>
        <v>PP001</v>
      </c>
      <c r="F238" t="str">
        <f>INDEX(Katalog!$B$4:$B$13,MATCH('Main Data'!E238,Katalog!$C$4:$C$13,0))</f>
        <v>Kaos Polo</v>
      </c>
      <c r="G238" t="str">
        <f>VLOOKUP(E238,Katalog!$A$15:$B$25,2,0)</f>
        <v>Pakaian Pria</v>
      </c>
      <c r="H238" t="str">
        <f t="shared" si="112"/>
        <v>3</v>
      </c>
      <c r="I238" t="str">
        <f t="shared" si="113"/>
        <v>5</v>
      </c>
      <c r="J238" s="18">
        <f>VLOOKUP(E238,Katalog!$C$3:$F$13,2,0)</f>
        <v>80000</v>
      </c>
      <c r="K238" s="18">
        <f>VLOOKUP(E238,Katalog!$C$3:$F$13,3,0)</f>
        <v>30000</v>
      </c>
      <c r="L238" t="str">
        <f t="shared" si="114"/>
        <v>-</v>
      </c>
      <c r="M238" t="str">
        <f>IFERROR(INDEX(Katalog!$B$4:$B$13,MATCH('Main Data'!L238,Katalog!$C$4:$C$13,0)), "-")</f>
        <v>-</v>
      </c>
      <c r="N238" t="str">
        <f>IFERROR(VLOOKUP(L238,Katalog!$A$15:$B$25,2,0),"-")</f>
        <v>-</v>
      </c>
      <c r="O238">
        <f t="shared" si="115"/>
        <v>0</v>
      </c>
      <c r="P238" t="str">
        <f t="shared" si="116"/>
        <v>-</v>
      </c>
      <c r="Q238" s="18">
        <f>IFERROR(VLOOKUP(L238,Katalog!$C$3:$F$13,2,0),0)</f>
        <v>0</v>
      </c>
      <c r="R238" s="18">
        <f>IFERROR(VLOOKUP(L238,Katalog!$C$3:$F$13,3,0),0)</f>
        <v>0</v>
      </c>
      <c r="S238" t="str">
        <f t="shared" si="117"/>
        <v>-</v>
      </c>
      <c r="T238" t="str">
        <f>IFERROR(INDEX(Katalog!$B$4:$B$13,MATCH('Main Data'!S238,Katalog!$C$4:$C$13,0)),"-")</f>
        <v>-</v>
      </c>
      <c r="U238" t="str">
        <f>IFERROR(VLOOKUP(S238,Katalog!$A$15:$B$25,2,0),"-")</f>
        <v>-</v>
      </c>
      <c r="V238">
        <f t="shared" si="118"/>
        <v>0</v>
      </c>
      <c r="W238" s="28" t="str">
        <f t="shared" si="119"/>
        <v>-</v>
      </c>
      <c r="X238" s="18">
        <f>IFERROR(VLOOKUP(S238,Katalog!$C$3:$F$13,2,0),0)</f>
        <v>0</v>
      </c>
      <c r="Y238" s="30">
        <f>IFERROR(VLOOKUP(S238,Katalog!$C$3:$F$13,3,0),0)</f>
        <v>0</v>
      </c>
      <c r="Z238" s="2">
        <f t="shared" si="120"/>
        <v>3</v>
      </c>
      <c r="AA238" s="4">
        <f t="shared" si="121"/>
        <v>240000</v>
      </c>
      <c r="AB238" s="4">
        <f t="shared" si="122"/>
        <v>90000</v>
      </c>
      <c r="AC238" s="4" t="s">
        <v>10</v>
      </c>
      <c r="AD238" s="16">
        <f>IFERROR(VLOOKUP(AC238,'Kode Diskon'!$C$2:$D$9,2,0),0)</f>
        <v>0</v>
      </c>
      <c r="AE238" s="31">
        <f t="shared" si="123"/>
        <v>0</v>
      </c>
      <c r="AF238" s="31">
        <f t="shared" si="124"/>
        <v>240000</v>
      </c>
      <c r="AG238" s="31">
        <f t="shared" si="125"/>
        <v>150000</v>
      </c>
      <c r="AH238" s="31">
        <f t="shared" si="126"/>
        <v>150000</v>
      </c>
      <c r="AI238" s="4" t="s">
        <v>10</v>
      </c>
      <c r="AJ238" s="4" t="s">
        <v>6</v>
      </c>
      <c r="AK238" s="4" t="str">
        <f>IFERROR(VLOOKUP(AJ238,'Guide '!$A$13:$B$16,2,0),"-")</f>
        <v>SP</v>
      </c>
      <c r="AL238" s="4" t="s">
        <v>925</v>
      </c>
      <c r="AM238" s="40">
        <v>45376</v>
      </c>
      <c r="AN238">
        <f t="shared" si="127"/>
        <v>29</v>
      </c>
      <c r="AO238">
        <f t="shared" si="128"/>
        <v>32</v>
      </c>
      <c r="AP238">
        <f t="shared" si="129"/>
        <v>40</v>
      </c>
      <c r="AQ238">
        <f t="shared" si="130"/>
        <v>43</v>
      </c>
      <c r="AR238" s="26" t="str">
        <f t="shared" si="131"/>
        <v>-</v>
      </c>
      <c r="AS238" s="26" t="str">
        <f t="shared" si="132"/>
        <v>-</v>
      </c>
      <c r="AT238" s="21">
        <f t="shared" si="133"/>
        <v>12</v>
      </c>
      <c r="AU238" s="21">
        <f t="shared" si="134"/>
        <v>19</v>
      </c>
      <c r="AV238" t="str">
        <f t="shared" si="135"/>
        <v>-</v>
      </c>
      <c r="AW238" t="str">
        <f t="shared" si="136"/>
        <v>-</v>
      </c>
      <c r="AX238" t="str">
        <f t="shared" si="137"/>
        <v>-</v>
      </c>
      <c r="AY238" t="str">
        <f t="shared" si="138"/>
        <v>-</v>
      </c>
      <c r="AZ238" t="str">
        <f t="shared" si="139"/>
        <v>-</v>
      </c>
      <c r="BA238" t="str">
        <f t="shared" si="140"/>
        <v>-</v>
      </c>
      <c r="BB238" t="str">
        <f t="shared" si="141"/>
        <v>-</v>
      </c>
      <c r="BC238" t="str">
        <f t="shared" si="142"/>
        <v>-</v>
      </c>
      <c r="BD238" s="29" t="str">
        <f t="shared" si="143"/>
        <v>-</v>
      </c>
      <c r="BE238" s="29" t="str">
        <f t="shared" si="144"/>
        <v>-</v>
      </c>
    </row>
    <row r="239" spans="1:57" ht="15" x14ac:dyDescent="0.2">
      <c r="A239" s="2">
        <v>712</v>
      </c>
      <c r="B239" s="2" t="str">
        <f t="shared" si="109"/>
        <v>0712</v>
      </c>
      <c r="C239" t="str">
        <f t="shared" si="110"/>
        <v>ORD-BB-0712-25/03/24</v>
      </c>
      <c r="D239" s="3" t="s">
        <v>701</v>
      </c>
      <c r="E239" t="str">
        <f t="shared" si="111"/>
        <v>SP001</v>
      </c>
      <c r="F239" t="str">
        <f>INDEX(Katalog!$B$4:$B$13,MATCH('Main Data'!E239,Katalog!$C$4:$C$13,0))</f>
        <v>Sneakers</v>
      </c>
      <c r="G239" t="str">
        <f>VLOOKUP(E239,Katalog!$A$15:$B$25,2,0)</f>
        <v>Sepatu Pria</v>
      </c>
      <c r="H239" t="str">
        <f t="shared" si="112"/>
        <v>4</v>
      </c>
      <c r="I239" t="str">
        <f t="shared" si="113"/>
        <v>5</v>
      </c>
      <c r="J239" s="18">
        <f>VLOOKUP(E239,Katalog!$C$3:$F$13,2,0)</f>
        <v>300000</v>
      </c>
      <c r="K239" s="18">
        <f>VLOOKUP(E239,Katalog!$C$3:$F$13,3,0)</f>
        <v>100000</v>
      </c>
      <c r="L239" t="str">
        <f t="shared" si="114"/>
        <v>-</v>
      </c>
      <c r="M239" t="str">
        <f>IFERROR(INDEX(Katalog!$B$4:$B$13,MATCH('Main Data'!L239,Katalog!$C$4:$C$13,0)), "-")</f>
        <v>-</v>
      </c>
      <c r="N239" t="str">
        <f>IFERROR(VLOOKUP(L239,Katalog!$A$15:$B$25,2,0),"-")</f>
        <v>-</v>
      </c>
      <c r="O239">
        <f t="shared" si="115"/>
        <v>0</v>
      </c>
      <c r="P239" t="str">
        <f t="shared" si="116"/>
        <v>-</v>
      </c>
      <c r="Q239" s="18">
        <f>IFERROR(VLOOKUP(L239,Katalog!$C$3:$F$13,2,0),0)</f>
        <v>0</v>
      </c>
      <c r="R239" s="18">
        <f>IFERROR(VLOOKUP(L239,Katalog!$C$3:$F$13,3,0),0)</f>
        <v>0</v>
      </c>
      <c r="S239" t="str">
        <f t="shared" si="117"/>
        <v>-</v>
      </c>
      <c r="T239" t="str">
        <f>IFERROR(INDEX(Katalog!$B$4:$B$13,MATCH('Main Data'!S239,Katalog!$C$4:$C$13,0)),"-")</f>
        <v>-</v>
      </c>
      <c r="U239" t="str">
        <f>IFERROR(VLOOKUP(S239,Katalog!$A$15:$B$25,2,0),"-")</f>
        <v>-</v>
      </c>
      <c r="V239">
        <f t="shared" si="118"/>
        <v>0</v>
      </c>
      <c r="W239" s="28" t="str">
        <f t="shared" si="119"/>
        <v>-</v>
      </c>
      <c r="X239" s="18">
        <f>IFERROR(VLOOKUP(S239,Katalog!$C$3:$F$13,2,0),0)</f>
        <v>0</v>
      </c>
      <c r="Y239" s="30">
        <f>IFERROR(VLOOKUP(S239,Katalog!$C$3:$F$13,3,0),0)</f>
        <v>0</v>
      </c>
      <c r="Z239" s="2">
        <f t="shared" si="120"/>
        <v>4</v>
      </c>
      <c r="AA239" s="4">
        <f t="shared" si="121"/>
        <v>1200000</v>
      </c>
      <c r="AB239" s="4">
        <f t="shared" si="122"/>
        <v>400000</v>
      </c>
      <c r="AC239" s="4" t="s">
        <v>27</v>
      </c>
      <c r="AD239" s="16">
        <f>IFERROR(VLOOKUP(AC239,'Kode Diskon'!$C$2:$D$9,2,0),0)</f>
        <v>0.15</v>
      </c>
      <c r="AE239" s="31">
        <f t="shared" si="123"/>
        <v>180000</v>
      </c>
      <c r="AF239" s="31">
        <f t="shared" si="124"/>
        <v>1020000</v>
      </c>
      <c r="AG239" s="31">
        <f t="shared" si="125"/>
        <v>800000</v>
      </c>
      <c r="AH239" s="31">
        <f t="shared" si="126"/>
        <v>620000</v>
      </c>
      <c r="AI239" s="4" t="s">
        <v>28</v>
      </c>
      <c r="AJ239" s="4" t="s">
        <v>13</v>
      </c>
      <c r="AK239" s="4" t="str">
        <f>IFERROR(VLOOKUP(AJ239,'Guide '!$A$13:$B$16,2,0),"-")</f>
        <v>BB</v>
      </c>
      <c r="AL239" s="4" t="s">
        <v>925</v>
      </c>
      <c r="AM239" s="40">
        <v>45376</v>
      </c>
      <c r="AN239">
        <f t="shared" si="127"/>
        <v>29</v>
      </c>
      <c r="AO239">
        <f t="shared" si="128"/>
        <v>32</v>
      </c>
      <c r="AP239">
        <f t="shared" si="129"/>
        <v>40</v>
      </c>
      <c r="AQ239">
        <f t="shared" si="130"/>
        <v>43</v>
      </c>
      <c r="AR239" s="26" t="str">
        <f t="shared" si="131"/>
        <v>-</v>
      </c>
      <c r="AS239" s="26" t="str">
        <f t="shared" si="132"/>
        <v>-</v>
      </c>
      <c r="AT239" s="21">
        <f t="shared" si="133"/>
        <v>12</v>
      </c>
      <c r="AU239" s="21">
        <f t="shared" si="134"/>
        <v>19</v>
      </c>
      <c r="AV239" t="str">
        <f t="shared" si="135"/>
        <v>-</v>
      </c>
      <c r="AW239" t="str">
        <f t="shared" si="136"/>
        <v>-</v>
      </c>
      <c r="AX239" t="str">
        <f t="shared" si="137"/>
        <v>-</v>
      </c>
      <c r="AY239" t="str">
        <f t="shared" si="138"/>
        <v>-</v>
      </c>
      <c r="AZ239" t="str">
        <f t="shared" si="139"/>
        <v>-</v>
      </c>
      <c r="BA239" t="str">
        <f t="shared" si="140"/>
        <v>-</v>
      </c>
      <c r="BB239" t="str">
        <f t="shared" si="141"/>
        <v>-</v>
      </c>
      <c r="BC239" t="str">
        <f t="shared" si="142"/>
        <v>-</v>
      </c>
      <c r="BD239" s="29" t="str">
        <f t="shared" si="143"/>
        <v>-</v>
      </c>
      <c r="BE239" s="29" t="str">
        <f t="shared" si="144"/>
        <v>-</v>
      </c>
    </row>
    <row r="240" spans="1:57" ht="15" x14ac:dyDescent="0.2">
      <c r="A240" s="2">
        <v>114</v>
      </c>
      <c r="B240" s="2" t="str">
        <f t="shared" si="109"/>
        <v>0114</v>
      </c>
      <c r="C240" t="str">
        <f t="shared" si="110"/>
        <v>ORD-TK-0114-26/03/24</v>
      </c>
      <c r="D240" s="3" t="s">
        <v>186</v>
      </c>
      <c r="E240" t="str">
        <f t="shared" si="111"/>
        <v>PU001</v>
      </c>
      <c r="F240" t="str">
        <f>INDEX(Katalog!$B$4:$B$13,MATCH('Main Data'!E240,Katalog!$C$4:$C$13,0))</f>
        <v>Jaket Hoodie</v>
      </c>
      <c r="G240" t="str">
        <f>VLOOKUP(E240,Katalog!$A$15:$B$25,2,0)</f>
        <v>Pakaian Unisex</v>
      </c>
      <c r="H240" t="str">
        <f t="shared" si="112"/>
        <v>2</v>
      </c>
      <c r="I240" t="str">
        <f t="shared" si="113"/>
        <v>3</v>
      </c>
      <c r="J240" s="18">
        <f>VLOOKUP(E240,Katalog!$C$3:$F$13,2,0)</f>
        <v>160000</v>
      </c>
      <c r="K240" s="18">
        <f>VLOOKUP(E240,Katalog!$C$3:$F$13,3,0)</f>
        <v>60000</v>
      </c>
      <c r="L240" t="str">
        <f t="shared" si="114"/>
        <v>-</v>
      </c>
      <c r="M240" t="str">
        <f>IFERROR(INDEX(Katalog!$B$4:$B$13,MATCH('Main Data'!L240,Katalog!$C$4:$C$13,0)), "-")</f>
        <v>-</v>
      </c>
      <c r="N240" t="str">
        <f>IFERROR(VLOOKUP(L240,Katalog!$A$15:$B$25,2,0),"-")</f>
        <v>-</v>
      </c>
      <c r="O240">
        <f t="shared" si="115"/>
        <v>0</v>
      </c>
      <c r="P240" t="str">
        <f t="shared" si="116"/>
        <v>-</v>
      </c>
      <c r="Q240" s="18">
        <f>IFERROR(VLOOKUP(L240,Katalog!$C$3:$F$13,2,0),0)</f>
        <v>0</v>
      </c>
      <c r="R240" s="18">
        <f>IFERROR(VLOOKUP(L240,Katalog!$C$3:$F$13,3,0),0)</f>
        <v>0</v>
      </c>
      <c r="S240" t="str">
        <f t="shared" si="117"/>
        <v>-</v>
      </c>
      <c r="T240" t="str">
        <f>IFERROR(INDEX(Katalog!$B$4:$B$13,MATCH('Main Data'!S240,Katalog!$C$4:$C$13,0)),"-")</f>
        <v>-</v>
      </c>
      <c r="U240" t="str">
        <f>IFERROR(VLOOKUP(S240,Katalog!$A$15:$B$25,2,0),"-")</f>
        <v>-</v>
      </c>
      <c r="V240">
        <f t="shared" si="118"/>
        <v>0</v>
      </c>
      <c r="W240" s="28" t="str">
        <f t="shared" si="119"/>
        <v>-</v>
      </c>
      <c r="X240" s="18">
        <f>IFERROR(VLOOKUP(S240,Katalog!$C$3:$F$13,2,0),0)</f>
        <v>0</v>
      </c>
      <c r="Y240" s="30">
        <f>IFERROR(VLOOKUP(S240,Katalog!$C$3:$F$13,3,0),0)</f>
        <v>0</v>
      </c>
      <c r="Z240" s="2">
        <f t="shared" si="120"/>
        <v>2</v>
      </c>
      <c r="AA240" s="4">
        <f t="shared" si="121"/>
        <v>320000</v>
      </c>
      <c r="AB240" s="4">
        <f t="shared" si="122"/>
        <v>120000</v>
      </c>
      <c r="AC240" s="4" t="s">
        <v>29</v>
      </c>
      <c r="AD240" s="16">
        <f>IFERROR(VLOOKUP(AC240,'Kode Diskon'!$C$2:$D$9,2,0),0)</f>
        <v>0.1</v>
      </c>
      <c r="AE240" s="31">
        <f t="shared" si="123"/>
        <v>32000</v>
      </c>
      <c r="AF240" s="31">
        <f t="shared" si="124"/>
        <v>288000</v>
      </c>
      <c r="AG240" s="31">
        <f t="shared" si="125"/>
        <v>200000</v>
      </c>
      <c r="AH240" s="31">
        <f t="shared" si="126"/>
        <v>168000</v>
      </c>
      <c r="AI240" s="4" t="s">
        <v>28</v>
      </c>
      <c r="AJ240" s="4" t="s">
        <v>9</v>
      </c>
      <c r="AK240" s="4" t="str">
        <f>IFERROR(VLOOKUP(AJ240,'Guide '!$A$13:$B$16,2,0),"-")</f>
        <v>TK</v>
      </c>
      <c r="AL240" s="4" t="s">
        <v>921</v>
      </c>
      <c r="AM240" s="40">
        <v>45377</v>
      </c>
      <c r="AN240">
        <f t="shared" si="127"/>
        <v>29</v>
      </c>
      <c r="AO240">
        <f t="shared" si="128"/>
        <v>32</v>
      </c>
      <c r="AP240">
        <f t="shared" si="129"/>
        <v>40</v>
      </c>
      <c r="AQ240">
        <f t="shared" si="130"/>
        <v>43</v>
      </c>
      <c r="AR240" s="26" t="str">
        <f t="shared" si="131"/>
        <v>-</v>
      </c>
      <c r="AS240" s="26" t="str">
        <f t="shared" si="132"/>
        <v>-</v>
      </c>
      <c r="AT240" s="21">
        <f t="shared" si="133"/>
        <v>12</v>
      </c>
      <c r="AU240" s="21">
        <f t="shared" si="134"/>
        <v>19</v>
      </c>
      <c r="AV240" t="str">
        <f t="shared" si="135"/>
        <v>-</v>
      </c>
      <c r="AW240" t="str">
        <f t="shared" si="136"/>
        <v>-</v>
      </c>
      <c r="AX240" t="str">
        <f t="shared" si="137"/>
        <v>-</v>
      </c>
      <c r="AY240" t="str">
        <f t="shared" si="138"/>
        <v>-</v>
      </c>
      <c r="AZ240" t="str">
        <f t="shared" si="139"/>
        <v>-</v>
      </c>
      <c r="BA240" t="str">
        <f t="shared" si="140"/>
        <v>-</v>
      </c>
      <c r="BB240" t="str">
        <f t="shared" si="141"/>
        <v>-</v>
      </c>
      <c r="BC240" t="str">
        <f t="shared" si="142"/>
        <v>-</v>
      </c>
      <c r="BD240" s="29" t="str">
        <f t="shared" si="143"/>
        <v>-</v>
      </c>
      <c r="BE240" s="29" t="str">
        <f t="shared" si="144"/>
        <v>-</v>
      </c>
    </row>
    <row r="241" spans="1:57" ht="15" x14ac:dyDescent="0.2">
      <c r="A241" s="2">
        <v>503</v>
      </c>
      <c r="B241" s="2" t="str">
        <f t="shared" si="109"/>
        <v>0503</v>
      </c>
      <c r="C241" t="str">
        <f t="shared" si="110"/>
        <v>ORD-BL-0503-26/03/24</v>
      </c>
      <c r="D241" s="3" t="s">
        <v>532</v>
      </c>
      <c r="E241" t="str">
        <f t="shared" si="111"/>
        <v>SP001</v>
      </c>
      <c r="F241" t="str">
        <f>INDEX(Katalog!$B$4:$B$13,MATCH('Main Data'!E241,Katalog!$C$4:$C$13,0))</f>
        <v>Sneakers</v>
      </c>
      <c r="G241" t="str">
        <f>VLOOKUP(E241,Katalog!$A$15:$B$25,2,0)</f>
        <v>Sepatu Pria</v>
      </c>
      <c r="H241" t="str">
        <f t="shared" si="112"/>
        <v>3</v>
      </c>
      <c r="I241" t="str">
        <f t="shared" si="113"/>
        <v>1</v>
      </c>
      <c r="J241" s="18">
        <f>VLOOKUP(E241,Katalog!$C$3:$F$13,2,0)</f>
        <v>300000</v>
      </c>
      <c r="K241" s="18">
        <f>VLOOKUP(E241,Katalog!$C$3:$F$13,3,0)</f>
        <v>100000</v>
      </c>
      <c r="L241" t="str">
        <f t="shared" si="114"/>
        <v>-</v>
      </c>
      <c r="M241" t="str">
        <f>IFERROR(INDEX(Katalog!$B$4:$B$13,MATCH('Main Data'!L241,Katalog!$C$4:$C$13,0)), "-")</f>
        <v>-</v>
      </c>
      <c r="N241" t="str">
        <f>IFERROR(VLOOKUP(L241,Katalog!$A$15:$B$25,2,0),"-")</f>
        <v>-</v>
      </c>
      <c r="O241">
        <f t="shared" si="115"/>
        <v>0</v>
      </c>
      <c r="P241" t="str">
        <f t="shared" si="116"/>
        <v>-</v>
      </c>
      <c r="Q241" s="18">
        <f>IFERROR(VLOOKUP(L241,Katalog!$C$3:$F$13,2,0),0)</f>
        <v>0</v>
      </c>
      <c r="R241" s="18">
        <f>IFERROR(VLOOKUP(L241,Katalog!$C$3:$F$13,3,0),0)</f>
        <v>0</v>
      </c>
      <c r="S241" t="str">
        <f t="shared" si="117"/>
        <v>-</v>
      </c>
      <c r="T241" t="str">
        <f>IFERROR(INDEX(Katalog!$B$4:$B$13,MATCH('Main Data'!S241,Katalog!$C$4:$C$13,0)),"-")</f>
        <v>-</v>
      </c>
      <c r="U241" t="str">
        <f>IFERROR(VLOOKUP(S241,Katalog!$A$15:$B$25,2,0),"-")</f>
        <v>-</v>
      </c>
      <c r="V241">
        <f t="shared" si="118"/>
        <v>0</v>
      </c>
      <c r="W241" s="28" t="str">
        <f t="shared" si="119"/>
        <v>-</v>
      </c>
      <c r="X241" s="18">
        <f>IFERROR(VLOOKUP(S241,Katalog!$C$3:$F$13,2,0),0)</f>
        <v>0</v>
      </c>
      <c r="Y241" s="30">
        <f>IFERROR(VLOOKUP(S241,Katalog!$C$3:$F$13,3,0),0)</f>
        <v>0</v>
      </c>
      <c r="Z241" s="2">
        <f t="shared" si="120"/>
        <v>3</v>
      </c>
      <c r="AA241" s="4">
        <f t="shared" si="121"/>
        <v>900000</v>
      </c>
      <c r="AB241" s="4">
        <f t="shared" si="122"/>
        <v>300000</v>
      </c>
      <c r="AC241" s="4" t="s">
        <v>31</v>
      </c>
      <c r="AD241" s="16">
        <f>IFERROR(VLOOKUP(AC241,'Kode Diskon'!$C$2:$D$9,2,0),0)</f>
        <v>0.15</v>
      </c>
      <c r="AE241" s="31">
        <f t="shared" si="123"/>
        <v>135000</v>
      </c>
      <c r="AF241" s="31">
        <f t="shared" si="124"/>
        <v>765000</v>
      </c>
      <c r="AG241" s="31">
        <f t="shared" si="125"/>
        <v>600000</v>
      </c>
      <c r="AH241" s="31">
        <f t="shared" si="126"/>
        <v>465000</v>
      </c>
      <c r="AI241" s="4" t="s">
        <v>8</v>
      </c>
      <c r="AJ241" s="4" t="s">
        <v>11</v>
      </c>
      <c r="AK241" s="4" t="str">
        <f>IFERROR(VLOOKUP(AJ241,'Guide '!$A$13:$B$16,2,0),"-")</f>
        <v>BL</v>
      </c>
      <c r="AL241" s="4" t="s">
        <v>925</v>
      </c>
      <c r="AM241" s="40">
        <v>45377</v>
      </c>
      <c r="AN241">
        <f t="shared" si="127"/>
        <v>29</v>
      </c>
      <c r="AO241">
        <f t="shared" si="128"/>
        <v>32</v>
      </c>
      <c r="AP241">
        <f t="shared" si="129"/>
        <v>40</v>
      </c>
      <c r="AQ241">
        <f t="shared" si="130"/>
        <v>43</v>
      </c>
      <c r="AR241" s="26" t="str">
        <f t="shared" si="131"/>
        <v>-</v>
      </c>
      <c r="AS241" s="26" t="str">
        <f t="shared" si="132"/>
        <v>-</v>
      </c>
      <c r="AT241" s="21">
        <f t="shared" si="133"/>
        <v>12</v>
      </c>
      <c r="AU241" s="21">
        <f t="shared" si="134"/>
        <v>19</v>
      </c>
      <c r="AV241" t="str">
        <f t="shared" si="135"/>
        <v>-</v>
      </c>
      <c r="AW241" t="str">
        <f t="shared" si="136"/>
        <v>-</v>
      </c>
      <c r="AX241" t="str">
        <f t="shared" si="137"/>
        <v>-</v>
      </c>
      <c r="AY241" t="str">
        <f t="shared" si="138"/>
        <v>-</v>
      </c>
      <c r="AZ241" t="str">
        <f t="shared" si="139"/>
        <v>-</v>
      </c>
      <c r="BA241" t="str">
        <f t="shared" si="140"/>
        <v>-</v>
      </c>
      <c r="BB241" t="str">
        <f t="shared" si="141"/>
        <v>-</v>
      </c>
      <c r="BC241" t="str">
        <f t="shared" si="142"/>
        <v>-</v>
      </c>
      <c r="BD241" s="29" t="str">
        <f t="shared" si="143"/>
        <v>-</v>
      </c>
      <c r="BE241" s="29" t="str">
        <f t="shared" si="144"/>
        <v>-</v>
      </c>
    </row>
    <row r="242" spans="1:57" ht="15" x14ac:dyDescent="0.2">
      <c r="A242" s="2">
        <v>68</v>
      </c>
      <c r="B242" s="2" t="str">
        <f t="shared" si="109"/>
        <v>0068</v>
      </c>
      <c r="C242" t="str">
        <f t="shared" si="110"/>
        <v>ORD-SP-0068-27/03/24</v>
      </c>
      <c r="D242" s="3" t="s">
        <v>119</v>
      </c>
      <c r="E242" t="str">
        <f t="shared" si="111"/>
        <v>PW002</v>
      </c>
      <c r="F242" t="str">
        <f>INDEX(Katalog!$B$4:$B$13,MATCH('Main Data'!E242,Katalog!$C$4:$C$13,0))</f>
        <v>Blouse</v>
      </c>
      <c r="G242" t="str">
        <f>VLOOKUP(E242,Katalog!$A$15:$B$25,2,0)</f>
        <v>Pakaian Wanita</v>
      </c>
      <c r="H242" t="str">
        <f t="shared" si="112"/>
        <v>2</v>
      </c>
      <c r="I242" t="str">
        <f t="shared" si="113"/>
        <v>3</v>
      </c>
      <c r="J242" s="18">
        <f>VLOOKUP(E242,Katalog!$C$3:$F$13,2,0)</f>
        <v>125000</v>
      </c>
      <c r="K242" s="18">
        <f>VLOOKUP(E242,Katalog!$C$3:$F$13,3,0)</f>
        <v>50000</v>
      </c>
      <c r="L242" t="str">
        <f t="shared" si="114"/>
        <v>-</v>
      </c>
      <c r="M242" t="str">
        <f>IFERROR(INDEX(Katalog!$B$4:$B$13,MATCH('Main Data'!L242,Katalog!$C$4:$C$13,0)), "-")</f>
        <v>-</v>
      </c>
      <c r="N242" t="str">
        <f>IFERROR(VLOOKUP(L242,Katalog!$A$15:$B$25,2,0),"-")</f>
        <v>-</v>
      </c>
      <c r="O242">
        <f t="shared" si="115"/>
        <v>0</v>
      </c>
      <c r="P242" t="str">
        <f t="shared" si="116"/>
        <v>-</v>
      </c>
      <c r="Q242" s="18">
        <f>IFERROR(VLOOKUP(L242,Katalog!$C$3:$F$13,2,0),0)</f>
        <v>0</v>
      </c>
      <c r="R242" s="18">
        <f>IFERROR(VLOOKUP(L242,Katalog!$C$3:$F$13,3,0),0)</f>
        <v>0</v>
      </c>
      <c r="S242" t="str">
        <f t="shared" si="117"/>
        <v>-</v>
      </c>
      <c r="T242" t="str">
        <f>IFERROR(INDEX(Katalog!$B$4:$B$13,MATCH('Main Data'!S242,Katalog!$C$4:$C$13,0)),"-")</f>
        <v>-</v>
      </c>
      <c r="U242" t="str">
        <f>IFERROR(VLOOKUP(S242,Katalog!$A$15:$B$25,2,0),"-")</f>
        <v>-</v>
      </c>
      <c r="V242">
        <f t="shared" si="118"/>
        <v>0</v>
      </c>
      <c r="W242" s="28" t="str">
        <f t="shared" si="119"/>
        <v>-</v>
      </c>
      <c r="X242" s="18">
        <f>IFERROR(VLOOKUP(S242,Katalog!$C$3:$F$13,2,0),0)</f>
        <v>0</v>
      </c>
      <c r="Y242" s="30">
        <f>IFERROR(VLOOKUP(S242,Katalog!$C$3:$F$13,3,0),0)</f>
        <v>0</v>
      </c>
      <c r="Z242" s="2">
        <f t="shared" si="120"/>
        <v>2</v>
      </c>
      <c r="AA242" s="4">
        <f t="shared" si="121"/>
        <v>250000</v>
      </c>
      <c r="AB242" s="4">
        <f t="shared" si="122"/>
        <v>100000</v>
      </c>
      <c r="AC242" s="4" t="s">
        <v>12</v>
      </c>
      <c r="AD242" s="16">
        <f>IFERROR(VLOOKUP(AC242,'Kode Diskon'!$C$2:$D$9,2,0),0)</f>
        <v>0.15</v>
      </c>
      <c r="AE242" s="31">
        <f t="shared" si="123"/>
        <v>37500</v>
      </c>
      <c r="AF242" s="31">
        <f t="shared" si="124"/>
        <v>212500</v>
      </c>
      <c r="AG242" s="31">
        <f t="shared" si="125"/>
        <v>150000</v>
      </c>
      <c r="AH242" s="31">
        <f t="shared" si="126"/>
        <v>112500</v>
      </c>
      <c r="AI242" s="4" t="s">
        <v>28</v>
      </c>
      <c r="AJ242" s="4" t="s">
        <v>6</v>
      </c>
      <c r="AK242" s="4" t="str">
        <f>IFERROR(VLOOKUP(AJ242,'Guide '!$A$13:$B$16,2,0),"-")</f>
        <v>SP</v>
      </c>
      <c r="AL242" s="4" t="s">
        <v>924</v>
      </c>
      <c r="AM242" s="40">
        <v>45378</v>
      </c>
      <c r="AN242">
        <f t="shared" si="127"/>
        <v>29</v>
      </c>
      <c r="AO242">
        <f t="shared" si="128"/>
        <v>32</v>
      </c>
      <c r="AP242">
        <f t="shared" si="129"/>
        <v>40</v>
      </c>
      <c r="AQ242">
        <f t="shared" si="130"/>
        <v>43</v>
      </c>
      <c r="AR242" s="26" t="str">
        <f t="shared" si="131"/>
        <v>-</v>
      </c>
      <c r="AS242" s="26" t="str">
        <f t="shared" si="132"/>
        <v>-</v>
      </c>
      <c r="AT242" s="21">
        <f t="shared" si="133"/>
        <v>12</v>
      </c>
      <c r="AU242" s="21">
        <f t="shared" si="134"/>
        <v>19</v>
      </c>
      <c r="AV242" t="str">
        <f t="shared" si="135"/>
        <v>-</v>
      </c>
      <c r="AW242" t="str">
        <f t="shared" si="136"/>
        <v>-</v>
      </c>
      <c r="AX242" t="str">
        <f t="shared" si="137"/>
        <v>-</v>
      </c>
      <c r="AY242" t="str">
        <f t="shared" si="138"/>
        <v>-</v>
      </c>
      <c r="AZ242" t="str">
        <f t="shared" si="139"/>
        <v>-</v>
      </c>
      <c r="BA242" t="str">
        <f t="shared" si="140"/>
        <v>-</v>
      </c>
      <c r="BB242" t="str">
        <f t="shared" si="141"/>
        <v>-</v>
      </c>
      <c r="BC242" t="str">
        <f t="shared" si="142"/>
        <v>-</v>
      </c>
      <c r="BD242" s="29" t="str">
        <f t="shared" si="143"/>
        <v>-</v>
      </c>
      <c r="BE242" s="29" t="str">
        <f t="shared" si="144"/>
        <v>-</v>
      </c>
    </row>
    <row r="243" spans="1:57" ht="15" x14ac:dyDescent="0.2">
      <c r="A243" s="2">
        <v>521</v>
      </c>
      <c r="B243" s="2" t="str">
        <f t="shared" si="109"/>
        <v>0521</v>
      </c>
      <c r="C243" t="str">
        <f t="shared" si="110"/>
        <v>ORD-SP-0521-27/03/24</v>
      </c>
      <c r="D243" s="3" t="s">
        <v>549</v>
      </c>
      <c r="E243" t="str">
        <f t="shared" si="111"/>
        <v>SP002</v>
      </c>
      <c r="F243" t="str">
        <f>INDEX(Katalog!$B$4:$B$13,MATCH('Main Data'!E243,Katalog!$C$4:$C$13,0))</f>
        <v>Sandal Slip On</v>
      </c>
      <c r="G243" t="str">
        <f>VLOOKUP(E243,Katalog!$A$15:$B$25,2,0)</f>
        <v>Sepatu Pria</v>
      </c>
      <c r="H243" t="str">
        <f t="shared" si="112"/>
        <v>2</v>
      </c>
      <c r="I243" t="str">
        <f t="shared" si="113"/>
        <v>3</v>
      </c>
      <c r="J243" s="18">
        <f>VLOOKUP(E243,Katalog!$C$3:$F$13,2,0)</f>
        <v>120000</v>
      </c>
      <c r="K243" s="18">
        <f>VLOOKUP(E243,Katalog!$C$3:$F$13,3,0)</f>
        <v>60000</v>
      </c>
      <c r="L243" t="str">
        <f t="shared" si="114"/>
        <v>PW002</v>
      </c>
      <c r="M243" t="str">
        <f>IFERROR(INDEX(Katalog!$B$4:$B$13,MATCH('Main Data'!L243,Katalog!$C$4:$C$13,0)), "-")</f>
        <v>Blouse</v>
      </c>
      <c r="N243" t="str">
        <f>IFERROR(VLOOKUP(L243,Katalog!$A$15:$B$25,2,0),"-")</f>
        <v>Pakaian Wanita</v>
      </c>
      <c r="O243" t="str">
        <f t="shared" si="115"/>
        <v>1</v>
      </c>
      <c r="P243" t="str">
        <f t="shared" si="116"/>
        <v>5</v>
      </c>
      <c r="Q243" s="18">
        <f>IFERROR(VLOOKUP(L243,Katalog!$C$3:$F$13,2,0),0)</f>
        <v>125000</v>
      </c>
      <c r="R243" s="18">
        <f>IFERROR(VLOOKUP(L243,Katalog!$C$3:$F$13,3,0),0)</f>
        <v>50000</v>
      </c>
      <c r="S243" t="str">
        <f t="shared" si="117"/>
        <v>-</v>
      </c>
      <c r="T243" t="str">
        <f>IFERROR(INDEX(Katalog!$B$4:$B$13,MATCH('Main Data'!S243,Katalog!$C$4:$C$13,0)),"-")</f>
        <v>-</v>
      </c>
      <c r="U243" t="str">
        <f>IFERROR(VLOOKUP(S243,Katalog!$A$15:$B$25,2,0),"-")</f>
        <v>-</v>
      </c>
      <c r="V243">
        <f t="shared" si="118"/>
        <v>0</v>
      </c>
      <c r="W243" s="28" t="str">
        <f t="shared" si="119"/>
        <v>-</v>
      </c>
      <c r="X243" s="18">
        <f>IFERROR(VLOOKUP(S243,Katalog!$C$3:$F$13,2,0),0)</f>
        <v>0</v>
      </c>
      <c r="Y243" s="30">
        <f>IFERROR(VLOOKUP(S243,Katalog!$C$3:$F$13,3,0),0)</f>
        <v>0</v>
      </c>
      <c r="Z243" s="2">
        <f t="shared" si="120"/>
        <v>3</v>
      </c>
      <c r="AA243" s="4">
        <f t="shared" si="121"/>
        <v>365000</v>
      </c>
      <c r="AB243" s="4">
        <f t="shared" si="122"/>
        <v>170000</v>
      </c>
      <c r="AC243" s="4" t="s">
        <v>5</v>
      </c>
      <c r="AD243" s="16">
        <f>IFERROR(VLOOKUP(AC243,'Kode Diskon'!$C$2:$D$9,2,0),0)</f>
        <v>0.1</v>
      </c>
      <c r="AE243" s="31">
        <f t="shared" si="123"/>
        <v>36500</v>
      </c>
      <c r="AF243" s="31">
        <f t="shared" si="124"/>
        <v>328500</v>
      </c>
      <c r="AG243" s="31">
        <f t="shared" si="125"/>
        <v>195000</v>
      </c>
      <c r="AH243" s="31">
        <f t="shared" si="126"/>
        <v>158500</v>
      </c>
      <c r="AI243" s="4" t="s">
        <v>28</v>
      </c>
      <c r="AJ243" s="4" t="s">
        <v>6</v>
      </c>
      <c r="AK243" s="4" t="str">
        <f>IFERROR(VLOOKUP(AJ243,'Guide '!$A$13:$B$16,2,0),"-")</f>
        <v>SP</v>
      </c>
      <c r="AL243" s="4" t="s">
        <v>924</v>
      </c>
      <c r="AM243" s="40">
        <v>45378</v>
      </c>
      <c r="AN243">
        <f t="shared" si="127"/>
        <v>29</v>
      </c>
      <c r="AO243">
        <f t="shared" si="128"/>
        <v>32</v>
      </c>
      <c r="AP243">
        <f t="shared" si="129"/>
        <v>40</v>
      </c>
      <c r="AQ243">
        <f t="shared" si="130"/>
        <v>43</v>
      </c>
      <c r="AR243" s="26">
        <f t="shared" si="131"/>
        <v>56</v>
      </c>
      <c r="AS243" s="26">
        <f t="shared" si="132"/>
        <v>63</v>
      </c>
      <c r="AT243" s="21">
        <f t="shared" si="133"/>
        <v>12</v>
      </c>
      <c r="AU243" s="21">
        <f t="shared" si="134"/>
        <v>19</v>
      </c>
      <c r="AV243">
        <f t="shared" si="135"/>
        <v>73</v>
      </c>
      <c r="AW243">
        <f t="shared" si="136"/>
        <v>76</v>
      </c>
      <c r="AX243">
        <f t="shared" si="137"/>
        <v>84</v>
      </c>
      <c r="AY243">
        <f t="shared" si="138"/>
        <v>87</v>
      </c>
      <c r="AZ243" t="str">
        <f t="shared" si="139"/>
        <v>-</v>
      </c>
      <c r="BA243" t="str">
        <f t="shared" si="140"/>
        <v>-</v>
      </c>
      <c r="BB243" t="str">
        <f t="shared" si="141"/>
        <v>-</v>
      </c>
      <c r="BC243" t="str">
        <f t="shared" si="142"/>
        <v>-</v>
      </c>
      <c r="BD243" s="29" t="str">
        <f t="shared" si="143"/>
        <v>-</v>
      </c>
      <c r="BE243" s="29" t="str">
        <f t="shared" si="144"/>
        <v>-</v>
      </c>
    </row>
    <row r="244" spans="1:57" ht="15" x14ac:dyDescent="0.2">
      <c r="A244" s="2">
        <v>981</v>
      </c>
      <c r="B244" s="2" t="str">
        <f t="shared" si="109"/>
        <v>0981</v>
      </c>
      <c r="C244" t="str">
        <f t="shared" si="110"/>
        <v>ORD-SP-0981-27/03/24</v>
      </c>
      <c r="D244" s="3" t="s">
        <v>92</v>
      </c>
      <c r="E244" t="str">
        <f t="shared" si="111"/>
        <v>PW001</v>
      </c>
      <c r="F244" t="str">
        <f>INDEX(Katalog!$B$4:$B$13,MATCH('Main Data'!E244,Katalog!$C$4:$C$13,0))</f>
        <v>Dress</v>
      </c>
      <c r="G244" t="str">
        <f>VLOOKUP(E244,Katalog!$A$15:$B$25,2,0)</f>
        <v>Pakaian Wanita</v>
      </c>
      <c r="H244" t="str">
        <f t="shared" si="112"/>
        <v>1</v>
      </c>
      <c r="I244" t="str">
        <f t="shared" si="113"/>
        <v>4</v>
      </c>
      <c r="J244" s="18">
        <f>VLOOKUP(E244,Katalog!$C$3:$F$13,2,0)</f>
        <v>150000</v>
      </c>
      <c r="K244" s="18">
        <f>VLOOKUP(E244,Katalog!$C$3:$F$13,3,0)</f>
        <v>55000</v>
      </c>
      <c r="L244" t="str">
        <f t="shared" si="114"/>
        <v>-</v>
      </c>
      <c r="M244" t="str">
        <f>IFERROR(INDEX(Katalog!$B$4:$B$13,MATCH('Main Data'!L244,Katalog!$C$4:$C$13,0)), "-")</f>
        <v>-</v>
      </c>
      <c r="N244" t="str">
        <f>IFERROR(VLOOKUP(L244,Katalog!$A$15:$B$25,2,0),"-")</f>
        <v>-</v>
      </c>
      <c r="O244">
        <f t="shared" si="115"/>
        <v>0</v>
      </c>
      <c r="P244" t="str">
        <f t="shared" si="116"/>
        <v>-</v>
      </c>
      <c r="Q244" s="18">
        <f>IFERROR(VLOOKUP(L244,Katalog!$C$3:$F$13,2,0),0)</f>
        <v>0</v>
      </c>
      <c r="R244" s="18">
        <f>IFERROR(VLOOKUP(L244,Katalog!$C$3:$F$13,3,0),0)</f>
        <v>0</v>
      </c>
      <c r="S244" t="str">
        <f t="shared" si="117"/>
        <v>-</v>
      </c>
      <c r="T244" t="str">
        <f>IFERROR(INDEX(Katalog!$B$4:$B$13,MATCH('Main Data'!S244,Katalog!$C$4:$C$13,0)),"-")</f>
        <v>-</v>
      </c>
      <c r="U244" t="str">
        <f>IFERROR(VLOOKUP(S244,Katalog!$A$15:$B$25,2,0),"-")</f>
        <v>-</v>
      </c>
      <c r="V244">
        <f t="shared" si="118"/>
        <v>0</v>
      </c>
      <c r="W244" s="28" t="str">
        <f t="shared" si="119"/>
        <v>-</v>
      </c>
      <c r="X244" s="18">
        <f>IFERROR(VLOOKUP(S244,Katalog!$C$3:$F$13,2,0),0)</f>
        <v>0</v>
      </c>
      <c r="Y244" s="30">
        <f>IFERROR(VLOOKUP(S244,Katalog!$C$3:$F$13,3,0),0)</f>
        <v>0</v>
      </c>
      <c r="Z244" s="2">
        <f t="shared" si="120"/>
        <v>1</v>
      </c>
      <c r="AA244" s="4">
        <f t="shared" si="121"/>
        <v>150000</v>
      </c>
      <c r="AB244" s="4">
        <f t="shared" si="122"/>
        <v>55000</v>
      </c>
      <c r="AC244" s="4" t="s">
        <v>5</v>
      </c>
      <c r="AD244" s="16">
        <f>IFERROR(VLOOKUP(AC244,'Kode Diskon'!$C$2:$D$9,2,0),0)</f>
        <v>0.1</v>
      </c>
      <c r="AE244" s="31">
        <f t="shared" si="123"/>
        <v>15000</v>
      </c>
      <c r="AF244" s="31">
        <f t="shared" si="124"/>
        <v>135000</v>
      </c>
      <c r="AG244" s="31">
        <f t="shared" si="125"/>
        <v>95000</v>
      </c>
      <c r="AH244" s="31">
        <f t="shared" si="126"/>
        <v>80000</v>
      </c>
      <c r="AI244" s="4" t="s">
        <v>28</v>
      </c>
      <c r="AJ244" s="4" t="s">
        <v>6</v>
      </c>
      <c r="AK244" s="4" t="str">
        <f>IFERROR(VLOOKUP(AJ244,'Guide '!$A$13:$B$16,2,0),"-")</f>
        <v>SP</v>
      </c>
      <c r="AL244" s="4" t="s">
        <v>924</v>
      </c>
      <c r="AM244" s="40">
        <v>45378</v>
      </c>
      <c r="AN244">
        <f t="shared" si="127"/>
        <v>29</v>
      </c>
      <c r="AO244">
        <f t="shared" si="128"/>
        <v>32</v>
      </c>
      <c r="AP244">
        <f t="shared" si="129"/>
        <v>40</v>
      </c>
      <c r="AQ244">
        <f t="shared" si="130"/>
        <v>43</v>
      </c>
      <c r="AR244" s="26" t="str">
        <f t="shared" si="131"/>
        <v>-</v>
      </c>
      <c r="AS244" s="26" t="str">
        <f t="shared" si="132"/>
        <v>-</v>
      </c>
      <c r="AT244" s="21">
        <f t="shared" si="133"/>
        <v>12</v>
      </c>
      <c r="AU244" s="21">
        <f t="shared" si="134"/>
        <v>19</v>
      </c>
      <c r="AV244" t="str">
        <f t="shared" si="135"/>
        <v>-</v>
      </c>
      <c r="AW244" t="str">
        <f t="shared" si="136"/>
        <v>-</v>
      </c>
      <c r="AX244" t="str">
        <f t="shared" si="137"/>
        <v>-</v>
      </c>
      <c r="AY244" t="str">
        <f t="shared" si="138"/>
        <v>-</v>
      </c>
      <c r="AZ244" t="str">
        <f t="shared" si="139"/>
        <v>-</v>
      </c>
      <c r="BA244" t="str">
        <f t="shared" si="140"/>
        <v>-</v>
      </c>
      <c r="BB244" t="str">
        <f t="shared" si="141"/>
        <v>-</v>
      </c>
      <c r="BC244" t="str">
        <f t="shared" si="142"/>
        <v>-</v>
      </c>
      <c r="BD244" s="29" t="str">
        <f t="shared" si="143"/>
        <v>-</v>
      </c>
      <c r="BE244" s="29" t="str">
        <f t="shared" si="144"/>
        <v>-</v>
      </c>
    </row>
    <row r="245" spans="1:57" ht="15" x14ac:dyDescent="0.2">
      <c r="A245" s="2">
        <v>125</v>
      </c>
      <c r="B245" s="2" t="str">
        <f t="shared" si="109"/>
        <v>0125</v>
      </c>
      <c r="C245" t="str">
        <f t="shared" si="110"/>
        <v>ORD-SP-0125-28/03/24</v>
      </c>
      <c r="D245" s="3" t="s">
        <v>196</v>
      </c>
      <c r="E245" t="str">
        <f t="shared" si="111"/>
        <v>SP001</v>
      </c>
      <c r="F245" t="str">
        <f>INDEX(Katalog!$B$4:$B$13,MATCH('Main Data'!E245,Katalog!$C$4:$C$13,0))</f>
        <v>Sneakers</v>
      </c>
      <c r="G245" t="str">
        <f>VLOOKUP(E245,Katalog!$A$15:$B$25,2,0)</f>
        <v>Sepatu Pria</v>
      </c>
      <c r="H245" t="str">
        <f t="shared" si="112"/>
        <v>1</v>
      </c>
      <c r="I245" t="str">
        <f t="shared" si="113"/>
        <v>5</v>
      </c>
      <c r="J245" s="18">
        <f>VLOOKUP(E245,Katalog!$C$3:$F$13,2,0)</f>
        <v>300000</v>
      </c>
      <c r="K245" s="18">
        <f>VLOOKUP(E245,Katalog!$C$3:$F$13,3,0)</f>
        <v>100000</v>
      </c>
      <c r="L245" t="str">
        <f t="shared" si="114"/>
        <v>SW001</v>
      </c>
      <c r="M245" t="str">
        <f>IFERROR(INDEX(Katalog!$B$4:$B$13,MATCH('Main Data'!L245,Katalog!$C$4:$C$13,0)), "-")</f>
        <v>Flat Shoes</v>
      </c>
      <c r="N245" t="str">
        <f>IFERROR(VLOOKUP(L245,Katalog!$A$15:$B$25,2,0),"-")</f>
        <v>Sepatu Wanita</v>
      </c>
      <c r="O245" t="str">
        <f t="shared" si="115"/>
        <v>1</v>
      </c>
      <c r="P245" t="str">
        <f t="shared" si="116"/>
        <v>4</v>
      </c>
      <c r="Q245" s="18">
        <f>IFERROR(VLOOKUP(L245,Katalog!$C$3:$F$13,2,0),0)</f>
        <v>150000</v>
      </c>
      <c r="R245" s="18">
        <f>IFERROR(VLOOKUP(L245,Katalog!$C$3:$F$13,3,0),0)</f>
        <v>70000</v>
      </c>
      <c r="S245" t="str">
        <f t="shared" si="117"/>
        <v>-</v>
      </c>
      <c r="T245" t="str">
        <f>IFERROR(INDEX(Katalog!$B$4:$B$13,MATCH('Main Data'!S245,Katalog!$C$4:$C$13,0)),"-")</f>
        <v>-</v>
      </c>
      <c r="U245" t="str">
        <f>IFERROR(VLOOKUP(S245,Katalog!$A$15:$B$25,2,0),"-")</f>
        <v>-</v>
      </c>
      <c r="V245">
        <f t="shared" si="118"/>
        <v>0</v>
      </c>
      <c r="W245" s="28" t="str">
        <f t="shared" si="119"/>
        <v>-</v>
      </c>
      <c r="X245" s="18">
        <f>IFERROR(VLOOKUP(S245,Katalog!$C$3:$F$13,2,0),0)</f>
        <v>0</v>
      </c>
      <c r="Y245" s="30">
        <f>IFERROR(VLOOKUP(S245,Katalog!$C$3:$F$13,3,0),0)</f>
        <v>0</v>
      </c>
      <c r="Z245" s="2">
        <f t="shared" si="120"/>
        <v>2</v>
      </c>
      <c r="AA245" s="4">
        <f t="shared" si="121"/>
        <v>450000</v>
      </c>
      <c r="AB245" s="4">
        <f t="shared" si="122"/>
        <v>170000</v>
      </c>
      <c r="AC245" s="4" t="s">
        <v>5</v>
      </c>
      <c r="AD245" s="16">
        <f>IFERROR(VLOOKUP(AC245,'Kode Diskon'!$C$2:$D$9,2,0),0)</f>
        <v>0.1</v>
      </c>
      <c r="AE245" s="31">
        <f t="shared" si="123"/>
        <v>45000</v>
      </c>
      <c r="AF245" s="31">
        <f t="shared" si="124"/>
        <v>405000</v>
      </c>
      <c r="AG245" s="31">
        <f t="shared" si="125"/>
        <v>280000</v>
      </c>
      <c r="AH245" s="31">
        <f t="shared" si="126"/>
        <v>235000</v>
      </c>
      <c r="AI245" s="4" t="s">
        <v>28</v>
      </c>
      <c r="AJ245" s="4" t="s">
        <v>6</v>
      </c>
      <c r="AK245" s="4" t="str">
        <f>IFERROR(VLOOKUP(AJ245,'Guide '!$A$13:$B$16,2,0),"-")</f>
        <v>SP</v>
      </c>
      <c r="AL245" s="4" t="s">
        <v>925</v>
      </c>
      <c r="AM245" s="40">
        <v>45379</v>
      </c>
      <c r="AN245">
        <f t="shared" si="127"/>
        <v>29</v>
      </c>
      <c r="AO245">
        <f t="shared" si="128"/>
        <v>32</v>
      </c>
      <c r="AP245">
        <f t="shared" si="129"/>
        <v>40</v>
      </c>
      <c r="AQ245">
        <f t="shared" si="130"/>
        <v>43</v>
      </c>
      <c r="AR245" s="26">
        <f t="shared" si="131"/>
        <v>56</v>
      </c>
      <c r="AS245" s="26">
        <f t="shared" si="132"/>
        <v>63</v>
      </c>
      <c r="AT245" s="21">
        <f t="shared" si="133"/>
        <v>12</v>
      </c>
      <c r="AU245" s="21">
        <f t="shared" si="134"/>
        <v>19</v>
      </c>
      <c r="AV245">
        <f t="shared" si="135"/>
        <v>73</v>
      </c>
      <c r="AW245">
        <f t="shared" si="136"/>
        <v>76</v>
      </c>
      <c r="AX245">
        <f t="shared" si="137"/>
        <v>84</v>
      </c>
      <c r="AY245">
        <f t="shared" si="138"/>
        <v>87</v>
      </c>
      <c r="AZ245" t="str">
        <f t="shared" si="139"/>
        <v>-</v>
      </c>
      <c r="BA245" t="str">
        <f t="shared" si="140"/>
        <v>-</v>
      </c>
      <c r="BB245" t="str">
        <f t="shared" si="141"/>
        <v>-</v>
      </c>
      <c r="BC245" t="str">
        <f t="shared" si="142"/>
        <v>-</v>
      </c>
      <c r="BD245" s="29" t="str">
        <f t="shared" si="143"/>
        <v>-</v>
      </c>
      <c r="BE245" s="29" t="str">
        <f t="shared" si="144"/>
        <v>-</v>
      </c>
    </row>
    <row r="246" spans="1:57" ht="15" x14ac:dyDescent="0.2">
      <c r="A246" s="2">
        <v>802</v>
      </c>
      <c r="B246" s="2" t="str">
        <f t="shared" si="109"/>
        <v>0802</v>
      </c>
      <c r="C246" t="str">
        <f t="shared" si="110"/>
        <v>ORD-BB-0802-28/03/24</v>
      </c>
      <c r="D246" s="3" t="s">
        <v>369</v>
      </c>
      <c r="E246" t="str">
        <f t="shared" si="111"/>
        <v>PW002</v>
      </c>
      <c r="F246" t="str">
        <f>INDEX(Katalog!$B$4:$B$13,MATCH('Main Data'!E246,Katalog!$C$4:$C$13,0))</f>
        <v>Blouse</v>
      </c>
      <c r="G246" t="str">
        <f>VLOOKUP(E246,Katalog!$A$15:$B$25,2,0)</f>
        <v>Pakaian Wanita</v>
      </c>
      <c r="H246" t="str">
        <f t="shared" si="112"/>
        <v>3</v>
      </c>
      <c r="I246" t="str">
        <f t="shared" si="113"/>
        <v>2</v>
      </c>
      <c r="J246" s="18">
        <f>VLOOKUP(E246,Katalog!$C$3:$F$13,2,0)</f>
        <v>125000</v>
      </c>
      <c r="K246" s="18">
        <f>VLOOKUP(E246,Katalog!$C$3:$F$13,3,0)</f>
        <v>50000</v>
      </c>
      <c r="L246" t="str">
        <f t="shared" si="114"/>
        <v>-</v>
      </c>
      <c r="M246" t="str">
        <f>IFERROR(INDEX(Katalog!$B$4:$B$13,MATCH('Main Data'!L246,Katalog!$C$4:$C$13,0)), "-")</f>
        <v>-</v>
      </c>
      <c r="N246" t="str">
        <f>IFERROR(VLOOKUP(L246,Katalog!$A$15:$B$25,2,0),"-")</f>
        <v>-</v>
      </c>
      <c r="O246">
        <f t="shared" si="115"/>
        <v>0</v>
      </c>
      <c r="P246" t="str">
        <f t="shared" si="116"/>
        <v>-</v>
      </c>
      <c r="Q246" s="18">
        <f>IFERROR(VLOOKUP(L246,Katalog!$C$3:$F$13,2,0),0)</f>
        <v>0</v>
      </c>
      <c r="R246" s="18">
        <f>IFERROR(VLOOKUP(L246,Katalog!$C$3:$F$13,3,0),0)</f>
        <v>0</v>
      </c>
      <c r="S246" t="str">
        <f t="shared" si="117"/>
        <v>-</v>
      </c>
      <c r="T246" t="str">
        <f>IFERROR(INDEX(Katalog!$B$4:$B$13,MATCH('Main Data'!S246,Katalog!$C$4:$C$13,0)),"-")</f>
        <v>-</v>
      </c>
      <c r="U246" t="str">
        <f>IFERROR(VLOOKUP(S246,Katalog!$A$15:$B$25,2,0),"-")</f>
        <v>-</v>
      </c>
      <c r="V246">
        <f t="shared" si="118"/>
        <v>0</v>
      </c>
      <c r="W246" s="28" t="str">
        <f t="shared" si="119"/>
        <v>-</v>
      </c>
      <c r="X246" s="18">
        <f>IFERROR(VLOOKUP(S246,Katalog!$C$3:$F$13,2,0),0)</f>
        <v>0</v>
      </c>
      <c r="Y246" s="30">
        <f>IFERROR(VLOOKUP(S246,Katalog!$C$3:$F$13,3,0),0)</f>
        <v>0</v>
      </c>
      <c r="Z246" s="2">
        <f t="shared" si="120"/>
        <v>3</v>
      </c>
      <c r="AA246" s="4">
        <f t="shared" si="121"/>
        <v>375000</v>
      </c>
      <c r="AB246" s="4">
        <f t="shared" si="122"/>
        <v>150000</v>
      </c>
      <c r="AC246" s="4" t="s">
        <v>10</v>
      </c>
      <c r="AD246" s="16">
        <f>IFERROR(VLOOKUP(AC246,'Kode Diskon'!$C$2:$D$9,2,0),0)</f>
        <v>0</v>
      </c>
      <c r="AE246" s="31">
        <f t="shared" si="123"/>
        <v>0</v>
      </c>
      <c r="AF246" s="31">
        <f t="shared" si="124"/>
        <v>375000</v>
      </c>
      <c r="AG246" s="31">
        <f t="shared" si="125"/>
        <v>225000</v>
      </c>
      <c r="AH246" s="31">
        <f t="shared" si="126"/>
        <v>225000</v>
      </c>
      <c r="AI246" s="4" t="s">
        <v>10</v>
      </c>
      <c r="AJ246" s="4" t="s">
        <v>13</v>
      </c>
      <c r="AK246" s="4" t="str">
        <f>IFERROR(VLOOKUP(AJ246,'Guide '!$A$13:$B$16,2,0),"-")</f>
        <v>BB</v>
      </c>
      <c r="AL246" s="4" t="s">
        <v>925</v>
      </c>
      <c r="AM246" s="40">
        <v>45379</v>
      </c>
      <c r="AN246">
        <f t="shared" si="127"/>
        <v>29</v>
      </c>
      <c r="AO246">
        <f t="shared" si="128"/>
        <v>32</v>
      </c>
      <c r="AP246">
        <f t="shared" si="129"/>
        <v>40</v>
      </c>
      <c r="AQ246">
        <f t="shared" si="130"/>
        <v>43</v>
      </c>
      <c r="AR246" s="26" t="str">
        <f t="shared" si="131"/>
        <v>-</v>
      </c>
      <c r="AS246" s="26" t="str">
        <f t="shared" si="132"/>
        <v>-</v>
      </c>
      <c r="AT246" s="21">
        <f t="shared" si="133"/>
        <v>12</v>
      </c>
      <c r="AU246" s="21">
        <f t="shared" si="134"/>
        <v>19</v>
      </c>
      <c r="AV246" t="str">
        <f t="shared" si="135"/>
        <v>-</v>
      </c>
      <c r="AW246" t="str">
        <f t="shared" si="136"/>
        <v>-</v>
      </c>
      <c r="AX246" t="str">
        <f t="shared" si="137"/>
        <v>-</v>
      </c>
      <c r="AY246" t="str">
        <f t="shared" si="138"/>
        <v>-</v>
      </c>
      <c r="AZ246" t="str">
        <f t="shared" si="139"/>
        <v>-</v>
      </c>
      <c r="BA246" t="str">
        <f t="shared" si="140"/>
        <v>-</v>
      </c>
      <c r="BB246" t="str">
        <f t="shared" si="141"/>
        <v>-</v>
      </c>
      <c r="BC246" t="str">
        <f t="shared" si="142"/>
        <v>-</v>
      </c>
      <c r="BD246" s="29" t="str">
        <f t="shared" si="143"/>
        <v>-</v>
      </c>
      <c r="BE246" s="29" t="str">
        <f t="shared" si="144"/>
        <v>-</v>
      </c>
    </row>
    <row r="247" spans="1:57" ht="15" x14ac:dyDescent="0.2">
      <c r="A247" s="2">
        <v>857</v>
      </c>
      <c r="B247" s="2" t="str">
        <f t="shared" si="109"/>
        <v>0857</v>
      </c>
      <c r="C247" t="str">
        <f t="shared" si="110"/>
        <v>ORD-TK-0857-28/03/24</v>
      </c>
      <c r="D247" s="3" t="s">
        <v>808</v>
      </c>
      <c r="E247" t="str">
        <f t="shared" si="111"/>
        <v>PP002</v>
      </c>
      <c r="F247" t="str">
        <f>INDEX(Katalog!$B$4:$B$13,MATCH('Main Data'!E247,Katalog!$C$4:$C$13,0))</f>
        <v>Celana Pendek</v>
      </c>
      <c r="G247" t="str">
        <f>VLOOKUP(E247,Katalog!$A$15:$B$25,2,0)</f>
        <v>Pakaian Pria</v>
      </c>
      <c r="H247" t="str">
        <f t="shared" si="112"/>
        <v>5</v>
      </c>
      <c r="I247" t="str">
        <f t="shared" si="113"/>
        <v>1</v>
      </c>
      <c r="J247" s="18">
        <f>VLOOKUP(E247,Katalog!$C$3:$F$13,2,0)</f>
        <v>60000</v>
      </c>
      <c r="K247" s="18">
        <f>VLOOKUP(E247,Katalog!$C$3:$F$13,3,0)</f>
        <v>25000</v>
      </c>
      <c r="L247" t="str">
        <f t="shared" si="114"/>
        <v>PP001</v>
      </c>
      <c r="M247" t="str">
        <f>IFERROR(INDEX(Katalog!$B$4:$B$13,MATCH('Main Data'!L247,Katalog!$C$4:$C$13,0)), "-")</f>
        <v>Kaos Polo</v>
      </c>
      <c r="N247" t="str">
        <f>IFERROR(VLOOKUP(L247,Katalog!$A$15:$B$25,2,0),"-")</f>
        <v>Pakaian Pria</v>
      </c>
      <c r="O247" t="str">
        <f t="shared" si="115"/>
        <v>1</v>
      </c>
      <c r="P247" t="str">
        <f t="shared" si="116"/>
        <v>5</v>
      </c>
      <c r="Q247" s="18">
        <f>IFERROR(VLOOKUP(L247,Katalog!$C$3:$F$13,2,0),0)</f>
        <v>80000</v>
      </c>
      <c r="R247" s="18">
        <f>IFERROR(VLOOKUP(L247,Katalog!$C$3:$F$13,3,0),0)</f>
        <v>30000</v>
      </c>
      <c r="S247" t="str">
        <f t="shared" si="117"/>
        <v>PP003</v>
      </c>
      <c r="T247" t="str">
        <f>IFERROR(INDEX(Katalog!$B$4:$B$13,MATCH('Main Data'!S247,Katalog!$C$4:$C$13,0)),"-")</f>
        <v>Jaket Jeans</v>
      </c>
      <c r="U247" t="str">
        <f>IFERROR(VLOOKUP(S247,Katalog!$A$15:$B$25,2,0),"-")</f>
        <v>Pakaian Pria</v>
      </c>
      <c r="V247" t="str">
        <f t="shared" si="118"/>
        <v>1</v>
      </c>
      <c r="W247" s="28" t="str">
        <f t="shared" si="119"/>
        <v>3</v>
      </c>
      <c r="X247" s="18">
        <f>IFERROR(VLOOKUP(S247,Katalog!$C$3:$F$13,2,0),0)</f>
        <v>150000</v>
      </c>
      <c r="Y247" s="30">
        <f>IFERROR(VLOOKUP(S247,Katalog!$C$3:$F$13,3,0),0)</f>
        <v>70000</v>
      </c>
      <c r="Z247" s="2">
        <f t="shared" si="120"/>
        <v>7</v>
      </c>
      <c r="AA247" s="4">
        <f t="shared" si="121"/>
        <v>530000</v>
      </c>
      <c r="AB247" s="4">
        <f t="shared" si="122"/>
        <v>225000</v>
      </c>
      <c r="AC247" s="4" t="s">
        <v>30</v>
      </c>
      <c r="AD247" s="16">
        <f>IFERROR(VLOOKUP(AC247,'Kode Diskon'!$C$2:$D$9,2,0),0)</f>
        <v>0.1</v>
      </c>
      <c r="AE247" s="31">
        <f t="shared" si="123"/>
        <v>53000</v>
      </c>
      <c r="AF247" s="31">
        <f t="shared" si="124"/>
        <v>477000</v>
      </c>
      <c r="AG247" s="31">
        <f t="shared" si="125"/>
        <v>305000</v>
      </c>
      <c r="AH247" s="31">
        <f t="shared" si="126"/>
        <v>252000</v>
      </c>
      <c r="AI247" s="4" t="s">
        <v>8</v>
      </c>
      <c r="AJ247" s="4" t="s">
        <v>9</v>
      </c>
      <c r="AK247" s="4" t="str">
        <f>IFERROR(VLOOKUP(AJ247,'Guide '!$A$13:$B$16,2,0),"-")</f>
        <v>TK</v>
      </c>
      <c r="AL247" s="4" t="s">
        <v>925</v>
      </c>
      <c r="AM247" s="40">
        <v>45379</v>
      </c>
      <c r="AN247">
        <f t="shared" si="127"/>
        <v>29</v>
      </c>
      <c r="AO247">
        <f t="shared" si="128"/>
        <v>32</v>
      </c>
      <c r="AP247">
        <f t="shared" si="129"/>
        <v>40</v>
      </c>
      <c r="AQ247">
        <f t="shared" si="130"/>
        <v>43</v>
      </c>
      <c r="AR247" s="26">
        <f t="shared" si="131"/>
        <v>56</v>
      </c>
      <c r="AS247" s="26">
        <f t="shared" si="132"/>
        <v>63</v>
      </c>
      <c r="AT247" s="21">
        <f t="shared" si="133"/>
        <v>12</v>
      </c>
      <c r="AU247" s="21">
        <f t="shared" si="134"/>
        <v>19</v>
      </c>
      <c r="AV247">
        <f t="shared" si="135"/>
        <v>73</v>
      </c>
      <c r="AW247">
        <f t="shared" si="136"/>
        <v>76</v>
      </c>
      <c r="AX247">
        <f t="shared" si="137"/>
        <v>84</v>
      </c>
      <c r="AY247">
        <f t="shared" si="138"/>
        <v>87</v>
      </c>
      <c r="AZ247">
        <f t="shared" si="139"/>
        <v>100</v>
      </c>
      <c r="BA247">
        <f t="shared" si="140"/>
        <v>107</v>
      </c>
      <c r="BB247">
        <f t="shared" si="141"/>
        <v>117</v>
      </c>
      <c r="BC247">
        <f t="shared" si="142"/>
        <v>120</v>
      </c>
      <c r="BD247" s="29">
        <f t="shared" si="143"/>
        <v>128</v>
      </c>
      <c r="BE247" s="29">
        <f t="shared" si="144"/>
        <v>131</v>
      </c>
    </row>
    <row r="248" spans="1:57" ht="15" x14ac:dyDescent="0.2">
      <c r="A248" s="2">
        <v>108</v>
      </c>
      <c r="B248" s="2" t="str">
        <f t="shared" si="109"/>
        <v>0108</v>
      </c>
      <c r="C248" t="str">
        <f t="shared" si="110"/>
        <v>ORD-BB-0108-29/03/24</v>
      </c>
      <c r="D248" s="3" t="s">
        <v>180</v>
      </c>
      <c r="E248" t="str">
        <f t="shared" si="111"/>
        <v>PU001</v>
      </c>
      <c r="F248" t="str">
        <f>INDEX(Katalog!$B$4:$B$13,MATCH('Main Data'!E248,Katalog!$C$4:$C$13,0))</f>
        <v>Jaket Hoodie</v>
      </c>
      <c r="G248" t="str">
        <f>VLOOKUP(E248,Katalog!$A$15:$B$25,2,0)</f>
        <v>Pakaian Unisex</v>
      </c>
      <c r="H248" t="str">
        <f t="shared" si="112"/>
        <v>7</v>
      </c>
      <c r="I248" t="str">
        <f t="shared" si="113"/>
        <v>4</v>
      </c>
      <c r="J248" s="18">
        <f>VLOOKUP(E248,Katalog!$C$3:$F$13,2,0)</f>
        <v>160000</v>
      </c>
      <c r="K248" s="18">
        <f>VLOOKUP(E248,Katalog!$C$3:$F$13,3,0)</f>
        <v>60000</v>
      </c>
      <c r="L248" t="str">
        <f t="shared" si="114"/>
        <v>-</v>
      </c>
      <c r="M248" t="str">
        <f>IFERROR(INDEX(Katalog!$B$4:$B$13,MATCH('Main Data'!L248,Katalog!$C$4:$C$13,0)), "-")</f>
        <v>-</v>
      </c>
      <c r="N248" t="str">
        <f>IFERROR(VLOOKUP(L248,Katalog!$A$15:$B$25,2,0),"-")</f>
        <v>-</v>
      </c>
      <c r="O248">
        <f t="shared" si="115"/>
        <v>0</v>
      </c>
      <c r="P248" t="str">
        <f t="shared" si="116"/>
        <v>-</v>
      </c>
      <c r="Q248" s="18">
        <f>IFERROR(VLOOKUP(L248,Katalog!$C$3:$F$13,2,0),0)</f>
        <v>0</v>
      </c>
      <c r="R248" s="18">
        <f>IFERROR(VLOOKUP(L248,Katalog!$C$3:$F$13,3,0),0)</f>
        <v>0</v>
      </c>
      <c r="S248" t="str">
        <f t="shared" si="117"/>
        <v>-</v>
      </c>
      <c r="T248" t="str">
        <f>IFERROR(INDEX(Katalog!$B$4:$B$13,MATCH('Main Data'!S248,Katalog!$C$4:$C$13,0)),"-")</f>
        <v>-</v>
      </c>
      <c r="U248" t="str">
        <f>IFERROR(VLOOKUP(S248,Katalog!$A$15:$B$25,2,0),"-")</f>
        <v>-</v>
      </c>
      <c r="V248">
        <f t="shared" si="118"/>
        <v>0</v>
      </c>
      <c r="W248" s="28" t="str">
        <f t="shared" si="119"/>
        <v>-</v>
      </c>
      <c r="X248" s="18">
        <f>IFERROR(VLOOKUP(S248,Katalog!$C$3:$F$13,2,0),0)</f>
        <v>0</v>
      </c>
      <c r="Y248" s="30">
        <f>IFERROR(VLOOKUP(S248,Katalog!$C$3:$F$13,3,0),0)</f>
        <v>0</v>
      </c>
      <c r="Z248" s="2">
        <f t="shared" si="120"/>
        <v>7</v>
      </c>
      <c r="AA248" s="4">
        <f t="shared" si="121"/>
        <v>1120000</v>
      </c>
      <c r="AB248" s="4">
        <f t="shared" si="122"/>
        <v>420000</v>
      </c>
      <c r="AC248" s="4" t="s">
        <v>27</v>
      </c>
      <c r="AD248" s="16">
        <f>IFERROR(VLOOKUP(AC248,'Kode Diskon'!$C$2:$D$9,2,0),0)</f>
        <v>0.15</v>
      </c>
      <c r="AE248" s="31">
        <f t="shared" si="123"/>
        <v>168000</v>
      </c>
      <c r="AF248" s="31">
        <f t="shared" si="124"/>
        <v>952000</v>
      </c>
      <c r="AG248" s="31">
        <f t="shared" si="125"/>
        <v>700000</v>
      </c>
      <c r="AH248" s="31">
        <f t="shared" si="126"/>
        <v>532000</v>
      </c>
      <c r="AI248" s="4" t="s">
        <v>28</v>
      </c>
      <c r="AJ248" s="4" t="s">
        <v>13</v>
      </c>
      <c r="AK248" s="4" t="str">
        <f>IFERROR(VLOOKUP(AJ248,'Guide '!$A$13:$B$16,2,0),"-")</f>
        <v>BB</v>
      </c>
      <c r="AL248" s="4" t="s">
        <v>925</v>
      </c>
      <c r="AM248" s="40">
        <v>45380</v>
      </c>
      <c r="AN248">
        <f t="shared" si="127"/>
        <v>29</v>
      </c>
      <c r="AO248">
        <f t="shared" si="128"/>
        <v>32</v>
      </c>
      <c r="AP248">
        <f t="shared" si="129"/>
        <v>40</v>
      </c>
      <c r="AQ248">
        <f t="shared" si="130"/>
        <v>43</v>
      </c>
      <c r="AR248" s="26" t="str">
        <f t="shared" si="131"/>
        <v>-</v>
      </c>
      <c r="AS248" s="26" t="str">
        <f t="shared" si="132"/>
        <v>-</v>
      </c>
      <c r="AT248" s="21">
        <f t="shared" si="133"/>
        <v>12</v>
      </c>
      <c r="AU248" s="21">
        <f t="shared" si="134"/>
        <v>19</v>
      </c>
      <c r="AV248" t="str">
        <f t="shared" si="135"/>
        <v>-</v>
      </c>
      <c r="AW248" t="str">
        <f t="shared" si="136"/>
        <v>-</v>
      </c>
      <c r="AX248" t="str">
        <f t="shared" si="137"/>
        <v>-</v>
      </c>
      <c r="AY248" t="str">
        <f t="shared" si="138"/>
        <v>-</v>
      </c>
      <c r="AZ248" t="str">
        <f t="shared" si="139"/>
        <v>-</v>
      </c>
      <c r="BA248" t="str">
        <f t="shared" si="140"/>
        <v>-</v>
      </c>
      <c r="BB248" t="str">
        <f t="shared" si="141"/>
        <v>-</v>
      </c>
      <c r="BC248" t="str">
        <f t="shared" si="142"/>
        <v>-</v>
      </c>
      <c r="BD248" s="29" t="str">
        <f t="shared" si="143"/>
        <v>-</v>
      </c>
      <c r="BE248" s="29" t="str">
        <f t="shared" si="144"/>
        <v>-</v>
      </c>
    </row>
    <row r="249" spans="1:57" ht="15" x14ac:dyDescent="0.2">
      <c r="A249" s="2">
        <v>313</v>
      </c>
      <c r="B249" s="2" t="str">
        <f t="shared" si="109"/>
        <v>0313</v>
      </c>
      <c r="C249" t="str">
        <f t="shared" si="110"/>
        <v>ORD-TK-0313-29/03/24</v>
      </c>
      <c r="D249" s="3" t="s">
        <v>368</v>
      </c>
      <c r="E249" t="str">
        <f t="shared" si="111"/>
        <v>SP002</v>
      </c>
      <c r="F249" t="str">
        <f>INDEX(Katalog!$B$4:$B$13,MATCH('Main Data'!E249,Katalog!$C$4:$C$13,0))</f>
        <v>Sandal Slip On</v>
      </c>
      <c r="G249" t="str">
        <f>VLOOKUP(E249,Katalog!$A$15:$B$25,2,0)</f>
        <v>Sepatu Pria</v>
      </c>
      <c r="H249" t="str">
        <f t="shared" si="112"/>
        <v>4</v>
      </c>
      <c r="I249" t="str">
        <f t="shared" si="113"/>
        <v>5</v>
      </c>
      <c r="J249" s="18">
        <f>VLOOKUP(E249,Katalog!$C$3:$F$13,2,0)</f>
        <v>120000</v>
      </c>
      <c r="K249" s="18">
        <f>VLOOKUP(E249,Katalog!$C$3:$F$13,3,0)</f>
        <v>60000</v>
      </c>
      <c r="L249" t="str">
        <f t="shared" si="114"/>
        <v>-</v>
      </c>
      <c r="M249" t="str">
        <f>IFERROR(INDEX(Katalog!$B$4:$B$13,MATCH('Main Data'!L249,Katalog!$C$4:$C$13,0)), "-")</f>
        <v>-</v>
      </c>
      <c r="N249" t="str">
        <f>IFERROR(VLOOKUP(L249,Katalog!$A$15:$B$25,2,0),"-")</f>
        <v>-</v>
      </c>
      <c r="O249">
        <f t="shared" si="115"/>
        <v>0</v>
      </c>
      <c r="P249" t="str">
        <f t="shared" si="116"/>
        <v>-</v>
      </c>
      <c r="Q249" s="18">
        <f>IFERROR(VLOOKUP(L249,Katalog!$C$3:$F$13,2,0),0)</f>
        <v>0</v>
      </c>
      <c r="R249" s="18">
        <f>IFERROR(VLOOKUP(L249,Katalog!$C$3:$F$13,3,0),0)</f>
        <v>0</v>
      </c>
      <c r="S249" t="str">
        <f t="shared" si="117"/>
        <v>-</v>
      </c>
      <c r="T249" t="str">
        <f>IFERROR(INDEX(Katalog!$B$4:$B$13,MATCH('Main Data'!S249,Katalog!$C$4:$C$13,0)),"-")</f>
        <v>-</v>
      </c>
      <c r="U249" t="str">
        <f>IFERROR(VLOOKUP(S249,Katalog!$A$15:$B$25,2,0),"-")</f>
        <v>-</v>
      </c>
      <c r="V249">
        <f t="shared" si="118"/>
        <v>0</v>
      </c>
      <c r="W249" s="28" t="str">
        <f t="shared" si="119"/>
        <v>-</v>
      </c>
      <c r="X249" s="18">
        <f>IFERROR(VLOOKUP(S249,Katalog!$C$3:$F$13,2,0),0)</f>
        <v>0</v>
      </c>
      <c r="Y249" s="30">
        <f>IFERROR(VLOOKUP(S249,Katalog!$C$3:$F$13,3,0),0)</f>
        <v>0</v>
      </c>
      <c r="Z249" s="2">
        <f t="shared" si="120"/>
        <v>4</v>
      </c>
      <c r="AA249" s="4">
        <f t="shared" si="121"/>
        <v>480000</v>
      </c>
      <c r="AB249" s="4">
        <f t="shared" si="122"/>
        <v>240000</v>
      </c>
      <c r="AC249" s="4" t="s">
        <v>30</v>
      </c>
      <c r="AD249" s="16">
        <f>IFERROR(VLOOKUP(AC249,'Kode Diskon'!$C$2:$D$9,2,0),0)</f>
        <v>0.1</v>
      </c>
      <c r="AE249" s="31">
        <f t="shared" si="123"/>
        <v>48000</v>
      </c>
      <c r="AF249" s="31">
        <f t="shared" si="124"/>
        <v>432000</v>
      </c>
      <c r="AG249" s="31">
        <f t="shared" si="125"/>
        <v>240000</v>
      </c>
      <c r="AH249" s="31">
        <f t="shared" si="126"/>
        <v>192000</v>
      </c>
      <c r="AI249" s="4" t="s">
        <v>8</v>
      </c>
      <c r="AJ249" s="4" t="s">
        <v>9</v>
      </c>
      <c r="AK249" s="4" t="str">
        <f>IFERROR(VLOOKUP(AJ249,'Guide '!$A$13:$B$16,2,0),"-")</f>
        <v>TK</v>
      </c>
      <c r="AL249" s="4" t="s">
        <v>924</v>
      </c>
      <c r="AM249" s="40">
        <v>45380</v>
      </c>
      <c r="AN249">
        <f t="shared" si="127"/>
        <v>29</v>
      </c>
      <c r="AO249">
        <f t="shared" si="128"/>
        <v>32</v>
      </c>
      <c r="AP249">
        <f t="shared" si="129"/>
        <v>40</v>
      </c>
      <c r="AQ249">
        <f t="shared" si="130"/>
        <v>43</v>
      </c>
      <c r="AR249" s="26" t="str">
        <f t="shared" si="131"/>
        <v>-</v>
      </c>
      <c r="AS249" s="26" t="str">
        <f t="shared" si="132"/>
        <v>-</v>
      </c>
      <c r="AT249" s="21">
        <f t="shared" si="133"/>
        <v>12</v>
      </c>
      <c r="AU249" s="21">
        <f t="shared" si="134"/>
        <v>19</v>
      </c>
      <c r="AV249" t="str">
        <f t="shared" si="135"/>
        <v>-</v>
      </c>
      <c r="AW249" t="str">
        <f t="shared" si="136"/>
        <v>-</v>
      </c>
      <c r="AX249" t="str">
        <f t="shared" si="137"/>
        <v>-</v>
      </c>
      <c r="AY249" t="str">
        <f t="shared" si="138"/>
        <v>-</v>
      </c>
      <c r="AZ249" t="str">
        <f t="shared" si="139"/>
        <v>-</v>
      </c>
      <c r="BA249" t="str">
        <f t="shared" si="140"/>
        <v>-</v>
      </c>
      <c r="BB249" t="str">
        <f t="shared" si="141"/>
        <v>-</v>
      </c>
      <c r="BC249" t="str">
        <f t="shared" si="142"/>
        <v>-</v>
      </c>
      <c r="BD249" s="29" t="str">
        <f t="shared" si="143"/>
        <v>-</v>
      </c>
      <c r="BE249" s="29" t="str">
        <f t="shared" si="144"/>
        <v>-</v>
      </c>
    </row>
    <row r="250" spans="1:57" ht="15" x14ac:dyDescent="0.2">
      <c r="A250" s="2">
        <v>445</v>
      </c>
      <c r="B250" s="2" t="str">
        <f t="shared" si="109"/>
        <v>0445</v>
      </c>
      <c r="C250" t="str">
        <f t="shared" si="110"/>
        <v>ORD-BB-0445-29/03/24</v>
      </c>
      <c r="D250" s="3" t="s">
        <v>485</v>
      </c>
      <c r="E250" t="str">
        <f t="shared" si="111"/>
        <v>PP001</v>
      </c>
      <c r="F250" t="str">
        <f>INDEX(Katalog!$B$4:$B$13,MATCH('Main Data'!E250,Katalog!$C$4:$C$13,0))</f>
        <v>Kaos Polo</v>
      </c>
      <c r="G250" t="str">
        <f>VLOOKUP(E250,Katalog!$A$15:$B$25,2,0)</f>
        <v>Pakaian Pria</v>
      </c>
      <c r="H250" t="str">
        <f t="shared" si="112"/>
        <v>1</v>
      </c>
      <c r="I250" t="str">
        <f t="shared" si="113"/>
        <v>5</v>
      </c>
      <c r="J250" s="18">
        <f>VLOOKUP(E250,Katalog!$C$3:$F$13,2,0)</f>
        <v>80000</v>
      </c>
      <c r="K250" s="18">
        <f>VLOOKUP(E250,Katalog!$C$3:$F$13,3,0)</f>
        <v>30000</v>
      </c>
      <c r="L250" t="str">
        <f t="shared" si="114"/>
        <v>-</v>
      </c>
      <c r="M250" t="str">
        <f>IFERROR(INDEX(Katalog!$B$4:$B$13,MATCH('Main Data'!L250,Katalog!$C$4:$C$13,0)), "-")</f>
        <v>-</v>
      </c>
      <c r="N250" t="str">
        <f>IFERROR(VLOOKUP(L250,Katalog!$A$15:$B$25,2,0),"-")</f>
        <v>-</v>
      </c>
      <c r="O250">
        <f t="shared" si="115"/>
        <v>0</v>
      </c>
      <c r="P250" t="str">
        <f t="shared" si="116"/>
        <v>-</v>
      </c>
      <c r="Q250" s="18">
        <f>IFERROR(VLOOKUP(L250,Katalog!$C$3:$F$13,2,0),0)</f>
        <v>0</v>
      </c>
      <c r="R250" s="18">
        <f>IFERROR(VLOOKUP(L250,Katalog!$C$3:$F$13,3,0),0)</f>
        <v>0</v>
      </c>
      <c r="S250" t="str">
        <f t="shared" si="117"/>
        <v>-</v>
      </c>
      <c r="T250" t="str">
        <f>IFERROR(INDEX(Katalog!$B$4:$B$13,MATCH('Main Data'!S250,Katalog!$C$4:$C$13,0)),"-")</f>
        <v>-</v>
      </c>
      <c r="U250" t="str">
        <f>IFERROR(VLOOKUP(S250,Katalog!$A$15:$B$25,2,0),"-")</f>
        <v>-</v>
      </c>
      <c r="V250">
        <f t="shared" si="118"/>
        <v>0</v>
      </c>
      <c r="W250" s="28" t="str">
        <f t="shared" si="119"/>
        <v>-</v>
      </c>
      <c r="X250" s="18">
        <f>IFERROR(VLOOKUP(S250,Katalog!$C$3:$F$13,2,0),0)</f>
        <v>0</v>
      </c>
      <c r="Y250" s="30">
        <f>IFERROR(VLOOKUP(S250,Katalog!$C$3:$F$13,3,0),0)</f>
        <v>0</v>
      </c>
      <c r="Z250" s="2">
        <f t="shared" si="120"/>
        <v>1</v>
      </c>
      <c r="AA250" s="4">
        <f t="shared" si="121"/>
        <v>80000</v>
      </c>
      <c r="AB250" s="4">
        <f t="shared" si="122"/>
        <v>30000</v>
      </c>
      <c r="AC250" s="4" t="s">
        <v>27</v>
      </c>
      <c r="AD250" s="16">
        <f>IFERROR(VLOOKUP(AC250,'Kode Diskon'!$C$2:$D$9,2,0),0)</f>
        <v>0.15</v>
      </c>
      <c r="AE250" s="31">
        <f t="shared" si="123"/>
        <v>12000</v>
      </c>
      <c r="AF250" s="31">
        <f t="shared" si="124"/>
        <v>68000</v>
      </c>
      <c r="AG250" s="31">
        <f t="shared" si="125"/>
        <v>50000</v>
      </c>
      <c r="AH250" s="31">
        <f t="shared" si="126"/>
        <v>38000</v>
      </c>
      <c r="AI250" s="4" t="s">
        <v>28</v>
      </c>
      <c r="AJ250" s="4" t="s">
        <v>13</v>
      </c>
      <c r="AK250" s="4" t="str">
        <f>IFERROR(VLOOKUP(AJ250,'Guide '!$A$13:$B$16,2,0),"-")</f>
        <v>BB</v>
      </c>
      <c r="AL250" s="4" t="s">
        <v>923</v>
      </c>
      <c r="AM250" s="40">
        <v>45380</v>
      </c>
      <c r="AN250">
        <f t="shared" si="127"/>
        <v>29</v>
      </c>
      <c r="AO250">
        <f t="shared" si="128"/>
        <v>32</v>
      </c>
      <c r="AP250">
        <f t="shared" si="129"/>
        <v>40</v>
      </c>
      <c r="AQ250">
        <f t="shared" si="130"/>
        <v>43</v>
      </c>
      <c r="AR250" s="26" t="str">
        <f t="shared" si="131"/>
        <v>-</v>
      </c>
      <c r="AS250" s="26" t="str">
        <f t="shared" si="132"/>
        <v>-</v>
      </c>
      <c r="AT250" s="21">
        <f t="shared" si="133"/>
        <v>12</v>
      </c>
      <c r="AU250" s="21">
        <f t="shared" si="134"/>
        <v>19</v>
      </c>
      <c r="AV250" t="str">
        <f t="shared" si="135"/>
        <v>-</v>
      </c>
      <c r="AW250" t="str">
        <f t="shared" si="136"/>
        <v>-</v>
      </c>
      <c r="AX250" t="str">
        <f t="shared" si="137"/>
        <v>-</v>
      </c>
      <c r="AY250" t="str">
        <f t="shared" si="138"/>
        <v>-</v>
      </c>
      <c r="AZ250" t="str">
        <f t="shared" si="139"/>
        <v>-</v>
      </c>
      <c r="BA250" t="str">
        <f t="shared" si="140"/>
        <v>-</v>
      </c>
      <c r="BB250" t="str">
        <f t="shared" si="141"/>
        <v>-</v>
      </c>
      <c r="BC250" t="str">
        <f t="shared" si="142"/>
        <v>-</v>
      </c>
      <c r="BD250" s="29" t="str">
        <f t="shared" si="143"/>
        <v>-</v>
      </c>
      <c r="BE250" s="29" t="str">
        <f t="shared" si="144"/>
        <v>-</v>
      </c>
    </row>
    <row r="251" spans="1:57" ht="15" x14ac:dyDescent="0.2">
      <c r="A251" s="2">
        <v>608</v>
      </c>
      <c r="B251" s="2" t="str">
        <f t="shared" si="109"/>
        <v>0608</v>
      </c>
      <c r="C251" t="str">
        <f t="shared" si="110"/>
        <v>ORD-BL-0608-29/03/24</v>
      </c>
      <c r="D251" s="3" t="s">
        <v>620</v>
      </c>
      <c r="E251" t="str">
        <f t="shared" si="111"/>
        <v>PP002</v>
      </c>
      <c r="F251" t="str">
        <f>INDEX(Katalog!$B$4:$B$13,MATCH('Main Data'!E251,Katalog!$C$4:$C$13,0))</f>
        <v>Celana Pendek</v>
      </c>
      <c r="G251" t="str">
        <f>VLOOKUP(E251,Katalog!$A$15:$B$25,2,0)</f>
        <v>Pakaian Pria</v>
      </c>
      <c r="H251" t="str">
        <f t="shared" si="112"/>
        <v>1</v>
      </c>
      <c r="I251" t="str">
        <f t="shared" si="113"/>
        <v>5</v>
      </c>
      <c r="J251" s="18">
        <f>VLOOKUP(E251,Katalog!$C$3:$F$13,2,0)</f>
        <v>60000</v>
      </c>
      <c r="K251" s="18">
        <f>VLOOKUP(E251,Katalog!$C$3:$F$13,3,0)</f>
        <v>25000</v>
      </c>
      <c r="L251" t="str">
        <f t="shared" si="114"/>
        <v>PP001</v>
      </c>
      <c r="M251" t="str">
        <f>IFERROR(INDEX(Katalog!$B$4:$B$13,MATCH('Main Data'!L251,Katalog!$C$4:$C$13,0)), "-")</f>
        <v>Kaos Polo</v>
      </c>
      <c r="N251" t="str">
        <f>IFERROR(VLOOKUP(L251,Katalog!$A$15:$B$25,2,0),"-")</f>
        <v>Pakaian Pria</v>
      </c>
      <c r="O251" t="str">
        <f t="shared" si="115"/>
        <v>1</v>
      </c>
      <c r="P251" t="str">
        <f t="shared" si="116"/>
        <v>2</v>
      </c>
      <c r="Q251" s="18">
        <f>IFERROR(VLOOKUP(L251,Katalog!$C$3:$F$13,2,0),0)</f>
        <v>80000</v>
      </c>
      <c r="R251" s="18">
        <f>IFERROR(VLOOKUP(L251,Katalog!$C$3:$F$13,3,0),0)</f>
        <v>30000</v>
      </c>
      <c r="S251" t="str">
        <f t="shared" si="117"/>
        <v>PP002</v>
      </c>
      <c r="T251" t="str">
        <f>IFERROR(INDEX(Katalog!$B$4:$B$13,MATCH('Main Data'!S251,Katalog!$C$4:$C$13,0)),"-")</f>
        <v>Celana Pendek</v>
      </c>
      <c r="U251" t="str">
        <f>IFERROR(VLOOKUP(S251,Katalog!$A$15:$B$25,2,0),"-")</f>
        <v>Pakaian Pria</v>
      </c>
      <c r="V251" t="str">
        <f t="shared" si="118"/>
        <v>1</v>
      </c>
      <c r="W251" s="28" t="str">
        <f t="shared" si="119"/>
        <v>4</v>
      </c>
      <c r="X251" s="18">
        <f>IFERROR(VLOOKUP(S251,Katalog!$C$3:$F$13,2,0),0)</f>
        <v>60000</v>
      </c>
      <c r="Y251" s="30">
        <f>IFERROR(VLOOKUP(S251,Katalog!$C$3:$F$13,3,0),0)</f>
        <v>25000</v>
      </c>
      <c r="Z251" s="2">
        <f t="shared" si="120"/>
        <v>3</v>
      </c>
      <c r="AA251" s="4">
        <f t="shared" si="121"/>
        <v>200000</v>
      </c>
      <c r="AB251" s="4">
        <f t="shared" si="122"/>
        <v>80000</v>
      </c>
      <c r="AC251" s="4" t="s">
        <v>31</v>
      </c>
      <c r="AD251" s="16">
        <f>IFERROR(VLOOKUP(AC251,'Kode Diskon'!$C$2:$D$9,2,0),0)</f>
        <v>0.15</v>
      </c>
      <c r="AE251" s="31">
        <f t="shared" si="123"/>
        <v>30000</v>
      </c>
      <c r="AF251" s="31">
        <f t="shared" si="124"/>
        <v>170000</v>
      </c>
      <c r="AG251" s="31">
        <f t="shared" si="125"/>
        <v>120000</v>
      </c>
      <c r="AH251" s="31">
        <f t="shared" si="126"/>
        <v>90000</v>
      </c>
      <c r="AI251" s="4" t="s">
        <v>8</v>
      </c>
      <c r="AJ251" s="4" t="s">
        <v>11</v>
      </c>
      <c r="AK251" s="4" t="str">
        <f>IFERROR(VLOOKUP(AJ251,'Guide '!$A$13:$B$16,2,0),"-")</f>
        <v>BL</v>
      </c>
      <c r="AL251" s="4" t="s">
        <v>924</v>
      </c>
      <c r="AM251" s="40">
        <v>45380</v>
      </c>
      <c r="AN251">
        <f t="shared" si="127"/>
        <v>29</v>
      </c>
      <c r="AO251">
        <f t="shared" si="128"/>
        <v>32</v>
      </c>
      <c r="AP251">
        <f t="shared" si="129"/>
        <v>40</v>
      </c>
      <c r="AQ251">
        <f t="shared" si="130"/>
        <v>43</v>
      </c>
      <c r="AR251" s="26">
        <f t="shared" si="131"/>
        <v>56</v>
      </c>
      <c r="AS251" s="26">
        <f t="shared" si="132"/>
        <v>63</v>
      </c>
      <c r="AT251" s="21">
        <f t="shared" si="133"/>
        <v>12</v>
      </c>
      <c r="AU251" s="21">
        <f t="shared" si="134"/>
        <v>19</v>
      </c>
      <c r="AV251">
        <f t="shared" si="135"/>
        <v>73</v>
      </c>
      <c r="AW251">
        <f t="shared" si="136"/>
        <v>76</v>
      </c>
      <c r="AX251">
        <f t="shared" si="137"/>
        <v>84</v>
      </c>
      <c r="AY251">
        <f t="shared" si="138"/>
        <v>87</v>
      </c>
      <c r="AZ251">
        <f t="shared" si="139"/>
        <v>100</v>
      </c>
      <c r="BA251">
        <f t="shared" si="140"/>
        <v>107</v>
      </c>
      <c r="BB251">
        <f t="shared" si="141"/>
        <v>117</v>
      </c>
      <c r="BC251">
        <f t="shared" si="142"/>
        <v>120</v>
      </c>
      <c r="BD251" s="29">
        <f t="shared" si="143"/>
        <v>128</v>
      </c>
      <c r="BE251" s="29">
        <f t="shared" si="144"/>
        <v>131</v>
      </c>
    </row>
    <row r="252" spans="1:57" ht="15" x14ac:dyDescent="0.2">
      <c r="A252" s="2">
        <v>941</v>
      </c>
      <c r="B252" s="2" t="str">
        <f t="shared" si="109"/>
        <v>0941</v>
      </c>
      <c r="C252" t="str">
        <f t="shared" si="110"/>
        <v>ORD-TK-0941-29/03/24</v>
      </c>
      <c r="D252" s="3" t="s">
        <v>873</v>
      </c>
      <c r="E252" t="str">
        <f t="shared" si="111"/>
        <v>PP002</v>
      </c>
      <c r="F252" t="str">
        <f>INDEX(Katalog!$B$4:$B$13,MATCH('Main Data'!E252,Katalog!$C$4:$C$13,0))</f>
        <v>Celana Pendek</v>
      </c>
      <c r="G252" t="str">
        <f>VLOOKUP(E252,Katalog!$A$15:$B$25,2,0)</f>
        <v>Pakaian Pria</v>
      </c>
      <c r="H252" t="str">
        <f t="shared" si="112"/>
        <v>6</v>
      </c>
      <c r="I252" t="str">
        <f t="shared" si="113"/>
        <v>3</v>
      </c>
      <c r="J252" s="18">
        <f>VLOOKUP(E252,Katalog!$C$3:$F$13,2,0)</f>
        <v>60000</v>
      </c>
      <c r="K252" s="18">
        <f>VLOOKUP(E252,Katalog!$C$3:$F$13,3,0)</f>
        <v>25000</v>
      </c>
      <c r="L252" t="str">
        <f t="shared" si="114"/>
        <v>PW003</v>
      </c>
      <c r="M252" t="str">
        <f>IFERROR(INDEX(Katalog!$B$4:$B$13,MATCH('Main Data'!L252,Katalog!$C$4:$C$13,0)), "-")</f>
        <v>Kaftan</v>
      </c>
      <c r="N252" t="str">
        <f>IFERROR(VLOOKUP(L252,Katalog!$A$15:$B$25,2,0),"-")</f>
        <v>Pakaian Wanita</v>
      </c>
      <c r="O252" t="str">
        <f t="shared" si="115"/>
        <v>1</v>
      </c>
      <c r="P252" t="str">
        <f t="shared" si="116"/>
        <v>3</v>
      </c>
      <c r="Q252" s="18">
        <f>IFERROR(VLOOKUP(L252,Katalog!$C$3:$F$13,2,0),0)</f>
        <v>200000</v>
      </c>
      <c r="R252" s="18">
        <f>IFERROR(VLOOKUP(L252,Katalog!$C$3:$F$13,3,0),0)</f>
        <v>100000</v>
      </c>
      <c r="S252" t="str">
        <f t="shared" si="117"/>
        <v>-</v>
      </c>
      <c r="T252" t="str">
        <f>IFERROR(INDEX(Katalog!$B$4:$B$13,MATCH('Main Data'!S252,Katalog!$C$4:$C$13,0)),"-")</f>
        <v>-</v>
      </c>
      <c r="U252" t="str">
        <f>IFERROR(VLOOKUP(S252,Katalog!$A$15:$B$25,2,0),"-")</f>
        <v>-</v>
      </c>
      <c r="V252">
        <f t="shared" si="118"/>
        <v>0</v>
      </c>
      <c r="W252" s="28" t="str">
        <f t="shared" si="119"/>
        <v>-</v>
      </c>
      <c r="X252" s="18">
        <f>IFERROR(VLOOKUP(S252,Katalog!$C$3:$F$13,2,0),0)</f>
        <v>0</v>
      </c>
      <c r="Y252" s="30">
        <f>IFERROR(VLOOKUP(S252,Katalog!$C$3:$F$13,3,0),0)</f>
        <v>0</v>
      </c>
      <c r="Z252" s="2">
        <f t="shared" si="120"/>
        <v>7</v>
      </c>
      <c r="AA252" s="4">
        <f t="shared" si="121"/>
        <v>560000</v>
      </c>
      <c r="AB252" s="4">
        <f t="shared" si="122"/>
        <v>250000</v>
      </c>
      <c r="AC252" s="4" t="s">
        <v>10</v>
      </c>
      <c r="AD252" s="16">
        <f>IFERROR(VLOOKUP(AC252,'Kode Diskon'!$C$2:$D$9,2,0),0)</f>
        <v>0</v>
      </c>
      <c r="AE252" s="31">
        <f t="shared" si="123"/>
        <v>0</v>
      </c>
      <c r="AF252" s="31">
        <f t="shared" si="124"/>
        <v>560000</v>
      </c>
      <c r="AG252" s="31">
        <f t="shared" si="125"/>
        <v>310000</v>
      </c>
      <c r="AH252" s="31">
        <f t="shared" si="126"/>
        <v>310000</v>
      </c>
      <c r="AI252" s="4" t="s">
        <v>10</v>
      </c>
      <c r="AJ252" s="4" t="s">
        <v>9</v>
      </c>
      <c r="AK252" s="4" t="str">
        <f>IFERROR(VLOOKUP(AJ252,'Guide '!$A$13:$B$16,2,0),"-")</f>
        <v>TK</v>
      </c>
      <c r="AL252" s="4" t="s">
        <v>921</v>
      </c>
      <c r="AM252" s="40">
        <v>45380</v>
      </c>
      <c r="AN252">
        <f t="shared" si="127"/>
        <v>29</v>
      </c>
      <c r="AO252">
        <f t="shared" si="128"/>
        <v>32</v>
      </c>
      <c r="AP252">
        <f t="shared" si="129"/>
        <v>40</v>
      </c>
      <c r="AQ252">
        <f t="shared" si="130"/>
        <v>43</v>
      </c>
      <c r="AR252" s="26">
        <f t="shared" si="131"/>
        <v>56</v>
      </c>
      <c r="AS252" s="26">
        <f t="shared" si="132"/>
        <v>63</v>
      </c>
      <c r="AT252" s="21">
        <f t="shared" si="133"/>
        <v>12</v>
      </c>
      <c r="AU252" s="21">
        <f t="shared" si="134"/>
        <v>19</v>
      </c>
      <c r="AV252">
        <f t="shared" si="135"/>
        <v>73</v>
      </c>
      <c r="AW252">
        <f t="shared" si="136"/>
        <v>76</v>
      </c>
      <c r="AX252">
        <f t="shared" si="137"/>
        <v>84</v>
      </c>
      <c r="AY252">
        <f t="shared" si="138"/>
        <v>87</v>
      </c>
      <c r="AZ252" t="str">
        <f t="shared" si="139"/>
        <v>-</v>
      </c>
      <c r="BA252" t="str">
        <f t="shared" si="140"/>
        <v>-</v>
      </c>
      <c r="BB252" t="str">
        <f t="shared" si="141"/>
        <v>-</v>
      </c>
      <c r="BC252" t="str">
        <f t="shared" si="142"/>
        <v>-</v>
      </c>
      <c r="BD252" s="29" t="str">
        <f t="shared" si="143"/>
        <v>-</v>
      </c>
      <c r="BE252" s="29" t="str">
        <f t="shared" si="144"/>
        <v>-</v>
      </c>
    </row>
    <row r="253" spans="1:57" ht="15" x14ac:dyDescent="0.2">
      <c r="A253" s="2">
        <v>77</v>
      </c>
      <c r="B253" s="2" t="str">
        <f t="shared" si="109"/>
        <v>0077</v>
      </c>
      <c r="C253" t="str">
        <f t="shared" si="110"/>
        <v>ORD-TK-0077-30/03/24</v>
      </c>
      <c r="D253" s="3" t="s">
        <v>150</v>
      </c>
      <c r="E253" t="str">
        <f t="shared" si="111"/>
        <v>PP002</v>
      </c>
      <c r="F253" t="str">
        <f>INDEX(Katalog!$B$4:$B$13,MATCH('Main Data'!E253,Katalog!$C$4:$C$13,0))</f>
        <v>Celana Pendek</v>
      </c>
      <c r="G253" t="str">
        <f>VLOOKUP(E253,Katalog!$A$15:$B$25,2,0)</f>
        <v>Pakaian Pria</v>
      </c>
      <c r="H253" t="str">
        <f t="shared" si="112"/>
        <v>5</v>
      </c>
      <c r="I253" t="str">
        <f t="shared" si="113"/>
        <v>5</v>
      </c>
      <c r="J253" s="18">
        <f>VLOOKUP(E253,Katalog!$C$3:$F$13,2,0)</f>
        <v>60000</v>
      </c>
      <c r="K253" s="18">
        <f>VLOOKUP(E253,Katalog!$C$3:$F$13,3,0)</f>
        <v>25000</v>
      </c>
      <c r="L253" t="str">
        <f t="shared" si="114"/>
        <v>PW003</v>
      </c>
      <c r="M253" t="str">
        <f>IFERROR(INDEX(Katalog!$B$4:$B$13,MATCH('Main Data'!L253,Katalog!$C$4:$C$13,0)), "-")</f>
        <v>Kaftan</v>
      </c>
      <c r="N253" t="str">
        <f>IFERROR(VLOOKUP(L253,Katalog!$A$15:$B$25,2,0),"-")</f>
        <v>Pakaian Wanita</v>
      </c>
      <c r="O253" t="str">
        <f t="shared" si="115"/>
        <v>1</v>
      </c>
      <c r="P253" t="str">
        <f t="shared" si="116"/>
        <v>4</v>
      </c>
      <c r="Q253" s="18">
        <f>IFERROR(VLOOKUP(L253,Katalog!$C$3:$F$13,2,0),0)</f>
        <v>200000</v>
      </c>
      <c r="R253" s="18">
        <f>IFERROR(VLOOKUP(L253,Katalog!$C$3:$F$13,3,0),0)</f>
        <v>100000</v>
      </c>
      <c r="S253" t="str">
        <f t="shared" si="117"/>
        <v>PP001</v>
      </c>
      <c r="T253" t="str">
        <f>IFERROR(INDEX(Katalog!$B$4:$B$13,MATCH('Main Data'!S253,Katalog!$C$4:$C$13,0)),"-")</f>
        <v>Kaos Polo</v>
      </c>
      <c r="U253" t="str">
        <f>IFERROR(VLOOKUP(S253,Katalog!$A$15:$B$25,2,0),"-")</f>
        <v>Pakaian Pria</v>
      </c>
      <c r="V253" t="str">
        <f t="shared" si="118"/>
        <v>1</v>
      </c>
      <c r="W253" s="28" t="str">
        <f t="shared" si="119"/>
        <v>3</v>
      </c>
      <c r="X253" s="18">
        <f>IFERROR(VLOOKUP(S253,Katalog!$C$3:$F$13,2,0),0)</f>
        <v>80000</v>
      </c>
      <c r="Y253" s="30">
        <f>IFERROR(VLOOKUP(S253,Katalog!$C$3:$F$13,3,0),0)</f>
        <v>30000</v>
      </c>
      <c r="Z253" s="2">
        <f t="shared" si="120"/>
        <v>7</v>
      </c>
      <c r="AA253" s="4">
        <f t="shared" si="121"/>
        <v>580000</v>
      </c>
      <c r="AB253" s="4">
        <f t="shared" si="122"/>
        <v>255000</v>
      </c>
      <c r="AC253" s="4" t="s">
        <v>30</v>
      </c>
      <c r="AD253" s="16">
        <f>IFERROR(VLOOKUP(AC253,'Kode Diskon'!$C$2:$D$9,2,0),0)</f>
        <v>0.1</v>
      </c>
      <c r="AE253" s="31">
        <f t="shared" si="123"/>
        <v>58000</v>
      </c>
      <c r="AF253" s="31">
        <f t="shared" si="124"/>
        <v>522000</v>
      </c>
      <c r="AG253" s="31">
        <f t="shared" si="125"/>
        <v>325000</v>
      </c>
      <c r="AH253" s="31">
        <f t="shared" si="126"/>
        <v>267000</v>
      </c>
      <c r="AI253" s="4" t="s">
        <v>8</v>
      </c>
      <c r="AJ253" s="4" t="s">
        <v>9</v>
      </c>
      <c r="AK253" s="4" t="str">
        <f>IFERROR(VLOOKUP(AJ253,'Guide '!$A$13:$B$16,2,0),"-")</f>
        <v>TK</v>
      </c>
      <c r="AL253" s="4" t="s">
        <v>1006</v>
      </c>
      <c r="AM253" s="40">
        <v>45381</v>
      </c>
      <c r="AN253">
        <f t="shared" si="127"/>
        <v>29</v>
      </c>
      <c r="AO253">
        <f t="shared" si="128"/>
        <v>32</v>
      </c>
      <c r="AP253">
        <f t="shared" si="129"/>
        <v>40</v>
      </c>
      <c r="AQ253">
        <f t="shared" si="130"/>
        <v>43</v>
      </c>
      <c r="AR253" s="26">
        <f t="shared" si="131"/>
        <v>56</v>
      </c>
      <c r="AS253" s="26">
        <f t="shared" si="132"/>
        <v>63</v>
      </c>
      <c r="AT253" s="21">
        <f t="shared" si="133"/>
        <v>12</v>
      </c>
      <c r="AU253" s="21">
        <f t="shared" si="134"/>
        <v>19</v>
      </c>
      <c r="AV253">
        <f t="shared" si="135"/>
        <v>73</v>
      </c>
      <c r="AW253">
        <f t="shared" si="136"/>
        <v>76</v>
      </c>
      <c r="AX253">
        <f t="shared" si="137"/>
        <v>84</v>
      </c>
      <c r="AY253">
        <f t="shared" si="138"/>
        <v>87</v>
      </c>
      <c r="AZ253">
        <f t="shared" si="139"/>
        <v>100</v>
      </c>
      <c r="BA253">
        <f t="shared" si="140"/>
        <v>107</v>
      </c>
      <c r="BB253">
        <f t="shared" si="141"/>
        <v>117</v>
      </c>
      <c r="BC253">
        <f t="shared" si="142"/>
        <v>120</v>
      </c>
      <c r="BD253" s="29">
        <f t="shared" si="143"/>
        <v>128</v>
      </c>
      <c r="BE253" s="29">
        <f t="shared" si="144"/>
        <v>131</v>
      </c>
    </row>
    <row r="254" spans="1:57" ht="15" x14ac:dyDescent="0.2">
      <c r="A254" s="2">
        <v>335</v>
      </c>
      <c r="B254" s="2" t="str">
        <f t="shared" si="109"/>
        <v>0335</v>
      </c>
      <c r="C254" t="str">
        <f t="shared" si="110"/>
        <v>ORD-SP-0335-31/03/24</v>
      </c>
      <c r="D254" s="3" t="s">
        <v>388</v>
      </c>
      <c r="E254" t="str">
        <f t="shared" si="111"/>
        <v>PP003</v>
      </c>
      <c r="F254" t="str">
        <f>INDEX(Katalog!$B$4:$B$13,MATCH('Main Data'!E254,Katalog!$C$4:$C$13,0))</f>
        <v>Jaket Jeans</v>
      </c>
      <c r="G254" t="str">
        <f>VLOOKUP(E254,Katalog!$A$15:$B$25,2,0)</f>
        <v>Pakaian Pria</v>
      </c>
      <c r="H254" t="str">
        <f t="shared" si="112"/>
        <v>2</v>
      </c>
      <c r="I254" t="str">
        <f t="shared" si="113"/>
        <v>2</v>
      </c>
      <c r="J254" s="18">
        <f>VLOOKUP(E254,Katalog!$C$3:$F$13,2,0)</f>
        <v>150000</v>
      </c>
      <c r="K254" s="18">
        <f>VLOOKUP(E254,Katalog!$C$3:$F$13,3,0)</f>
        <v>70000</v>
      </c>
      <c r="L254" t="str">
        <f t="shared" si="114"/>
        <v>PW002</v>
      </c>
      <c r="M254" t="str">
        <f>IFERROR(INDEX(Katalog!$B$4:$B$13,MATCH('Main Data'!L254,Katalog!$C$4:$C$13,0)), "-")</f>
        <v>Blouse</v>
      </c>
      <c r="N254" t="str">
        <f>IFERROR(VLOOKUP(L254,Katalog!$A$15:$B$25,2,0),"-")</f>
        <v>Pakaian Wanita</v>
      </c>
      <c r="O254" t="str">
        <f t="shared" si="115"/>
        <v>1</v>
      </c>
      <c r="P254" t="str">
        <f t="shared" si="116"/>
        <v>2</v>
      </c>
      <c r="Q254" s="18">
        <f>IFERROR(VLOOKUP(L254,Katalog!$C$3:$F$13,2,0),0)</f>
        <v>125000</v>
      </c>
      <c r="R254" s="18">
        <f>IFERROR(VLOOKUP(L254,Katalog!$C$3:$F$13,3,0),0)</f>
        <v>50000</v>
      </c>
      <c r="S254" t="str">
        <f t="shared" si="117"/>
        <v>-</v>
      </c>
      <c r="T254" t="str">
        <f>IFERROR(INDEX(Katalog!$B$4:$B$13,MATCH('Main Data'!S254,Katalog!$C$4:$C$13,0)),"-")</f>
        <v>-</v>
      </c>
      <c r="U254" t="str">
        <f>IFERROR(VLOOKUP(S254,Katalog!$A$15:$B$25,2,0),"-")</f>
        <v>-</v>
      </c>
      <c r="V254">
        <f t="shared" si="118"/>
        <v>0</v>
      </c>
      <c r="W254" s="28" t="str">
        <f t="shared" si="119"/>
        <v>-</v>
      </c>
      <c r="X254" s="18">
        <f>IFERROR(VLOOKUP(S254,Katalog!$C$3:$F$13,2,0),0)</f>
        <v>0</v>
      </c>
      <c r="Y254" s="30">
        <f>IFERROR(VLOOKUP(S254,Katalog!$C$3:$F$13,3,0),0)</f>
        <v>0</v>
      </c>
      <c r="Z254" s="2">
        <f t="shared" si="120"/>
        <v>3</v>
      </c>
      <c r="AA254" s="4">
        <f t="shared" si="121"/>
        <v>425000</v>
      </c>
      <c r="AB254" s="4">
        <f t="shared" si="122"/>
        <v>190000</v>
      </c>
      <c r="AC254" s="4" t="s">
        <v>7</v>
      </c>
      <c r="AD254" s="16">
        <f>IFERROR(VLOOKUP(AC254,'Kode Diskon'!$C$2:$D$9,2,0),0)</f>
        <v>0.2</v>
      </c>
      <c r="AE254" s="31">
        <f t="shared" si="123"/>
        <v>85000</v>
      </c>
      <c r="AF254" s="31">
        <f t="shared" si="124"/>
        <v>340000</v>
      </c>
      <c r="AG254" s="31">
        <f t="shared" si="125"/>
        <v>235000</v>
      </c>
      <c r="AH254" s="31">
        <f t="shared" si="126"/>
        <v>150000</v>
      </c>
      <c r="AI254" s="4" t="s">
        <v>8</v>
      </c>
      <c r="AJ254" s="4" t="s">
        <v>6</v>
      </c>
      <c r="AK254" s="4" t="str">
        <f>IFERROR(VLOOKUP(AJ254,'Guide '!$A$13:$B$16,2,0),"-")</f>
        <v>SP</v>
      </c>
      <c r="AL254" s="4" t="s">
        <v>924</v>
      </c>
      <c r="AM254" s="40">
        <v>45382</v>
      </c>
      <c r="AN254">
        <f t="shared" si="127"/>
        <v>29</v>
      </c>
      <c r="AO254">
        <f t="shared" si="128"/>
        <v>32</v>
      </c>
      <c r="AP254">
        <f t="shared" si="129"/>
        <v>40</v>
      </c>
      <c r="AQ254">
        <f t="shared" si="130"/>
        <v>43</v>
      </c>
      <c r="AR254" s="26">
        <f t="shared" si="131"/>
        <v>56</v>
      </c>
      <c r="AS254" s="26">
        <f t="shared" si="132"/>
        <v>63</v>
      </c>
      <c r="AT254" s="21">
        <f t="shared" si="133"/>
        <v>12</v>
      </c>
      <c r="AU254" s="21">
        <f t="shared" si="134"/>
        <v>19</v>
      </c>
      <c r="AV254">
        <f t="shared" si="135"/>
        <v>73</v>
      </c>
      <c r="AW254">
        <f t="shared" si="136"/>
        <v>76</v>
      </c>
      <c r="AX254">
        <f t="shared" si="137"/>
        <v>84</v>
      </c>
      <c r="AY254">
        <f t="shared" si="138"/>
        <v>87</v>
      </c>
      <c r="AZ254" t="str">
        <f t="shared" si="139"/>
        <v>-</v>
      </c>
      <c r="BA254" t="str">
        <f t="shared" si="140"/>
        <v>-</v>
      </c>
      <c r="BB254" t="str">
        <f t="shared" si="141"/>
        <v>-</v>
      </c>
      <c r="BC254" t="str">
        <f t="shared" si="142"/>
        <v>-</v>
      </c>
      <c r="BD254" s="29" t="str">
        <f t="shared" si="143"/>
        <v>-</v>
      </c>
      <c r="BE254" s="29" t="str">
        <f t="shared" si="144"/>
        <v>-</v>
      </c>
    </row>
    <row r="255" spans="1:57" ht="15" x14ac:dyDescent="0.2">
      <c r="A255" s="2">
        <v>623</v>
      </c>
      <c r="B255" s="2" t="str">
        <f t="shared" si="109"/>
        <v>0623</v>
      </c>
      <c r="C255" t="str">
        <f t="shared" si="110"/>
        <v>ORD-SP-0623-01/04/24</v>
      </c>
      <c r="D255" s="3" t="s">
        <v>632</v>
      </c>
      <c r="E255" t="str">
        <f t="shared" si="111"/>
        <v>PW003</v>
      </c>
      <c r="F255" t="str">
        <f>INDEX(Katalog!$B$4:$B$13,MATCH('Main Data'!E255,Katalog!$C$4:$C$13,0))</f>
        <v>Kaftan</v>
      </c>
      <c r="G255" t="str">
        <f>VLOOKUP(E255,Katalog!$A$15:$B$25,2,0)</f>
        <v>Pakaian Wanita</v>
      </c>
      <c r="H255" t="str">
        <f t="shared" si="112"/>
        <v>6</v>
      </c>
      <c r="I255" t="str">
        <f t="shared" si="113"/>
        <v>1</v>
      </c>
      <c r="J255" s="18">
        <f>VLOOKUP(E255,Katalog!$C$3:$F$13,2,0)</f>
        <v>200000</v>
      </c>
      <c r="K255" s="18">
        <f>VLOOKUP(E255,Katalog!$C$3:$F$13,3,0)</f>
        <v>100000</v>
      </c>
      <c r="L255" t="str">
        <f t="shared" si="114"/>
        <v>SP001</v>
      </c>
      <c r="M255" t="str">
        <f>IFERROR(INDEX(Katalog!$B$4:$B$13,MATCH('Main Data'!L255,Katalog!$C$4:$C$13,0)), "-")</f>
        <v>Sneakers</v>
      </c>
      <c r="N255" t="str">
        <f>IFERROR(VLOOKUP(L255,Katalog!$A$15:$B$25,2,0),"-")</f>
        <v>Sepatu Pria</v>
      </c>
      <c r="O255" t="str">
        <f t="shared" si="115"/>
        <v>1</v>
      </c>
      <c r="P255" t="str">
        <f t="shared" si="116"/>
        <v>5</v>
      </c>
      <c r="Q255" s="18">
        <f>IFERROR(VLOOKUP(L255,Katalog!$C$3:$F$13,2,0),0)</f>
        <v>300000</v>
      </c>
      <c r="R255" s="18">
        <f>IFERROR(VLOOKUP(L255,Katalog!$C$3:$F$13,3,0),0)</f>
        <v>100000</v>
      </c>
      <c r="S255" t="str">
        <f t="shared" si="117"/>
        <v>-</v>
      </c>
      <c r="T255" t="str">
        <f>IFERROR(INDEX(Katalog!$B$4:$B$13,MATCH('Main Data'!S255,Katalog!$C$4:$C$13,0)),"-")</f>
        <v>-</v>
      </c>
      <c r="U255" t="str">
        <f>IFERROR(VLOOKUP(S255,Katalog!$A$15:$B$25,2,0),"-")</f>
        <v>-</v>
      </c>
      <c r="V255">
        <f t="shared" si="118"/>
        <v>0</v>
      </c>
      <c r="W255" s="28" t="str">
        <f t="shared" si="119"/>
        <v>-</v>
      </c>
      <c r="X255" s="18">
        <f>IFERROR(VLOOKUP(S255,Katalog!$C$3:$F$13,2,0),0)</f>
        <v>0</v>
      </c>
      <c r="Y255" s="30">
        <f>IFERROR(VLOOKUP(S255,Katalog!$C$3:$F$13,3,0),0)</f>
        <v>0</v>
      </c>
      <c r="Z255" s="2">
        <f t="shared" si="120"/>
        <v>7</v>
      </c>
      <c r="AA255" s="4">
        <f t="shared" si="121"/>
        <v>1500000</v>
      </c>
      <c r="AB255" s="4">
        <f t="shared" si="122"/>
        <v>700000</v>
      </c>
      <c r="AC255" s="4" t="s">
        <v>12</v>
      </c>
      <c r="AD255" s="16">
        <f>IFERROR(VLOOKUP(AC255,'Kode Diskon'!$C$2:$D$9,2,0),0)</f>
        <v>0.15</v>
      </c>
      <c r="AE255" s="31">
        <f t="shared" si="123"/>
        <v>225000</v>
      </c>
      <c r="AF255" s="31">
        <f t="shared" si="124"/>
        <v>1275000</v>
      </c>
      <c r="AG255" s="31">
        <f t="shared" si="125"/>
        <v>800000</v>
      </c>
      <c r="AH255" s="31">
        <f t="shared" si="126"/>
        <v>575000</v>
      </c>
      <c r="AI255" s="4" t="s">
        <v>28</v>
      </c>
      <c r="AJ255" s="4" t="s">
        <v>6</v>
      </c>
      <c r="AK255" s="4" t="str">
        <f>IFERROR(VLOOKUP(AJ255,'Guide '!$A$13:$B$16,2,0),"-")</f>
        <v>SP</v>
      </c>
      <c r="AL255" s="4" t="s">
        <v>925</v>
      </c>
      <c r="AM255" s="40">
        <v>45383</v>
      </c>
      <c r="AN255">
        <f t="shared" si="127"/>
        <v>29</v>
      </c>
      <c r="AO255">
        <f t="shared" si="128"/>
        <v>32</v>
      </c>
      <c r="AP255">
        <f t="shared" si="129"/>
        <v>40</v>
      </c>
      <c r="AQ255">
        <f t="shared" si="130"/>
        <v>43</v>
      </c>
      <c r="AR255" s="26">
        <f t="shared" si="131"/>
        <v>56</v>
      </c>
      <c r="AS255" s="26">
        <f t="shared" si="132"/>
        <v>63</v>
      </c>
      <c r="AT255" s="21">
        <f t="shared" si="133"/>
        <v>12</v>
      </c>
      <c r="AU255" s="21">
        <f t="shared" si="134"/>
        <v>19</v>
      </c>
      <c r="AV255">
        <f t="shared" si="135"/>
        <v>73</v>
      </c>
      <c r="AW255">
        <f t="shared" si="136"/>
        <v>76</v>
      </c>
      <c r="AX255">
        <f t="shared" si="137"/>
        <v>84</v>
      </c>
      <c r="AY255">
        <f t="shared" si="138"/>
        <v>87</v>
      </c>
      <c r="AZ255" t="str">
        <f t="shared" si="139"/>
        <v>-</v>
      </c>
      <c r="BA255" t="str">
        <f t="shared" si="140"/>
        <v>-</v>
      </c>
      <c r="BB255" t="str">
        <f t="shared" si="141"/>
        <v>-</v>
      </c>
      <c r="BC255" t="str">
        <f t="shared" si="142"/>
        <v>-</v>
      </c>
      <c r="BD255" s="29" t="str">
        <f t="shared" si="143"/>
        <v>-</v>
      </c>
      <c r="BE255" s="29" t="str">
        <f t="shared" si="144"/>
        <v>-</v>
      </c>
    </row>
    <row r="256" spans="1:57" ht="15" x14ac:dyDescent="0.2">
      <c r="A256" s="2">
        <v>663</v>
      </c>
      <c r="B256" s="2" t="str">
        <f t="shared" si="109"/>
        <v>0663</v>
      </c>
      <c r="C256" t="str">
        <f t="shared" si="110"/>
        <v>ORD-TK-0663-01/04/24</v>
      </c>
      <c r="D256" s="3" t="s">
        <v>664</v>
      </c>
      <c r="E256" t="str">
        <f t="shared" si="111"/>
        <v>SP002</v>
      </c>
      <c r="F256" t="str">
        <f>INDEX(Katalog!$B$4:$B$13,MATCH('Main Data'!E256,Katalog!$C$4:$C$13,0))</f>
        <v>Sandal Slip On</v>
      </c>
      <c r="G256" t="str">
        <f>VLOOKUP(E256,Katalog!$A$15:$B$25,2,0)</f>
        <v>Sepatu Pria</v>
      </c>
      <c r="H256" t="str">
        <f t="shared" si="112"/>
        <v>3</v>
      </c>
      <c r="I256" t="str">
        <f t="shared" si="113"/>
        <v>4</v>
      </c>
      <c r="J256" s="18">
        <f>VLOOKUP(E256,Katalog!$C$3:$F$13,2,0)</f>
        <v>120000</v>
      </c>
      <c r="K256" s="18">
        <f>VLOOKUP(E256,Katalog!$C$3:$F$13,3,0)</f>
        <v>60000</v>
      </c>
      <c r="L256" t="str">
        <f t="shared" si="114"/>
        <v>PP003</v>
      </c>
      <c r="M256" t="str">
        <f>IFERROR(INDEX(Katalog!$B$4:$B$13,MATCH('Main Data'!L256,Katalog!$C$4:$C$13,0)), "-")</f>
        <v>Jaket Jeans</v>
      </c>
      <c r="N256" t="str">
        <f>IFERROR(VLOOKUP(L256,Katalog!$A$15:$B$25,2,0),"-")</f>
        <v>Pakaian Pria</v>
      </c>
      <c r="O256" t="str">
        <f t="shared" si="115"/>
        <v>1</v>
      </c>
      <c r="P256" t="str">
        <f t="shared" si="116"/>
        <v>2</v>
      </c>
      <c r="Q256" s="18">
        <f>IFERROR(VLOOKUP(L256,Katalog!$C$3:$F$13,2,0),0)</f>
        <v>150000</v>
      </c>
      <c r="R256" s="18">
        <f>IFERROR(VLOOKUP(L256,Katalog!$C$3:$F$13,3,0),0)</f>
        <v>70000</v>
      </c>
      <c r="S256" t="str">
        <f t="shared" si="117"/>
        <v>-</v>
      </c>
      <c r="T256" t="str">
        <f>IFERROR(INDEX(Katalog!$B$4:$B$13,MATCH('Main Data'!S256,Katalog!$C$4:$C$13,0)),"-")</f>
        <v>-</v>
      </c>
      <c r="U256" t="str">
        <f>IFERROR(VLOOKUP(S256,Katalog!$A$15:$B$25,2,0),"-")</f>
        <v>-</v>
      </c>
      <c r="V256">
        <f t="shared" si="118"/>
        <v>0</v>
      </c>
      <c r="W256" s="28" t="str">
        <f t="shared" si="119"/>
        <v>-</v>
      </c>
      <c r="X256" s="18">
        <f>IFERROR(VLOOKUP(S256,Katalog!$C$3:$F$13,2,0),0)</f>
        <v>0</v>
      </c>
      <c r="Y256" s="30">
        <f>IFERROR(VLOOKUP(S256,Katalog!$C$3:$F$13,3,0),0)</f>
        <v>0</v>
      </c>
      <c r="Z256" s="2">
        <f t="shared" si="120"/>
        <v>4</v>
      </c>
      <c r="AA256" s="4">
        <f t="shared" si="121"/>
        <v>510000</v>
      </c>
      <c r="AB256" s="4">
        <f t="shared" si="122"/>
        <v>250000</v>
      </c>
      <c r="AC256" s="4" t="s">
        <v>30</v>
      </c>
      <c r="AD256" s="16">
        <f>IFERROR(VLOOKUP(AC256,'Kode Diskon'!$C$2:$D$9,2,0),0)</f>
        <v>0.1</v>
      </c>
      <c r="AE256" s="31">
        <f t="shared" si="123"/>
        <v>51000</v>
      </c>
      <c r="AF256" s="31">
        <f t="shared" si="124"/>
        <v>459000</v>
      </c>
      <c r="AG256" s="31">
        <f t="shared" si="125"/>
        <v>260000</v>
      </c>
      <c r="AH256" s="31">
        <f t="shared" si="126"/>
        <v>209000</v>
      </c>
      <c r="AI256" s="4" t="s">
        <v>8</v>
      </c>
      <c r="AJ256" s="4" t="s">
        <v>9</v>
      </c>
      <c r="AK256" s="4" t="str">
        <f>IFERROR(VLOOKUP(AJ256,'Guide '!$A$13:$B$16,2,0),"-")</f>
        <v>TK</v>
      </c>
      <c r="AL256" s="4" t="s">
        <v>925</v>
      </c>
      <c r="AM256" s="40">
        <v>45383</v>
      </c>
      <c r="AN256">
        <f t="shared" si="127"/>
        <v>29</v>
      </c>
      <c r="AO256">
        <f t="shared" si="128"/>
        <v>32</v>
      </c>
      <c r="AP256">
        <f t="shared" si="129"/>
        <v>40</v>
      </c>
      <c r="AQ256">
        <f t="shared" si="130"/>
        <v>43</v>
      </c>
      <c r="AR256" s="26">
        <f t="shared" si="131"/>
        <v>56</v>
      </c>
      <c r="AS256" s="26">
        <f t="shared" si="132"/>
        <v>63</v>
      </c>
      <c r="AT256" s="21">
        <f t="shared" si="133"/>
        <v>12</v>
      </c>
      <c r="AU256" s="21">
        <f t="shared" si="134"/>
        <v>19</v>
      </c>
      <c r="AV256">
        <f t="shared" si="135"/>
        <v>73</v>
      </c>
      <c r="AW256">
        <f t="shared" si="136"/>
        <v>76</v>
      </c>
      <c r="AX256">
        <f t="shared" si="137"/>
        <v>84</v>
      </c>
      <c r="AY256">
        <f t="shared" si="138"/>
        <v>87</v>
      </c>
      <c r="AZ256" t="str">
        <f t="shared" si="139"/>
        <v>-</v>
      </c>
      <c r="BA256" t="str">
        <f t="shared" si="140"/>
        <v>-</v>
      </c>
      <c r="BB256" t="str">
        <f t="shared" si="141"/>
        <v>-</v>
      </c>
      <c r="BC256" t="str">
        <f t="shared" si="142"/>
        <v>-</v>
      </c>
      <c r="BD256" s="29" t="str">
        <f t="shared" si="143"/>
        <v>-</v>
      </c>
      <c r="BE256" s="29" t="str">
        <f t="shared" si="144"/>
        <v>-</v>
      </c>
    </row>
    <row r="257" spans="1:57" ht="15" x14ac:dyDescent="0.2">
      <c r="A257" s="2">
        <v>57</v>
      </c>
      <c r="B257" s="2" t="str">
        <f t="shared" si="109"/>
        <v>0057</v>
      </c>
      <c r="C257" t="str">
        <f t="shared" si="110"/>
        <v>ORD-SP-0057-02/04/24</v>
      </c>
      <c r="D257" s="3" t="s">
        <v>131</v>
      </c>
      <c r="E257" t="str">
        <f t="shared" si="111"/>
        <v>SW001</v>
      </c>
      <c r="F257" t="str">
        <f>INDEX(Katalog!$B$4:$B$13,MATCH('Main Data'!E257,Katalog!$C$4:$C$13,0))</f>
        <v>Flat Shoes</v>
      </c>
      <c r="G257" t="str">
        <f>VLOOKUP(E257,Katalog!$A$15:$B$25,2,0)</f>
        <v>Sepatu Wanita</v>
      </c>
      <c r="H257" t="str">
        <f t="shared" si="112"/>
        <v>2</v>
      </c>
      <c r="I257" t="str">
        <f t="shared" si="113"/>
        <v>2</v>
      </c>
      <c r="J257" s="18">
        <f>VLOOKUP(E257,Katalog!$C$3:$F$13,2,0)</f>
        <v>150000</v>
      </c>
      <c r="K257" s="18">
        <f>VLOOKUP(E257,Katalog!$C$3:$F$13,3,0)</f>
        <v>70000</v>
      </c>
      <c r="L257" t="str">
        <f t="shared" si="114"/>
        <v>-</v>
      </c>
      <c r="M257" t="str">
        <f>IFERROR(INDEX(Katalog!$B$4:$B$13,MATCH('Main Data'!L257,Katalog!$C$4:$C$13,0)), "-")</f>
        <v>-</v>
      </c>
      <c r="N257" t="str">
        <f>IFERROR(VLOOKUP(L257,Katalog!$A$15:$B$25,2,0),"-")</f>
        <v>-</v>
      </c>
      <c r="O257">
        <f t="shared" si="115"/>
        <v>0</v>
      </c>
      <c r="P257" t="str">
        <f t="shared" si="116"/>
        <v>-</v>
      </c>
      <c r="Q257" s="18">
        <f>IFERROR(VLOOKUP(L257,Katalog!$C$3:$F$13,2,0),0)</f>
        <v>0</v>
      </c>
      <c r="R257" s="18">
        <f>IFERROR(VLOOKUP(L257,Katalog!$C$3:$F$13,3,0),0)</f>
        <v>0</v>
      </c>
      <c r="S257" t="str">
        <f t="shared" si="117"/>
        <v>-</v>
      </c>
      <c r="T257" t="str">
        <f>IFERROR(INDEX(Katalog!$B$4:$B$13,MATCH('Main Data'!S257,Katalog!$C$4:$C$13,0)),"-")</f>
        <v>-</v>
      </c>
      <c r="U257" t="str">
        <f>IFERROR(VLOOKUP(S257,Katalog!$A$15:$B$25,2,0),"-")</f>
        <v>-</v>
      </c>
      <c r="V257">
        <f t="shared" si="118"/>
        <v>0</v>
      </c>
      <c r="W257" s="28" t="str">
        <f t="shared" si="119"/>
        <v>-</v>
      </c>
      <c r="X257" s="18">
        <f>IFERROR(VLOOKUP(S257,Katalog!$C$3:$F$13,2,0),0)</f>
        <v>0</v>
      </c>
      <c r="Y257" s="30">
        <f>IFERROR(VLOOKUP(S257,Katalog!$C$3:$F$13,3,0),0)</f>
        <v>0</v>
      </c>
      <c r="Z257" s="2">
        <f t="shared" si="120"/>
        <v>2</v>
      </c>
      <c r="AA257" s="4">
        <f t="shared" si="121"/>
        <v>300000</v>
      </c>
      <c r="AB257" s="4">
        <f t="shared" si="122"/>
        <v>140000</v>
      </c>
      <c r="AC257" s="4" t="s">
        <v>5</v>
      </c>
      <c r="AD257" s="16">
        <f>IFERROR(VLOOKUP(AC257,'Kode Diskon'!$C$2:$D$9,2,0),0)</f>
        <v>0.1</v>
      </c>
      <c r="AE257" s="31">
        <f t="shared" si="123"/>
        <v>30000</v>
      </c>
      <c r="AF257" s="31">
        <f t="shared" si="124"/>
        <v>270000</v>
      </c>
      <c r="AG257" s="31">
        <f t="shared" si="125"/>
        <v>160000</v>
      </c>
      <c r="AH257" s="31">
        <f t="shared" si="126"/>
        <v>130000</v>
      </c>
      <c r="AI257" s="4" t="s">
        <v>28</v>
      </c>
      <c r="AJ257" s="4" t="s">
        <v>6</v>
      </c>
      <c r="AK257" s="4" t="str">
        <f>IFERROR(VLOOKUP(AJ257,'Guide '!$A$13:$B$16,2,0),"-")</f>
        <v>SP</v>
      </c>
      <c r="AL257" s="4" t="s">
        <v>922</v>
      </c>
      <c r="AM257" s="40">
        <v>45384</v>
      </c>
      <c r="AN257">
        <f t="shared" si="127"/>
        <v>29</v>
      </c>
      <c r="AO257">
        <f t="shared" si="128"/>
        <v>32</v>
      </c>
      <c r="AP257">
        <f t="shared" si="129"/>
        <v>40</v>
      </c>
      <c r="AQ257">
        <f t="shared" si="130"/>
        <v>43</v>
      </c>
      <c r="AR257" s="26" t="str">
        <f t="shared" si="131"/>
        <v>-</v>
      </c>
      <c r="AS257" s="26" t="str">
        <f t="shared" si="132"/>
        <v>-</v>
      </c>
      <c r="AT257" s="21">
        <f t="shared" si="133"/>
        <v>12</v>
      </c>
      <c r="AU257" s="21">
        <f t="shared" si="134"/>
        <v>19</v>
      </c>
      <c r="AV257" t="str">
        <f t="shared" si="135"/>
        <v>-</v>
      </c>
      <c r="AW257" t="str">
        <f t="shared" si="136"/>
        <v>-</v>
      </c>
      <c r="AX257" t="str">
        <f t="shared" si="137"/>
        <v>-</v>
      </c>
      <c r="AY257" t="str">
        <f t="shared" si="138"/>
        <v>-</v>
      </c>
      <c r="AZ257" t="str">
        <f t="shared" si="139"/>
        <v>-</v>
      </c>
      <c r="BA257" t="str">
        <f t="shared" si="140"/>
        <v>-</v>
      </c>
      <c r="BB257" t="str">
        <f t="shared" si="141"/>
        <v>-</v>
      </c>
      <c r="BC257" t="str">
        <f t="shared" si="142"/>
        <v>-</v>
      </c>
      <c r="BD257" s="29" t="str">
        <f t="shared" si="143"/>
        <v>-</v>
      </c>
      <c r="BE257" s="29" t="str">
        <f t="shared" si="144"/>
        <v>-</v>
      </c>
    </row>
    <row r="258" spans="1:57" ht="15" x14ac:dyDescent="0.2">
      <c r="A258" s="2">
        <v>278</v>
      </c>
      <c r="B258" s="2" t="str">
        <f t="shared" si="109"/>
        <v>0278</v>
      </c>
      <c r="C258" t="str">
        <f t="shared" si="110"/>
        <v>ORD-BL-0278-02/04/24</v>
      </c>
      <c r="D258" s="3" t="s">
        <v>337</v>
      </c>
      <c r="E258" t="str">
        <f t="shared" si="111"/>
        <v>PP002</v>
      </c>
      <c r="F258" t="str">
        <f>INDEX(Katalog!$B$4:$B$13,MATCH('Main Data'!E258,Katalog!$C$4:$C$13,0))</f>
        <v>Celana Pendek</v>
      </c>
      <c r="G258" t="str">
        <f>VLOOKUP(E258,Katalog!$A$15:$B$25,2,0)</f>
        <v>Pakaian Pria</v>
      </c>
      <c r="H258" t="str">
        <f t="shared" si="112"/>
        <v>5</v>
      </c>
      <c r="I258" t="str">
        <f t="shared" si="113"/>
        <v>3</v>
      </c>
      <c r="J258" s="18">
        <f>VLOOKUP(E258,Katalog!$C$3:$F$13,2,0)</f>
        <v>60000</v>
      </c>
      <c r="K258" s="18">
        <f>VLOOKUP(E258,Katalog!$C$3:$F$13,3,0)</f>
        <v>25000</v>
      </c>
      <c r="L258" t="str">
        <f t="shared" si="114"/>
        <v>PP001</v>
      </c>
      <c r="M258" t="str">
        <f>IFERROR(INDEX(Katalog!$B$4:$B$13,MATCH('Main Data'!L258,Katalog!$C$4:$C$13,0)), "-")</f>
        <v>Kaos Polo</v>
      </c>
      <c r="N258" t="str">
        <f>IFERROR(VLOOKUP(L258,Katalog!$A$15:$B$25,2,0),"-")</f>
        <v>Pakaian Pria</v>
      </c>
      <c r="O258" t="str">
        <f t="shared" si="115"/>
        <v>1</v>
      </c>
      <c r="P258" t="str">
        <f t="shared" si="116"/>
        <v>1</v>
      </c>
      <c r="Q258" s="18">
        <f>IFERROR(VLOOKUP(L258,Katalog!$C$3:$F$13,2,0),0)</f>
        <v>80000</v>
      </c>
      <c r="R258" s="18">
        <f>IFERROR(VLOOKUP(L258,Katalog!$C$3:$F$13,3,0),0)</f>
        <v>30000</v>
      </c>
      <c r="S258" t="str">
        <f t="shared" si="117"/>
        <v>-</v>
      </c>
      <c r="T258" t="str">
        <f>IFERROR(INDEX(Katalog!$B$4:$B$13,MATCH('Main Data'!S258,Katalog!$C$4:$C$13,0)),"-")</f>
        <v>-</v>
      </c>
      <c r="U258" t="str">
        <f>IFERROR(VLOOKUP(S258,Katalog!$A$15:$B$25,2,0),"-")</f>
        <v>-</v>
      </c>
      <c r="V258">
        <f t="shared" si="118"/>
        <v>0</v>
      </c>
      <c r="W258" s="28" t="str">
        <f t="shared" si="119"/>
        <v>-</v>
      </c>
      <c r="X258" s="18">
        <f>IFERROR(VLOOKUP(S258,Katalog!$C$3:$F$13,2,0),0)</f>
        <v>0</v>
      </c>
      <c r="Y258" s="30">
        <f>IFERROR(VLOOKUP(S258,Katalog!$C$3:$F$13,3,0),0)</f>
        <v>0</v>
      </c>
      <c r="Z258" s="2">
        <f t="shared" si="120"/>
        <v>6</v>
      </c>
      <c r="AA258" s="4">
        <f t="shared" si="121"/>
        <v>380000</v>
      </c>
      <c r="AB258" s="4">
        <f t="shared" si="122"/>
        <v>155000</v>
      </c>
      <c r="AC258" s="4" t="s">
        <v>31</v>
      </c>
      <c r="AD258" s="16">
        <f>IFERROR(VLOOKUP(AC258,'Kode Diskon'!$C$2:$D$9,2,0),0)</f>
        <v>0.15</v>
      </c>
      <c r="AE258" s="31">
        <f t="shared" si="123"/>
        <v>57000</v>
      </c>
      <c r="AF258" s="31">
        <f t="shared" si="124"/>
        <v>323000</v>
      </c>
      <c r="AG258" s="31">
        <f t="shared" si="125"/>
        <v>225000</v>
      </c>
      <c r="AH258" s="31">
        <f t="shared" si="126"/>
        <v>168000</v>
      </c>
      <c r="AI258" s="4" t="s">
        <v>8</v>
      </c>
      <c r="AJ258" s="4" t="s">
        <v>11</v>
      </c>
      <c r="AK258" s="4" t="str">
        <f>IFERROR(VLOOKUP(AJ258,'Guide '!$A$13:$B$16,2,0),"-")</f>
        <v>BL</v>
      </c>
      <c r="AL258" s="4" t="s">
        <v>925</v>
      </c>
      <c r="AM258" s="40">
        <v>45384</v>
      </c>
      <c r="AN258">
        <f t="shared" si="127"/>
        <v>29</v>
      </c>
      <c r="AO258">
        <f t="shared" si="128"/>
        <v>32</v>
      </c>
      <c r="AP258">
        <f t="shared" si="129"/>
        <v>40</v>
      </c>
      <c r="AQ258">
        <f t="shared" si="130"/>
        <v>43</v>
      </c>
      <c r="AR258" s="26">
        <f t="shared" si="131"/>
        <v>56</v>
      </c>
      <c r="AS258" s="26">
        <f t="shared" si="132"/>
        <v>63</v>
      </c>
      <c r="AT258" s="21">
        <f t="shared" si="133"/>
        <v>12</v>
      </c>
      <c r="AU258" s="21">
        <f t="shared" si="134"/>
        <v>19</v>
      </c>
      <c r="AV258">
        <f t="shared" si="135"/>
        <v>73</v>
      </c>
      <c r="AW258">
        <f t="shared" si="136"/>
        <v>76</v>
      </c>
      <c r="AX258">
        <f t="shared" si="137"/>
        <v>84</v>
      </c>
      <c r="AY258">
        <f t="shared" si="138"/>
        <v>87</v>
      </c>
      <c r="AZ258" t="str">
        <f t="shared" si="139"/>
        <v>-</v>
      </c>
      <c r="BA258" t="str">
        <f t="shared" si="140"/>
        <v>-</v>
      </c>
      <c r="BB258" t="str">
        <f t="shared" si="141"/>
        <v>-</v>
      </c>
      <c r="BC258" t="str">
        <f t="shared" si="142"/>
        <v>-</v>
      </c>
      <c r="BD258" s="29" t="str">
        <f t="shared" si="143"/>
        <v>-</v>
      </c>
      <c r="BE258" s="29" t="str">
        <f t="shared" si="144"/>
        <v>-</v>
      </c>
    </row>
    <row r="259" spans="1:57" ht="15" x14ac:dyDescent="0.2">
      <c r="A259" s="2">
        <v>529</v>
      </c>
      <c r="B259" s="2" t="str">
        <f t="shared" ref="B259:B322" si="145">TEXT(A259,"0000")</f>
        <v>0529</v>
      </c>
      <c r="C259" t="str">
        <f t="shared" ref="C259:C322" si="146">CONCATENATE("ORD","-",AK259,"-",B259,"-",TEXT(AM259,"dd/mm/yy"))</f>
        <v>ORD-SP-0529-02/04/24</v>
      </c>
      <c r="D259" s="3" t="s">
        <v>359</v>
      </c>
      <c r="E259" t="str">
        <f t="shared" ref="E259:E322" si="147">MID(D259,AT259+2,AU259-AT259-2)</f>
        <v>PP003</v>
      </c>
      <c r="F259" t="str">
        <f>INDEX(Katalog!$B$4:$B$13,MATCH('Main Data'!E259,Katalog!$C$4:$C$13,0))</f>
        <v>Jaket Jeans</v>
      </c>
      <c r="G259" t="str">
        <f>VLOOKUP(E259,Katalog!$A$15:$B$25,2,0)</f>
        <v>Pakaian Pria</v>
      </c>
      <c r="H259" t="str">
        <f t="shared" ref="H259:H322" si="148">MID(D259,AN259+2,AO259-AN259-2)</f>
        <v>2</v>
      </c>
      <c r="I259" t="str">
        <f t="shared" ref="I259:I322" si="149">MID(D259,AP259+2,AQ259-AP259-2)</f>
        <v>4</v>
      </c>
      <c r="J259" s="18">
        <f>VLOOKUP(E259,Katalog!$C$3:$F$13,2,0)</f>
        <v>150000</v>
      </c>
      <c r="K259" s="18">
        <f>VLOOKUP(E259,Katalog!$C$3:$F$13,3,0)</f>
        <v>70000</v>
      </c>
      <c r="L259" t="str">
        <f t="shared" ref="L259:L322" si="150">IFERROR(MID(D259,AR259+2,AS259-AR259-2),"-")</f>
        <v>-</v>
      </c>
      <c r="M259" t="str">
        <f>IFERROR(INDEX(Katalog!$B$4:$B$13,MATCH('Main Data'!L259,Katalog!$C$4:$C$13,0)), "-")</f>
        <v>-</v>
      </c>
      <c r="N259" t="str">
        <f>IFERROR(VLOOKUP(L259,Katalog!$A$15:$B$25,2,0),"-")</f>
        <v>-</v>
      </c>
      <c r="O259">
        <f t="shared" ref="O259:O322" si="151">IFERROR(MID(D259,AV259+2,AW259-AV259-2),0)</f>
        <v>0</v>
      </c>
      <c r="P259" t="str">
        <f t="shared" ref="P259:P322" si="152">IFERROR(MID(D259,AX259+2,AY259-AX259-2),"-")</f>
        <v>-</v>
      </c>
      <c r="Q259" s="18">
        <f>IFERROR(VLOOKUP(L259,Katalog!$C$3:$F$13,2,0),0)</f>
        <v>0</v>
      </c>
      <c r="R259" s="18">
        <f>IFERROR(VLOOKUP(L259,Katalog!$C$3:$F$13,3,0),0)</f>
        <v>0</v>
      </c>
      <c r="S259" t="str">
        <f t="shared" ref="S259:S322" si="153">IFERROR(MID(D259,AZ259+2,BA259-AZ259-2),"-")</f>
        <v>-</v>
      </c>
      <c r="T259" t="str">
        <f>IFERROR(INDEX(Katalog!$B$4:$B$13,MATCH('Main Data'!S259,Katalog!$C$4:$C$13,0)),"-")</f>
        <v>-</v>
      </c>
      <c r="U259" t="str">
        <f>IFERROR(VLOOKUP(S259,Katalog!$A$15:$B$25,2,0),"-")</f>
        <v>-</v>
      </c>
      <c r="V259">
        <f t="shared" ref="V259:V322" si="154">IFERROR(MID(D259,BB259+2,BC259-BB259-2),0)</f>
        <v>0</v>
      </c>
      <c r="W259" s="28" t="str">
        <f t="shared" ref="W259:W322" si="155">IFERROR(MID(D259,BD259+2,BE259-BD259-2),"-")</f>
        <v>-</v>
      </c>
      <c r="X259" s="18">
        <f>IFERROR(VLOOKUP(S259,Katalog!$C$3:$F$13,2,0),0)</f>
        <v>0</v>
      </c>
      <c r="Y259" s="30">
        <f>IFERROR(VLOOKUP(S259,Katalog!$C$3:$F$13,3,0),0)</f>
        <v>0</v>
      </c>
      <c r="Z259" s="2">
        <f t="shared" ref="Z259:Z322" si="156">H259+O259+V259</f>
        <v>2</v>
      </c>
      <c r="AA259" s="4">
        <f t="shared" ref="AA259:AA322" si="157">J259*H259+Q259*O259+X259*V259</f>
        <v>300000</v>
      </c>
      <c r="AB259" s="4">
        <f t="shared" ref="AB259:AB322" si="158">K259*H259+R259*O259+Y259*V259</f>
        <v>140000</v>
      </c>
      <c r="AC259" s="4" t="s">
        <v>12</v>
      </c>
      <c r="AD259" s="16">
        <f>IFERROR(VLOOKUP(AC259,'Kode Diskon'!$C$2:$D$9,2,0),0)</f>
        <v>0.15</v>
      </c>
      <c r="AE259" s="31">
        <f t="shared" ref="AE259:AE322" si="159">AA259*AD259</f>
        <v>45000</v>
      </c>
      <c r="AF259" s="31">
        <f t="shared" ref="AF259:AF322" si="160">AA259-AE259</f>
        <v>255000</v>
      </c>
      <c r="AG259" s="31">
        <f t="shared" ref="AG259:AG322" si="161">AA259-AB259</f>
        <v>160000</v>
      </c>
      <c r="AH259" s="31">
        <f t="shared" ref="AH259:AH322" si="162">AF259-AB259</f>
        <v>115000</v>
      </c>
      <c r="AI259" s="4" t="s">
        <v>28</v>
      </c>
      <c r="AJ259" s="4" t="s">
        <v>6</v>
      </c>
      <c r="AK259" s="4" t="str">
        <f>IFERROR(VLOOKUP(AJ259,'Guide '!$A$13:$B$16,2,0),"-")</f>
        <v>SP</v>
      </c>
      <c r="AL259" s="4" t="s">
        <v>922</v>
      </c>
      <c r="AM259" s="40">
        <v>45384</v>
      </c>
      <c r="AN259">
        <f t="shared" ref="AN259:AN322" si="163">FIND(":",D259,AT259+1)</f>
        <v>29</v>
      </c>
      <c r="AO259">
        <f t="shared" ref="AO259:AO322" si="164">FIND(",",D259,AU259+1)</f>
        <v>32</v>
      </c>
      <c r="AP259">
        <f t="shared" ref="AP259:AP322" si="165">FIND(":",D259,AN259+1)</f>
        <v>40</v>
      </c>
      <c r="AQ259">
        <f t="shared" ref="AQ259:AQ322" si="166">FIND("}",D259,AO259+1)</f>
        <v>43</v>
      </c>
      <c r="AR259" s="26" t="str">
        <f t="shared" ref="AR259:AR322" si="167">IFERROR(FIND(":",D259,AP259+1),"-")</f>
        <v>-</v>
      </c>
      <c r="AS259" s="26" t="str">
        <f t="shared" ref="AS259:AS322" si="168">IFERROR(FIND(",",D259,AQ259+2),"-")</f>
        <v>-</v>
      </c>
      <c r="AT259" s="21">
        <f t="shared" ref="AT259:AT322" si="169">FIND(":",D259)</f>
        <v>12</v>
      </c>
      <c r="AU259" s="21">
        <f t="shared" ref="AU259:AU322" si="170">FIND(",",D259)</f>
        <v>19</v>
      </c>
      <c r="AV259" t="str">
        <f t="shared" ref="AV259:AV322" si="171">IFERROR(FIND(":",D259,AR259+1),"-")</f>
        <v>-</v>
      </c>
      <c r="AW259" t="str">
        <f t="shared" ref="AW259:AW322" si="172">IFERROR(FIND(",",D259,AS259+1),"-")</f>
        <v>-</v>
      </c>
      <c r="AX259" t="str">
        <f t="shared" ref="AX259:AX322" si="173">IFERROR(FIND(":",D259,AV259+1),"-")</f>
        <v>-</v>
      </c>
      <c r="AY259" t="str">
        <f t="shared" ref="AY259:AY322" si="174">IFERROR(FIND("}",D259,AW259+1),"-")</f>
        <v>-</v>
      </c>
      <c r="AZ259" t="str">
        <f t="shared" ref="AZ259:AZ322" si="175">IFERROR(FIND(":",D259,AX259+1),"-")</f>
        <v>-</v>
      </c>
      <c r="BA259" t="str">
        <f t="shared" ref="BA259:BA322" si="176">IFERROR(FIND(",",D259,AY259+2),"-")</f>
        <v>-</v>
      </c>
      <c r="BB259" t="str">
        <f t="shared" ref="BB259:BB322" si="177">IFERROR(FIND(":",D259,AZ259+1),"-")</f>
        <v>-</v>
      </c>
      <c r="BC259" t="str">
        <f t="shared" ref="BC259:BC322" si="178">IFERROR(FIND(",",D259,BA259+1),"-")</f>
        <v>-</v>
      </c>
      <c r="BD259" s="29" t="str">
        <f t="shared" ref="BD259:BD322" si="179">IFERROR(FIND(":",D259,BB259+1),"-")</f>
        <v>-</v>
      </c>
      <c r="BE259" s="29" t="str">
        <f t="shared" ref="BE259:BE322" si="180">IFERROR(FIND("}",D259,BC259+1),"-")</f>
        <v>-</v>
      </c>
    </row>
    <row r="260" spans="1:57" ht="15" x14ac:dyDescent="0.2">
      <c r="A260" s="2">
        <v>120</v>
      </c>
      <c r="B260" s="2" t="str">
        <f t="shared" si="145"/>
        <v>0120</v>
      </c>
      <c r="C260" t="str">
        <f t="shared" si="146"/>
        <v>ORD-BL-0120-04/04/24</v>
      </c>
      <c r="D260" s="3" t="s">
        <v>191</v>
      </c>
      <c r="E260" t="str">
        <f t="shared" si="147"/>
        <v>PU001</v>
      </c>
      <c r="F260" t="str">
        <f>INDEX(Katalog!$B$4:$B$13,MATCH('Main Data'!E260,Katalog!$C$4:$C$13,0))</f>
        <v>Jaket Hoodie</v>
      </c>
      <c r="G260" t="str">
        <f>VLOOKUP(E260,Katalog!$A$15:$B$25,2,0)</f>
        <v>Pakaian Unisex</v>
      </c>
      <c r="H260" t="str">
        <f t="shared" si="148"/>
        <v>2</v>
      </c>
      <c r="I260" t="str">
        <f t="shared" si="149"/>
        <v>1</v>
      </c>
      <c r="J260" s="18">
        <f>VLOOKUP(E260,Katalog!$C$3:$F$13,2,0)</f>
        <v>160000</v>
      </c>
      <c r="K260" s="18">
        <f>VLOOKUP(E260,Katalog!$C$3:$F$13,3,0)</f>
        <v>60000</v>
      </c>
      <c r="L260" t="str">
        <f t="shared" si="150"/>
        <v>PW001</v>
      </c>
      <c r="M260" t="str">
        <f>IFERROR(INDEX(Katalog!$B$4:$B$13,MATCH('Main Data'!L260,Katalog!$C$4:$C$13,0)), "-")</f>
        <v>Dress</v>
      </c>
      <c r="N260" t="str">
        <f>IFERROR(VLOOKUP(L260,Katalog!$A$15:$B$25,2,0),"-")</f>
        <v>Pakaian Wanita</v>
      </c>
      <c r="O260" t="str">
        <f t="shared" si="151"/>
        <v>2</v>
      </c>
      <c r="P260" t="str">
        <f t="shared" si="152"/>
        <v>5</v>
      </c>
      <c r="Q260" s="18">
        <f>IFERROR(VLOOKUP(L260,Katalog!$C$3:$F$13,2,0),0)</f>
        <v>150000</v>
      </c>
      <c r="R260" s="18">
        <f>IFERROR(VLOOKUP(L260,Katalog!$C$3:$F$13,3,0),0)</f>
        <v>55000</v>
      </c>
      <c r="S260" t="str">
        <f t="shared" si="153"/>
        <v>SP002</v>
      </c>
      <c r="T260" t="str">
        <f>IFERROR(INDEX(Katalog!$B$4:$B$13,MATCH('Main Data'!S260,Katalog!$C$4:$C$13,0)),"-")</f>
        <v>Sandal Slip On</v>
      </c>
      <c r="U260" t="str">
        <f>IFERROR(VLOOKUP(S260,Katalog!$A$15:$B$25,2,0),"-")</f>
        <v>Sepatu Pria</v>
      </c>
      <c r="V260" t="str">
        <f t="shared" si="154"/>
        <v>3</v>
      </c>
      <c r="W260" s="28" t="str">
        <f t="shared" si="155"/>
        <v>3</v>
      </c>
      <c r="X260" s="18">
        <f>IFERROR(VLOOKUP(S260,Katalog!$C$3:$F$13,2,0),0)</f>
        <v>120000</v>
      </c>
      <c r="Y260" s="30">
        <f>IFERROR(VLOOKUP(S260,Katalog!$C$3:$F$13,3,0),0)</f>
        <v>60000</v>
      </c>
      <c r="Z260" s="2">
        <f t="shared" si="156"/>
        <v>7</v>
      </c>
      <c r="AA260" s="4">
        <f t="shared" si="157"/>
        <v>980000</v>
      </c>
      <c r="AB260" s="4">
        <f t="shared" si="158"/>
        <v>410000</v>
      </c>
      <c r="AC260" s="4" t="s">
        <v>31</v>
      </c>
      <c r="AD260" s="16">
        <f>IFERROR(VLOOKUP(AC260,'Kode Diskon'!$C$2:$D$9,2,0),0)</f>
        <v>0.15</v>
      </c>
      <c r="AE260" s="31">
        <f t="shared" si="159"/>
        <v>147000</v>
      </c>
      <c r="AF260" s="31">
        <f t="shared" si="160"/>
        <v>833000</v>
      </c>
      <c r="AG260" s="31">
        <f t="shared" si="161"/>
        <v>570000</v>
      </c>
      <c r="AH260" s="31">
        <f t="shared" si="162"/>
        <v>423000</v>
      </c>
      <c r="AI260" s="4" t="s">
        <v>8</v>
      </c>
      <c r="AJ260" s="4" t="s">
        <v>11</v>
      </c>
      <c r="AK260" s="4" t="str">
        <f>IFERROR(VLOOKUP(AJ260,'Guide '!$A$13:$B$16,2,0),"-")</f>
        <v>BL</v>
      </c>
      <c r="AL260" s="4" t="s">
        <v>921</v>
      </c>
      <c r="AM260" s="40">
        <v>45386</v>
      </c>
      <c r="AN260">
        <f t="shared" si="163"/>
        <v>29</v>
      </c>
      <c r="AO260">
        <f t="shared" si="164"/>
        <v>32</v>
      </c>
      <c r="AP260">
        <f t="shared" si="165"/>
        <v>40</v>
      </c>
      <c r="AQ260">
        <f t="shared" si="166"/>
        <v>43</v>
      </c>
      <c r="AR260" s="26">
        <f t="shared" si="167"/>
        <v>56</v>
      </c>
      <c r="AS260" s="26">
        <f t="shared" si="168"/>
        <v>63</v>
      </c>
      <c r="AT260" s="21">
        <f t="shared" si="169"/>
        <v>12</v>
      </c>
      <c r="AU260" s="21">
        <f t="shared" si="170"/>
        <v>19</v>
      </c>
      <c r="AV260">
        <f t="shared" si="171"/>
        <v>73</v>
      </c>
      <c r="AW260">
        <f t="shared" si="172"/>
        <v>76</v>
      </c>
      <c r="AX260">
        <f t="shared" si="173"/>
        <v>84</v>
      </c>
      <c r="AY260">
        <f t="shared" si="174"/>
        <v>87</v>
      </c>
      <c r="AZ260">
        <f t="shared" si="175"/>
        <v>100</v>
      </c>
      <c r="BA260">
        <f t="shared" si="176"/>
        <v>107</v>
      </c>
      <c r="BB260">
        <f t="shared" si="177"/>
        <v>117</v>
      </c>
      <c r="BC260">
        <f t="shared" si="178"/>
        <v>120</v>
      </c>
      <c r="BD260" s="29">
        <f t="shared" si="179"/>
        <v>128</v>
      </c>
      <c r="BE260" s="29">
        <f t="shared" si="180"/>
        <v>131</v>
      </c>
    </row>
    <row r="261" spans="1:57" ht="15" x14ac:dyDescent="0.2">
      <c r="A261" s="2">
        <v>385</v>
      </c>
      <c r="B261" s="2" t="str">
        <f t="shared" si="145"/>
        <v>0385</v>
      </c>
      <c r="C261" t="str">
        <f t="shared" si="146"/>
        <v>ORD-SP-0385-04/04/24</v>
      </c>
      <c r="D261" s="3" t="s">
        <v>434</v>
      </c>
      <c r="E261" t="str">
        <f t="shared" si="147"/>
        <v>PP002</v>
      </c>
      <c r="F261" t="str">
        <f>INDEX(Katalog!$B$4:$B$13,MATCH('Main Data'!E261,Katalog!$C$4:$C$13,0))</f>
        <v>Celana Pendek</v>
      </c>
      <c r="G261" t="str">
        <f>VLOOKUP(E261,Katalog!$A$15:$B$25,2,0)</f>
        <v>Pakaian Pria</v>
      </c>
      <c r="H261" t="str">
        <f t="shared" si="148"/>
        <v>2</v>
      </c>
      <c r="I261" t="str">
        <f t="shared" si="149"/>
        <v>1</v>
      </c>
      <c r="J261" s="18">
        <f>VLOOKUP(E261,Katalog!$C$3:$F$13,2,0)</f>
        <v>60000</v>
      </c>
      <c r="K261" s="18">
        <f>VLOOKUP(E261,Katalog!$C$3:$F$13,3,0)</f>
        <v>25000</v>
      </c>
      <c r="L261" t="str">
        <f t="shared" si="150"/>
        <v>-</v>
      </c>
      <c r="M261" t="str">
        <f>IFERROR(INDEX(Katalog!$B$4:$B$13,MATCH('Main Data'!L261,Katalog!$C$4:$C$13,0)), "-")</f>
        <v>-</v>
      </c>
      <c r="N261" t="str">
        <f>IFERROR(VLOOKUP(L261,Katalog!$A$15:$B$25,2,0),"-")</f>
        <v>-</v>
      </c>
      <c r="O261">
        <f t="shared" si="151"/>
        <v>0</v>
      </c>
      <c r="P261" t="str">
        <f t="shared" si="152"/>
        <v>-</v>
      </c>
      <c r="Q261" s="18">
        <f>IFERROR(VLOOKUP(L261,Katalog!$C$3:$F$13,2,0),0)</f>
        <v>0</v>
      </c>
      <c r="R261" s="18">
        <f>IFERROR(VLOOKUP(L261,Katalog!$C$3:$F$13,3,0),0)</f>
        <v>0</v>
      </c>
      <c r="S261" t="str">
        <f t="shared" si="153"/>
        <v>-</v>
      </c>
      <c r="T261" t="str">
        <f>IFERROR(INDEX(Katalog!$B$4:$B$13,MATCH('Main Data'!S261,Katalog!$C$4:$C$13,0)),"-")</f>
        <v>-</v>
      </c>
      <c r="U261" t="str">
        <f>IFERROR(VLOOKUP(S261,Katalog!$A$15:$B$25,2,0),"-")</f>
        <v>-</v>
      </c>
      <c r="V261">
        <f t="shared" si="154"/>
        <v>0</v>
      </c>
      <c r="W261" s="28" t="str">
        <f t="shared" si="155"/>
        <v>-</v>
      </c>
      <c r="X261" s="18">
        <f>IFERROR(VLOOKUP(S261,Katalog!$C$3:$F$13,2,0),0)</f>
        <v>0</v>
      </c>
      <c r="Y261" s="30">
        <f>IFERROR(VLOOKUP(S261,Katalog!$C$3:$F$13,3,0),0)</f>
        <v>0</v>
      </c>
      <c r="Z261" s="2">
        <f t="shared" si="156"/>
        <v>2</v>
      </c>
      <c r="AA261" s="4">
        <f t="shared" si="157"/>
        <v>120000</v>
      </c>
      <c r="AB261" s="4">
        <f t="shared" si="158"/>
        <v>50000</v>
      </c>
      <c r="AC261" s="4" t="s">
        <v>10</v>
      </c>
      <c r="AD261" s="16">
        <f>IFERROR(VLOOKUP(AC261,'Kode Diskon'!$C$2:$D$9,2,0),0)</f>
        <v>0</v>
      </c>
      <c r="AE261" s="31">
        <f t="shared" si="159"/>
        <v>0</v>
      </c>
      <c r="AF261" s="31">
        <f t="shared" si="160"/>
        <v>120000</v>
      </c>
      <c r="AG261" s="31">
        <f t="shared" si="161"/>
        <v>70000</v>
      </c>
      <c r="AH261" s="31">
        <f t="shared" si="162"/>
        <v>70000</v>
      </c>
      <c r="AI261" s="4" t="s">
        <v>10</v>
      </c>
      <c r="AJ261" s="4" t="s">
        <v>6</v>
      </c>
      <c r="AK261" s="4" t="str">
        <f>IFERROR(VLOOKUP(AJ261,'Guide '!$A$13:$B$16,2,0),"-")</f>
        <v>SP</v>
      </c>
      <c r="AL261" s="4" t="s">
        <v>923</v>
      </c>
      <c r="AM261" s="40">
        <v>45386</v>
      </c>
      <c r="AN261">
        <f t="shared" si="163"/>
        <v>29</v>
      </c>
      <c r="AO261">
        <f t="shared" si="164"/>
        <v>32</v>
      </c>
      <c r="AP261">
        <f t="shared" si="165"/>
        <v>40</v>
      </c>
      <c r="AQ261">
        <f t="shared" si="166"/>
        <v>43</v>
      </c>
      <c r="AR261" s="26" t="str">
        <f t="shared" si="167"/>
        <v>-</v>
      </c>
      <c r="AS261" s="26" t="str">
        <f t="shared" si="168"/>
        <v>-</v>
      </c>
      <c r="AT261" s="21">
        <f t="shared" si="169"/>
        <v>12</v>
      </c>
      <c r="AU261" s="21">
        <f t="shared" si="170"/>
        <v>19</v>
      </c>
      <c r="AV261" t="str">
        <f t="shared" si="171"/>
        <v>-</v>
      </c>
      <c r="AW261" t="str">
        <f t="shared" si="172"/>
        <v>-</v>
      </c>
      <c r="AX261" t="str">
        <f t="shared" si="173"/>
        <v>-</v>
      </c>
      <c r="AY261" t="str">
        <f t="shared" si="174"/>
        <v>-</v>
      </c>
      <c r="AZ261" t="str">
        <f t="shared" si="175"/>
        <v>-</v>
      </c>
      <c r="BA261" t="str">
        <f t="shared" si="176"/>
        <v>-</v>
      </c>
      <c r="BB261" t="str">
        <f t="shared" si="177"/>
        <v>-</v>
      </c>
      <c r="BC261" t="str">
        <f t="shared" si="178"/>
        <v>-</v>
      </c>
      <c r="BD261" s="29" t="str">
        <f t="shared" si="179"/>
        <v>-</v>
      </c>
      <c r="BE261" s="29" t="str">
        <f t="shared" si="180"/>
        <v>-</v>
      </c>
    </row>
    <row r="262" spans="1:57" ht="15" x14ac:dyDescent="0.2">
      <c r="A262" s="2">
        <v>107</v>
      </c>
      <c r="B262" s="2" t="str">
        <f t="shared" si="145"/>
        <v>0107</v>
      </c>
      <c r="C262" t="str">
        <f t="shared" si="146"/>
        <v>ORD-BL-0107-06/04/24</v>
      </c>
      <c r="D262" s="3" t="s">
        <v>179</v>
      </c>
      <c r="E262" t="str">
        <f t="shared" si="147"/>
        <v>PW001</v>
      </c>
      <c r="F262" t="str">
        <f>INDEX(Katalog!$B$4:$B$13,MATCH('Main Data'!E262,Katalog!$C$4:$C$13,0))</f>
        <v>Dress</v>
      </c>
      <c r="G262" t="str">
        <f>VLOOKUP(E262,Katalog!$A$15:$B$25,2,0)</f>
        <v>Pakaian Wanita</v>
      </c>
      <c r="H262" t="str">
        <f t="shared" si="148"/>
        <v>1</v>
      </c>
      <c r="I262" t="str">
        <f t="shared" si="149"/>
        <v>5</v>
      </c>
      <c r="J262" s="18">
        <f>VLOOKUP(E262,Katalog!$C$3:$F$13,2,0)</f>
        <v>150000</v>
      </c>
      <c r="K262" s="18">
        <f>VLOOKUP(E262,Katalog!$C$3:$F$13,3,0)</f>
        <v>55000</v>
      </c>
      <c r="L262" t="str">
        <f t="shared" si="150"/>
        <v>PU001</v>
      </c>
      <c r="M262" t="str">
        <f>IFERROR(INDEX(Katalog!$B$4:$B$13,MATCH('Main Data'!L262,Katalog!$C$4:$C$13,0)), "-")</f>
        <v>Jaket Hoodie</v>
      </c>
      <c r="N262" t="str">
        <f>IFERROR(VLOOKUP(L262,Katalog!$A$15:$B$25,2,0),"-")</f>
        <v>Pakaian Unisex</v>
      </c>
      <c r="O262" t="str">
        <f t="shared" si="151"/>
        <v>1</v>
      </c>
      <c r="P262" t="str">
        <f t="shared" si="152"/>
        <v>3</v>
      </c>
      <c r="Q262" s="18">
        <f>IFERROR(VLOOKUP(L262,Katalog!$C$3:$F$13,2,0),0)</f>
        <v>160000</v>
      </c>
      <c r="R262" s="18">
        <f>IFERROR(VLOOKUP(L262,Katalog!$C$3:$F$13,3,0),0)</f>
        <v>60000</v>
      </c>
      <c r="S262" t="str">
        <f t="shared" si="153"/>
        <v>-</v>
      </c>
      <c r="T262" t="str">
        <f>IFERROR(INDEX(Katalog!$B$4:$B$13,MATCH('Main Data'!S262,Katalog!$C$4:$C$13,0)),"-")</f>
        <v>-</v>
      </c>
      <c r="U262" t="str">
        <f>IFERROR(VLOOKUP(S262,Katalog!$A$15:$B$25,2,0),"-")</f>
        <v>-</v>
      </c>
      <c r="V262">
        <f t="shared" si="154"/>
        <v>0</v>
      </c>
      <c r="W262" s="28" t="str">
        <f t="shared" si="155"/>
        <v>-</v>
      </c>
      <c r="X262" s="18">
        <f>IFERROR(VLOOKUP(S262,Katalog!$C$3:$F$13,2,0),0)</f>
        <v>0</v>
      </c>
      <c r="Y262" s="30">
        <f>IFERROR(VLOOKUP(S262,Katalog!$C$3:$F$13,3,0),0)</f>
        <v>0</v>
      </c>
      <c r="Z262" s="2">
        <f t="shared" si="156"/>
        <v>2</v>
      </c>
      <c r="AA262" s="4">
        <f t="shared" si="157"/>
        <v>310000</v>
      </c>
      <c r="AB262" s="4">
        <f t="shared" si="158"/>
        <v>115000</v>
      </c>
      <c r="AC262" s="4" t="s">
        <v>31</v>
      </c>
      <c r="AD262" s="16">
        <f>IFERROR(VLOOKUP(AC262,'Kode Diskon'!$C$2:$D$9,2,0),0)</f>
        <v>0.15</v>
      </c>
      <c r="AE262" s="31">
        <f t="shared" si="159"/>
        <v>46500</v>
      </c>
      <c r="AF262" s="31">
        <f t="shared" si="160"/>
        <v>263500</v>
      </c>
      <c r="AG262" s="31">
        <f t="shared" si="161"/>
        <v>195000</v>
      </c>
      <c r="AH262" s="31">
        <f t="shared" si="162"/>
        <v>148500</v>
      </c>
      <c r="AI262" s="4" t="s">
        <v>8</v>
      </c>
      <c r="AJ262" s="4" t="s">
        <v>11</v>
      </c>
      <c r="AK262" s="4" t="str">
        <f>IFERROR(VLOOKUP(AJ262,'Guide '!$A$13:$B$16,2,0),"-")</f>
        <v>BL</v>
      </c>
      <c r="AL262" s="4" t="s">
        <v>923</v>
      </c>
      <c r="AM262" s="40">
        <v>45388</v>
      </c>
      <c r="AN262">
        <f t="shared" si="163"/>
        <v>29</v>
      </c>
      <c r="AO262">
        <f t="shared" si="164"/>
        <v>32</v>
      </c>
      <c r="AP262">
        <f t="shared" si="165"/>
        <v>40</v>
      </c>
      <c r="AQ262">
        <f t="shared" si="166"/>
        <v>43</v>
      </c>
      <c r="AR262" s="26">
        <f t="shared" si="167"/>
        <v>56</v>
      </c>
      <c r="AS262" s="26">
        <f t="shared" si="168"/>
        <v>63</v>
      </c>
      <c r="AT262" s="21">
        <f t="shared" si="169"/>
        <v>12</v>
      </c>
      <c r="AU262" s="21">
        <f t="shared" si="170"/>
        <v>19</v>
      </c>
      <c r="AV262">
        <f t="shared" si="171"/>
        <v>73</v>
      </c>
      <c r="AW262">
        <f t="shared" si="172"/>
        <v>76</v>
      </c>
      <c r="AX262">
        <f t="shared" si="173"/>
        <v>84</v>
      </c>
      <c r="AY262">
        <f t="shared" si="174"/>
        <v>87</v>
      </c>
      <c r="AZ262" t="str">
        <f t="shared" si="175"/>
        <v>-</v>
      </c>
      <c r="BA262" t="str">
        <f t="shared" si="176"/>
        <v>-</v>
      </c>
      <c r="BB262" t="str">
        <f t="shared" si="177"/>
        <v>-</v>
      </c>
      <c r="BC262" t="str">
        <f t="shared" si="178"/>
        <v>-</v>
      </c>
      <c r="BD262" s="29" t="str">
        <f t="shared" si="179"/>
        <v>-</v>
      </c>
      <c r="BE262" s="29" t="str">
        <f t="shared" si="180"/>
        <v>-</v>
      </c>
    </row>
    <row r="263" spans="1:57" ht="15" x14ac:dyDescent="0.2">
      <c r="A263" s="2">
        <v>218</v>
      </c>
      <c r="B263" s="2" t="str">
        <f t="shared" si="145"/>
        <v>0218</v>
      </c>
      <c r="C263" t="str">
        <f t="shared" si="146"/>
        <v>ORD-SP-0218-06/04/24</v>
      </c>
      <c r="D263" s="3" t="s">
        <v>286</v>
      </c>
      <c r="E263" t="str">
        <f t="shared" si="147"/>
        <v>SP002</v>
      </c>
      <c r="F263" t="str">
        <f>INDEX(Katalog!$B$4:$B$13,MATCH('Main Data'!E263,Katalog!$C$4:$C$13,0))</f>
        <v>Sandal Slip On</v>
      </c>
      <c r="G263" t="str">
        <f>VLOOKUP(E263,Katalog!$A$15:$B$25,2,0)</f>
        <v>Sepatu Pria</v>
      </c>
      <c r="H263" t="str">
        <f t="shared" si="148"/>
        <v>3</v>
      </c>
      <c r="I263" t="str">
        <f t="shared" si="149"/>
        <v>1</v>
      </c>
      <c r="J263" s="18">
        <f>VLOOKUP(E263,Katalog!$C$3:$F$13,2,0)</f>
        <v>120000</v>
      </c>
      <c r="K263" s="18">
        <f>VLOOKUP(E263,Katalog!$C$3:$F$13,3,0)</f>
        <v>60000</v>
      </c>
      <c r="L263" t="str">
        <f t="shared" si="150"/>
        <v>PP002</v>
      </c>
      <c r="M263" t="str">
        <f>IFERROR(INDEX(Katalog!$B$4:$B$13,MATCH('Main Data'!L263,Katalog!$C$4:$C$13,0)), "-")</f>
        <v>Celana Pendek</v>
      </c>
      <c r="N263" t="str">
        <f>IFERROR(VLOOKUP(L263,Katalog!$A$15:$B$25,2,0),"-")</f>
        <v>Pakaian Pria</v>
      </c>
      <c r="O263" t="str">
        <f t="shared" si="151"/>
        <v>2</v>
      </c>
      <c r="P263" t="str">
        <f t="shared" si="152"/>
        <v>4</v>
      </c>
      <c r="Q263" s="18">
        <f>IFERROR(VLOOKUP(L263,Katalog!$C$3:$F$13,2,0),0)</f>
        <v>60000</v>
      </c>
      <c r="R263" s="18">
        <f>IFERROR(VLOOKUP(L263,Katalog!$C$3:$F$13,3,0),0)</f>
        <v>25000</v>
      </c>
      <c r="S263" t="str">
        <f t="shared" si="153"/>
        <v>-</v>
      </c>
      <c r="T263" t="str">
        <f>IFERROR(INDEX(Katalog!$B$4:$B$13,MATCH('Main Data'!S263,Katalog!$C$4:$C$13,0)),"-")</f>
        <v>-</v>
      </c>
      <c r="U263" t="str">
        <f>IFERROR(VLOOKUP(S263,Katalog!$A$15:$B$25,2,0),"-")</f>
        <v>-</v>
      </c>
      <c r="V263">
        <f t="shared" si="154"/>
        <v>0</v>
      </c>
      <c r="W263" s="28" t="str">
        <f t="shared" si="155"/>
        <v>-</v>
      </c>
      <c r="X263" s="18">
        <f>IFERROR(VLOOKUP(S263,Katalog!$C$3:$F$13,2,0),0)</f>
        <v>0</v>
      </c>
      <c r="Y263" s="30">
        <f>IFERROR(VLOOKUP(S263,Katalog!$C$3:$F$13,3,0),0)</f>
        <v>0</v>
      </c>
      <c r="Z263" s="2">
        <f t="shared" si="156"/>
        <v>5</v>
      </c>
      <c r="AA263" s="4">
        <f t="shared" si="157"/>
        <v>480000</v>
      </c>
      <c r="AB263" s="4">
        <f t="shared" si="158"/>
        <v>230000</v>
      </c>
      <c r="AC263" s="4" t="s">
        <v>12</v>
      </c>
      <c r="AD263" s="16">
        <f>IFERROR(VLOOKUP(AC263,'Kode Diskon'!$C$2:$D$9,2,0),0)</f>
        <v>0.15</v>
      </c>
      <c r="AE263" s="31">
        <f t="shared" si="159"/>
        <v>72000</v>
      </c>
      <c r="AF263" s="31">
        <f t="shared" si="160"/>
        <v>408000</v>
      </c>
      <c r="AG263" s="31">
        <f t="shared" si="161"/>
        <v>250000</v>
      </c>
      <c r="AH263" s="31">
        <f t="shared" si="162"/>
        <v>178000</v>
      </c>
      <c r="AI263" s="4" t="s">
        <v>28</v>
      </c>
      <c r="AJ263" s="4" t="s">
        <v>6</v>
      </c>
      <c r="AK263" s="4" t="str">
        <f>IFERROR(VLOOKUP(AJ263,'Guide '!$A$13:$B$16,2,0),"-")</f>
        <v>SP</v>
      </c>
      <c r="AL263" s="4" t="s">
        <v>924</v>
      </c>
      <c r="AM263" s="40">
        <v>45388</v>
      </c>
      <c r="AN263">
        <f t="shared" si="163"/>
        <v>29</v>
      </c>
      <c r="AO263">
        <f t="shared" si="164"/>
        <v>32</v>
      </c>
      <c r="AP263">
        <f t="shared" si="165"/>
        <v>40</v>
      </c>
      <c r="AQ263">
        <f t="shared" si="166"/>
        <v>43</v>
      </c>
      <c r="AR263" s="26">
        <f t="shared" si="167"/>
        <v>56</v>
      </c>
      <c r="AS263" s="26">
        <f t="shared" si="168"/>
        <v>63</v>
      </c>
      <c r="AT263" s="21">
        <f t="shared" si="169"/>
        <v>12</v>
      </c>
      <c r="AU263" s="21">
        <f t="shared" si="170"/>
        <v>19</v>
      </c>
      <c r="AV263">
        <f t="shared" si="171"/>
        <v>73</v>
      </c>
      <c r="AW263">
        <f t="shared" si="172"/>
        <v>76</v>
      </c>
      <c r="AX263">
        <f t="shared" si="173"/>
        <v>84</v>
      </c>
      <c r="AY263">
        <f t="shared" si="174"/>
        <v>87</v>
      </c>
      <c r="AZ263" t="str">
        <f t="shared" si="175"/>
        <v>-</v>
      </c>
      <c r="BA263" t="str">
        <f t="shared" si="176"/>
        <v>-</v>
      </c>
      <c r="BB263" t="str">
        <f t="shared" si="177"/>
        <v>-</v>
      </c>
      <c r="BC263" t="str">
        <f t="shared" si="178"/>
        <v>-</v>
      </c>
      <c r="BD263" s="29" t="str">
        <f t="shared" si="179"/>
        <v>-</v>
      </c>
      <c r="BE263" s="29" t="str">
        <f t="shared" si="180"/>
        <v>-</v>
      </c>
    </row>
    <row r="264" spans="1:57" ht="15" x14ac:dyDescent="0.2">
      <c r="A264" s="2">
        <v>253</v>
      </c>
      <c r="B264" s="2" t="str">
        <f t="shared" si="145"/>
        <v>0253</v>
      </c>
      <c r="C264" t="str">
        <f t="shared" si="146"/>
        <v>ORD-TK-0253-06/04/24</v>
      </c>
      <c r="D264" s="3" t="s">
        <v>318</v>
      </c>
      <c r="E264" t="str">
        <f t="shared" si="147"/>
        <v>SP001</v>
      </c>
      <c r="F264" t="str">
        <f>INDEX(Katalog!$B$4:$B$13,MATCH('Main Data'!E264,Katalog!$C$4:$C$13,0))</f>
        <v>Sneakers</v>
      </c>
      <c r="G264" t="str">
        <f>VLOOKUP(E264,Katalog!$A$15:$B$25,2,0)</f>
        <v>Sepatu Pria</v>
      </c>
      <c r="H264" t="str">
        <f t="shared" si="148"/>
        <v>4</v>
      </c>
      <c r="I264" t="str">
        <f t="shared" si="149"/>
        <v>1</v>
      </c>
      <c r="J264" s="18">
        <f>VLOOKUP(E264,Katalog!$C$3:$F$13,2,0)</f>
        <v>300000</v>
      </c>
      <c r="K264" s="18">
        <f>VLOOKUP(E264,Katalog!$C$3:$F$13,3,0)</f>
        <v>100000</v>
      </c>
      <c r="L264" t="str">
        <f t="shared" si="150"/>
        <v>SP002</v>
      </c>
      <c r="M264" t="str">
        <f>IFERROR(INDEX(Katalog!$B$4:$B$13,MATCH('Main Data'!L264,Katalog!$C$4:$C$13,0)), "-")</f>
        <v>Sandal Slip On</v>
      </c>
      <c r="N264" t="str">
        <f>IFERROR(VLOOKUP(L264,Katalog!$A$15:$B$25,2,0),"-")</f>
        <v>Sepatu Pria</v>
      </c>
      <c r="O264" t="str">
        <f t="shared" si="151"/>
        <v>2</v>
      </c>
      <c r="P264" t="str">
        <f t="shared" si="152"/>
        <v>5</v>
      </c>
      <c r="Q264" s="18">
        <f>IFERROR(VLOOKUP(L264,Katalog!$C$3:$F$13,2,0),0)</f>
        <v>120000</v>
      </c>
      <c r="R264" s="18">
        <f>IFERROR(VLOOKUP(L264,Katalog!$C$3:$F$13,3,0),0)</f>
        <v>60000</v>
      </c>
      <c r="S264" t="str">
        <f t="shared" si="153"/>
        <v>-</v>
      </c>
      <c r="T264" t="str">
        <f>IFERROR(INDEX(Katalog!$B$4:$B$13,MATCH('Main Data'!S264,Katalog!$C$4:$C$13,0)),"-")</f>
        <v>-</v>
      </c>
      <c r="U264" t="str">
        <f>IFERROR(VLOOKUP(S264,Katalog!$A$15:$B$25,2,0),"-")</f>
        <v>-</v>
      </c>
      <c r="V264">
        <f t="shared" si="154"/>
        <v>0</v>
      </c>
      <c r="W264" s="28" t="str">
        <f t="shared" si="155"/>
        <v>-</v>
      </c>
      <c r="X264" s="18">
        <f>IFERROR(VLOOKUP(S264,Katalog!$C$3:$F$13,2,0),0)</f>
        <v>0</v>
      </c>
      <c r="Y264" s="30">
        <f>IFERROR(VLOOKUP(S264,Katalog!$C$3:$F$13,3,0),0)</f>
        <v>0</v>
      </c>
      <c r="Z264" s="2">
        <f t="shared" si="156"/>
        <v>6</v>
      </c>
      <c r="AA264" s="4">
        <f t="shared" si="157"/>
        <v>1440000</v>
      </c>
      <c r="AB264" s="4">
        <f t="shared" si="158"/>
        <v>520000</v>
      </c>
      <c r="AC264" s="4" t="s">
        <v>30</v>
      </c>
      <c r="AD264" s="16">
        <f>IFERROR(VLOOKUP(AC264,'Kode Diskon'!$C$2:$D$9,2,0),0)</f>
        <v>0.1</v>
      </c>
      <c r="AE264" s="31">
        <f t="shared" si="159"/>
        <v>144000</v>
      </c>
      <c r="AF264" s="31">
        <f t="shared" si="160"/>
        <v>1296000</v>
      </c>
      <c r="AG264" s="31">
        <f t="shared" si="161"/>
        <v>920000</v>
      </c>
      <c r="AH264" s="31">
        <f t="shared" si="162"/>
        <v>776000</v>
      </c>
      <c r="AI264" s="4" t="s">
        <v>8</v>
      </c>
      <c r="AJ264" s="4" t="s">
        <v>9</v>
      </c>
      <c r="AK264" s="4" t="str">
        <f>IFERROR(VLOOKUP(AJ264,'Guide '!$A$13:$B$16,2,0),"-")</f>
        <v>TK</v>
      </c>
      <c r="AL264" s="4" t="s">
        <v>921</v>
      </c>
      <c r="AM264" s="40">
        <v>45388</v>
      </c>
      <c r="AN264">
        <f t="shared" si="163"/>
        <v>29</v>
      </c>
      <c r="AO264">
        <f t="shared" si="164"/>
        <v>32</v>
      </c>
      <c r="AP264">
        <f t="shared" si="165"/>
        <v>40</v>
      </c>
      <c r="AQ264">
        <f t="shared" si="166"/>
        <v>43</v>
      </c>
      <c r="AR264" s="26">
        <f t="shared" si="167"/>
        <v>56</v>
      </c>
      <c r="AS264" s="26">
        <f t="shared" si="168"/>
        <v>63</v>
      </c>
      <c r="AT264" s="21">
        <f t="shared" si="169"/>
        <v>12</v>
      </c>
      <c r="AU264" s="21">
        <f t="shared" si="170"/>
        <v>19</v>
      </c>
      <c r="AV264">
        <f t="shared" si="171"/>
        <v>73</v>
      </c>
      <c r="AW264">
        <f t="shared" si="172"/>
        <v>76</v>
      </c>
      <c r="AX264">
        <f t="shared" si="173"/>
        <v>84</v>
      </c>
      <c r="AY264">
        <f t="shared" si="174"/>
        <v>87</v>
      </c>
      <c r="AZ264" t="str">
        <f t="shared" si="175"/>
        <v>-</v>
      </c>
      <c r="BA264" t="str">
        <f t="shared" si="176"/>
        <v>-</v>
      </c>
      <c r="BB264" t="str">
        <f t="shared" si="177"/>
        <v>-</v>
      </c>
      <c r="BC264" t="str">
        <f t="shared" si="178"/>
        <v>-</v>
      </c>
      <c r="BD264" s="29" t="str">
        <f t="shared" si="179"/>
        <v>-</v>
      </c>
      <c r="BE264" s="29" t="str">
        <f t="shared" si="180"/>
        <v>-</v>
      </c>
    </row>
    <row r="265" spans="1:57" ht="15" x14ac:dyDescent="0.2">
      <c r="A265" s="2">
        <v>277</v>
      </c>
      <c r="B265" s="2" t="str">
        <f t="shared" si="145"/>
        <v>0277</v>
      </c>
      <c r="C265" t="str">
        <f t="shared" si="146"/>
        <v>ORD-BL-0277-06/04/24</v>
      </c>
      <c r="D265" s="3" t="s">
        <v>137</v>
      </c>
      <c r="E265" t="str">
        <f t="shared" si="147"/>
        <v>PW002</v>
      </c>
      <c r="F265" t="str">
        <f>INDEX(Katalog!$B$4:$B$13,MATCH('Main Data'!E265,Katalog!$C$4:$C$13,0))</f>
        <v>Blouse</v>
      </c>
      <c r="G265" t="str">
        <f>VLOOKUP(E265,Katalog!$A$15:$B$25,2,0)</f>
        <v>Pakaian Wanita</v>
      </c>
      <c r="H265" t="str">
        <f t="shared" si="148"/>
        <v>2</v>
      </c>
      <c r="I265" t="str">
        <f t="shared" si="149"/>
        <v>5</v>
      </c>
      <c r="J265" s="18">
        <f>VLOOKUP(E265,Katalog!$C$3:$F$13,2,0)</f>
        <v>125000</v>
      </c>
      <c r="K265" s="18">
        <f>VLOOKUP(E265,Katalog!$C$3:$F$13,3,0)</f>
        <v>50000</v>
      </c>
      <c r="L265" t="str">
        <f t="shared" si="150"/>
        <v>-</v>
      </c>
      <c r="M265" t="str">
        <f>IFERROR(INDEX(Katalog!$B$4:$B$13,MATCH('Main Data'!L265,Katalog!$C$4:$C$13,0)), "-")</f>
        <v>-</v>
      </c>
      <c r="N265" t="str">
        <f>IFERROR(VLOOKUP(L265,Katalog!$A$15:$B$25,2,0),"-")</f>
        <v>-</v>
      </c>
      <c r="O265">
        <f t="shared" si="151"/>
        <v>0</v>
      </c>
      <c r="P265" t="str">
        <f t="shared" si="152"/>
        <v>-</v>
      </c>
      <c r="Q265" s="18">
        <f>IFERROR(VLOOKUP(L265,Katalog!$C$3:$F$13,2,0),0)</f>
        <v>0</v>
      </c>
      <c r="R265" s="18">
        <f>IFERROR(VLOOKUP(L265,Katalog!$C$3:$F$13,3,0),0)</f>
        <v>0</v>
      </c>
      <c r="S265" t="str">
        <f t="shared" si="153"/>
        <v>-</v>
      </c>
      <c r="T265" t="str">
        <f>IFERROR(INDEX(Katalog!$B$4:$B$13,MATCH('Main Data'!S265,Katalog!$C$4:$C$13,0)),"-")</f>
        <v>-</v>
      </c>
      <c r="U265" t="str">
        <f>IFERROR(VLOOKUP(S265,Katalog!$A$15:$B$25,2,0),"-")</f>
        <v>-</v>
      </c>
      <c r="V265">
        <f t="shared" si="154"/>
        <v>0</v>
      </c>
      <c r="W265" s="28" t="str">
        <f t="shared" si="155"/>
        <v>-</v>
      </c>
      <c r="X265" s="18">
        <f>IFERROR(VLOOKUP(S265,Katalog!$C$3:$F$13,2,0),0)</f>
        <v>0</v>
      </c>
      <c r="Y265" s="30">
        <f>IFERROR(VLOOKUP(S265,Katalog!$C$3:$F$13,3,0),0)</f>
        <v>0</v>
      </c>
      <c r="Z265" s="2">
        <f t="shared" si="156"/>
        <v>2</v>
      </c>
      <c r="AA265" s="4">
        <f t="shared" si="157"/>
        <v>250000</v>
      </c>
      <c r="AB265" s="4">
        <f t="shared" si="158"/>
        <v>100000</v>
      </c>
      <c r="AC265" s="4" t="s">
        <v>31</v>
      </c>
      <c r="AD265" s="16">
        <f>IFERROR(VLOOKUP(AC265,'Kode Diskon'!$C$2:$D$9,2,0),0)</f>
        <v>0.15</v>
      </c>
      <c r="AE265" s="31">
        <f t="shared" si="159"/>
        <v>37500</v>
      </c>
      <c r="AF265" s="31">
        <f t="shared" si="160"/>
        <v>212500</v>
      </c>
      <c r="AG265" s="31">
        <f t="shared" si="161"/>
        <v>150000</v>
      </c>
      <c r="AH265" s="31">
        <f t="shared" si="162"/>
        <v>112500</v>
      </c>
      <c r="AI265" s="4" t="s">
        <v>8</v>
      </c>
      <c r="AJ265" s="4" t="s">
        <v>11</v>
      </c>
      <c r="AK265" s="4" t="str">
        <f>IFERROR(VLOOKUP(AJ265,'Guide '!$A$13:$B$16,2,0),"-")</f>
        <v>BL</v>
      </c>
      <c r="AL265" s="4" t="s">
        <v>925</v>
      </c>
      <c r="AM265" s="40">
        <v>45388</v>
      </c>
      <c r="AN265">
        <f t="shared" si="163"/>
        <v>29</v>
      </c>
      <c r="AO265">
        <f t="shared" si="164"/>
        <v>32</v>
      </c>
      <c r="AP265">
        <f t="shared" si="165"/>
        <v>40</v>
      </c>
      <c r="AQ265">
        <f t="shared" si="166"/>
        <v>43</v>
      </c>
      <c r="AR265" s="26" t="str">
        <f t="shared" si="167"/>
        <v>-</v>
      </c>
      <c r="AS265" s="26" t="str">
        <f t="shared" si="168"/>
        <v>-</v>
      </c>
      <c r="AT265" s="21">
        <f t="shared" si="169"/>
        <v>12</v>
      </c>
      <c r="AU265" s="21">
        <f t="shared" si="170"/>
        <v>19</v>
      </c>
      <c r="AV265" t="str">
        <f t="shared" si="171"/>
        <v>-</v>
      </c>
      <c r="AW265" t="str">
        <f t="shared" si="172"/>
        <v>-</v>
      </c>
      <c r="AX265" t="str">
        <f t="shared" si="173"/>
        <v>-</v>
      </c>
      <c r="AY265" t="str">
        <f t="shared" si="174"/>
        <v>-</v>
      </c>
      <c r="AZ265" t="str">
        <f t="shared" si="175"/>
        <v>-</v>
      </c>
      <c r="BA265" t="str">
        <f t="shared" si="176"/>
        <v>-</v>
      </c>
      <c r="BB265" t="str">
        <f t="shared" si="177"/>
        <v>-</v>
      </c>
      <c r="BC265" t="str">
        <f t="shared" si="178"/>
        <v>-</v>
      </c>
      <c r="BD265" s="29" t="str">
        <f t="shared" si="179"/>
        <v>-</v>
      </c>
      <c r="BE265" s="29" t="str">
        <f t="shared" si="180"/>
        <v>-</v>
      </c>
    </row>
    <row r="266" spans="1:57" ht="15" x14ac:dyDescent="0.2">
      <c r="A266" s="2">
        <v>546</v>
      </c>
      <c r="B266" s="2" t="str">
        <f t="shared" si="145"/>
        <v>0546</v>
      </c>
      <c r="C266" t="str">
        <f t="shared" si="146"/>
        <v>ORD-BL-0546-06/04/24</v>
      </c>
      <c r="D266" s="3" t="s">
        <v>570</v>
      </c>
      <c r="E266" t="str">
        <f t="shared" si="147"/>
        <v>PU001</v>
      </c>
      <c r="F266" t="str">
        <f>INDEX(Katalog!$B$4:$B$13,MATCH('Main Data'!E266,Katalog!$C$4:$C$13,0))</f>
        <v>Jaket Hoodie</v>
      </c>
      <c r="G266" t="str">
        <f>VLOOKUP(E266,Katalog!$A$15:$B$25,2,0)</f>
        <v>Pakaian Unisex</v>
      </c>
      <c r="H266" t="str">
        <f t="shared" si="148"/>
        <v>1</v>
      </c>
      <c r="I266" t="str">
        <f t="shared" si="149"/>
        <v>4</v>
      </c>
      <c r="J266" s="18">
        <f>VLOOKUP(E266,Katalog!$C$3:$F$13,2,0)</f>
        <v>160000</v>
      </c>
      <c r="K266" s="18">
        <f>VLOOKUP(E266,Katalog!$C$3:$F$13,3,0)</f>
        <v>60000</v>
      </c>
      <c r="L266" t="str">
        <f t="shared" si="150"/>
        <v>PP002</v>
      </c>
      <c r="M266" t="str">
        <f>IFERROR(INDEX(Katalog!$B$4:$B$13,MATCH('Main Data'!L266,Katalog!$C$4:$C$13,0)), "-")</f>
        <v>Celana Pendek</v>
      </c>
      <c r="N266" t="str">
        <f>IFERROR(VLOOKUP(L266,Katalog!$A$15:$B$25,2,0),"-")</f>
        <v>Pakaian Pria</v>
      </c>
      <c r="O266" t="str">
        <f t="shared" si="151"/>
        <v>2</v>
      </c>
      <c r="P266" t="str">
        <f t="shared" si="152"/>
        <v>3</v>
      </c>
      <c r="Q266" s="18">
        <f>IFERROR(VLOOKUP(L266,Katalog!$C$3:$F$13,2,0),0)</f>
        <v>60000</v>
      </c>
      <c r="R266" s="18">
        <f>IFERROR(VLOOKUP(L266,Katalog!$C$3:$F$13,3,0),0)</f>
        <v>25000</v>
      </c>
      <c r="S266" t="str">
        <f t="shared" si="153"/>
        <v>-</v>
      </c>
      <c r="T266" t="str">
        <f>IFERROR(INDEX(Katalog!$B$4:$B$13,MATCH('Main Data'!S266,Katalog!$C$4:$C$13,0)),"-")</f>
        <v>-</v>
      </c>
      <c r="U266" t="str">
        <f>IFERROR(VLOOKUP(S266,Katalog!$A$15:$B$25,2,0),"-")</f>
        <v>-</v>
      </c>
      <c r="V266">
        <f t="shared" si="154"/>
        <v>0</v>
      </c>
      <c r="W266" s="28" t="str">
        <f t="shared" si="155"/>
        <v>-</v>
      </c>
      <c r="X266" s="18">
        <f>IFERROR(VLOOKUP(S266,Katalog!$C$3:$F$13,2,0),0)</f>
        <v>0</v>
      </c>
      <c r="Y266" s="30">
        <f>IFERROR(VLOOKUP(S266,Katalog!$C$3:$F$13,3,0),0)</f>
        <v>0</v>
      </c>
      <c r="Z266" s="2">
        <f t="shared" si="156"/>
        <v>3</v>
      </c>
      <c r="AA266" s="4">
        <f t="shared" si="157"/>
        <v>280000</v>
      </c>
      <c r="AB266" s="4">
        <f t="shared" si="158"/>
        <v>110000</v>
      </c>
      <c r="AC266" s="4" t="s">
        <v>10</v>
      </c>
      <c r="AD266" s="16">
        <f>IFERROR(VLOOKUP(AC266,'Kode Diskon'!$C$2:$D$9,2,0),0)</f>
        <v>0</v>
      </c>
      <c r="AE266" s="31">
        <f t="shared" si="159"/>
        <v>0</v>
      </c>
      <c r="AF266" s="31">
        <f t="shared" si="160"/>
        <v>280000</v>
      </c>
      <c r="AG266" s="31">
        <f t="shared" si="161"/>
        <v>170000</v>
      </c>
      <c r="AH266" s="31">
        <f t="shared" si="162"/>
        <v>170000</v>
      </c>
      <c r="AI266" s="4" t="s">
        <v>10</v>
      </c>
      <c r="AJ266" s="4" t="s">
        <v>11</v>
      </c>
      <c r="AK266" s="4" t="str">
        <f>IFERROR(VLOOKUP(AJ266,'Guide '!$A$13:$B$16,2,0),"-")</f>
        <v>BL</v>
      </c>
      <c r="AL266" s="4" t="s">
        <v>921</v>
      </c>
      <c r="AM266" s="40">
        <v>45388</v>
      </c>
      <c r="AN266">
        <f t="shared" si="163"/>
        <v>29</v>
      </c>
      <c r="AO266">
        <f t="shared" si="164"/>
        <v>32</v>
      </c>
      <c r="AP266">
        <f t="shared" si="165"/>
        <v>40</v>
      </c>
      <c r="AQ266">
        <f t="shared" si="166"/>
        <v>43</v>
      </c>
      <c r="AR266" s="26">
        <f t="shared" si="167"/>
        <v>56</v>
      </c>
      <c r="AS266" s="26">
        <f t="shared" si="168"/>
        <v>63</v>
      </c>
      <c r="AT266" s="21">
        <f t="shared" si="169"/>
        <v>12</v>
      </c>
      <c r="AU266" s="21">
        <f t="shared" si="170"/>
        <v>19</v>
      </c>
      <c r="AV266">
        <f t="shared" si="171"/>
        <v>73</v>
      </c>
      <c r="AW266">
        <f t="shared" si="172"/>
        <v>76</v>
      </c>
      <c r="AX266">
        <f t="shared" si="173"/>
        <v>84</v>
      </c>
      <c r="AY266">
        <f t="shared" si="174"/>
        <v>87</v>
      </c>
      <c r="AZ266" t="str">
        <f t="shared" si="175"/>
        <v>-</v>
      </c>
      <c r="BA266" t="str">
        <f t="shared" si="176"/>
        <v>-</v>
      </c>
      <c r="BB266" t="str">
        <f t="shared" si="177"/>
        <v>-</v>
      </c>
      <c r="BC266" t="str">
        <f t="shared" si="178"/>
        <v>-</v>
      </c>
      <c r="BD266" s="29" t="str">
        <f t="shared" si="179"/>
        <v>-</v>
      </c>
      <c r="BE266" s="29" t="str">
        <f t="shared" si="180"/>
        <v>-</v>
      </c>
    </row>
    <row r="267" spans="1:57" ht="15" x14ac:dyDescent="0.2">
      <c r="A267" s="2">
        <v>111</v>
      </c>
      <c r="B267" s="2" t="str">
        <f t="shared" si="145"/>
        <v>0111</v>
      </c>
      <c r="C267" t="str">
        <f t="shared" si="146"/>
        <v>ORD-BL-0111-07/04/24</v>
      </c>
      <c r="D267" s="3" t="s">
        <v>183</v>
      </c>
      <c r="E267" t="str">
        <f t="shared" si="147"/>
        <v>PP003</v>
      </c>
      <c r="F267" t="str">
        <f>INDEX(Katalog!$B$4:$B$13,MATCH('Main Data'!E267,Katalog!$C$4:$C$13,0))</f>
        <v>Jaket Jeans</v>
      </c>
      <c r="G267" t="str">
        <f>VLOOKUP(E267,Katalog!$A$15:$B$25,2,0)</f>
        <v>Pakaian Pria</v>
      </c>
      <c r="H267" t="str">
        <f t="shared" si="148"/>
        <v>3</v>
      </c>
      <c r="I267" t="str">
        <f t="shared" si="149"/>
        <v>4</v>
      </c>
      <c r="J267" s="18">
        <f>VLOOKUP(E267,Katalog!$C$3:$F$13,2,0)</f>
        <v>150000</v>
      </c>
      <c r="K267" s="18">
        <f>VLOOKUP(E267,Katalog!$C$3:$F$13,3,0)</f>
        <v>70000</v>
      </c>
      <c r="L267" t="str">
        <f t="shared" si="150"/>
        <v>PP001</v>
      </c>
      <c r="M267" t="str">
        <f>IFERROR(INDEX(Katalog!$B$4:$B$13,MATCH('Main Data'!L267,Katalog!$C$4:$C$13,0)), "-")</f>
        <v>Kaos Polo</v>
      </c>
      <c r="N267" t="str">
        <f>IFERROR(VLOOKUP(L267,Katalog!$A$15:$B$25,2,0),"-")</f>
        <v>Pakaian Pria</v>
      </c>
      <c r="O267" t="str">
        <f t="shared" si="151"/>
        <v>2</v>
      </c>
      <c r="P267" t="str">
        <f t="shared" si="152"/>
        <v>5</v>
      </c>
      <c r="Q267" s="18">
        <f>IFERROR(VLOOKUP(L267,Katalog!$C$3:$F$13,2,0),0)</f>
        <v>80000</v>
      </c>
      <c r="R267" s="18">
        <f>IFERROR(VLOOKUP(L267,Katalog!$C$3:$F$13,3,0),0)</f>
        <v>30000</v>
      </c>
      <c r="S267" t="str">
        <f t="shared" si="153"/>
        <v>SP001</v>
      </c>
      <c r="T267" t="str">
        <f>IFERROR(INDEX(Katalog!$B$4:$B$13,MATCH('Main Data'!S267,Katalog!$C$4:$C$13,0)),"-")</f>
        <v>Sneakers</v>
      </c>
      <c r="U267" t="str">
        <f>IFERROR(VLOOKUP(S267,Katalog!$A$15:$B$25,2,0),"-")</f>
        <v>Sepatu Pria</v>
      </c>
      <c r="V267" t="str">
        <f t="shared" si="154"/>
        <v>1</v>
      </c>
      <c r="W267" s="28" t="str">
        <f t="shared" si="155"/>
        <v>5</v>
      </c>
      <c r="X267" s="18">
        <f>IFERROR(VLOOKUP(S267,Katalog!$C$3:$F$13,2,0),0)</f>
        <v>300000</v>
      </c>
      <c r="Y267" s="30">
        <f>IFERROR(VLOOKUP(S267,Katalog!$C$3:$F$13,3,0),0)</f>
        <v>100000</v>
      </c>
      <c r="Z267" s="2">
        <f t="shared" si="156"/>
        <v>6</v>
      </c>
      <c r="AA267" s="4">
        <f t="shared" si="157"/>
        <v>910000</v>
      </c>
      <c r="AB267" s="4">
        <f t="shared" si="158"/>
        <v>370000</v>
      </c>
      <c r="AC267" s="4" t="s">
        <v>10</v>
      </c>
      <c r="AD267" s="16">
        <f>IFERROR(VLOOKUP(AC267,'Kode Diskon'!$C$2:$D$9,2,0),0)</f>
        <v>0</v>
      </c>
      <c r="AE267" s="31">
        <f t="shared" si="159"/>
        <v>0</v>
      </c>
      <c r="AF267" s="31">
        <f t="shared" si="160"/>
        <v>910000</v>
      </c>
      <c r="AG267" s="31">
        <f t="shared" si="161"/>
        <v>540000</v>
      </c>
      <c r="AH267" s="31">
        <f t="shared" si="162"/>
        <v>540000</v>
      </c>
      <c r="AI267" s="4" t="s">
        <v>10</v>
      </c>
      <c r="AJ267" s="4" t="s">
        <v>11</v>
      </c>
      <c r="AK267" s="4" t="str">
        <f>IFERROR(VLOOKUP(AJ267,'Guide '!$A$13:$B$16,2,0),"-")</f>
        <v>BL</v>
      </c>
      <c r="AL267" s="4" t="s">
        <v>922</v>
      </c>
      <c r="AM267" s="40">
        <v>45389</v>
      </c>
      <c r="AN267">
        <f t="shared" si="163"/>
        <v>29</v>
      </c>
      <c r="AO267">
        <f t="shared" si="164"/>
        <v>32</v>
      </c>
      <c r="AP267">
        <f t="shared" si="165"/>
        <v>40</v>
      </c>
      <c r="AQ267">
        <f t="shared" si="166"/>
        <v>43</v>
      </c>
      <c r="AR267" s="26">
        <f t="shared" si="167"/>
        <v>56</v>
      </c>
      <c r="AS267" s="26">
        <f t="shared" si="168"/>
        <v>63</v>
      </c>
      <c r="AT267" s="21">
        <f t="shared" si="169"/>
        <v>12</v>
      </c>
      <c r="AU267" s="21">
        <f t="shared" si="170"/>
        <v>19</v>
      </c>
      <c r="AV267">
        <f t="shared" si="171"/>
        <v>73</v>
      </c>
      <c r="AW267">
        <f t="shared" si="172"/>
        <v>76</v>
      </c>
      <c r="AX267">
        <f t="shared" si="173"/>
        <v>84</v>
      </c>
      <c r="AY267">
        <f t="shared" si="174"/>
        <v>87</v>
      </c>
      <c r="AZ267">
        <f t="shared" si="175"/>
        <v>100</v>
      </c>
      <c r="BA267">
        <f t="shared" si="176"/>
        <v>107</v>
      </c>
      <c r="BB267">
        <f t="shared" si="177"/>
        <v>117</v>
      </c>
      <c r="BC267">
        <f t="shared" si="178"/>
        <v>120</v>
      </c>
      <c r="BD267" s="29">
        <f t="shared" si="179"/>
        <v>128</v>
      </c>
      <c r="BE267" s="29">
        <f t="shared" si="180"/>
        <v>131</v>
      </c>
    </row>
    <row r="268" spans="1:57" ht="15" x14ac:dyDescent="0.2">
      <c r="A268" s="2">
        <v>799</v>
      </c>
      <c r="B268" s="2" t="str">
        <f t="shared" si="145"/>
        <v>0799</v>
      </c>
      <c r="C268" t="str">
        <f t="shared" si="146"/>
        <v>ORD-SP-0799-07/04/24</v>
      </c>
      <c r="D268" s="3" t="s">
        <v>766</v>
      </c>
      <c r="E268" t="str">
        <f t="shared" si="147"/>
        <v>PP003</v>
      </c>
      <c r="F268" t="str">
        <f>INDEX(Katalog!$B$4:$B$13,MATCH('Main Data'!E268,Katalog!$C$4:$C$13,0))</f>
        <v>Jaket Jeans</v>
      </c>
      <c r="G268" t="str">
        <f>VLOOKUP(E268,Katalog!$A$15:$B$25,2,0)</f>
        <v>Pakaian Pria</v>
      </c>
      <c r="H268" t="str">
        <f t="shared" si="148"/>
        <v>1</v>
      </c>
      <c r="I268" t="str">
        <f t="shared" si="149"/>
        <v>4</v>
      </c>
      <c r="J268" s="18">
        <f>VLOOKUP(E268,Katalog!$C$3:$F$13,2,0)</f>
        <v>150000</v>
      </c>
      <c r="K268" s="18">
        <f>VLOOKUP(E268,Katalog!$C$3:$F$13,3,0)</f>
        <v>70000</v>
      </c>
      <c r="L268" t="str">
        <f t="shared" si="150"/>
        <v>SP001</v>
      </c>
      <c r="M268" t="str">
        <f>IFERROR(INDEX(Katalog!$B$4:$B$13,MATCH('Main Data'!L268,Katalog!$C$4:$C$13,0)), "-")</f>
        <v>Sneakers</v>
      </c>
      <c r="N268" t="str">
        <f>IFERROR(VLOOKUP(L268,Katalog!$A$15:$B$25,2,0),"-")</f>
        <v>Sepatu Pria</v>
      </c>
      <c r="O268" t="str">
        <f t="shared" si="151"/>
        <v>1</v>
      </c>
      <c r="P268" t="str">
        <f t="shared" si="152"/>
        <v>2</v>
      </c>
      <c r="Q268" s="18">
        <f>IFERROR(VLOOKUP(L268,Katalog!$C$3:$F$13,2,0),0)</f>
        <v>300000</v>
      </c>
      <c r="R268" s="18">
        <f>IFERROR(VLOOKUP(L268,Katalog!$C$3:$F$13,3,0),0)</f>
        <v>100000</v>
      </c>
      <c r="S268" t="str">
        <f t="shared" si="153"/>
        <v>-</v>
      </c>
      <c r="T268" t="str">
        <f>IFERROR(INDEX(Katalog!$B$4:$B$13,MATCH('Main Data'!S268,Katalog!$C$4:$C$13,0)),"-")</f>
        <v>-</v>
      </c>
      <c r="U268" t="str">
        <f>IFERROR(VLOOKUP(S268,Katalog!$A$15:$B$25,2,0),"-")</f>
        <v>-</v>
      </c>
      <c r="V268">
        <f t="shared" si="154"/>
        <v>0</v>
      </c>
      <c r="W268" s="28" t="str">
        <f t="shared" si="155"/>
        <v>-</v>
      </c>
      <c r="X268" s="18">
        <f>IFERROR(VLOOKUP(S268,Katalog!$C$3:$F$13,2,0),0)</f>
        <v>0</v>
      </c>
      <c r="Y268" s="30">
        <f>IFERROR(VLOOKUP(S268,Katalog!$C$3:$F$13,3,0),0)</f>
        <v>0</v>
      </c>
      <c r="Z268" s="2">
        <f t="shared" si="156"/>
        <v>2</v>
      </c>
      <c r="AA268" s="4">
        <f t="shared" si="157"/>
        <v>450000</v>
      </c>
      <c r="AB268" s="4">
        <f t="shared" si="158"/>
        <v>170000</v>
      </c>
      <c r="AC268" s="4" t="s">
        <v>5</v>
      </c>
      <c r="AD268" s="16">
        <f>IFERROR(VLOOKUP(AC268,'Kode Diskon'!$C$2:$D$9,2,0),0)</f>
        <v>0.1</v>
      </c>
      <c r="AE268" s="31">
        <f t="shared" si="159"/>
        <v>45000</v>
      </c>
      <c r="AF268" s="31">
        <f t="shared" si="160"/>
        <v>405000</v>
      </c>
      <c r="AG268" s="31">
        <f t="shared" si="161"/>
        <v>280000</v>
      </c>
      <c r="AH268" s="31">
        <f t="shared" si="162"/>
        <v>235000</v>
      </c>
      <c r="AI268" s="4" t="s">
        <v>28</v>
      </c>
      <c r="AJ268" s="4" t="s">
        <v>6</v>
      </c>
      <c r="AK268" s="4" t="str">
        <f>IFERROR(VLOOKUP(AJ268,'Guide '!$A$13:$B$16,2,0),"-")</f>
        <v>SP</v>
      </c>
      <c r="AL268" s="4" t="s">
        <v>925</v>
      </c>
      <c r="AM268" s="40">
        <v>45389</v>
      </c>
      <c r="AN268">
        <f t="shared" si="163"/>
        <v>29</v>
      </c>
      <c r="AO268">
        <f t="shared" si="164"/>
        <v>32</v>
      </c>
      <c r="AP268">
        <f t="shared" si="165"/>
        <v>40</v>
      </c>
      <c r="AQ268">
        <f t="shared" si="166"/>
        <v>43</v>
      </c>
      <c r="AR268" s="26">
        <f t="shared" si="167"/>
        <v>56</v>
      </c>
      <c r="AS268" s="26">
        <f t="shared" si="168"/>
        <v>63</v>
      </c>
      <c r="AT268" s="21">
        <f t="shared" si="169"/>
        <v>12</v>
      </c>
      <c r="AU268" s="21">
        <f t="shared" si="170"/>
        <v>19</v>
      </c>
      <c r="AV268">
        <f t="shared" si="171"/>
        <v>73</v>
      </c>
      <c r="AW268">
        <f t="shared" si="172"/>
        <v>76</v>
      </c>
      <c r="AX268">
        <f t="shared" si="173"/>
        <v>84</v>
      </c>
      <c r="AY268">
        <f t="shared" si="174"/>
        <v>87</v>
      </c>
      <c r="AZ268" t="str">
        <f t="shared" si="175"/>
        <v>-</v>
      </c>
      <c r="BA268" t="str">
        <f t="shared" si="176"/>
        <v>-</v>
      </c>
      <c r="BB268" t="str">
        <f t="shared" si="177"/>
        <v>-</v>
      </c>
      <c r="BC268" t="str">
        <f t="shared" si="178"/>
        <v>-</v>
      </c>
      <c r="BD268" s="29" t="str">
        <f t="shared" si="179"/>
        <v>-</v>
      </c>
      <c r="BE268" s="29" t="str">
        <f t="shared" si="180"/>
        <v>-</v>
      </c>
    </row>
    <row r="269" spans="1:57" ht="15" x14ac:dyDescent="0.2">
      <c r="A269" s="2">
        <v>423</v>
      </c>
      <c r="B269" s="2" t="str">
        <f t="shared" si="145"/>
        <v>0423</v>
      </c>
      <c r="C269" t="str">
        <f t="shared" si="146"/>
        <v>ORD-SP-0423-08/04/24</v>
      </c>
      <c r="D269" s="3" t="s">
        <v>466</v>
      </c>
      <c r="E269" t="str">
        <f t="shared" si="147"/>
        <v>SW001</v>
      </c>
      <c r="F269" t="str">
        <f>INDEX(Katalog!$B$4:$B$13,MATCH('Main Data'!E269,Katalog!$C$4:$C$13,0))</f>
        <v>Flat Shoes</v>
      </c>
      <c r="G269" t="str">
        <f>VLOOKUP(E269,Katalog!$A$15:$B$25,2,0)</f>
        <v>Sepatu Wanita</v>
      </c>
      <c r="H269" t="str">
        <f t="shared" si="148"/>
        <v>1</v>
      </c>
      <c r="I269" t="str">
        <f t="shared" si="149"/>
        <v>2</v>
      </c>
      <c r="J269" s="18">
        <f>VLOOKUP(E269,Katalog!$C$3:$F$13,2,0)</f>
        <v>150000</v>
      </c>
      <c r="K269" s="18">
        <f>VLOOKUP(E269,Katalog!$C$3:$F$13,3,0)</f>
        <v>70000</v>
      </c>
      <c r="L269" t="str">
        <f t="shared" si="150"/>
        <v>SP002</v>
      </c>
      <c r="M269" t="str">
        <f>IFERROR(INDEX(Katalog!$B$4:$B$13,MATCH('Main Data'!L269,Katalog!$C$4:$C$13,0)), "-")</f>
        <v>Sandal Slip On</v>
      </c>
      <c r="N269" t="str">
        <f>IFERROR(VLOOKUP(L269,Katalog!$A$15:$B$25,2,0),"-")</f>
        <v>Sepatu Pria</v>
      </c>
      <c r="O269" t="str">
        <f t="shared" si="151"/>
        <v>1</v>
      </c>
      <c r="P269" t="str">
        <f t="shared" si="152"/>
        <v>3</v>
      </c>
      <c r="Q269" s="18">
        <f>IFERROR(VLOOKUP(L269,Katalog!$C$3:$F$13,2,0),0)</f>
        <v>120000</v>
      </c>
      <c r="R269" s="18">
        <f>IFERROR(VLOOKUP(L269,Katalog!$C$3:$F$13,3,0),0)</f>
        <v>60000</v>
      </c>
      <c r="S269" t="str">
        <f t="shared" si="153"/>
        <v>SP001</v>
      </c>
      <c r="T269" t="str">
        <f>IFERROR(INDEX(Katalog!$B$4:$B$13,MATCH('Main Data'!S269,Katalog!$C$4:$C$13,0)),"-")</f>
        <v>Sneakers</v>
      </c>
      <c r="U269" t="str">
        <f>IFERROR(VLOOKUP(S269,Katalog!$A$15:$B$25,2,0),"-")</f>
        <v>Sepatu Pria</v>
      </c>
      <c r="V269" t="str">
        <f t="shared" si="154"/>
        <v>1</v>
      </c>
      <c r="W269" s="28" t="str">
        <f t="shared" si="155"/>
        <v>2</v>
      </c>
      <c r="X269" s="18">
        <f>IFERROR(VLOOKUP(S269,Katalog!$C$3:$F$13,2,0),0)</f>
        <v>300000</v>
      </c>
      <c r="Y269" s="30">
        <f>IFERROR(VLOOKUP(S269,Katalog!$C$3:$F$13,3,0),0)</f>
        <v>100000</v>
      </c>
      <c r="Z269" s="2">
        <f t="shared" si="156"/>
        <v>3</v>
      </c>
      <c r="AA269" s="4">
        <f t="shared" si="157"/>
        <v>570000</v>
      </c>
      <c r="AB269" s="4">
        <f t="shared" si="158"/>
        <v>230000</v>
      </c>
      <c r="AC269" s="4" t="s">
        <v>10</v>
      </c>
      <c r="AD269" s="16">
        <f>IFERROR(VLOOKUP(AC269,'Kode Diskon'!$C$2:$D$9,2,0),0)</f>
        <v>0</v>
      </c>
      <c r="AE269" s="31">
        <f t="shared" si="159"/>
        <v>0</v>
      </c>
      <c r="AF269" s="31">
        <f t="shared" si="160"/>
        <v>570000</v>
      </c>
      <c r="AG269" s="31">
        <f t="shared" si="161"/>
        <v>340000</v>
      </c>
      <c r="AH269" s="31">
        <f t="shared" si="162"/>
        <v>340000</v>
      </c>
      <c r="AI269" s="4" t="s">
        <v>10</v>
      </c>
      <c r="AJ269" s="4" t="s">
        <v>6</v>
      </c>
      <c r="AK269" s="4" t="str">
        <f>IFERROR(VLOOKUP(AJ269,'Guide '!$A$13:$B$16,2,0),"-")</f>
        <v>SP</v>
      </c>
      <c r="AL269" s="4" t="s">
        <v>925</v>
      </c>
      <c r="AM269" s="40">
        <v>45390</v>
      </c>
      <c r="AN269">
        <f t="shared" si="163"/>
        <v>29</v>
      </c>
      <c r="AO269">
        <f t="shared" si="164"/>
        <v>32</v>
      </c>
      <c r="AP269">
        <f t="shared" si="165"/>
        <v>40</v>
      </c>
      <c r="AQ269">
        <f t="shared" si="166"/>
        <v>43</v>
      </c>
      <c r="AR269" s="26">
        <f t="shared" si="167"/>
        <v>56</v>
      </c>
      <c r="AS269" s="26">
        <f t="shared" si="168"/>
        <v>63</v>
      </c>
      <c r="AT269" s="21">
        <f t="shared" si="169"/>
        <v>12</v>
      </c>
      <c r="AU269" s="21">
        <f t="shared" si="170"/>
        <v>19</v>
      </c>
      <c r="AV269">
        <f t="shared" si="171"/>
        <v>73</v>
      </c>
      <c r="AW269">
        <f t="shared" si="172"/>
        <v>76</v>
      </c>
      <c r="AX269">
        <f t="shared" si="173"/>
        <v>84</v>
      </c>
      <c r="AY269">
        <f t="shared" si="174"/>
        <v>87</v>
      </c>
      <c r="AZ269">
        <f t="shared" si="175"/>
        <v>100</v>
      </c>
      <c r="BA269">
        <f t="shared" si="176"/>
        <v>107</v>
      </c>
      <c r="BB269">
        <f t="shared" si="177"/>
        <v>117</v>
      </c>
      <c r="BC269">
        <f t="shared" si="178"/>
        <v>120</v>
      </c>
      <c r="BD269" s="29">
        <f t="shared" si="179"/>
        <v>128</v>
      </c>
      <c r="BE269" s="29">
        <f t="shared" si="180"/>
        <v>131</v>
      </c>
    </row>
    <row r="270" spans="1:57" ht="15" x14ac:dyDescent="0.2">
      <c r="A270" s="2">
        <v>448</v>
      </c>
      <c r="B270" s="2" t="str">
        <f t="shared" si="145"/>
        <v>0448</v>
      </c>
      <c r="C270" t="str">
        <f t="shared" si="146"/>
        <v>ORD-BB-0448-08/04/24</v>
      </c>
      <c r="D270" s="3" t="s">
        <v>323</v>
      </c>
      <c r="E270" t="str">
        <f t="shared" si="147"/>
        <v>PU001</v>
      </c>
      <c r="F270" t="str">
        <f>INDEX(Katalog!$B$4:$B$13,MATCH('Main Data'!E270,Katalog!$C$4:$C$13,0))</f>
        <v>Jaket Hoodie</v>
      </c>
      <c r="G270" t="str">
        <f>VLOOKUP(E270,Katalog!$A$15:$B$25,2,0)</f>
        <v>Pakaian Unisex</v>
      </c>
      <c r="H270" t="str">
        <f t="shared" si="148"/>
        <v>2</v>
      </c>
      <c r="I270" t="str">
        <f t="shared" si="149"/>
        <v>2</v>
      </c>
      <c r="J270" s="18">
        <f>VLOOKUP(E270,Katalog!$C$3:$F$13,2,0)</f>
        <v>160000</v>
      </c>
      <c r="K270" s="18">
        <f>VLOOKUP(E270,Katalog!$C$3:$F$13,3,0)</f>
        <v>60000</v>
      </c>
      <c r="L270" t="str">
        <f t="shared" si="150"/>
        <v>-</v>
      </c>
      <c r="M270" t="str">
        <f>IFERROR(INDEX(Katalog!$B$4:$B$13,MATCH('Main Data'!L270,Katalog!$C$4:$C$13,0)), "-")</f>
        <v>-</v>
      </c>
      <c r="N270" t="str">
        <f>IFERROR(VLOOKUP(L270,Katalog!$A$15:$B$25,2,0),"-")</f>
        <v>-</v>
      </c>
      <c r="O270">
        <f t="shared" si="151"/>
        <v>0</v>
      </c>
      <c r="P270" t="str">
        <f t="shared" si="152"/>
        <v>-</v>
      </c>
      <c r="Q270" s="18">
        <f>IFERROR(VLOOKUP(L270,Katalog!$C$3:$F$13,2,0),0)</f>
        <v>0</v>
      </c>
      <c r="R270" s="18">
        <f>IFERROR(VLOOKUP(L270,Katalog!$C$3:$F$13,3,0),0)</f>
        <v>0</v>
      </c>
      <c r="S270" t="str">
        <f t="shared" si="153"/>
        <v>-</v>
      </c>
      <c r="T270" t="str">
        <f>IFERROR(INDEX(Katalog!$B$4:$B$13,MATCH('Main Data'!S270,Katalog!$C$4:$C$13,0)),"-")</f>
        <v>-</v>
      </c>
      <c r="U270" t="str">
        <f>IFERROR(VLOOKUP(S270,Katalog!$A$15:$B$25,2,0),"-")</f>
        <v>-</v>
      </c>
      <c r="V270">
        <f t="shared" si="154"/>
        <v>0</v>
      </c>
      <c r="W270" s="28" t="str">
        <f t="shared" si="155"/>
        <v>-</v>
      </c>
      <c r="X270" s="18">
        <f>IFERROR(VLOOKUP(S270,Katalog!$C$3:$F$13,2,0),0)</f>
        <v>0</v>
      </c>
      <c r="Y270" s="30">
        <f>IFERROR(VLOOKUP(S270,Katalog!$C$3:$F$13,3,0),0)</f>
        <v>0</v>
      </c>
      <c r="Z270" s="2">
        <f t="shared" si="156"/>
        <v>2</v>
      </c>
      <c r="AA270" s="4">
        <f t="shared" si="157"/>
        <v>320000</v>
      </c>
      <c r="AB270" s="4">
        <f t="shared" si="158"/>
        <v>120000</v>
      </c>
      <c r="AC270" s="4" t="s">
        <v>27</v>
      </c>
      <c r="AD270" s="16">
        <f>IFERROR(VLOOKUP(AC270,'Kode Diskon'!$C$2:$D$9,2,0),0)</f>
        <v>0.15</v>
      </c>
      <c r="AE270" s="31">
        <f t="shared" si="159"/>
        <v>48000</v>
      </c>
      <c r="AF270" s="31">
        <f t="shared" si="160"/>
        <v>272000</v>
      </c>
      <c r="AG270" s="31">
        <f t="shared" si="161"/>
        <v>200000</v>
      </c>
      <c r="AH270" s="31">
        <f t="shared" si="162"/>
        <v>152000</v>
      </c>
      <c r="AI270" s="4" t="s">
        <v>28</v>
      </c>
      <c r="AJ270" s="4" t="s">
        <v>13</v>
      </c>
      <c r="AK270" s="4" t="str">
        <f>IFERROR(VLOOKUP(AJ270,'Guide '!$A$13:$B$16,2,0),"-")</f>
        <v>BB</v>
      </c>
      <c r="AL270" s="4" t="s">
        <v>924</v>
      </c>
      <c r="AM270" s="40">
        <v>45390</v>
      </c>
      <c r="AN270">
        <f t="shared" si="163"/>
        <v>29</v>
      </c>
      <c r="AO270">
        <f t="shared" si="164"/>
        <v>32</v>
      </c>
      <c r="AP270">
        <f t="shared" si="165"/>
        <v>40</v>
      </c>
      <c r="AQ270">
        <f t="shared" si="166"/>
        <v>43</v>
      </c>
      <c r="AR270" s="26" t="str">
        <f t="shared" si="167"/>
        <v>-</v>
      </c>
      <c r="AS270" s="26" t="str">
        <f t="shared" si="168"/>
        <v>-</v>
      </c>
      <c r="AT270" s="21">
        <f t="shared" si="169"/>
        <v>12</v>
      </c>
      <c r="AU270" s="21">
        <f t="shared" si="170"/>
        <v>19</v>
      </c>
      <c r="AV270" t="str">
        <f t="shared" si="171"/>
        <v>-</v>
      </c>
      <c r="AW270" t="str">
        <f t="shared" si="172"/>
        <v>-</v>
      </c>
      <c r="AX270" t="str">
        <f t="shared" si="173"/>
        <v>-</v>
      </c>
      <c r="AY270" t="str">
        <f t="shared" si="174"/>
        <v>-</v>
      </c>
      <c r="AZ270" t="str">
        <f t="shared" si="175"/>
        <v>-</v>
      </c>
      <c r="BA270" t="str">
        <f t="shared" si="176"/>
        <v>-</v>
      </c>
      <c r="BB270" t="str">
        <f t="shared" si="177"/>
        <v>-</v>
      </c>
      <c r="BC270" t="str">
        <f t="shared" si="178"/>
        <v>-</v>
      </c>
      <c r="BD270" s="29" t="str">
        <f t="shared" si="179"/>
        <v>-</v>
      </c>
      <c r="BE270" s="29" t="str">
        <f t="shared" si="180"/>
        <v>-</v>
      </c>
    </row>
    <row r="271" spans="1:57" ht="15" x14ac:dyDescent="0.2">
      <c r="A271" s="2">
        <v>901</v>
      </c>
      <c r="B271" s="2" t="str">
        <f t="shared" si="145"/>
        <v>0901</v>
      </c>
      <c r="C271" t="str">
        <f t="shared" si="146"/>
        <v>ORD-SP-0901-09/04/24</v>
      </c>
      <c r="D271" s="3" t="s">
        <v>610</v>
      </c>
      <c r="E271" t="str">
        <f t="shared" si="147"/>
        <v>PW002</v>
      </c>
      <c r="F271" t="str">
        <f>INDEX(Katalog!$B$4:$B$13,MATCH('Main Data'!E271,Katalog!$C$4:$C$13,0))</f>
        <v>Blouse</v>
      </c>
      <c r="G271" t="str">
        <f>VLOOKUP(E271,Katalog!$A$15:$B$25,2,0)</f>
        <v>Pakaian Wanita</v>
      </c>
      <c r="H271" t="str">
        <f t="shared" si="148"/>
        <v>1</v>
      </c>
      <c r="I271" t="str">
        <f t="shared" si="149"/>
        <v>5</v>
      </c>
      <c r="J271" s="18">
        <f>VLOOKUP(E271,Katalog!$C$3:$F$13,2,0)</f>
        <v>125000</v>
      </c>
      <c r="K271" s="18">
        <f>VLOOKUP(E271,Katalog!$C$3:$F$13,3,0)</f>
        <v>50000</v>
      </c>
      <c r="L271" t="str">
        <f t="shared" si="150"/>
        <v>-</v>
      </c>
      <c r="M271" t="str">
        <f>IFERROR(INDEX(Katalog!$B$4:$B$13,MATCH('Main Data'!L271,Katalog!$C$4:$C$13,0)), "-")</f>
        <v>-</v>
      </c>
      <c r="N271" t="str">
        <f>IFERROR(VLOOKUP(L271,Katalog!$A$15:$B$25,2,0),"-")</f>
        <v>-</v>
      </c>
      <c r="O271">
        <f t="shared" si="151"/>
        <v>0</v>
      </c>
      <c r="P271" t="str">
        <f t="shared" si="152"/>
        <v>-</v>
      </c>
      <c r="Q271" s="18">
        <f>IFERROR(VLOOKUP(L271,Katalog!$C$3:$F$13,2,0),0)</f>
        <v>0</v>
      </c>
      <c r="R271" s="18">
        <f>IFERROR(VLOOKUP(L271,Katalog!$C$3:$F$13,3,0),0)</f>
        <v>0</v>
      </c>
      <c r="S271" t="str">
        <f t="shared" si="153"/>
        <v>-</v>
      </c>
      <c r="T271" t="str">
        <f>IFERROR(INDEX(Katalog!$B$4:$B$13,MATCH('Main Data'!S271,Katalog!$C$4:$C$13,0)),"-")</f>
        <v>-</v>
      </c>
      <c r="U271" t="str">
        <f>IFERROR(VLOOKUP(S271,Katalog!$A$15:$B$25,2,0),"-")</f>
        <v>-</v>
      </c>
      <c r="V271">
        <f t="shared" si="154"/>
        <v>0</v>
      </c>
      <c r="W271" s="28" t="str">
        <f t="shared" si="155"/>
        <v>-</v>
      </c>
      <c r="X271" s="18">
        <f>IFERROR(VLOOKUP(S271,Katalog!$C$3:$F$13,2,0),0)</f>
        <v>0</v>
      </c>
      <c r="Y271" s="30">
        <f>IFERROR(VLOOKUP(S271,Katalog!$C$3:$F$13,3,0),0)</f>
        <v>0</v>
      </c>
      <c r="Z271" s="2">
        <f t="shared" si="156"/>
        <v>1</v>
      </c>
      <c r="AA271" s="4">
        <f t="shared" si="157"/>
        <v>125000</v>
      </c>
      <c r="AB271" s="4">
        <f t="shared" si="158"/>
        <v>50000</v>
      </c>
      <c r="AC271" s="4" t="s">
        <v>10</v>
      </c>
      <c r="AD271" s="16">
        <f>IFERROR(VLOOKUP(AC271,'Kode Diskon'!$C$2:$D$9,2,0),0)</f>
        <v>0</v>
      </c>
      <c r="AE271" s="31">
        <f t="shared" si="159"/>
        <v>0</v>
      </c>
      <c r="AF271" s="31">
        <f t="shared" si="160"/>
        <v>125000</v>
      </c>
      <c r="AG271" s="31">
        <f t="shared" si="161"/>
        <v>75000</v>
      </c>
      <c r="AH271" s="31">
        <f t="shared" si="162"/>
        <v>75000</v>
      </c>
      <c r="AI271" s="4" t="s">
        <v>10</v>
      </c>
      <c r="AJ271" s="4" t="s">
        <v>6</v>
      </c>
      <c r="AK271" s="4" t="str">
        <f>IFERROR(VLOOKUP(AJ271,'Guide '!$A$13:$B$16,2,0),"-")</f>
        <v>SP</v>
      </c>
      <c r="AL271" s="4" t="s">
        <v>1006</v>
      </c>
      <c r="AM271" s="40">
        <v>45391</v>
      </c>
      <c r="AN271">
        <f t="shared" si="163"/>
        <v>29</v>
      </c>
      <c r="AO271">
        <f t="shared" si="164"/>
        <v>32</v>
      </c>
      <c r="AP271">
        <f t="shared" si="165"/>
        <v>40</v>
      </c>
      <c r="AQ271">
        <f t="shared" si="166"/>
        <v>43</v>
      </c>
      <c r="AR271" s="26" t="str">
        <f t="shared" si="167"/>
        <v>-</v>
      </c>
      <c r="AS271" s="26" t="str">
        <f t="shared" si="168"/>
        <v>-</v>
      </c>
      <c r="AT271" s="21">
        <f t="shared" si="169"/>
        <v>12</v>
      </c>
      <c r="AU271" s="21">
        <f t="shared" si="170"/>
        <v>19</v>
      </c>
      <c r="AV271" t="str">
        <f t="shared" si="171"/>
        <v>-</v>
      </c>
      <c r="AW271" t="str">
        <f t="shared" si="172"/>
        <v>-</v>
      </c>
      <c r="AX271" t="str">
        <f t="shared" si="173"/>
        <v>-</v>
      </c>
      <c r="AY271" t="str">
        <f t="shared" si="174"/>
        <v>-</v>
      </c>
      <c r="AZ271" t="str">
        <f t="shared" si="175"/>
        <v>-</v>
      </c>
      <c r="BA271" t="str">
        <f t="shared" si="176"/>
        <v>-</v>
      </c>
      <c r="BB271" t="str">
        <f t="shared" si="177"/>
        <v>-</v>
      </c>
      <c r="BC271" t="str">
        <f t="shared" si="178"/>
        <v>-</v>
      </c>
      <c r="BD271" s="29" t="str">
        <f t="shared" si="179"/>
        <v>-</v>
      </c>
      <c r="BE271" s="29" t="str">
        <f t="shared" si="180"/>
        <v>-</v>
      </c>
    </row>
    <row r="272" spans="1:57" ht="15" x14ac:dyDescent="0.2">
      <c r="A272" s="2">
        <v>208</v>
      </c>
      <c r="B272" s="2" t="str">
        <f t="shared" si="145"/>
        <v>0208</v>
      </c>
      <c r="C272" t="str">
        <f t="shared" si="146"/>
        <v>ORD-TK-0208-10/04/24</v>
      </c>
      <c r="D272" s="3" t="s">
        <v>277</v>
      </c>
      <c r="E272" t="str">
        <f t="shared" si="147"/>
        <v>PW002</v>
      </c>
      <c r="F272" t="str">
        <f>INDEX(Katalog!$B$4:$B$13,MATCH('Main Data'!E272,Katalog!$C$4:$C$13,0))</f>
        <v>Blouse</v>
      </c>
      <c r="G272" t="str">
        <f>VLOOKUP(E272,Katalog!$A$15:$B$25,2,0)</f>
        <v>Pakaian Wanita</v>
      </c>
      <c r="H272" t="str">
        <f t="shared" si="148"/>
        <v>1</v>
      </c>
      <c r="I272" t="str">
        <f t="shared" si="149"/>
        <v>3</v>
      </c>
      <c r="J272" s="18">
        <f>VLOOKUP(E272,Katalog!$C$3:$F$13,2,0)</f>
        <v>125000</v>
      </c>
      <c r="K272" s="18">
        <f>VLOOKUP(E272,Katalog!$C$3:$F$13,3,0)</f>
        <v>50000</v>
      </c>
      <c r="L272" t="str">
        <f t="shared" si="150"/>
        <v>PU001</v>
      </c>
      <c r="M272" t="str">
        <f>IFERROR(INDEX(Katalog!$B$4:$B$13,MATCH('Main Data'!L272,Katalog!$C$4:$C$13,0)), "-")</f>
        <v>Jaket Hoodie</v>
      </c>
      <c r="N272" t="str">
        <f>IFERROR(VLOOKUP(L272,Katalog!$A$15:$B$25,2,0),"-")</f>
        <v>Pakaian Unisex</v>
      </c>
      <c r="O272" t="str">
        <f t="shared" si="151"/>
        <v>5</v>
      </c>
      <c r="P272" t="str">
        <f t="shared" si="152"/>
        <v>5</v>
      </c>
      <c r="Q272" s="18">
        <f>IFERROR(VLOOKUP(L272,Katalog!$C$3:$F$13,2,0),0)</f>
        <v>160000</v>
      </c>
      <c r="R272" s="18">
        <f>IFERROR(VLOOKUP(L272,Katalog!$C$3:$F$13,3,0),0)</f>
        <v>60000</v>
      </c>
      <c r="S272" t="str">
        <f t="shared" si="153"/>
        <v>-</v>
      </c>
      <c r="T272" t="str">
        <f>IFERROR(INDEX(Katalog!$B$4:$B$13,MATCH('Main Data'!S272,Katalog!$C$4:$C$13,0)),"-")</f>
        <v>-</v>
      </c>
      <c r="U272" t="str">
        <f>IFERROR(VLOOKUP(S272,Katalog!$A$15:$B$25,2,0),"-")</f>
        <v>-</v>
      </c>
      <c r="V272">
        <f t="shared" si="154"/>
        <v>0</v>
      </c>
      <c r="W272" s="28" t="str">
        <f t="shared" si="155"/>
        <v>-</v>
      </c>
      <c r="X272" s="18">
        <f>IFERROR(VLOOKUP(S272,Katalog!$C$3:$F$13,2,0),0)</f>
        <v>0</v>
      </c>
      <c r="Y272" s="30">
        <f>IFERROR(VLOOKUP(S272,Katalog!$C$3:$F$13,3,0),0)</f>
        <v>0</v>
      </c>
      <c r="Z272" s="2">
        <f t="shared" si="156"/>
        <v>6</v>
      </c>
      <c r="AA272" s="4">
        <f t="shared" si="157"/>
        <v>925000</v>
      </c>
      <c r="AB272" s="4">
        <f t="shared" si="158"/>
        <v>350000</v>
      </c>
      <c r="AC272" s="4" t="s">
        <v>30</v>
      </c>
      <c r="AD272" s="16">
        <f>IFERROR(VLOOKUP(AC272,'Kode Diskon'!$C$2:$D$9,2,0),0)</f>
        <v>0.1</v>
      </c>
      <c r="AE272" s="31">
        <f t="shared" si="159"/>
        <v>92500</v>
      </c>
      <c r="AF272" s="31">
        <f t="shared" si="160"/>
        <v>832500</v>
      </c>
      <c r="AG272" s="31">
        <f t="shared" si="161"/>
        <v>575000</v>
      </c>
      <c r="AH272" s="31">
        <f t="shared" si="162"/>
        <v>482500</v>
      </c>
      <c r="AI272" s="4" t="s">
        <v>8</v>
      </c>
      <c r="AJ272" s="4" t="s">
        <v>9</v>
      </c>
      <c r="AK272" s="4" t="str">
        <f>IFERROR(VLOOKUP(AJ272,'Guide '!$A$13:$B$16,2,0),"-")</f>
        <v>TK</v>
      </c>
      <c r="AL272" s="4" t="s">
        <v>922</v>
      </c>
      <c r="AM272" s="40">
        <v>45392</v>
      </c>
      <c r="AN272">
        <f t="shared" si="163"/>
        <v>29</v>
      </c>
      <c r="AO272">
        <f t="shared" si="164"/>
        <v>32</v>
      </c>
      <c r="AP272">
        <f t="shared" si="165"/>
        <v>40</v>
      </c>
      <c r="AQ272">
        <f t="shared" si="166"/>
        <v>43</v>
      </c>
      <c r="AR272" s="26">
        <f t="shared" si="167"/>
        <v>56</v>
      </c>
      <c r="AS272" s="26">
        <f t="shared" si="168"/>
        <v>63</v>
      </c>
      <c r="AT272" s="21">
        <f t="shared" si="169"/>
        <v>12</v>
      </c>
      <c r="AU272" s="21">
        <f t="shared" si="170"/>
        <v>19</v>
      </c>
      <c r="AV272">
        <f t="shared" si="171"/>
        <v>73</v>
      </c>
      <c r="AW272">
        <f t="shared" si="172"/>
        <v>76</v>
      </c>
      <c r="AX272">
        <f t="shared" si="173"/>
        <v>84</v>
      </c>
      <c r="AY272">
        <f t="shared" si="174"/>
        <v>87</v>
      </c>
      <c r="AZ272" t="str">
        <f t="shared" si="175"/>
        <v>-</v>
      </c>
      <c r="BA272" t="str">
        <f t="shared" si="176"/>
        <v>-</v>
      </c>
      <c r="BB272" t="str">
        <f t="shared" si="177"/>
        <v>-</v>
      </c>
      <c r="BC272" t="str">
        <f t="shared" si="178"/>
        <v>-</v>
      </c>
      <c r="BD272" s="29" t="str">
        <f t="shared" si="179"/>
        <v>-</v>
      </c>
      <c r="BE272" s="29" t="str">
        <f t="shared" si="180"/>
        <v>-</v>
      </c>
    </row>
    <row r="273" spans="1:57" ht="15" x14ac:dyDescent="0.2">
      <c r="A273" s="2">
        <v>127</v>
      </c>
      <c r="B273" s="2" t="str">
        <f t="shared" si="145"/>
        <v>0127</v>
      </c>
      <c r="C273" t="str">
        <f t="shared" si="146"/>
        <v>ORD-BB-0127-11/04/24</v>
      </c>
      <c r="D273" s="3" t="s">
        <v>198</v>
      </c>
      <c r="E273" t="str">
        <f t="shared" si="147"/>
        <v>PW002</v>
      </c>
      <c r="F273" t="str">
        <f>INDEX(Katalog!$B$4:$B$13,MATCH('Main Data'!E273,Katalog!$C$4:$C$13,0))</f>
        <v>Blouse</v>
      </c>
      <c r="G273" t="str">
        <f>VLOOKUP(E273,Katalog!$A$15:$B$25,2,0)</f>
        <v>Pakaian Wanita</v>
      </c>
      <c r="H273" t="str">
        <f t="shared" si="148"/>
        <v>3</v>
      </c>
      <c r="I273" t="str">
        <f t="shared" si="149"/>
        <v>2</v>
      </c>
      <c r="J273" s="18">
        <f>VLOOKUP(E273,Katalog!$C$3:$F$13,2,0)</f>
        <v>125000</v>
      </c>
      <c r="K273" s="18">
        <f>VLOOKUP(E273,Katalog!$C$3:$F$13,3,0)</f>
        <v>50000</v>
      </c>
      <c r="L273" t="str">
        <f t="shared" si="150"/>
        <v>SW001</v>
      </c>
      <c r="M273" t="str">
        <f>IFERROR(INDEX(Katalog!$B$4:$B$13,MATCH('Main Data'!L273,Katalog!$C$4:$C$13,0)), "-")</f>
        <v>Flat Shoes</v>
      </c>
      <c r="N273" t="str">
        <f>IFERROR(VLOOKUP(L273,Katalog!$A$15:$B$25,2,0),"-")</f>
        <v>Sepatu Wanita</v>
      </c>
      <c r="O273" t="str">
        <f t="shared" si="151"/>
        <v>2</v>
      </c>
      <c r="P273" t="str">
        <f t="shared" si="152"/>
        <v>4</v>
      </c>
      <c r="Q273" s="18">
        <f>IFERROR(VLOOKUP(L273,Katalog!$C$3:$F$13,2,0),0)</f>
        <v>150000</v>
      </c>
      <c r="R273" s="18">
        <f>IFERROR(VLOOKUP(L273,Katalog!$C$3:$F$13,3,0),0)</f>
        <v>70000</v>
      </c>
      <c r="S273" t="str">
        <f t="shared" si="153"/>
        <v>PU001</v>
      </c>
      <c r="T273" t="str">
        <f>IFERROR(INDEX(Katalog!$B$4:$B$13,MATCH('Main Data'!S273,Katalog!$C$4:$C$13,0)),"-")</f>
        <v>Jaket Hoodie</v>
      </c>
      <c r="U273" t="str">
        <f>IFERROR(VLOOKUP(S273,Katalog!$A$15:$B$25,2,0),"-")</f>
        <v>Pakaian Unisex</v>
      </c>
      <c r="V273" t="str">
        <f t="shared" si="154"/>
        <v>1</v>
      </c>
      <c r="W273" s="28" t="str">
        <f t="shared" si="155"/>
        <v>1</v>
      </c>
      <c r="X273" s="18">
        <f>IFERROR(VLOOKUP(S273,Katalog!$C$3:$F$13,2,0),0)</f>
        <v>160000</v>
      </c>
      <c r="Y273" s="30">
        <f>IFERROR(VLOOKUP(S273,Katalog!$C$3:$F$13,3,0),0)</f>
        <v>60000</v>
      </c>
      <c r="Z273" s="2">
        <f t="shared" si="156"/>
        <v>6</v>
      </c>
      <c r="AA273" s="4">
        <f t="shared" si="157"/>
        <v>835000</v>
      </c>
      <c r="AB273" s="4">
        <f t="shared" si="158"/>
        <v>350000</v>
      </c>
      <c r="AC273" s="4" t="s">
        <v>27</v>
      </c>
      <c r="AD273" s="16">
        <f>IFERROR(VLOOKUP(AC273,'Kode Diskon'!$C$2:$D$9,2,0),0)</f>
        <v>0.15</v>
      </c>
      <c r="AE273" s="31">
        <f t="shared" si="159"/>
        <v>125250</v>
      </c>
      <c r="AF273" s="31">
        <f t="shared" si="160"/>
        <v>709750</v>
      </c>
      <c r="AG273" s="31">
        <f t="shared" si="161"/>
        <v>485000</v>
      </c>
      <c r="AH273" s="31">
        <f t="shared" si="162"/>
        <v>359750</v>
      </c>
      <c r="AI273" s="4" t="s">
        <v>28</v>
      </c>
      <c r="AJ273" s="4" t="s">
        <v>13</v>
      </c>
      <c r="AK273" s="4" t="str">
        <f>IFERROR(VLOOKUP(AJ273,'Guide '!$A$13:$B$16,2,0),"-")</f>
        <v>BB</v>
      </c>
      <c r="AL273" s="4" t="s">
        <v>921</v>
      </c>
      <c r="AM273" s="40">
        <v>45393</v>
      </c>
      <c r="AN273">
        <f t="shared" si="163"/>
        <v>29</v>
      </c>
      <c r="AO273">
        <f t="shared" si="164"/>
        <v>32</v>
      </c>
      <c r="AP273">
        <f t="shared" si="165"/>
        <v>40</v>
      </c>
      <c r="AQ273">
        <f t="shared" si="166"/>
        <v>43</v>
      </c>
      <c r="AR273" s="26">
        <f t="shared" si="167"/>
        <v>56</v>
      </c>
      <c r="AS273" s="26">
        <f t="shared" si="168"/>
        <v>63</v>
      </c>
      <c r="AT273" s="21">
        <f t="shared" si="169"/>
        <v>12</v>
      </c>
      <c r="AU273" s="21">
        <f t="shared" si="170"/>
        <v>19</v>
      </c>
      <c r="AV273">
        <f t="shared" si="171"/>
        <v>73</v>
      </c>
      <c r="AW273">
        <f t="shared" si="172"/>
        <v>76</v>
      </c>
      <c r="AX273">
        <f t="shared" si="173"/>
        <v>84</v>
      </c>
      <c r="AY273">
        <f t="shared" si="174"/>
        <v>87</v>
      </c>
      <c r="AZ273">
        <f t="shared" si="175"/>
        <v>100</v>
      </c>
      <c r="BA273">
        <f t="shared" si="176"/>
        <v>107</v>
      </c>
      <c r="BB273">
        <f t="shared" si="177"/>
        <v>117</v>
      </c>
      <c r="BC273">
        <f t="shared" si="178"/>
        <v>120</v>
      </c>
      <c r="BD273" s="29">
        <f t="shared" si="179"/>
        <v>128</v>
      </c>
      <c r="BE273" s="29">
        <f t="shared" si="180"/>
        <v>131</v>
      </c>
    </row>
    <row r="274" spans="1:57" ht="15" x14ac:dyDescent="0.2">
      <c r="A274" s="2">
        <v>189</v>
      </c>
      <c r="B274" s="2" t="str">
        <f t="shared" si="145"/>
        <v>0189</v>
      </c>
      <c r="C274" t="str">
        <f t="shared" si="146"/>
        <v>ORD-TK-0189-11/04/24</v>
      </c>
      <c r="D274" s="3" t="s">
        <v>258</v>
      </c>
      <c r="E274" t="str">
        <f t="shared" si="147"/>
        <v>PW001</v>
      </c>
      <c r="F274" t="str">
        <f>INDEX(Katalog!$B$4:$B$13,MATCH('Main Data'!E274,Katalog!$C$4:$C$13,0))</f>
        <v>Dress</v>
      </c>
      <c r="G274" t="str">
        <f>VLOOKUP(E274,Katalog!$A$15:$B$25,2,0)</f>
        <v>Pakaian Wanita</v>
      </c>
      <c r="H274" t="str">
        <f t="shared" si="148"/>
        <v>1</v>
      </c>
      <c r="I274" t="str">
        <f t="shared" si="149"/>
        <v>4</v>
      </c>
      <c r="J274" s="18">
        <f>VLOOKUP(E274,Katalog!$C$3:$F$13,2,0)</f>
        <v>150000</v>
      </c>
      <c r="K274" s="18">
        <f>VLOOKUP(E274,Katalog!$C$3:$F$13,3,0)</f>
        <v>55000</v>
      </c>
      <c r="L274" t="str">
        <f t="shared" si="150"/>
        <v>SW001</v>
      </c>
      <c r="M274" t="str">
        <f>IFERROR(INDEX(Katalog!$B$4:$B$13,MATCH('Main Data'!L274,Katalog!$C$4:$C$13,0)), "-")</f>
        <v>Flat Shoes</v>
      </c>
      <c r="N274" t="str">
        <f>IFERROR(VLOOKUP(L274,Katalog!$A$15:$B$25,2,0),"-")</f>
        <v>Sepatu Wanita</v>
      </c>
      <c r="O274" t="str">
        <f t="shared" si="151"/>
        <v>4</v>
      </c>
      <c r="P274" t="str">
        <f t="shared" si="152"/>
        <v>1</v>
      </c>
      <c r="Q274" s="18">
        <f>IFERROR(VLOOKUP(L274,Katalog!$C$3:$F$13,2,0),0)</f>
        <v>150000</v>
      </c>
      <c r="R274" s="18">
        <f>IFERROR(VLOOKUP(L274,Katalog!$C$3:$F$13,3,0),0)</f>
        <v>70000</v>
      </c>
      <c r="S274" t="str">
        <f t="shared" si="153"/>
        <v>SP001</v>
      </c>
      <c r="T274" t="str">
        <f>IFERROR(INDEX(Katalog!$B$4:$B$13,MATCH('Main Data'!S274,Katalog!$C$4:$C$13,0)),"-")</f>
        <v>Sneakers</v>
      </c>
      <c r="U274" t="str">
        <f>IFERROR(VLOOKUP(S274,Katalog!$A$15:$B$25,2,0),"-")</f>
        <v>Sepatu Pria</v>
      </c>
      <c r="V274" t="str">
        <f t="shared" si="154"/>
        <v>1</v>
      </c>
      <c r="W274" s="28" t="str">
        <f t="shared" si="155"/>
        <v>5</v>
      </c>
      <c r="X274" s="18">
        <f>IFERROR(VLOOKUP(S274,Katalog!$C$3:$F$13,2,0),0)</f>
        <v>300000</v>
      </c>
      <c r="Y274" s="30">
        <f>IFERROR(VLOOKUP(S274,Katalog!$C$3:$F$13,3,0),0)</f>
        <v>100000</v>
      </c>
      <c r="Z274" s="2">
        <f t="shared" si="156"/>
        <v>6</v>
      </c>
      <c r="AA274" s="4">
        <f t="shared" si="157"/>
        <v>1050000</v>
      </c>
      <c r="AB274" s="4">
        <f t="shared" si="158"/>
        <v>435000</v>
      </c>
      <c r="AC274" s="4" t="s">
        <v>29</v>
      </c>
      <c r="AD274" s="16">
        <f>IFERROR(VLOOKUP(AC274,'Kode Diskon'!$C$2:$D$9,2,0),0)</f>
        <v>0.1</v>
      </c>
      <c r="AE274" s="31">
        <f t="shared" si="159"/>
        <v>105000</v>
      </c>
      <c r="AF274" s="31">
        <f t="shared" si="160"/>
        <v>945000</v>
      </c>
      <c r="AG274" s="31">
        <f t="shared" si="161"/>
        <v>615000</v>
      </c>
      <c r="AH274" s="31">
        <f t="shared" si="162"/>
        <v>510000</v>
      </c>
      <c r="AI274" s="4" t="s">
        <v>28</v>
      </c>
      <c r="AJ274" s="4" t="s">
        <v>9</v>
      </c>
      <c r="AK274" s="4" t="str">
        <f>IFERROR(VLOOKUP(AJ274,'Guide '!$A$13:$B$16,2,0),"-")</f>
        <v>TK</v>
      </c>
      <c r="AL274" s="4" t="s">
        <v>925</v>
      </c>
      <c r="AM274" s="40">
        <v>45393</v>
      </c>
      <c r="AN274">
        <f t="shared" si="163"/>
        <v>29</v>
      </c>
      <c r="AO274">
        <f t="shared" si="164"/>
        <v>32</v>
      </c>
      <c r="AP274">
        <f t="shared" si="165"/>
        <v>40</v>
      </c>
      <c r="AQ274">
        <f t="shared" si="166"/>
        <v>43</v>
      </c>
      <c r="AR274" s="26">
        <f t="shared" si="167"/>
        <v>56</v>
      </c>
      <c r="AS274" s="26">
        <f t="shared" si="168"/>
        <v>63</v>
      </c>
      <c r="AT274" s="21">
        <f t="shared" si="169"/>
        <v>12</v>
      </c>
      <c r="AU274" s="21">
        <f t="shared" si="170"/>
        <v>19</v>
      </c>
      <c r="AV274">
        <f t="shared" si="171"/>
        <v>73</v>
      </c>
      <c r="AW274">
        <f t="shared" si="172"/>
        <v>76</v>
      </c>
      <c r="AX274">
        <f t="shared" si="173"/>
        <v>84</v>
      </c>
      <c r="AY274">
        <f t="shared" si="174"/>
        <v>87</v>
      </c>
      <c r="AZ274">
        <f t="shared" si="175"/>
        <v>100</v>
      </c>
      <c r="BA274">
        <f t="shared" si="176"/>
        <v>107</v>
      </c>
      <c r="BB274">
        <f t="shared" si="177"/>
        <v>117</v>
      </c>
      <c r="BC274">
        <f t="shared" si="178"/>
        <v>120</v>
      </c>
      <c r="BD274" s="29">
        <f t="shared" si="179"/>
        <v>128</v>
      </c>
      <c r="BE274" s="29">
        <f t="shared" si="180"/>
        <v>131</v>
      </c>
    </row>
    <row r="275" spans="1:57" ht="15" x14ac:dyDescent="0.2">
      <c r="A275" s="2">
        <v>543</v>
      </c>
      <c r="B275" s="2" t="str">
        <f t="shared" si="145"/>
        <v>0543</v>
      </c>
      <c r="C275" t="str">
        <f t="shared" si="146"/>
        <v>ORD-SP-0543-12/04/24</v>
      </c>
      <c r="D275" s="3" t="s">
        <v>567</v>
      </c>
      <c r="E275" t="str">
        <f t="shared" si="147"/>
        <v>PW001</v>
      </c>
      <c r="F275" t="str">
        <f>INDEX(Katalog!$B$4:$B$13,MATCH('Main Data'!E275,Katalog!$C$4:$C$13,0))</f>
        <v>Dress</v>
      </c>
      <c r="G275" t="str">
        <f>VLOOKUP(E275,Katalog!$A$15:$B$25,2,0)</f>
        <v>Pakaian Wanita</v>
      </c>
      <c r="H275" t="str">
        <f t="shared" si="148"/>
        <v>1</v>
      </c>
      <c r="I275" t="str">
        <f t="shared" si="149"/>
        <v>5</v>
      </c>
      <c r="J275" s="18">
        <f>VLOOKUP(E275,Katalog!$C$3:$F$13,2,0)</f>
        <v>150000</v>
      </c>
      <c r="K275" s="18">
        <f>VLOOKUP(E275,Katalog!$C$3:$F$13,3,0)</f>
        <v>55000</v>
      </c>
      <c r="L275" t="str">
        <f t="shared" si="150"/>
        <v>PP003</v>
      </c>
      <c r="M275" t="str">
        <f>IFERROR(INDEX(Katalog!$B$4:$B$13,MATCH('Main Data'!L275,Katalog!$C$4:$C$13,0)), "-")</f>
        <v>Jaket Jeans</v>
      </c>
      <c r="N275" t="str">
        <f>IFERROR(VLOOKUP(L275,Katalog!$A$15:$B$25,2,0),"-")</f>
        <v>Pakaian Pria</v>
      </c>
      <c r="O275" t="str">
        <f t="shared" si="151"/>
        <v>1</v>
      </c>
      <c r="P275" t="str">
        <f t="shared" si="152"/>
        <v>2</v>
      </c>
      <c r="Q275" s="18">
        <f>IFERROR(VLOOKUP(L275,Katalog!$C$3:$F$13,2,0),0)</f>
        <v>150000</v>
      </c>
      <c r="R275" s="18">
        <f>IFERROR(VLOOKUP(L275,Katalog!$C$3:$F$13,3,0),0)</f>
        <v>70000</v>
      </c>
      <c r="S275" t="str">
        <f t="shared" si="153"/>
        <v>-</v>
      </c>
      <c r="T275" t="str">
        <f>IFERROR(INDEX(Katalog!$B$4:$B$13,MATCH('Main Data'!S275,Katalog!$C$4:$C$13,0)),"-")</f>
        <v>-</v>
      </c>
      <c r="U275" t="str">
        <f>IFERROR(VLOOKUP(S275,Katalog!$A$15:$B$25,2,0),"-")</f>
        <v>-</v>
      </c>
      <c r="V275">
        <f t="shared" si="154"/>
        <v>0</v>
      </c>
      <c r="W275" s="28" t="str">
        <f t="shared" si="155"/>
        <v>-</v>
      </c>
      <c r="X275" s="18">
        <f>IFERROR(VLOOKUP(S275,Katalog!$C$3:$F$13,2,0),0)</f>
        <v>0</v>
      </c>
      <c r="Y275" s="30">
        <f>IFERROR(VLOOKUP(S275,Katalog!$C$3:$F$13,3,0),0)</f>
        <v>0</v>
      </c>
      <c r="Z275" s="2">
        <f t="shared" si="156"/>
        <v>2</v>
      </c>
      <c r="AA275" s="4">
        <f t="shared" si="157"/>
        <v>300000</v>
      </c>
      <c r="AB275" s="4">
        <f t="shared" si="158"/>
        <v>125000</v>
      </c>
      <c r="AC275" s="4" t="s">
        <v>12</v>
      </c>
      <c r="AD275" s="16">
        <f>IFERROR(VLOOKUP(AC275,'Kode Diskon'!$C$2:$D$9,2,0),0)</f>
        <v>0.15</v>
      </c>
      <c r="AE275" s="31">
        <f t="shared" si="159"/>
        <v>45000</v>
      </c>
      <c r="AF275" s="31">
        <f t="shared" si="160"/>
        <v>255000</v>
      </c>
      <c r="AG275" s="31">
        <f t="shared" si="161"/>
        <v>175000</v>
      </c>
      <c r="AH275" s="31">
        <f t="shared" si="162"/>
        <v>130000</v>
      </c>
      <c r="AI275" s="4" t="s">
        <v>28</v>
      </c>
      <c r="AJ275" s="4" t="s">
        <v>6</v>
      </c>
      <c r="AK275" s="4" t="str">
        <f>IFERROR(VLOOKUP(AJ275,'Guide '!$A$13:$B$16,2,0),"-")</f>
        <v>SP</v>
      </c>
      <c r="AL275" s="4" t="s">
        <v>925</v>
      </c>
      <c r="AM275" s="40">
        <v>45394</v>
      </c>
      <c r="AN275">
        <f t="shared" si="163"/>
        <v>29</v>
      </c>
      <c r="AO275">
        <f t="shared" si="164"/>
        <v>32</v>
      </c>
      <c r="AP275">
        <f t="shared" si="165"/>
        <v>40</v>
      </c>
      <c r="AQ275">
        <f t="shared" si="166"/>
        <v>43</v>
      </c>
      <c r="AR275" s="26">
        <f t="shared" si="167"/>
        <v>56</v>
      </c>
      <c r="AS275" s="26">
        <f t="shared" si="168"/>
        <v>63</v>
      </c>
      <c r="AT275" s="21">
        <f t="shared" si="169"/>
        <v>12</v>
      </c>
      <c r="AU275" s="21">
        <f t="shared" si="170"/>
        <v>19</v>
      </c>
      <c r="AV275">
        <f t="shared" si="171"/>
        <v>73</v>
      </c>
      <c r="AW275">
        <f t="shared" si="172"/>
        <v>76</v>
      </c>
      <c r="AX275">
        <f t="shared" si="173"/>
        <v>84</v>
      </c>
      <c r="AY275">
        <f t="shared" si="174"/>
        <v>87</v>
      </c>
      <c r="AZ275" t="str">
        <f t="shared" si="175"/>
        <v>-</v>
      </c>
      <c r="BA275" t="str">
        <f t="shared" si="176"/>
        <v>-</v>
      </c>
      <c r="BB275" t="str">
        <f t="shared" si="177"/>
        <v>-</v>
      </c>
      <c r="BC275" t="str">
        <f t="shared" si="178"/>
        <v>-</v>
      </c>
      <c r="BD275" s="29" t="str">
        <f t="shared" si="179"/>
        <v>-</v>
      </c>
      <c r="BE275" s="29" t="str">
        <f t="shared" si="180"/>
        <v>-</v>
      </c>
    </row>
    <row r="276" spans="1:57" ht="15" x14ac:dyDescent="0.2">
      <c r="A276" s="2">
        <v>849</v>
      </c>
      <c r="B276" s="2" t="str">
        <f t="shared" si="145"/>
        <v>0849</v>
      </c>
      <c r="C276" t="str">
        <f t="shared" si="146"/>
        <v>ORD-SP-0849-13/04/24</v>
      </c>
      <c r="D276" s="3" t="s">
        <v>90</v>
      </c>
      <c r="E276" t="str">
        <f t="shared" si="147"/>
        <v>PP001</v>
      </c>
      <c r="F276" t="str">
        <f>INDEX(Katalog!$B$4:$B$13,MATCH('Main Data'!E276,Katalog!$C$4:$C$13,0))</f>
        <v>Kaos Polo</v>
      </c>
      <c r="G276" t="str">
        <f>VLOOKUP(E276,Katalog!$A$15:$B$25,2,0)</f>
        <v>Pakaian Pria</v>
      </c>
      <c r="H276" t="str">
        <f t="shared" si="148"/>
        <v>1</v>
      </c>
      <c r="I276" t="str">
        <f t="shared" si="149"/>
        <v>1</v>
      </c>
      <c r="J276" s="18">
        <f>VLOOKUP(E276,Katalog!$C$3:$F$13,2,0)</f>
        <v>80000</v>
      </c>
      <c r="K276" s="18">
        <f>VLOOKUP(E276,Katalog!$C$3:$F$13,3,0)</f>
        <v>30000</v>
      </c>
      <c r="L276" t="str">
        <f t="shared" si="150"/>
        <v>-</v>
      </c>
      <c r="M276" t="str">
        <f>IFERROR(INDEX(Katalog!$B$4:$B$13,MATCH('Main Data'!L276,Katalog!$C$4:$C$13,0)), "-")</f>
        <v>-</v>
      </c>
      <c r="N276" t="str">
        <f>IFERROR(VLOOKUP(L276,Katalog!$A$15:$B$25,2,0),"-")</f>
        <v>-</v>
      </c>
      <c r="O276">
        <f t="shared" si="151"/>
        <v>0</v>
      </c>
      <c r="P276" t="str">
        <f t="shared" si="152"/>
        <v>-</v>
      </c>
      <c r="Q276" s="18">
        <f>IFERROR(VLOOKUP(L276,Katalog!$C$3:$F$13,2,0),0)</f>
        <v>0</v>
      </c>
      <c r="R276" s="18">
        <f>IFERROR(VLOOKUP(L276,Katalog!$C$3:$F$13,3,0),0)</f>
        <v>0</v>
      </c>
      <c r="S276" t="str">
        <f t="shared" si="153"/>
        <v>-</v>
      </c>
      <c r="T276" t="str">
        <f>IFERROR(INDEX(Katalog!$B$4:$B$13,MATCH('Main Data'!S276,Katalog!$C$4:$C$13,0)),"-")</f>
        <v>-</v>
      </c>
      <c r="U276" t="str">
        <f>IFERROR(VLOOKUP(S276,Katalog!$A$15:$B$25,2,0),"-")</f>
        <v>-</v>
      </c>
      <c r="V276">
        <f t="shared" si="154"/>
        <v>0</v>
      </c>
      <c r="W276" s="28" t="str">
        <f t="shared" si="155"/>
        <v>-</v>
      </c>
      <c r="X276" s="18">
        <f>IFERROR(VLOOKUP(S276,Katalog!$C$3:$F$13,2,0),0)</f>
        <v>0</v>
      </c>
      <c r="Y276" s="30">
        <f>IFERROR(VLOOKUP(S276,Katalog!$C$3:$F$13,3,0),0)</f>
        <v>0</v>
      </c>
      <c r="Z276" s="2">
        <f t="shared" si="156"/>
        <v>1</v>
      </c>
      <c r="AA276" s="4">
        <f t="shared" si="157"/>
        <v>80000</v>
      </c>
      <c r="AB276" s="4">
        <f t="shared" si="158"/>
        <v>30000</v>
      </c>
      <c r="AC276" s="4" t="s">
        <v>10</v>
      </c>
      <c r="AD276" s="16">
        <f>IFERROR(VLOOKUP(AC276,'Kode Diskon'!$C$2:$D$9,2,0),0)</f>
        <v>0</v>
      </c>
      <c r="AE276" s="31">
        <f t="shared" si="159"/>
        <v>0</v>
      </c>
      <c r="AF276" s="31">
        <f t="shared" si="160"/>
        <v>80000</v>
      </c>
      <c r="AG276" s="31">
        <f t="shared" si="161"/>
        <v>50000</v>
      </c>
      <c r="AH276" s="31">
        <f t="shared" si="162"/>
        <v>50000</v>
      </c>
      <c r="AI276" s="4" t="s">
        <v>10</v>
      </c>
      <c r="AJ276" s="4" t="s">
        <v>6</v>
      </c>
      <c r="AK276" s="4" t="str">
        <f>IFERROR(VLOOKUP(AJ276,'Guide '!$A$13:$B$16,2,0),"-")</f>
        <v>SP</v>
      </c>
      <c r="AL276" s="4" t="s">
        <v>922</v>
      </c>
      <c r="AM276" s="40">
        <v>45395</v>
      </c>
      <c r="AN276">
        <f t="shared" si="163"/>
        <v>29</v>
      </c>
      <c r="AO276">
        <f t="shared" si="164"/>
        <v>32</v>
      </c>
      <c r="AP276">
        <f t="shared" si="165"/>
        <v>40</v>
      </c>
      <c r="AQ276">
        <f t="shared" si="166"/>
        <v>43</v>
      </c>
      <c r="AR276" s="26" t="str">
        <f t="shared" si="167"/>
        <v>-</v>
      </c>
      <c r="AS276" s="26" t="str">
        <f t="shared" si="168"/>
        <v>-</v>
      </c>
      <c r="AT276" s="21">
        <f t="shared" si="169"/>
        <v>12</v>
      </c>
      <c r="AU276" s="21">
        <f t="shared" si="170"/>
        <v>19</v>
      </c>
      <c r="AV276" t="str">
        <f t="shared" si="171"/>
        <v>-</v>
      </c>
      <c r="AW276" t="str">
        <f t="shared" si="172"/>
        <v>-</v>
      </c>
      <c r="AX276" t="str">
        <f t="shared" si="173"/>
        <v>-</v>
      </c>
      <c r="AY276" t="str">
        <f t="shared" si="174"/>
        <v>-</v>
      </c>
      <c r="AZ276" t="str">
        <f t="shared" si="175"/>
        <v>-</v>
      </c>
      <c r="BA276" t="str">
        <f t="shared" si="176"/>
        <v>-</v>
      </c>
      <c r="BB276" t="str">
        <f t="shared" si="177"/>
        <v>-</v>
      </c>
      <c r="BC276" t="str">
        <f t="shared" si="178"/>
        <v>-</v>
      </c>
      <c r="BD276" s="29" t="str">
        <f t="shared" si="179"/>
        <v>-</v>
      </c>
      <c r="BE276" s="29" t="str">
        <f t="shared" si="180"/>
        <v>-</v>
      </c>
    </row>
    <row r="277" spans="1:57" ht="15" x14ac:dyDescent="0.2">
      <c r="A277" s="2">
        <v>289</v>
      </c>
      <c r="B277" s="2" t="str">
        <f t="shared" si="145"/>
        <v>0289</v>
      </c>
      <c r="C277" t="str">
        <f t="shared" si="146"/>
        <v>ORD-BB-0289-14/04/24</v>
      </c>
      <c r="D277" s="3" t="s">
        <v>345</v>
      </c>
      <c r="E277" t="str">
        <f t="shared" si="147"/>
        <v>PW001</v>
      </c>
      <c r="F277" t="str">
        <f>INDEX(Katalog!$B$4:$B$13,MATCH('Main Data'!E277,Katalog!$C$4:$C$13,0))</f>
        <v>Dress</v>
      </c>
      <c r="G277" t="str">
        <f>VLOOKUP(E277,Katalog!$A$15:$B$25,2,0)</f>
        <v>Pakaian Wanita</v>
      </c>
      <c r="H277" t="str">
        <f t="shared" si="148"/>
        <v>4</v>
      </c>
      <c r="I277" t="str">
        <f t="shared" si="149"/>
        <v>1</v>
      </c>
      <c r="J277" s="18">
        <f>VLOOKUP(E277,Katalog!$C$3:$F$13,2,0)</f>
        <v>150000</v>
      </c>
      <c r="K277" s="18">
        <f>VLOOKUP(E277,Katalog!$C$3:$F$13,3,0)</f>
        <v>55000</v>
      </c>
      <c r="L277" t="str">
        <f t="shared" si="150"/>
        <v>PW003</v>
      </c>
      <c r="M277" t="str">
        <f>IFERROR(INDEX(Katalog!$B$4:$B$13,MATCH('Main Data'!L277,Katalog!$C$4:$C$13,0)), "-")</f>
        <v>Kaftan</v>
      </c>
      <c r="N277" t="str">
        <f>IFERROR(VLOOKUP(L277,Katalog!$A$15:$B$25,2,0),"-")</f>
        <v>Pakaian Wanita</v>
      </c>
      <c r="O277" t="str">
        <f t="shared" si="151"/>
        <v>1</v>
      </c>
      <c r="P277" t="str">
        <f t="shared" si="152"/>
        <v>2</v>
      </c>
      <c r="Q277" s="18">
        <f>IFERROR(VLOOKUP(L277,Katalog!$C$3:$F$13,2,0),0)</f>
        <v>200000</v>
      </c>
      <c r="R277" s="18">
        <f>IFERROR(VLOOKUP(L277,Katalog!$C$3:$F$13,3,0),0)</f>
        <v>100000</v>
      </c>
      <c r="S277" t="str">
        <f t="shared" si="153"/>
        <v>SP002</v>
      </c>
      <c r="T277" t="str">
        <f>IFERROR(INDEX(Katalog!$B$4:$B$13,MATCH('Main Data'!S277,Katalog!$C$4:$C$13,0)),"-")</f>
        <v>Sandal Slip On</v>
      </c>
      <c r="U277" t="str">
        <f>IFERROR(VLOOKUP(S277,Katalog!$A$15:$B$25,2,0),"-")</f>
        <v>Sepatu Pria</v>
      </c>
      <c r="V277" t="str">
        <f t="shared" si="154"/>
        <v>1</v>
      </c>
      <c r="W277" s="28" t="str">
        <f t="shared" si="155"/>
        <v>2</v>
      </c>
      <c r="X277" s="18">
        <f>IFERROR(VLOOKUP(S277,Katalog!$C$3:$F$13,2,0),0)</f>
        <v>120000</v>
      </c>
      <c r="Y277" s="30">
        <f>IFERROR(VLOOKUP(S277,Katalog!$C$3:$F$13,3,0),0)</f>
        <v>60000</v>
      </c>
      <c r="Z277" s="2">
        <f t="shared" si="156"/>
        <v>6</v>
      </c>
      <c r="AA277" s="4">
        <f t="shared" si="157"/>
        <v>920000</v>
      </c>
      <c r="AB277" s="4">
        <f t="shared" si="158"/>
        <v>380000</v>
      </c>
      <c r="AC277" s="4" t="s">
        <v>27</v>
      </c>
      <c r="AD277" s="16">
        <f>IFERROR(VLOOKUP(AC277,'Kode Diskon'!$C$2:$D$9,2,0),0)</f>
        <v>0.15</v>
      </c>
      <c r="AE277" s="31">
        <f t="shared" si="159"/>
        <v>138000</v>
      </c>
      <c r="AF277" s="31">
        <f t="shared" si="160"/>
        <v>782000</v>
      </c>
      <c r="AG277" s="31">
        <f t="shared" si="161"/>
        <v>540000</v>
      </c>
      <c r="AH277" s="31">
        <f t="shared" si="162"/>
        <v>402000</v>
      </c>
      <c r="AI277" s="4" t="s">
        <v>28</v>
      </c>
      <c r="AJ277" s="4" t="s">
        <v>13</v>
      </c>
      <c r="AK277" s="4" t="str">
        <f>IFERROR(VLOOKUP(AJ277,'Guide '!$A$13:$B$16,2,0),"-")</f>
        <v>BB</v>
      </c>
      <c r="AL277" s="4" t="s">
        <v>922</v>
      </c>
      <c r="AM277" s="40">
        <v>45396</v>
      </c>
      <c r="AN277">
        <f t="shared" si="163"/>
        <v>29</v>
      </c>
      <c r="AO277">
        <f t="shared" si="164"/>
        <v>32</v>
      </c>
      <c r="AP277">
        <f t="shared" si="165"/>
        <v>40</v>
      </c>
      <c r="AQ277">
        <f t="shared" si="166"/>
        <v>43</v>
      </c>
      <c r="AR277" s="26">
        <f t="shared" si="167"/>
        <v>56</v>
      </c>
      <c r="AS277" s="26">
        <f t="shared" si="168"/>
        <v>63</v>
      </c>
      <c r="AT277" s="21">
        <f t="shared" si="169"/>
        <v>12</v>
      </c>
      <c r="AU277" s="21">
        <f t="shared" si="170"/>
        <v>19</v>
      </c>
      <c r="AV277">
        <f t="shared" si="171"/>
        <v>73</v>
      </c>
      <c r="AW277">
        <f t="shared" si="172"/>
        <v>76</v>
      </c>
      <c r="AX277">
        <f t="shared" si="173"/>
        <v>84</v>
      </c>
      <c r="AY277">
        <f t="shared" si="174"/>
        <v>87</v>
      </c>
      <c r="AZ277">
        <f t="shared" si="175"/>
        <v>100</v>
      </c>
      <c r="BA277">
        <f t="shared" si="176"/>
        <v>107</v>
      </c>
      <c r="BB277">
        <f t="shared" si="177"/>
        <v>117</v>
      </c>
      <c r="BC277">
        <f t="shared" si="178"/>
        <v>120</v>
      </c>
      <c r="BD277" s="29">
        <f t="shared" si="179"/>
        <v>128</v>
      </c>
      <c r="BE277" s="29">
        <f t="shared" si="180"/>
        <v>131</v>
      </c>
    </row>
    <row r="278" spans="1:57" ht="15" x14ac:dyDescent="0.2">
      <c r="A278" s="2">
        <v>834</v>
      </c>
      <c r="B278" s="2" t="str">
        <f t="shared" si="145"/>
        <v>0834</v>
      </c>
      <c r="C278" t="str">
        <f t="shared" si="146"/>
        <v>ORD-BL-0834-14/04/24</v>
      </c>
      <c r="D278" s="3" t="s">
        <v>139</v>
      </c>
      <c r="E278" t="str">
        <f t="shared" si="147"/>
        <v>PW001</v>
      </c>
      <c r="F278" t="str">
        <f>INDEX(Katalog!$B$4:$B$13,MATCH('Main Data'!E278,Katalog!$C$4:$C$13,0))</f>
        <v>Dress</v>
      </c>
      <c r="G278" t="str">
        <f>VLOOKUP(E278,Katalog!$A$15:$B$25,2,0)</f>
        <v>Pakaian Wanita</v>
      </c>
      <c r="H278" t="str">
        <f t="shared" si="148"/>
        <v>1</v>
      </c>
      <c r="I278" t="str">
        <f t="shared" si="149"/>
        <v>5</v>
      </c>
      <c r="J278" s="18">
        <f>VLOOKUP(E278,Katalog!$C$3:$F$13,2,0)</f>
        <v>150000</v>
      </c>
      <c r="K278" s="18">
        <f>VLOOKUP(E278,Katalog!$C$3:$F$13,3,0)</f>
        <v>55000</v>
      </c>
      <c r="L278" t="str">
        <f t="shared" si="150"/>
        <v>-</v>
      </c>
      <c r="M278" t="str">
        <f>IFERROR(INDEX(Katalog!$B$4:$B$13,MATCH('Main Data'!L278,Katalog!$C$4:$C$13,0)), "-")</f>
        <v>-</v>
      </c>
      <c r="N278" t="str">
        <f>IFERROR(VLOOKUP(L278,Katalog!$A$15:$B$25,2,0),"-")</f>
        <v>-</v>
      </c>
      <c r="O278">
        <f t="shared" si="151"/>
        <v>0</v>
      </c>
      <c r="P278" t="str">
        <f t="shared" si="152"/>
        <v>-</v>
      </c>
      <c r="Q278" s="18">
        <f>IFERROR(VLOOKUP(L278,Katalog!$C$3:$F$13,2,0),0)</f>
        <v>0</v>
      </c>
      <c r="R278" s="18">
        <f>IFERROR(VLOOKUP(L278,Katalog!$C$3:$F$13,3,0),0)</f>
        <v>0</v>
      </c>
      <c r="S278" t="str">
        <f t="shared" si="153"/>
        <v>-</v>
      </c>
      <c r="T278" t="str">
        <f>IFERROR(INDEX(Katalog!$B$4:$B$13,MATCH('Main Data'!S278,Katalog!$C$4:$C$13,0)),"-")</f>
        <v>-</v>
      </c>
      <c r="U278" t="str">
        <f>IFERROR(VLOOKUP(S278,Katalog!$A$15:$B$25,2,0),"-")</f>
        <v>-</v>
      </c>
      <c r="V278">
        <f t="shared" si="154"/>
        <v>0</v>
      </c>
      <c r="W278" s="28" t="str">
        <f t="shared" si="155"/>
        <v>-</v>
      </c>
      <c r="X278" s="18">
        <f>IFERROR(VLOOKUP(S278,Katalog!$C$3:$F$13,2,0),0)</f>
        <v>0</v>
      </c>
      <c r="Y278" s="30">
        <f>IFERROR(VLOOKUP(S278,Katalog!$C$3:$F$13,3,0),0)</f>
        <v>0</v>
      </c>
      <c r="Z278" s="2">
        <f t="shared" si="156"/>
        <v>1</v>
      </c>
      <c r="AA278" s="4">
        <f t="shared" si="157"/>
        <v>150000</v>
      </c>
      <c r="AB278" s="4">
        <f t="shared" si="158"/>
        <v>55000</v>
      </c>
      <c r="AC278" s="4" t="s">
        <v>31</v>
      </c>
      <c r="AD278" s="16">
        <f>IFERROR(VLOOKUP(AC278,'Kode Diskon'!$C$2:$D$9,2,0),0)</f>
        <v>0.15</v>
      </c>
      <c r="AE278" s="31">
        <f t="shared" si="159"/>
        <v>22500</v>
      </c>
      <c r="AF278" s="31">
        <f t="shared" si="160"/>
        <v>127500</v>
      </c>
      <c r="AG278" s="31">
        <f t="shared" si="161"/>
        <v>95000</v>
      </c>
      <c r="AH278" s="31">
        <f t="shared" si="162"/>
        <v>72500</v>
      </c>
      <c r="AI278" s="4" t="s">
        <v>8</v>
      </c>
      <c r="AJ278" s="4" t="s">
        <v>11</v>
      </c>
      <c r="AK278" s="4" t="str">
        <f>IFERROR(VLOOKUP(AJ278,'Guide '!$A$13:$B$16,2,0),"-")</f>
        <v>BL</v>
      </c>
      <c r="AL278" s="4" t="s">
        <v>921</v>
      </c>
      <c r="AM278" s="40">
        <v>45396</v>
      </c>
      <c r="AN278">
        <f t="shared" si="163"/>
        <v>29</v>
      </c>
      <c r="AO278">
        <f t="shared" si="164"/>
        <v>32</v>
      </c>
      <c r="AP278">
        <f t="shared" si="165"/>
        <v>40</v>
      </c>
      <c r="AQ278">
        <f t="shared" si="166"/>
        <v>43</v>
      </c>
      <c r="AR278" s="26" t="str">
        <f t="shared" si="167"/>
        <v>-</v>
      </c>
      <c r="AS278" s="26" t="str">
        <f t="shared" si="168"/>
        <v>-</v>
      </c>
      <c r="AT278" s="21">
        <f t="shared" si="169"/>
        <v>12</v>
      </c>
      <c r="AU278" s="21">
        <f t="shared" si="170"/>
        <v>19</v>
      </c>
      <c r="AV278" t="str">
        <f t="shared" si="171"/>
        <v>-</v>
      </c>
      <c r="AW278" t="str">
        <f t="shared" si="172"/>
        <v>-</v>
      </c>
      <c r="AX278" t="str">
        <f t="shared" si="173"/>
        <v>-</v>
      </c>
      <c r="AY278" t="str">
        <f t="shared" si="174"/>
        <v>-</v>
      </c>
      <c r="AZ278" t="str">
        <f t="shared" si="175"/>
        <v>-</v>
      </c>
      <c r="BA278" t="str">
        <f t="shared" si="176"/>
        <v>-</v>
      </c>
      <c r="BB278" t="str">
        <f t="shared" si="177"/>
        <v>-</v>
      </c>
      <c r="BC278" t="str">
        <f t="shared" si="178"/>
        <v>-</v>
      </c>
      <c r="BD278" s="29" t="str">
        <f t="shared" si="179"/>
        <v>-</v>
      </c>
      <c r="BE278" s="29" t="str">
        <f t="shared" si="180"/>
        <v>-</v>
      </c>
    </row>
    <row r="279" spans="1:57" ht="15" x14ac:dyDescent="0.2">
      <c r="A279" s="2">
        <v>133</v>
      </c>
      <c r="B279" s="2" t="str">
        <f t="shared" si="145"/>
        <v>0133</v>
      </c>
      <c r="C279" t="str">
        <f t="shared" si="146"/>
        <v>ORD-SP-0133-15/04/24</v>
      </c>
      <c r="D279" s="3" t="s">
        <v>203</v>
      </c>
      <c r="E279" t="str">
        <f t="shared" si="147"/>
        <v>PW002</v>
      </c>
      <c r="F279" t="str">
        <f>INDEX(Katalog!$B$4:$B$13,MATCH('Main Data'!E279,Katalog!$C$4:$C$13,0))</f>
        <v>Blouse</v>
      </c>
      <c r="G279" t="str">
        <f>VLOOKUP(E279,Katalog!$A$15:$B$25,2,0)</f>
        <v>Pakaian Wanita</v>
      </c>
      <c r="H279" t="str">
        <f t="shared" si="148"/>
        <v>1</v>
      </c>
      <c r="I279" t="str">
        <f t="shared" si="149"/>
        <v>4</v>
      </c>
      <c r="J279" s="18">
        <f>VLOOKUP(E279,Katalog!$C$3:$F$13,2,0)</f>
        <v>125000</v>
      </c>
      <c r="K279" s="18">
        <f>VLOOKUP(E279,Katalog!$C$3:$F$13,3,0)</f>
        <v>50000</v>
      </c>
      <c r="L279" t="str">
        <f t="shared" si="150"/>
        <v>PP001</v>
      </c>
      <c r="M279" t="str">
        <f>IFERROR(INDEX(Katalog!$B$4:$B$13,MATCH('Main Data'!L279,Katalog!$C$4:$C$13,0)), "-")</f>
        <v>Kaos Polo</v>
      </c>
      <c r="N279" t="str">
        <f>IFERROR(VLOOKUP(L279,Katalog!$A$15:$B$25,2,0),"-")</f>
        <v>Pakaian Pria</v>
      </c>
      <c r="O279" t="str">
        <f t="shared" si="151"/>
        <v>1</v>
      </c>
      <c r="P279" t="str">
        <f t="shared" si="152"/>
        <v>3</v>
      </c>
      <c r="Q279" s="18">
        <f>IFERROR(VLOOKUP(L279,Katalog!$C$3:$F$13,2,0),0)</f>
        <v>80000</v>
      </c>
      <c r="R279" s="18">
        <f>IFERROR(VLOOKUP(L279,Katalog!$C$3:$F$13,3,0),0)</f>
        <v>30000</v>
      </c>
      <c r="S279" t="str">
        <f t="shared" si="153"/>
        <v>SW001</v>
      </c>
      <c r="T279" t="str">
        <f>IFERROR(INDEX(Katalog!$B$4:$B$13,MATCH('Main Data'!S279,Katalog!$C$4:$C$13,0)),"-")</f>
        <v>Flat Shoes</v>
      </c>
      <c r="U279" t="str">
        <f>IFERROR(VLOOKUP(S279,Katalog!$A$15:$B$25,2,0),"-")</f>
        <v>Sepatu Wanita</v>
      </c>
      <c r="V279" t="str">
        <f t="shared" si="154"/>
        <v>5</v>
      </c>
      <c r="W279" s="28" t="str">
        <f t="shared" si="155"/>
        <v>5</v>
      </c>
      <c r="X279" s="18">
        <f>IFERROR(VLOOKUP(S279,Katalog!$C$3:$F$13,2,0),0)</f>
        <v>150000</v>
      </c>
      <c r="Y279" s="30">
        <f>IFERROR(VLOOKUP(S279,Katalog!$C$3:$F$13,3,0),0)</f>
        <v>70000</v>
      </c>
      <c r="Z279" s="2">
        <f t="shared" si="156"/>
        <v>7</v>
      </c>
      <c r="AA279" s="4">
        <f t="shared" si="157"/>
        <v>955000</v>
      </c>
      <c r="AB279" s="4">
        <f t="shared" si="158"/>
        <v>430000</v>
      </c>
      <c r="AC279" s="4" t="s">
        <v>12</v>
      </c>
      <c r="AD279" s="16">
        <f>IFERROR(VLOOKUP(AC279,'Kode Diskon'!$C$2:$D$9,2,0),0)</f>
        <v>0.15</v>
      </c>
      <c r="AE279" s="31">
        <f t="shared" si="159"/>
        <v>143250</v>
      </c>
      <c r="AF279" s="31">
        <f t="shared" si="160"/>
        <v>811750</v>
      </c>
      <c r="AG279" s="31">
        <f t="shared" si="161"/>
        <v>525000</v>
      </c>
      <c r="AH279" s="31">
        <f t="shared" si="162"/>
        <v>381750</v>
      </c>
      <c r="AI279" s="4" t="s">
        <v>28</v>
      </c>
      <c r="AJ279" s="4" t="s">
        <v>6</v>
      </c>
      <c r="AK279" s="4" t="str">
        <f>IFERROR(VLOOKUP(AJ279,'Guide '!$A$13:$B$16,2,0),"-")</f>
        <v>SP</v>
      </c>
      <c r="AL279" s="4" t="s">
        <v>1006</v>
      </c>
      <c r="AM279" s="40">
        <v>45397</v>
      </c>
      <c r="AN279">
        <f t="shared" si="163"/>
        <v>29</v>
      </c>
      <c r="AO279">
        <f t="shared" si="164"/>
        <v>32</v>
      </c>
      <c r="AP279">
        <f t="shared" si="165"/>
        <v>40</v>
      </c>
      <c r="AQ279">
        <f t="shared" si="166"/>
        <v>43</v>
      </c>
      <c r="AR279" s="26">
        <f t="shared" si="167"/>
        <v>56</v>
      </c>
      <c r="AS279" s="26">
        <f t="shared" si="168"/>
        <v>63</v>
      </c>
      <c r="AT279" s="21">
        <f t="shared" si="169"/>
        <v>12</v>
      </c>
      <c r="AU279" s="21">
        <f t="shared" si="170"/>
        <v>19</v>
      </c>
      <c r="AV279">
        <f t="shared" si="171"/>
        <v>73</v>
      </c>
      <c r="AW279">
        <f t="shared" si="172"/>
        <v>76</v>
      </c>
      <c r="AX279">
        <f t="shared" si="173"/>
        <v>84</v>
      </c>
      <c r="AY279">
        <f t="shared" si="174"/>
        <v>87</v>
      </c>
      <c r="AZ279">
        <f t="shared" si="175"/>
        <v>100</v>
      </c>
      <c r="BA279">
        <f t="shared" si="176"/>
        <v>107</v>
      </c>
      <c r="BB279">
        <f t="shared" si="177"/>
        <v>117</v>
      </c>
      <c r="BC279">
        <f t="shared" si="178"/>
        <v>120</v>
      </c>
      <c r="BD279" s="29">
        <f t="shared" si="179"/>
        <v>128</v>
      </c>
      <c r="BE279" s="29">
        <f t="shared" si="180"/>
        <v>131</v>
      </c>
    </row>
    <row r="280" spans="1:57" ht="15" x14ac:dyDescent="0.2">
      <c r="A280" s="2">
        <v>434</v>
      </c>
      <c r="B280" s="2" t="str">
        <f t="shared" si="145"/>
        <v>0434</v>
      </c>
      <c r="C280" t="str">
        <f t="shared" si="146"/>
        <v>ORD-BB-0434-15/04/24</v>
      </c>
      <c r="D280" s="3" t="s">
        <v>475</v>
      </c>
      <c r="E280" t="str">
        <f t="shared" si="147"/>
        <v>PW003</v>
      </c>
      <c r="F280" t="str">
        <f>INDEX(Katalog!$B$4:$B$13,MATCH('Main Data'!E280,Katalog!$C$4:$C$13,0))</f>
        <v>Kaftan</v>
      </c>
      <c r="G280" t="str">
        <f>VLOOKUP(E280,Katalog!$A$15:$B$25,2,0)</f>
        <v>Pakaian Wanita</v>
      </c>
      <c r="H280" t="str">
        <f t="shared" si="148"/>
        <v>5</v>
      </c>
      <c r="I280" t="str">
        <f t="shared" si="149"/>
        <v>5</v>
      </c>
      <c r="J280" s="18">
        <f>VLOOKUP(E280,Katalog!$C$3:$F$13,2,0)</f>
        <v>200000</v>
      </c>
      <c r="K280" s="18">
        <f>VLOOKUP(E280,Katalog!$C$3:$F$13,3,0)</f>
        <v>100000</v>
      </c>
      <c r="L280" t="str">
        <f t="shared" si="150"/>
        <v>PP001</v>
      </c>
      <c r="M280" t="str">
        <f>IFERROR(INDEX(Katalog!$B$4:$B$13,MATCH('Main Data'!L280,Katalog!$C$4:$C$13,0)), "-")</f>
        <v>Kaos Polo</v>
      </c>
      <c r="N280" t="str">
        <f>IFERROR(VLOOKUP(L280,Katalog!$A$15:$B$25,2,0),"-")</f>
        <v>Pakaian Pria</v>
      </c>
      <c r="O280" t="str">
        <f t="shared" si="151"/>
        <v>1</v>
      </c>
      <c r="P280" t="str">
        <f t="shared" si="152"/>
        <v>1</v>
      </c>
      <c r="Q280" s="18">
        <f>IFERROR(VLOOKUP(L280,Katalog!$C$3:$F$13,2,0),0)</f>
        <v>80000</v>
      </c>
      <c r="R280" s="18">
        <f>IFERROR(VLOOKUP(L280,Katalog!$C$3:$F$13,3,0),0)</f>
        <v>30000</v>
      </c>
      <c r="S280" t="str">
        <f t="shared" si="153"/>
        <v>-</v>
      </c>
      <c r="T280" t="str">
        <f>IFERROR(INDEX(Katalog!$B$4:$B$13,MATCH('Main Data'!S280,Katalog!$C$4:$C$13,0)),"-")</f>
        <v>-</v>
      </c>
      <c r="U280" t="str">
        <f>IFERROR(VLOOKUP(S280,Katalog!$A$15:$B$25,2,0),"-")</f>
        <v>-</v>
      </c>
      <c r="V280">
        <f t="shared" si="154"/>
        <v>0</v>
      </c>
      <c r="W280" s="28" t="str">
        <f t="shared" si="155"/>
        <v>-</v>
      </c>
      <c r="X280" s="18">
        <f>IFERROR(VLOOKUP(S280,Katalog!$C$3:$F$13,2,0),0)</f>
        <v>0</v>
      </c>
      <c r="Y280" s="30">
        <f>IFERROR(VLOOKUP(S280,Katalog!$C$3:$F$13,3,0),0)</f>
        <v>0</v>
      </c>
      <c r="Z280" s="2">
        <f t="shared" si="156"/>
        <v>6</v>
      </c>
      <c r="AA280" s="4">
        <f t="shared" si="157"/>
        <v>1080000</v>
      </c>
      <c r="AB280" s="4">
        <f t="shared" si="158"/>
        <v>530000</v>
      </c>
      <c r="AC280" s="4" t="s">
        <v>27</v>
      </c>
      <c r="AD280" s="16">
        <f>IFERROR(VLOOKUP(AC280,'Kode Diskon'!$C$2:$D$9,2,0),0)</f>
        <v>0.15</v>
      </c>
      <c r="AE280" s="31">
        <f t="shared" si="159"/>
        <v>162000</v>
      </c>
      <c r="AF280" s="31">
        <f t="shared" si="160"/>
        <v>918000</v>
      </c>
      <c r="AG280" s="31">
        <f t="shared" si="161"/>
        <v>550000</v>
      </c>
      <c r="AH280" s="31">
        <f t="shared" si="162"/>
        <v>388000</v>
      </c>
      <c r="AI280" s="4" t="s">
        <v>28</v>
      </c>
      <c r="AJ280" s="4" t="s">
        <v>13</v>
      </c>
      <c r="AK280" s="4" t="str">
        <f>IFERROR(VLOOKUP(AJ280,'Guide '!$A$13:$B$16,2,0),"-")</f>
        <v>BB</v>
      </c>
      <c r="AL280" s="4" t="s">
        <v>924</v>
      </c>
      <c r="AM280" s="40">
        <v>45397</v>
      </c>
      <c r="AN280">
        <f t="shared" si="163"/>
        <v>29</v>
      </c>
      <c r="AO280">
        <f t="shared" si="164"/>
        <v>32</v>
      </c>
      <c r="AP280">
        <f t="shared" si="165"/>
        <v>40</v>
      </c>
      <c r="AQ280">
        <f t="shared" si="166"/>
        <v>43</v>
      </c>
      <c r="AR280" s="26">
        <f t="shared" si="167"/>
        <v>56</v>
      </c>
      <c r="AS280" s="26">
        <f t="shared" si="168"/>
        <v>63</v>
      </c>
      <c r="AT280" s="21">
        <f t="shared" si="169"/>
        <v>12</v>
      </c>
      <c r="AU280" s="21">
        <f t="shared" si="170"/>
        <v>19</v>
      </c>
      <c r="AV280">
        <f t="shared" si="171"/>
        <v>73</v>
      </c>
      <c r="AW280">
        <f t="shared" si="172"/>
        <v>76</v>
      </c>
      <c r="AX280">
        <f t="shared" si="173"/>
        <v>84</v>
      </c>
      <c r="AY280">
        <f t="shared" si="174"/>
        <v>87</v>
      </c>
      <c r="AZ280" t="str">
        <f t="shared" si="175"/>
        <v>-</v>
      </c>
      <c r="BA280" t="str">
        <f t="shared" si="176"/>
        <v>-</v>
      </c>
      <c r="BB280" t="str">
        <f t="shared" si="177"/>
        <v>-</v>
      </c>
      <c r="BC280" t="str">
        <f t="shared" si="178"/>
        <v>-</v>
      </c>
      <c r="BD280" s="29" t="str">
        <f t="shared" si="179"/>
        <v>-</v>
      </c>
      <c r="BE280" s="29" t="str">
        <f t="shared" si="180"/>
        <v>-</v>
      </c>
    </row>
    <row r="281" spans="1:57" ht="15" x14ac:dyDescent="0.2">
      <c r="A281" s="2">
        <v>758</v>
      </c>
      <c r="B281" s="2" t="str">
        <f t="shared" si="145"/>
        <v>0758</v>
      </c>
      <c r="C281" t="str">
        <f t="shared" si="146"/>
        <v>ORD-BL-0758-15/04/24</v>
      </c>
      <c r="D281" s="3" t="s">
        <v>736</v>
      </c>
      <c r="E281" t="str">
        <f t="shared" si="147"/>
        <v>PP001</v>
      </c>
      <c r="F281" t="str">
        <f>INDEX(Katalog!$B$4:$B$13,MATCH('Main Data'!E281,Katalog!$C$4:$C$13,0))</f>
        <v>Kaos Polo</v>
      </c>
      <c r="G281" t="str">
        <f>VLOOKUP(E281,Katalog!$A$15:$B$25,2,0)</f>
        <v>Pakaian Pria</v>
      </c>
      <c r="H281" t="str">
        <f t="shared" si="148"/>
        <v>2</v>
      </c>
      <c r="I281" t="str">
        <f t="shared" si="149"/>
        <v>1</v>
      </c>
      <c r="J281" s="18">
        <f>VLOOKUP(E281,Katalog!$C$3:$F$13,2,0)</f>
        <v>80000</v>
      </c>
      <c r="K281" s="18">
        <f>VLOOKUP(E281,Katalog!$C$3:$F$13,3,0)</f>
        <v>30000</v>
      </c>
      <c r="L281" t="str">
        <f t="shared" si="150"/>
        <v>PW003</v>
      </c>
      <c r="M281" t="str">
        <f>IFERROR(INDEX(Katalog!$B$4:$B$13,MATCH('Main Data'!L281,Katalog!$C$4:$C$13,0)), "-")</f>
        <v>Kaftan</v>
      </c>
      <c r="N281" t="str">
        <f>IFERROR(VLOOKUP(L281,Katalog!$A$15:$B$25,2,0),"-")</f>
        <v>Pakaian Wanita</v>
      </c>
      <c r="O281" t="str">
        <f t="shared" si="151"/>
        <v>1</v>
      </c>
      <c r="P281" t="str">
        <f t="shared" si="152"/>
        <v>1</v>
      </c>
      <c r="Q281" s="18">
        <f>IFERROR(VLOOKUP(L281,Katalog!$C$3:$F$13,2,0),0)</f>
        <v>200000</v>
      </c>
      <c r="R281" s="18">
        <f>IFERROR(VLOOKUP(L281,Katalog!$C$3:$F$13,3,0),0)</f>
        <v>100000</v>
      </c>
      <c r="S281" t="str">
        <f t="shared" si="153"/>
        <v>PW002</v>
      </c>
      <c r="T281" t="str">
        <f>IFERROR(INDEX(Katalog!$B$4:$B$13,MATCH('Main Data'!S281,Katalog!$C$4:$C$13,0)),"-")</f>
        <v>Blouse</v>
      </c>
      <c r="U281" t="str">
        <f>IFERROR(VLOOKUP(S281,Katalog!$A$15:$B$25,2,0),"-")</f>
        <v>Pakaian Wanita</v>
      </c>
      <c r="V281" t="str">
        <f t="shared" si="154"/>
        <v>2</v>
      </c>
      <c r="W281" s="28" t="str">
        <f t="shared" si="155"/>
        <v>1</v>
      </c>
      <c r="X281" s="18">
        <f>IFERROR(VLOOKUP(S281,Katalog!$C$3:$F$13,2,0),0)</f>
        <v>125000</v>
      </c>
      <c r="Y281" s="30">
        <f>IFERROR(VLOOKUP(S281,Katalog!$C$3:$F$13,3,0),0)</f>
        <v>50000</v>
      </c>
      <c r="Z281" s="2">
        <f t="shared" si="156"/>
        <v>5</v>
      </c>
      <c r="AA281" s="4">
        <f t="shared" si="157"/>
        <v>610000</v>
      </c>
      <c r="AB281" s="4">
        <f t="shared" si="158"/>
        <v>260000</v>
      </c>
      <c r="AC281" s="4" t="s">
        <v>31</v>
      </c>
      <c r="AD281" s="16">
        <f>IFERROR(VLOOKUP(AC281,'Kode Diskon'!$C$2:$D$9,2,0),0)</f>
        <v>0.15</v>
      </c>
      <c r="AE281" s="31">
        <f t="shared" si="159"/>
        <v>91500</v>
      </c>
      <c r="AF281" s="31">
        <f t="shared" si="160"/>
        <v>518500</v>
      </c>
      <c r="AG281" s="31">
        <f t="shared" si="161"/>
        <v>350000</v>
      </c>
      <c r="AH281" s="31">
        <f t="shared" si="162"/>
        <v>258500</v>
      </c>
      <c r="AI281" s="4" t="s">
        <v>8</v>
      </c>
      <c r="AJ281" s="4" t="s">
        <v>11</v>
      </c>
      <c r="AK281" s="4" t="str">
        <f>IFERROR(VLOOKUP(AJ281,'Guide '!$A$13:$B$16,2,0),"-")</f>
        <v>BL</v>
      </c>
      <c r="AL281" s="4" t="s">
        <v>1006</v>
      </c>
      <c r="AM281" s="40">
        <v>45397</v>
      </c>
      <c r="AN281">
        <f t="shared" si="163"/>
        <v>29</v>
      </c>
      <c r="AO281">
        <f t="shared" si="164"/>
        <v>32</v>
      </c>
      <c r="AP281">
        <f t="shared" si="165"/>
        <v>40</v>
      </c>
      <c r="AQ281">
        <f t="shared" si="166"/>
        <v>43</v>
      </c>
      <c r="AR281" s="26">
        <f t="shared" si="167"/>
        <v>56</v>
      </c>
      <c r="AS281" s="26">
        <f t="shared" si="168"/>
        <v>63</v>
      </c>
      <c r="AT281" s="21">
        <f t="shared" si="169"/>
        <v>12</v>
      </c>
      <c r="AU281" s="21">
        <f t="shared" si="170"/>
        <v>19</v>
      </c>
      <c r="AV281">
        <f t="shared" si="171"/>
        <v>73</v>
      </c>
      <c r="AW281">
        <f t="shared" si="172"/>
        <v>76</v>
      </c>
      <c r="AX281">
        <f t="shared" si="173"/>
        <v>84</v>
      </c>
      <c r="AY281">
        <f t="shared" si="174"/>
        <v>87</v>
      </c>
      <c r="AZ281">
        <f t="shared" si="175"/>
        <v>100</v>
      </c>
      <c r="BA281">
        <f t="shared" si="176"/>
        <v>107</v>
      </c>
      <c r="BB281">
        <f t="shared" si="177"/>
        <v>117</v>
      </c>
      <c r="BC281">
        <f t="shared" si="178"/>
        <v>120</v>
      </c>
      <c r="BD281" s="29">
        <f t="shared" si="179"/>
        <v>128</v>
      </c>
      <c r="BE281" s="29">
        <f t="shared" si="180"/>
        <v>131</v>
      </c>
    </row>
    <row r="282" spans="1:57" ht="15" x14ac:dyDescent="0.2">
      <c r="A282" s="2">
        <v>371</v>
      </c>
      <c r="B282" s="2" t="str">
        <f t="shared" si="145"/>
        <v>0371</v>
      </c>
      <c r="C282" t="str">
        <f t="shared" si="146"/>
        <v>ORD-BB-0371-16/04/24</v>
      </c>
      <c r="D282" s="3" t="s">
        <v>421</v>
      </c>
      <c r="E282" t="str">
        <f t="shared" si="147"/>
        <v>PW001</v>
      </c>
      <c r="F282" t="str">
        <f>INDEX(Katalog!$B$4:$B$13,MATCH('Main Data'!E282,Katalog!$C$4:$C$13,0))</f>
        <v>Dress</v>
      </c>
      <c r="G282" t="str">
        <f>VLOOKUP(E282,Katalog!$A$15:$B$25,2,0)</f>
        <v>Pakaian Wanita</v>
      </c>
      <c r="H282" t="str">
        <f t="shared" si="148"/>
        <v>3</v>
      </c>
      <c r="I282" t="str">
        <f t="shared" si="149"/>
        <v>3</v>
      </c>
      <c r="J282" s="18">
        <f>VLOOKUP(E282,Katalog!$C$3:$F$13,2,0)</f>
        <v>150000</v>
      </c>
      <c r="K282" s="18">
        <f>VLOOKUP(E282,Katalog!$C$3:$F$13,3,0)</f>
        <v>55000</v>
      </c>
      <c r="L282" t="str">
        <f t="shared" si="150"/>
        <v>PP002</v>
      </c>
      <c r="M282" t="str">
        <f>IFERROR(INDEX(Katalog!$B$4:$B$13,MATCH('Main Data'!L282,Katalog!$C$4:$C$13,0)), "-")</f>
        <v>Celana Pendek</v>
      </c>
      <c r="N282" t="str">
        <f>IFERROR(VLOOKUP(L282,Katalog!$A$15:$B$25,2,0),"-")</f>
        <v>Pakaian Pria</v>
      </c>
      <c r="O282" t="str">
        <f t="shared" si="151"/>
        <v>2</v>
      </c>
      <c r="P282" t="str">
        <f t="shared" si="152"/>
        <v>3</v>
      </c>
      <c r="Q282" s="18">
        <f>IFERROR(VLOOKUP(L282,Katalog!$C$3:$F$13,2,0),0)</f>
        <v>60000</v>
      </c>
      <c r="R282" s="18">
        <f>IFERROR(VLOOKUP(L282,Katalog!$C$3:$F$13,3,0),0)</f>
        <v>25000</v>
      </c>
      <c r="S282" t="str">
        <f t="shared" si="153"/>
        <v>SW001</v>
      </c>
      <c r="T282" t="str">
        <f>IFERROR(INDEX(Katalog!$B$4:$B$13,MATCH('Main Data'!S282,Katalog!$C$4:$C$13,0)),"-")</f>
        <v>Flat Shoes</v>
      </c>
      <c r="U282" t="str">
        <f>IFERROR(VLOOKUP(S282,Katalog!$A$15:$B$25,2,0),"-")</f>
        <v>Sepatu Wanita</v>
      </c>
      <c r="V282" t="str">
        <f t="shared" si="154"/>
        <v>1</v>
      </c>
      <c r="W282" s="28" t="str">
        <f t="shared" si="155"/>
        <v>2</v>
      </c>
      <c r="X282" s="18">
        <f>IFERROR(VLOOKUP(S282,Katalog!$C$3:$F$13,2,0),0)</f>
        <v>150000</v>
      </c>
      <c r="Y282" s="30">
        <f>IFERROR(VLOOKUP(S282,Katalog!$C$3:$F$13,3,0),0)</f>
        <v>70000</v>
      </c>
      <c r="Z282" s="2">
        <f t="shared" si="156"/>
        <v>6</v>
      </c>
      <c r="AA282" s="4">
        <f t="shared" si="157"/>
        <v>720000</v>
      </c>
      <c r="AB282" s="4">
        <f t="shared" si="158"/>
        <v>285000</v>
      </c>
      <c r="AC282" s="4" t="s">
        <v>10</v>
      </c>
      <c r="AD282" s="16">
        <f>IFERROR(VLOOKUP(AC282,'Kode Diskon'!$C$2:$D$9,2,0),0)</f>
        <v>0</v>
      </c>
      <c r="AE282" s="31">
        <f t="shared" si="159"/>
        <v>0</v>
      </c>
      <c r="AF282" s="31">
        <f t="shared" si="160"/>
        <v>720000</v>
      </c>
      <c r="AG282" s="31">
        <f t="shared" si="161"/>
        <v>435000</v>
      </c>
      <c r="AH282" s="31">
        <f t="shared" si="162"/>
        <v>435000</v>
      </c>
      <c r="AI282" s="4" t="s">
        <v>10</v>
      </c>
      <c r="AJ282" s="4" t="s">
        <v>13</v>
      </c>
      <c r="AK282" s="4" t="str">
        <f>IFERROR(VLOOKUP(AJ282,'Guide '!$A$13:$B$16,2,0),"-")</f>
        <v>BB</v>
      </c>
      <c r="AL282" s="4" t="s">
        <v>1006</v>
      </c>
      <c r="AM282" s="40">
        <v>45398</v>
      </c>
      <c r="AN282">
        <f t="shared" si="163"/>
        <v>29</v>
      </c>
      <c r="AO282">
        <f t="shared" si="164"/>
        <v>32</v>
      </c>
      <c r="AP282">
        <f t="shared" si="165"/>
        <v>40</v>
      </c>
      <c r="AQ282">
        <f t="shared" si="166"/>
        <v>43</v>
      </c>
      <c r="AR282" s="26">
        <f t="shared" si="167"/>
        <v>56</v>
      </c>
      <c r="AS282" s="26">
        <f t="shared" si="168"/>
        <v>63</v>
      </c>
      <c r="AT282" s="21">
        <f t="shared" si="169"/>
        <v>12</v>
      </c>
      <c r="AU282" s="21">
        <f t="shared" si="170"/>
        <v>19</v>
      </c>
      <c r="AV282">
        <f t="shared" si="171"/>
        <v>73</v>
      </c>
      <c r="AW282">
        <f t="shared" si="172"/>
        <v>76</v>
      </c>
      <c r="AX282">
        <f t="shared" si="173"/>
        <v>84</v>
      </c>
      <c r="AY282">
        <f t="shared" si="174"/>
        <v>87</v>
      </c>
      <c r="AZ282">
        <f t="shared" si="175"/>
        <v>100</v>
      </c>
      <c r="BA282">
        <f t="shared" si="176"/>
        <v>107</v>
      </c>
      <c r="BB282">
        <f t="shared" si="177"/>
        <v>117</v>
      </c>
      <c r="BC282">
        <f t="shared" si="178"/>
        <v>120</v>
      </c>
      <c r="BD282" s="29">
        <f t="shared" si="179"/>
        <v>128</v>
      </c>
      <c r="BE282" s="29">
        <f t="shared" si="180"/>
        <v>131</v>
      </c>
    </row>
    <row r="283" spans="1:57" ht="15" x14ac:dyDescent="0.2">
      <c r="A283" s="2">
        <v>604</v>
      </c>
      <c r="B283" s="2" t="str">
        <f t="shared" si="145"/>
        <v>0604</v>
      </c>
      <c r="C283" t="str">
        <f t="shared" si="146"/>
        <v>ORD-TK-0604-16/04/24</v>
      </c>
      <c r="D283" s="3" t="s">
        <v>616</v>
      </c>
      <c r="E283" t="str">
        <f t="shared" si="147"/>
        <v>PW001</v>
      </c>
      <c r="F283" t="str">
        <f>INDEX(Katalog!$B$4:$B$13,MATCH('Main Data'!E283,Katalog!$C$4:$C$13,0))</f>
        <v>Dress</v>
      </c>
      <c r="G283" t="str">
        <f>VLOOKUP(E283,Katalog!$A$15:$B$25,2,0)</f>
        <v>Pakaian Wanita</v>
      </c>
      <c r="H283" t="str">
        <f t="shared" si="148"/>
        <v>3</v>
      </c>
      <c r="I283" t="str">
        <f t="shared" si="149"/>
        <v>2</v>
      </c>
      <c r="J283" s="18">
        <f>VLOOKUP(E283,Katalog!$C$3:$F$13,2,0)</f>
        <v>150000</v>
      </c>
      <c r="K283" s="18">
        <f>VLOOKUP(E283,Katalog!$C$3:$F$13,3,0)</f>
        <v>55000</v>
      </c>
      <c r="L283" t="str">
        <f t="shared" si="150"/>
        <v>PW003</v>
      </c>
      <c r="M283" t="str">
        <f>IFERROR(INDEX(Katalog!$B$4:$B$13,MATCH('Main Data'!L283,Katalog!$C$4:$C$13,0)), "-")</f>
        <v>Kaftan</v>
      </c>
      <c r="N283" t="str">
        <f>IFERROR(VLOOKUP(L283,Katalog!$A$15:$B$25,2,0),"-")</f>
        <v>Pakaian Wanita</v>
      </c>
      <c r="O283" t="str">
        <f t="shared" si="151"/>
        <v>1</v>
      </c>
      <c r="P283" t="str">
        <f t="shared" si="152"/>
        <v>1</v>
      </c>
      <c r="Q283" s="18">
        <f>IFERROR(VLOOKUP(L283,Katalog!$C$3:$F$13,2,0),0)</f>
        <v>200000</v>
      </c>
      <c r="R283" s="18">
        <f>IFERROR(VLOOKUP(L283,Katalog!$C$3:$F$13,3,0),0)</f>
        <v>100000</v>
      </c>
      <c r="S283" t="str">
        <f t="shared" si="153"/>
        <v>-</v>
      </c>
      <c r="T283" t="str">
        <f>IFERROR(INDEX(Katalog!$B$4:$B$13,MATCH('Main Data'!S283,Katalog!$C$4:$C$13,0)),"-")</f>
        <v>-</v>
      </c>
      <c r="U283" t="str">
        <f>IFERROR(VLOOKUP(S283,Katalog!$A$15:$B$25,2,0),"-")</f>
        <v>-</v>
      </c>
      <c r="V283">
        <f t="shared" si="154"/>
        <v>0</v>
      </c>
      <c r="W283" s="28" t="str">
        <f t="shared" si="155"/>
        <v>-</v>
      </c>
      <c r="X283" s="18">
        <f>IFERROR(VLOOKUP(S283,Katalog!$C$3:$F$13,2,0),0)</f>
        <v>0</v>
      </c>
      <c r="Y283" s="30">
        <f>IFERROR(VLOOKUP(S283,Katalog!$C$3:$F$13,3,0),0)</f>
        <v>0</v>
      </c>
      <c r="Z283" s="2">
        <f t="shared" si="156"/>
        <v>4</v>
      </c>
      <c r="AA283" s="4">
        <f t="shared" si="157"/>
        <v>650000</v>
      </c>
      <c r="AB283" s="4">
        <f t="shared" si="158"/>
        <v>265000</v>
      </c>
      <c r="AC283" s="4" t="s">
        <v>10</v>
      </c>
      <c r="AD283" s="16">
        <f>IFERROR(VLOOKUP(AC283,'Kode Diskon'!$C$2:$D$9,2,0),0)</f>
        <v>0</v>
      </c>
      <c r="AE283" s="31">
        <f t="shared" si="159"/>
        <v>0</v>
      </c>
      <c r="AF283" s="31">
        <f t="shared" si="160"/>
        <v>650000</v>
      </c>
      <c r="AG283" s="31">
        <f t="shared" si="161"/>
        <v>385000</v>
      </c>
      <c r="AH283" s="31">
        <f t="shared" si="162"/>
        <v>385000</v>
      </c>
      <c r="AI283" s="4" t="s">
        <v>10</v>
      </c>
      <c r="AJ283" s="4" t="s">
        <v>9</v>
      </c>
      <c r="AK283" s="4" t="str">
        <f>IFERROR(VLOOKUP(AJ283,'Guide '!$A$13:$B$16,2,0),"-")</f>
        <v>TK</v>
      </c>
      <c r="AL283" s="4" t="s">
        <v>921</v>
      </c>
      <c r="AM283" s="40">
        <v>45398</v>
      </c>
      <c r="AN283">
        <f t="shared" si="163"/>
        <v>29</v>
      </c>
      <c r="AO283">
        <f t="shared" si="164"/>
        <v>32</v>
      </c>
      <c r="AP283">
        <f t="shared" si="165"/>
        <v>40</v>
      </c>
      <c r="AQ283">
        <f t="shared" si="166"/>
        <v>43</v>
      </c>
      <c r="AR283" s="26">
        <f t="shared" si="167"/>
        <v>56</v>
      </c>
      <c r="AS283" s="26">
        <f t="shared" si="168"/>
        <v>63</v>
      </c>
      <c r="AT283" s="21">
        <f t="shared" si="169"/>
        <v>12</v>
      </c>
      <c r="AU283" s="21">
        <f t="shared" si="170"/>
        <v>19</v>
      </c>
      <c r="AV283">
        <f t="shared" si="171"/>
        <v>73</v>
      </c>
      <c r="AW283">
        <f t="shared" si="172"/>
        <v>76</v>
      </c>
      <c r="AX283">
        <f t="shared" si="173"/>
        <v>84</v>
      </c>
      <c r="AY283">
        <f t="shared" si="174"/>
        <v>87</v>
      </c>
      <c r="AZ283" t="str">
        <f t="shared" si="175"/>
        <v>-</v>
      </c>
      <c r="BA283" t="str">
        <f t="shared" si="176"/>
        <v>-</v>
      </c>
      <c r="BB283" t="str">
        <f t="shared" si="177"/>
        <v>-</v>
      </c>
      <c r="BC283" t="str">
        <f t="shared" si="178"/>
        <v>-</v>
      </c>
      <c r="BD283" s="29" t="str">
        <f t="shared" si="179"/>
        <v>-</v>
      </c>
      <c r="BE283" s="29" t="str">
        <f t="shared" si="180"/>
        <v>-</v>
      </c>
    </row>
    <row r="284" spans="1:57" ht="15" x14ac:dyDescent="0.2">
      <c r="A284" s="2">
        <v>518</v>
      </c>
      <c r="B284" s="2" t="str">
        <f t="shared" si="145"/>
        <v>0518</v>
      </c>
      <c r="C284" t="str">
        <f t="shared" si="146"/>
        <v>ORD-SP-0518-17/04/24</v>
      </c>
      <c r="D284" s="3" t="s">
        <v>546</v>
      </c>
      <c r="E284" t="str">
        <f t="shared" si="147"/>
        <v>SW001</v>
      </c>
      <c r="F284" t="str">
        <f>INDEX(Katalog!$B$4:$B$13,MATCH('Main Data'!E284,Katalog!$C$4:$C$13,0))</f>
        <v>Flat Shoes</v>
      </c>
      <c r="G284" t="str">
        <f>VLOOKUP(E284,Katalog!$A$15:$B$25,2,0)</f>
        <v>Sepatu Wanita</v>
      </c>
      <c r="H284" t="str">
        <f t="shared" si="148"/>
        <v>2</v>
      </c>
      <c r="I284" t="str">
        <f t="shared" si="149"/>
        <v>5</v>
      </c>
      <c r="J284" s="18">
        <f>VLOOKUP(E284,Katalog!$C$3:$F$13,2,0)</f>
        <v>150000</v>
      </c>
      <c r="K284" s="18">
        <f>VLOOKUP(E284,Katalog!$C$3:$F$13,3,0)</f>
        <v>70000</v>
      </c>
      <c r="L284" t="str">
        <f t="shared" si="150"/>
        <v>PP001</v>
      </c>
      <c r="M284" t="str">
        <f>IFERROR(INDEX(Katalog!$B$4:$B$13,MATCH('Main Data'!L284,Katalog!$C$4:$C$13,0)), "-")</f>
        <v>Kaos Polo</v>
      </c>
      <c r="N284" t="str">
        <f>IFERROR(VLOOKUP(L284,Katalog!$A$15:$B$25,2,0),"-")</f>
        <v>Pakaian Pria</v>
      </c>
      <c r="O284" t="str">
        <f t="shared" si="151"/>
        <v>1</v>
      </c>
      <c r="P284" t="str">
        <f t="shared" si="152"/>
        <v>3</v>
      </c>
      <c r="Q284" s="18">
        <f>IFERROR(VLOOKUP(L284,Katalog!$C$3:$F$13,2,0),0)</f>
        <v>80000</v>
      </c>
      <c r="R284" s="18">
        <f>IFERROR(VLOOKUP(L284,Katalog!$C$3:$F$13,3,0),0)</f>
        <v>30000</v>
      </c>
      <c r="S284" t="str">
        <f t="shared" si="153"/>
        <v>SP001</v>
      </c>
      <c r="T284" t="str">
        <f>IFERROR(INDEX(Katalog!$B$4:$B$13,MATCH('Main Data'!S284,Katalog!$C$4:$C$13,0)),"-")</f>
        <v>Sneakers</v>
      </c>
      <c r="U284" t="str">
        <f>IFERROR(VLOOKUP(S284,Katalog!$A$15:$B$25,2,0),"-")</f>
        <v>Sepatu Pria</v>
      </c>
      <c r="V284" t="str">
        <f t="shared" si="154"/>
        <v>2</v>
      </c>
      <c r="W284" s="28" t="str">
        <f t="shared" si="155"/>
        <v>5</v>
      </c>
      <c r="X284" s="18">
        <f>IFERROR(VLOOKUP(S284,Katalog!$C$3:$F$13,2,0),0)</f>
        <v>300000</v>
      </c>
      <c r="Y284" s="30">
        <f>IFERROR(VLOOKUP(S284,Katalog!$C$3:$F$13,3,0),0)</f>
        <v>100000</v>
      </c>
      <c r="Z284" s="2">
        <f t="shared" si="156"/>
        <v>5</v>
      </c>
      <c r="AA284" s="4">
        <f t="shared" si="157"/>
        <v>980000</v>
      </c>
      <c r="AB284" s="4">
        <f t="shared" si="158"/>
        <v>370000</v>
      </c>
      <c r="AC284" s="4" t="s">
        <v>7</v>
      </c>
      <c r="AD284" s="16">
        <f>IFERROR(VLOOKUP(AC284,'Kode Diskon'!$C$2:$D$9,2,0),0)</f>
        <v>0.2</v>
      </c>
      <c r="AE284" s="31">
        <f t="shared" si="159"/>
        <v>196000</v>
      </c>
      <c r="AF284" s="31">
        <f t="shared" si="160"/>
        <v>784000</v>
      </c>
      <c r="AG284" s="31">
        <f t="shared" si="161"/>
        <v>610000</v>
      </c>
      <c r="AH284" s="31">
        <f t="shared" si="162"/>
        <v>414000</v>
      </c>
      <c r="AI284" s="4" t="s">
        <v>8</v>
      </c>
      <c r="AJ284" s="4" t="s">
        <v>6</v>
      </c>
      <c r="AK284" s="4" t="str">
        <f>IFERROR(VLOOKUP(AJ284,'Guide '!$A$13:$B$16,2,0),"-")</f>
        <v>SP</v>
      </c>
      <c r="AL284" s="4" t="s">
        <v>921</v>
      </c>
      <c r="AM284" s="40">
        <v>45399</v>
      </c>
      <c r="AN284">
        <f t="shared" si="163"/>
        <v>29</v>
      </c>
      <c r="AO284">
        <f t="shared" si="164"/>
        <v>32</v>
      </c>
      <c r="AP284">
        <f t="shared" si="165"/>
        <v>40</v>
      </c>
      <c r="AQ284">
        <f t="shared" si="166"/>
        <v>43</v>
      </c>
      <c r="AR284" s="26">
        <f t="shared" si="167"/>
        <v>56</v>
      </c>
      <c r="AS284" s="26">
        <f t="shared" si="168"/>
        <v>63</v>
      </c>
      <c r="AT284" s="21">
        <f t="shared" si="169"/>
        <v>12</v>
      </c>
      <c r="AU284" s="21">
        <f t="shared" si="170"/>
        <v>19</v>
      </c>
      <c r="AV284">
        <f t="shared" si="171"/>
        <v>73</v>
      </c>
      <c r="AW284">
        <f t="shared" si="172"/>
        <v>76</v>
      </c>
      <c r="AX284">
        <f t="shared" si="173"/>
        <v>84</v>
      </c>
      <c r="AY284">
        <f t="shared" si="174"/>
        <v>87</v>
      </c>
      <c r="AZ284">
        <f t="shared" si="175"/>
        <v>100</v>
      </c>
      <c r="BA284">
        <f t="shared" si="176"/>
        <v>107</v>
      </c>
      <c r="BB284">
        <f t="shared" si="177"/>
        <v>117</v>
      </c>
      <c r="BC284">
        <f t="shared" si="178"/>
        <v>120</v>
      </c>
      <c r="BD284" s="29">
        <f t="shared" si="179"/>
        <v>128</v>
      </c>
      <c r="BE284" s="29">
        <f t="shared" si="180"/>
        <v>131</v>
      </c>
    </row>
    <row r="285" spans="1:57" ht="15" x14ac:dyDescent="0.2">
      <c r="A285" s="2">
        <v>629</v>
      </c>
      <c r="B285" s="2" t="str">
        <f t="shared" si="145"/>
        <v>0629</v>
      </c>
      <c r="C285" t="str">
        <f t="shared" si="146"/>
        <v>ORD-TK-0629-17/04/24</v>
      </c>
      <c r="D285" s="3" t="s">
        <v>638</v>
      </c>
      <c r="E285" t="str">
        <f t="shared" si="147"/>
        <v>SP002</v>
      </c>
      <c r="F285" t="str">
        <f>INDEX(Katalog!$B$4:$B$13,MATCH('Main Data'!E285,Katalog!$C$4:$C$13,0))</f>
        <v>Sandal Slip On</v>
      </c>
      <c r="G285" t="str">
        <f>VLOOKUP(E285,Katalog!$A$15:$B$25,2,0)</f>
        <v>Sepatu Pria</v>
      </c>
      <c r="H285" t="str">
        <f t="shared" si="148"/>
        <v>3</v>
      </c>
      <c r="I285" t="str">
        <f t="shared" si="149"/>
        <v>5</v>
      </c>
      <c r="J285" s="18">
        <f>VLOOKUP(E285,Katalog!$C$3:$F$13,2,0)</f>
        <v>120000</v>
      </c>
      <c r="K285" s="18">
        <f>VLOOKUP(E285,Katalog!$C$3:$F$13,3,0)</f>
        <v>60000</v>
      </c>
      <c r="L285" t="str">
        <f t="shared" si="150"/>
        <v>SP001</v>
      </c>
      <c r="M285" t="str">
        <f>IFERROR(INDEX(Katalog!$B$4:$B$13,MATCH('Main Data'!L285,Katalog!$C$4:$C$13,0)), "-")</f>
        <v>Sneakers</v>
      </c>
      <c r="N285" t="str">
        <f>IFERROR(VLOOKUP(L285,Katalog!$A$15:$B$25,2,0),"-")</f>
        <v>Sepatu Pria</v>
      </c>
      <c r="O285" t="str">
        <f t="shared" si="151"/>
        <v>2</v>
      </c>
      <c r="P285" t="str">
        <f t="shared" si="152"/>
        <v>3</v>
      </c>
      <c r="Q285" s="18">
        <f>IFERROR(VLOOKUP(L285,Katalog!$C$3:$F$13,2,0),0)</f>
        <v>300000</v>
      </c>
      <c r="R285" s="18">
        <f>IFERROR(VLOOKUP(L285,Katalog!$C$3:$F$13,3,0),0)</f>
        <v>100000</v>
      </c>
      <c r="S285" t="str">
        <f t="shared" si="153"/>
        <v>-</v>
      </c>
      <c r="T285" t="str">
        <f>IFERROR(INDEX(Katalog!$B$4:$B$13,MATCH('Main Data'!S285,Katalog!$C$4:$C$13,0)),"-")</f>
        <v>-</v>
      </c>
      <c r="U285" t="str">
        <f>IFERROR(VLOOKUP(S285,Katalog!$A$15:$B$25,2,0),"-")</f>
        <v>-</v>
      </c>
      <c r="V285">
        <f t="shared" si="154"/>
        <v>0</v>
      </c>
      <c r="W285" s="28" t="str">
        <f t="shared" si="155"/>
        <v>-</v>
      </c>
      <c r="X285" s="18">
        <f>IFERROR(VLOOKUP(S285,Katalog!$C$3:$F$13,2,0),0)</f>
        <v>0</v>
      </c>
      <c r="Y285" s="30">
        <f>IFERROR(VLOOKUP(S285,Katalog!$C$3:$F$13,3,0),0)</f>
        <v>0</v>
      </c>
      <c r="Z285" s="2">
        <f t="shared" si="156"/>
        <v>5</v>
      </c>
      <c r="AA285" s="4">
        <f t="shared" si="157"/>
        <v>960000</v>
      </c>
      <c r="AB285" s="4">
        <f t="shared" si="158"/>
        <v>380000</v>
      </c>
      <c r="AC285" s="4" t="s">
        <v>30</v>
      </c>
      <c r="AD285" s="16">
        <f>IFERROR(VLOOKUP(AC285,'Kode Diskon'!$C$2:$D$9,2,0),0)</f>
        <v>0.1</v>
      </c>
      <c r="AE285" s="31">
        <f t="shared" si="159"/>
        <v>96000</v>
      </c>
      <c r="AF285" s="31">
        <f t="shared" si="160"/>
        <v>864000</v>
      </c>
      <c r="AG285" s="31">
        <f t="shared" si="161"/>
        <v>580000</v>
      </c>
      <c r="AH285" s="31">
        <f t="shared" si="162"/>
        <v>484000</v>
      </c>
      <c r="AI285" s="4" t="s">
        <v>8</v>
      </c>
      <c r="AJ285" s="4" t="s">
        <v>9</v>
      </c>
      <c r="AK285" s="4" t="str">
        <f>IFERROR(VLOOKUP(AJ285,'Guide '!$A$13:$B$16,2,0),"-")</f>
        <v>TK</v>
      </c>
      <c r="AL285" s="4" t="s">
        <v>923</v>
      </c>
      <c r="AM285" s="40">
        <v>45399</v>
      </c>
      <c r="AN285">
        <f t="shared" si="163"/>
        <v>29</v>
      </c>
      <c r="AO285">
        <f t="shared" si="164"/>
        <v>32</v>
      </c>
      <c r="AP285">
        <f t="shared" si="165"/>
        <v>40</v>
      </c>
      <c r="AQ285">
        <f t="shared" si="166"/>
        <v>43</v>
      </c>
      <c r="AR285" s="26">
        <f t="shared" si="167"/>
        <v>56</v>
      </c>
      <c r="AS285" s="26">
        <f t="shared" si="168"/>
        <v>63</v>
      </c>
      <c r="AT285" s="21">
        <f t="shared" si="169"/>
        <v>12</v>
      </c>
      <c r="AU285" s="21">
        <f t="shared" si="170"/>
        <v>19</v>
      </c>
      <c r="AV285">
        <f t="shared" si="171"/>
        <v>73</v>
      </c>
      <c r="AW285">
        <f t="shared" si="172"/>
        <v>76</v>
      </c>
      <c r="AX285">
        <f t="shared" si="173"/>
        <v>84</v>
      </c>
      <c r="AY285">
        <f t="shared" si="174"/>
        <v>87</v>
      </c>
      <c r="AZ285" t="str">
        <f t="shared" si="175"/>
        <v>-</v>
      </c>
      <c r="BA285" t="str">
        <f t="shared" si="176"/>
        <v>-</v>
      </c>
      <c r="BB285" t="str">
        <f t="shared" si="177"/>
        <v>-</v>
      </c>
      <c r="BC285" t="str">
        <f t="shared" si="178"/>
        <v>-</v>
      </c>
      <c r="BD285" s="29" t="str">
        <f t="shared" si="179"/>
        <v>-</v>
      </c>
      <c r="BE285" s="29" t="str">
        <f t="shared" si="180"/>
        <v>-</v>
      </c>
    </row>
    <row r="286" spans="1:57" ht="15" x14ac:dyDescent="0.2">
      <c r="A286" s="2">
        <v>32</v>
      </c>
      <c r="B286" s="2" t="str">
        <f t="shared" si="145"/>
        <v>0032</v>
      </c>
      <c r="C286" t="str">
        <f t="shared" si="146"/>
        <v>ORD-SP-0032-18/04/24</v>
      </c>
      <c r="D286" s="3" t="s">
        <v>106</v>
      </c>
      <c r="E286" t="str">
        <f t="shared" si="147"/>
        <v>PP003</v>
      </c>
      <c r="F286" t="str">
        <f>INDEX(Katalog!$B$4:$B$13,MATCH('Main Data'!E286,Katalog!$C$4:$C$13,0))</f>
        <v>Jaket Jeans</v>
      </c>
      <c r="G286" t="str">
        <f>VLOOKUP(E286,Katalog!$A$15:$B$25,2,0)</f>
        <v>Pakaian Pria</v>
      </c>
      <c r="H286" t="str">
        <f t="shared" si="148"/>
        <v>5</v>
      </c>
      <c r="I286" t="str">
        <f t="shared" si="149"/>
        <v>5</v>
      </c>
      <c r="J286" s="18">
        <f>VLOOKUP(E286,Katalog!$C$3:$F$13,2,0)</f>
        <v>150000</v>
      </c>
      <c r="K286" s="18">
        <f>VLOOKUP(E286,Katalog!$C$3:$F$13,3,0)</f>
        <v>70000</v>
      </c>
      <c r="L286" t="str">
        <f t="shared" si="150"/>
        <v>-</v>
      </c>
      <c r="M286" t="str">
        <f>IFERROR(INDEX(Katalog!$B$4:$B$13,MATCH('Main Data'!L286,Katalog!$C$4:$C$13,0)), "-")</f>
        <v>-</v>
      </c>
      <c r="N286" t="str">
        <f>IFERROR(VLOOKUP(L286,Katalog!$A$15:$B$25,2,0),"-")</f>
        <v>-</v>
      </c>
      <c r="O286">
        <f t="shared" si="151"/>
        <v>0</v>
      </c>
      <c r="P286" t="str">
        <f t="shared" si="152"/>
        <v>-</v>
      </c>
      <c r="Q286" s="18">
        <f>IFERROR(VLOOKUP(L286,Katalog!$C$3:$F$13,2,0),0)</f>
        <v>0</v>
      </c>
      <c r="R286" s="18">
        <f>IFERROR(VLOOKUP(L286,Katalog!$C$3:$F$13,3,0),0)</f>
        <v>0</v>
      </c>
      <c r="S286" t="str">
        <f t="shared" si="153"/>
        <v>-</v>
      </c>
      <c r="T286" t="str">
        <f>IFERROR(INDEX(Katalog!$B$4:$B$13,MATCH('Main Data'!S286,Katalog!$C$4:$C$13,0)),"-")</f>
        <v>-</v>
      </c>
      <c r="U286" t="str">
        <f>IFERROR(VLOOKUP(S286,Katalog!$A$15:$B$25,2,0),"-")</f>
        <v>-</v>
      </c>
      <c r="V286">
        <f t="shared" si="154"/>
        <v>0</v>
      </c>
      <c r="W286" s="28" t="str">
        <f t="shared" si="155"/>
        <v>-</v>
      </c>
      <c r="X286" s="18">
        <f>IFERROR(VLOOKUP(S286,Katalog!$C$3:$F$13,2,0),0)</f>
        <v>0</v>
      </c>
      <c r="Y286" s="30">
        <f>IFERROR(VLOOKUP(S286,Katalog!$C$3:$F$13,3,0),0)</f>
        <v>0</v>
      </c>
      <c r="Z286" s="2">
        <f t="shared" si="156"/>
        <v>5</v>
      </c>
      <c r="AA286" s="4">
        <f t="shared" si="157"/>
        <v>750000</v>
      </c>
      <c r="AB286" s="4">
        <f t="shared" si="158"/>
        <v>350000</v>
      </c>
      <c r="AC286" s="4" t="s">
        <v>7</v>
      </c>
      <c r="AD286" s="16">
        <f>IFERROR(VLOOKUP(AC286,'Kode Diskon'!$C$2:$D$9,2,0),0)</f>
        <v>0.2</v>
      </c>
      <c r="AE286" s="31">
        <f t="shared" si="159"/>
        <v>150000</v>
      </c>
      <c r="AF286" s="31">
        <f t="shared" si="160"/>
        <v>600000</v>
      </c>
      <c r="AG286" s="31">
        <f t="shared" si="161"/>
        <v>400000</v>
      </c>
      <c r="AH286" s="31">
        <f t="shared" si="162"/>
        <v>250000</v>
      </c>
      <c r="AI286" s="4" t="s">
        <v>8</v>
      </c>
      <c r="AJ286" s="4" t="s">
        <v>6</v>
      </c>
      <c r="AK286" s="4" t="str">
        <f>IFERROR(VLOOKUP(AJ286,'Guide '!$A$13:$B$16,2,0),"-")</f>
        <v>SP</v>
      </c>
      <c r="AL286" s="4" t="s">
        <v>922</v>
      </c>
      <c r="AM286" s="40">
        <v>45400</v>
      </c>
      <c r="AN286">
        <f t="shared" si="163"/>
        <v>29</v>
      </c>
      <c r="AO286">
        <f t="shared" si="164"/>
        <v>32</v>
      </c>
      <c r="AP286">
        <f t="shared" si="165"/>
        <v>40</v>
      </c>
      <c r="AQ286">
        <f t="shared" si="166"/>
        <v>43</v>
      </c>
      <c r="AR286" s="26" t="str">
        <f t="shared" si="167"/>
        <v>-</v>
      </c>
      <c r="AS286" s="26" t="str">
        <f t="shared" si="168"/>
        <v>-</v>
      </c>
      <c r="AT286" s="21">
        <f t="shared" si="169"/>
        <v>12</v>
      </c>
      <c r="AU286" s="21">
        <f t="shared" si="170"/>
        <v>19</v>
      </c>
      <c r="AV286" t="str">
        <f t="shared" si="171"/>
        <v>-</v>
      </c>
      <c r="AW286" t="str">
        <f t="shared" si="172"/>
        <v>-</v>
      </c>
      <c r="AX286" t="str">
        <f t="shared" si="173"/>
        <v>-</v>
      </c>
      <c r="AY286" t="str">
        <f t="shared" si="174"/>
        <v>-</v>
      </c>
      <c r="AZ286" t="str">
        <f t="shared" si="175"/>
        <v>-</v>
      </c>
      <c r="BA286" t="str">
        <f t="shared" si="176"/>
        <v>-</v>
      </c>
      <c r="BB286" t="str">
        <f t="shared" si="177"/>
        <v>-</v>
      </c>
      <c r="BC286" t="str">
        <f t="shared" si="178"/>
        <v>-</v>
      </c>
      <c r="BD286" s="29" t="str">
        <f t="shared" si="179"/>
        <v>-</v>
      </c>
      <c r="BE286" s="29" t="str">
        <f t="shared" si="180"/>
        <v>-</v>
      </c>
    </row>
    <row r="287" spans="1:57" ht="15" x14ac:dyDescent="0.2">
      <c r="A287" s="2">
        <v>304</v>
      </c>
      <c r="B287" s="2" t="str">
        <f t="shared" si="145"/>
        <v>0304</v>
      </c>
      <c r="C287" t="str">
        <f t="shared" si="146"/>
        <v>ORD-TK-0304-18/04/24</v>
      </c>
      <c r="D287" s="3" t="s">
        <v>359</v>
      </c>
      <c r="E287" t="str">
        <f t="shared" si="147"/>
        <v>PP003</v>
      </c>
      <c r="F287" t="str">
        <f>INDEX(Katalog!$B$4:$B$13,MATCH('Main Data'!E287,Katalog!$C$4:$C$13,0))</f>
        <v>Jaket Jeans</v>
      </c>
      <c r="G287" t="str">
        <f>VLOOKUP(E287,Katalog!$A$15:$B$25,2,0)</f>
        <v>Pakaian Pria</v>
      </c>
      <c r="H287" t="str">
        <f t="shared" si="148"/>
        <v>2</v>
      </c>
      <c r="I287" t="str">
        <f t="shared" si="149"/>
        <v>4</v>
      </c>
      <c r="J287" s="18">
        <f>VLOOKUP(E287,Katalog!$C$3:$F$13,2,0)</f>
        <v>150000</v>
      </c>
      <c r="K287" s="18">
        <f>VLOOKUP(E287,Katalog!$C$3:$F$13,3,0)</f>
        <v>70000</v>
      </c>
      <c r="L287" t="str">
        <f t="shared" si="150"/>
        <v>-</v>
      </c>
      <c r="M287" t="str">
        <f>IFERROR(INDEX(Katalog!$B$4:$B$13,MATCH('Main Data'!L287,Katalog!$C$4:$C$13,0)), "-")</f>
        <v>-</v>
      </c>
      <c r="N287" t="str">
        <f>IFERROR(VLOOKUP(L287,Katalog!$A$15:$B$25,2,0),"-")</f>
        <v>-</v>
      </c>
      <c r="O287">
        <f t="shared" si="151"/>
        <v>0</v>
      </c>
      <c r="P287" t="str">
        <f t="shared" si="152"/>
        <v>-</v>
      </c>
      <c r="Q287" s="18">
        <f>IFERROR(VLOOKUP(L287,Katalog!$C$3:$F$13,2,0),0)</f>
        <v>0</v>
      </c>
      <c r="R287" s="18">
        <f>IFERROR(VLOOKUP(L287,Katalog!$C$3:$F$13,3,0),0)</f>
        <v>0</v>
      </c>
      <c r="S287" t="str">
        <f t="shared" si="153"/>
        <v>-</v>
      </c>
      <c r="T287" t="str">
        <f>IFERROR(INDEX(Katalog!$B$4:$B$13,MATCH('Main Data'!S287,Katalog!$C$4:$C$13,0)),"-")</f>
        <v>-</v>
      </c>
      <c r="U287" t="str">
        <f>IFERROR(VLOOKUP(S287,Katalog!$A$15:$B$25,2,0),"-")</f>
        <v>-</v>
      </c>
      <c r="V287">
        <f t="shared" si="154"/>
        <v>0</v>
      </c>
      <c r="W287" s="28" t="str">
        <f t="shared" si="155"/>
        <v>-</v>
      </c>
      <c r="X287" s="18">
        <f>IFERROR(VLOOKUP(S287,Katalog!$C$3:$F$13,2,0),0)</f>
        <v>0</v>
      </c>
      <c r="Y287" s="30">
        <f>IFERROR(VLOOKUP(S287,Katalog!$C$3:$F$13,3,0),0)</f>
        <v>0</v>
      </c>
      <c r="Z287" s="2">
        <f t="shared" si="156"/>
        <v>2</v>
      </c>
      <c r="AA287" s="4">
        <f t="shared" si="157"/>
        <v>300000</v>
      </c>
      <c r="AB287" s="4">
        <f t="shared" si="158"/>
        <v>140000</v>
      </c>
      <c r="AC287" s="4" t="s">
        <v>30</v>
      </c>
      <c r="AD287" s="16">
        <f>IFERROR(VLOOKUP(AC287,'Kode Diskon'!$C$2:$D$9,2,0),0)</f>
        <v>0.1</v>
      </c>
      <c r="AE287" s="31">
        <f t="shared" si="159"/>
        <v>30000</v>
      </c>
      <c r="AF287" s="31">
        <f t="shared" si="160"/>
        <v>270000</v>
      </c>
      <c r="AG287" s="31">
        <f t="shared" si="161"/>
        <v>160000</v>
      </c>
      <c r="AH287" s="31">
        <f t="shared" si="162"/>
        <v>130000</v>
      </c>
      <c r="AI287" s="4" t="s">
        <v>8</v>
      </c>
      <c r="AJ287" s="4" t="s">
        <v>9</v>
      </c>
      <c r="AK287" s="4" t="str">
        <f>IFERROR(VLOOKUP(AJ287,'Guide '!$A$13:$B$16,2,0),"-")</f>
        <v>TK</v>
      </c>
      <c r="AL287" s="4" t="s">
        <v>921</v>
      </c>
      <c r="AM287" s="40">
        <v>45400</v>
      </c>
      <c r="AN287">
        <f t="shared" si="163"/>
        <v>29</v>
      </c>
      <c r="AO287">
        <f t="shared" si="164"/>
        <v>32</v>
      </c>
      <c r="AP287">
        <f t="shared" si="165"/>
        <v>40</v>
      </c>
      <c r="AQ287">
        <f t="shared" si="166"/>
        <v>43</v>
      </c>
      <c r="AR287" s="26" t="str">
        <f t="shared" si="167"/>
        <v>-</v>
      </c>
      <c r="AS287" s="26" t="str">
        <f t="shared" si="168"/>
        <v>-</v>
      </c>
      <c r="AT287" s="21">
        <f t="shared" si="169"/>
        <v>12</v>
      </c>
      <c r="AU287" s="21">
        <f t="shared" si="170"/>
        <v>19</v>
      </c>
      <c r="AV287" t="str">
        <f t="shared" si="171"/>
        <v>-</v>
      </c>
      <c r="AW287" t="str">
        <f t="shared" si="172"/>
        <v>-</v>
      </c>
      <c r="AX287" t="str">
        <f t="shared" si="173"/>
        <v>-</v>
      </c>
      <c r="AY287" t="str">
        <f t="shared" si="174"/>
        <v>-</v>
      </c>
      <c r="AZ287" t="str">
        <f t="shared" si="175"/>
        <v>-</v>
      </c>
      <c r="BA287" t="str">
        <f t="shared" si="176"/>
        <v>-</v>
      </c>
      <c r="BB287" t="str">
        <f t="shared" si="177"/>
        <v>-</v>
      </c>
      <c r="BC287" t="str">
        <f t="shared" si="178"/>
        <v>-</v>
      </c>
      <c r="BD287" s="29" t="str">
        <f t="shared" si="179"/>
        <v>-</v>
      </c>
      <c r="BE287" s="29" t="str">
        <f t="shared" si="180"/>
        <v>-</v>
      </c>
    </row>
    <row r="288" spans="1:57" ht="15" x14ac:dyDescent="0.2">
      <c r="A288" s="2">
        <v>582</v>
      </c>
      <c r="B288" s="2" t="str">
        <f t="shared" si="145"/>
        <v>0582</v>
      </c>
      <c r="C288" t="str">
        <f t="shared" si="146"/>
        <v>ORD-BB-0582-18/04/24</v>
      </c>
      <c r="D288" s="3" t="s">
        <v>599</v>
      </c>
      <c r="E288" t="str">
        <f t="shared" si="147"/>
        <v>PU001</v>
      </c>
      <c r="F288" t="str">
        <f>INDEX(Katalog!$B$4:$B$13,MATCH('Main Data'!E288,Katalog!$C$4:$C$13,0))</f>
        <v>Jaket Hoodie</v>
      </c>
      <c r="G288" t="str">
        <f>VLOOKUP(E288,Katalog!$A$15:$B$25,2,0)</f>
        <v>Pakaian Unisex</v>
      </c>
      <c r="H288" t="str">
        <f t="shared" si="148"/>
        <v>4</v>
      </c>
      <c r="I288" t="str">
        <f t="shared" si="149"/>
        <v>1</v>
      </c>
      <c r="J288" s="18">
        <f>VLOOKUP(E288,Katalog!$C$3:$F$13,2,0)</f>
        <v>160000</v>
      </c>
      <c r="K288" s="18">
        <f>VLOOKUP(E288,Katalog!$C$3:$F$13,3,0)</f>
        <v>60000</v>
      </c>
      <c r="L288" t="str">
        <f t="shared" si="150"/>
        <v>PW003</v>
      </c>
      <c r="M288" t="str">
        <f>IFERROR(INDEX(Katalog!$B$4:$B$13,MATCH('Main Data'!L288,Katalog!$C$4:$C$13,0)), "-")</f>
        <v>Kaftan</v>
      </c>
      <c r="N288" t="str">
        <f>IFERROR(VLOOKUP(L288,Katalog!$A$15:$B$25,2,0),"-")</f>
        <v>Pakaian Wanita</v>
      </c>
      <c r="O288" t="str">
        <f t="shared" si="151"/>
        <v>1</v>
      </c>
      <c r="P288" t="str">
        <f t="shared" si="152"/>
        <v>3</v>
      </c>
      <c r="Q288" s="18">
        <f>IFERROR(VLOOKUP(L288,Katalog!$C$3:$F$13,2,0),0)</f>
        <v>200000</v>
      </c>
      <c r="R288" s="18">
        <f>IFERROR(VLOOKUP(L288,Katalog!$C$3:$F$13,3,0),0)</f>
        <v>100000</v>
      </c>
      <c r="S288" t="str">
        <f t="shared" si="153"/>
        <v>-</v>
      </c>
      <c r="T288" t="str">
        <f>IFERROR(INDEX(Katalog!$B$4:$B$13,MATCH('Main Data'!S288,Katalog!$C$4:$C$13,0)),"-")</f>
        <v>-</v>
      </c>
      <c r="U288" t="str">
        <f>IFERROR(VLOOKUP(S288,Katalog!$A$15:$B$25,2,0),"-")</f>
        <v>-</v>
      </c>
      <c r="V288">
        <f t="shared" si="154"/>
        <v>0</v>
      </c>
      <c r="W288" s="28" t="str">
        <f t="shared" si="155"/>
        <v>-</v>
      </c>
      <c r="X288" s="18">
        <f>IFERROR(VLOOKUP(S288,Katalog!$C$3:$F$13,2,0),0)</f>
        <v>0</v>
      </c>
      <c r="Y288" s="30">
        <f>IFERROR(VLOOKUP(S288,Katalog!$C$3:$F$13,3,0),0)</f>
        <v>0</v>
      </c>
      <c r="Z288" s="2">
        <f t="shared" si="156"/>
        <v>5</v>
      </c>
      <c r="AA288" s="4">
        <f t="shared" si="157"/>
        <v>840000</v>
      </c>
      <c r="AB288" s="4">
        <f t="shared" si="158"/>
        <v>340000</v>
      </c>
      <c r="AC288" s="4" t="s">
        <v>27</v>
      </c>
      <c r="AD288" s="16">
        <f>IFERROR(VLOOKUP(AC288,'Kode Diskon'!$C$2:$D$9,2,0),0)</f>
        <v>0.15</v>
      </c>
      <c r="AE288" s="31">
        <f t="shared" si="159"/>
        <v>126000</v>
      </c>
      <c r="AF288" s="31">
        <f t="shared" si="160"/>
        <v>714000</v>
      </c>
      <c r="AG288" s="31">
        <f t="shared" si="161"/>
        <v>500000</v>
      </c>
      <c r="AH288" s="31">
        <f t="shared" si="162"/>
        <v>374000</v>
      </c>
      <c r="AI288" s="4" t="s">
        <v>28</v>
      </c>
      <c r="AJ288" s="4" t="s">
        <v>13</v>
      </c>
      <c r="AK288" s="4" t="str">
        <f>IFERROR(VLOOKUP(AJ288,'Guide '!$A$13:$B$16,2,0),"-")</f>
        <v>BB</v>
      </c>
      <c r="AL288" s="4" t="s">
        <v>923</v>
      </c>
      <c r="AM288" s="40">
        <v>45400</v>
      </c>
      <c r="AN288">
        <f t="shared" si="163"/>
        <v>29</v>
      </c>
      <c r="AO288">
        <f t="shared" si="164"/>
        <v>32</v>
      </c>
      <c r="AP288">
        <f t="shared" si="165"/>
        <v>40</v>
      </c>
      <c r="AQ288">
        <f t="shared" si="166"/>
        <v>43</v>
      </c>
      <c r="AR288" s="26">
        <f t="shared" si="167"/>
        <v>56</v>
      </c>
      <c r="AS288" s="26">
        <f t="shared" si="168"/>
        <v>63</v>
      </c>
      <c r="AT288" s="21">
        <f t="shared" si="169"/>
        <v>12</v>
      </c>
      <c r="AU288" s="21">
        <f t="shared" si="170"/>
        <v>19</v>
      </c>
      <c r="AV288">
        <f t="shared" si="171"/>
        <v>73</v>
      </c>
      <c r="AW288">
        <f t="shared" si="172"/>
        <v>76</v>
      </c>
      <c r="AX288">
        <f t="shared" si="173"/>
        <v>84</v>
      </c>
      <c r="AY288">
        <f t="shared" si="174"/>
        <v>87</v>
      </c>
      <c r="AZ288" t="str">
        <f t="shared" si="175"/>
        <v>-</v>
      </c>
      <c r="BA288" t="str">
        <f t="shared" si="176"/>
        <v>-</v>
      </c>
      <c r="BB288" t="str">
        <f t="shared" si="177"/>
        <v>-</v>
      </c>
      <c r="BC288" t="str">
        <f t="shared" si="178"/>
        <v>-</v>
      </c>
      <c r="BD288" s="29" t="str">
        <f t="shared" si="179"/>
        <v>-</v>
      </c>
      <c r="BE288" s="29" t="str">
        <f t="shared" si="180"/>
        <v>-</v>
      </c>
    </row>
    <row r="289" spans="1:57" ht="15" x14ac:dyDescent="0.2">
      <c r="A289" s="2">
        <v>622</v>
      </c>
      <c r="B289" s="2" t="str">
        <f t="shared" si="145"/>
        <v>0622</v>
      </c>
      <c r="C289" t="str">
        <f t="shared" si="146"/>
        <v>ORD-BL-0622-18/04/24</v>
      </c>
      <c r="D289" s="3" t="s">
        <v>631</v>
      </c>
      <c r="E289" t="str">
        <f t="shared" si="147"/>
        <v>SW001</v>
      </c>
      <c r="F289" t="str">
        <f>INDEX(Katalog!$B$4:$B$13,MATCH('Main Data'!E289,Katalog!$C$4:$C$13,0))</f>
        <v>Flat Shoes</v>
      </c>
      <c r="G289" t="str">
        <f>VLOOKUP(E289,Katalog!$A$15:$B$25,2,0)</f>
        <v>Sepatu Wanita</v>
      </c>
      <c r="H289" t="str">
        <f t="shared" si="148"/>
        <v>3</v>
      </c>
      <c r="I289" t="str">
        <f t="shared" si="149"/>
        <v>4</v>
      </c>
      <c r="J289" s="18">
        <f>VLOOKUP(E289,Katalog!$C$3:$F$13,2,0)</f>
        <v>150000</v>
      </c>
      <c r="K289" s="18">
        <f>VLOOKUP(E289,Katalog!$C$3:$F$13,3,0)</f>
        <v>70000</v>
      </c>
      <c r="L289" t="str">
        <f t="shared" si="150"/>
        <v>PU001</v>
      </c>
      <c r="M289" t="str">
        <f>IFERROR(INDEX(Katalog!$B$4:$B$13,MATCH('Main Data'!L289,Katalog!$C$4:$C$13,0)), "-")</f>
        <v>Jaket Hoodie</v>
      </c>
      <c r="N289" t="str">
        <f>IFERROR(VLOOKUP(L289,Katalog!$A$15:$B$25,2,0),"-")</f>
        <v>Pakaian Unisex</v>
      </c>
      <c r="O289" t="str">
        <f t="shared" si="151"/>
        <v>1</v>
      </c>
      <c r="P289" t="str">
        <f t="shared" si="152"/>
        <v>1</v>
      </c>
      <c r="Q289" s="18">
        <f>IFERROR(VLOOKUP(L289,Katalog!$C$3:$F$13,2,0),0)</f>
        <v>160000</v>
      </c>
      <c r="R289" s="18">
        <f>IFERROR(VLOOKUP(L289,Katalog!$C$3:$F$13,3,0),0)</f>
        <v>60000</v>
      </c>
      <c r="S289" t="str">
        <f t="shared" si="153"/>
        <v>-</v>
      </c>
      <c r="T289" t="str">
        <f>IFERROR(INDEX(Katalog!$B$4:$B$13,MATCH('Main Data'!S289,Katalog!$C$4:$C$13,0)),"-")</f>
        <v>-</v>
      </c>
      <c r="U289" t="str">
        <f>IFERROR(VLOOKUP(S289,Katalog!$A$15:$B$25,2,0),"-")</f>
        <v>-</v>
      </c>
      <c r="V289">
        <f t="shared" si="154"/>
        <v>0</v>
      </c>
      <c r="W289" s="28" t="str">
        <f t="shared" si="155"/>
        <v>-</v>
      </c>
      <c r="X289" s="18">
        <f>IFERROR(VLOOKUP(S289,Katalog!$C$3:$F$13,2,0),0)</f>
        <v>0</v>
      </c>
      <c r="Y289" s="30">
        <f>IFERROR(VLOOKUP(S289,Katalog!$C$3:$F$13,3,0),0)</f>
        <v>0</v>
      </c>
      <c r="Z289" s="2">
        <f t="shared" si="156"/>
        <v>4</v>
      </c>
      <c r="AA289" s="4">
        <f t="shared" si="157"/>
        <v>610000</v>
      </c>
      <c r="AB289" s="4">
        <f t="shared" si="158"/>
        <v>270000</v>
      </c>
      <c r="AC289" s="4" t="s">
        <v>31</v>
      </c>
      <c r="AD289" s="16">
        <f>IFERROR(VLOOKUP(AC289,'Kode Diskon'!$C$2:$D$9,2,0),0)</f>
        <v>0.15</v>
      </c>
      <c r="AE289" s="31">
        <f t="shared" si="159"/>
        <v>91500</v>
      </c>
      <c r="AF289" s="31">
        <f t="shared" si="160"/>
        <v>518500</v>
      </c>
      <c r="AG289" s="31">
        <f t="shared" si="161"/>
        <v>340000</v>
      </c>
      <c r="AH289" s="31">
        <f t="shared" si="162"/>
        <v>248500</v>
      </c>
      <c r="AI289" s="4" t="s">
        <v>8</v>
      </c>
      <c r="AJ289" s="4" t="s">
        <v>11</v>
      </c>
      <c r="AK289" s="4" t="str">
        <f>IFERROR(VLOOKUP(AJ289,'Guide '!$A$13:$B$16,2,0),"-")</f>
        <v>BL</v>
      </c>
      <c r="AL289" s="4" t="s">
        <v>922</v>
      </c>
      <c r="AM289" s="40">
        <v>45400</v>
      </c>
      <c r="AN289">
        <f t="shared" si="163"/>
        <v>29</v>
      </c>
      <c r="AO289">
        <f t="shared" si="164"/>
        <v>32</v>
      </c>
      <c r="AP289">
        <f t="shared" si="165"/>
        <v>40</v>
      </c>
      <c r="AQ289">
        <f t="shared" si="166"/>
        <v>43</v>
      </c>
      <c r="AR289" s="26">
        <f t="shared" si="167"/>
        <v>56</v>
      </c>
      <c r="AS289" s="26">
        <f t="shared" si="168"/>
        <v>63</v>
      </c>
      <c r="AT289" s="21">
        <f t="shared" si="169"/>
        <v>12</v>
      </c>
      <c r="AU289" s="21">
        <f t="shared" si="170"/>
        <v>19</v>
      </c>
      <c r="AV289">
        <f t="shared" si="171"/>
        <v>73</v>
      </c>
      <c r="AW289">
        <f t="shared" si="172"/>
        <v>76</v>
      </c>
      <c r="AX289">
        <f t="shared" si="173"/>
        <v>84</v>
      </c>
      <c r="AY289">
        <f t="shared" si="174"/>
        <v>87</v>
      </c>
      <c r="AZ289" t="str">
        <f t="shared" si="175"/>
        <v>-</v>
      </c>
      <c r="BA289" t="str">
        <f t="shared" si="176"/>
        <v>-</v>
      </c>
      <c r="BB289" t="str">
        <f t="shared" si="177"/>
        <v>-</v>
      </c>
      <c r="BC289" t="str">
        <f t="shared" si="178"/>
        <v>-</v>
      </c>
      <c r="BD289" s="29" t="str">
        <f t="shared" si="179"/>
        <v>-</v>
      </c>
      <c r="BE289" s="29" t="str">
        <f t="shared" si="180"/>
        <v>-</v>
      </c>
    </row>
    <row r="290" spans="1:57" ht="15" x14ac:dyDescent="0.2">
      <c r="A290" s="2">
        <v>847</v>
      </c>
      <c r="B290" s="2" t="str">
        <f t="shared" si="145"/>
        <v>0847</v>
      </c>
      <c r="C290" t="str">
        <f t="shared" si="146"/>
        <v>ORD-SP-0847-18/04/24</v>
      </c>
      <c r="D290" s="3" t="s">
        <v>801</v>
      </c>
      <c r="E290" t="str">
        <f t="shared" si="147"/>
        <v>PW001</v>
      </c>
      <c r="F290" t="str">
        <f>INDEX(Katalog!$B$4:$B$13,MATCH('Main Data'!E290,Katalog!$C$4:$C$13,0))</f>
        <v>Dress</v>
      </c>
      <c r="G290" t="str">
        <f>VLOOKUP(E290,Katalog!$A$15:$B$25,2,0)</f>
        <v>Pakaian Wanita</v>
      </c>
      <c r="H290" t="str">
        <f t="shared" si="148"/>
        <v>2</v>
      </c>
      <c r="I290" t="str">
        <f t="shared" si="149"/>
        <v>3</v>
      </c>
      <c r="J290" s="18">
        <f>VLOOKUP(E290,Katalog!$C$3:$F$13,2,0)</f>
        <v>150000</v>
      </c>
      <c r="K290" s="18">
        <f>VLOOKUP(E290,Katalog!$C$3:$F$13,3,0)</f>
        <v>55000</v>
      </c>
      <c r="L290" t="str">
        <f t="shared" si="150"/>
        <v>PW002</v>
      </c>
      <c r="M290" t="str">
        <f>IFERROR(INDEX(Katalog!$B$4:$B$13,MATCH('Main Data'!L290,Katalog!$C$4:$C$13,0)), "-")</f>
        <v>Blouse</v>
      </c>
      <c r="N290" t="str">
        <f>IFERROR(VLOOKUP(L290,Katalog!$A$15:$B$25,2,0),"-")</f>
        <v>Pakaian Wanita</v>
      </c>
      <c r="O290" t="str">
        <f t="shared" si="151"/>
        <v>2</v>
      </c>
      <c r="P290" t="str">
        <f t="shared" si="152"/>
        <v>3</v>
      </c>
      <c r="Q290" s="18">
        <f>IFERROR(VLOOKUP(L290,Katalog!$C$3:$F$13,2,0),0)</f>
        <v>125000</v>
      </c>
      <c r="R290" s="18">
        <f>IFERROR(VLOOKUP(L290,Katalog!$C$3:$F$13,3,0),0)</f>
        <v>50000</v>
      </c>
      <c r="S290" t="str">
        <f t="shared" si="153"/>
        <v>-</v>
      </c>
      <c r="T290" t="str">
        <f>IFERROR(INDEX(Katalog!$B$4:$B$13,MATCH('Main Data'!S290,Katalog!$C$4:$C$13,0)),"-")</f>
        <v>-</v>
      </c>
      <c r="U290" t="str">
        <f>IFERROR(VLOOKUP(S290,Katalog!$A$15:$B$25,2,0),"-")</f>
        <v>-</v>
      </c>
      <c r="V290">
        <f t="shared" si="154"/>
        <v>0</v>
      </c>
      <c r="W290" s="28" t="str">
        <f t="shared" si="155"/>
        <v>-</v>
      </c>
      <c r="X290" s="18">
        <f>IFERROR(VLOOKUP(S290,Katalog!$C$3:$F$13,2,0),0)</f>
        <v>0</v>
      </c>
      <c r="Y290" s="30">
        <f>IFERROR(VLOOKUP(S290,Katalog!$C$3:$F$13,3,0),0)</f>
        <v>0</v>
      </c>
      <c r="Z290" s="2">
        <f t="shared" si="156"/>
        <v>4</v>
      </c>
      <c r="AA290" s="4">
        <f t="shared" si="157"/>
        <v>550000</v>
      </c>
      <c r="AB290" s="4">
        <f t="shared" si="158"/>
        <v>210000</v>
      </c>
      <c r="AC290" s="4" t="s">
        <v>7</v>
      </c>
      <c r="AD290" s="16">
        <f>IFERROR(VLOOKUP(AC290,'Kode Diskon'!$C$2:$D$9,2,0),0)</f>
        <v>0.2</v>
      </c>
      <c r="AE290" s="31">
        <f t="shared" si="159"/>
        <v>110000</v>
      </c>
      <c r="AF290" s="31">
        <f t="shared" si="160"/>
        <v>440000</v>
      </c>
      <c r="AG290" s="31">
        <f t="shared" si="161"/>
        <v>340000</v>
      </c>
      <c r="AH290" s="31">
        <f t="shared" si="162"/>
        <v>230000</v>
      </c>
      <c r="AI290" s="4" t="s">
        <v>8</v>
      </c>
      <c r="AJ290" s="4" t="s">
        <v>6</v>
      </c>
      <c r="AK290" s="4" t="str">
        <f>IFERROR(VLOOKUP(AJ290,'Guide '!$A$13:$B$16,2,0),"-")</f>
        <v>SP</v>
      </c>
      <c r="AL290" s="4" t="s">
        <v>921</v>
      </c>
      <c r="AM290" s="40">
        <v>45400</v>
      </c>
      <c r="AN290">
        <f t="shared" si="163"/>
        <v>29</v>
      </c>
      <c r="AO290">
        <f t="shared" si="164"/>
        <v>32</v>
      </c>
      <c r="AP290">
        <f t="shared" si="165"/>
        <v>40</v>
      </c>
      <c r="AQ290">
        <f t="shared" si="166"/>
        <v>43</v>
      </c>
      <c r="AR290" s="26">
        <f t="shared" si="167"/>
        <v>56</v>
      </c>
      <c r="AS290" s="26">
        <f t="shared" si="168"/>
        <v>63</v>
      </c>
      <c r="AT290" s="21">
        <f t="shared" si="169"/>
        <v>12</v>
      </c>
      <c r="AU290" s="21">
        <f t="shared" si="170"/>
        <v>19</v>
      </c>
      <c r="AV290">
        <f t="shared" si="171"/>
        <v>73</v>
      </c>
      <c r="AW290">
        <f t="shared" si="172"/>
        <v>76</v>
      </c>
      <c r="AX290">
        <f t="shared" si="173"/>
        <v>84</v>
      </c>
      <c r="AY290">
        <f t="shared" si="174"/>
        <v>87</v>
      </c>
      <c r="AZ290" t="str">
        <f t="shared" si="175"/>
        <v>-</v>
      </c>
      <c r="BA290" t="str">
        <f t="shared" si="176"/>
        <v>-</v>
      </c>
      <c r="BB290" t="str">
        <f t="shared" si="177"/>
        <v>-</v>
      </c>
      <c r="BC290" t="str">
        <f t="shared" si="178"/>
        <v>-</v>
      </c>
      <c r="BD290" s="29" t="str">
        <f t="shared" si="179"/>
        <v>-</v>
      </c>
      <c r="BE290" s="29" t="str">
        <f t="shared" si="180"/>
        <v>-</v>
      </c>
    </row>
    <row r="291" spans="1:57" ht="15" x14ac:dyDescent="0.2">
      <c r="A291" s="2">
        <v>96</v>
      </c>
      <c r="B291" s="2" t="str">
        <f t="shared" si="145"/>
        <v>0096</v>
      </c>
      <c r="C291" t="str">
        <f t="shared" si="146"/>
        <v>ORD-TK-0096-19/04/24</v>
      </c>
      <c r="D291" s="3" t="s">
        <v>168</v>
      </c>
      <c r="E291" t="str">
        <f t="shared" si="147"/>
        <v>PW003</v>
      </c>
      <c r="F291" t="str">
        <f>INDEX(Katalog!$B$4:$B$13,MATCH('Main Data'!E291,Katalog!$C$4:$C$13,0))</f>
        <v>Kaftan</v>
      </c>
      <c r="G291" t="str">
        <f>VLOOKUP(E291,Katalog!$A$15:$B$25,2,0)</f>
        <v>Pakaian Wanita</v>
      </c>
      <c r="H291" t="str">
        <f t="shared" si="148"/>
        <v>4</v>
      </c>
      <c r="I291" t="str">
        <f t="shared" si="149"/>
        <v>5</v>
      </c>
      <c r="J291" s="18">
        <f>VLOOKUP(E291,Katalog!$C$3:$F$13,2,0)</f>
        <v>200000</v>
      </c>
      <c r="K291" s="18">
        <f>VLOOKUP(E291,Katalog!$C$3:$F$13,3,0)</f>
        <v>100000</v>
      </c>
      <c r="L291" t="str">
        <f t="shared" si="150"/>
        <v>-</v>
      </c>
      <c r="M291" t="str">
        <f>IFERROR(INDEX(Katalog!$B$4:$B$13,MATCH('Main Data'!L291,Katalog!$C$4:$C$13,0)), "-")</f>
        <v>-</v>
      </c>
      <c r="N291" t="str">
        <f>IFERROR(VLOOKUP(L291,Katalog!$A$15:$B$25,2,0),"-")</f>
        <v>-</v>
      </c>
      <c r="O291">
        <f t="shared" si="151"/>
        <v>0</v>
      </c>
      <c r="P291" t="str">
        <f t="shared" si="152"/>
        <v>-</v>
      </c>
      <c r="Q291" s="18">
        <f>IFERROR(VLOOKUP(L291,Katalog!$C$3:$F$13,2,0),0)</f>
        <v>0</v>
      </c>
      <c r="R291" s="18">
        <f>IFERROR(VLOOKUP(L291,Katalog!$C$3:$F$13,3,0),0)</f>
        <v>0</v>
      </c>
      <c r="S291" t="str">
        <f t="shared" si="153"/>
        <v>-</v>
      </c>
      <c r="T291" t="str">
        <f>IFERROR(INDEX(Katalog!$B$4:$B$13,MATCH('Main Data'!S291,Katalog!$C$4:$C$13,0)),"-")</f>
        <v>-</v>
      </c>
      <c r="U291" t="str">
        <f>IFERROR(VLOOKUP(S291,Katalog!$A$15:$B$25,2,0),"-")</f>
        <v>-</v>
      </c>
      <c r="V291">
        <f t="shared" si="154"/>
        <v>0</v>
      </c>
      <c r="W291" s="28" t="str">
        <f t="shared" si="155"/>
        <v>-</v>
      </c>
      <c r="X291" s="18">
        <f>IFERROR(VLOOKUP(S291,Katalog!$C$3:$F$13,2,0),0)</f>
        <v>0</v>
      </c>
      <c r="Y291" s="30">
        <f>IFERROR(VLOOKUP(S291,Katalog!$C$3:$F$13,3,0),0)</f>
        <v>0</v>
      </c>
      <c r="Z291" s="2">
        <f t="shared" si="156"/>
        <v>4</v>
      </c>
      <c r="AA291" s="4">
        <f t="shared" si="157"/>
        <v>800000</v>
      </c>
      <c r="AB291" s="4">
        <f t="shared" si="158"/>
        <v>400000</v>
      </c>
      <c r="AC291" s="4" t="s">
        <v>30</v>
      </c>
      <c r="AD291" s="16">
        <f>IFERROR(VLOOKUP(AC291,'Kode Diskon'!$C$2:$D$9,2,0),0)</f>
        <v>0.1</v>
      </c>
      <c r="AE291" s="31">
        <f t="shared" si="159"/>
        <v>80000</v>
      </c>
      <c r="AF291" s="31">
        <f t="shared" si="160"/>
        <v>720000</v>
      </c>
      <c r="AG291" s="31">
        <f t="shared" si="161"/>
        <v>400000</v>
      </c>
      <c r="AH291" s="31">
        <f t="shared" si="162"/>
        <v>320000</v>
      </c>
      <c r="AI291" s="4" t="s">
        <v>8</v>
      </c>
      <c r="AJ291" s="4" t="s">
        <v>9</v>
      </c>
      <c r="AK291" s="4" t="str">
        <f>IFERROR(VLOOKUP(AJ291,'Guide '!$A$13:$B$16,2,0),"-")</f>
        <v>TK</v>
      </c>
      <c r="AL291" s="4" t="s">
        <v>924</v>
      </c>
      <c r="AM291" s="40">
        <v>45401</v>
      </c>
      <c r="AN291">
        <f t="shared" si="163"/>
        <v>29</v>
      </c>
      <c r="AO291">
        <f t="shared" si="164"/>
        <v>32</v>
      </c>
      <c r="AP291">
        <f t="shared" si="165"/>
        <v>40</v>
      </c>
      <c r="AQ291">
        <f t="shared" si="166"/>
        <v>43</v>
      </c>
      <c r="AR291" s="26" t="str">
        <f t="shared" si="167"/>
        <v>-</v>
      </c>
      <c r="AS291" s="26" t="str">
        <f t="shared" si="168"/>
        <v>-</v>
      </c>
      <c r="AT291" s="21">
        <f t="shared" si="169"/>
        <v>12</v>
      </c>
      <c r="AU291" s="21">
        <f t="shared" si="170"/>
        <v>19</v>
      </c>
      <c r="AV291" t="str">
        <f t="shared" si="171"/>
        <v>-</v>
      </c>
      <c r="AW291" t="str">
        <f t="shared" si="172"/>
        <v>-</v>
      </c>
      <c r="AX291" t="str">
        <f t="shared" si="173"/>
        <v>-</v>
      </c>
      <c r="AY291" t="str">
        <f t="shared" si="174"/>
        <v>-</v>
      </c>
      <c r="AZ291" t="str">
        <f t="shared" si="175"/>
        <v>-</v>
      </c>
      <c r="BA291" t="str">
        <f t="shared" si="176"/>
        <v>-</v>
      </c>
      <c r="BB291" t="str">
        <f t="shared" si="177"/>
        <v>-</v>
      </c>
      <c r="BC291" t="str">
        <f t="shared" si="178"/>
        <v>-</v>
      </c>
      <c r="BD291" s="29" t="str">
        <f t="shared" si="179"/>
        <v>-</v>
      </c>
      <c r="BE291" s="29" t="str">
        <f t="shared" si="180"/>
        <v>-</v>
      </c>
    </row>
    <row r="292" spans="1:57" ht="15" x14ac:dyDescent="0.2">
      <c r="A292" s="2">
        <v>468</v>
      </c>
      <c r="B292" s="2" t="str">
        <f t="shared" si="145"/>
        <v>0468</v>
      </c>
      <c r="C292" t="str">
        <f t="shared" si="146"/>
        <v>ORD-TK-0468-19/04/24</v>
      </c>
      <c r="D292" s="3" t="s">
        <v>505</v>
      </c>
      <c r="E292" t="str">
        <f t="shared" si="147"/>
        <v>PU001</v>
      </c>
      <c r="F292" t="str">
        <f>INDEX(Katalog!$B$4:$B$13,MATCH('Main Data'!E292,Katalog!$C$4:$C$13,0))</f>
        <v>Jaket Hoodie</v>
      </c>
      <c r="G292" t="str">
        <f>VLOOKUP(E292,Katalog!$A$15:$B$25,2,0)</f>
        <v>Pakaian Unisex</v>
      </c>
      <c r="H292" t="str">
        <f t="shared" si="148"/>
        <v>3</v>
      </c>
      <c r="I292" t="str">
        <f t="shared" si="149"/>
        <v>5</v>
      </c>
      <c r="J292" s="18">
        <f>VLOOKUP(E292,Katalog!$C$3:$F$13,2,0)</f>
        <v>160000</v>
      </c>
      <c r="K292" s="18">
        <f>VLOOKUP(E292,Katalog!$C$3:$F$13,3,0)</f>
        <v>60000</v>
      </c>
      <c r="L292" t="str">
        <f t="shared" si="150"/>
        <v>-</v>
      </c>
      <c r="M292" t="str">
        <f>IFERROR(INDEX(Katalog!$B$4:$B$13,MATCH('Main Data'!L292,Katalog!$C$4:$C$13,0)), "-")</f>
        <v>-</v>
      </c>
      <c r="N292" t="str">
        <f>IFERROR(VLOOKUP(L292,Katalog!$A$15:$B$25,2,0),"-")</f>
        <v>-</v>
      </c>
      <c r="O292">
        <f t="shared" si="151"/>
        <v>0</v>
      </c>
      <c r="P292" t="str">
        <f t="shared" si="152"/>
        <v>-</v>
      </c>
      <c r="Q292" s="18">
        <f>IFERROR(VLOOKUP(L292,Katalog!$C$3:$F$13,2,0),0)</f>
        <v>0</v>
      </c>
      <c r="R292" s="18">
        <f>IFERROR(VLOOKUP(L292,Katalog!$C$3:$F$13,3,0),0)</f>
        <v>0</v>
      </c>
      <c r="S292" t="str">
        <f t="shared" si="153"/>
        <v>-</v>
      </c>
      <c r="T292" t="str">
        <f>IFERROR(INDEX(Katalog!$B$4:$B$13,MATCH('Main Data'!S292,Katalog!$C$4:$C$13,0)),"-")</f>
        <v>-</v>
      </c>
      <c r="U292" t="str">
        <f>IFERROR(VLOOKUP(S292,Katalog!$A$15:$B$25,2,0),"-")</f>
        <v>-</v>
      </c>
      <c r="V292">
        <f t="shared" si="154"/>
        <v>0</v>
      </c>
      <c r="W292" s="28" t="str">
        <f t="shared" si="155"/>
        <v>-</v>
      </c>
      <c r="X292" s="18">
        <f>IFERROR(VLOOKUP(S292,Katalog!$C$3:$F$13,2,0),0)</f>
        <v>0</v>
      </c>
      <c r="Y292" s="30">
        <f>IFERROR(VLOOKUP(S292,Katalog!$C$3:$F$13,3,0),0)</f>
        <v>0</v>
      </c>
      <c r="Z292" s="2">
        <f t="shared" si="156"/>
        <v>3</v>
      </c>
      <c r="AA292" s="4">
        <f t="shared" si="157"/>
        <v>480000</v>
      </c>
      <c r="AB292" s="4">
        <f t="shared" si="158"/>
        <v>180000</v>
      </c>
      <c r="AC292" s="4" t="s">
        <v>29</v>
      </c>
      <c r="AD292" s="16">
        <f>IFERROR(VLOOKUP(AC292,'Kode Diskon'!$C$2:$D$9,2,0),0)</f>
        <v>0.1</v>
      </c>
      <c r="AE292" s="31">
        <f t="shared" si="159"/>
        <v>48000</v>
      </c>
      <c r="AF292" s="31">
        <f t="shared" si="160"/>
        <v>432000</v>
      </c>
      <c r="AG292" s="31">
        <f t="shared" si="161"/>
        <v>300000</v>
      </c>
      <c r="AH292" s="31">
        <f t="shared" si="162"/>
        <v>252000</v>
      </c>
      <c r="AI292" s="4" t="s">
        <v>28</v>
      </c>
      <c r="AJ292" s="4" t="s">
        <v>9</v>
      </c>
      <c r="AK292" s="4" t="str">
        <f>IFERROR(VLOOKUP(AJ292,'Guide '!$A$13:$B$16,2,0),"-")</f>
        <v>TK</v>
      </c>
      <c r="AL292" s="4" t="s">
        <v>924</v>
      </c>
      <c r="AM292" s="40">
        <v>45401</v>
      </c>
      <c r="AN292">
        <f t="shared" si="163"/>
        <v>29</v>
      </c>
      <c r="AO292">
        <f t="shared" si="164"/>
        <v>32</v>
      </c>
      <c r="AP292">
        <f t="shared" si="165"/>
        <v>40</v>
      </c>
      <c r="AQ292">
        <f t="shared" si="166"/>
        <v>43</v>
      </c>
      <c r="AR292" s="26" t="str">
        <f t="shared" si="167"/>
        <v>-</v>
      </c>
      <c r="AS292" s="26" t="str">
        <f t="shared" si="168"/>
        <v>-</v>
      </c>
      <c r="AT292" s="21">
        <f t="shared" si="169"/>
        <v>12</v>
      </c>
      <c r="AU292" s="21">
        <f t="shared" si="170"/>
        <v>19</v>
      </c>
      <c r="AV292" t="str">
        <f t="shared" si="171"/>
        <v>-</v>
      </c>
      <c r="AW292" t="str">
        <f t="shared" si="172"/>
        <v>-</v>
      </c>
      <c r="AX292" t="str">
        <f t="shared" si="173"/>
        <v>-</v>
      </c>
      <c r="AY292" t="str">
        <f t="shared" si="174"/>
        <v>-</v>
      </c>
      <c r="AZ292" t="str">
        <f t="shared" si="175"/>
        <v>-</v>
      </c>
      <c r="BA292" t="str">
        <f t="shared" si="176"/>
        <v>-</v>
      </c>
      <c r="BB292" t="str">
        <f t="shared" si="177"/>
        <v>-</v>
      </c>
      <c r="BC292" t="str">
        <f t="shared" si="178"/>
        <v>-</v>
      </c>
      <c r="BD292" s="29" t="str">
        <f t="shared" si="179"/>
        <v>-</v>
      </c>
      <c r="BE292" s="29" t="str">
        <f t="shared" si="180"/>
        <v>-</v>
      </c>
    </row>
    <row r="293" spans="1:57" ht="15" x14ac:dyDescent="0.2">
      <c r="A293" s="2">
        <v>933</v>
      </c>
      <c r="B293" s="2" t="str">
        <f t="shared" si="145"/>
        <v>0933</v>
      </c>
      <c r="C293" t="str">
        <f t="shared" si="146"/>
        <v>ORD-SP-0933-19/04/24</v>
      </c>
      <c r="D293" s="3" t="s">
        <v>865</v>
      </c>
      <c r="E293" t="str">
        <f t="shared" si="147"/>
        <v>PW002</v>
      </c>
      <c r="F293" t="str">
        <f>INDEX(Katalog!$B$4:$B$13,MATCH('Main Data'!E293,Katalog!$C$4:$C$13,0))</f>
        <v>Blouse</v>
      </c>
      <c r="G293" t="str">
        <f>VLOOKUP(E293,Katalog!$A$15:$B$25,2,0)</f>
        <v>Pakaian Wanita</v>
      </c>
      <c r="H293" t="str">
        <f t="shared" si="148"/>
        <v>5</v>
      </c>
      <c r="I293" t="str">
        <f t="shared" si="149"/>
        <v>1</v>
      </c>
      <c r="J293" s="18">
        <f>VLOOKUP(E293,Katalog!$C$3:$F$13,2,0)</f>
        <v>125000</v>
      </c>
      <c r="K293" s="18">
        <f>VLOOKUP(E293,Katalog!$C$3:$F$13,3,0)</f>
        <v>50000</v>
      </c>
      <c r="L293" t="str">
        <f t="shared" si="150"/>
        <v>PP001</v>
      </c>
      <c r="M293" t="str">
        <f>IFERROR(INDEX(Katalog!$B$4:$B$13,MATCH('Main Data'!L293,Katalog!$C$4:$C$13,0)), "-")</f>
        <v>Kaos Polo</v>
      </c>
      <c r="N293" t="str">
        <f>IFERROR(VLOOKUP(L293,Katalog!$A$15:$B$25,2,0),"-")</f>
        <v>Pakaian Pria</v>
      </c>
      <c r="O293" t="str">
        <f t="shared" si="151"/>
        <v>1</v>
      </c>
      <c r="P293" t="str">
        <f t="shared" si="152"/>
        <v>1</v>
      </c>
      <c r="Q293" s="18">
        <f>IFERROR(VLOOKUP(L293,Katalog!$C$3:$F$13,2,0),0)</f>
        <v>80000</v>
      </c>
      <c r="R293" s="18">
        <f>IFERROR(VLOOKUP(L293,Katalog!$C$3:$F$13,3,0),0)</f>
        <v>30000</v>
      </c>
      <c r="S293" t="str">
        <f t="shared" si="153"/>
        <v>-</v>
      </c>
      <c r="T293" t="str">
        <f>IFERROR(INDEX(Katalog!$B$4:$B$13,MATCH('Main Data'!S293,Katalog!$C$4:$C$13,0)),"-")</f>
        <v>-</v>
      </c>
      <c r="U293" t="str">
        <f>IFERROR(VLOOKUP(S293,Katalog!$A$15:$B$25,2,0),"-")</f>
        <v>-</v>
      </c>
      <c r="V293">
        <f t="shared" si="154"/>
        <v>0</v>
      </c>
      <c r="W293" s="28" t="str">
        <f t="shared" si="155"/>
        <v>-</v>
      </c>
      <c r="X293" s="18">
        <f>IFERROR(VLOOKUP(S293,Katalog!$C$3:$F$13,2,0),0)</f>
        <v>0</v>
      </c>
      <c r="Y293" s="30">
        <f>IFERROR(VLOOKUP(S293,Katalog!$C$3:$F$13,3,0),0)</f>
        <v>0</v>
      </c>
      <c r="Z293" s="2">
        <f t="shared" si="156"/>
        <v>6</v>
      </c>
      <c r="AA293" s="4">
        <f t="shared" si="157"/>
        <v>705000</v>
      </c>
      <c r="AB293" s="4">
        <f t="shared" si="158"/>
        <v>280000</v>
      </c>
      <c r="AC293" s="4" t="s">
        <v>7</v>
      </c>
      <c r="AD293" s="16">
        <f>IFERROR(VLOOKUP(AC293,'Kode Diskon'!$C$2:$D$9,2,0),0)</f>
        <v>0.2</v>
      </c>
      <c r="AE293" s="31">
        <f t="shared" si="159"/>
        <v>141000</v>
      </c>
      <c r="AF293" s="31">
        <f t="shared" si="160"/>
        <v>564000</v>
      </c>
      <c r="AG293" s="31">
        <f t="shared" si="161"/>
        <v>425000</v>
      </c>
      <c r="AH293" s="31">
        <f t="shared" si="162"/>
        <v>284000</v>
      </c>
      <c r="AI293" s="4" t="s">
        <v>8</v>
      </c>
      <c r="AJ293" s="4" t="s">
        <v>6</v>
      </c>
      <c r="AK293" s="4" t="str">
        <f>IFERROR(VLOOKUP(AJ293,'Guide '!$A$13:$B$16,2,0),"-")</f>
        <v>SP</v>
      </c>
      <c r="AL293" s="4" t="s">
        <v>923</v>
      </c>
      <c r="AM293" s="40">
        <v>45401</v>
      </c>
      <c r="AN293">
        <f t="shared" si="163"/>
        <v>29</v>
      </c>
      <c r="AO293">
        <f t="shared" si="164"/>
        <v>32</v>
      </c>
      <c r="AP293">
        <f t="shared" si="165"/>
        <v>40</v>
      </c>
      <c r="AQ293">
        <f t="shared" si="166"/>
        <v>43</v>
      </c>
      <c r="AR293" s="26">
        <f t="shared" si="167"/>
        <v>56</v>
      </c>
      <c r="AS293" s="26">
        <f t="shared" si="168"/>
        <v>63</v>
      </c>
      <c r="AT293" s="21">
        <f t="shared" si="169"/>
        <v>12</v>
      </c>
      <c r="AU293" s="21">
        <f t="shared" si="170"/>
        <v>19</v>
      </c>
      <c r="AV293">
        <f t="shared" si="171"/>
        <v>73</v>
      </c>
      <c r="AW293">
        <f t="shared" si="172"/>
        <v>76</v>
      </c>
      <c r="AX293">
        <f t="shared" si="173"/>
        <v>84</v>
      </c>
      <c r="AY293">
        <f t="shared" si="174"/>
        <v>87</v>
      </c>
      <c r="AZ293" t="str">
        <f t="shared" si="175"/>
        <v>-</v>
      </c>
      <c r="BA293" t="str">
        <f t="shared" si="176"/>
        <v>-</v>
      </c>
      <c r="BB293" t="str">
        <f t="shared" si="177"/>
        <v>-</v>
      </c>
      <c r="BC293" t="str">
        <f t="shared" si="178"/>
        <v>-</v>
      </c>
      <c r="BD293" s="29" t="str">
        <f t="shared" si="179"/>
        <v>-</v>
      </c>
      <c r="BE293" s="29" t="str">
        <f t="shared" si="180"/>
        <v>-</v>
      </c>
    </row>
    <row r="294" spans="1:57" ht="15" x14ac:dyDescent="0.2">
      <c r="A294" s="2">
        <v>553</v>
      </c>
      <c r="B294" s="2" t="str">
        <f t="shared" si="145"/>
        <v>0553</v>
      </c>
      <c r="C294" t="str">
        <f t="shared" si="146"/>
        <v>ORD-BL-0553-20/04/24</v>
      </c>
      <c r="D294" s="3" t="s">
        <v>575</v>
      </c>
      <c r="E294" t="str">
        <f t="shared" si="147"/>
        <v>SP002</v>
      </c>
      <c r="F294" t="str">
        <f>INDEX(Katalog!$B$4:$B$13,MATCH('Main Data'!E294,Katalog!$C$4:$C$13,0))</f>
        <v>Sandal Slip On</v>
      </c>
      <c r="G294" t="str">
        <f>VLOOKUP(E294,Katalog!$A$15:$B$25,2,0)</f>
        <v>Sepatu Pria</v>
      </c>
      <c r="H294" t="str">
        <f t="shared" si="148"/>
        <v>1</v>
      </c>
      <c r="I294" t="str">
        <f t="shared" si="149"/>
        <v>4</v>
      </c>
      <c r="J294" s="18">
        <f>VLOOKUP(E294,Katalog!$C$3:$F$13,2,0)</f>
        <v>120000</v>
      </c>
      <c r="K294" s="18">
        <f>VLOOKUP(E294,Katalog!$C$3:$F$13,3,0)</f>
        <v>60000</v>
      </c>
      <c r="L294" t="str">
        <f t="shared" si="150"/>
        <v>PP002</v>
      </c>
      <c r="M294" t="str">
        <f>IFERROR(INDEX(Katalog!$B$4:$B$13,MATCH('Main Data'!L294,Katalog!$C$4:$C$13,0)), "-")</f>
        <v>Celana Pendek</v>
      </c>
      <c r="N294" t="str">
        <f>IFERROR(VLOOKUP(L294,Katalog!$A$15:$B$25,2,0),"-")</f>
        <v>Pakaian Pria</v>
      </c>
      <c r="O294" t="str">
        <f t="shared" si="151"/>
        <v>1</v>
      </c>
      <c r="P294" t="str">
        <f t="shared" si="152"/>
        <v>4</v>
      </c>
      <c r="Q294" s="18">
        <f>IFERROR(VLOOKUP(L294,Katalog!$C$3:$F$13,2,0),0)</f>
        <v>60000</v>
      </c>
      <c r="R294" s="18">
        <f>IFERROR(VLOOKUP(L294,Katalog!$C$3:$F$13,3,0),0)</f>
        <v>25000</v>
      </c>
      <c r="S294" t="str">
        <f t="shared" si="153"/>
        <v>-</v>
      </c>
      <c r="T294" t="str">
        <f>IFERROR(INDEX(Katalog!$B$4:$B$13,MATCH('Main Data'!S294,Katalog!$C$4:$C$13,0)),"-")</f>
        <v>-</v>
      </c>
      <c r="U294" t="str">
        <f>IFERROR(VLOOKUP(S294,Katalog!$A$15:$B$25,2,0),"-")</f>
        <v>-</v>
      </c>
      <c r="V294">
        <f t="shared" si="154"/>
        <v>0</v>
      </c>
      <c r="W294" s="28" t="str">
        <f t="shared" si="155"/>
        <v>-</v>
      </c>
      <c r="X294" s="18">
        <f>IFERROR(VLOOKUP(S294,Katalog!$C$3:$F$13,2,0),0)</f>
        <v>0</v>
      </c>
      <c r="Y294" s="30">
        <f>IFERROR(VLOOKUP(S294,Katalog!$C$3:$F$13,3,0),0)</f>
        <v>0</v>
      </c>
      <c r="Z294" s="2">
        <f t="shared" si="156"/>
        <v>2</v>
      </c>
      <c r="AA294" s="4">
        <f t="shared" si="157"/>
        <v>180000</v>
      </c>
      <c r="AB294" s="4">
        <f t="shared" si="158"/>
        <v>85000</v>
      </c>
      <c r="AC294" s="4" t="s">
        <v>31</v>
      </c>
      <c r="AD294" s="16">
        <f>IFERROR(VLOOKUP(AC294,'Kode Diskon'!$C$2:$D$9,2,0),0)</f>
        <v>0.15</v>
      </c>
      <c r="AE294" s="31">
        <f t="shared" si="159"/>
        <v>27000</v>
      </c>
      <c r="AF294" s="31">
        <f t="shared" si="160"/>
        <v>153000</v>
      </c>
      <c r="AG294" s="31">
        <f t="shared" si="161"/>
        <v>95000</v>
      </c>
      <c r="AH294" s="31">
        <f t="shared" si="162"/>
        <v>68000</v>
      </c>
      <c r="AI294" s="4" t="s">
        <v>8</v>
      </c>
      <c r="AJ294" s="4" t="s">
        <v>11</v>
      </c>
      <c r="AK294" s="4" t="str">
        <f>IFERROR(VLOOKUP(AJ294,'Guide '!$A$13:$B$16,2,0),"-")</f>
        <v>BL</v>
      </c>
      <c r="AL294" s="4" t="s">
        <v>925</v>
      </c>
      <c r="AM294" s="40">
        <v>45402</v>
      </c>
      <c r="AN294">
        <f t="shared" si="163"/>
        <v>29</v>
      </c>
      <c r="AO294">
        <f t="shared" si="164"/>
        <v>32</v>
      </c>
      <c r="AP294">
        <f t="shared" si="165"/>
        <v>40</v>
      </c>
      <c r="AQ294">
        <f t="shared" si="166"/>
        <v>43</v>
      </c>
      <c r="AR294" s="26">
        <f t="shared" si="167"/>
        <v>56</v>
      </c>
      <c r="AS294" s="26">
        <f t="shared" si="168"/>
        <v>63</v>
      </c>
      <c r="AT294" s="21">
        <f t="shared" si="169"/>
        <v>12</v>
      </c>
      <c r="AU294" s="21">
        <f t="shared" si="170"/>
        <v>19</v>
      </c>
      <c r="AV294">
        <f t="shared" si="171"/>
        <v>73</v>
      </c>
      <c r="AW294">
        <f t="shared" si="172"/>
        <v>76</v>
      </c>
      <c r="AX294">
        <f t="shared" si="173"/>
        <v>84</v>
      </c>
      <c r="AY294">
        <f t="shared" si="174"/>
        <v>87</v>
      </c>
      <c r="AZ294" t="str">
        <f t="shared" si="175"/>
        <v>-</v>
      </c>
      <c r="BA294" t="str">
        <f t="shared" si="176"/>
        <v>-</v>
      </c>
      <c r="BB294" t="str">
        <f t="shared" si="177"/>
        <v>-</v>
      </c>
      <c r="BC294" t="str">
        <f t="shared" si="178"/>
        <v>-</v>
      </c>
      <c r="BD294" s="29" t="str">
        <f t="shared" si="179"/>
        <v>-</v>
      </c>
      <c r="BE294" s="29" t="str">
        <f t="shared" si="180"/>
        <v>-</v>
      </c>
    </row>
    <row r="295" spans="1:57" ht="15" x14ac:dyDescent="0.2">
      <c r="A295" s="2">
        <v>868</v>
      </c>
      <c r="B295" s="2" t="str">
        <f t="shared" si="145"/>
        <v>0868</v>
      </c>
      <c r="C295" t="str">
        <f t="shared" si="146"/>
        <v>ORD-BL-0868-20/04/24</v>
      </c>
      <c r="D295" s="3" t="s">
        <v>813</v>
      </c>
      <c r="E295" t="str">
        <f t="shared" si="147"/>
        <v>SP002</v>
      </c>
      <c r="F295" t="str">
        <f>INDEX(Katalog!$B$4:$B$13,MATCH('Main Data'!E295,Katalog!$C$4:$C$13,0))</f>
        <v>Sandal Slip On</v>
      </c>
      <c r="G295" t="str">
        <f>VLOOKUP(E295,Katalog!$A$15:$B$25,2,0)</f>
        <v>Sepatu Pria</v>
      </c>
      <c r="H295" t="str">
        <f t="shared" si="148"/>
        <v>6</v>
      </c>
      <c r="I295" t="str">
        <f t="shared" si="149"/>
        <v>3</v>
      </c>
      <c r="J295" s="18">
        <f>VLOOKUP(E295,Katalog!$C$3:$F$13,2,0)</f>
        <v>120000</v>
      </c>
      <c r="K295" s="18">
        <f>VLOOKUP(E295,Katalog!$C$3:$F$13,3,0)</f>
        <v>60000</v>
      </c>
      <c r="L295" t="str">
        <f t="shared" si="150"/>
        <v>PW002</v>
      </c>
      <c r="M295" t="str">
        <f>IFERROR(INDEX(Katalog!$B$4:$B$13,MATCH('Main Data'!L295,Katalog!$C$4:$C$13,0)), "-")</f>
        <v>Blouse</v>
      </c>
      <c r="N295" t="str">
        <f>IFERROR(VLOOKUP(L295,Katalog!$A$15:$B$25,2,0),"-")</f>
        <v>Pakaian Wanita</v>
      </c>
      <c r="O295" t="str">
        <f t="shared" si="151"/>
        <v>1</v>
      </c>
      <c r="P295" t="str">
        <f t="shared" si="152"/>
        <v>4</v>
      </c>
      <c r="Q295" s="18">
        <f>IFERROR(VLOOKUP(L295,Katalog!$C$3:$F$13,2,0),0)</f>
        <v>125000</v>
      </c>
      <c r="R295" s="18">
        <f>IFERROR(VLOOKUP(L295,Katalog!$C$3:$F$13,3,0),0)</f>
        <v>50000</v>
      </c>
      <c r="S295" t="str">
        <f t="shared" si="153"/>
        <v>-</v>
      </c>
      <c r="T295" t="str">
        <f>IFERROR(INDEX(Katalog!$B$4:$B$13,MATCH('Main Data'!S295,Katalog!$C$4:$C$13,0)),"-")</f>
        <v>-</v>
      </c>
      <c r="U295" t="str">
        <f>IFERROR(VLOOKUP(S295,Katalog!$A$15:$B$25,2,0),"-")</f>
        <v>-</v>
      </c>
      <c r="V295">
        <f t="shared" si="154"/>
        <v>0</v>
      </c>
      <c r="W295" s="28" t="str">
        <f t="shared" si="155"/>
        <v>-</v>
      </c>
      <c r="X295" s="18">
        <f>IFERROR(VLOOKUP(S295,Katalog!$C$3:$F$13,2,0),0)</f>
        <v>0</v>
      </c>
      <c r="Y295" s="30">
        <f>IFERROR(VLOOKUP(S295,Katalog!$C$3:$F$13,3,0),0)</f>
        <v>0</v>
      </c>
      <c r="Z295" s="2">
        <f t="shared" si="156"/>
        <v>7</v>
      </c>
      <c r="AA295" s="4">
        <f t="shared" si="157"/>
        <v>845000</v>
      </c>
      <c r="AB295" s="4">
        <f t="shared" si="158"/>
        <v>410000</v>
      </c>
      <c r="AC295" s="4" t="s">
        <v>10</v>
      </c>
      <c r="AD295" s="16">
        <f>IFERROR(VLOOKUP(AC295,'Kode Diskon'!$C$2:$D$9,2,0),0)</f>
        <v>0</v>
      </c>
      <c r="AE295" s="31">
        <f t="shared" si="159"/>
        <v>0</v>
      </c>
      <c r="AF295" s="31">
        <f t="shared" si="160"/>
        <v>845000</v>
      </c>
      <c r="AG295" s="31">
        <f t="shared" si="161"/>
        <v>435000</v>
      </c>
      <c r="AH295" s="31">
        <f t="shared" si="162"/>
        <v>435000</v>
      </c>
      <c r="AI295" s="4" t="s">
        <v>10</v>
      </c>
      <c r="AJ295" s="4" t="s">
        <v>11</v>
      </c>
      <c r="AK295" s="4" t="str">
        <f>IFERROR(VLOOKUP(AJ295,'Guide '!$A$13:$B$16,2,0),"-")</f>
        <v>BL</v>
      </c>
      <c r="AL295" s="4" t="s">
        <v>1006</v>
      </c>
      <c r="AM295" s="40">
        <v>45402</v>
      </c>
      <c r="AN295">
        <f t="shared" si="163"/>
        <v>29</v>
      </c>
      <c r="AO295">
        <f t="shared" si="164"/>
        <v>32</v>
      </c>
      <c r="AP295">
        <f t="shared" si="165"/>
        <v>40</v>
      </c>
      <c r="AQ295">
        <f t="shared" si="166"/>
        <v>43</v>
      </c>
      <c r="AR295" s="26">
        <f t="shared" si="167"/>
        <v>56</v>
      </c>
      <c r="AS295" s="26">
        <f t="shared" si="168"/>
        <v>63</v>
      </c>
      <c r="AT295" s="21">
        <f t="shared" si="169"/>
        <v>12</v>
      </c>
      <c r="AU295" s="21">
        <f t="shared" si="170"/>
        <v>19</v>
      </c>
      <c r="AV295">
        <f t="shared" si="171"/>
        <v>73</v>
      </c>
      <c r="AW295">
        <f t="shared" si="172"/>
        <v>76</v>
      </c>
      <c r="AX295">
        <f t="shared" si="173"/>
        <v>84</v>
      </c>
      <c r="AY295">
        <f t="shared" si="174"/>
        <v>87</v>
      </c>
      <c r="AZ295" t="str">
        <f t="shared" si="175"/>
        <v>-</v>
      </c>
      <c r="BA295" t="str">
        <f t="shared" si="176"/>
        <v>-</v>
      </c>
      <c r="BB295" t="str">
        <f t="shared" si="177"/>
        <v>-</v>
      </c>
      <c r="BC295" t="str">
        <f t="shared" si="178"/>
        <v>-</v>
      </c>
      <c r="BD295" s="29" t="str">
        <f t="shared" si="179"/>
        <v>-</v>
      </c>
      <c r="BE295" s="29" t="str">
        <f t="shared" si="180"/>
        <v>-</v>
      </c>
    </row>
    <row r="296" spans="1:57" ht="15" x14ac:dyDescent="0.2">
      <c r="A296" s="2">
        <v>46</v>
      </c>
      <c r="B296" s="2" t="str">
        <f t="shared" si="145"/>
        <v>0046</v>
      </c>
      <c r="C296" t="str">
        <f t="shared" si="146"/>
        <v>ORD-BL-0046-21/04/24</v>
      </c>
      <c r="D296" s="3" t="s">
        <v>120</v>
      </c>
      <c r="E296" t="str">
        <f t="shared" si="147"/>
        <v>SP001</v>
      </c>
      <c r="F296" t="str">
        <f>INDEX(Katalog!$B$4:$B$13,MATCH('Main Data'!E296,Katalog!$C$4:$C$13,0))</f>
        <v>Sneakers</v>
      </c>
      <c r="G296" t="str">
        <f>VLOOKUP(E296,Katalog!$A$15:$B$25,2,0)</f>
        <v>Sepatu Pria</v>
      </c>
      <c r="H296" t="str">
        <f t="shared" si="148"/>
        <v>1</v>
      </c>
      <c r="I296" t="str">
        <f t="shared" si="149"/>
        <v>2</v>
      </c>
      <c r="J296" s="18">
        <f>VLOOKUP(E296,Katalog!$C$3:$F$13,2,0)</f>
        <v>300000</v>
      </c>
      <c r="K296" s="18">
        <f>VLOOKUP(E296,Katalog!$C$3:$F$13,3,0)</f>
        <v>100000</v>
      </c>
      <c r="L296" t="str">
        <f t="shared" si="150"/>
        <v>PW001</v>
      </c>
      <c r="M296" t="str">
        <f>IFERROR(INDEX(Katalog!$B$4:$B$13,MATCH('Main Data'!L296,Katalog!$C$4:$C$13,0)), "-")</f>
        <v>Dress</v>
      </c>
      <c r="N296" t="str">
        <f>IFERROR(VLOOKUP(L296,Katalog!$A$15:$B$25,2,0),"-")</f>
        <v>Pakaian Wanita</v>
      </c>
      <c r="O296" t="str">
        <f t="shared" si="151"/>
        <v>1</v>
      </c>
      <c r="P296" t="str">
        <f t="shared" si="152"/>
        <v>1</v>
      </c>
      <c r="Q296" s="18">
        <f>IFERROR(VLOOKUP(L296,Katalog!$C$3:$F$13,2,0),0)</f>
        <v>150000</v>
      </c>
      <c r="R296" s="18">
        <f>IFERROR(VLOOKUP(L296,Katalog!$C$3:$F$13,3,0),0)</f>
        <v>55000</v>
      </c>
      <c r="S296" t="str">
        <f t="shared" si="153"/>
        <v>PP003</v>
      </c>
      <c r="T296" t="str">
        <f>IFERROR(INDEX(Katalog!$B$4:$B$13,MATCH('Main Data'!S296,Katalog!$C$4:$C$13,0)),"-")</f>
        <v>Jaket Jeans</v>
      </c>
      <c r="U296" t="str">
        <f>IFERROR(VLOOKUP(S296,Katalog!$A$15:$B$25,2,0),"-")</f>
        <v>Pakaian Pria</v>
      </c>
      <c r="V296" t="str">
        <f t="shared" si="154"/>
        <v>1</v>
      </c>
      <c r="W296" s="28" t="str">
        <f t="shared" si="155"/>
        <v>4</v>
      </c>
      <c r="X296" s="18">
        <f>IFERROR(VLOOKUP(S296,Katalog!$C$3:$F$13,2,0),0)</f>
        <v>150000</v>
      </c>
      <c r="Y296" s="30">
        <f>IFERROR(VLOOKUP(S296,Katalog!$C$3:$F$13,3,0),0)</f>
        <v>70000</v>
      </c>
      <c r="Z296" s="2">
        <f t="shared" si="156"/>
        <v>3</v>
      </c>
      <c r="AA296" s="4">
        <f t="shared" si="157"/>
        <v>600000</v>
      </c>
      <c r="AB296" s="4">
        <f t="shared" si="158"/>
        <v>225000</v>
      </c>
      <c r="AC296" s="4" t="s">
        <v>31</v>
      </c>
      <c r="AD296" s="16">
        <f>IFERROR(VLOOKUP(AC296,'Kode Diskon'!$C$2:$D$9,2,0),0)</f>
        <v>0.15</v>
      </c>
      <c r="AE296" s="31">
        <f t="shared" si="159"/>
        <v>90000</v>
      </c>
      <c r="AF296" s="31">
        <f t="shared" si="160"/>
        <v>510000</v>
      </c>
      <c r="AG296" s="31">
        <f t="shared" si="161"/>
        <v>375000</v>
      </c>
      <c r="AH296" s="31">
        <f t="shared" si="162"/>
        <v>285000</v>
      </c>
      <c r="AI296" s="4" t="s">
        <v>8</v>
      </c>
      <c r="AJ296" s="4" t="s">
        <v>11</v>
      </c>
      <c r="AK296" s="4" t="str">
        <f>IFERROR(VLOOKUP(AJ296,'Guide '!$A$13:$B$16,2,0),"-")</f>
        <v>BL</v>
      </c>
      <c r="AL296" s="4" t="s">
        <v>922</v>
      </c>
      <c r="AM296" s="40">
        <v>45403</v>
      </c>
      <c r="AN296">
        <f t="shared" si="163"/>
        <v>29</v>
      </c>
      <c r="AO296">
        <f t="shared" si="164"/>
        <v>32</v>
      </c>
      <c r="AP296">
        <f t="shared" si="165"/>
        <v>40</v>
      </c>
      <c r="AQ296">
        <f t="shared" si="166"/>
        <v>43</v>
      </c>
      <c r="AR296" s="26">
        <f t="shared" si="167"/>
        <v>56</v>
      </c>
      <c r="AS296" s="26">
        <f t="shared" si="168"/>
        <v>63</v>
      </c>
      <c r="AT296" s="21">
        <f t="shared" si="169"/>
        <v>12</v>
      </c>
      <c r="AU296" s="21">
        <f t="shared" si="170"/>
        <v>19</v>
      </c>
      <c r="AV296">
        <f t="shared" si="171"/>
        <v>73</v>
      </c>
      <c r="AW296">
        <f t="shared" si="172"/>
        <v>76</v>
      </c>
      <c r="AX296">
        <f t="shared" si="173"/>
        <v>84</v>
      </c>
      <c r="AY296">
        <f t="shared" si="174"/>
        <v>87</v>
      </c>
      <c r="AZ296">
        <f t="shared" si="175"/>
        <v>100</v>
      </c>
      <c r="BA296">
        <f t="shared" si="176"/>
        <v>107</v>
      </c>
      <c r="BB296">
        <f t="shared" si="177"/>
        <v>117</v>
      </c>
      <c r="BC296">
        <f t="shared" si="178"/>
        <v>120</v>
      </c>
      <c r="BD296" s="29">
        <f t="shared" si="179"/>
        <v>128</v>
      </c>
      <c r="BE296" s="29">
        <f t="shared" si="180"/>
        <v>131</v>
      </c>
    </row>
    <row r="297" spans="1:57" ht="15" x14ac:dyDescent="0.2">
      <c r="A297" s="2">
        <v>54</v>
      </c>
      <c r="B297" s="2" t="str">
        <f t="shared" si="145"/>
        <v>0054</v>
      </c>
      <c r="C297" t="str">
        <f t="shared" si="146"/>
        <v>ORD-SP-0054-21/04/24</v>
      </c>
      <c r="D297" s="3" t="s">
        <v>128</v>
      </c>
      <c r="E297" t="str">
        <f t="shared" si="147"/>
        <v>PW001</v>
      </c>
      <c r="F297" t="str">
        <f>INDEX(Katalog!$B$4:$B$13,MATCH('Main Data'!E297,Katalog!$C$4:$C$13,0))</f>
        <v>Dress</v>
      </c>
      <c r="G297" t="str">
        <f>VLOOKUP(E297,Katalog!$A$15:$B$25,2,0)</f>
        <v>Pakaian Wanita</v>
      </c>
      <c r="H297" t="str">
        <f t="shared" si="148"/>
        <v>1</v>
      </c>
      <c r="I297" t="str">
        <f t="shared" si="149"/>
        <v>1</v>
      </c>
      <c r="J297" s="18">
        <f>VLOOKUP(E297,Katalog!$C$3:$F$13,2,0)</f>
        <v>150000</v>
      </c>
      <c r="K297" s="18">
        <f>VLOOKUP(E297,Katalog!$C$3:$F$13,3,0)</f>
        <v>55000</v>
      </c>
      <c r="L297" t="str">
        <f t="shared" si="150"/>
        <v>SP002</v>
      </c>
      <c r="M297" t="str">
        <f>IFERROR(INDEX(Katalog!$B$4:$B$13,MATCH('Main Data'!L297,Katalog!$C$4:$C$13,0)), "-")</f>
        <v>Sandal Slip On</v>
      </c>
      <c r="N297" t="str">
        <f>IFERROR(VLOOKUP(L297,Katalog!$A$15:$B$25,2,0),"-")</f>
        <v>Sepatu Pria</v>
      </c>
      <c r="O297" t="str">
        <f t="shared" si="151"/>
        <v>5</v>
      </c>
      <c r="P297" t="str">
        <f t="shared" si="152"/>
        <v>5</v>
      </c>
      <c r="Q297" s="18">
        <f>IFERROR(VLOOKUP(L297,Katalog!$C$3:$F$13,2,0),0)</f>
        <v>120000</v>
      </c>
      <c r="R297" s="18">
        <f>IFERROR(VLOOKUP(L297,Katalog!$C$3:$F$13,3,0),0)</f>
        <v>60000</v>
      </c>
      <c r="S297" t="str">
        <f t="shared" si="153"/>
        <v>-</v>
      </c>
      <c r="T297" t="str">
        <f>IFERROR(INDEX(Katalog!$B$4:$B$13,MATCH('Main Data'!S297,Katalog!$C$4:$C$13,0)),"-")</f>
        <v>-</v>
      </c>
      <c r="U297" t="str">
        <f>IFERROR(VLOOKUP(S297,Katalog!$A$15:$B$25,2,0),"-")</f>
        <v>-</v>
      </c>
      <c r="V297">
        <f t="shared" si="154"/>
        <v>0</v>
      </c>
      <c r="W297" s="28" t="str">
        <f t="shared" si="155"/>
        <v>-</v>
      </c>
      <c r="X297" s="18">
        <f>IFERROR(VLOOKUP(S297,Katalog!$C$3:$F$13,2,0),0)</f>
        <v>0</v>
      </c>
      <c r="Y297" s="30">
        <f>IFERROR(VLOOKUP(S297,Katalog!$C$3:$F$13,3,0),0)</f>
        <v>0</v>
      </c>
      <c r="Z297" s="2">
        <f t="shared" si="156"/>
        <v>6</v>
      </c>
      <c r="AA297" s="4">
        <f t="shared" si="157"/>
        <v>750000</v>
      </c>
      <c r="AB297" s="4">
        <f t="shared" si="158"/>
        <v>355000</v>
      </c>
      <c r="AC297" s="4" t="s">
        <v>12</v>
      </c>
      <c r="AD297" s="16">
        <f>IFERROR(VLOOKUP(AC297,'Kode Diskon'!$C$2:$D$9,2,0),0)</f>
        <v>0.15</v>
      </c>
      <c r="AE297" s="31">
        <f t="shared" si="159"/>
        <v>112500</v>
      </c>
      <c r="AF297" s="31">
        <f t="shared" si="160"/>
        <v>637500</v>
      </c>
      <c r="AG297" s="31">
        <f t="shared" si="161"/>
        <v>395000</v>
      </c>
      <c r="AH297" s="31">
        <f t="shared" si="162"/>
        <v>282500</v>
      </c>
      <c r="AI297" s="4" t="s">
        <v>28</v>
      </c>
      <c r="AJ297" s="4" t="s">
        <v>6</v>
      </c>
      <c r="AK297" s="4" t="str">
        <f>IFERROR(VLOOKUP(AJ297,'Guide '!$A$13:$B$16,2,0),"-")</f>
        <v>SP</v>
      </c>
      <c r="AL297" s="4" t="s">
        <v>924</v>
      </c>
      <c r="AM297" s="40">
        <v>45403</v>
      </c>
      <c r="AN297">
        <f t="shared" si="163"/>
        <v>29</v>
      </c>
      <c r="AO297">
        <f t="shared" si="164"/>
        <v>32</v>
      </c>
      <c r="AP297">
        <f t="shared" si="165"/>
        <v>40</v>
      </c>
      <c r="AQ297">
        <f t="shared" si="166"/>
        <v>43</v>
      </c>
      <c r="AR297" s="26">
        <f t="shared" si="167"/>
        <v>56</v>
      </c>
      <c r="AS297" s="26">
        <f t="shared" si="168"/>
        <v>63</v>
      </c>
      <c r="AT297" s="21">
        <f t="shared" si="169"/>
        <v>12</v>
      </c>
      <c r="AU297" s="21">
        <f t="shared" si="170"/>
        <v>19</v>
      </c>
      <c r="AV297">
        <f t="shared" si="171"/>
        <v>73</v>
      </c>
      <c r="AW297">
        <f t="shared" si="172"/>
        <v>76</v>
      </c>
      <c r="AX297">
        <f t="shared" si="173"/>
        <v>84</v>
      </c>
      <c r="AY297">
        <f t="shared" si="174"/>
        <v>87</v>
      </c>
      <c r="AZ297" t="str">
        <f t="shared" si="175"/>
        <v>-</v>
      </c>
      <c r="BA297" t="str">
        <f t="shared" si="176"/>
        <v>-</v>
      </c>
      <c r="BB297" t="str">
        <f t="shared" si="177"/>
        <v>-</v>
      </c>
      <c r="BC297" t="str">
        <f t="shared" si="178"/>
        <v>-</v>
      </c>
      <c r="BD297" s="29" t="str">
        <f t="shared" si="179"/>
        <v>-</v>
      </c>
      <c r="BE297" s="29" t="str">
        <f t="shared" si="180"/>
        <v>-</v>
      </c>
    </row>
    <row r="298" spans="1:57" ht="15" x14ac:dyDescent="0.2">
      <c r="A298" s="2">
        <v>145</v>
      </c>
      <c r="B298" s="2" t="str">
        <f t="shared" si="145"/>
        <v>0145</v>
      </c>
      <c r="C298" t="str">
        <f t="shared" si="146"/>
        <v>ORD-SP-0145-21/04/24</v>
      </c>
      <c r="D298" s="3" t="s">
        <v>215</v>
      </c>
      <c r="E298" t="str">
        <f t="shared" si="147"/>
        <v>SP002</v>
      </c>
      <c r="F298" t="str">
        <f>INDEX(Katalog!$B$4:$B$13,MATCH('Main Data'!E298,Katalog!$C$4:$C$13,0))</f>
        <v>Sandal Slip On</v>
      </c>
      <c r="G298" t="str">
        <f>VLOOKUP(E298,Katalog!$A$15:$B$25,2,0)</f>
        <v>Sepatu Pria</v>
      </c>
      <c r="H298" t="str">
        <f t="shared" si="148"/>
        <v>3</v>
      </c>
      <c r="I298" t="str">
        <f t="shared" si="149"/>
        <v>4</v>
      </c>
      <c r="J298" s="18">
        <f>VLOOKUP(E298,Katalog!$C$3:$F$13,2,0)</f>
        <v>120000</v>
      </c>
      <c r="K298" s="18">
        <f>VLOOKUP(E298,Katalog!$C$3:$F$13,3,0)</f>
        <v>60000</v>
      </c>
      <c r="L298" t="str">
        <f t="shared" si="150"/>
        <v>SP002</v>
      </c>
      <c r="M298" t="str">
        <f>IFERROR(INDEX(Katalog!$B$4:$B$13,MATCH('Main Data'!L298,Katalog!$C$4:$C$13,0)), "-")</f>
        <v>Sandal Slip On</v>
      </c>
      <c r="N298" t="str">
        <f>IFERROR(VLOOKUP(L298,Katalog!$A$15:$B$25,2,0),"-")</f>
        <v>Sepatu Pria</v>
      </c>
      <c r="O298" t="str">
        <f t="shared" si="151"/>
        <v>3</v>
      </c>
      <c r="P298" t="str">
        <f t="shared" si="152"/>
        <v>2</v>
      </c>
      <c r="Q298" s="18">
        <f>IFERROR(VLOOKUP(L298,Katalog!$C$3:$F$13,2,0),0)</f>
        <v>120000</v>
      </c>
      <c r="R298" s="18">
        <f>IFERROR(VLOOKUP(L298,Katalog!$C$3:$F$13,3,0),0)</f>
        <v>60000</v>
      </c>
      <c r="S298" t="str">
        <f t="shared" si="153"/>
        <v>PW002</v>
      </c>
      <c r="T298" t="str">
        <f>IFERROR(INDEX(Katalog!$B$4:$B$13,MATCH('Main Data'!S298,Katalog!$C$4:$C$13,0)),"-")</f>
        <v>Blouse</v>
      </c>
      <c r="U298" t="str">
        <f>IFERROR(VLOOKUP(S298,Katalog!$A$15:$B$25,2,0),"-")</f>
        <v>Pakaian Wanita</v>
      </c>
      <c r="V298" t="str">
        <f t="shared" si="154"/>
        <v>1</v>
      </c>
      <c r="W298" s="28" t="str">
        <f t="shared" si="155"/>
        <v>5</v>
      </c>
      <c r="X298" s="18">
        <f>IFERROR(VLOOKUP(S298,Katalog!$C$3:$F$13,2,0),0)</f>
        <v>125000</v>
      </c>
      <c r="Y298" s="30">
        <f>IFERROR(VLOOKUP(S298,Katalog!$C$3:$F$13,3,0),0)</f>
        <v>50000</v>
      </c>
      <c r="Z298" s="2">
        <f t="shared" si="156"/>
        <v>7</v>
      </c>
      <c r="AA298" s="4">
        <f t="shared" si="157"/>
        <v>845000</v>
      </c>
      <c r="AB298" s="4">
        <f t="shared" si="158"/>
        <v>410000</v>
      </c>
      <c r="AC298" s="4" t="s">
        <v>5</v>
      </c>
      <c r="AD298" s="16">
        <f>IFERROR(VLOOKUP(AC298,'Kode Diskon'!$C$2:$D$9,2,0),0)</f>
        <v>0.1</v>
      </c>
      <c r="AE298" s="31">
        <f t="shared" si="159"/>
        <v>84500</v>
      </c>
      <c r="AF298" s="31">
        <f t="shared" si="160"/>
        <v>760500</v>
      </c>
      <c r="AG298" s="31">
        <f t="shared" si="161"/>
        <v>435000</v>
      </c>
      <c r="AH298" s="31">
        <f t="shared" si="162"/>
        <v>350500</v>
      </c>
      <c r="AI298" s="4" t="s">
        <v>28</v>
      </c>
      <c r="AJ298" s="4" t="s">
        <v>6</v>
      </c>
      <c r="AK298" s="4" t="str">
        <f>IFERROR(VLOOKUP(AJ298,'Guide '!$A$13:$B$16,2,0),"-")</f>
        <v>SP</v>
      </c>
      <c r="AL298" s="4" t="s">
        <v>925</v>
      </c>
      <c r="AM298" s="40">
        <v>45403</v>
      </c>
      <c r="AN298">
        <f t="shared" si="163"/>
        <v>29</v>
      </c>
      <c r="AO298">
        <f t="shared" si="164"/>
        <v>32</v>
      </c>
      <c r="AP298">
        <f t="shared" si="165"/>
        <v>40</v>
      </c>
      <c r="AQ298">
        <f t="shared" si="166"/>
        <v>43</v>
      </c>
      <c r="AR298" s="26">
        <f t="shared" si="167"/>
        <v>56</v>
      </c>
      <c r="AS298" s="26">
        <f t="shared" si="168"/>
        <v>63</v>
      </c>
      <c r="AT298" s="21">
        <f t="shared" si="169"/>
        <v>12</v>
      </c>
      <c r="AU298" s="21">
        <f t="shared" si="170"/>
        <v>19</v>
      </c>
      <c r="AV298">
        <f t="shared" si="171"/>
        <v>73</v>
      </c>
      <c r="AW298">
        <f t="shared" si="172"/>
        <v>76</v>
      </c>
      <c r="AX298">
        <f t="shared" si="173"/>
        <v>84</v>
      </c>
      <c r="AY298">
        <f t="shared" si="174"/>
        <v>87</v>
      </c>
      <c r="AZ298">
        <f t="shared" si="175"/>
        <v>100</v>
      </c>
      <c r="BA298">
        <f t="shared" si="176"/>
        <v>107</v>
      </c>
      <c r="BB298">
        <f t="shared" si="177"/>
        <v>117</v>
      </c>
      <c r="BC298">
        <f t="shared" si="178"/>
        <v>120</v>
      </c>
      <c r="BD298" s="29">
        <f t="shared" si="179"/>
        <v>128</v>
      </c>
      <c r="BE298" s="29">
        <f t="shared" si="180"/>
        <v>131</v>
      </c>
    </row>
    <row r="299" spans="1:57" ht="15" x14ac:dyDescent="0.2">
      <c r="A299" s="2">
        <v>797</v>
      </c>
      <c r="B299" s="2" t="str">
        <f t="shared" si="145"/>
        <v>0797</v>
      </c>
      <c r="C299" t="str">
        <f t="shared" si="146"/>
        <v>ORD-BL-0797-21/04/24</v>
      </c>
      <c r="D299" s="3" t="s">
        <v>764</v>
      </c>
      <c r="E299" t="str">
        <f t="shared" si="147"/>
        <v>PP001</v>
      </c>
      <c r="F299" t="str">
        <f>INDEX(Katalog!$B$4:$B$13,MATCH('Main Data'!E299,Katalog!$C$4:$C$13,0))</f>
        <v>Kaos Polo</v>
      </c>
      <c r="G299" t="str">
        <f>VLOOKUP(E299,Katalog!$A$15:$B$25,2,0)</f>
        <v>Pakaian Pria</v>
      </c>
      <c r="H299" t="str">
        <f t="shared" si="148"/>
        <v>3</v>
      </c>
      <c r="I299" t="str">
        <f t="shared" si="149"/>
        <v>4</v>
      </c>
      <c r="J299" s="18">
        <f>VLOOKUP(E299,Katalog!$C$3:$F$13,2,0)</f>
        <v>80000</v>
      </c>
      <c r="K299" s="18">
        <f>VLOOKUP(E299,Katalog!$C$3:$F$13,3,0)</f>
        <v>30000</v>
      </c>
      <c r="L299" t="str">
        <f t="shared" si="150"/>
        <v>SP001</v>
      </c>
      <c r="M299" t="str">
        <f>IFERROR(INDEX(Katalog!$B$4:$B$13,MATCH('Main Data'!L299,Katalog!$C$4:$C$13,0)), "-")</f>
        <v>Sneakers</v>
      </c>
      <c r="N299" t="str">
        <f>IFERROR(VLOOKUP(L299,Katalog!$A$15:$B$25,2,0),"-")</f>
        <v>Sepatu Pria</v>
      </c>
      <c r="O299" t="str">
        <f t="shared" si="151"/>
        <v>1</v>
      </c>
      <c r="P299" t="str">
        <f t="shared" si="152"/>
        <v>2</v>
      </c>
      <c r="Q299" s="18">
        <f>IFERROR(VLOOKUP(L299,Katalog!$C$3:$F$13,2,0),0)</f>
        <v>300000</v>
      </c>
      <c r="R299" s="18">
        <f>IFERROR(VLOOKUP(L299,Katalog!$C$3:$F$13,3,0),0)</f>
        <v>100000</v>
      </c>
      <c r="S299" t="str">
        <f t="shared" si="153"/>
        <v>-</v>
      </c>
      <c r="T299" t="str">
        <f>IFERROR(INDEX(Katalog!$B$4:$B$13,MATCH('Main Data'!S299,Katalog!$C$4:$C$13,0)),"-")</f>
        <v>-</v>
      </c>
      <c r="U299" t="str">
        <f>IFERROR(VLOOKUP(S299,Katalog!$A$15:$B$25,2,0),"-")</f>
        <v>-</v>
      </c>
      <c r="V299">
        <f t="shared" si="154"/>
        <v>0</v>
      </c>
      <c r="W299" s="28" t="str">
        <f t="shared" si="155"/>
        <v>-</v>
      </c>
      <c r="X299" s="18">
        <f>IFERROR(VLOOKUP(S299,Katalog!$C$3:$F$13,2,0),0)</f>
        <v>0</v>
      </c>
      <c r="Y299" s="30">
        <f>IFERROR(VLOOKUP(S299,Katalog!$C$3:$F$13,3,0),0)</f>
        <v>0</v>
      </c>
      <c r="Z299" s="2">
        <f t="shared" si="156"/>
        <v>4</v>
      </c>
      <c r="AA299" s="4">
        <f t="shared" si="157"/>
        <v>540000</v>
      </c>
      <c r="AB299" s="4">
        <f t="shared" si="158"/>
        <v>190000</v>
      </c>
      <c r="AC299" s="4" t="s">
        <v>31</v>
      </c>
      <c r="AD299" s="16">
        <f>IFERROR(VLOOKUP(AC299,'Kode Diskon'!$C$2:$D$9,2,0),0)</f>
        <v>0.15</v>
      </c>
      <c r="AE299" s="31">
        <f t="shared" si="159"/>
        <v>81000</v>
      </c>
      <c r="AF299" s="31">
        <f t="shared" si="160"/>
        <v>459000</v>
      </c>
      <c r="AG299" s="31">
        <f t="shared" si="161"/>
        <v>350000</v>
      </c>
      <c r="AH299" s="31">
        <f t="shared" si="162"/>
        <v>269000</v>
      </c>
      <c r="AI299" s="4" t="s">
        <v>8</v>
      </c>
      <c r="AJ299" s="4" t="s">
        <v>11</v>
      </c>
      <c r="AK299" s="4" t="str">
        <f>IFERROR(VLOOKUP(AJ299,'Guide '!$A$13:$B$16,2,0),"-")</f>
        <v>BL</v>
      </c>
      <c r="AL299" s="4" t="s">
        <v>924</v>
      </c>
      <c r="AM299" s="40">
        <v>45403</v>
      </c>
      <c r="AN299">
        <f t="shared" si="163"/>
        <v>29</v>
      </c>
      <c r="AO299">
        <f t="shared" si="164"/>
        <v>32</v>
      </c>
      <c r="AP299">
        <f t="shared" si="165"/>
        <v>40</v>
      </c>
      <c r="AQ299">
        <f t="shared" si="166"/>
        <v>43</v>
      </c>
      <c r="AR299" s="26">
        <f t="shared" si="167"/>
        <v>56</v>
      </c>
      <c r="AS299" s="26">
        <f t="shared" si="168"/>
        <v>63</v>
      </c>
      <c r="AT299" s="21">
        <f t="shared" si="169"/>
        <v>12</v>
      </c>
      <c r="AU299" s="21">
        <f t="shared" si="170"/>
        <v>19</v>
      </c>
      <c r="AV299">
        <f t="shared" si="171"/>
        <v>73</v>
      </c>
      <c r="AW299">
        <f t="shared" si="172"/>
        <v>76</v>
      </c>
      <c r="AX299">
        <f t="shared" si="173"/>
        <v>84</v>
      </c>
      <c r="AY299">
        <f t="shared" si="174"/>
        <v>87</v>
      </c>
      <c r="AZ299" t="str">
        <f t="shared" si="175"/>
        <v>-</v>
      </c>
      <c r="BA299" t="str">
        <f t="shared" si="176"/>
        <v>-</v>
      </c>
      <c r="BB299" t="str">
        <f t="shared" si="177"/>
        <v>-</v>
      </c>
      <c r="BC299" t="str">
        <f t="shared" si="178"/>
        <v>-</v>
      </c>
      <c r="BD299" s="29" t="str">
        <f t="shared" si="179"/>
        <v>-</v>
      </c>
      <c r="BE299" s="29" t="str">
        <f t="shared" si="180"/>
        <v>-</v>
      </c>
    </row>
    <row r="300" spans="1:57" ht="15" x14ac:dyDescent="0.2">
      <c r="A300" s="2">
        <v>565</v>
      </c>
      <c r="B300" s="2" t="str">
        <f t="shared" si="145"/>
        <v>0565</v>
      </c>
      <c r="C300" t="str">
        <f t="shared" si="146"/>
        <v>ORD-TK-0565-22/04/24</v>
      </c>
      <c r="D300" s="3" t="s">
        <v>586</v>
      </c>
      <c r="E300" t="str">
        <f t="shared" si="147"/>
        <v>PP003</v>
      </c>
      <c r="F300" t="str">
        <f>INDEX(Katalog!$B$4:$B$13,MATCH('Main Data'!E300,Katalog!$C$4:$C$13,0))</f>
        <v>Jaket Jeans</v>
      </c>
      <c r="G300" t="str">
        <f>VLOOKUP(E300,Katalog!$A$15:$B$25,2,0)</f>
        <v>Pakaian Pria</v>
      </c>
      <c r="H300" t="str">
        <f t="shared" si="148"/>
        <v>3</v>
      </c>
      <c r="I300" t="str">
        <f t="shared" si="149"/>
        <v>2</v>
      </c>
      <c r="J300" s="18">
        <f>VLOOKUP(E300,Katalog!$C$3:$F$13,2,0)</f>
        <v>150000</v>
      </c>
      <c r="K300" s="18">
        <f>VLOOKUP(E300,Katalog!$C$3:$F$13,3,0)</f>
        <v>70000</v>
      </c>
      <c r="L300" t="str">
        <f t="shared" si="150"/>
        <v>PW002</v>
      </c>
      <c r="M300" t="str">
        <f>IFERROR(INDEX(Katalog!$B$4:$B$13,MATCH('Main Data'!L300,Katalog!$C$4:$C$13,0)), "-")</f>
        <v>Blouse</v>
      </c>
      <c r="N300" t="str">
        <f>IFERROR(VLOOKUP(L300,Katalog!$A$15:$B$25,2,0),"-")</f>
        <v>Pakaian Wanita</v>
      </c>
      <c r="O300" t="str">
        <f t="shared" si="151"/>
        <v>2</v>
      </c>
      <c r="P300" t="str">
        <f t="shared" si="152"/>
        <v>4</v>
      </c>
      <c r="Q300" s="18">
        <f>IFERROR(VLOOKUP(L300,Katalog!$C$3:$F$13,2,0),0)</f>
        <v>125000</v>
      </c>
      <c r="R300" s="18">
        <f>IFERROR(VLOOKUP(L300,Katalog!$C$3:$F$13,3,0),0)</f>
        <v>50000</v>
      </c>
      <c r="S300" t="str">
        <f t="shared" si="153"/>
        <v>PW001</v>
      </c>
      <c r="T300" t="str">
        <f>IFERROR(INDEX(Katalog!$B$4:$B$13,MATCH('Main Data'!S300,Katalog!$C$4:$C$13,0)),"-")</f>
        <v>Dress</v>
      </c>
      <c r="U300" t="str">
        <f>IFERROR(VLOOKUP(S300,Katalog!$A$15:$B$25,2,0),"-")</f>
        <v>Pakaian Wanita</v>
      </c>
      <c r="V300" t="str">
        <f t="shared" si="154"/>
        <v>1</v>
      </c>
      <c r="W300" s="28" t="str">
        <f t="shared" si="155"/>
        <v>5</v>
      </c>
      <c r="X300" s="18">
        <f>IFERROR(VLOOKUP(S300,Katalog!$C$3:$F$13,2,0),0)</f>
        <v>150000</v>
      </c>
      <c r="Y300" s="30">
        <f>IFERROR(VLOOKUP(S300,Katalog!$C$3:$F$13,3,0),0)</f>
        <v>55000</v>
      </c>
      <c r="Z300" s="2">
        <f t="shared" si="156"/>
        <v>6</v>
      </c>
      <c r="AA300" s="4">
        <f t="shared" si="157"/>
        <v>850000</v>
      </c>
      <c r="AB300" s="4">
        <f t="shared" si="158"/>
        <v>365000</v>
      </c>
      <c r="AC300" s="4" t="s">
        <v>29</v>
      </c>
      <c r="AD300" s="16">
        <f>IFERROR(VLOOKUP(AC300,'Kode Diskon'!$C$2:$D$9,2,0),0)</f>
        <v>0.1</v>
      </c>
      <c r="AE300" s="31">
        <f t="shared" si="159"/>
        <v>85000</v>
      </c>
      <c r="AF300" s="31">
        <f t="shared" si="160"/>
        <v>765000</v>
      </c>
      <c r="AG300" s="31">
        <f t="shared" si="161"/>
        <v>485000</v>
      </c>
      <c r="AH300" s="31">
        <f t="shared" si="162"/>
        <v>400000</v>
      </c>
      <c r="AI300" s="4" t="s">
        <v>28</v>
      </c>
      <c r="AJ300" s="4" t="s">
        <v>9</v>
      </c>
      <c r="AK300" s="4" t="str">
        <f>IFERROR(VLOOKUP(AJ300,'Guide '!$A$13:$B$16,2,0),"-")</f>
        <v>TK</v>
      </c>
      <c r="AL300" s="4" t="s">
        <v>1006</v>
      </c>
      <c r="AM300" s="40">
        <v>45404</v>
      </c>
      <c r="AN300">
        <f t="shared" si="163"/>
        <v>29</v>
      </c>
      <c r="AO300">
        <f t="shared" si="164"/>
        <v>32</v>
      </c>
      <c r="AP300">
        <f t="shared" si="165"/>
        <v>40</v>
      </c>
      <c r="AQ300">
        <f t="shared" si="166"/>
        <v>43</v>
      </c>
      <c r="AR300" s="26">
        <f t="shared" si="167"/>
        <v>56</v>
      </c>
      <c r="AS300" s="26">
        <f t="shared" si="168"/>
        <v>63</v>
      </c>
      <c r="AT300" s="21">
        <f t="shared" si="169"/>
        <v>12</v>
      </c>
      <c r="AU300" s="21">
        <f t="shared" si="170"/>
        <v>19</v>
      </c>
      <c r="AV300">
        <f t="shared" si="171"/>
        <v>73</v>
      </c>
      <c r="AW300">
        <f t="shared" si="172"/>
        <v>76</v>
      </c>
      <c r="AX300">
        <f t="shared" si="173"/>
        <v>84</v>
      </c>
      <c r="AY300">
        <f t="shared" si="174"/>
        <v>87</v>
      </c>
      <c r="AZ300">
        <f t="shared" si="175"/>
        <v>100</v>
      </c>
      <c r="BA300">
        <f t="shared" si="176"/>
        <v>107</v>
      </c>
      <c r="BB300">
        <f t="shared" si="177"/>
        <v>117</v>
      </c>
      <c r="BC300">
        <f t="shared" si="178"/>
        <v>120</v>
      </c>
      <c r="BD300" s="29">
        <f t="shared" si="179"/>
        <v>128</v>
      </c>
      <c r="BE300" s="29">
        <f t="shared" si="180"/>
        <v>131</v>
      </c>
    </row>
    <row r="301" spans="1:57" ht="15" x14ac:dyDescent="0.2">
      <c r="A301" s="2">
        <v>172</v>
      </c>
      <c r="B301" s="2" t="str">
        <f t="shared" si="145"/>
        <v>0172</v>
      </c>
      <c r="C301" t="str">
        <f t="shared" si="146"/>
        <v>ORD-TK-0172-23/04/24</v>
      </c>
      <c r="D301" s="3" t="s">
        <v>241</v>
      </c>
      <c r="E301" t="str">
        <f t="shared" si="147"/>
        <v>PP003</v>
      </c>
      <c r="F301" t="str">
        <f>INDEX(Katalog!$B$4:$B$13,MATCH('Main Data'!E301,Katalog!$C$4:$C$13,0))</f>
        <v>Jaket Jeans</v>
      </c>
      <c r="G301" t="str">
        <f>VLOOKUP(E301,Katalog!$A$15:$B$25,2,0)</f>
        <v>Pakaian Pria</v>
      </c>
      <c r="H301" t="str">
        <f t="shared" si="148"/>
        <v>3</v>
      </c>
      <c r="I301" t="str">
        <f t="shared" si="149"/>
        <v>3</v>
      </c>
      <c r="J301" s="18">
        <f>VLOOKUP(E301,Katalog!$C$3:$F$13,2,0)</f>
        <v>150000</v>
      </c>
      <c r="K301" s="18">
        <f>VLOOKUP(E301,Katalog!$C$3:$F$13,3,0)</f>
        <v>70000</v>
      </c>
      <c r="L301" t="str">
        <f t="shared" si="150"/>
        <v>SP002</v>
      </c>
      <c r="M301" t="str">
        <f>IFERROR(INDEX(Katalog!$B$4:$B$13,MATCH('Main Data'!L301,Katalog!$C$4:$C$13,0)), "-")</f>
        <v>Sandal Slip On</v>
      </c>
      <c r="N301" t="str">
        <f>IFERROR(VLOOKUP(L301,Katalog!$A$15:$B$25,2,0),"-")</f>
        <v>Sepatu Pria</v>
      </c>
      <c r="O301" t="str">
        <f t="shared" si="151"/>
        <v>1</v>
      </c>
      <c r="P301" t="str">
        <f t="shared" si="152"/>
        <v>1</v>
      </c>
      <c r="Q301" s="18">
        <f>IFERROR(VLOOKUP(L301,Katalog!$C$3:$F$13,2,0),0)</f>
        <v>120000</v>
      </c>
      <c r="R301" s="18">
        <f>IFERROR(VLOOKUP(L301,Katalog!$C$3:$F$13,3,0),0)</f>
        <v>60000</v>
      </c>
      <c r="S301" t="str">
        <f t="shared" si="153"/>
        <v>-</v>
      </c>
      <c r="T301" t="str">
        <f>IFERROR(INDEX(Katalog!$B$4:$B$13,MATCH('Main Data'!S301,Katalog!$C$4:$C$13,0)),"-")</f>
        <v>-</v>
      </c>
      <c r="U301" t="str">
        <f>IFERROR(VLOOKUP(S301,Katalog!$A$15:$B$25,2,0),"-")</f>
        <v>-</v>
      </c>
      <c r="V301">
        <f t="shared" si="154"/>
        <v>0</v>
      </c>
      <c r="W301" s="28" t="str">
        <f t="shared" si="155"/>
        <v>-</v>
      </c>
      <c r="X301" s="18">
        <f>IFERROR(VLOOKUP(S301,Katalog!$C$3:$F$13,2,0),0)</f>
        <v>0</v>
      </c>
      <c r="Y301" s="30">
        <f>IFERROR(VLOOKUP(S301,Katalog!$C$3:$F$13,3,0),0)</f>
        <v>0</v>
      </c>
      <c r="Z301" s="2">
        <f t="shared" si="156"/>
        <v>4</v>
      </c>
      <c r="AA301" s="4">
        <f t="shared" si="157"/>
        <v>570000</v>
      </c>
      <c r="AB301" s="4">
        <f t="shared" si="158"/>
        <v>270000</v>
      </c>
      <c r="AC301" s="4" t="s">
        <v>29</v>
      </c>
      <c r="AD301" s="16">
        <f>IFERROR(VLOOKUP(AC301,'Kode Diskon'!$C$2:$D$9,2,0),0)</f>
        <v>0.1</v>
      </c>
      <c r="AE301" s="31">
        <f t="shared" si="159"/>
        <v>57000</v>
      </c>
      <c r="AF301" s="31">
        <f t="shared" si="160"/>
        <v>513000</v>
      </c>
      <c r="AG301" s="31">
        <f t="shared" si="161"/>
        <v>300000</v>
      </c>
      <c r="AH301" s="31">
        <f t="shared" si="162"/>
        <v>243000</v>
      </c>
      <c r="AI301" s="4" t="s">
        <v>28</v>
      </c>
      <c r="AJ301" s="4" t="s">
        <v>9</v>
      </c>
      <c r="AK301" s="4" t="str">
        <f>IFERROR(VLOOKUP(AJ301,'Guide '!$A$13:$B$16,2,0),"-")</f>
        <v>TK</v>
      </c>
      <c r="AL301" s="4" t="s">
        <v>921</v>
      </c>
      <c r="AM301" s="40">
        <v>45405</v>
      </c>
      <c r="AN301">
        <f t="shared" si="163"/>
        <v>29</v>
      </c>
      <c r="AO301">
        <f t="shared" si="164"/>
        <v>32</v>
      </c>
      <c r="AP301">
        <f t="shared" si="165"/>
        <v>40</v>
      </c>
      <c r="AQ301">
        <f t="shared" si="166"/>
        <v>43</v>
      </c>
      <c r="AR301" s="26">
        <f t="shared" si="167"/>
        <v>56</v>
      </c>
      <c r="AS301" s="26">
        <f t="shared" si="168"/>
        <v>63</v>
      </c>
      <c r="AT301" s="21">
        <f t="shared" si="169"/>
        <v>12</v>
      </c>
      <c r="AU301" s="21">
        <f t="shared" si="170"/>
        <v>19</v>
      </c>
      <c r="AV301">
        <f t="shared" si="171"/>
        <v>73</v>
      </c>
      <c r="AW301">
        <f t="shared" si="172"/>
        <v>76</v>
      </c>
      <c r="AX301">
        <f t="shared" si="173"/>
        <v>84</v>
      </c>
      <c r="AY301">
        <f t="shared" si="174"/>
        <v>87</v>
      </c>
      <c r="AZ301" t="str">
        <f t="shared" si="175"/>
        <v>-</v>
      </c>
      <c r="BA301" t="str">
        <f t="shared" si="176"/>
        <v>-</v>
      </c>
      <c r="BB301" t="str">
        <f t="shared" si="177"/>
        <v>-</v>
      </c>
      <c r="BC301" t="str">
        <f t="shared" si="178"/>
        <v>-</v>
      </c>
      <c r="BD301" s="29" t="str">
        <f t="shared" si="179"/>
        <v>-</v>
      </c>
      <c r="BE301" s="29" t="str">
        <f t="shared" si="180"/>
        <v>-</v>
      </c>
    </row>
    <row r="302" spans="1:57" ht="15" x14ac:dyDescent="0.2">
      <c r="A302" s="2">
        <v>732</v>
      </c>
      <c r="B302" s="2" t="str">
        <f t="shared" si="145"/>
        <v>0732</v>
      </c>
      <c r="C302" t="str">
        <f t="shared" si="146"/>
        <v>ORD-TK-0732-23/04/24</v>
      </c>
      <c r="D302" s="3" t="s">
        <v>156</v>
      </c>
      <c r="E302" t="str">
        <f t="shared" si="147"/>
        <v>PW003</v>
      </c>
      <c r="F302" t="str">
        <f>INDEX(Katalog!$B$4:$B$13,MATCH('Main Data'!E302,Katalog!$C$4:$C$13,0))</f>
        <v>Kaftan</v>
      </c>
      <c r="G302" t="str">
        <f>VLOOKUP(E302,Katalog!$A$15:$B$25,2,0)</f>
        <v>Pakaian Wanita</v>
      </c>
      <c r="H302" t="str">
        <f t="shared" si="148"/>
        <v>1</v>
      </c>
      <c r="I302" t="str">
        <f t="shared" si="149"/>
        <v>3</v>
      </c>
      <c r="J302" s="18">
        <f>VLOOKUP(E302,Katalog!$C$3:$F$13,2,0)</f>
        <v>200000</v>
      </c>
      <c r="K302" s="18">
        <f>VLOOKUP(E302,Katalog!$C$3:$F$13,3,0)</f>
        <v>100000</v>
      </c>
      <c r="L302" t="str">
        <f t="shared" si="150"/>
        <v>-</v>
      </c>
      <c r="M302" t="str">
        <f>IFERROR(INDEX(Katalog!$B$4:$B$13,MATCH('Main Data'!L302,Katalog!$C$4:$C$13,0)), "-")</f>
        <v>-</v>
      </c>
      <c r="N302" t="str">
        <f>IFERROR(VLOOKUP(L302,Katalog!$A$15:$B$25,2,0),"-")</f>
        <v>-</v>
      </c>
      <c r="O302">
        <f t="shared" si="151"/>
        <v>0</v>
      </c>
      <c r="P302" t="str">
        <f t="shared" si="152"/>
        <v>-</v>
      </c>
      <c r="Q302" s="18">
        <f>IFERROR(VLOOKUP(L302,Katalog!$C$3:$F$13,2,0),0)</f>
        <v>0</v>
      </c>
      <c r="R302" s="18">
        <f>IFERROR(VLOOKUP(L302,Katalog!$C$3:$F$13,3,0),0)</f>
        <v>0</v>
      </c>
      <c r="S302" t="str">
        <f t="shared" si="153"/>
        <v>-</v>
      </c>
      <c r="T302" t="str">
        <f>IFERROR(INDEX(Katalog!$B$4:$B$13,MATCH('Main Data'!S302,Katalog!$C$4:$C$13,0)),"-")</f>
        <v>-</v>
      </c>
      <c r="U302" t="str">
        <f>IFERROR(VLOOKUP(S302,Katalog!$A$15:$B$25,2,0),"-")</f>
        <v>-</v>
      </c>
      <c r="V302">
        <f t="shared" si="154"/>
        <v>0</v>
      </c>
      <c r="W302" s="28" t="str">
        <f t="shared" si="155"/>
        <v>-</v>
      </c>
      <c r="X302" s="18">
        <f>IFERROR(VLOOKUP(S302,Katalog!$C$3:$F$13,2,0),0)</f>
        <v>0</v>
      </c>
      <c r="Y302" s="30">
        <f>IFERROR(VLOOKUP(S302,Katalog!$C$3:$F$13,3,0),0)</f>
        <v>0</v>
      </c>
      <c r="Z302" s="2">
        <f t="shared" si="156"/>
        <v>1</v>
      </c>
      <c r="AA302" s="4">
        <f t="shared" si="157"/>
        <v>200000</v>
      </c>
      <c r="AB302" s="4">
        <f t="shared" si="158"/>
        <v>100000</v>
      </c>
      <c r="AC302" s="4" t="s">
        <v>10</v>
      </c>
      <c r="AD302" s="16">
        <f>IFERROR(VLOOKUP(AC302,'Kode Diskon'!$C$2:$D$9,2,0),0)</f>
        <v>0</v>
      </c>
      <c r="AE302" s="31">
        <f t="shared" si="159"/>
        <v>0</v>
      </c>
      <c r="AF302" s="31">
        <f t="shared" si="160"/>
        <v>200000</v>
      </c>
      <c r="AG302" s="31">
        <f t="shared" si="161"/>
        <v>100000</v>
      </c>
      <c r="AH302" s="31">
        <f t="shared" si="162"/>
        <v>100000</v>
      </c>
      <c r="AI302" s="4" t="s">
        <v>10</v>
      </c>
      <c r="AJ302" s="4" t="s">
        <v>9</v>
      </c>
      <c r="AK302" s="4" t="str">
        <f>IFERROR(VLOOKUP(AJ302,'Guide '!$A$13:$B$16,2,0),"-")</f>
        <v>TK</v>
      </c>
      <c r="AL302" s="4" t="s">
        <v>925</v>
      </c>
      <c r="AM302" s="40">
        <v>45405</v>
      </c>
      <c r="AN302">
        <f t="shared" si="163"/>
        <v>29</v>
      </c>
      <c r="AO302">
        <f t="shared" si="164"/>
        <v>32</v>
      </c>
      <c r="AP302">
        <f t="shared" si="165"/>
        <v>40</v>
      </c>
      <c r="AQ302">
        <f t="shared" si="166"/>
        <v>43</v>
      </c>
      <c r="AR302" s="26" t="str">
        <f t="shared" si="167"/>
        <v>-</v>
      </c>
      <c r="AS302" s="26" t="str">
        <f t="shared" si="168"/>
        <v>-</v>
      </c>
      <c r="AT302" s="21">
        <f t="shared" si="169"/>
        <v>12</v>
      </c>
      <c r="AU302" s="21">
        <f t="shared" si="170"/>
        <v>19</v>
      </c>
      <c r="AV302" t="str">
        <f t="shared" si="171"/>
        <v>-</v>
      </c>
      <c r="AW302" t="str">
        <f t="shared" si="172"/>
        <v>-</v>
      </c>
      <c r="AX302" t="str">
        <f t="shared" si="173"/>
        <v>-</v>
      </c>
      <c r="AY302" t="str">
        <f t="shared" si="174"/>
        <v>-</v>
      </c>
      <c r="AZ302" t="str">
        <f t="shared" si="175"/>
        <v>-</v>
      </c>
      <c r="BA302" t="str">
        <f t="shared" si="176"/>
        <v>-</v>
      </c>
      <c r="BB302" t="str">
        <f t="shared" si="177"/>
        <v>-</v>
      </c>
      <c r="BC302" t="str">
        <f t="shared" si="178"/>
        <v>-</v>
      </c>
      <c r="BD302" s="29" t="str">
        <f t="shared" si="179"/>
        <v>-</v>
      </c>
      <c r="BE302" s="29" t="str">
        <f t="shared" si="180"/>
        <v>-</v>
      </c>
    </row>
    <row r="303" spans="1:57" ht="15" x14ac:dyDescent="0.2">
      <c r="A303" s="2">
        <v>861</v>
      </c>
      <c r="B303" s="2" t="str">
        <f t="shared" si="145"/>
        <v>0861</v>
      </c>
      <c r="C303" t="str">
        <f t="shared" si="146"/>
        <v>ORD-TK-0861-23/04/24</v>
      </c>
      <c r="D303" s="3" t="s">
        <v>491</v>
      </c>
      <c r="E303" t="str">
        <f t="shared" si="147"/>
        <v>PP003</v>
      </c>
      <c r="F303" t="str">
        <f>INDEX(Katalog!$B$4:$B$13,MATCH('Main Data'!E303,Katalog!$C$4:$C$13,0))</f>
        <v>Jaket Jeans</v>
      </c>
      <c r="G303" t="str">
        <f>VLOOKUP(E303,Katalog!$A$15:$B$25,2,0)</f>
        <v>Pakaian Pria</v>
      </c>
      <c r="H303" t="str">
        <f t="shared" si="148"/>
        <v>2</v>
      </c>
      <c r="I303" t="str">
        <f t="shared" si="149"/>
        <v>2</v>
      </c>
      <c r="J303" s="18">
        <f>VLOOKUP(E303,Katalog!$C$3:$F$13,2,0)</f>
        <v>150000</v>
      </c>
      <c r="K303" s="18">
        <f>VLOOKUP(E303,Katalog!$C$3:$F$13,3,0)</f>
        <v>70000</v>
      </c>
      <c r="L303" t="str">
        <f t="shared" si="150"/>
        <v>-</v>
      </c>
      <c r="M303" t="str">
        <f>IFERROR(INDEX(Katalog!$B$4:$B$13,MATCH('Main Data'!L303,Katalog!$C$4:$C$13,0)), "-")</f>
        <v>-</v>
      </c>
      <c r="N303" t="str">
        <f>IFERROR(VLOOKUP(L303,Katalog!$A$15:$B$25,2,0),"-")</f>
        <v>-</v>
      </c>
      <c r="O303">
        <f t="shared" si="151"/>
        <v>0</v>
      </c>
      <c r="P303" t="str">
        <f t="shared" si="152"/>
        <v>-</v>
      </c>
      <c r="Q303" s="18">
        <f>IFERROR(VLOOKUP(L303,Katalog!$C$3:$F$13,2,0),0)</f>
        <v>0</v>
      </c>
      <c r="R303" s="18">
        <f>IFERROR(VLOOKUP(L303,Katalog!$C$3:$F$13,3,0),0)</f>
        <v>0</v>
      </c>
      <c r="S303" t="str">
        <f t="shared" si="153"/>
        <v>-</v>
      </c>
      <c r="T303" t="str">
        <f>IFERROR(INDEX(Katalog!$B$4:$B$13,MATCH('Main Data'!S303,Katalog!$C$4:$C$13,0)),"-")</f>
        <v>-</v>
      </c>
      <c r="U303" t="str">
        <f>IFERROR(VLOOKUP(S303,Katalog!$A$15:$B$25,2,0),"-")</f>
        <v>-</v>
      </c>
      <c r="V303">
        <f t="shared" si="154"/>
        <v>0</v>
      </c>
      <c r="W303" s="28" t="str">
        <f t="shared" si="155"/>
        <v>-</v>
      </c>
      <c r="X303" s="18">
        <f>IFERROR(VLOOKUP(S303,Katalog!$C$3:$F$13,2,0),0)</f>
        <v>0</v>
      </c>
      <c r="Y303" s="30">
        <f>IFERROR(VLOOKUP(S303,Katalog!$C$3:$F$13,3,0),0)</f>
        <v>0</v>
      </c>
      <c r="Z303" s="2">
        <f t="shared" si="156"/>
        <v>2</v>
      </c>
      <c r="AA303" s="4">
        <f t="shared" si="157"/>
        <v>300000</v>
      </c>
      <c r="AB303" s="4">
        <f t="shared" si="158"/>
        <v>140000</v>
      </c>
      <c r="AC303" s="4" t="s">
        <v>29</v>
      </c>
      <c r="AD303" s="16">
        <f>IFERROR(VLOOKUP(AC303,'Kode Diskon'!$C$2:$D$9,2,0),0)</f>
        <v>0.1</v>
      </c>
      <c r="AE303" s="31">
        <f t="shared" si="159"/>
        <v>30000</v>
      </c>
      <c r="AF303" s="31">
        <f t="shared" si="160"/>
        <v>270000</v>
      </c>
      <c r="AG303" s="31">
        <f t="shared" si="161"/>
        <v>160000</v>
      </c>
      <c r="AH303" s="31">
        <f t="shared" si="162"/>
        <v>130000</v>
      </c>
      <c r="AI303" s="4" t="s">
        <v>28</v>
      </c>
      <c r="AJ303" s="4" t="s">
        <v>9</v>
      </c>
      <c r="AK303" s="4" t="str">
        <f>IFERROR(VLOOKUP(AJ303,'Guide '!$A$13:$B$16,2,0),"-")</f>
        <v>TK</v>
      </c>
      <c r="AL303" s="4" t="s">
        <v>923</v>
      </c>
      <c r="AM303" s="40">
        <v>45405</v>
      </c>
      <c r="AN303">
        <f t="shared" si="163"/>
        <v>29</v>
      </c>
      <c r="AO303">
        <f t="shared" si="164"/>
        <v>32</v>
      </c>
      <c r="AP303">
        <f t="shared" si="165"/>
        <v>40</v>
      </c>
      <c r="AQ303">
        <f t="shared" si="166"/>
        <v>43</v>
      </c>
      <c r="AR303" s="26" t="str">
        <f t="shared" si="167"/>
        <v>-</v>
      </c>
      <c r="AS303" s="26" t="str">
        <f t="shared" si="168"/>
        <v>-</v>
      </c>
      <c r="AT303" s="21">
        <f t="shared" si="169"/>
        <v>12</v>
      </c>
      <c r="AU303" s="21">
        <f t="shared" si="170"/>
        <v>19</v>
      </c>
      <c r="AV303" t="str">
        <f t="shared" si="171"/>
        <v>-</v>
      </c>
      <c r="AW303" t="str">
        <f t="shared" si="172"/>
        <v>-</v>
      </c>
      <c r="AX303" t="str">
        <f t="shared" si="173"/>
        <v>-</v>
      </c>
      <c r="AY303" t="str">
        <f t="shared" si="174"/>
        <v>-</v>
      </c>
      <c r="AZ303" t="str">
        <f t="shared" si="175"/>
        <v>-</v>
      </c>
      <c r="BA303" t="str">
        <f t="shared" si="176"/>
        <v>-</v>
      </c>
      <c r="BB303" t="str">
        <f t="shared" si="177"/>
        <v>-</v>
      </c>
      <c r="BC303" t="str">
        <f t="shared" si="178"/>
        <v>-</v>
      </c>
      <c r="BD303" s="29" t="str">
        <f t="shared" si="179"/>
        <v>-</v>
      </c>
      <c r="BE303" s="29" t="str">
        <f t="shared" si="180"/>
        <v>-</v>
      </c>
    </row>
    <row r="304" spans="1:57" ht="15" x14ac:dyDescent="0.2">
      <c r="A304" s="2">
        <v>392</v>
      </c>
      <c r="B304" s="2" t="str">
        <f t="shared" si="145"/>
        <v>0392</v>
      </c>
      <c r="C304" t="str">
        <f t="shared" si="146"/>
        <v>ORD-SP-0392-24/04/24</v>
      </c>
      <c r="D304" s="3" t="s">
        <v>441</v>
      </c>
      <c r="E304" t="str">
        <f t="shared" si="147"/>
        <v>PP002</v>
      </c>
      <c r="F304" t="str">
        <f>INDEX(Katalog!$B$4:$B$13,MATCH('Main Data'!E304,Katalog!$C$4:$C$13,0))</f>
        <v>Celana Pendek</v>
      </c>
      <c r="G304" t="str">
        <f>VLOOKUP(E304,Katalog!$A$15:$B$25,2,0)</f>
        <v>Pakaian Pria</v>
      </c>
      <c r="H304" t="str">
        <f t="shared" si="148"/>
        <v>1</v>
      </c>
      <c r="I304" t="str">
        <f t="shared" si="149"/>
        <v>4</v>
      </c>
      <c r="J304" s="18">
        <f>VLOOKUP(E304,Katalog!$C$3:$F$13,2,0)</f>
        <v>60000</v>
      </c>
      <c r="K304" s="18">
        <f>VLOOKUP(E304,Katalog!$C$3:$F$13,3,0)</f>
        <v>25000</v>
      </c>
      <c r="L304" t="str">
        <f t="shared" si="150"/>
        <v>-</v>
      </c>
      <c r="M304" t="str">
        <f>IFERROR(INDEX(Katalog!$B$4:$B$13,MATCH('Main Data'!L304,Katalog!$C$4:$C$13,0)), "-")</f>
        <v>-</v>
      </c>
      <c r="N304" t="str">
        <f>IFERROR(VLOOKUP(L304,Katalog!$A$15:$B$25,2,0),"-")</f>
        <v>-</v>
      </c>
      <c r="O304">
        <f t="shared" si="151"/>
        <v>0</v>
      </c>
      <c r="P304" t="str">
        <f t="shared" si="152"/>
        <v>-</v>
      </c>
      <c r="Q304" s="18">
        <f>IFERROR(VLOOKUP(L304,Katalog!$C$3:$F$13,2,0),0)</f>
        <v>0</v>
      </c>
      <c r="R304" s="18">
        <f>IFERROR(VLOOKUP(L304,Katalog!$C$3:$F$13,3,0),0)</f>
        <v>0</v>
      </c>
      <c r="S304" t="str">
        <f t="shared" si="153"/>
        <v>-</v>
      </c>
      <c r="T304" t="str">
        <f>IFERROR(INDEX(Katalog!$B$4:$B$13,MATCH('Main Data'!S304,Katalog!$C$4:$C$13,0)),"-")</f>
        <v>-</v>
      </c>
      <c r="U304" t="str">
        <f>IFERROR(VLOOKUP(S304,Katalog!$A$15:$B$25,2,0),"-")</f>
        <v>-</v>
      </c>
      <c r="V304">
        <f t="shared" si="154"/>
        <v>0</v>
      </c>
      <c r="W304" s="28" t="str">
        <f t="shared" si="155"/>
        <v>-</v>
      </c>
      <c r="X304" s="18">
        <f>IFERROR(VLOOKUP(S304,Katalog!$C$3:$F$13,2,0),0)</f>
        <v>0</v>
      </c>
      <c r="Y304" s="30">
        <f>IFERROR(VLOOKUP(S304,Katalog!$C$3:$F$13,3,0),0)</f>
        <v>0</v>
      </c>
      <c r="Z304" s="2">
        <f t="shared" si="156"/>
        <v>1</v>
      </c>
      <c r="AA304" s="4">
        <f t="shared" si="157"/>
        <v>60000</v>
      </c>
      <c r="AB304" s="4">
        <f t="shared" si="158"/>
        <v>25000</v>
      </c>
      <c r="AC304" s="4" t="s">
        <v>7</v>
      </c>
      <c r="AD304" s="16">
        <f>IFERROR(VLOOKUP(AC304,'Kode Diskon'!$C$2:$D$9,2,0),0)</f>
        <v>0.2</v>
      </c>
      <c r="AE304" s="31">
        <f t="shared" si="159"/>
        <v>12000</v>
      </c>
      <c r="AF304" s="31">
        <f t="shared" si="160"/>
        <v>48000</v>
      </c>
      <c r="AG304" s="31">
        <f t="shared" si="161"/>
        <v>35000</v>
      </c>
      <c r="AH304" s="31">
        <f t="shared" si="162"/>
        <v>23000</v>
      </c>
      <c r="AI304" s="4" t="s">
        <v>8</v>
      </c>
      <c r="AJ304" s="4" t="s">
        <v>6</v>
      </c>
      <c r="AK304" s="4" t="str">
        <f>IFERROR(VLOOKUP(AJ304,'Guide '!$A$13:$B$16,2,0),"-")</f>
        <v>SP</v>
      </c>
      <c r="AL304" s="4" t="s">
        <v>1006</v>
      </c>
      <c r="AM304" s="40">
        <v>45406</v>
      </c>
      <c r="AN304">
        <f t="shared" si="163"/>
        <v>29</v>
      </c>
      <c r="AO304">
        <f t="shared" si="164"/>
        <v>32</v>
      </c>
      <c r="AP304">
        <f t="shared" si="165"/>
        <v>40</v>
      </c>
      <c r="AQ304">
        <f t="shared" si="166"/>
        <v>43</v>
      </c>
      <c r="AR304" s="26" t="str">
        <f t="shared" si="167"/>
        <v>-</v>
      </c>
      <c r="AS304" s="26" t="str">
        <f t="shared" si="168"/>
        <v>-</v>
      </c>
      <c r="AT304" s="21">
        <f t="shared" si="169"/>
        <v>12</v>
      </c>
      <c r="AU304" s="21">
        <f t="shared" si="170"/>
        <v>19</v>
      </c>
      <c r="AV304" t="str">
        <f t="shared" si="171"/>
        <v>-</v>
      </c>
      <c r="AW304" t="str">
        <f t="shared" si="172"/>
        <v>-</v>
      </c>
      <c r="AX304" t="str">
        <f t="shared" si="173"/>
        <v>-</v>
      </c>
      <c r="AY304" t="str">
        <f t="shared" si="174"/>
        <v>-</v>
      </c>
      <c r="AZ304" t="str">
        <f t="shared" si="175"/>
        <v>-</v>
      </c>
      <c r="BA304" t="str">
        <f t="shared" si="176"/>
        <v>-</v>
      </c>
      <c r="BB304" t="str">
        <f t="shared" si="177"/>
        <v>-</v>
      </c>
      <c r="BC304" t="str">
        <f t="shared" si="178"/>
        <v>-</v>
      </c>
      <c r="BD304" s="29" t="str">
        <f t="shared" si="179"/>
        <v>-</v>
      </c>
      <c r="BE304" s="29" t="str">
        <f t="shared" si="180"/>
        <v>-</v>
      </c>
    </row>
    <row r="305" spans="1:57" ht="15" x14ac:dyDescent="0.2">
      <c r="A305" s="2">
        <v>136</v>
      </c>
      <c r="B305" s="2" t="str">
        <f t="shared" si="145"/>
        <v>0136</v>
      </c>
      <c r="C305" t="str">
        <f t="shared" si="146"/>
        <v>ORD-SP-0136-25/04/24</v>
      </c>
      <c r="D305" s="3" t="s">
        <v>206</v>
      </c>
      <c r="E305" t="str">
        <f t="shared" si="147"/>
        <v>SW001</v>
      </c>
      <c r="F305" t="str">
        <f>INDEX(Katalog!$B$4:$B$13,MATCH('Main Data'!E305,Katalog!$C$4:$C$13,0))</f>
        <v>Flat Shoes</v>
      </c>
      <c r="G305" t="str">
        <f>VLOOKUP(E305,Katalog!$A$15:$B$25,2,0)</f>
        <v>Sepatu Wanita</v>
      </c>
      <c r="H305" t="str">
        <f t="shared" si="148"/>
        <v>3</v>
      </c>
      <c r="I305" t="str">
        <f t="shared" si="149"/>
        <v>4</v>
      </c>
      <c r="J305" s="18">
        <f>VLOOKUP(E305,Katalog!$C$3:$F$13,2,0)</f>
        <v>150000</v>
      </c>
      <c r="K305" s="18">
        <f>VLOOKUP(E305,Katalog!$C$3:$F$13,3,0)</f>
        <v>70000</v>
      </c>
      <c r="L305" t="str">
        <f t="shared" si="150"/>
        <v>PW001</v>
      </c>
      <c r="M305" t="str">
        <f>IFERROR(INDEX(Katalog!$B$4:$B$13,MATCH('Main Data'!L305,Katalog!$C$4:$C$13,0)), "-")</f>
        <v>Dress</v>
      </c>
      <c r="N305" t="str">
        <f>IFERROR(VLOOKUP(L305,Katalog!$A$15:$B$25,2,0),"-")</f>
        <v>Pakaian Wanita</v>
      </c>
      <c r="O305" t="str">
        <f t="shared" si="151"/>
        <v>1</v>
      </c>
      <c r="P305" t="str">
        <f t="shared" si="152"/>
        <v>4</v>
      </c>
      <c r="Q305" s="18">
        <f>IFERROR(VLOOKUP(L305,Katalog!$C$3:$F$13,2,0),0)</f>
        <v>150000</v>
      </c>
      <c r="R305" s="18">
        <f>IFERROR(VLOOKUP(L305,Katalog!$C$3:$F$13,3,0),0)</f>
        <v>55000</v>
      </c>
      <c r="S305" t="str">
        <f t="shared" si="153"/>
        <v>-</v>
      </c>
      <c r="T305" t="str">
        <f>IFERROR(INDEX(Katalog!$B$4:$B$13,MATCH('Main Data'!S305,Katalog!$C$4:$C$13,0)),"-")</f>
        <v>-</v>
      </c>
      <c r="U305" t="str">
        <f>IFERROR(VLOOKUP(S305,Katalog!$A$15:$B$25,2,0),"-")</f>
        <v>-</v>
      </c>
      <c r="V305">
        <f t="shared" si="154"/>
        <v>0</v>
      </c>
      <c r="W305" s="28" t="str">
        <f t="shared" si="155"/>
        <v>-</v>
      </c>
      <c r="X305" s="18">
        <f>IFERROR(VLOOKUP(S305,Katalog!$C$3:$F$13,2,0),0)</f>
        <v>0</v>
      </c>
      <c r="Y305" s="30">
        <f>IFERROR(VLOOKUP(S305,Katalog!$C$3:$F$13,3,0),0)</f>
        <v>0</v>
      </c>
      <c r="Z305" s="2">
        <f t="shared" si="156"/>
        <v>4</v>
      </c>
      <c r="AA305" s="4">
        <f t="shared" si="157"/>
        <v>600000</v>
      </c>
      <c r="AB305" s="4">
        <f t="shared" si="158"/>
        <v>265000</v>
      </c>
      <c r="AC305" s="4" t="s">
        <v>7</v>
      </c>
      <c r="AD305" s="16">
        <f>IFERROR(VLOOKUP(AC305,'Kode Diskon'!$C$2:$D$9,2,0),0)</f>
        <v>0.2</v>
      </c>
      <c r="AE305" s="31">
        <f t="shared" si="159"/>
        <v>120000</v>
      </c>
      <c r="AF305" s="31">
        <f t="shared" si="160"/>
        <v>480000</v>
      </c>
      <c r="AG305" s="31">
        <f t="shared" si="161"/>
        <v>335000</v>
      </c>
      <c r="AH305" s="31">
        <f t="shared" si="162"/>
        <v>215000</v>
      </c>
      <c r="AI305" s="4" t="s">
        <v>8</v>
      </c>
      <c r="AJ305" s="4" t="s">
        <v>6</v>
      </c>
      <c r="AK305" s="4" t="str">
        <f>IFERROR(VLOOKUP(AJ305,'Guide '!$A$13:$B$16,2,0),"-")</f>
        <v>SP</v>
      </c>
      <c r="AL305" s="4" t="s">
        <v>925</v>
      </c>
      <c r="AM305" s="40">
        <v>45407</v>
      </c>
      <c r="AN305">
        <f t="shared" si="163"/>
        <v>29</v>
      </c>
      <c r="AO305">
        <f t="shared" si="164"/>
        <v>32</v>
      </c>
      <c r="AP305">
        <f t="shared" si="165"/>
        <v>40</v>
      </c>
      <c r="AQ305">
        <f t="shared" si="166"/>
        <v>43</v>
      </c>
      <c r="AR305" s="26">
        <f t="shared" si="167"/>
        <v>56</v>
      </c>
      <c r="AS305" s="26">
        <f t="shared" si="168"/>
        <v>63</v>
      </c>
      <c r="AT305" s="21">
        <f t="shared" si="169"/>
        <v>12</v>
      </c>
      <c r="AU305" s="21">
        <f t="shared" si="170"/>
        <v>19</v>
      </c>
      <c r="AV305">
        <f t="shared" si="171"/>
        <v>73</v>
      </c>
      <c r="AW305">
        <f t="shared" si="172"/>
        <v>76</v>
      </c>
      <c r="AX305">
        <f t="shared" si="173"/>
        <v>84</v>
      </c>
      <c r="AY305">
        <f t="shared" si="174"/>
        <v>87</v>
      </c>
      <c r="AZ305" t="str">
        <f t="shared" si="175"/>
        <v>-</v>
      </c>
      <c r="BA305" t="str">
        <f t="shared" si="176"/>
        <v>-</v>
      </c>
      <c r="BB305" t="str">
        <f t="shared" si="177"/>
        <v>-</v>
      </c>
      <c r="BC305" t="str">
        <f t="shared" si="178"/>
        <v>-</v>
      </c>
      <c r="BD305" s="29" t="str">
        <f t="shared" si="179"/>
        <v>-</v>
      </c>
      <c r="BE305" s="29" t="str">
        <f t="shared" si="180"/>
        <v>-</v>
      </c>
    </row>
    <row r="306" spans="1:57" ht="15" x14ac:dyDescent="0.2">
      <c r="A306" s="2">
        <v>276</v>
      </c>
      <c r="B306" s="2" t="str">
        <f t="shared" si="145"/>
        <v>0276</v>
      </c>
      <c r="C306" t="str">
        <f t="shared" si="146"/>
        <v>ORD-TK-0276-25/04/24</v>
      </c>
      <c r="D306" s="3" t="s">
        <v>336</v>
      </c>
      <c r="E306" t="str">
        <f t="shared" si="147"/>
        <v>SP002</v>
      </c>
      <c r="F306" t="str">
        <f>INDEX(Katalog!$B$4:$B$13,MATCH('Main Data'!E306,Katalog!$C$4:$C$13,0))</f>
        <v>Sandal Slip On</v>
      </c>
      <c r="G306" t="str">
        <f>VLOOKUP(E306,Katalog!$A$15:$B$25,2,0)</f>
        <v>Sepatu Pria</v>
      </c>
      <c r="H306" t="str">
        <f t="shared" si="148"/>
        <v>1</v>
      </c>
      <c r="I306" t="str">
        <f t="shared" si="149"/>
        <v>5</v>
      </c>
      <c r="J306" s="18">
        <f>VLOOKUP(E306,Katalog!$C$3:$F$13,2,0)</f>
        <v>120000</v>
      </c>
      <c r="K306" s="18">
        <f>VLOOKUP(E306,Katalog!$C$3:$F$13,3,0)</f>
        <v>60000</v>
      </c>
      <c r="L306" t="str">
        <f t="shared" si="150"/>
        <v>PW001</v>
      </c>
      <c r="M306" t="str">
        <f>IFERROR(INDEX(Katalog!$B$4:$B$13,MATCH('Main Data'!L306,Katalog!$C$4:$C$13,0)), "-")</f>
        <v>Dress</v>
      </c>
      <c r="N306" t="str">
        <f>IFERROR(VLOOKUP(L306,Katalog!$A$15:$B$25,2,0),"-")</f>
        <v>Pakaian Wanita</v>
      </c>
      <c r="O306" t="str">
        <f t="shared" si="151"/>
        <v>1</v>
      </c>
      <c r="P306" t="str">
        <f t="shared" si="152"/>
        <v>2</v>
      </c>
      <c r="Q306" s="18">
        <f>IFERROR(VLOOKUP(L306,Katalog!$C$3:$F$13,2,0),0)</f>
        <v>150000</v>
      </c>
      <c r="R306" s="18">
        <f>IFERROR(VLOOKUP(L306,Katalog!$C$3:$F$13,3,0),0)</f>
        <v>55000</v>
      </c>
      <c r="S306" t="str">
        <f t="shared" si="153"/>
        <v>-</v>
      </c>
      <c r="T306" t="str">
        <f>IFERROR(INDEX(Katalog!$B$4:$B$13,MATCH('Main Data'!S306,Katalog!$C$4:$C$13,0)),"-")</f>
        <v>-</v>
      </c>
      <c r="U306" t="str">
        <f>IFERROR(VLOOKUP(S306,Katalog!$A$15:$B$25,2,0),"-")</f>
        <v>-</v>
      </c>
      <c r="V306">
        <f t="shared" si="154"/>
        <v>0</v>
      </c>
      <c r="W306" s="28" t="str">
        <f t="shared" si="155"/>
        <v>-</v>
      </c>
      <c r="X306" s="18">
        <f>IFERROR(VLOOKUP(S306,Katalog!$C$3:$F$13,2,0),0)</f>
        <v>0</v>
      </c>
      <c r="Y306" s="30">
        <f>IFERROR(VLOOKUP(S306,Katalog!$C$3:$F$13,3,0),0)</f>
        <v>0</v>
      </c>
      <c r="Z306" s="2">
        <f t="shared" si="156"/>
        <v>2</v>
      </c>
      <c r="AA306" s="4">
        <f t="shared" si="157"/>
        <v>270000</v>
      </c>
      <c r="AB306" s="4">
        <f t="shared" si="158"/>
        <v>115000</v>
      </c>
      <c r="AC306" s="4" t="s">
        <v>29</v>
      </c>
      <c r="AD306" s="16">
        <f>IFERROR(VLOOKUP(AC306,'Kode Diskon'!$C$2:$D$9,2,0),0)</f>
        <v>0.1</v>
      </c>
      <c r="AE306" s="31">
        <f t="shared" si="159"/>
        <v>27000</v>
      </c>
      <c r="AF306" s="31">
        <f t="shared" si="160"/>
        <v>243000</v>
      </c>
      <c r="AG306" s="31">
        <f t="shared" si="161"/>
        <v>155000</v>
      </c>
      <c r="AH306" s="31">
        <f t="shared" si="162"/>
        <v>128000</v>
      </c>
      <c r="AI306" s="4" t="s">
        <v>28</v>
      </c>
      <c r="AJ306" s="4" t="s">
        <v>9</v>
      </c>
      <c r="AK306" s="4" t="str">
        <f>IFERROR(VLOOKUP(AJ306,'Guide '!$A$13:$B$16,2,0),"-")</f>
        <v>TK</v>
      </c>
      <c r="AL306" s="4" t="s">
        <v>1006</v>
      </c>
      <c r="AM306" s="40">
        <v>45407</v>
      </c>
      <c r="AN306">
        <f t="shared" si="163"/>
        <v>29</v>
      </c>
      <c r="AO306">
        <f t="shared" si="164"/>
        <v>32</v>
      </c>
      <c r="AP306">
        <f t="shared" si="165"/>
        <v>40</v>
      </c>
      <c r="AQ306">
        <f t="shared" si="166"/>
        <v>43</v>
      </c>
      <c r="AR306" s="26">
        <f t="shared" si="167"/>
        <v>56</v>
      </c>
      <c r="AS306" s="26">
        <f t="shared" si="168"/>
        <v>63</v>
      </c>
      <c r="AT306" s="21">
        <f t="shared" si="169"/>
        <v>12</v>
      </c>
      <c r="AU306" s="21">
        <f t="shared" si="170"/>
        <v>19</v>
      </c>
      <c r="AV306">
        <f t="shared" si="171"/>
        <v>73</v>
      </c>
      <c r="AW306">
        <f t="shared" si="172"/>
        <v>76</v>
      </c>
      <c r="AX306">
        <f t="shared" si="173"/>
        <v>84</v>
      </c>
      <c r="AY306">
        <f t="shared" si="174"/>
        <v>87</v>
      </c>
      <c r="AZ306" t="str">
        <f t="shared" si="175"/>
        <v>-</v>
      </c>
      <c r="BA306" t="str">
        <f t="shared" si="176"/>
        <v>-</v>
      </c>
      <c r="BB306" t="str">
        <f t="shared" si="177"/>
        <v>-</v>
      </c>
      <c r="BC306" t="str">
        <f t="shared" si="178"/>
        <v>-</v>
      </c>
      <c r="BD306" s="29" t="str">
        <f t="shared" si="179"/>
        <v>-</v>
      </c>
      <c r="BE306" s="29" t="str">
        <f t="shared" si="180"/>
        <v>-</v>
      </c>
    </row>
    <row r="307" spans="1:57" ht="15" x14ac:dyDescent="0.2">
      <c r="A307" s="2">
        <v>321</v>
      </c>
      <c r="B307" s="2" t="str">
        <f t="shared" si="145"/>
        <v>0321</v>
      </c>
      <c r="C307" t="str">
        <f t="shared" si="146"/>
        <v>ORD-BB-0321-25/04/24</v>
      </c>
      <c r="D307" s="3" t="s">
        <v>376</v>
      </c>
      <c r="E307" t="str">
        <f t="shared" si="147"/>
        <v>PP001</v>
      </c>
      <c r="F307" t="str">
        <f>INDEX(Katalog!$B$4:$B$13,MATCH('Main Data'!E307,Katalog!$C$4:$C$13,0))</f>
        <v>Kaos Polo</v>
      </c>
      <c r="G307" t="str">
        <f>VLOOKUP(E307,Katalog!$A$15:$B$25,2,0)</f>
        <v>Pakaian Pria</v>
      </c>
      <c r="H307" t="str">
        <f t="shared" si="148"/>
        <v>2</v>
      </c>
      <c r="I307" t="str">
        <f t="shared" si="149"/>
        <v>5</v>
      </c>
      <c r="J307" s="18">
        <f>VLOOKUP(E307,Katalog!$C$3:$F$13,2,0)</f>
        <v>80000</v>
      </c>
      <c r="K307" s="18">
        <f>VLOOKUP(E307,Katalog!$C$3:$F$13,3,0)</f>
        <v>30000</v>
      </c>
      <c r="L307" t="str">
        <f t="shared" si="150"/>
        <v>PP002</v>
      </c>
      <c r="M307" t="str">
        <f>IFERROR(INDEX(Katalog!$B$4:$B$13,MATCH('Main Data'!L307,Katalog!$C$4:$C$13,0)), "-")</f>
        <v>Celana Pendek</v>
      </c>
      <c r="N307" t="str">
        <f>IFERROR(VLOOKUP(L307,Katalog!$A$15:$B$25,2,0),"-")</f>
        <v>Pakaian Pria</v>
      </c>
      <c r="O307" t="str">
        <f t="shared" si="151"/>
        <v>2</v>
      </c>
      <c r="P307" t="str">
        <f t="shared" si="152"/>
        <v>1</v>
      </c>
      <c r="Q307" s="18">
        <f>IFERROR(VLOOKUP(L307,Katalog!$C$3:$F$13,2,0),0)</f>
        <v>60000</v>
      </c>
      <c r="R307" s="18">
        <f>IFERROR(VLOOKUP(L307,Katalog!$C$3:$F$13,3,0),0)</f>
        <v>25000</v>
      </c>
      <c r="S307" t="str">
        <f t="shared" si="153"/>
        <v>SP002</v>
      </c>
      <c r="T307" t="str">
        <f>IFERROR(INDEX(Katalog!$B$4:$B$13,MATCH('Main Data'!S307,Katalog!$C$4:$C$13,0)),"-")</f>
        <v>Sandal Slip On</v>
      </c>
      <c r="U307" t="str">
        <f>IFERROR(VLOOKUP(S307,Katalog!$A$15:$B$25,2,0),"-")</f>
        <v>Sepatu Pria</v>
      </c>
      <c r="V307" t="str">
        <f t="shared" si="154"/>
        <v>2</v>
      </c>
      <c r="W307" s="28" t="str">
        <f t="shared" si="155"/>
        <v>3</v>
      </c>
      <c r="X307" s="18">
        <f>IFERROR(VLOOKUP(S307,Katalog!$C$3:$F$13,2,0),0)</f>
        <v>120000</v>
      </c>
      <c r="Y307" s="30">
        <f>IFERROR(VLOOKUP(S307,Katalog!$C$3:$F$13,3,0),0)</f>
        <v>60000</v>
      </c>
      <c r="Z307" s="2">
        <f t="shared" si="156"/>
        <v>6</v>
      </c>
      <c r="AA307" s="4">
        <f t="shared" si="157"/>
        <v>520000</v>
      </c>
      <c r="AB307" s="4">
        <f t="shared" si="158"/>
        <v>230000</v>
      </c>
      <c r="AC307" s="4" t="s">
        <v>27</v>
      </c>
      <c r="AD307" s="16">
        <f>IFERROR(VLOOKUP(AC307,'Kode Diskon'!$C$2:$D$9,2,0),0)</f>
        <v>0.15</v>
      </c>
      <c r="AE307" s="31">
        <f t="shared" si="159"/>
        <v>78000</v>
      </c>
      <c r="AF307" s="31">
        <f t="shared" si="160"/>
        <v>442000</v>
      </c>
      <c r="AG307" s="31">
        <f t="shared" si="161"/>
        <v>290000</v>
      </c>
      <c r="AH307" s="31">
        <f t="shared" si="162"/>
        <v>212000</v>
      </c>
      <c r="AI307" s="4" t="s">
        <v>28</v>
      </c>
      <c r="AJ307" s="4" t="s">
        <v>13</v>
      </c>
      <c r="AK307" s="4" t="str">
        <f>IFERROR(VLOOKUP(AJ307,'Guide '!$A$13:$B$16,2,0),"-")</f>
        <v>BB</v>
      </c>
      <c r="AL307" s="4" t="s">
        <v>921</v>
      </c>
      <c r="AM307" s="40">
        <v>45407</v>
      </c>
      <c r="AN307">
        <f t="shared" si="163"/>
        <v>29</v>
      </c>
      <c r="AO307">
        <f t="shared" si="164"/>
        <v>32</v>
      </c>
      <c r="AP307">
        <f t="shared" si="165"/>
        <v>40</v>
      </c>
      <c r="AQ307">
        <f t="shared" si="166"/>
        <v>43</v>
      </c>
      <c r="AR307" s="26">
        <f t="shared" si="167"/>
        <v>56</v>
      </c>
      <c r="AS307" s="26">
        <f t="shared" si="168"/>
        <v>63</v>
      </c>
      <c r="AT307" s="21">
        <f t="shared" si="169"/>
        <v>12</v>
      </c>
      <c r="AU307" s="21">
        <f t="shared" si="170"/>
        <v>19</v>
      </c>
      <c r="AV307">
        <f t="shared" si="171"/>
        <v>73</v>
      </c>
      <c r="AW307">
        <f t="shared" si="172"/>
        <v>76</v>
      </c>
      <c r="AX307">
        <f t="shared" si="173"/>
        <v>84</v>
      </c>
      <c r="AY307">
        <f t="shared" si="174"/>
        <v>87</v>
      </c>
      <c r="AZ307">
        <f t="shared" si="175"/>
        <v>100</v>
      </c>
      <c r="BA307">
        <f t="shared" si="176"/>
        <v>107</v>
      </c>
      <c r="BB307">
        <f t="shared" si="177"/>
        <v>117</v>
      </c>
      <c r="BC307">
        <f t="shared" si="178"/>
        <v>120</v>
      </c>
      <c r="BD307" s="29">
        <f t="shared" si="179"/>
        <v>128</v>
      </c>
      <c r="BE307" s="29">
        <f t="shared" si="180"/>
        <v>131</v>
      </c>
    </row>
    <row r="308" spans="1:57" ht="15" x14ac:dyDescent="0.2">
      <c r="A308" s="2">
        <v>667</v>
      </c>
      <c r="B308" s="2" t="str">
        <f t="shared" si="145"/>
        <v>0667</v>
      </c>
      <c r="C308" t="str">
        <f t="shared" si="146"/>
        <v>ORD-BL-0667-26/04/24</v>
      </c>
      <c r="D308" s="3" t="s">
        <v>667</v>
      </c>
      <c r="E308" t="str">
        <f t="shared" si="147"/>
        <v>PW002</v>
      </c>
      <c r="F308" t="str">
        <f>INDEX(Katalog!$B$4:$B$13,MATCH('Main Data'!E308,Katalog!$C$4:$C$13,0))</f>
        <v>Blouse</v>
      </c>
      <c r="G308" t="str">
        <f>VLOOKUP(E308,Katalog!$A$15:$B$25,2,0)</f>
        <v>Pakaian Wanita</v>
      </c>
      <c r="H308" t="str">
        <f t="shared" si="148"/>
        <v>5</v>
      </c>
      <c r="I308" t="str">
        <f t="shared" si="149"/>
        <v>4</v>
      </c>
      <c r="J308" s="18">
        <f>VLOOKUP(E308,Katalog!$C$3:$F$13,2,0)</f>
        <v>125000</v>
      </c>
      <c r="K308" s="18">
        <f>VLOOKUP(E308,Katalog!$C$3:$F$13,3,0)</f>
        <v>50000</v>
      </c>
      <c r="L308" t="str">
        <f t="shared" si="150"/>
        <v>-</v>
      </c>
      <c r="M308" t="str">
        <f>IFERROR(INDEX(Katalog!$B$4:$B$13,MATCH('Main Data'!L308,Katalog!$C$4:$C$13,0)), "-")</f>
        <v>-</v>
      </c>
      <c r="N308" t="str">
        <f>IFERROR(VLOOKUP(L308,Katalog!$A$15:$B$25,2,0),"-")</f>
        <v>-</v>
      </c>
      <c r="O308">
        <f t="shared" si="151"/>
        <v>0</v>
      </c>
      <c r="P308" t="str">
        <f t="shared" si="152"/>
        <v>-</v>
      </c>
      <c r="Q308" s="18">
        <f>IFERROR(VLOOKUP(L308,Katalog!$C$3:$F$13,2,0),0)</f>
        <v>0</v>
      </c>
      <c r="R308" s="18">
        <f>IFERROR(VLOOKUP(L308,Katalog!$C$3:$F$13,3,0),0)</f>
        <v>0</v>
      </c>
      <c r="S308" t="str">
        <f t="shared" si="153"/>
        <v>-</v>
      </c>
      <c r="T308" t="str">
        <f>IFERROR(INDEX(Katalog!$B$4:$B$13,MATCH('Main Data'!S308,Katalog!$C$4:$C$13,0)),"-")</f>
        <v>-</v>
      </c>
      <c r="U308" t="str">
        <f>IFERROR(VLOOKUP(S308,Katalog!$A$15:$B$25,2,0),"-")</f>
        <v>-</v>
      </c>
      <c r="V308">
        <f t="shared" si="154"/>
        <v>0</v>
      </c>
      <c r="W308" s="28" t="str">
        <f t="shared" si="155"/>
        <v>-</v>
      </c>
      <c r="X308" s="18">
        <f>IFERROR(VLOOKUP(S308,Katalog!$C$3:$F$13,2,0),0)</f>
        <v>0</v>
      </c>
      <c r="Y308" s="30">
        <f>IFERROR(VLOOKUP(S308,Katalog!$C$3:$F$13,3,0),0)</f>
        <v>0</v>
      </c>
      <c r="Z308" s="2">
        <f t="shared" si="156"/>
        <v>5</v>
      </c>
      <c r="AA308" s="4">
        <f t="shared" si="157"/>
        <v>625000</v>
      </c>
      <c r="AB308" s="4">
        <f t="shared" si="158"/>
        <v>250000</v>
      </c>
      <c r="AC308" s="4" t="s">
        <v>31</v>
      </c>
      <c r="AD308" s="16">
        <f>IFERROR(VLOOKUP(AC308,'Kode Diskon'!$C$2:$D$9,2,0),0)</f>
        <v>0.15</v>
      </c>
      <c r="AE308" s="31">
        <f t="shared" si="159"/>
        <v>93750</v>
      </c>
      <c r="AF308" s="31">
        <f t="shared" si="160"/>
        <v>531250</v>
      </c>
      <c r="AG308" s="31">
        <f t="shared" si="161"/>
        <v>375000</v>
      </c>
      <c r="AH308" s="31">
        <f t="shared" si="162"/>
        <v>281250</v>
      </c>
      <c r="AI308" s="4" t="s">
        <v>8</v>
      </c>
      <c r="AJ308" s="4" t="s">
        <v>11</v>
      </c>
      <c r="AK308" s="4" t="str">
        <f>IFERROR(VLOOKUP(AJ308,'Guide '!$A$13:$B$16,2,0),"-")</f>
        <v>BL</v>
      </c>
      <c r="AL308" s="4" t="s">
        <v>921</v>
      </c>
      <c r="AM308" s="40">
        <v>45408</v>
      </c>
      <c r="AN308">
        <f t="shared" si="163"/>
        <v>29</v>
      </c>
      <c r="AO308">
        <f t="shared" si="164"/>
        <v>32</v>
      </c>
      <c r="AP308">
        <f t="shared" si="165"/>
        <v>40</v>
      </c>
      <c r="AQ308">
        <f t="shared" si="166"/>
        <v>43</v>
      </c>
      <c r="AR308" s="26" t="str">
        <f t="shared" si="167"/>
        <v>-</v>
      </c>
      <c r="AS308" s="26" t="str">
        <f t="shared" si="168"/>
        <v>-</v>
      </c>
      <c r="AT308" s="21">
        <f t="shared" si="169"/>
        <v>12</v>
      </c>
      <c r="AU308" s="21">
        <f t="shared" si="170"/>
        <v>19</v>
      </c>
      <c r="AV308" t="str">
        <f t="shared" si="171"/>
        <v>-</v>
      </c>
      <c r="AW308" t="str">
        <f t="shared" si="172"/>
        <v>-</v>
      </c>
      <c r="AX308" t="str">
        <f t="shared" si="173"/>
        <v>-</v>
      </c>
      <c r="AY308" t="str">
        <f t="shared" si="174"/>
        <v>-</v>
      </c>
      <c r="AZ308" t="str">
        <f t="shared" si="175"/>
        <v>-</v>
      </c>
      <c r="BA308" t="str">
        <f t="shared" si="176"/>
        <v>-</v>
      </c>
      <c r="BB308" t="str">
        <f t="shared" si="177"/>
        <v>-</v>
      </c>
      <c r="BC308" t="str">
        <f t="shared" si="178"/>
        <v>-</v>
      </c>
      <c r="BD308" s="29" t="str">
        <f t="shared" si="179"/>
        <v>-</v>
      </c>
      <c r="BE308" s="29" t="str">
        <f t="shared" si="180"/>
        <v>-</v>
      </c>
    </row>
    <row r="309" spans="1:57" ht="15" x14ac:dyDescent="0.2">
      <c r="A309" s="2">
        <v>13</v>
      </c>
      <c r="B309" s="2" t="str">
        <f t="shared" si="145"/>
        <v>0013</v>
      </c>
      <c r="C309" t="str">
        <f t="shared" si="146"/>
        <v>ORD-TK-0013-27/04/24</v>
      </c>
      <c r="D309" s="3" t="s">
        <v>87</v>
      </c>
      <c r="E309" t="str">
        <f t="shared" si="147"/>
        <v>PP001</v>
      </c>
      <c r="F309" t="str">
        <f>INDEX(Katalog!$B$4:$B$13,MATCH('Main Data'!E309,Katalog!$C$4:$C$13,0))</f>
        <v>Kaos Polo</v>
      </c>
      <c r="G309" t="str">
        <f>VLOOKUP(E309,Katalog!$A$15:$B$25,2,0)</f>
        <v>Pakaian Pria</v>
      </c>
      <c r="H309" t="str">
        <f t="shared" si="148"/>
        <v>3</v>
      </c>
      <c r="I309" t="str">
        <f t="shared" si="149"/>
        <v>1</v>
      </c>
      <c r="J309" s="18">
        <f>VLOOKUP(E309,Katalog!$C$3:$F$13,2,0)</f>
        <v>80000</v>
      </c>
      <c r="K309" s="18">
        <f>VLOOKUP(E309,Katalog!$C$3:$F$13,3,0)</f>
        <v>30000</v>
      </c>
      <c r="L309" t="str">
        <f t="shared" si="150"/>
        <v>PP001</v>
      </c>
      <c r="M309" t="str">
        <f>IFERROR(INDEX(Katalog!$B$4:$B$13,MATCH('Main Data'!L309,Katalog!$C$4:$C$13,0)), "-")</f>
        <v>Kaos Polo</v>
      </c>
      <c r="N309" t="str">
        <f>IFERROR(VLOOKUP(L309,Katalog!$A$15:$B$25,2,0),"-")</f>
        <v>Pakaian Pria</v>
      </c>
      <c r="O309" t="str">
        <f t="shared" si="151"/>
        <v>1</v>
      </c>
      <c r="P309" t="str">
        <f t="shared" si="152"/>
        <v>1</v>
      </c>
      <c r="Q309" s="18">
        <f>IFERROR(VLOOKUP(L309,Katalog!$C$3:$F$13,2,0),0)</f>
        <v>80000</v>
      </c>
      <c r="R309" s="18">
        <f>IFERROR(VLOOKUP(L309,Katalog!$C$3:$F$13,3,0),0)</f>
        <v>30000</v>
      </c>
      <c r="S309" t="str">
        <f t="shared" si="153"/>
        <v>PP001</v>
      </c>
      <c r="T309" t="str">
        <f>IFERROR(INDEX(Katalog!$B$4:$B$13,MATCH('Main Data'!S309,Katalog!$C$4:$C$13,0)),"-")</f>
        <v>Kaos Polo</v>
      </c>
      <c r="U309" t="str">
        <f>IFERROR(VLOOKUP(S309,Katalog!$A$15:$B$25,2,0),"-")</f>
        <v>Pakaian Pria</v>
      </c>
      <c r="V309" t="str">
        <f t="shared" si="154"/>
        <v>1</v>
      </c>
      <c r="W309" s="28" t="str">
        <f t="shared" si="155"/>
        <v>4</v>
      </c>
      <c r="X309" s="18">
        <f>IFERROR(VLOOKUP(S309,Katalog!$C$3:$F$13,2,0),0)</f>
        <v>80000</v>
      </c>
      <c r="Y309" s="30">
        <f>IFERROR(VLOOKUP(S309,Katalog!$C$3:$F$13,3,0),0)</f>
        <v>30000</v>
      </c>
      <c r="Z309" s="2">
        <f t="shared" si="156"/>
        <v>5</v>
      </c>
      <c r="AA309" s="4">
        <f t="shared" si="157"/>
        <v>400000</v>
      </c>
      <c r="AB309" s="4">
        <f t="shared" si="158"/>
        <v>150000</v>
      </c>
      <c r="AC309" s="4" t="s">
        <v>29</v>
      </c>
      <c r="AD309" s="16">
        <f>IFERROR(VLOOKUP(AC309,'Kode Diskon'!$C$2:$D$9,2,0),0)</f>
        <v>0.1</v>
      </c>
      <c r="AE309" s="31">
        <f t="shared" si="159"/>
        <v>40000</v>
      </c>
      <c r="AF309" s="31">
        <f t="shared" si="160"/>
        <v>360000</v>
      </c>
      <c r="AG309" s="31">
        <f t="shared" si="161"/>
        <v>250000</v>
      </c>
      <c r="AH309" s="31">
        <f t="shared" si="162"/>
        <v>210000</v>
      </c>
      <c r="AI309" s="4" t="s">
        <v>28</v>
      </c>
      <c r="AJ309" s="4" t="s">
        <v>9</v>
      </c>
      <c r="AK309" s="4" t="str">
        <f>IFERROR(VLOOKUP(AJ309,'Guide '!$A$13:$B$16,2,0),"-")</f>
        <v>TK</v>
      </c>
      <c r="AL309" s="4" t="s">
        <v>922</v>
      </c>
      <c r="AM309" s="40">
        <v>45409</v>
      </c>
      <c r="AN309">
        <f t="shared" si="163"/>
        <v>29</v>
      </c>
      <c r="AO309">
        <f t="shared" si="164"/>
        <v>32</v>
      </c>
      <c r="AP309">
        <f t="shared" si="165"/>
        <v>40</v>
      </c>
      <c r="AQ309">
        <f t="shared" si="166"/>
        <v>43</v>
      </c>
      <c r="AR309" s="26">
        <f t="shared" si="167"/>
        <v>56</v>
      </c>
      <c r="AS309" s="26">
        <f t="shared" si="168"/>
        <v>63</v>
      </c>
      <c r="AT309" s="21">
        <f t="shared" si="169"/>
        <v>12</v>
      </c>
      <c r="AU309" s="21">
        <f t="shared" si="170"/>
        <v>19</v>
      </c>
      <c r="AV309">
        <f t="shared" si="171"/>
        <v>73</v>
      </c>
      <c r="AW309">
        <f t="shared" si="172"/>
        <v>76</v>
      </c>
      <c r="AX309">
        <f t="shared" si="173"/>
        <v>84</v>
      </c>
      <c r="AY309">
        <f t="shared" si="174"/>
        <v>87</v>
      </c>
      <c r="AZ309">
        <f t="shared" si="175"/>
        <v>100</v>
      </c>
      <c r="BA309">
        <f t="shared" si="176"/>
        <v>107</v>
      </c>
      <c r="BB309">
        <f t="shared" si="177"/>
        <v>117</v>
      </c>
      <c r="BC309">
        <f t="shared" si="178"/>
        <v>120</v>
      </c>
      <c r="BD309" s="29">
        <f t="shared" si="179"/>
        <v>128</v>
      </c>
      <c r="BE309" s="29">
        <f t="shared" si="180"/>
        <v>131</v>
      </c>
    </row>
    <row r="310" spans="1:57" ht="15" x14ac:dyDescent="0.2">
      <c r="A310" s="2">
        <v>82</v>
      </c>
      <c r="B310" s="2" t="str">
        <f t="shared" si="145"/>
        <v>0082</v>
      </c>
      <c r="C310" t="str">
        <f t="shared" si="146"/>
        <v>ORD-TK-0082-27/04/24</v>
      </c>
      <c r="D310" s="3" t="s">
        <v>155</v>
      </c>
      <c r="E310" t="str">
        <f t="shared" si="147"/>
        <v>PW001</v>
      </c>
      <c r="F310" t="str">
        <f>INDEX(Katalog!$B$4:$B$13,MATCH('Main Data'!E310,Katalog!$C$4:$C$13,0))</f>
        <v>Dress</v>
      </c>
      <c r="G310" t="str">
        <f>VLOOKUP(E310,Katalog!$A$15:$B$25,2,0)</f>
        <v>Pakaian Wanita</v>
      </c>
      <c r="H310" t="str">
        <f t="shared" si="148"/>
        <v>2</v>
      </c>
      <c r="I310" t="str">
        <f t="shared" si="149"/>
        <v>3</v>
      </c>
      <c r="J310" s="18">
        <f>VLOOKUP(E310,Katalog!$C$3:$F$13,2,0)</f>
        <v>150000</v>
      </c>
      <c r="K310" s="18">
        <f>VLOOKUP(E310,Katalog!$C$3:$F$13,3,0)</f>
        <v>55000</v>
      </c>
      <c r="L310" t="str">
        <f t="shared" si="150"/>
        <v>PP002</v>
      </c>
      <c r="M310" t="str">
        <f>IFERROR(INDEX(Katalog!$B$4:$B$13,MATCH('Main Data'!L310,Katalog!$C$4:$C$13,0)), "-")</f>
        <v>Celana Pendek</v>
      </c>
      <c r="N310" t="str">
        <f>IFERROR(VLOOKUP(L310,Katalog!$A$15:$B$25,2,0),"-")</f>
        <v>Pakaian Pria</v>
      </c>
      <c r="O310" t="str">
        <f t="shared" si="151"/>
        <v>1</v>
      </c>
      <c r="P310" t="str">
        <f t="shared" si="152"/>
        <v>4</v>
      </c>
      <c r="Q310" s="18">
        <f>IFERROR(VLOOKUP(L310,Katalog!$C$3:$F$13,2,0),0)</f>
        <v>60000</v>
      </c>
      <c r="R310" s="18">
        <f>IFERROR(VLOOKUP(L310,Katalog!$C$3:$F$13,3,0),0)</f>
        <v>25000</v>
      </c>
      <c r="S310" t="str">
        <f t="shared" si="153"/>
        <v>-</v>
      </c>
      <c r="T310" t="str">
        <f>IFERROR(INDEX(Katalog!$B$4:$B$13,MATCH('Main Data'!S310,Katalog!$C$4:$C$13,0)),"-")</f>
        <v>-</v>
      </c>
      <c r="U310" t="str">
        <f>IFERROR(VLOOKUP(S310,Katalog!$A$15:$B$25,2,0),"-")</f>
        <v>-</v>
      </c>
      <c r="V310">
        <f t="shared" si="154"/>
        <v>0</v>
      </c>
      <c r="W310" s="28" t="str">
        <f t="shared" si="155"/>
        <v>-</v>
      </c>
      <c r="X310" s="18">
        <f>IFERROR(VLOOKUP(S310,Katalog!$C$3:$F$13,2,0),0)</f>
        <v>0</v>
      </c>
      <c r="Y310" s="30">
        <f>IFERROR(VLOOKUP(S310,Katalog!$C$3:$F$13,3,0),0)</f>
        <v>0</v>
      </c>
      <c r="Z310" s="2">
        <f t="shared" si="156"/>
        <v>3</v>
      </c>
      <c r="AA310" s="4">
        <f t="shared" si="157"/>
        <v>360000</v>
      </c>
      <c r="AB310" s="4">
        <f t="shared" si="158"/>
        <v>135000</v>
      </c>
      <c r="AC310" s="4" t="s">
        <v>29</v>
      </c>
      <c r="AD310" s="16">
        <f>IFERROR(VLOOKUP(AC310,'Kode Diskon'!$C$2:$D$9,2,0),0)</f>
        <v>0.1</v>
      </c>
      <c r="AE310" s="31">
        <f t="shared" si="159"/>
        <v>36000</v>
      </c>
      <c r="AF310" s="31">
        <f t="shared" si="160"/>
        <v>324000</v>
      </c>
      <c r="AG310" s="31">
        <f t="shared" si="161"/>
        <v>225000</v>
      </c>
      <c r="AH310" s="31">
        <f t="shared" si="162"/>
        <v>189000</v>
      </c>
      <c r="AI310" s="4" t="s">
        <v>28</v>
      </c>
      <c r="AJ310" s="4" t="s">
        <v>9</v>
      </c>
      <c r="AK310" s="4" t="str">
        <f>IFERROR(VLOOKUP(AJ310,'Guide '!$A$13:$B$16,2,0),"-")</f>
        <v>TK</v>
      </c>
      <c r="AL310" s="4" t="s">
        <v>925</v>
      </c>
      <c r="AM310" s="40">
        <v>45409</v>
      </c>
      <c r="AN310">
        <f t="shared" si="163"/>
        <v>29</v>
      </c>
      <c r="AO310">
        <f t="shared" si="164"/>
        <v>32</v>
      </c>
      <c r="AP310">
        <f t="shared" si="165"/>
        <v>40</v>
      </c>
      <c r="AQ310">
        <f t="shared" si="166"/>
        <v>43</v>
      </c>
      <c r="AR310" s="26">
        <f t="shared" si="167"/>
        <v>56</v>
      </c>
      <c r="AS310" s="26">
        <f t="shared" si="168"/>
        <v>63</v>
      </c>
      <c r="AT310" s="21">
        <f t="shared" si="169"/>
        <v>12</v>
      </c>
      <c r="AU310" s="21">
        <f t="shared" si="170"/>
        <v>19</v>
      </c>
      <c r="AV310">
        <f t="shared" si="171"/>
        <v>73</v>
      </c>
      <c r="AW310">
        <f t="shared" si="172"/>
        <v>76</v>
      </c>
      <c r="AX310">
        <f t="shared" si="173"/>
        <v>84</v>
      </c>
      <c r="AY310">
        <f t="shared" si="174"/>
        <v>87</v>
      </c>
      <c r="AZ310" t="str">
        <f t="shared" si="175"/>
        <v>-</v>
      </c>
      <c r="BA310" t="str">
        <f t="shared" si="176"/>
        <v>-</v>
      </c>
      <c r="BB310" t="str">
        <f t="shared" si="177"/>
        <v>-</v>
      </c>
      <c r="BC310" t="str">
        <f t="shared" si="178"/>
        <v>-</v>
      </c>
      <c r="BD310" s="29" t="str">
        <f t="shared" si="179"/>
        <v>-</v>
      </c>
      <c r="BE310" s="29" t="str">
        <f t="shared" si="180"/>
        <v>-</v>
      </c>
    </row>
    <row r="311" spans="1:57" ht="15" x14ac:dyDescent="0.2">
      <c r="A311" s="2">
        <v>239</v>
      </c>
      <c r="B311" s="2" t="str">
        <f t="shared" si="145"/>
        <v>0239</v>
      </c>
      <c r="C311" t="str">
        <f t="shared" si="146"/>
        <v>ORD-SP-0239-27/04/24</v>
      </c>
      <c r="D311" s="3" t="s">
        <v>305</v>
      </c>
      <c r="E311" t="str">
        <f t="shared" si="147"/>
        <v>PW003</v>
      </c>
      <c r="F311" t="str">
        <f>INDEX(Katalog!$B$4:$B$13,MATCH('Main Data'!E311,Katalog!$C$4:$C$13,0))</f>
        <v>Kaftan</v>
      </c>
      <c r="G311" t="str">
        <f>VLOOKUP(E311,Katalog!$A$15:$B$25,2,0)</f>
        <v>Pakaian Wanita</v>
      </c>
      <c r="H311" t="str">
        <f t="shared" si="148"/>
        <v>4</v>
      </c>
      <c r="I311" t="str">
        <f t="shared" si="149"/>
        <v>4</v>
      </c>
      <c r="J311" s="18">
        <f>VLOOKUP(E311,Katalog!$C$3:$F$13,2,0)</f>
        <v>200000</v>
      </c>
      <c r="K311" s="18">
        <f>VLOOKUP(E311,Katalog!$C$3:$F$13,3,0)</f>
        <v>100000</v>
      </c>
      <c r="L311" t="str">
        <f t="shared" si="150"/>
        <v>-</v>
      </c>
      <c r="M311" t="str">
        <f>IFERROR(INDEX(Katalog!$B$4:$B$13,MATCH('Main Data'!L311,Katalog!$C$4:$C$13,0)), "-")</f>
        <v>-</v>
      </c>
      <c r="N311" t="str">
        <f>IFERROR(VLOOKUP(L311,Katalog!$A$15:$B$25,2,0),"-")</f>
        <v>-</v>
      </c>
      <c r="O311">
        <f t="shared" si="151"/>
        <v>0</v>
      </c>
      <c r="P311" t="str">
        <f t="shared" si="152"/>
        <v>-</v>
      </c>
      <c r="Q311" s="18">
        <f>IFERROR(VLOOKUP(L311,Katalog!$C$3:$F$13,2,0),0)</f>
        <v>0</v>
      </c>
      <c r="R311" s="18">
        <f>IFERROR(VLOOKUP(L311,Katalog!$C$3:$F$13,3,0),0)</f>
        <v>0</v>
      </c>
      <c r="S311" t="str">
        <f t="shared" si="153"/>
        <v>-</v>
      </c>
      <c r="T311" t="str">
        <f>IFERROR(INDEX(Katalog!$B$4:$B$13,MATCH('Main Data'!S311,Katalog!$C$4:$C$13,0)),"-")</f>
        <v>-</v>
      </c>
      <c r="U311" t="str">
        <f>IFERROR(VLOOKUP(S311,Katalog!$A$15:$B$25,2,0),"-")</f>
        <v>-</v>
      </c>
      <c r="V311">
        <f t="shared" si="154"/>
        <v>0</v>
      </c>
      <c r="W311" s="28" t="str">
        <f t="shared" si="155"/>
        <v>-</v>
      </c>
      <c r="X311" s="18">
        <f>IFERROR(VLOOKUP(S311,Katalog!$C$3:$F$13,2,0),0)</f>
        <v>0</v>
      </c>
      <c r="Y311" s="30">
        <f>IFERROR(VLOOKUP(S311,Katalog!$C$3:$F$13,3,0),0)</f>
        <v>0</v>
      </c>
      <c r="Z311" s="2">
        <f t="shared" si="156"/>
        <v>4</v>
      </c>
      <c r="AA311" s="4">
        <f t="shared" si="157"/>
        <v>800000</v>
      </c>
      <c r="AB311" s="4">
        <f t="shared" si="158"/>
        <v>400000</v>
      </c>
      <c r="AC311" s="4" t="s">
        <v>10</v>
      </c>
      <c r="AD311" s="16">
        <f>IFERROR(VLOOKUP(AC311,'Kode Diskon'!$C$2:$D$9,2,0),0)</f>
        <v>0</v>
      </c>
      <c r="AE311" s="31">
        <f t="shared" si="159"/>
        <v>0</v>
      </c>
      <c r="AF311" s="31">
        <f t="shared" si="160"/>
        <v>800000</v>
      </c>
      <c r="AG311" s="31">
        <f t="shared" si="161"/>
        <v>400000</v>
      </c>
      <c r="AH311" s="31">
        <f t="shared" si="162"/>
        <v>400000</v>
      </c>
      <c r="AI311" s="4" t="s">
        <v>10</v>
      </c>
      <c r="AJ311" s="4" t="s">
        <v>6</v>
      </c>
      <c r="AK311" s="4" t="str">
        <f>IFERROR(VLOOKUP(AJ311,'Guide '!$A$13:$B$16,2,0),"-")</f>
        <v>SP</v>
      </c>
      <c r="AL311" s="4" t="s">
        <v>1006</v>
      </c>
      <c r="AM311" s="40">
        <v>45409</v>
      </c>
      <c r="AN311">
        <f t="shared" si="163"/>
        <v>29</v>
      </c>
      <c r="AO311">
        <f t="shared" si="164"/>
        <v>32</v>
      </c>
      <c r="AP311">
        <f t="shared" si="165"/>
        <v>40</v>
      </c>
      <c r="AQ311">
        <f t="shared" si="166"/>
        <v>43</v>
      </c>
      <c r="AR311" s="26" t="str">
        <f t="shared" si="167"/>
        <v>-</v>
      </c>
      <c r="AS311" s="26" t="str">
        <f t="shared" si="168"/>
        <v>-</v>
      </c>
      <c r="AT311" s="21">
        <f t="shared" si="169"/>
        <v>12</v>
      </c>
      <c r="AU311" s="21">
        <f t="shared" si="170"/>
        <v>19</v>
      </c>
      <c r="AV311" t="str">
        <f t="shared" si="171"/>
        <v>-</v>
      </c>
      <c r="AW311" t="str">
        <f t="shared" si="172"/>
        <v>-</v>
      </c>
      <c r="AX311" t="str">
        <f t="shared" si="173"/>
        <v>-</v>
      </c>
      <c r="AY311" t="str">
        <f t="shared" si="174"/>
        <v>-</v>
      </c>
      <c r="AZ311" t="str">
        <f t="shared" si="175"/>
        <v>-</v>
      </c>
      <c r="BA311" t="str">
        <f t="shared" si="176"/>
        <v>-</v>
      </c>
      <c r="BB311" t="str">
        <f t="shared" si="177"/>
        <v>-</v>
      </c>
      <c r="BC311" t="str">
        <f t="shared" si="178"/>
        <v>-</v>
      </c>
      <c r="BD311" s="29" t="str">
        <f t="shared" si="179"/>
        <v>-</v>
      </c>
      <c r="BE311" s="29" t="str">
        <f t="shared" si="180"/>
        <v>-</v>
      </c>
    </row>
    <row r="312" spans="1:57" ht="15" x14ac:dyDescent="0.2">
      <c r="A312" s="2">
        <v>250</v>
      </c>
      <c r="B312" s="2" t="str">
        <f t="shared" si="145"/>
        <v>0250</v>
      </c>
      <c r="C312" t="str">
        <f t="shared" si="146"/>
        <v>ORD-SP-0250-27/04/24</v>
      </c>
      <c r="D312" s="3" t="s">
        <v>315</v>
      </c>
      <c r="E312" t="str">
        <f t="shared" si="147"/>
        <v>PW003</v>
      </c>
      <c r="F312" t="str">
        <f>INDEX(Katalog!$B$4:$B$13,MATCH('Main Data'!E312,Katalog!$C$4:$C$13,0))</f>
        <v>Kaftan</v>
      </c>
      <c r="G312" t="str">
        <f>VLOOKUP(E312,Katalog!$A$15:$B$25,2,0)</f>
        <v>Pakaian Wanita</v>
      </c>
      <c r="H312" t="str">
        <f t="shared" si="148"/>
        <v>1</v>
      </c>
      <c r="I312" t="str">
        <f t="shared" si="149"/>
        <v>2</v>
      </c>
      <c r="J312" s="18">
        <f>VLOOKUP(E312,Katalog!$C$3:$F$13,2,0)</f>
        <v>200000</v>
      </c>
      <c r="K312" s="18">
        <f>VLOOKUP(E312,Katalog!$C$3:$F$13,3,0)</f>
        <v>100000</v>
      </c>
      <c r="L312" t="str">
        <f t="shared" si="150"/>
        <v>PU001</v>
      </c>
      <c r="M312" t="str">
        <f>IFERROR(INDEX(Katalog!$B$4:$B$13,MATCH('Main Data'!L312,Katalog!$C$4:$C$13,0)), "-")</f>
        <v>Jaket Hoodie</v>
      </c>
      <c r="N312" t="str">
        <f>IFERROR(VLOOKUP(L312,Katalog!$A$15:$B$25,2,0),"-")</f>
        <v>Pakaian Unisex</v>
      </c>
      <c r="O312" t="str">
        <f t="shared" si="151"/>
        <v>1</v>
      </c>
      <c r="P312" t="str">
        <f t="shared" si="152"/>
        <v>3</v>
      </c>
      <c r="Q312" s="18">
        <f>IFERROR(VLOOKUP(L312,Katalog!$C$3:$F$13,2,0),0)</f>
        <v>160000</v>
      </c>
      <c r="R312" s="18">
        <f>IFERROR(VLOOKUP(L312,Katalog!$C$3:$F$13,3,0),0)</f>
        <v>60000</v>
      </c>
      <c r="S312" t="str">
        <f t="shared" si="153"/>
        <v>-</v>
      </c>
      <c r="T312" t="str">
        <f>IFERROR(INDEX(Katalog!$B$4:$B$13,MATCH('Main Data'!S312,Katalog!$C$4:$C$13,0)),"-")</f>
        <v>-</v>
      </c>
      <c r="U312" t="str">
        <f>IFERROR(VLOOKUP(S312,Katalog!$A$15:$B$25,2,0),"-")</f>
        <v>-</v>
      </c>
      <c r="V312">
        <f t="shared" si="154"/>
        <v>0</v>
      </c>
      <c r="W312" s="28" t="str">
        <f t="shared" si="155"/>
        <v>-</v>
      </c>
      <c r="X312" s="18">
        <f>IFERROR(VLOOKUP(S312,Katalog!$C$3:$F$13,2,0),0)</f>
        <v>0</v>
      </c>
      <c r="Y312" s="30">
        <f>IFERROR(VLOOKUP(S312,Katalog!$C$3:$F$13,3,0),0)</f>
        <v>0</v>
      </c>
      <c r="Z312" s="2">
        <f t="shared" si="156"/>
        <v>2</v>
      </c>
      <c r="AA312" s="4">
        <f t="shared" si="157"/>
        <v>360000</v>
      </c>
      <c r="AB312" s="4">
        <f t="shared" si="158"/>
        <v>160000</v>
      </c>
      <c r="AC312" s="4" t="s">
        <v>7</v>
      </c>
      <c r="AD312" s="16">
        <f>IFERROR(VLOOKUP(AC312,'Kode Diskon'!$C$2:$D$9,2,0),0)</f>
        <v>0.2</v>
      </c>
      <c r="AE312" s="31">
        <f t="shared" si="159"/>
        <v>72000</v>
      </c>
      <c r="AF312" s="31">
        <f t="shared" si="160"/>
        <v>288000</v>
      </c>
      <c r="AG312" s="31">
        <f t="shared" si="161"/>
        <v>200000</v>
      </c>
      <c r="AH312" s="31">
        <f t="shared" si="162"/>
        <v>128000</v>
      </c>
      <c r="AI312" s="4" t="s">
        <v>8</v>
      </c>
      <c r="AJ312" s="4" t="s">
        <v>6</v>
      </c>
      <c r="AK312" s="4" t="str">
        <f>IFERROR(VLOOKUP(AJ312,'Guide '!$A$13:$B$16,2,0),"-")</f>
        <v>SP</v>
      </c>
      <c r="AL312" s="4" t="s">
        <v>921</v>
      </c>
      <c r="AM312" s="40">
        <v>45409</v>
      </c>
      <c r="AN312">
        <f t="shared" si="163"/>
        <v>29</v>
      </c>
      <c r="AO312">
        <f t="shared" si="164"/>
        <v>32</v>
      </c>
      <c r="AP312">
        <f t="shared" si="165"/>
        <v>40</v>
      </c>
      <c r="AQ312">
        <f t="shared" si="166"/>
        <v>43</v>
      </c>
      <c r="AR312" s="26">
        <f t="shared" si="167"/>
        <v>56</v>
      </c>
      <c r="AS312" s="26">
        <f t="shared" si="168"/>
        <v>63</v>
      </c>
      <c r="AT312" s="21">
        <f t="shared" si="169"/>
        <v>12</v>
      </c>
      <c r="AU312" s="21">
        <f t="shared" si="170"/>
        <v>19</v>
      </c>
      <c r="AV312">
        <f t="shared" si="171"/>
        <v>73</v>
      </c>
      <c r="AW312">
        <f t="shared" si="172"/>
        <v>76</v>
      </c>
      <c r="AX312">
        <f t="shared" si="173"/>
        <v>84</v>
      </c>
      <c r="AY312">
        <f t="shared" si="174"/>
        <v>87</v>
      </c>
      <c r="AZ312" t="str">
        <f t="shared" si="175"/>
        <v>-</v>
      </c>
      <c r="BA312" t="str">
        <f t="shared" si="176"/>
        <v>-</v>
      </c>
      <c r="BB312" t="str">
        <f t="shared" si="177"/>
        <v>-</v>
      </c>
      <c r="BC312" t="str">
        <f t="shared" si="178"/>
        <v>-</v>
      </c>
      <c r="BD312" s="29" t="str">
        <f t="shared" si="179"/>
        <v>-</v>
      </c>
      <c r="BE312" s="29" t="str">
        <f t="shared" si="180"/>
        <v>-</v>
      </c>
    </row>
    <row r="313" spans="1:57" ht="15" x14ac:dyDescent="0.2">
      <c r="A313" s="2">
        <v>666</v>
      </c>
      <c r="B313" s="2" t="str">
        <f t="shared" si="145"/>
        <v>0666</v>
      </c>
      <c r="C313" t="str">
        <f t="shared" si="146"/>
        <v>ORD-SP-0666-28/04/24</v>
      </c>
      <c r="D313" s="3" t="s">
        <v>329</v>
      </c>
      <c r="E313" t="str">
        <f t="shared" si="147"/>
        <v>SP002</v>
      </c>
      <c r="F313" t="str">
        <f>INDEX(Katalog!$B$4:$B$13,MATCH('Main Data'!E313,Katalog!$C$4:$C$13,0))</f>
        <v>Sandal Slip On</v>
      </c>
      <c r="G313" t="str">
        <f>VLOOKUP(E313,Katalog!$A$15:$B$25,2,0)</f>
        <v>Sepatu Pria</v>
      </c>
      <c r="H313" t="str">
        <f t="shared" si="148"/>
        <v>6</v>
      </c>
      <c r="I313" t="str">
        <f t="shared" si="149"/>
        <v>1</v>
      </c>
      <c r="J313" s="18">
        <f>VLOOKUP(E313,Katalog!$C$3:$F$13,2,0)</f>
        <v>120000</v>
      </c>
      <c r="K313" s="18">
        <f>VLOOKUP(E313,Katalog!$C$3:$F$13,3,0)</f>
        <v>60000</v>
      </c>
      <c r="L313" t="str">
        <f t="shared" si="150"/>
        <v>-</v>
      </c>
      <c r="M313" t="str">
        <f>IFERROR(INDEX(Katalog!$B$4:$B$13,MATCH('Main Data'!L313,Katalog!$C$4:$C$13,0)), "-")</f>
        <v>-</v>
      </c>
      <c r="N313" t="str">
        <f>IFERROR(VLOOKUP(L313,Katalog!$A$15:$B$25,2,0),"-")</f>
        <v>-</v>
      </c>
      <c r="O313">
        <f t="shared" si="151"/>
        <v>0</v>
      </c>
      <c r="P313" t="str">
        <f t="shared" si="152"/>
        <v>-</v>
      </c>
      <c r="Q313" s="18">
        <f>IFERROR(VLOOKUP(L313,Katalog!$C$3:$F$13,2,0),0)</f>
        <v>0</v>
      </c>
      <c r="R313" s="18">
        <f>IFERROR(VLOOKUP(L313,Katalog!$C$3:$F$13,3,0),0)</f>
        <v>0</v>
      </c>
      <c r="S313" t="str">
        <f t="shared" si="153"/>
        <v>-</v>
      </c>
      <c r="T313" t="str">
        <f>IFERROR(INDEX(Katalog!$B$4:$B$13,MATCH('Main Data'!S313,Katalog!$C$4:$C$13,0)),"-")</f>
        <v>-</v>
      </c>
      <c r="U313" t="str">
        <f>IFERROR(VLOOKUP(S313,Katalog!$A$15:$B$25,2,0),"-")</f>
        <v>-</v>
      </c>
      <c r="V313">
        <f t="shared" si="154"/>
        <v>0</v>
      </c>
      <c r="W313" s="28" t="str">
        <f t="shared" si="155"/>
        <v>-</v>
      </c>
      <c r="X313" s="18">
        <f>IFERROR(VLOOKUP(S313,Katalog!$C$3:$F$13,2,0),0)</f>
        <v>0</v>
      </c>
      <c r="Y313" s="30">
        <f>IFERROR(VLOOKUP(S313,Katalog!$C$3:$F$13,3,0),0)</f>
        <v>0</v>
      </c>
      <c r="Z313" s="2">
        <f t="shared" si="156"/>
        <v>6</v>
      </c>
      <c r="AA313" s="4">
        <f t="shared" si="157"/>
        <v>720000</v>
      </c>
      <c r="AB313" s="4">
        <f t="shared" si="158"/>
        <v>360000</v>
      </c>
      <c r="AC313" s="4" t="s">
        <v>10</v>
      </c>
      <c r="AD313" s="16">
        <f>IFERROR(VLOOKUP(AC313,'Kode Diskon'!$C$2:$D$9,2,0),0)</f>
        <v>0</v>
      </c>
      <c r="AE313" s="31">
        <f t="shared" si="159"/>
        <v>0</v>
      </c>
      <c r="AF313" s="31">
        <f t="shared" si="160"/>
        <v>720000</v>
      </c>
      <c r="AG313" s="31">
        <f t="shared" si="161"/>
        <v>360000</v>
      </c>
      <c r="AH313" s="31">
        <f t="shared" si="162"/>
        <v>360000</v>
      </c>
      <c r="AI313" s="4" t="s">
        <v>10</v>
      </c>
      <c r="AJ313" s="4" t="s">
        <v>6</v>
      </c>
      <c r="AK313" s="4" t="str">
        <f>IFERROR(VLOOKUP(AJ313,'Guide '!$A$13:$B$16,2,0),"-")</f>
        <v>SP</v>
      </c>
      <c r="AL313" s="4" t="s">
        <v>925</v>
      </c>
      <c r="AM313" s="40">
        <v>45410</v>
      </c>
      <c r="AN313">
        <f t="shared" si="163"/>
        <v>29</v>
      </c>
      <c r="AO313">
        <f t="shared" si="164"/>
        <v>32</v>
      </c>
      <c r="AP313">
        <f t="shared" si="165"/>
        <v>40</v>
      </c>
      <c r="AQ313">
        <f t="shared" si="166"/>
        <v>43</v>
      </c>
      <c r="AR313" s="26" t="str">
        <f t="shared" si="167"/>
        <v>-</v>
      </c>
      <c r="AS313" s="26" t="str">
        <f t="shared" si="168"/>
        <v>-</v>
      </c>
      <c r="AT313" s="21">
        <f t="shared" si="169"/>
        <v>12</v>
      </c>
      <c r="AU313" s="21">
        <f t="shared" si="170"/>
        <v>19</v>
      </c>
      <c r="AV313" t="str">
        <f t="shared" si="171"/>
        <v>-</v>
      </c>
      <c r="AW313" t="str">
        <f t="shared" si="172"/>
        <v>-</v>
      </c>
      <c r="AX313" t="str">
        <f t="shared" si="173"/>
        <v>-</v>
      </c>
      <c r="AY313" t="str">
        <f t="shared" si="174"/>
        <v>-</v>
      </c>
      <c r="AZ313" t="str">
        <f t="shared" si="175"/>
        <v>-</v>
      </c>
      <c r="BA313" t="str">
        <f t="shared" si="176"/>
        <v>-</v>
      </c>
      <c r="BB313" t="str">
        <f t="shared" si="177"/>
        <v>-</v>
      </c>
      <c r="BC313" t="str">
        <f t="shared" si="178"/>
        <v>-</v>
      </c>
      <c r="BD313" s="29" t="str">
        <f t="shared" si="179"/>
        <v>-</v>
      </c>
      <c r="BE313" s="29" t="str">
        <f t="shared" si="180"/>
        <v>-</v>
      </c>
    </row>
    <row r="314" spans="1:57" ht="15" x14ac:dyDescent="0.2">
      <c r="A314" s="2">
        <v>897</v>
      </c>
      <c r="B314" s="2" t="str">
        <f t="shared" si="145"/>
        <v>0897</v>
      </c>
      <c r="C314" t="str">
        <f t="shared" si="146"/>
        <v>ORD-BL-0897-28/04/24</v>
      </c>
      <c r="D314" s="3" t="s">
        <v>837</v>
      </c>
      <c r="E314" t="str">
        <f t="shared" si="147"/>
        <v>SP001</v>
      </c>
      <c r="F314" t="str">
        <f>INDEX(Katalog!$B$4:$B$13,MATCH('Main Data'!E314,Katalog!$C$4:$C$13,0))</f>
        <v>Sneakers</v>
      </c>
      <c r="G314" t="str">
        <f>VLOOKUP(E314,Katalog!$A$15:$B$25,2,0)</f>
        <v>Sepatu Pria</v>
      </c>
      <c r="H314" t="str">
        <f t="shared" si="148"/>
        <v>3</v>
      </c>
      <c r="I314" t="str">
        <f t="shared" si="149"/>
        <v>4</v>
      </c>
      <c r="J314" s="18">
        <f>VLOOKUP(E314,Katalog!$C$3:$F$13,2,0)</f>
        <v>300000</v>
      </c>
      <c r="K314" s="18">
        <f>VLOOKUP(E314,Katalog!$C$3:$F$13,3,0)</f>
        <v>100000</v>
      </c>
      <c r="L314" t="str">
        <f t="shared" si="150"/>
        <v>PU001</v>
      </c>
      <c r="M314" t="str">
        <f>IFERROR(INDEX(Katalog!$B$4:$B$13,MATCH('Main Data'!L314,Katalog!$C$4:$C$13,0)), "-")</f>
        <v>Jaket Hoodie</v>
      </c>
      <c r="N314" t="str">
        <f>IFERROR(VLOOKUP(L314,Katalog!$A$15:$B$25,2,0),"-")</f>
        <v>Pakaian Unisex</v>
      </c>
      <c r="O314" t="str">
        <f t="shared" si="151"/>
        <v>3</v>
      </c>
      <c r="P314" t="str">
        <f t="shared" si="152"/>
        <v>3</v>
      </c>
      <c r="Q314" s="18">
        <f>IFERROR(VLOOKUP(L314,Katalog!$C$3:$F$13,2,0),0)</f>
        <v>160000</v>
      </c>
      <c r="R314" s="18">
        <f>IFERROR(VLOOKUP(L314,Katalog!$C$3:$F$13,3,0),0)</f>
        <v>60000</v>
      </c>
      <c r="S314" t="str">
        <f t="shared" si="153"/>
        <v>-</v>
      </c>
      <c r="T314" t="str">
        <f>IFERROR(INDEX(Katalog!$B$4:$B$13,MATCH('Main Data'!S314,Katalog!$C$4:$C$13,0)),"-")</f>
        <v>-</v>
      </c>
      <c r="U314" t="str">
        <f>IFERROR(VLOOKUP(S314,Katalog!$A$15:$B$25,2,0),"-")</f>
        <v>-</v>
      </c>
      <c r="V314">
        <f t="shared" si="154"/>
        <v>0</v>
      </c>
      <c r="W314" s="28" t="str">
        <f t="shared" si="155"/>
        <v>-</v>
      </c>
      <c r="X314" s="18">
        <f>IFERROR(VLOOKUP(S314,Katalog!$C$3:$F$13,2,0),0)</f>
        <v>0</v>
      </c>
      <c r="Y314" s="30">
        <f>IFERROR(VLOOKUP(S314,Katalog!$C$3:$F$13,3,0),0)</f>
        <v>0</v>
      </c>
      <c r="Z314" s="2">
        <f t="shared" si="156"/>
        <v>6</v>
      </c>
      <c r="AA314" s="4">
        <f t="shared" si="157"/>
        <v>1380000</v>
      </c>
      <c r="AB314" s="4">
        <f t="shared" si="158"/>
        <v>480000</v>
      </c>
      <c r="AC314" s="4" t="s">
        <v>31</v>
      </c>
      <c r="AD314" s="16">
        <f>IFERROR(VLOOKUP(AC314,'Kode Diskon'!$C$2:$D$9,2,0),0)</f>
        <v>0.15</v>
      </c>
      <c r="AE314" s="31">
        <f t="shared" si="159"/>
        <v>207000</v>
      </c>
      <c r="AF314" s="31">
        <f t="shared" si="160"/>
        <v>1173000</v>
      </c>
      <c r="AG314" s="31">
        <f t="shared" si="161"/>
        <v>900000</v>
      </c>
      <c r="AH314" s="31">
        <f t="shared" si="162"/>
        <v>693000</v>
      </c>
      <c r="AI314" s="4" t="s">
        <v>8</v>
      </c>
      <c r="AJ314" s="4" t="s">
        <v>11</v>
      </c>
      <c r="AK314" s="4" t="str">
        <f>IFERROR(VLOOKUP(AJ314,'Guide '!$A$13:$B$16,2,0),"-")</f>
        <v>BL</v>
      </c>
      <c r="AL314" s="4" t="s">
        <v>925</v>
      </c>
      <c r="AM314" s="40">
        <v>45410</v>
      </c>
      <c r="AN314">
        <f t="shared" si="163"/>
        <v>29</v>
      </c>
      <c r="AO314">
        <f t="shared" si="164"/>
        <v>32</v>
      </c>
      <c r="AP314">
        <f t="shared" si="165"/>
        <v>40</v>
      </c>
      <c r="AQ314">
        <f t="shared" si="166"/>
        <v>43</v>
      </c>
      <c r="AR314" s="26">
        <f t="shared" si="167"/>
        <v>56</v>
      </c>
      <c r="AS314" s="26">
        <f t="shared" si="168"/>
        <v>63</v>
      </c>
      <c r="AT314" s="21">
        <f t="shared" si="169"/>
        <v>12</v>
      </c>
      <c r="AU314" s="21">
        <f t="shared" si="170"/>
        <v>19</v>
      </c>
      <c r="AV314">
        <f t="shared" si="171"/>
        <v>73</v>
      </c>
      <c r="AW314">
        <f t="shared" si="172"/>
        <v>76</v>
      </c>
      <c r="AX314">
        <f t="shared" si="173"/>
        <v>84</v>
      </c>
      <c r="AY314">
        <f t="shared" si="174"/>
        <v>87</v>
      </c>
      <c r="AZ314" t="str">
        <f t="shared" si="175"/>
        <v>-</v>
      </c>
      <c r="BA314" t="str">
        <f t="shared" si="176"/>
        <v>-</v>
      </c>
      <c r="BB314" t="str">
        <f t="shared" si="177"/>
        <v>-</v>
      </c>
      <c r="BC314" t="str">
        <f t="shared" si="178"/>
        <v>-</v>
      </c>
      <c r="BD314" s="29" t="str">
        <f t="shared" si="179"/>
        <v>-</v>
      </c>
      <c r="BE314" s="29" t="str">
        <f t="shared" si="180"/>
        <v>-</v>
      </c>
    </row>
    <row r="315" spans="1:57" ht="15" x14ac:dyDescent="0.2">
      <c r="A315" s="2">
        <v>942</v>
      </c>
      <c r="B315" s="2" t="str">
        <f t="shared" si="145"/>
        <v>0942</v>
      </c>
      <c r="C315" t="str">
        <f t="shared" si="146"/>
        <v>ORD-BB-0942-28/04/24</v>
      </c>
      <c r="D315" s="3" t="s">
        <v>874</v>
      </c>
      <c r="E315" t="str">
        <f t="shared" si="147"/>
        <v>PP001</v>
      </c>
      <c r="F315" t="str">
        <f>INDEX(Katalog!$B$4:$B$13,MATCH('Main Data'!E315,Katalog!$C$4:$C$13,0))</f>
        <v>Kaos Polo</v>
      </c>
      <c r="G315" t="str">
        <f>VLOOKUP(E315,Katalog!$A$15:$B$25,2,0)</f>
        <v>Pakaian Pria</v>
      </c>
      <c r="H315" t="str">
        <f t="shared" si="148"/>
        <v>5</v>
      </c>
      <c r="I315" t="str">
        <f t="shared" si="149"/>
        <v>5</v>
      </c>
      <c r="J315" s="18">
        <f>VLOOKUP(E315,Katalog!$C$3:$F$13,2,0)</f>
        <v>80000</v>
      </c>
      <c r="K315" s="18">
        <f>VLOOKUP(E315,Katalog!$C$3:$F$13,3,0)</f>
        <v>30000</v>
      </c>
      <c r="L315" t="str">
        <f t="shared" si="150"/>
        <v>PW003</v>
      </c>
      <c r="M315" t="str">
        <f>IFERROR(INDEX(Katalog!$B$4:$B$13,MATCH('Main Data'!L315,Katalog!$C$4:$C$13,0)), "-")</f>
        <v>Kaftan</v>
      </c>
      <c r="N315" t="str">
        <f>IFERROR(VLOOKUP(L315,Katalog!$A$15:$B$25,2,0),"-")</f>
        <v>Pakaian Wanita</v>
      </c>
      <c r="O315" t="str">
        <f t="shared" si="151"/>
        <v>1</v>
      </c>
      <c r="P315" t="str">
        <f t="shared" si="152"/>
        <v>2</v>
      </c>
      <c r="Q315" s="18">
        <f>IFERROR(VLOOKUP(L315,Katalog!$C$3:$F$13,2,0),0)</f>
        <v>200000</v>
      </c>
      <c r="R315" s="18">
        <f>IFERROR(VLOOKUP(L315,Katalog!$C$3:$F$13,3,0),0)</f>
        <v>100000</v>
      </c>
      <c r="S315" t="str">
        <f t="shared" si="153"/>
        <v>-</v>
      </c>
      <c r="T315" t="str">
        <f>IFERROR(INDEX(Katalog!$B$4:$B$13,MATCH('Main Data'!S315,Katalog!$C$4:$C$13,0)),"-")</f>
        <v>-</v>
      </c>
      <c r="U315" t="str">
        <f>IFERROR(VLOOKUP(S315,Katalog!$A$15:$B$25,2,0),"-")</f>
        <v>-</v>
      </c>
      <c r="V315">
        <f t="shared" si="154"/>
        <v>0</v>
      </c>
      <c r="W315" s="28" t="str">
        <f t="shared" si="155"/>
        <v>-</v>
      </c>
      <c r="X315" s="18">
        <f>IFERROR(VLOOKUP(S315,Katalog!$C$3:$F$13,2,0),0)</f>
        <v>0</v>
      </c>
      <c r="Y315" s="30">
        <f>IFERROR(VLOOKUP(S315,Katalog!$C$3:$F$13,3,0),0)</f>
        <v>0</v>
      </c>
      <c r="Z315" s="2">
        <f t="shared" si="156"/>
        <v>6</v>
      </c>
      <c r="AA315" s="4">
        <f t="shared" si="157"/>
        <v>600000</v>
      </c>
      <c r="AB315" s="4">
        <f t="shared" si="158"/>
        <v>250000</v>
      </c>
      <c r="AC315" s="4" t="s">
        <v>27</v>
      </c>
      <c r="AD315" s="16">
        <f>IFERROR(VLOOKUP(AC315,'Kode Diskon'!$C$2:$D$9,2,0),0)</f>
        <v>0.15</v>
      </c>
      <c r="AE315" s="31">
        <f t="shared" si="159"/>
        <v>90000</v>
      </c>
      <c r="AF315" s="31">
        <f t="shared" si="160"/>
        <v>510000</v>
      </c>
      <c r="AG315" s="31">
        <f t="shared" si="161"/>
        <v>350000</v>
      </c>
      <c r="AH315" s="31">
        <f t="shared" si="162"/>
        <v>260000</v>
      </c>
      <c r="AI315" s="4" t="s">
        <v>28</v>
      </c>
      <c r="AJ315" s="4" t="s">
        <v>13</v>
      </c>
      <c r="AK315" s="4" t="str">
        <f>IFERROR(VLOOKUP(AJ315,'Guide '!$A$13:$B$16,2,0),"-")</f>
        <v>BB</v>
      </c>
      <c r="AL315" s="4" t="s">
        <v>925</v>
      </c>
      <c r="AM315" s="40">
        <v>45410</v>
      </c>
      <c r="AN315">
        <f t="shared" si="163"/>
        <v>29</v>
      </c>
      <c r="AO315">
        <f t="shared" si="164"/>
        <v>32</v>
      </c>
      <c r="AP315">
        <f t="shared" si="165"/>
        <v>40</v>
      </c>
      <c r="AQ315">
        <f t="shared" si="166"/>
        <v>43</v>
      </c>
      <c r="AR315" s="26">
        <f t="shared" si="167"/>
        <v>56</v>
      </c>
      <c r="AS315" s="26">
        <f t="shared" si="168"/>
        <v>63</v>
      </c>
      <c r="AT315" s="21">
        <f t="shared" si="169"/>
        <v>12</v>
      </c>
      <c r="AU315" s="21">
        <f t="shared" si="170"/>
        <v>19</v>
      </c>
      <c r="AV315">
        <f t="shared" si="171"/>
        <v>73</v>
      </c>
      <c r="AW315">
        <f t="shared" si="172"/>
        <v>76</v>
      </c>
      <c r="AX315">
        <f t="shared" si="173"/>
        <v>84</v>
      </c>
      <c r="AY315">
        <f t="shared" si="174"/>
        <v>87</v>
      </c>
      <c r="AZ315" t="str">
        <f t="shared" si="175"/>
        <v>-</v>
      </c>
      <c r="BA315" t="str">
        <f t="shared" si="176"/>
        <v>-</v>
      </c>
      <c r="BB315" t="str">
        <f t="shared" si="177"/>
        <v>-</v>
      </c>
      <c r="BC315" t="str">
        <f t="shared" si="178"/>
        <v>-</v>
      </c>
      <c r="BD315" s="29" t="str">
        <f t="shared" si="179"/>
        <v>-</v>
      </c>
      <c r="BE315" s="29" t="str">
        <f t="shared" si="180"/>
        <v>-</v>
      </c>
    </row>
    <row r="316" spans="1:57" ht="15" x14ac:dyDescent="0.2">
      <c r="A316" s="2">
        <v>384</v>
      </c>
      <c r="B316" s="2" t="str">
        <f t="shared" si="145"/>
        <v>0384</v>
      </c>
      <c r="C316" t="str">
        <f t="shared" si="146"/>
        <v>ORD-SP-0384-29/04/24</v>
      </c>
      <c r="D316" s="3" t="s">
        <v>433</v>
      </c>
      <c r="E316" t="str">
        <f t="shared" si="147"/>
        <v>SP001</v>
      </c>
      <c r="F316" t="str">
        <f>INDEX(Katalog!$B$4:$B$13,MATCH('Main Data'!E316,Katalog!$C$4:$C$13,0))</f>
        <v>Sneakers</v>
      </c>
      <c r="G316" t="str">
        <f>VLOOKUP(E316,Katalog!$A$15:$B$25,2,0)</f>
        <v>Sepatu Pria</v>
      </c>
      <c r="H316" t="str">
        <f t="shared" si="148"/>
        <v>2</v>
      </c>
      <c r="I316" t="str">
        <f t="shared" si="149"/>
        <v>3</v>
      </c>
      <c r="J316" s="18">
        <f>VLOOKUP(E316,Katalog!$C$3:$F$13,2,0)</f>
        <v>300000</v>
      </c>
      <c r="K316" s="18">
        <f>VLOOKUP(E316,Katalog!$C$3:$F$13,3,0)</f>
        <v>100000</v>
      </c>
      <c r="L316" t="str">
        <f t="shared" si="150"/>
        <v>PP003</v>
      </c>
      <c r="M316" t="str">
        <f>IFERROR(INDEX(Katalog!$B$4:$B$13,MATCH('Main Data'!L316,Katalog!$C$4:$C$13,0)), "-")</f>
        <v>Jaket Jeans</v>
      </c>
      <c r="N316" t="str">
        <f>IFERROR(VLOOKUP(L316,Katalog!$A$15:$B$25,2,0),"-")</f>
        <v>Pakaian Pria</v>
      </c>
      <c r="O316" t="str">
        <f t="shared" si="151"/>
        <v>1</v>
      </c>
      <c r="P316" t="str">
        <f t="shared" si="152"/>
        <v>4</v>
      </c>
      <c r="Q316" s="18">
        <f>IFERROR(VLOOKUP(L316,Katalog!$C$3:$F$13,2,0),0)</f>
        <v>150000</v>
      </c>
      <c r="R316" s="18">
        <f>IFERROR(VLOOKUP(L316,Katalog!$C$3:$F$13,3,0),0)</f>
        <v>70000</v>
      </c>
      <c r="S316" t="str">
        <f t="shared" si="153"/>
        <v>-</v>
      </c>
      <c r="T316" t="str">
        <f>IFERROR(INDEX(Katalog!$B$4:$B$13,MATCH('Main Data'!S316,Katalog!$C$4:$C$13,0)),"-")</f>
        <v>-</v>
      </c>
      <c r="U316" t="str">
        <f>IFERROR(VLOOKUP(S316,Katalog!$A$15:$B$25,2,0),"-")</f>
        <v>-</v>
      </c>
      <c r="V316">
        <f t="shared" si="154"/>
        <v>0</v>
      </c>
      <c r="W316" s="28" t="str">
        <f t="shared" si="155"/>
        <v>-</v>
      </c>
      <c r="X316" s="18">
        <f>IFERROR(VLOOKUP(S316,Katalog!$C$3:$F$13,2,0),0)</f>
        <v>0</v>
      </c>
      <c r="Y316" s="30">
        <f>IFERROR(VLOOKUP(S316,Katalog!$C$3:$F$13,3,0),0)</f>
        <v>0</v>
      </c>
      <c r="Z316" s="2">
        <f t="shared" si="156"/>
        <v>3</v>
      </c>
      <c r="AA316" s="4">
        <f t="shared" si="157"/>
        <v>750000</v>
      </c>
      <c r="AB316" s="4">
        <f t="shared" si="158"/>
        <v>270000</v>
      </c>
      <c r="AC316" s="4" t="s">
        <v>12</v>
      </c>
      <c r="AD316" s="16">
        <f>IFERROR(VLOOKUP(AC316,'Kode Diskon'!$C$2:$D$9,2,0),0)</f>
        <v>0.15</v>
      </c>
      <c r="AE316" s="31">
        <f t="shared" si="159"/>
        <v>112500</v>
      </c>
      <c r="AF316" s="31">
        <f t="shared" si="160"/>
        <v>637500</v>
      </c>
      <c r="AG316" s="31">
        <f t="shared" si="161"/>
        <v>480000</v>
      </c>
      <c r="AH316" s="31">
        <f t="shared" si="162"/>
        <v>367500</v>
      </c>
      <c r="AI316" s="4" t="s">
        <v>28</v>
      </c>
      <c r="AJ316" s="4" t="s">
        <v>6</v>
      </c>
      <c r="AK316" s="4" t="str">
        <f>IFERROR(VLOOKUP(AJ316,'Guide '!$A$13:$B$16,2,0),"-")</f>
        <v>SP</v>
      </c>
      <c r="AL316" s="4" t="s">
        <v>921</v>
      </c>
      <c r="AM316" s="40">
        <v>45411</v>
      </c>
      <c r="AN316">
        <f t="shared" si="163"/>
        <v>29</v>
      </c>
      <c r="AO316">
        <f t="shared" si="164"/>
        <v>32</v>
      </c>
      <c r="AP316">
        <f t="shared" si="165"/>
        <v>40</v>
      </c>
      <c r="AQ316">
        <f t="shared" si="166"/>
        <v>43</v>
      </c>
      <c r="AR316" s="26">
        <f t="shared" si="167"/>
        <v>56</v>
      </c>
      <c r="AS316" s="26">
        <f t="shared" si="168"/>
        <v>63</v>
      </c>
      <c r="AT316" s="21">
        <f t="shared" si="169"/>
        <v>12</v>
      </c>
      <c r="AU316" s="21">
        <f t="shared" si="170"/>
        <v>19</v>
      </c>
      <c r="AV316">
        <f t="shared" si="171"/>
        <v>73</v>
      </c>
      <c r="AW316">
        <f t="shared" si="172"/>
        <v>76</v>
      </c>
      <c r="AX316">
        <f t="shared" si="173"/>
        <v>84</v>
      </c>
      <c r="AY316">
        <f t="shared" si="174"/>
        <v>87</v>
      </c>
      <c r="AZ316" t="str">
        <f t="shared" si="175"/>
        <v>-</v>
      </c>
      <c r="BA316" t="str">
        <f t="shared" si="176"/>
        <v>-</v>
      </c>
      <c r="BB316" t="str">
        <f t="shared" si="177"/>
        <v>-</v>
      </c>
      <c r="BC316" t="str">
        <f t="shared" si="178"/>
        <v>-</v>
      </c>
      <c r="BD316" s="29" t="str">
        <f t="shared" si="179"/>
        <v>-</v>
      </c>
      <c r="BE316" s="29" t="str">
        <f t="shared" si="180"/>
        <v>-</v>
      </c>
    </row>
    <row r="317" spans="1:57" ht="15" x14ac:dyDescent="0.2">
      <c r="A317" s="2">
        <v>285</v>
      </c>
      <c r="B317" s="2" t="str">
        <f t="shared" si="145"/>
        <v>0285</v>
      </c>
      <c r="C317" t="str">
        <f t="shared" si="146"/>
        <v>ORD-SP-0285-30/04/24</v>
      </c>
      <c r="D317" s="3" t="s">
        <v>341</v>
      </c>
      <c r="E317" t="str">
        <f t="shared" si="147"/>
        <v>PW003</v>
      </c>
      <c r="F317" t="str">
        <f>INDEX(Katalog!$B$4:$B$13,MATCH('Main Data'!E317,Katalog!$C$4:$C$13,0))</f>
        <v>Kaftan</v>
      </c>
      <c r="G317" t="str">
        <f>VLOOKUP(E317,Katalog!$A$15:$B$25,2,0)</f>
        <v>Pakaian Wanita</v>
      </c>
      <c r="H317" t="str">
        <f t="shared" si="148"/>
        <v>2</v>
      </c>
      <c r="I317" t="str">
        <f t="shared" si="149"/>
        <v>3</v>
      </c>
      <c r="J317" s="18">
        <f>VLOOKUP(E317,Katalog!$C$3:$F$13,2,0)</f>
        <v>200000</v>
      </c>
      <c r="K317" s="18">
        <f>VLOOKUP(E317,Katalog!$C$3:$F$13,3,0)</f>
        <v>100000</v>
      </c>
      <c r="L317" t="str">
        <f t="shared" si="150"/>
        <v>SW001</v>
      </c>
      <c r="M317" t="str">
        <f>IFERROR(INDEX(Katalog!$B$4:$B$13,MATCH('Main Data'!L317,Katalog!$C$4:$C$13,0)), "-")</f>
        <v>Flat Shoes</v>
      </c>
      <c r="N317" t="str">
        <f>IFERROR(VLOOKUP(L317,Katalog!$A$15:$B$25,2,0),"-")</f>
        <v>Sepatu Wanita</v>
      </c>
      <c r="O317" t="str">
        <f t="shared" si="151"/>
        <v>3</v>
      </c>
      <c r="P317" t="str">
        <f t="shared" si="152"/>
        <v>5</v>
      </c>
      <c r="Q317" s="18">
        <f>IFERROR(VLOOKUP(L317,Katalog!$C$3:$F$13,2,0),0)</f>
        <v>150000</v>
      </c>
      <c r="R317" s="18">
        <f>IFERROR(VLOOKUP(L317,Katalog!$C$3:$F$13,3,0),0)</f>
        <v>70000</v>
      </c>
      <c r="S317" t="str">
        <f t="shared" si="153"/>
        <v>-</v>
      </c>
      <c r="T317" t="str">
        <f>IFERROR(INDEX(Katalog!$B$4:$B$13,MATCH('Main Data'!S317,Katalog!$C$4:$C$13,0)),"-")</f>
        <v>-</v>
      </c>
      <c r="U317" t="str">
        <f>IFERROR(VLOOKUP(S317,Katalog!$A$15:$B$25,2,0),"-")</f>
        <v>-</v>
      </c>
      <c r="V317">
        <f t="shared" si="154"/>
        <v>0</v>
      </c>
      <c r="W317" s="28" t="str">
        <f t="shared" si="155"/>
        <v>-</v>
      </c>
      <c r="X317" s="18">
        <f>IFERROR(VLOOKUP(S317,Katalog!$C$3:$F$13,2,0),0)</f>
        <v>0</v>
      </c>
      <c r="Y317" s="30">
        <f>IFERROR(VLOOKUP(S317,Katalog!$C$3:$F$13,3,0),0)</f>
        <v>0</v>
      </c>
      <c r="Z317" s="2">
        <f t="shared" si="156"/>
        <v>5</v>
      </c>
      <c r="AA317" s="4">
        <f t="shared" si="157"/>
        <v>850000</v>
      </c>
      <c r="AB317" s="4">
        <f t="shared" si="158"/>
        <v>410000</v>
      </c>
      <c r="AC317" s="4" t="s">
        <v>7</v>
      </c>
      <c r="AD317" s="16">
        <f>IFERROR(VLOOKUP(AC317,'Kode Diskon'!$C$2:$D$9,2,0),0)</f>
        <v>0.2</v>
      </c>
      <c r="AE317" s="31">
        <f t="shared" si="159"/>
        <v>170000</v>
      </c>
      <c r="AF317" s="31">
        <f t="shared" si="160"/>
        <v>680000</v>
      </c>
      <c r="AG317" s="31">
        <f t="shared" si="161"/>
        <v>440000</v>
      </c>
      <c r="AH317" s="31">
        <f t="shared" si="162"/>
        <v>270000</v>
      </c>
      <c r="AI317" s="4" t="s">
        <v>8</v>
      </c>
      <c r="AJ317" s="4" t="s">
        <v>6</v>
      </c>
      <c r="AK317" s="4" t="str">
        <f>IFERROR(VLOOKUP(AJ317,'Guide '!$A$13:$B$16,2,0),"-")</f>
        <v>SP</v>
      </c>
      <c r="AL317" s="4" t="s">
        <v>1006</v>
      </c>
      <c r="AM317" s="40">
        <v>45412</v>
      </c>
      <c r="AN317">
        <f t="shared" si="163"/>
        <v>29</v>
      </c>
      <c r="AO317">
        <f t="shared" si="164"/>
        <v>32</v>
      </c>
      <c r="AP317">
        <f t="shared" si="165"/>
        <v>40</v>
      </c>
      <c r="AQ317">
        <f t="shared" si="166"/>
        <v>43</v>
      </c>
      <c r="AR317" s="26">
        <f t="shared" si="167"/>
        <v>56</v>
      </c>
      <c r="AS317" s="26">
        <f t="shared" si="168"/>
        <v>63</v>
      </c>
      <c r="AT317" s="21">
        <f t="shared" si="169"/>
        <v>12</v>
      </c>
      <c r="AU317" s="21">
        <f t="shared" si="170"/>
        <v>19</v>
      </c>
      <c r="AV317">
        <f t="shared" si="171"/>
        <v>73</v>
      </c>
      <c r="AW317">
        <f t="shared" si="172"/>
        <v>76</v>
      </c>
      <c r="AX317">
        <f t="shared" si="173"/>
        <v>84</v>
      </c>
      <c r="AY317">
        <f t="shared" si="174"/>
        <v>87</v>
      </c>
      <c r="AZ317" t="str">
        <f t="shared" si="175"/>
        <v>-</v>
      </c>
      <c r="BA317" t="str">
        <f t="shared" si="176"/>
        <v>-</v>
      </c>
      <c r="BB317" t="str">
        <f t="shared" si="177"/>
        <v>-</v>
      </c>
      <c r="BC317" t="str">
        <f t="shared" si="178"/>
        <v>-</v>
      </c>
      <c r="BD317" s="29" t="str">
        <f t="shared" si="179"/>
        <v>-</v>
      </c>
      <c r="BE317" s="29" t="str">
        <f t="shared" si="180"/>
        <v>-</v>
      </c>
    </row>
    <row r="318" spans="1:57" ht="15" x14ac:dyDescent="0.2">
      <c r="A318" s="2">
        <v>322</v>
      </c>
      <c r="B318" s="2" t="str">
        <f t="shared" si="145"/>
        <v>0322</v>
      </c>
      <c r="C318" t="str">
        <f t="shared" si="146"/>
        <v>ORD-SP-0322-30/04/24</v>
      </c>
      <c r="D318" s="3" t="s">
        <v>129</v>
      </c>
      <c r="E318" t="str">
        <f t="shared" si="147"/>
        <v>SP001</v>
      </c>
      <c r="F318" t="str">
        <f>INDEX(Katalog!$B$4:$B$13,MATCH('Main Data'!E318,Katalog!$C$4:$C$13,0))</f>
        <v>Sneakers</v>
      </c>
      <c r="G318" t="str">
        <f>VLOOKUP(E318,Katalog!$A$15:$B$25,2,0)</f>
        <v>Sepatu Pria</v>
      </c>
      <c r="H318" t="str">
        <f t="shared" si="148"/>
        <v>2</v>
      </c>
      <c r="I318" t="str">
        <f t="shared" si="149"/>
        <v>1</v>
      </c>
      <c r="J318" s="18">
        <f>VLOOKUP(E318,Katalog!$C$3:$F$13,2,0)</f>
        <v>300000</v>
      </c>
      <c r="K318" s="18">
        <f>VLOOKUP(E318,Katalog!$C$3:$F$13,3,0)</f>
        <v>100000</v>
      </c>
      <c r="L318" t="str">
        <f t="shared" si="150"/>
        <v>-</v>
      </c>
      <c r="M318" t="str">
        <f>IFERROR(INDEX(Katalog!$B$4:$B$13,MATCH('Main Data'!L318,Katalog!$C$4:$C$13,0)), "-")</f>
        <v>-</v>
      </c>
      <c r="N318" t="str">
        <f>IFERROR(VLOOKUP(L318,Katalog!$A$15:$B$25,2,0),"-")</f>
        <v>-</v>
      </c>
      <c r="O318">
        <f t="shared" si="151"/>
        <v>0</v>
      </c>
      <c r="P318" t="str">
        <f t="shared" si="152"/>
        <v>-</v>
      </c>
      <c r="Q318" s="18">
        <f>IFERROR(VLOOKUP(L318,Katalog!$C$3:$F$13,2,0),0)</f>
        <v>0</v>
      </c>
      <c r="R318" s="18">
        <f>IFERROR(VLOOKUP(L318,Katalog!$C$3:$F$13,3,0),0)</f>
        <v>0</v>
      </c>
      <c r="S318" t="str">
        <f t="shared" si="153"/>
        <v>-</v>
      </c>
      <c r="T318" t="str">
        <f>IFERROR(INDEX(Katalog!$B$4:$B$13,MATCH('Main Data'!S318,Katalog!$C$4:$C$13,0)),"-")</f>
        <v>-</v>
      </c>
      <c r="U318" t="str">
        <f>IFERROR(VLOOKUP(S318,Katalog!$A$15:$B$25,2,0),"-")</f>
        <v>-</v>
      </c>
      <c r="V318">
        <f t="shared" si="154"/>
        <v>0</v>
      </c>
      <c r="W318" s="28" t="str">
        <f t="shared" si="155"/>
        <v>-</v>
      </c>
      <c r="X318" s="18">
        <f>IFERROR(VLOOKUP(S318,Katalog!$C$3:$F$13,2,0),0)</f>
        <v>0</v>
      </c>
      <c r="Y318" s="30">
        <f>IFERROR(VLOOKUP(S318,Katalog!$C$3:$F$13,3,0),0)</f>
        <v>0</v>
      </c>
      <c r="Z318" s="2">
        <f t="shared" si="156"/>
        <v>2</v>
      </c>
      <c r="AA318" s="4">
        <f t="shared" si="157"/>
        <v>600000</v>
      </c>
      <c r="AB318" s="4">
        <f t="shared" si="158"/>
        <v>200000</v>
      </c>
      <c r="AC318" s="4" t="s">
        <v>12</v>
      </c>
      <c r="AD318" s="16">
        <f>IFERROR(VLOOKUP(AC318,'Kode Diskon'!$C$2:$D$9,2,0),0)</f>
        <v>0.15</v>
      </c>
      <c r="AE318" s="31">
        <f t="shared" si="159"/>
        <v>90000</v>
      </c>
      <c r="AF318" s="31">
        <f t="shared" si="160"/>
        <v>510000</v>
      </c>
      <c r="AG318" s="31">
        <f t="shared" si="161"/>
        <v>400000</v>
      </c>
      <c r="AH318" s="31">
        <f t="shared" si="162"/>
        <v>310000</v>
      </c>
      <c r="AI318" s="4" t="s">
        <v>28</v>
      </c>
      <c r="AJ318" s="4" t="s">
        <v>6</v>
      </c>
      <c r="AK318" s="4" t="str">
        <f>IFERROR(VLOOKUP(AJ318,'Guide '!$A$13:$B$16,2,0),"-")</f>
        <v>SP</v>
      </c>
      <c r="AL318" s="4" t="s">
        <v>925</v>
      </c>
      <c r="AM318" s="40">
        <v>45412</v>
      </c>
      <c r="AN318">
        <f t="shared" si="163"/>
        <v>29</v>
      </c>
      <c r="AO318">
        <f t="shared" si="164"/>
        <v>32</v>
      </c>
      <c r="AP318">
        <f t="shared" si="165"/>
        <v>40</v>
      </c>
      <c r="AQ318">
        <f t="shared" si="166"/>
        <v>43</v>
      </c>
      <c r="AR318" s="26" t="str">
        <f t="shared" si="167"/>
        <v>-</v>
      </c>
      <c r="AS318" s="26" t="str">
        <f t="shared" si="168"/>
        <v>-</v>
      </c>
      <c r="AT318" s="21">
        <f t="shared" si="169"/>
        <v>12</v>
      </c>
      <c r="AU318" s="21">
        <f t="shared" si="170"/>
        <v>19</v>
      </c>
      <c r="AV318" t="str">
        <f t="shared" si="171"/>
        <v>-</v>
      </c>
      <c r="AW318" t="str">
        <f t="shared" si="172"/>
        <v>-</v>
      </c>
      <c r="AX318" t="str">
        <f t="shared" si="173"/>
        <v>-</v>
      </c>
      <c r="AY318" t="str">
        <f t="shared" si="174"/>
        <v>-</v>
      </c>
      <c r="AZ318" t="str">
        <f t="shared" si="175"/>
        <v>-</v>
      </c>
      <c r="BA318" t="str">
        <f t="shared" si="176"/>
        <v>-</v>
      </c>
      <c r="BB318" t="str">
        <f t="shared" si="177"/>
        <v>-</v>
      </c>
      <c r="BC318" t="str">
        <f t="shared" si="178"/>
        <v>-</v>
      </c>
      <c r="BD318" s="29" t="str">
        <f t="shared" si="179"/>
        <v>-</v>
      </c>
      <c r="BE318" s="29" t="str">
        <f t="shared" si="180"/>
        <v>-</v>
      </c>
    </row>
    <row r="319" spans="1:57" ht="15" x14ac:dyDescent="0.2">
      <c r="A319" s="2">
        <v>572</v>
      </c>
      <c r="B319" s="2" t="str">
        <f t="shared" si="145"/>
        <v>0572</v>
      </c>
      <c r="C319" t="str">
        <f t="shared" si="146"/>
        <v>ORD-TK-0572-30/04/24</v>
      </c>
      <c r="D319" s="3" t="s">
        <v>399</v>
      </c>
      <c r="E319" t="str">
        <f t="shared" si="147"/>
        <v>PW002</v>
      </c>
      <c r="F319" t="str">
        <f>INDEX(Katalog!$B$4:$B$13,MATCH('Main Data'!E319,Katalog!$C$4:$C$13,0))</f>
        <v>Blouse</v>
      </c>
      <c r="G319" t="str">
        <f>VLOOKUP(E319,Katalog!$A$15:$B$25,2,0)</f>
        <v>Pakaian Wanita</v>
      </c>
      <c r="H319" t="str">
        <f t="shared" si="148"/>
        <v>1</v>
      </c>
      <c r="I319" t="str">
        <f t="shared" si="149"/>
        <v>2</v>
      </c>
      <c r="J319" s="18">
        <f>VLOOKUP(E319,Katalog!$C$3:$F$13,2,0)</f>
        <v>125000</v>
      </c>
      <c r="K319" s="18">
        <f>VLOOKUP(E319,Katalog!$C$3:$F$13,3,0)</f>
        <v>50000</v>
      </c>
      <c r="L319" t="str">
        <f t="shared" si="150"/>
        <v>-</v>
      </c>
      <c r="M319" t="str">
        <f>IFERROR(INDEX(Katalog!$B$4:$B$13,MATCH('Main Data'!L319,Katalog!$C$4:$C$13,0)), "-")</f>
        <v>-</v>
      </c>
      <c r="N319" t="str">
        <f>IFERROR(VLOOKUP(L319,Katalog!$A$15:$B$25,2,0),"-")</f>
        <v>-</v>
      </c>
      <c r="O319">
        <f t="shared" si="151"/>
        <v>0</v>
      </c>
      <c r="P319" t="str">
        <f t="shared" si="152"/>
        <v>-</v>
      </c>
      <c r="Q319" s="18">
        <f>IFERROR(VLOOKUP(L319,Katalog!$C$3:$F$13,2,0),0)</f>
        <v>0</v>
      </c>
      <c r="R319" s="18">
        <f>IFERROR(VLOOKUP(L319,Katalog!$C$3:$F$13,3,0),0)</f>
        <v>0</v>
      </c>
      <c r="S319" t="str">
        <f t="shared" si="153"/>
        <v>-</v>
      </c>
      <c r="T319" t="str">
        <f>IFERROR(INDEX(Katalog!$B$4:$B$13,MATCH('Main Data'!S319,Katalog!$C$4:$C$13,0)),"-")</f>
        <v>-</v>
      </c>
      <c r="U319" t="str">
        <f>IFERROR(VLOOKUP(S319,Katalog!$A$15:$B$25,2,0),"-")</f>
        <v>-</v>
      </c>
      <c r="V319">
        <f t="shared" si="154"/>
        <v>0</v>
      </c>
      <c r="W319" s="28" t="str">
        <f t="shared" si="155"/>
        <v>-</v>
      </c>
      <c r="X319" s="18">
        <f>IFERROR(VLOOKUP(S319,Katalog!$C$3:$F$13,2,0),0)</f>
        <v>0</v>
      </c>
      <c r="Y319" s="30">
        <f>IFERROR(VLOOKUP(S319,Katalog!$C$3:$F$13,3,0),0)</f>
        <v>0</v>
      </c>
      <c r="Z319" s="2">
        <f t="shared" si="156"/>
        <v>1</v>
      </c>
      <c r="AA319" s="4">
        <f t="shared" si="157"/>
        <v>125000</v>
      </c>
      <c r="AB319" s="4">
        <f t="shared" si="158"/>
        <v>50000</v>
      </c>
      <c r="AC319" s="4" t="s">
        <v>29</v>
      </c>
      <c r="AD319" s="16">
        <f>IFERROR(VLOOKUP(AC319,'Kode Diskon'!$C$2:$D$9,2,0),0)</f>
        <v>0.1</v>
      </c>
      <c r="AE319" s="31">
        <f t="shared" si="159"/>
        <v>12500</v>
      </c>
      <c r="AF319" s="31">
        <f t="shared" si="160"/>
        <v>112500</v>
      </c>
      <c r="AG319" s="31">
        <f t="shared" si="161"/>
        <v>75000</v>
      </c>
      <c r="AH319" s="31">
        <f t="shared" si="162"/>
        <v>62500</v>
      </c>
      <c r="AI319" s="4" t="s">
        <v>28</v>
      </c>
      <c r="AJ319" s="4" t="s">
        <v>9</v>
      </c>
      <c r="AK319" s="4" t="str">
        <f>IFERROR(VLOOKUP(AJ319,'Guide '!$A$13:$B$16,2,0),"-")</f>
        <v>TK</v>
      </c>
      <c r="AL319" s="4" t="s">
        <v>921</v>
      </c>
      <c r="AM319" s="40">
        <v>45412</v>
      </c>
      <c r="AN319">
        <f t="shared" si="163"/>
        <v>29</v>
      </c>
      <c r="AO319">
        <f t="shared" si="164"/>
        <v>32</v>
      </c>
      <c r="AP319">
        <f t="shared" si="165"/>
        <v>40</v>
      </c>
      <c r="AQ319">
        <f t="shared" si="166"/>
        <v>43</v>
      </c>
      <c r="AR319" s="26" t="str">
        <f t="shared" si="167"/>
        <v>-</v>
      </c>
      <c r="AS319" s="26" t="str">
        <f t="shared" si="168"/>
        <v>-</v>
      </c>
      <c r="AT319" s="21">
        <f t="shared" si="169"/>
        <v>12</v>
      </c>
      <c r="AU319" s="21">
        <f t="shared" si="170"/>
        <v>19</v>
      </c>
      <c r="AV319" t="str">
        <f t="shared" si="171"/>
        <v>-</v>
      </c>
      <c r="AW319" t="str">
        <f t="shared" si="172"/>
        <v>-</v>
      </c>
      <c r="AX319" t="str">
        <f t="shared" si="173"/>
        <v>-</v>
      </c>
      <c r="AY319" t="str">
        <f t="shared" si="174"/>
        <v>-</v>
      </c>
      <c r="AZ319" t="str">
        <f t="shared" si="175"/>
        <v>-</v>
      </c>
      <c r="BA319" t="str">
        <f t="shared" si="176"/>
        <v>-</v>
      </c>
      <c r="BB319" t="str">
        <f t="shared" si="177"/>
        <v>-</v>
      </c>
      <c r="BC319" t="str">
        <f t="shared" si="178"/>
        <v>-</v>
      </c>
      <c r="BD319" s="29" t="str">
        <f t="shared" si="179"/>
        <v>-</v>
      </c>
      <c r="BE319" s="29" t="str">
        <f t="shared" si="180"/>
        <v>-</v>
      </c>
    </row>
    <row r="320" spans="1:57" ht="15" x14ac:dyDescent="0.2">
      <c r="A320" s="2">
        <v>697</v>
      </c>
      <c r="B320" s="2" t="str">
        <f t="shared" si="145"/>
        <v>0697</v>
      </c>
      <c r="C320" t="str">
        <f t="shared" si="146"/>
        <v>ORD-TK-0697-30/04/24</v>
      </c>
      <c r="D320" s="3" t="s">
        <v>691</v>
      </c>
      <c r="E320" t="str">
        <f t="shared" si="147"/>
        <v>SP001</v>
      </c>
      <c r="F320" t="str">
        <f>INDEX(Katalog!$B$4:$B$13,MATCH('Main Data'!E320,Katalog!$C$4:$C$13,0))</f>
        <v>Sneakers</v>
      </c>
      <c r="G320" t="str">
        <f>VLOOKUP(E320,Katalog!$A$15:$B$25,2,0)</f>
        <v>Sepatu Pria</v>
      </c>
      <c r="H320" t="str">
        <f t="shared" si="148"/>
        <v>2</v>
      </c>
      <c r="I320" t="str">
        <f t="shared" si="149"/>
        <v>3</v>
      </c>
      <c r="J320" s="18">
        <f>VLOOKUP(E320,Katalog!$C$3:$F$13,2,0)</f>
        <v>300000</v>
      </c>
      <c r="K320" s="18">
        <f>VLOOKUP(E320,Katalog!$C$3:$F$13,3,0)</f>
        <v>100000</v>
      </c>
      <c r="L320" t="str">
        <f t="shared" si="150"/>
        <v>-</v>
      </c>
      <c r="M320" t="str">
        <f>IFERROR(INDEX(Katalog!$B$4:$B$13,MATCH('Main Data'!L320,Katalog!$C$4:$C$13,0)), "-")</f>
        <v>-</v>
      </c>
      <c r="N320" t="str">
        <f>IFERROR(VLOOKUP(L320,Katalog!$A$15:$B$25,2,0),"-")</f>
        <v>-</v>
      </c>
      <c r="O320">
        <f t="shared" si="151"/>
        <v>0</v>
      </c>
      <c r="P320" t="str">
        <f t="shared" si="152"/>
        <v>-</v>
      </c>
      <c r="Q320" s="18">
        <f>IFERROR(VLOOKUP(L320,Katalog!$C$3:$F$13,2,0),0)</f>
        <v>0</v>
      </c>
      <c r="R320" s="18">
        <f>IFERROR(VLOOKUP(L320,Katalog!$C$3:$F$13,3,0),0)</f>
        <v>0</v>
      </c>
      <c r="S320" t="str">
        <f t="shared" si="153"/>
        <v>-</v>
      </c>
      <c r="T320" t="str">
        <f>IFERROR(INDEX(Katalog!$B$4:$B$13,MATCH('Main Data'!S320,Katalog!$C$4:$C$13,0)),"-")</f>
        <v>-</v>
      </c>
      <c r="U320" t="str">
        <f>IFERROR(VLOOKUP(S320,Katalog!$A$15:$B$25,2,0),"-")</f>
        <v>-</v>
      </c>
      <c r="V320">
        <f t="shared" si="154"/>
        <v>0</v>
      </c>
      <c r="W320" s="28" t="str">
        <f t="shared" si="155"/>
        <v>-</v>
      </c>
      <c r="X320" s="18">
        <f>IFERROR(VLOOKUP(S320,Katalog!$C$3:$F$13,2,0),0)</f>
        <v>0</v>
      </c>
      <c r="Y320" s="30">
        <f>IFERROR(VLOOKUP(S320,Katalog!$C$3:$F$13,3,0),0)</f>
        <v>0</v>
      </c>
      <c r="Z320" s="2">
        <f t="shared" si="156"/>
        <v>2</v>
      </c>
      <c r="AA320" s="4">
        <f t="shared" si="157"/>
        <v>600000</v>
      </c>
      <c r="AB320" s="4">
        <f t="shared" si="158"/>
        <v>200000</v>
      </c>
      <c r="AC320" s="4" t="s">
        <v>29</v>
      </c>
      <c r="AD320" s="16">
        <f>IFERROR(VLOOKUP(AC320,'Kode Diskon'!$C$2:$D$9,2,0),0)</f>
        <v>0.1</v>
      </c>
      <c r="AE320" s="31">
        <f t="shared" si="159"/>
        <v>60000</v>
      </c>
      <c r="AF320" s="31">
        <f t="shared" si="160"/>
        <v>540000</v>
      </c>
      <c r="AG320" s="31">
        <f t="shared" si="161"/>
        <v>400000</v>
      </c>
      <c r="AH320" s="31">
        <f t="shared" si="162"/>
        <v>340000</v>
      </c>
      <c r="AI320" s="4" t="s">
        <v>28</v>
      </c>
      <c r="AJ320" s="4" t="s">
        <v>9</v>
      </c>
      <c r="AK320" s="4" t="str">
        <f>IFERROR(VLOOKUP(AJ320,'Guide '!$A$13:$B$16,2,0),"-")</f>
        <v>TK</v>
      </c>
      <c r="AL320" s="4" t="s">
        <v>921</v>
      </c>
      <c r="AM320" s="40">
        <v>45412</v>
      </c>
      <c r="AN320">
        <f t="shared" si="163"/>
        <v>29</v>
      </c>
      <c r="AO320">
        <f t="shared" si="164"/>
        <v>32</v>
      </c>
      <c r="AP320">
        <f t="shared" si="165"/>
        <v>40</v>
      </c>
      <c r="AQ320">
        <f t="shared" si="166"/>
        <v>43</v>
      </c>
      <c r="AR320" s="26" t="str">
        <f t="shared" si="167"/>
        <v>-</v>
      </c>
      <c r="AS320" s="26" t="str">
        <f t="shared" si="168"/>
        <v>-</v>
      </c>
      <c r="AT320" s="21">
        <f t="shared" si="169"/>
        <v>12</v>
      </c>
      <c r="AU320" s="21">
        <f t="shared" si="170"/>
        <v>19</v>
      </c>
      <c r="AV320" t="str">
        <f t="shared" si="171"/>
        <v>-</v>
      </c>
      <c r="AW320" t="str">
        <f t="shared" si="172"/>
        <v>-</v>
      </c>
      <c r="AX320" t="str">
        <f t="shared" si="173"/>
        <v>-</v>
      </c>
      <c r="AY320" t="str">
        <f t="shared" si="174"/>
        <v>-</v>
      </c>
      <c r="AZ320" t="str">
        <f t="shared" si="175"/>
        <v>-</v>
      </c>
      <c r="BA320" t="str">
        <f t="shared" si="176"/>
        <v>-</v>
      </c>
      <c r="BB320" t="str">
        <f t="shared" si="177"/>
        <v>-</v>
      </c>
      <c r="BC320" t="str">
        <f t="shared" si="178"/>
        <v>-</v>
      </c>
      <c r="BD320" s="29" t="str">
        <f t="shared" si="179"/>
        <v>-</v>
      </c>
      <c r="BE320" s="29" t="str">
        <f t="shared" si="180"/>
        <v>-</v>
      </c>
    </row>
    <row r="321" spans="1:57" ht="15" x14ac:dyDescent="0.2">
      <c r="A321" s="2">
        <v>35</v>
      </c>
      <c r="B321" s="2" t="str">
        <f t="shared" si="145"/>
        <v>0035</v>
      </c>
      <c r="C321" t="str">
        <f t="shared" si="146"/>
        <v>ORD-TK-0035-01/05/24</v>
      </c>
      <c r="D321" s="3" t="s">
        <v>109</v>
      </c>
      <c r="E321" t="str">
        <f t="shared" si="147"/>
        <v>PW003</v>
      </c>
      <c r="F321" t="str">
        <f>INDEX(Katalog!$B$4:$B$13,MATCH('Main Data'!E321,Katalog!$C$4:$C$13,0))</f>
        <v>Kaftan</v>
      </c>
      <c r="G321" t="str">
        <f>VLOOKUP(E321,Katalog!$A$15:$B$25,2,0)</f>
        <v>Pakaian Wanita</v>
      </c>
      <c r="H321" t="str">
        <f t="shared" si="148"/>
        <v>2</v>
      </c>
      <c r="I321" t="str">
        <f t="shared" si="149"/>
        <v>2</v>
      </c>
      <c r="J321" s="18">
        <f>VLOOKUP(E321,Katalog!$C$3:$F$13,2,0)</f>
        <v>200000</v>
      </c>
      <c r="K321" s="18">
        <f>VLOOKUP(E321,Katalog!$C$3:$F$13,3,0)</f>
        <v>100000</v>
      </c>
      <c r="L321" t="str">
        <f t="shared" si="150"/>
        <v>PP003</v>
      </c>
      <c r="M321" t="str">
        <f>IFERROR(INDEX(Katalog!$B$4:$B$13,MATCH('Main Data'!L321,Katalog!$C$4:$C$13,0)), "-")</f>
        <v>Jaket Jeans</v>
      </c>
      <c r="N321" t="str">
        <f>IFERROR(VLOOKUP(L321,Katalog!$A$15:$B$25,2,0),"-")</f>
        <v>Pakaian Pria</v>
      </c>
      <c r="O321" t="str">
        <f t="shared" si="151"/>
        <v>1</v>
      </c>
      <c r="P321" t="str">
        <f t="shared" si="152"/>
        <v>2</v>
      </c>
      <c r="Q321" s="18">
        <f>IFERROR(VLOOKUP(L321,Katalog!$C$3:$F$13,2,0),0)</f>
        <v>150000</v>
      </c>
      <c r="R321" s="18">
        <f>IFERROR(VLOOKUP(L321,Katalog!$C$3:$F$13,3,0),0)</f>
        <v>70000</v>
      </c>
      <c r="S321" t="str">
        <f t="shared" si="153"/>
        <v>-</v>
      </c>
      <c r="T321" t="str">
        <f>IFERROR(INDEX(Katalog!$B$4:$B$13,MATCH('Main Data'!S321,Katalog!$C$4:$C$13,0)),"-")</f>
        <v>-</v>
      </c>
      <c r="U321" t="str">
        <f>IFERROR(VLOOKUP(S321,Katalog!$A$15:$B$25,2,0),"-")</f>
        <v>-</v>
      </c>
      <c r="V321">
        <f t="shared" si="154"/>
        <v>0</v>
      </c>
      <c r="W321" s="28" t="str">
        <f t="shared" si="155"/>
        <v>-</v>
      </c>
      <c r="X321" s="18">
        <f>IFERROR(VLOOKUP(S321,Katalog!$C$3:$F$13,2,0),0)</f>
        <v>0</v>
      </c>
      <c r="Y321" s="30">
        <f>IFERROR(VLOOKUP(S321,Katalog!$C$3:$F$13,3,0),0)</f>
        <v>0</v>
      </c>
      <c r="Z321" s="2">
        <f t="shared" si="156"/>
        <v>3</v>
      </c>
      <c r="AA321" s="4">
        <f t="shared" si="157"/>
        <v>550000</v>
      </c>
      <c r="AB321" s="4">
        <f t="shared" si="158"/>
        <v>270000</v>
      </c>
      <c r="AC321" s="4" t="s">
        <v>29</v>
      </c>
      <c r="AD321" s="16">
        <f>IFERROR(VLOOKUP(AC321,'Kode Diskon'!$C$2:$D$9,2,0),0)</f>
        <v>0.1</v>
      </c>
      <c r="AE321" s="31">
        <f t="shared" si="159"/>
        <v>55000</v>
      </c>
      <c r="AF321" s="31">
        <f t="shared" si="160"/>
        <v>495000</v>
      </c>
      <c r="AG321" s="31">
        <f t="shared" si="161"/>
        <v>280000</v>
      </c>
      <c r="AH321" s="31">
        <f t="shared" si="162"/>
        <v>225000</v>
      </c>
      <c r="AI321" s="4" t="s">
        <v>28</v>
      </c>
      <c r="AJ321" s="4" t="s">
        <v>9</v>
      </c>
      <c r="AK321" s="4" t="str">
        <f>IFERROR(VLOOKUP(AJ321,'Guide '!$A$13:$B$16,2,0),"-")</f>
        <v>TK</v>
      </c>
      <c r="AL321" s="4" t="s">
        <v>925</v>
      </c>
      <c r="AM321" s="40">
        <v>45413</v>
      </c>
      <c r="AN321">
        <f t="shared" si="163"/>
        <v>29</v>
      </c>
      <c r="AO321">
        <f t="shared" si="164"/>
        <v>32</v>
      </c>
      <c r="AP321">
        <f t="shared" si="165"/>
        <v>40</v>
      </c>
      <c r="AQ321">
        <f t="shared" si="166"/>
        <v>43</v>
      </c>
      <c r="AR321" s="26">
        <f t="shared" si="167"/>
        <v>56</v>
      </c>
      <c r="AS321" s="26">
        <f t="shared" si="168"/>
        <v>63</v>
      </c>
      <c r="AT321" s="21">
        <f t="shared" si="169"/>
        <v>12</v>
      </c>
      <c r="AU321" s="21">
        <f t="shared" si="170"/>
        <v>19</v>
      </c>
      <c r="AV321">
        <f t="shared" si="171"/>
        <v>73</v>
      </c>
      <c r="AW321">
        <f t="shared" si="172"/>
        <v>76</v>
      </c>
      <c r="AX321">
        <f t="shared" si="173"/>
        <v>84</v>
      </c>
      <c r="AY321">
        <f t="shared" si="174"/>
        <v>87</v>
      </c>
      <c r="AZ321" t="str">
        <f t="shared" si="175"/>
        <v>-</v>
      </c>
      <c r="BA321" t="str">
        <f t="shared" si="176"/>
        <v>-</v>
      </c>
      <c r="BB321" t="str">
        <f t="shared" si="177"/>
        <v>-</v>
      </c>
      <c r="BC321" t="str">
        <f t="shared" si="178"/>
        <v>-</v>
      </c>
      <c r="BD321" s="29" t="str">
        <f t="shared" si="179"/>
        <v>-</v>
      </c>
      <c r="BE321" s="29" t="str">
        <f t="shared" si="180"/>
        <v>-</v>
      </c>
    </row>
    <row r="322" spans="1:57" ht="15" x14ac:dyDescent="0.2">
      <c r="A322" s="2">
        <v>99</v>
      </c>
      <c r="B322" s="2" t="str">
        <f t="shared" si="145"/>
        <v>0099</v>
      </c>
      <c r="C322" t="str">
        <f t="shared" si="146"/>
        <v>ORD-TK-0099-01/05/24</v>
      </c>
      <c r="D322" s="3" t="s">
        <v>171</v>
      </c>
      <c r="E322" t="str">
        <f t="shared" si="147"/>
        <v>PP002</v>
      </c>
      <c r="F322" t="str">
        <f>INDEX(Katalog!$B$4:$B$13,MATCH('Main Data'!E322,Katalog!$C$4:$C$13,0))</f>
        <v>Celana Pendek</v>
      </c>
      <c r="G322" t="str">
        <f>VLOOKUP(E322,Katalog!$A$15:$B$25,2,0)</f>
        <v>Pakaian Pria</v>
      </c>
      <c r="H322" t="str">
        <f t="shared" si="148"/>
        <v>3</v>
      </c>
      <c r="I322" t="str">
        <f t="shared" si="149"/>
        <v>5</v>
      </c>
      <c r="J322" s="18">
        <f>VLOOKUP(E322,Katalog!$C$3:$F$13,2,0)</f>
        <v>60000</v>
      </c>
      <c r="K322" s="18">
        <f>VLOOKUP(E322,Katalog!$C$3:$F$13,3,0)</f>
        <v>25000</v>
      </c>
      <c r="L322" t="str">
        <f t="shared" si="150"/>
        <v>PW002</v>
      </c>
      <c r="M322" t="str">
        <f>IFERROR(INDEX(Katalog!$B$4:$B$13,MATCH('Main Data'!L322,Katalog!$C$4:$C$13,0)), "-")</f>
        <v>Blouse</v>
      </c>
      <c r="N322" t="str">
        <f>IFERROR(VLOOKUP(L322,Katalog!$A$15:$B$25,2,0),"-")</f>
        <v>Pakaian Wanita</v>
      </c>
      <c r="O322" t="str">
        <f t="shared" si="151"/>
        <v>1</v>
      </c>
      <c r="P322" t="str">
        <f t="shared" si="152"/>
        <v>5</v>
      </c>
      <c r="Q322" s="18">
        <f>IFERROR(VLOOKUP(L322,Katalog!$C$3:$F$13,2,0),0)</f>
        <v>125000</v>
      </c>
      <c r="R322" s="18">
        <f>IFERROR(VLOOKUP(L322,Katalog!$C$3:$F$13,3,0),0)</f>
        <v>50000</v>
      </c>
      <c r="S322" t="str">
        <f t="shared" si="153"/>
        <v>PP002</v>
      </c>
      <c r="T322" t="str">
        <f>IFERROR(INDEX(Katalog!$B$4:$B$13,MATCH('Main Data'!S322,Katalog!$C$4:$C$13,0)),"-")</f>
        <v>Celana Pendek</v>
      </c>
      <c r="U322" t="str">
        <f>IFERROR(VLOOKUP(S322,Katalog!$A$15:$B$25,2,0),"-")</f>
        <v>Pakaian Pria</v>
      </c>
      <c r="V322" t="str">
        <f t="shared" si="154"/>
        <v>1</v>
      </c>
      <c r="W322" s="28" t="str">
        <f t="shared" si="155"/>
        <v>3</v>
      </c>
      <c r="X322" s="18">
        <f>IFERROR(VLOOKUP(S322,Katalog!$C$3:$F$13,2,0),0)</f>
        <v>60000</v>
      </c>
      <c r="Y322" s="30">
        <f>IFERROR(VLOOKUP(S322,Katalog!$C$3:$F$13,3,0),0)</f>
        <v>25000</v>
      </c>
      <c r="Z322" s="2">
        <f t="shared" si="156"/>
        <v>5</v>
      </c>
      <c r="AA322" s="4">
        <f t="shared" si="157"/>
        <v>365000</v>
      </c>
      <c r="AB322" s="4">
        <f t="shared" si="158"/>
        <v>150000</v>
      </c>
      <c r="AC322" s="4" t="s">
        <v>29</v>
      </c>
      <c r="AD322" s="16">
        <f>IFERROR(VLOOKUP(AC322,'Kode Diskon'!$C$2:$D$9,2,0),0)</f>
        <v>0.1</v>
      </c>
      <c r="AE322" s="31">
        <f t="shared" si="159"/>
        <v>36500</v>
      </c>
      <c r="AF322" s="31">
        <f t="shared" si="160"/>
        <v>328500</v>
      </c>
      <c r="AG322" s="31">
        <f t="shared" si="161"/>
        <v>215000</v>
      </c>
      <c r="AH322" s="31">
        <f t="shared" si="162"/>
        <v>178500</v>
      </c>
      <c r="AI322" s="4" t="s">
        <v>28</v>
      </c>
      <c r="AJ322" s="4" t="s">
        <v>9</v>
      </c>
      <c r="AK322" s="4" t="str">
        <f>IFERROR(VLOOKUP(AJ322,'Guide '!$A$13:$B$16,2,0),"-")</f>
        <v>TK</v>
      </c>
      <c r="AL322" s="4" t="s">
        <v>924</v>
      </c>
      <c r="AM322" s="40">
        <v>45413</v>
      </c>
      <c r="AN322">
        <f t="shared" si="163"/>
        <v>29</v>
      </c>
      <c r="AO322">
        <f t="shared" si="164"/>
        <v>32</v>
      </c>
      <c r="AP322">
        <f t="shared" si="165"/>
        <v>40</v>
      </c>
      <c r="AQ322">
        <f t="shared" si="166"/>
        <v>43</v>
      </c>
      <c r="AR322" s="26">
        <f t="shared" si="167"/>
        <v>56</v>
      </c>
      <c r="AS322" s="26">
        <f t="shared" si="168"/>
        <v>63</v>
      </c>
      <c r="AT322" s="21">
        <f t="shared" si="169"/>
        <v>12</v>
      </c>
      <c r="AU322" s="21">
        <f t="shared" si="170"/>
        <v>19</v>
      </c>
      <c r="AV322">
        <f t="shared" si="171"/>
        <v>73</v>
      </c>
      <c r="AW322">
        <f t="shared" si="172"/>
        <v>76</v>
      </c>
      <c r="AX322">
        <f t="shared" si="173"/>
        <v>84</v>
      </c>
      <c r="AY322">
        <f t="shared" si="174"/>
        <v>87</v>
      </c>
      <c r="AZ322">
        <f t="shared" si="175"/>
        <v>100</v>
      </c>
      <c r="BA322">
        <f t="shared" si="176"/>
        <v>107</v>
      </c>
      <c r="BB322">
        <f t="shared" si="177"/>
        <v>117</v>
      </c>
      <c r="BC322">
        <f t="shared" si="178"/>
        <v>120</v>
      </c>
      <c r="BD322" s="29">
        <f t="shared" si="179"/>
        <v>128</v>
      </c>
      <c r="BE322" s="29">
        <f t="shared" si="180"/>
        <v>131</v>
      </c>
    </row>
    <row r="323" spans="1:57" ht="15" x14ac:dyDescent="0.2">
      <c r="A323" s="2">
        <v>161</v>
      </c>
      <c r="B323" s="2" t="str">
        <f t="shared" ref="B323:B386" si="181">TEXT(A323,"0000")</f>
        <v>0161</v>
      </c>
      <c r="C323" t="str">
        <f t="shared" ref="C323:C386" si="182">CONCATENATE("ORD","-",AK323,"-",B323,"-",TEXT(AM323,"dd/mm/yy"))</f>
        <v>ORD-SP-0161-01/05/24</v>
      </c>
      <c r="D323" s="3" t="s">
        <v>230</v>
      </c>
      <c r="E323" t="str">
        <f t="shared" ref="E323:E386" si="183">MID(D323,AT323+2,AU323-AT323-2)</f>
        <v>PP003</v>
      </c>
      <c r="F323" t="str">
        <f>INDEX(Katalog!$B$4:$B$13,MATCH('Main Data'!E323,Katalog!$C$4:$C$13,0))</f>
        <v>Jaket Jeans</v>
      </c>
      <c r="G323" t="str">
        <f>VLOOKUP(E323,Katalog!$A$15:$B$25,2,0)</f>
        <v>Pakaian Pria</v>
      </c>
      <c r="H323" t="str">
        <f t="shared" ref="H323:H386" si="184">MID(D323,AN323+2,AO323-AN323-2)</f>
        <v>3</v>
      </c>
      <c r="I323" t="str">
        <f t="shared" ref="I323:I386" si="185">MID(D323,AP323+2,AQ323-AP323-2)</f>
        <v>2</v>
      </c>
      <c r="J323" s="18">
        <f>VLOOKUP(E323,Katalog!$C$3:$F$13,2,0)</f>
        <v>150000</v>
      </c>
      <c r="K323" s="18">
        <f>VLOOKUP(E323,Katalog!$C$3:$F$13,3,0)</f>
        <v>70000</v>
      </c>
      <c r="L323" t="str">
        <f t="shared" ref="L323:L386" si="186">IFERROR(MID(D323,AR323+2,AS323-AR323-2),"-")</f>
        <v>SW001</v>
      </c>
      <c r="M323" t="str">
        <f>IFERROR(INDEX(Katalog!$B$4:$B$13,MATCH('Main Data'!L323,Katalog!$C$4:$C$13,0)), "-")</f>
        <v>Flat Shoes</v>
      </c>
      <c r="N323" t="str">
        <f>IFERROR(VLOOKUP(L323,Katalog!$A$15:$B$25,2,0),"-")</f>
        <v>Sepatu Wanita</v>
      </c>
      <c r="O323" t="str">
        <f t="shared" ref="O323:O386" si="187">IFERROR(MID(D323,AV323+2,AW323-AV323-2),0)</f>
        <v>1</v>
      </c>
      <c r="P323" t="str">
        <f t="shared" ref="P323:P386" si="188">IFERROR(MID(D323,AX323+2,AY323-AX323-2),"-")</f>
        <v>5</v>
      </c>
      <c r="Q323" s="18">
        <f>IFERROR(VLOOKUP(L323,Katalog!$C$3:$F$13,2,0),0)</f>
        <v>150000</v>
      </c>
      <c r="R323" s="18">
        <f>IFERROR(VLOOKUP(L323,Katalog!$C$3:$F$13,3,0),0)</f>
        <v>70000</v>
      </c>
      <c r="S323" t="str">
        <f t="shared" ref="S323:S386" si="189">IFERROR(MID(D323,AZ323+2,BA323-AZ323-2),"-")</f>
        <v>-</v>
      </c>
      <c r="T323" t="str">
        <f>IFERROR(INDEX(Katalog!$B$4:$B$13,MATCH('Main Data'!S323,Katalog!$C$4:$C$13,0)),"-")</f>
        <v>-</v>
      </c>
      <c r="U323" t="str">
        <f>IFERROR(VLOOKUP(S323,Katalog!$A$15:$B$25,2,0),"-")</f>
        <v>-</v>
      </c>
      <c r="V323">
        <f t="shared" ref="V323:V386" si="190">IFERROR(MID(D323,BB323+2,BC323-BB323-2),0)</f>
        <v>0</v>
      </c>
      <c r="W323" s="28" t="str">
        <f t="shared" ref="W323:W386" si="191">IFERROR(MID(D323,BD323+2,BE323-BD323-2),"-")</f>
        <v>-</v>
      </c>
      <c r="X323" s="18">
        <f>IFERROR(VLOOKUP(S323,Katalog!$C$3:$F$13,2,0),0)</f>
        <v>0</v>
      </c>
      <c r="Y323" s="30">
        <f>IFERROR(VLOOKUP(S323,Katalog!$C$3:$F$13,3,0),0)</f>
        <v>0</v>
      </c>
      <c r="Z323" s="2">
        <f t="shared" ref="Z323:Z386" si="192">H323+O323+V323</f>
        <v>4</v>
      </c>
      <c r="AA323" s="4">
        <f t="shared" ref="AA323:AA386" si="193">J323*H323+Q323*O323+X323*V323</f>
        <v>600000</v>
      </c>
      <c r="AB323" s="4">
        <f t="shared" ref="AB323:AB386" si="194">K323*H323+R323*O323+Y323*V323</f>
        <v>280000</v>
      </c>
      <c r="AC323" s="4" t="s">
        <v>7</v>
      </c>
      <c r="AD323" s="16">
        <f>IFERROR(VLOOKUP(AC323,'Kode Diskon'!$C$2:$D$9,2,0),0)</f>
        <v>0.2</v>
      </c>
      <c r="AE323" s="31">
        <f t="shared" ref="AE323:AE386" si="195">AA323*AD323</f>
        <v>120000</v>
      </c>
      <c r="AF323" s="31">
        <f t="shared" ref="AF323:AF386" si="196">AA323-AE323</f>
        <v>480000</v>
      </c>
      <c r="AG323" s="31">
        <f t="shared" ref="AG323:AG386" si="197">AA323-AB323</f>
        <v>320000</v>
      </c>
      <c r="AH323" s="31">
        <f t="shared" ref="AH323:AH386" si="198">AF323-AB323</f>
        <v>200000</v>
      </c>
      <c r="AI323" s="4" t="s">
        <v>8</v>
      </c>
      <c r="AJ323" s="4" t="s">
        <v>6</v>
      </c>
      <c r="AK323" s="4" t="str">
        <f>IFERROR(VLOOKUP(AJ323,'Guide '!$A$13:$B$16,2,0),"-")</f>
        <v>SP</v>
      </c>
      <c r="AL323" s="4" t="s">
        <v>921</v>
      </c>
      <c r="AM323" s="40">
        <v>45413</v>
      </c>
      <c r="AN323">
        <f t="shared" ref="AN323:AN386" si="199">FIND(":",D323,AT323+1)</f>
        <v>29</v>
      </c>
      <c r="AO323">
        <f t="shared" ref="AO323:AO386" si="200">FIND(",",D323,AU323+1)</f>
        <v>32</v>
      </c>
      <c r="AP323">
        <f t="shared" ref="AP323:AP386" si="201">FIND(":",D323,AN323+1)</f>
        <v>40</v>
      </c>
      <c r="AQ323">
        <f t="shared" ref="AQ323:AQ386" si="202">FIND("}",D323,AO323+1)</f>
        <v>43</v>
      </c>
      <c r="AR323" s="26">
        <f t="shared" ref="AR323:AR386" si="203">IFERROR(FIND(":",D323,AP323+1),"-")</f>
        <v>56</v>
      </c>
      <c r="AS323" s="26">
        <f t="shared" ref="AS323:AS386" si="204">IFERROR(FIND(",",D323,AQ323+2),"-")</f>
        <v>63</v>
      </c>
      <c r="AT323" s="21">
        <f t="shared" ref="AT323:AT386" si="205">FIND(":",D323)</f>
        <v>12</v>
      </c>
      <c r="AU323" s="21">
        <f t="shared" ref="AU323:AU386" si="206">FIND(",",D323)</f>
        <v>19</v>
      </c>
      <c r="AV323">
        <f t="shared" ref="AV323:AV386" si="207">IFERROR(FIND(":",D323,AR323+1),"-")</f>
        <v>73</v>
      </c>
      <c r="AW323">
        <f t="shared" ref="AW323:AW386" si="208">IFERROR(FIND(",",D323,AS323+1),"-")</f>
        <v>76</v>
      </c>
      <c r="AX323">
        <f t="shared" ref="AX323:AX386" si="209">IFERROR(FIND(":",D323,AV323+1),"-")</f>
        <v>84</v>
      </c>
      <c r="AY323">
        <f t="shared" ref="AY323:AY386" si="210">IFERROR(FIND("}",D323,AW323+1),"-")</f>
        <v>87</v>
      </c>
      <c r="AZ323" t="str">
        <f t="shared" ref="AZ323:AZ386" si="211">IFERROR(FIND(":",D323,AX323+1),"-")</f>
        <v>-</v>
      </c>
      <c r="BA323" t="str">
        <f t="shared" ref="BA323:BA386" si="212">IFERROR(FIND(",",D323,AY323+2),"-")</f>
        <v>-</v>
      </c>
      <c r="BB323" t="str">
        <f t="shared" ref="BB323:BB386" si="213">IFERROR(FIND(":",D323,AZ323+1),"-")</f>
        <v>-</v>
      </c>
      <c r="BC323" t="str">
        <f t="shared" ref="BC323:BC386" si="214">IFERROR(FIND(",",D323,BA323+1),"-")</f>
        <v>-</v>
      </c>
      <c r="BD323" s="29" t="str">
        <f t="shared" ref="BD323:BD386" si="215">IFERROR(FIND(":",D323,BB323+1),"-")</f>
        <v>-</v>
      </c>
      <c r="BE323" s="29" t="str">
        <f t="shared" ref="BE323:BE386" si="216">IFERROR(FIND("}",D323,BC323+1),"-")</f>
        <v>-</v>
      </c>
    </row>
    <row r="324" spans="1:57" ht="15" x14ac:dyDescent="0.2">
      <c r="A324" s="2">
        <v>205</v>
      </c>
      <c r="B324" s="2" t="str">
        <f t="shared" si="181"/>
        <v>0205</v>
      </c>
      <c r="C324" t="str">
        <f t="shared" si="182"/>
        <v>ORD-BL-0205-01/05/24</v>
      </c>
      <c r="D324" s="3" t="s">
        <v>274</v>
      </c>
      <c r="E324" t="str">
        <f t="shared" si="183"/>
        <v>SP002</v>
      </c>
      <c r="F324" t="str">
        <f>INDEX(Katalog!$B$4:$B$13,MATCH('Main Data'!E324,Katalog!$C$4:$C$13,0))</f>
        <v>Sandal Slip On</v>
      </c>
      <c r="G324" t="str">
        <f>VLOOKUP(E324,Katalog!$A$15:$B$25,2,0)</f>
        <v>Sepatu Pria</v>
      </c>
      <c r="H324" t="str">
        <f t="shared" si="184"/>
        <v>1</v>
      </c>
      <c r="I324" t="str">
        <f t="shared" si="185"/>
        <v>5</v>
      </c>
      <c r="J324" s="18">
        <f>VLOOKUP(E324,Katalog!$C$3:$F$13,2,0)</f>
        <v>120000</v>
      </c>
      <c r="K324" s="18">
        <f>VLOOKUP(E324,Katalog!$C$3:$F$13,3,0)</f>
        <v>60000</v>
      </c>
      <c r="L324" t="str">
        <f t="shared" si="186"/>
        <v>-</v>
      </c>
      <c r="M324" t="str">
        <f>IFERROR(INDEX(Katalog!$B$4:$B$13,MATCH('Main Data'!L324,Katalog!$C$4:$C$13,0)), "-")</f>
        <v>-</v>
      </c>
      <c r="N324" t="str">
        <f>IFERROR(VLOOKUP(L324,Katalog!$A$15:$B$25,2,0),"-")</f>
        <v>-</v>
      </c>
      <c r="O324">
        <f t="shared" si="187"/>
        <v>0</v>
      </c>
      <c r="P324" t="str">
        <f t="shared" si="188"/>
        <v>-</v>
      </c>
      <c r="Q324" s="18">
        <f>IFERROR(VLOOKUP(L324,Katalog!$C$3:$F$13,2,0),0)</f>
        <v>0</v>
      </c>
      <c r="R324" s="18">
        <f>IFERROR(VLOOKUP(L324,Katalog!$C$3:$F$13,3,0),0)</f>
        <v>0</v>
      </c>
      <c r="S324" t="str">
        <f t="shared" si="189"/>
        <v>-</v>
      </c>
      <c r="T324" t="str">
        <f>IFERROR(INDEX(Katalog!$B$4:$B$13,MATCH('Main Data'!S324,Katalog!$C$4:$C$13,0)),"-")</f>
        <v>-</v>
      </c>
      <c r="U324" t="str">
        <f>IFERROR(VLOOKUP(S324,Katalog!$A$15:$B$25,2,0),"-")</f>
        <v>-</v>
      </c>
      <c r="V324">
        <f t="shared" si="190"/>
        <v>0</v>
      </c>
      <c r="W324" s="28" t="str">
        <f t="shared" si="191"/>
        <v>-</v>
      </c>
      <c r="X324" s="18">
        <f>IFERROR(VLOOKUP(S324,Katalog!$C$3:$F$13,2,0),0)</f>
        <v>0</v>
      </c>
      <c r="Y324" s="30">
        <f>IFERROR(VLOOKUP(S324,Katalog!$C$3:$F$13,3,0),0)</f>
        <v>0</v>
      </c>
      <c r="Z324" s="2">
        <f t="shared" si="192"/>
        <v>1</v>
      </c>
      <c r="AA324" s="4">
        <f t="shared" si="193"/>
        <v>120000</v>
      </c>
      <c r="AB324" s="4">
        <f t="shared" si="194"/>
        <v>60000</v>
      </c>
      <c r="AC324" s="4" t="s">
        <v>31</v>
      </c>
      <c r="AD324" s="16">
        <f>IFERROR(VLOOKUP(AC324,'Kode Diskon'!$C$2:$D$9,2,0),0)</f>
        <v>0.15</v>
      </c>
      <c r="AE324" s="31">
        <f t="shared" si="195"/>
        <v>18000</v>
      </c>
      <c r="AF324" s="31">
        <f t="shared" si="196"/>
        <v>102000</v>
      </c>
      <c r="AG324" s="31">
        <f t="shared" si="197"/>
        <v>60000</v>
      </c>
      <c r="AH324" s="31">
        <f t="shared" si="198"/>
        <v>42000</v>
      </c>
      <c r="AI324" s="4" t="s">
        <v>8</v>
      </c>
      <c r="AJ324" s="4" t="s">
        <v>11</v>
      </c>
      <c r="AK324" s="4" t="str">
        <f>IFERROR(VLOOKUP(AJ324,'Guide '!$A$13:$B$16,2,0),"-")</f>
        <v>BL</v>
      </c>
      <c r="AL324" s="4" t="s">
        <v>922</v>
      </c>
      <c r="AM324" s="40">
        <v>45413</v>
      </c>
      <c r="AN324">
        <f t="shared" si="199"/>
        <v>29</v>
      </c>
      <c r="AO324">
        <f t="shared" si="200"/>
        <v>32</v>
      </c>
      <c r="AP324">
        <f t="shared" si="201"/>
        <v>40</v>
      </c>
      <c r="AQ324">
        <f t="shared" si="202"/>
        <v>43</v>
      </c>
      <c r="AR324" s="26" t="str">
        <f t="shared" si="203"/>
        <v>-</v>
      </c>
      <c r="AS324" s="26" t="str">
        <f t="shared" si="204"/>
        <v>-</v>
      </c>
      <c r="AT324" s="21">
        <f t="shared" si="205"/>
        <v>12</v>
      </c>
      <c r="AU324" s="21">
        <f t="shared" si="206"/>
        <v>19</v>
      </c>
      <c r="AV324" t="str">
        <f t="shared" si="207"/>
        <v>-</v>
      </c>
      <c r="AW324" t="str">
        <f t="shared" si="208"/>
        <v>-</v>
      </c>
      <c r="AX324" t="str">
        <f t="shared" si="209"/>
        <v>-</v>
      </c>
      <c r="AY324" t="str">
        <f t="shared" si="210"/>
        <v>-</v>
      </c>
      <c r="AZ324" t="str">
        <f t="shared" si="211"/>
        <v>-</v>
      </c>
      <c r="BA324" t="str">
        <f t="shared" si="212"/>
        <v>-</v>
      </c>
      <c r="BB324" t="str">
        <f t="shared" si="213"/>
        <v>-</v>
      </c>
      <c r="BC324" t="str">
        <f t="shared" si="214"/>
        <v>-</v>
      </c>
      <c r="BD324" s="29" t="str">
        <f t="shared" si="215"/>
        <v>-</v>
      </c>
      <c r="BE324" s="29" t="str">
        <f t="shared" si="216"/>
        <v>-</v>
      </c>
    </row>
    <row r="325" spans="1:57" ht="15" x14ac:dyDescent="0.2">
      <c r="A325" s="2">
        <v>332</v>
      </c>
      <c r="B325" s="2" t="str">
        <f t="shared" si="181"/>
        <v>0332</v>
      </c>
      <c r="C325" t="str">
        <f t="shared" si="182"/>
        <v>ORD-SP-0332-01/05/24</v>
      </c>
      <c r="D325" s="3" t="s">
        <v>385</v>
      </c>
      <c r="E325" t="str">
        <f t="shared" si="183"/>
        <v>PP003</v>
      </c>
      <c r="F325" t="str">
        <f>INDEX(Katalog!$B$4:$B$13,MATCH('Main Data'!E325,Katalog!$C$4:$C$13,0))</f>
        <v>Jaket Jeans</v>
      </c>
      <c r="G325" t="str">
        <f>VLOOKUP(E325,Katalog!$A$15:$B$25,2,0)</f>
        <v>Pakaian Pria</v>
      </c>
      <c r="H325" t="str">
        <f t="shared" si="184"/>
        <v>2</v>
      </c>
      <c r="I325" t="str">
        <f t="shared" si="185"/>
        <v>4</v>
      </c>
      <c r="J325" s="18">
        <f>VLOOKUP(E325,Katalog!$C$3:$F$13,2,0)</f>
        <v>150000</v>
      </c>
      <c r="K325" s="18">
        <f>VLOOKUP(E325,Katalog!$C$3:$F$13,3,0)</f>
        <v>70000</v>
      </c>
      <c r="L325" t="str">
        <f t="shared" si="186"/>
        <v>PP002</v>
      </c>
      <c r="M325" t="str">
        <f>IFERROR(INDEX(Katalog!$B$4:$B$13,MATCH('Main Data'!L325,Katalog!$C$4:$C$13,0)), "-")</f>
        <v>Celana Pendek</v>
      </c>
      <c r="N325" t="str">
        <f>IFERROR(VLOOKUP(L325,Katalog!$A$15:$B$25,2,0),"-")</f>
        <v>Pakaian Pria</v>
      </c>
      <c r="O325" t="str">
        <f t="shared" si="187"/>
        <v>1</v>
      </c>
      <c r="P325" t="str">
        <f t="shared" si="188"/>
        <v>5</v>
      </c>
      <c r="Q325" s="18">
        <f>IFERROR(VLOOKUP(L325,Katalog!$C$3:$F$13,2,0),0)</f>
        <v>60000</v>
      </c>
      <c r="R325" s="18">
        <f>IFERROR(VLOOKUP(L325,Katalog!$C$3:$F$13,3,0),0)</f>
        <v>25000</v>
      </c>
      <c r="S325" t="str">
        <f t="shared" si="189"/>
        <v>PP002</v>
      </c>
      <c r="T325" t="str">
        <f>IFERROR(INDEX(Katalog!$B$4:$B$13,MATCH('Main Data'!S325,Katalog!$C$4:$C$13,0)),"-")</f>
        <v>Celana Pendek</v>
      </c>
      <c r="U325" t="str">
        <f>IFERROR(VLOOKUP(S325,Katalog!$A$15:$B$25,2,0),"-")</f>
        <v>Pakaian Pria</v>
      </c>
      <c r="V325" t="str">
        <f t="shared" si="190"/>
        <v>2</v>
      </c>
      <c r="W325" s="28" t="str">
        <f t="shared" si="191"/>
        <v>1</v>
      </c>
      <c r="X325" s="18">
        <f>IFERROR(VLOOKUP(S325,Katalog!$C$3:$F$13,2,0),0)</f>
        <v>60000</v>
      </c>
      <c r="Y325" s="30">
        <f>IFERROR(VLOOKUP(S325,Katalog!$C$3:$F$13,3,0),0)</f>
        <v>25000</v>
      </c>
      <c r="Z325" s="2">
        <f t="shared" si="192"/>
        <v>5</v>
      </c>
      <c r="AA325" s="4">
        <f t="shared" si="193"/>
        <v>480000</v>
      </c>
      <c r="AB325" s="4">
        <f t="shared" si="194"/>
        <v>215000</v>
      </c>
      <c r="AC325" s="4" t="s">
        <v>12</v>
      </c>
      <c r="AD325" s="16">
        <f>IFERROR(VLOOKUP(AC325,'Kode Diskon'!$C$2:$D$9,2,0),0)</f>
        <v>0.15</v>
      </c>
      <c r="AE325" s="31">
        <f t="shared" si="195"/>
        <v>72000</v>
      </c>
      <c r="AF325" s="31">
        <f t="shared" si="196"/>
        <v>408000</v>
      </c>
      <c r="AG325" s="31">
        <f t="shared" si="197"/>
        <v>265000</v>
      </c>
      <c r="AH325" s="31">
        <f t="shared" si="198"/>
        <v>193000</v>
      </c>
      <c r="AI325" s="4" t="s">
        <v>28</v>
      </c>
      <c r="AJ325" s="4" t="s">
        <v>6</v>
      </c>
      <c r="AK325" s="4" t="str">
        <f>IFERROR(VLOOKUP(AJ325,'Guide '!$A$13:$B$16,2,0),"-")</f>
        <v>SP</v>
      </c>
      <c r="AL325" s="4" t="s">
        <v>925</v>
      </c>
      <c r="AM325" s="40">
        <v>45413</v>
      </c>
      <c r="AN325">
        <f t="shared" si="199"/>
        <v>29</v>
      </c>
      <c r="AO325">
        <f t="shared" si="200"/>
        <v>32</v>
      </c>
      <c r="AP325">
        <f t="shared" si="201"/>
        <v>40</v>
      </c>
      <c r="AQ325">
        <f t="shared" si="202"/>
        <v>43</v>
      </c>
      <c r="AR325" s="26">
        <f t="shared" si="203"/>
        <v>56</v>
      </c>
      <c r="AS325" s="26">
        <f t="shared" si="204"/>
        <v>63</v>
      </c>
      <c r="AT325" s="21">
        <f t="shared" si="205"/>
        <v>12</v>
      </c>
      <c r="AU325" s="21">
        <f t="shared" si="206"/>
        <v>19</v>
      </c>
      <c r="AV325">
        <f t="shared" si="207"/>
        <v>73</v>
      </c>
      <c r="AW325">
        <f t="shared" si="208"/>
        <v>76</v>
      </c>
      <c r="AX325">
        <f t="shared" si="209"/>
        <v>84</v>
      </c>
      <c r="AY325">
        <f t="shared" si="210"/>
        <v>87</v>
      </c>
      <c r="AZ325">
        <f t="shared" si="211"/>
        <v>100</v>
      </c>
      <c r="BA325">
        <f t="shared" si="212"/>
        <v>107</v>
      </c>
      <c r="BB325">
        <f t="shared" si="213"/>
        <v>117</v>
      </c>
      <c r="BC325">
        <f t="shared" si="214"/>
        <v>120</v>
      </c>
      <c r="BD325" s="29">
        <f t="shared" si="215"/>
        <v>128</v>
      </c>
      <c r="BE325" s="29">
        <f t="shared" si="216"/>
        <v>131</v>
      </c>
    </row>
    <row r="326" spans="1:57" ht="15" x14ac:dyDescent="0.2">
      <c r="A326" s="2">
        <v>363</v>
      </c>
      <c r="B326" s="2" t="str">
        <f t="shared" si="181"/>
        <v>0363</v>
      </c>
      <c r="C326" t="str">
        <f t="shared" si="182"/>
        <v>ORD-TK-0363-01/05/24</v>
      </c>
      <c r="D326" s="3" t="s">
        <v>414</v>
      </c>
      <c r="E326" t="str">
        <f t="shared" si="183"/>
        <v>PP002</v>
      </c>
      <c r="F326" t="str">
        <f>INDEX(Katalog!$B$4:$B$13,MATCH('Main Data'!E326,Katalog!$C$4:$C$13,0))</f>
        <v>Celana Pendek</v>
      </c>
      <c r="G326" t="str">
        <f>VLOOKUP(E326,Katalog!$A$15:$B$25,2,0)</f>
        <v>Pakaian Pria</v>
      </c>
      <c r="H326" t="str">
        <f t="shared" si="184"/>
        <v>1</v>
      </c>
      <c r="I326" t="str">
        <f t="shared" si="185"/>
        <v>5</v>
      </c>
      <c r="J326" s="18">
        <f>VLOOKUP(E326,Katalog!$C$3:$F$13,2,0)</f>
        <v>60000</v>
      </c>
      <c r="K326" s="18">
        <f>VLOOKUP(E326,Katalog!$C$3:$F$13,3,0)</f>
        <v>25000</v>
      </c>
      <c r="L326" t="str">
        <f t="shared" si="186"/>
        <v>PW001</v>
      </c>
      <c r="M326" t="str">
        <f>IFERROR(INDEX(Katalog!$B$4:$B$13,MATCH('Main Data'!L326,Katalog!$C$4:$C$13,0)), "-")</f>
        <v>Dress</v>
      </c>
      <c r="N326" t="str">
        <f>IFERROR(VLOOKUP(L326,Katalog!$A$15:$B$25,2,0),"-")</f>
        <v>Pakaian Wanita</v>
      </c>
      <c r="O326" t="str">
        <f t="shared" si="187"/>
        <v>2</v>
      </c>
      <c r="P326" t="str">
        <f t="shared" si="188"/>
        <v>5</v>
      </c>
      <c r="Q326" s="18">
        <f>IFERROR(VLOOKUP(L326,Katalog!$C$3:$F$13,2,0),0)</f>
        <v>150000</v>
      </c>
      <c r="R326" s="18">
        <f>IFERROR(VLOOKUP(L326,Katalog!$C$3:$F$13,3,0),0)</f>
        <v>55000</v>
      </c>
      <c r="S326" t="str">
        <f t="shared" si="189"/>
        <v>-</v>
      </c>
      <c r="T326" t="str">
        <f>IFERROR(INDEX(Katalog!$B$4:$B$13,MATCH('Main Data'!S326,Katalog!$C$4:$C$13,0)),"-")</f>
        <v>-</v>
      </c>
      <c r="U326" t="str">
        <f>IFERROR(VLOOKUP(S326,Katalog!$A$15:$B$25,2,0),"-")</f>
        <v>-</v>
      </c>
      <c r="V326">
        <f t="shared" si="190"/>
        <v>0</v>
      </c>
      <c r="W326" s="28" t="str">
        <f t="shared" si="191"/>
        <v>-</v>
      </c>
      <c r="X326" s="18">
        <f>IFERROR(VLOOKUP(S326,Katalog!$C$3:$F$13,2,0),0)</f>
        <v>0</v>
      </c>
      <c r="Y326" s="30">
        <f>IFERROR(VLOOKUP(S326,Katalog!$C$3:$F$13,3,0),0)</f>
        <v>0</v>
      </c>
      <c r="Z326" s="2">
        <f t="shared" si="192"/>
        <v>3</v>
      </c>
      <c r="AA326" s="4">
        <f t="shared" si="193"/>
        <v>360000</v>
      </c>
      <c r="AB326" s="4">
        <f t="shared" si="194"/>
        <v>135000</v>
      </c>
      <c r="AC326" s="4" t="s">
        <v>10</v>
      </c>
      <c r="AD326" s="16">
        <f>IFERROR(VLOOKUP(AC326,'Kode Diskon'!$C$2:$D$9,2,0),0)</f>
        <v>0</v>
      </c>
      <c r="AE326" s="31">
        <f t="shared" si="195"/>
        <v>0</v>
      </c>
      <c r="AF326" s="31">
        <f t="shared" si="196"/>
        <v>360000</v>
      </c>
      <c r="AG326" s="31">
        <f t="shared" si="197"/>
        <v>225000</v>
      </c>
      <c r="AH326" s="31">
        <f t="shared" si="198"/>
        <v>225000</v>
      </c>
      <c r="AI326" s="4" t="s">
        <v>10</v>
      </c>
      <c r="AJ326" s="4" t="s">
        <v>9</v>
      </c>
      <c r="AK326" s="4" t="str">
        <f>IFERROR(VLOOKUP(AJ326,'Guide '!$A$13:$B$16,2,0),"-")</f>
        <v>TK</v>
      </c>
      <c r="AL326" s="4" t="s">
        <v>922</v>
      </c>
      <c r="AM326" s="40">
        <v>45413</v>
      </c>
      <c r="AN326">
        <f t="shared" si="199"/>
        <v>29</v>
      </c>
      <c r="AO326">
        <f t="shared" si="200"/>
        <v>32</v>
      </c>
      <c r="AP326">
        <f t="shared" si="201"/>
        <v>40</v>
      </c>
      <c r="AQ326">
        <f t="shared" si="202"/>
        <v>43</v>
      </c>
      <c r="AR326" s="26">
        <f t="shared" si="203"/>
        <v>56</v>
      </c>
      <c r="AS326" s="26">
        <f t="shared" si="204"/>
        <v>63</v>
      </c>
      <c r="AT326" s="21">
        <f t="shared" si="205"/>
        <v>12</v>
      </c>
      <c r="AU326" s="21">
        <f t="shared" si="206"/>
        <v>19</v>
      </c>
      <c r="AV326">
        <f t="shared" si="207"/>
        <v>73</v>
      </c>
      <c r="AW326">
        <f t="shared" si="208"/>
        <v>76</v>
      </c>
      <c r="AX326">
        <f t="shared" si="209"/>
        <v>84</v>
      </c>
      <c r="AY326">
        <f t="shared" si="210"/>
        <v>87</v>
      </c>
      <c r="AZ326" t="str">
        <f t="shared" si="211"/>
        <v>-</v>
      </c>
      <c r="BA326" t="str">
        <f t="shared" si="212"/>
        <v>-</v>
      </c>
      <c r="BB326" t="str">
        <f t="shared" si="213"/>
        <v>-</v>
      </c>
      <c r="BC326" t="str">
        <f t="shared" si="214"/>
        <v>-</v>
      </c>
      <c r="BD326" s="29" t="str">
        <f t="shared" si="215"/>
        <v>-</v>
      </c>
      <c r="BE326" s="29" t="str">
        <f t="shared" si="216"/>
        <v>-</v>
      </c>
    </row>
    <row r="327" spans="1:57" ht="15" x14ac:dyDescent="0.2">
      <c r="A327" s="2">
        <v>524</v>
      </c>
      <c r="B327" s="2" t="str">
        <f t="shared" si="181"/>
        <v>0524</v>
      </c>
      <c r="C327" t="str">
        <f t="shared" si="182"/>
        <v>ORD-BL-0524-01/05/24</v>
      </c>
      <c r="D327" s="3" t="s">
        <v>552</v>
      </c>
      <c r="E327" t="str">
        <f t="shared" si="183"/>
        <v>SW001</v>
      </c>
      <c r="F327" t="str">
        <f>INDEX(Katalog!$B$4:$B$13,MATCH('Main Data'!E327,Katalog!$C$4:$C$13,0))</f>
        <v>Flat Shoes</v>
      </c>
      <c r="G327" t="str">
        <f>VLOOKUP(E327,Katalog!$A$15:$B$25,2,0)</f>
        <v>Sepatu Wanita</v>
      </c>
      <c r="H327" t="str">
        <f t="shared" si="184"/>
        <v>4</v>
      </c>
      <c r="I327" t="str">
        <f t="shared" si="185"/>
        <v>2</v>
      </c>
      <c r="J327" s="18">
        <f>VLOOKUP(E327,Katalog!$C$3:$F$13,2,0)</f>
        <v>150000</v>
      </c>
      <c r="K327" s="18">
        <f>VLOOKUP(E327,Katalog!$C$3:$F$13,3,0)</f>
        <v>70000</v>
      </c>
      <c r="L327" t="str">
        <f t="shared" si="186"/>
        <v>PW001</v>
      </c>
      <c r="M327" t="str">
        <f>IFERROR(INDEX(Katalog!$B$4:$B$13,MATCH('Main Data'!L327,Katalog!$C$4:$C$13,0)), "-")</f>
        <v>Dress</v>
      </c>
      <c r="N327" t="str">
        <f>IFERROR(VLOOKUP(L327,Katalog!$A$15:$B$25,2,0),"-")</f>
        <v>Pakaian Wanita</v>
      </c>
      <c r="O327" t="str">
        <f t="shared" si="187"/>
        <v>1</v>
      </c>
      <c r="P327" t="str">
        <f t="shared" si="188"/>
        <v>3</v>
      </c>
      <c r="Q327" s="18">
        <f>IFERROR(VLOOKUP(L327,Katalog!$C$3:$F$13,2,0),0)</f>
        <v>150000</v>
      </c>
      <c r="R327" s="18">
        <f>IFERROR(VLOOKUP(L327,Katalog!$C$3:$F$13,3,0),0)</f>
        <v>55000</v>
      </c>
      <c r="S327" t="str">
        <f t="shared" si="189"/>
        <v>-</v>
      </c>
      <c r="T327" t="str">
        <f>IFERROR(INDEX(Katalog!$B$4:$B$13,MATCH('Main Data'!S327,Katalog!$C$4:$C$13,0)),"-")</f>
        <v>-</v>
      </c>
      <c r="U327" t="str">
        <f>IFERROR(VLOOKUP(S327,Katalog!$A$15:$B$25,2,0),"-")</f>
        <v>-</v>
      </c>
      <c r="V327">
        <f t="shared" si="190"/>
        <v>0</v>
      </c>
      <c r="W327" s="28" t="str">
        <f t="shared" si="191"/>
        <v>-</v>
      </c>
      <c r="X327" s="18">
        <f>IFERROR(VLOOKUP(S327,Katalog!$C$3:$F$13,2,0),0)</f>
        <v>0</v>
      </c>
      <c r="Y327" s="30">
        <f>IFERROR(VLOOKUP(S327,Katalog!$C$3:$F$13,3,0),0)</f>
        <v>0</v>
      </c>
      <c r="Z327" s="2">
        <f t="shared" si="192"/>
        <v>5</v>
      </c>
      <c r="AA327" s="4">
        <f t="shared" si="193"/>
        <v>750000</v>
      </c>
      <c r="AB327" s="4">
        <f t="shared" si="194"/>
        <v>335000</v>
      </c>
      <c r="AC327" s="4" t="s">
        <v>31</v>
      </c>
      <c r="AD327" s="16">
        <f>IFERROR(VLOOKUP(AC327,'Kode Diskon'!$C$2:$D$9,2,0),0)</f>
        <v>0.15</v>
      </c>
      <c r="AE327" s="31">
        <f t="shared" si="195"/>
        <v>112500</v>
      </c>
      <c r="AF327" s="31">
        <f t="shared" si="196"/>
        <v>637500</v>
      </c>
      <c r="AG327" s="31">
        <f t="shared" si="197"/>
        <v>415000</v>
      </c>
      <c r="AH327" s="31">
        <f t="shared" si="198"/>
        <v>302500</v>
      </c>
      <c r="AI327" s="4" t="s">
        <v>8</v>
      </c>
      <c r="AJ327" s="4" t="s">
        <v>11</v>
      </c>
      <c r="AK327" s="4" t="str">
        <f>IFERROR(VLOOKUP(AJ327,'Guide '!$A$13:$B$16,2,0),"-")</f>
        <v>BL</v>
      </c>
      <c r="AL327" s="4" t="s">
        <v>921</v>
      </c>
      <c r="AM327" s="40">
        <v>45413</v>
      </c>
      <c r="AN327">
        <f t="shared" si="199"/>
        <v>29</v>
      </c>
      <c r="AO327">
        <f t="shared" si="200"/>
        <v>32</v>
      </c>
      <c r="AP327">
        <f t="shared" si="201"/>
        <v>40</v>
      </c>
      <c r="AQ327">
        <f t="shared" si="202"/>
        <v>43</v>
      </c>
      <c r="AR327" s="26">
        <f t="shared" si="203"/>
        <v>56</v>
      </c>
      <c r="AS327" s="26">
        <f t="shared" si="204"/>
        <v>63</v>
      </c>
      <c r="AT327" s="21">
        <f t="shared" si="205"/>
        <v>12</v>
      </c>
      <c r="AU327" s="21">
        <f t="shared" si="206"/>
        <v>19</v>
      </c>
      <c r="AV327">
        <f t="shared" si="207"/>
        <v>73</v>
      </c>
      <c r="AW327">
        <f t="shared" si="208"/>
        <v>76</v>
      </c>
      <c r="AX327">
        <f t="shared" si="209"/>
        <v>84</v>
      </c>
      <c r="AY327">
        <f t="shared" si="210"/>
        <v>87</v>
      </c>
      <c r="AZ327" t="str">
        <f t="shared" si="211"/>
        <v>-</v>
      </c>
      <c r="BA327" t="str">
        <f t="shared" si="212"/>
        <v>-</v>
      </c>
      <c r="BB327" t="str">
        <f t="shared" si="213"/>
        <v>-</v>
      </c>
      <c r="BC327" t="str">
        <f t="shared" si="214"/>
        <v>-</v>
      </c>
      <c r="BD327" s="29" t="str">
        <f t="shared" si="215"/>
        <v>-</v>
      </c>
      <c r="BE327" s="29" t="str">
        <f t="shared" si="216"/>
        <v>-</v>
      </c>
    </row>
    <row r="328" spans="1:57" ht="15" x14ac:dyDescent="0.2">
      <c r="A328" s="2">
        <v>748</v>
      </c>
      <c r="B328" s="2" t="str">
        <f t="shared" si="181"/>
        <v>0748</v>
      </c>
      <c r="C328" t="str">
        <f t="shared" si="182"/>
        <v>ORD-SP-0748-01/05/24</v>
      </c>
      <c r="D328" s="3" t="s">
        <v>200</v>
      </c>
      <c r="E328" t="str">
        <f t="shared" si="183"/>
        <v>SP002</v>
      </c>
      <c r="F328" t="str">
        <f>INDEX(Katalog!$B$4:$B$13,MATCH('Main Data'!E328,Katalog!$C$4:$C$13,0))</f>
        <v>Sandal Slip On</v>
      </c>
      <c r="G328" t="str">
        <f>VLOOKUP(E328,Katalog!$A$15:$B$25,2,0)</f>
        <v>Sepatu Pria</v>
      </c>
      <c r="H328" t="str">
        <f t="shared" si="184"/>
        <v>2</v>
      </c>
      <c r="I328" t="str">
        <f t="shared" si="185"/>
        <v>2</v>
      </c>
      <c r="J328" s="18">
        <f>VLOOKUP(E328,Katalog!$C$3:$F$13,2,0)</f>
        <v>120000</v>
      </c>
      <c r="K328" s="18">
        <f>VLOOKUP(E328,Katalog!$C$3:$F$13,3,0)</f>
        <v>60000</v>
      </c>
      <c r="L328" t="str">
        <f t="shared" si="186"/>
        <v>-</v>
      </c>
      <c r="M328" t="str">
        <f>IFERROR(INDEX(Katalog!$B$4:$B$13,MATCH('Main Data'!L328,Katalog!$C$4:$C$13,0)), "-")</f>
        <v>-</v>
      </c>
      <c r="N328" t="str">
        <f>IFERROR(VLOOKUP(L328,Katalog!$A$15:$B$25,2,0),"-")</f>
        <v>-</v>
      </c>
      <c r="O328">
        <f t="shared" si="187"/>
        <v>0</v>
      </c>
      <c r="P328" t="str">
        <f t="shared" si="188"/>
        <v>-</v>
      </c>
      <c r="Q328" s="18">
        <f>IFERROR(VLOOKUP(L328,Katalog!$C$3:$F$13,2,0),0)</f>
        <v>0</v>
      </c>
      <c r="R328" s="18">
        <f>IFERROR(VLOOKUP(L328,Katalog!$C$3:$F$13,3,0),0)</f>
        <v>0</v>
      </c>
      <c r="S328" t="str">
        <f t="shared" si="189"/>
        <v>-</v>
      </c>
      <c r="T328" t="str">
        <f>IFERROR(INDEX(Katalog!$B$4:$B$13,MATCH('Main Data'!S328,Katalog!$C$4:$C$13,0)),"-")</f>
        <v>-</v>
      </c>
      <c r="U328" t="str">
        <f>IFERROR(VLOOKUP(S328,Katalog!$A$15:$B$25,2,0),"-")</f>
        <v>-</v>
      </c>
      <c r="V328">
        <f t="shared" si="190"/>
        <v>0</v>
      </c>
      <c r="W328" s="28" t="str">
        <f t="shared" si="191"/>
        <v>-</v>
      </c>
      <c r="X328" s="18">
        <f>IFERROR(VLOOKUP(S328,Katalog!$C$3:$F$13,2,0),0)</f>
        <v>0</v>
      </c>
      <c r="Y328" s="30">
        <f>IFERROR(VLOOKUP(S328,Katalog!$C$3:$F$13,3,0),0)</f>
        <v>0</v>
      </c>
      <c r="Z328" s="2">
        <f t="shared" si="192"/>
        <v>2</v>
      </c>
      <c r="AA328" s="4">
        <f t="shared" si="193"/>
        <v>240000</v>
      </c>
      <c r="AB328" s="4">
        <f t="shared" si="194"/>
        <v>120000</v>
      </c>
      <c r="AC328" s="4" t="s">
        <v>12</v>
      </c>
      <c r="AD328" s="16">
        <f>IFERROR(VLOOKUP(AC328,'Kode Diskon'!$C$2:$D$9,2,0),0)</f>
        <v>0.15</v>
      </c>
      <c r="AE328" s="31">
        <f t="shared" si="195"/>
        <v>36000</v>
      </c>
      <c r="AF328" s="31">
        <f t="shared" si="196"/>
        <v>204000</v>
      </c>
      <c r="AG328" s="31">
        <f t="shared" si="197"/>
        <v>120000</v>
      </c>
      <c r="AH328" s="31">
        <f t="shared" si="198"/>
        <v>84000</v>
      </c>
      <c r="AI328" s="4" t="s">
        <v>28</v>
      </c>
      <c r="AJ328" s="4" t="s">
        <v>6</v>
      </c>
      <c r="AK328" s="4" t="str">
        <f>IFERROR(VLOOKUP(AJ328,'Guide '!$A$13:$B$16,2,0),"-")</f>
        <v>SP</v>
      </c>
      <c r="AL328" s="4" t="s">
        <v>925</v>
      </c>
      <c r="AM328" s="40">
        <v>45413</v>
      </c>
      <c r="AN328">
        <f t="shared" si="199"/>
        <v>29</v>
      </c>
      <c r="AO328">
        <f t="shared" si="200"/>
        <v>32</v>
      </c>
      <c r="AP328">
        <f t="shared" si="201"/>
        <v>40</v>
      </c>
      <c r="AQ328">
        <f t="shared" si="202"/>
        <v>43</v>
      </c>
      <c r="AR328" s="26" t="str">
        <f t="shared" si="203"/>
        <v>-</v>
      </c>
      <c r="AS328" s="26" t="str">
        <f t="shared" si="204"/>
        <v>-</v>
      </c>
      <c r="AT328" s="21">
        <f t="shared" si="205"/>
        <v>12</v>
      </c>
      <c r="AU328" s="21">
        <f t="shared" si="206"/>
        <v>19</v>
      </c>
      <c r="AV328" t="str">
        <f t="shared" si="207"/>
        <v>-</v>
      </c>
      <c r="AW328" t="str">
        <f t="shared" si="208"/>
        <v>-</v>
      </c>
      <c r="AX328" t="str">
        <f t="shared" si="209"/>
        <v>-</v>
      </c>
      <c r="AY328" t="str">
        <f t="shared" si="210"/>
        <v>-</v>
      </c>
      <c r="AZ328" t="str">
        <f t="shared" si="211"/>
        <v>-</v>
      </c>
      <c r="BA328" t="str">
        <f t="shared" si="212"/>
        <v>-</v>
      </c>
      <c r="BB328" t="str">
        <f t="shared" si="213"/>
        <v>-</v>
      </c>
      <c r="BC328" t="str">
        <f t="shared" si="214"/>
        <v>-</v>
      </c>
      <c r="BD328" s="29" t="str">
        <f t="shared" si="215"/>
        <v>-</v>
      </c>
      <c r="BE328" s="29" t="str">
        <f t="shared" si="216"/>
        <v>-</v>
      </c>
    </row>
    <row r="329" spans="1:57" ht="15" x14ac:dyDescent="0.2">
      <c r="A329" s="2">
        <v>123</v>
      </c>
      <c r="B329" s="2" t="str">
        <f t="shared" si="181"/>
        <v>0123</v>
      </c>
      <c r="C329" t="str">
        <f t="shared" si="182"/>
        <v>ORD-SP-0123-02/05/24</v>
      </c>
      <c r="D329" s="3" t="s">
        <v>194</v>
      </c>
      <c r="E329" t="str">
        <f t="shared" si="183"/>
        <v>PP003</v>
      </c>
      <c r="F329" t="str">
        <f>INDEX(Katalog!$B$4:$B$13,MATCH('Main Data'!E329,Katalog!$C$4:$C$13,0))</f>
        <v>Jaket Jeans</v>
      </c>
      <c r="G329" t="str">
        <f>VLOOKUP(E329,Katalog!$A$15:$B$25,2,0)</f>
        <v>Pakaian Pria</v>
      </c>
      <c r="H329" t="str">
        <f t="shared" si="184"/>
        <v>3</v>
      </c>
      <c r="I329" t="str">
        <f t="shared" si="185"/>
        <v>5</v>
      </c>
      <c r="J329" s="18">
        <f>VLOOKUP(E329,Katalog!$C$3:$F$13,2,0)</f>
        <v>150000</v>
      </c>
      <c r="K329" s="18">
        <f>VLOOKUP(E329,Katalog!$C$3:$F$13,3,0)</f>
        <v>70000</v>
      </c>
      <c r="L329" t="str">
        <f t="shared" si="186"/>
        <v>SP001</v>
      </c>
      <c r="M329" t="str">
        <f>IFERROR(INDEX(Katalog!$B$4:$B$13,MATCH('Main Data'!L329,Katalog!$C$4:$C$13,0)), "-")</f>
        <v>Sneakers</v>
      </c>
      <c r="N329" t="str">
        <f>IFERROR(VLOOKUP(L329,Katalog!$A$15:$B$25,2,0),"-")</f>
        <v>Sepatu Pria</v>
      </c>
      <c r="O329" t="str">
        <f t="shared" si="187"/>
        <v>1</v>
      </c>
      <c r="P329" t="str">
        <f t="shared" si="188"/>
        <v>3</v>
      </c>
      <c r="Q329" s="18">
        <f>IFERROR(VLOOKUP(L329,Katalog!$C$3:$F$13,2,0),0)</f>
        <v>300000</v>
      </c>
      <c r="R329" s="18">
        <f>IFERROR(VLOOKUP(L329,Katalog!$C$3:$F$13,3,0),0)</f>
        <v>100000</v>
      </c>
      <c r="S329" t="str">
        <f t="shared" si="189"/>
        <v>-</v>
      </c>
      <c r="T329" t="str">
        <f>IFERROR(INDEX(Katalog!$B$4:$B$13,MATCH('Main Data'!S329,Katalog!$C$4:$C$13,0)),"-")</f>
        <v>-</v>
      </c>
      <c r="U329" t="str">
        <f>IFERROR(VLOOKUP(S329,Katalog!$A$15:$B$25,2,0),"-")</f>
        <v>-</v>
      </c>
      <c r="V329">
        <f t="shared" si="190"/>
        <v>0</v>
      </c>
      <c r="W329" s="28" t="str">
        <f t="shared" si="191"/>
        <v>-</v>
      </c>
      <c r="X329" s="18">
        <f>IFERROR(VLOOKUP(S329,Katalog!$C$3:$F$13,2,0),0)</f>
        <v>0</v>
      </c>
      <c r="Y329" s="30">
        <f>IFERROR(VLOOKUP(S329,Katalog!$C$3:$F$13,3,0),0)</f>
        <v>0</v>
      </c>
      <c r="Z329" s="2">
        <f t="shared" si="192"/>
        <v>4</v>
      </c>
      <c r="AA329" s="4">
        <f t="shared" si="193"/>
        <v>750000</v>
      </c>
      <c r="AB329" s="4">
        <f t="shared" si="194"/>
        <v>310000</v>
      </c>
      <c r="AC329" s="4" t="s">
        <v>5</v>
      </c>
      <c r="AD329" s="16">
        <f>IFERROR(VLOOKUP(AC329,'Kode Diskon'!$C$2:$D$9,2,0),0)</f>
        <v>0.1</v>
      </c>
      <c r="AE329" s="31">
        <f t="shared" si="195"/>
        <v>75000</v>
      </c>
      <c r="AF329" s="31">
        <f t="shared" si="196"/>
        <v>675000</v>
      </c>
      <c r="AG329" s="31">
        <f t="shared" si="197"/>
        <v>440000</v>
      </c>
      <c r="AH329" s="31">
        <f t="shared" si="198"/>
        <v>365000</v>
      </c>
      <c r="AI329" s="4" t="s">
        <v>28</v>
      </c>
      <c r="AJ329" s="4" t="s">
        <v>6</v>
      </c>
      <c r="AK329" s="4" t="str">
        <f>IFERROR(VLOOKUP(AJ329,'Guide '!$A$13:$B$16,2,0),"-")</f>
        <v>SP</v>
      </c>
      <c r="AL329" s="4" t="s">
        <v>921</v>
      </c>
      <c r="AM329" s="40">
        <v>45414</v>
      </c>
      <c r="AN329">
        <f t="shared" si="199"/>
        <v>29</v>
      </c>
      <c r="AO329">
        <f t="shared" si="200"/>
        <v>32</v>
      </c>
      <c r="AP329">
        <f t="shared" si="201"/>
        <v>40</v>
      </c>
      <c r="AQ329">
        <f t="shared" si="202"/>
        <v>43</v>
      </c>
      <c r="AR329" s="26">
        <f t="shared" si="203"/>
        <v>56</v>
      </c>
      <c r="AS329" s="26">
        <f t="shared" si="204"/>
        <v>63</v>
      </c>
      <c r="AT329" s="21">
        <f t="shared" si="205"/>
        <v>12</v>
      </c>
      <c r="AU329" s="21">
        <f t="shared" si="206"/>
        <v>19</v>
      </c>
      <c r="AV329">
        <f t="shared" si="207"/>
        <v>73</v>
      </c>
      <c r="AW329">
        <f t="shared" si="208"/>
        <v>76</v>
      </c>
      <c r="AX329">
        <f t="shared" si="209"/>
        <v>84</v>
      </c>
      <c r="AY329">
        <f t="shared" si="210"/>
        <v>87</v>
      </c>
      <c r="AZ329" t="str">
        <f t="shared" si="211"/>
        <v>-</v>
      </c>
      <c r="BA329" t="str">
        <f t="shared" si="212"/>
        <v>-</v>
      </c>
      <c r="BB329" t="str">
        <f t="shared" si="213"/>
        <v>-</v>
      </c>
      <c r="BC329" t="str">
        <f t="shared" si="214"/>
        <v>-</v>
      </c>
      <c r="BD329" s="29" t="str">
        <f t="shared" si="215"/>
        <v>-</v>
      </c>
      <c r="BE329" s="29" t="str">
        <f t="shared" si="216"/>
        <v>-</v>
      </c>
    </row>
    <row r="330" spans="1:57" ht="15" x14ac:dyDescent="0.2">
      <c r="A330" s="2">
        <v>166</v>
      </c>
      <c r="B330" s="2" t="str">
        <f t="shared" si="181"/>
        <v>0166</v>
      </c>
      <c r="C330" t="str">
        <f t="shared" si="182"/>
        <v>ORD-TK-0166-02/05/24</v>
      </c>
      <c r="D330" s="3" t="s">
        <v>235</v>
      </c>
      <c r="E330" t="str">
        <f t="shared" si="183"/>
        <v>PP002</v>
      </c>
      <c r="F330" t="str">
        <f>INDEX(Katalog!$B$4:$B$13,MATCH('Main Data'!E330,Katalog!$C$4:$C$13,0))</f>
        <v>Celana Pendek</v>
      </c>
      <c r="G330" t="str">
        <f>VLOOKUP(E330,Katalog!$A$15:$B$25,2,0)</f>
        <v>Pakaian Pria</v>
      </c>
      <c r="H330" t="str">
        <f t="shared" si="184"/>
        <v>1</v>
      </c>
      <c r="I330" t="str">
        <f t="shared" si="185"/>
        <v>4</v>
      </c>
      <c r="J330" s="18">
        <f>VLOOKUP(E330,Katalog!$C$3:$F$13,2,0)</f>
        <v>60000</v>
      </c>
      <c r="K330" s="18">
        <f>VLOOKUP(E330,Katalog!$C$3:$F$13,3,0)</f>
        <v>25000</v>
      </c>
      <c r="L330" t="str">
        <f t="shared" si="186"/>
        <v>PP001</v>
      </c>
      <c r="M330" t="str">
        <f>IFERROR(INDEX(Katalog!$B$4:$B$13,MATCH('Main Data'!L330,Katalog!$C$4:$C$13,0)), "-")</f>
        <v>Kaos Polo</v>
      </c>
      <c r="N330" t="str">
        <f>IFERROR(VLOOKUP(L330,Katalog!$A$15:$B$25,2,0),"-")</f>
        <v>Pakaian Pria</v>
      </c>
      <c r="O330" t="str">
        <f t="shared" si="187"/>
        <v>4</v>
      </c>
      <c r="P330" t="str">
        <f t="shared" si="188"/>
        <v>1</v>
      </c>
      <c r="Q330" s="18">
        <f>IFERROR(VLOOKUP(L330,Katalog!$C$3:$F$13,2,0),0)</f>
        <v>80000</v>
      </c>
      <c r="R330" s="18">
        <f>IFERROR(VLOOKUP(L330,Katalog!$C$3:$F$13,3,0),0)</f>
        <v>30000</v>
      </c>
      <c r="S330" t="str">
        <f t="shared" si="189"/>
        <v>-</v>
      </c>
      <c r="T330" t="str">
        <f>IFERROR(INDEX(Katalog!$B$4:$B$13,MATCH('Main Data'!S330,Katalog!$C$4:$C$13,0)),"-")</f>
        <v>-</v>
      </c>
      <c r="U330" t="str">
        <f>IFERROR(VLOOKUP(S330,Katalog!$A$15:$B$25,2,0),"-")</f>
        <v>-</v>
      </c>
      <c r="V330">
        <f t="shared" si="190"/>
        <v>0</v>
      </c>
      <c r="W330" s="28" t="str">
        <f t="shared" si="191"/>
        <v>-</v>
      </c>
      <c r="X330" s="18">
        <f>IFERROR(VLOOKUP(S330,Katalog!$C$3:$F$13,2,0),0)</f>
        <v>0</v>
      </c>
      <c r="Y330" s="30">
        <f>IFERROR(VLOOKUP(S330,Katalog!$C$3:$F$13,3,0),0)</f>
        <v>0</v>
      </c>
      <c r="Z330" s="2">
        <f t="shared" si="192"/>
        <v>5</v>
      </c>
      <c r="AA330" s="4">
        <f t="shared" si="193"/>
        <v>380000</v>
      </c>
      <c r="AB330" s="4">
        <f t="shared" si="194"/>
        <v>145000</v>
      </c>
      <c r="AC330" s="4" t="s">
        <v>30</v>
      </c>
      <c r="AD330" s="16">
        <f>IFERROR(VLOOKUP(AC330,'Kode Diskon'!$C$2:$D$9,2,0),0)</f>
        <v>0.1</v>
      </c>
      <c r="AE330" s="31">
        <f t="shared" si="195"/>
        <v>38000</v>
      </c>
      <c r="AF330" s="31">
        <f t="shared" si="196"/>
        <v>342000</v>
      </c>
      <c r="AG330" s="31">
        <f t="shared" si="197"/>
        <v>235000</v>
      </c>
      <c r="AH330" s="31">
        <f t="shared" si="198"/>
        <v>197000</v>
      </c>
      <c r="AI330" s="4" t="s">
        <v>8</v>
      </c>
      <c r="AJ330" s="4" t="s">
        <v>9</v>
      </c>
      <c r="AK330" s="4" t="str">
        <f>IFERROR(VLOOKUP(AJ330,'Guide '!$A$13:$B$16,2,0),"-")</f>
        <v>TK</v>
      </c>
      <c r="AL330" s="4" t="s">
        <v>1006</v>
      </c>
      <c r="AM330" s="40">
        <v>45414</v>
      </c>
      <c r="AN330">
        <f t="shared" si="199"/>
        <v>29</v>
      </c>
      <c r="AO330">
        <f t="shared" si="200"/>
        <v>32</v>
      </c>
      <c r="AP330">
        <f t="shared" si="201"/>
        <v>40</v>
      </c>
      <c r="AQ330">
        <f t="shared" si="202"/>
        <v>43</v>
      </c>
      <c r="AR330" s="26">
        <f t="shared" si="203"/>
        <v>56</v>
      </c>
      <c r="AS330" s="26">
        <f t="shared" si="204"/>
        <v>63</v>
      </c>
      <c r="AT330" s="21">
        <f t="shared" si="205"/>
        <v>12</v>
      </c>
      <c r="AU330" s="21">
        <f t="shared" si="206"/>
        <v>19</v>
      </c>
      <c r="AV330">
        <f t="shared" si="207"/>
        <v>73</v>
      </c>
      <c r="AW330">
        <f t="shared" si="208"/>
        <v>76</v>
      </c>
      <c r="AX330">
        <f t="shared" si="209"/>
        <v>84</v>
      </c>
      <c r="AY330">
        <f t="shared" si="210"/>
        <v>87</v>
      </c>
      <c r="AZ330" t="str">
        <f t="shared" si="211"/>
        <v>-</v>
      </c>
      <c r="BA330" t="str">
        <f t="shared" si="212"/>
        <v>-</v>
      </c>
      <c r="BB330" t="str">
        <f t="shared" si="213"/>
        <v>-</v>
      </c>
      <c r="BC330" t="str">
        <f t="shared" si="214"/>
        <v>-</v>
      </c>
      <c r="BD330" s="29" t="str">
        <f t="shared" si="215"/>
        <v>-</v>
      </c>
      <c r="BE330" s="29" t="str">
        <f t="shared" si="216"/>
        <v>-</v>
      </c>
    </row>
    <row r="331" spans="1:57" ht="15" x14ac:dyDescent="0.2">
      <c r="A331" s="2">
        <v>517</v>
      </c>
      <c r="B331" s="2" t="str">
        <f t="shared" si="181"/>
        <v>0517</v>
      </c>
      <c r="C331" t="str">
        <f t="shared" si="182"/>
        <v>ORD-SP-0517-02/05/24</v>
      </c>
      <c r="D331" s="3" t="s">
        <v>545</v>
      </c>
      <c r="E331" t="str">
        <f t="shared" si="183"/>
        <v>SP001</v>
      </c>
      <c r="F331" t="str">
        <f>INDEX(Katalog!$B$4:$B$13,MATCH('Main Data'!E331,Katalog!$C$4:$C$13,0))</f>
        <v>Sneakers</v>
      </c>
      <c r="G331" t="str">
        <f>VLOOKUP(E331,Katalog!$A$15:$B$25,2,0)</f>
        <v>Sepatu Pria</v>
      </c>
      <c r="H331" t="str">
        <f t="shared" si="184"/>
        <v>4</v>
      </c>
      <c r="I331" t="str">
        <f t="shared" si="185"/>
        <v>2</v>
      </c>
      <c r="J331" s="18">
        <f>VLOOKUP(E331,Katalog!$C$3:$F$13,2,0)</f>
        <v>300000</v>
      </c>
      <c r="K331" s="18">
        <f>VLOOKUP(E331,Katalog!$C$3:$F$13,3,0)</f>
        <v>100000</v>
      </c>
      <c r="L331" t="str">
        <f t="shared" si="186"/>
        <v>PW002</v>
      </c>
      <c r="M331" t="str">
        <f>IFERROR(INDEX(Katalog!$B$4:$B$13,MATCH('Main Data'!L331,Katalog!$C$4:$C$13,0)), "-")</f>
        <v>Blouse</v>
      </c>
      <c r="N331" t="str">
        <f>IFERROR(VLOOKUP(L331,Katalog!$A$15:$B$25,2,0),"-")</f>
        <v>Pakaian Wanita</v>
      </c>
      <c r="O331" t="str">
        <f t="shared" si="187"/>
        <v>1</v>
      </c>
      <c r="P331" t="str">
        <f t="shared" si="188"/>
        <v>4</v>
      </c>
      <c r="Q331" s="18">
        <f>IFERROR(VLOOKUP(L331,Katalog!$C$3:$F$13,2,0),0)</f>
        <v>125000</v>
      </c>
      <c r="R331" s="18">
        <f>IFERROR(VLOOKUP(L331,Katalog!$C$3:$F$13,3,0),0)</f>
        <v>50000</v>
      </c>
      <c r="S331" t="str">
        <f t="shared" si="189"/>
        <v>-</v>
      </c>
      <c r="T331" t="str">
        <f>IFERROR(INDEX(Katalog!$B$4:$B$13,MATCH('Main Data'!S331,Katalog!$C$4:$C$13,0)),"-")</f>
        <v>-</v>
      </c>
      <c r="U331" t="str">
        <f>IFERROR(VLOOKUP(S331,Katalog!$A$15:$B$25,2,0),"-")</f>
        <v>-</v>
      </c>
      <c r="V331">
        <f t="shared" si="190"/>
        <v>0</v>
      </c>
      <c r="W331" s="28" t="str">
        <f t="shared" si="191"/>
        <v>-</v>
      </c>
      <c r="X331" s="18">
        <f>IFERROR(VLOOKUP(S331,Katalog!$C$3:$F$13,2,0),0)</f>
        <v>0</v>
      </c>
      <c r="Y331" s="30">
        <f>IFERROR(VLOOKUP(S331,Katalog!$C$3:$F$13,3,0),0)</f>
        <v>0</v>
      </c>
      <c r="Z331" s="2">
        <f t="shared" si="192"/>
        <v>5</v>
      </c>
      <c r="AA331" s="4">
        <f t="shared" si="193"/>
        <v>1325000</v>
      </c>
      <c r="AB331" s="4">
        <f t="shared" si="194"/>
        <v>450000</v>
      </c>
      <c r="AC331" s="4" t="s">
        <v>10</v>
      </c>
      <c r="AD331" s="16">
        <f>IFERROR(VLOOKUP(AC331,'Kode Diskon'!$C$2:$D$9,2,0),0)</f>
        <v>0</v>
      </c>
      <c r="AE331" s="31">
        <f t="shared" si="195"/>
        <v>0</v>
      </c>
      <c r="AF331" s="31">
        <f t="shared" si="196"/>
        <v>1325000</v>
      </c>
      <c r="AG331" s="31">
        <f t="shared" si="197"/>
        <v>875000</v>
      </c>
      <c r="AH331" s="31">
        <f t="shared" si="198"/>
        <v>875000</v>
      </c>
      <c r="AI331" s="4" t="s">
        <v>10</v>
      </c>
      <c r="AJ331" s="4" t="s">
        <v>6</v>
      </c>
      <c r="AK331" s="4" t="str">
        <f>IFERROR(VLOOKUP(AJ331,'Guide '!$A$13:$B$16,2,0),"-")</f>
        <v>SP</v>
      </c>
      <c r="AL331" s="4" t="s">
        <v>922</v>
      </c>
      <c r="AM331" s="40">
        <v>45414</v>
      </c>
      <c r="AN331">
        <f t="shared" si="199"/>
        <v>29</v>
      </c>
      <c r="AO331">
        <f t="shared" si="200"/>
        <v>32</v>
      </c>
      <c r="AP331">
        <f t="shared" si="201"/>
        <v>40</v>
      </c>
      <c r="AQ331">
        <f t="shared" si="202"/>
        <v>43</v>
      </c>
      <c r="AR331" s="26">
        <f t="shared" si="203"/>
        <v>56</v>
      </c>
      <c r="AS331" s="26">
        <f t="shared" si="204"/>
        <v>63</v>
      </c>
      <c r="AT331" s="21">
        <f t="shared" si="205"/>
        <v>12</v>
      </c>
      <c r="AU331" s="21">
        <f t="shared" si="206"/>
        <v>19</v>
      </c>
      <c r="AV331">
        <f t="shared" si="207"/>
        <v>73</v>
      </c>
      <c r="AW331">
        <f t="shared" si="208"/>
        <v>76</v>
      </c>
      <c r="AX331">
        <f t="shared" si="209"/>
        <v>84</v>
      </c>
      <c r="AY331">
        <f t="shared" si="210"/>
        <v>87</v>
      </c>
      <c r="AZ331" t="str">
        <f t="shared" si="211"/>
        <v>-</v>
      </c>
      <c r="BA331" t="str">
        <f t="shared" si="212"/>
        <v>-</v>
      </c>
      <c r="BB331" t="str">
        <f t="shared" si="213"/>
        <v>-</v>
      </c>
      <c r="BC331" t="str">
        <f t="shared" si="214"/>
        <v>-</v>
      </c>
      <c r="BD331" s="29" t="str">
        <f t="shared" si="215"/>
        <v>-</v>
      </c>
      <c r="BE331" s="29" t="str">
        <f t="shared" si="216"/>
        <v>-</v>
      </c>
    </row>
    <row r="332" spans="1:57" ht="15" x14ac:dyDescent="0.2">
      <c r="A332" s="2">
        <v>576</v>
      </c>
      <c r="B332" s="2" t="str">
        <f t="shared" si="181"/>
        <v>0576</v>
      </c>
      <c r="C332" t="str">
        <f t="shared" si="182"/>
        <v>ORD-BL-0576-02/05/24</v>
      </c>
      <c r="D332" s="3" t="s">
        <v>594</v>
      </c>
      <c r="E332" t="str">
        <f t="shared" si="183"/>
        <v>PP002</v>
      </c>
      <c r="F332" t="str">
        <f>INDEX(Katalog!$B$4:$B$13,MATCH('Main Data'!E332,Katalog!$C$4:$C$13,0))</f>
        <v>Celana Pendek</v>
      </c>
      <c r="G332" t="str">
        <f>VLOOKUP(E332,Katalog!$A$15:$B$25,2,0)</f>
        <v>Pakaian Pria</v>
      </c>
      <c r="H332" t="str">
        <f t="shared" si="184"/>
        <v>4</v>
      </c>
      <c r="I332" t="str">
        <f t="shared" si="185"/>
        <v>1</v>
      </c>
      <c r="J332" s="18">
        <f>VLOOKUP(E332,Katalog!$C$3:$F$13,2,0)</f>
        <v>60000</v>
      </c>
      <c r="K332" s="18">
        <f>VLOOKUP(E332,Katalog!$C$3:$F$13,3,0)</f>
        <v>25000</v>
      </c>
      <c r="L332" t="str">
        <f t="shared" si="186"/>
        <v>PW001</v>
      </c>
      <c r="M332" t="str">
        <f>IFERROR(INDEX(Katalog!$B$4:$B$13,MATCH('Main Data'!L332,Katalog!$C$4:$C$13,0)), "-")</f>
        <v>Dress</v>
      </c>
      <c r="N332" t="str">
        <f>IFERROR(VLOOKUP(L332,Katalog!$A$15:$B$25,2,0),"-")</f>
        <v>Pakaian Wanita</v>
      </c>
      <c r="O332" t="str">
        <f t="shared" si="187"/>
        <v>2</v>
      </c>
      <c r="P332" t="str">
        <f t="shared" si="188"/>
        <v>5</v>
      </c>
      <c r="Q332" s="18">
        <f>IFERROR(VLOOKUP(L332,Katalog!$C$3:$F$13,2,0),0)</f>
        <v>150000</v>
      </c>
      <c r="R332" s="18">
        <f>IFERROR(VLOOKUP(L332,Katalog!$C$3:$F$13,3,0),0)</f>
        <v>55000</v>
      </c>
      <c r="S332" t="str">
        <f t="shared" si="189"/>
        <v>-</v>
      </c>
      <c r="T332" t="str">
        <f>IFERROR(INDEX(Katalog!$B$4:$B$13,MATCH('Main Data'!S332,Katalog!$C$4:$C$13,0)),"-")</f>
        <v>-</v>
      </c>
      <c r="U332" t="str">
        <f>IFERROR(VLOOKUP(S332,Katalog!$A$15:$B$25,2,0),"-")</f>
        <v>-</v>
      </c>
      <c r="V332">
        <f t="shared" si="190"/>
        <v>0</v>
      </c>
      <c r="W332" s="28" t="str">
        <f t="shared" si="191"/>
        <v>-</v>
      </c>
      <c r="X332" s="18">
        <f>IFERROR(VLOOKUP(S332,Katalog!$C$3:$F$13,2,0),0)</f>
        <v>0</v>
      </c>
      <c r="Y332" s="30">
        <f>IFERROR(VLOOKUP(S332,Katalog!$C$3:$F$13,3,0),0)</f>
        <v>0</v>
      </c>
      <c r="Z332" s="2">
        <f t="shared" si="192"/>
        <v>6</v>
      </c>
      <c r="AA332" s="4">
        <f t="shared" si="193"/>
        <v>540000</v>
      </c>
      <c r="AB332" s="4">
        <f t="shared" si="194"/>
        <v>210000</v>
      </c>
      <c r="AC332" s="4" t="s">
        <v>31</v>
      </c>
      <c r="AD332" s="16">
        <f>IFERROR(VLOOKUP(AC332,'Kode Diskon'!$C$2:$D$9,2,0),0)</f>
        <v>0.15</v>
      </c>
      <c r="AE332" s="31">
        <f t="shared" si="195"/>
        <v>81000</v>
      </c>
      <c r="AF332" s="31">
        <f t="shared" si="196"/>
        <v>459000</v>
      </c>
      <c r="AG332" s="31">
        <f t="shared" si="197"/>
        <v>330000</v>
      </c>
      <c r="AH332" s="31">
        <f t="shared" si="198"/>
        <v>249000</v>
      </c>
      <c r="AI332" s="4" t="s">
        <v>8</v>
      </c>
      <c r="AJ332" s="4" t="s">
        <v>11</v>
      </c>
      <c r="AK332" s="4" t="str">
        <f>IFERROR(VLOOKUP(AJ332,'Guide '!$A$13:$B$16,2,0),"-")</f>
        <v>BL</v>
      </c>
      <c r="AL332" s="4" t="s">
        <v>1006</v>
      </c>
      <c r="AM332" s="40">
        <v>45414</v>
      </c>
      <c r="AN332">
        <f t="shared" si="199"/>
        <v>29</v>
      </c>
      <c r="AO332">
        <f t="shared" si="200"/>
        <v>32</v>
      </c>
      <c r="AP332">
        <f t="shared" si="201"/>
        <v>40</v>
      </c>
      <c r="AQ332">
        <f t="shared" si="202"/>
        <v>43</v>
      </c>
      <c r="AR332" s="26">
        <f t="shared" si="203"/>
        <v>56</v>
      </c>
      <c r="AS332" s="26">
        <f t="shared" si="204"/>
        <v>63</v>
      </c>
      <c r="AT332" s="21">
        <f t="shared" si="205"/>
        <v>12</v>
      </c>
      <c r="AU332" s="21">
        <f t="shared" si="206"/>
        <v>19</v>
      </c>
      <c r="AV332">
        <f t="shared" si="207"/>
        <v>73</v>
      </c>
      <c r="AW332">
        <f t="shared" si="208"/>
        <v>76</v>
      </c>
      <c r="AX332">
        <f t="shared" si="209"/>
        <v>84</v>
      </c>
      <c r="AY332">
        <f t="shared" si="210"/>
        <v>87</v>
      </c>
      <c r="AZ332" t="str">
        <f t="shared" si="211"/>
        <v>-</v>
      </c>
      <c r="BA332" t="str">
        <f t="shared" si="212"/>
        <v>-</v>
      </c>
      <c r="BB332" t="str">
        <f t="shared" si="213"/>
        <v>-</v>
      </c>
      <c r="BC332" t="str">
        <f t="shared" si="214"/>
        <v>-</v>
      </c>
      <c r="BD332" s="29" t="str">
        <f t="shared" si="215"/>
        <v>-</v>
      </c>
      <c r="BE332" s="29" t="str">
        <f t="shared" si="216"/>
        <v>-</v>
      </c>
    </row>
    <row r="333" spans="1:57" ht="15" x14ac:dyDescent="0.2">
      <c r="A333" s="2">
        <v>794</v>
      </c>
      <c r="B333" s="2" t="str">
        <f t="shared" si="181"/>
        <v>0794</v>
      </c>
      <c r="C333" t="str">
        <f t="shared" si="182"/>
        <v>ORD-BL-0794-03/05/24</v>
      </c>
      <c r="D333" s="3" t="s">
        <v>762</v>
      </c>
      <c r="E333" t="str">
        <f t="shared" si="183"/>
        <v>PP001</v>
      </c>
      <c r="F333" t="str">
        <f>INDEX(Katalog!$B$4:$B$13,MATCH('Main Data'!E333,Katalog!$C$4:$C$13,0))</f>
        <v>Kaos Polo</v>
      </c>
      <c r="G333" t="str">
        <f>VLOOKUP(E333,Katalog!$A$15:$B$25,2,0)</f>
        <v>Pakaian Pria</v>
      </c>
      <c r="H333" t="str">
        <f t="shared" si="184"/>
        <v>1</v>
      </c>
      <c r="I333" t="str">
        <f t="shared" si="185"/>
        <v>2</v>
      </c>
      <c r="J333" s="18">
        <f>VLOOKUP(E333,Katalog!$C$3:$F$13,2,0)</f>
        <v>80000</v>
      </c>
      <c r="K333" s="18">
        <f>VLOOKUP(E333,Katalog!$C$3:$F$13,3,0)</f>
        <v>30000</v>
      </c>
      <c r="L333" t="str">
        <f t="shared" si="186"/>
        <v>PP002</v>
      </c>
      <c r="M333" t="str">
        <f>IFERROR(INDEX(Katalog!$B$4:$B$13,MATCH('Main Data'!L333,Katalog!$C$4:$C$13,0)), "-")</f>
        <v>Celana Pendek</v>
      </c>
      <c r="N333" t="str">
        <f>IFERROR(VLOOKUP(L333,Katalog!$A$15:$B$25,2,0),"-")</f>
        <v>Pakaian Pria</v>
      </c>
      <c r="O333" t="str">
        <f t="shared" si="187"/>
        <v>1</v>
      </c>
      <c r="P333" t="str">
        <f t="shared" si="188"/>
        <v>1</v>
      </c>
      <c r="Q333" s="18">
        <f>IFERROR(VLOOKUP(L333,Katalog!$C$3:$F$13,2,0),0)</f>
        <v>60000</v>
      </c>
      <c r="R333" s="18">
        <f>IFERROR(VLOOKUP(L333,Katalog!$C$3:$F$13,3,0),0)</f>
        <v>25000</v>
      </c>
      <c r="S333" t="str">
        <f t="shared" si="189"/>
        <v>SP002</v>
      </c>
      <c r="T333" t="str">
        <f>IFERROR(INDEX(Katalog!$B$4:$B$13,MATCH('Main Data'!S333,Katalog!$C$4:$C$13,0)),"-")</f>
        <v>Sandal Slip On</v>
      </c>
      <c r="U333" t="str">
        <f>IFERROR(VLOOKUP(S333,Katalog!$A$15:$B$25,2,0),"-")</f>
        <v>Sepatu Pria</v>
      </c>
      <c r="V333" t="str">
        <f t="shared" si="190"/>
        <v>1</v>
      </c>
      <c r="W333" s="28" t="str">
        <f t="shared" si="191"/>
        <v>4</v>
      </c>
      <c r="X333" s="18">
        <f>IFERROR(VLOOKUP(S333,Katalog!$C$3:$F$13,2,0),0)</f>
        <v>120000</v>
      </c>
      <c r="Y333" s="30">
        <f>IFERROR(VLOOKUP(S333,Katalog!$C$3:$F$13,3,0),0)</f>
        <v>60000</v>
      </c>
      <c r="Z333" s="2">
        <f t="shared" si="192"/>
        <v>3</v>
      </c>
      <c r="AA333" s="4">
        <f t="shared" si="193"/>
        <v>260000</v>
      </c>
      <c r="AB333" s="4">
        <f t="shared" si="194"/>
        <v>115000</v>
      </c>
      <c r="AC333" s="4" t="s">
        <v>10</v>
      </c>
      <c r="AD333" s="16">
        <f>IFERROR(VLOOKUP(AC333,'Kode Diskon'!$C$2:$D$9,2,0),0)</f>
        <v>0</v>
      </c>
      <c r="AE333" s="31">
        <f t="shared" si="195"/>
        <v>0</v>
      </c>
      <c r="AF333" s="31">
        <f t="shared" si="196"/>
        <v>260000</v>
      </c>
      <c r="AG333" s="31">
        <f t="shared" si="197"/>
        <v>145000</v>
      </c>
      <c r="AH333" s="31">
        <f t="shared" si="198"/>
        <v>145000</v>
      </c>
      <c r="AI333" s="4" t="s">
        <v>10</v>
      </c>
      <c r="AJ333" s="4" t="s">
        <v>11</v>
      </c>
      <c r="AK333" s="4" t="str">
        <f>IFERROR(VLOOKUP(AJ333,'Guide '!$A$13:$B$16,2,0),"-")</f>
        <v>BL</v>
      </c>
      <c r="AL333" s="4" t="s">
        <v>925</v>
      </c>
      <c r="AM333" s="40">
        <v>45415</v>
      </c>
      <c r="AN333">
        <f t="shared" si="199"/>
        <v>29</v>
      </c>
      <c r="AO333">
        <f t="shared" si="200"/>
        <v>32</v>
      </c>
      <c r="AP333">
        <f t="shared" si="201"/>
        <v>40</v>
      </c>
      <c r="AQ333">
        <f t="shared" si="202"/>
        <v>43</v>
      </c>
      <c r="AR333" s="26">
        <f t="shared" si="203"/>
        <v>56</v>
      </c>
      <c r="AS333" s="26">
        <f t="shared" si="204"/>
        <v>63</v>
      </c>
      <c r="AT333" s="21">
        <f t="shared" si="205"/>
        <v>12</v>
      </c>
      <c r="AU333" s="21">
        <f t="shared" si="206"/>
        <v>19</v>
      </c>
      <c r="AV333">
        <f t="shared" si="207"/>
        <v>73</v>
      </c>
      <c r="AW333">
        <f t="shared" si="208"/>
        <v>76</v>
      </c>
      <c r="AX333">
        <f t="shared" si="209"/>
        <v>84</v>
      </c>
      <c r="AY333">
        <f t="shared" si="210"/>
        <v>87</v>
      </c>
      <c r="AZ333">
        <f t="shared" si="211"/>
        <v>100</v>
      </c>
      <c r="BA333">
        <f t="shared" si="212"/>
        <v>107</v>
      </c>
      <c r="BB333">
        <f t="shared" si="213"/>
        <v>117</v>
      </c>
      <c r="BC333">
        <f t="shared" si="214"/>
        <v>120</v>
      </c>
      <c r="BD333" s="29">
        <f t="shared" si="215"/>
        <v>128</v>
      </c>
      <c r="BE333" s="29">
        <f t="shared" si="216"/>
        <v>131</v>
      </c>
    </row>
    <row r="334" spans="1:57" ht="15" x14ac:dyDescent="0.2">
      <c r="A334" s="2">
        <v>884</v>
      </c>
      <c r="B334" s="2" t="str">
        <f t="shared" si="181"/>
        <v>0884</v>
      </c>
      <c r="C334" t="str">
        <f t="shared" si="182"/>
        <v>ORD-SP-0884-03/05/24</v>
      </c>
      <c r="D334" s="3" t="s">
        <v>825</v>
      </c>
      <c r="E334" t="str">
        <f t="shared" si="183"/>
        <v>PP003</v>
      </c>
      <c r="F334" t="str">
        <f>INDEX(Katalog!$B$4:$B$13,MATCH('Main Data'!E334,Katalog!$C$4:$C$13,0))</f>
        <v>Jaket Jeans</v>
      </c>
      <c r="G334" t="str">
        <f>VLOOKUP(E334,Katalog!$A$15:$B$25,2,0)</f>
        <v>Pakaian Pria</v>
      </c>
      <c r="H334" t="str">
        <f t="shared" si="184"/>
        <v>1</v>
      </c>
      <c r="I334" t="str">
        <f t="shared" si="185"/>
        <v>3</v>
      </c>
      <c r="J334" s="18">
        <f>VLOOKUP(E334,Katalog!$C$3:$F$13,2,0)</f>
        <v>150000</v>
      </c>
      <c r="K334" s="18">
        <f>VLOOKUP(E334,Katalog!$C$3:$F$13,3,0)</f>
        <v>70000</v>
      </c>
      <c r="L334" t="str">
        <f t="shared" si="186"/>
        <v>SP002</v>
      </c>
      <c r="M334" t="str">
        <f>IFERROR(INDEX(Katalog!$B$4:$B$13,MATCH('Main Data'!L334,Katalog!$C$4:$C$13,0)), "-")</f>
        <v>Sandal Slip On</v>
      </c>
      <c r="N334" t="str">
        <f>IFERROR(VLOOKUP(L334,Katalog!$A$15:$B$25,2,0),"-")</f>
        <v>Sepatu Pria</v>
      </c>
      <c r="O334" t="str">
        <f t="shared" si="187"/>
        <v>1</v>
      </c>
      <c r="P334" t="str">
        <f t="shared" si="188"/>
        <v>4</v>
      </c>
      <c r="Q334" s="18">
        <f>IFERROR(VLOOKUP(L334,Katalog!$C$3:$F$13,2,0),0)</f>
        <v>120000</v>
      </c>
      <c r="R334" s="18">
        <f>IFERROR(VLOOKUP(L334,Katalog!$C$3:$F$13,3,0),0)</f>
        <v>60000</v>
      </c>
      <c r="S334" t="str">
        <f t="shared" si="189"/>
        <v>PP002</v>
      </c>
      <c r="T334" t="str">
        <f>IFERROR(INDEX(Katalog!$B$4:$B$13,MATCH('Main Data'!S334,Katalog!$C$4:$C$13,0)),"-")</f>
        <v>Celana Pendek</v>
      </c>
      <c r="U334" t="str">
        <f>IFERROR(VLOOKUP(S334,Katalog!$A$15:$B$25,2,0),"-")</f>
        <v>Pakaian Pria</v>
      </c>
      <c r="V334" t="str">
        <f t="shared" si="190"/>
        <v>3</v>
      </c>
      <c r="W334" s="28" t="str">
        <f t="shared" si="191"/>
        <v>5</v>
      </c>
      <c r="X334" s="18">
        <f>IFERROR(VLOOKUP(S334,Katalog!$C$3:$F$13,2,0),0)</f>
        <v>60000</v>
      </c>
      <c r="Y334" s="30">
        <f>IFERROR(VLOOKUP(S334,Katalog!$C$3:$F$13,3,0),0)</f>
        <v>25000</v>
      </c>
      <c r="Z334" s="2">
        <f t="shared" si="192"/>
        <v>5</v>
      </c>
      <c r="AA334" s="4">
        <f t="shared" si="193"/>
        <v>450000</v>
      </c>
      <c r="AB334" s="4">
        <f t="shared" si="194"/>
        <v>205000</v>
      </c>
      <c r="AC334" s="4" t="s">
        <v>12</v>
      </c>
      <c r="AD334" s="16">
        <f>IFERROR(VLOOKUP(AC334,'Kode Diskon'!$C$2:$D$9,2,0),0)</f>
        <v>0.15</v>
      </c>
      <c r="AE334" s="31">
        <f t="shared" si="195"/>
        <v>67500</v>
      </c>
      <c r="AF334" s="31">
        <f t="shared" si="196"/>
        <v>382500</v>
      </c>
      <c r="AG334" s="31">
        <f t="shared" si="197"/>
        <v>245000</v>
      </c>
      <c r="AH334" s="31">
        <f t="shared" si="198"/>
        <v>177500</v>
      </c>
      <c r="AI334" s="4" t="s">
        <v>28</v>
      </c>
      <c r="AJ334" s="4" t="s">
        <v>6</v>
      </c>
      <c r="AK334" s="4" t="str">
        <f>IFERROR(VLOOKUP(AJ334,'Guide '!$A$13:$B$16,2,0),"-")</f>
        <v>SP</v>
      </c>
      <c r="AL334" s="4" t="s">
        <v>923</v>
      </c>
      <c r="AM334" s="40">
        <v>45415</v>
      </c>
      <c r="AN334">
        <f t="shared" si="199"/>
        <v>29</v>
      </c>
      <c r="AO334">
        <f t="shared" si="200"/>
        <v>32</v>
      </c>
      <c r="AP334">
        <f t="shared" si="201"/>
        <v>40</v>
      </c>
      <c r="AQ334">
        <f t="shared" si="202"/>
        <v>43</v>
      </c>
      <c r="AR334" s="26">
        <f t="shared" si="203"/>
        <v>56</v>
      </c>
      <c r="AS334" s="26">
        <f t="shared" si="204"/>
        <v>63</v>
      </c>
      <c r="AT334" s="21">
        <f t="shared" si="205"/>
        <v>12</v>
      </c>
      <c r="AU334" s="21">
        <f t="shared" si="206"/>
        <v>19</v>
      </c>
      <c r="AV334">
        <f t="shared" si="207"/>
        <v>73</v>
      </c>
      <c r="AW334">
        <f t="shared" si="208"/>
        <v>76</v>
      </c>
      <c r="AX334">
        <f t="shared" si="209"/>
        <v>84</v>
      </c>
      <c r="AY334">
        <f t="shared" si="210"/>
        <v>87</v>
      </c>
      <c r="AZ334">
        <f t="shared" si="211"/>
        <v>100</v>
      </c>
      <c r="BA334">
        <f t="shared" si="212"/>
        <v>107</v>
      </c>
      <c r="BB334">
        <f t="shared" si="213"/>
        <v>117</v>
      </c>
      <c r="BC334">
        <f t="shared" si="214"/>
        <v>120</v>
      </c>
      <c r="BD334" s="29">
        <f t="shared" si="215"/>
        <v>128</v>
      </c>
      <c r="BE334" s="29">
        <f t="shared" si="216"/>
        <v>131</v>
      </c>
    </row>
    <row r="335" spans="1:57" ht="15" x14ac:dyDescent="0.2">
      <c r="A335" s="2">
        <v>25</v>
      </c>
      <c r="B335" s="2" t="str">
        <f t="shared" si="181"/>
        <v>0025</v>
      </c>
      <c r="C335" t="str">
        <f t="shared" si="182"/>
        <v>ORD-SP-0025-04/05/24</v>
      </c>
      <c r="D335" s="3" t="s">
        <v>99</v>
      </c>
      <c r="E335" t="str">
        <f t="shared" si="183"/>
        <v>PU001</v>
      </c>
      <c r="F335" t="str">
        <f>INDEX(Katalog!$B$4:$B$13,MATCH('Main Data'!E335,Katalog!$C$4:$C$13,0))</f>
        <v>Jaket Hoodie</v>
      </c>
      <c r="G335" t="str">
        <f>VLOOKUP(E335,Katalog!$A$15:$B$25,2,0)</f>
        <v>Pakaian Unisex</v>
      </c>
      <c r="H335" t="str">
        <f t="shared" si="184"/>
        <v>1</v>
      </c>
      <c r="I335" t="str">
        <f t="shared" si="185"/>
        <v>1</v>
      </c>
      <c r="J335" s="18">
        <f>VLOOKUP(E335,Katalog!$C$3:$F$13,2,0)</f>
        <v>160000</v>
      </c>
      <c r="K335" s="18">
        <f>VLOOKUP(E335,Katalog!$C$3:$F$13,3,0)</f>
        <v>60000</v>
      </c>
      <c r="L335" t="str">
        <f t="shared" si="186"/>
        <v>PW001</v>
      </c>
      <c r="M335" t="str">
        <f>IFERROR(INDEX(Katalog!$B$4:$B$13,MATCH('Main Data'!L335,Katalog!$C$4:$C$13,0)), "-")</f>
        <v>Dress</v>
      </c>
      <c r="N335" t="str">
        <f>IFERROR(VLOOKUP(L335,Katalog!$A$15:$B$25,2,0),"-")</f>
        <v>Pakaian Wanita</v>
      </c>
      <c r="O335" t="str">
        <f t="shared" si="187"/>
        <v>6</v>
      </c>
      <c r="P335" t="str">
        <f t="shared" si="188"/>
        <v>5</v>
      </c>
      <c r="Q335" s="18">
        <f>IFERROR(VLOOKUP(L335,Katalog!$C$3:$F$13,2,0),0)</f>
        <v>150000</v>
      </c>
      <c r="R335" s="18">
        <f>IFERROR(VLOOKUP(L335,Katalog!$C$3:$F$13,3,0),0)</f>
        <v>55000</v>
      </c>
      <c r="S335" t="str">
        <f t="shared" si="189"/>
        <v>-</v>
      </c>
      <c r="T335" t="str">
        <f>IFERROR(INDEX(Katalog!$B$4:$B$13,MATCH('Main Data'!S335,Katalog!$C$4:$C$13,0)),"-")</f>
        <v>-</v>
      </c>
      <c r="U335" t="str">
        <f>IFERROR(VLOOKUP(S335,Katalog!$A$15:$B$25,2,0),"-")</f>
        <v>-</v>
      </c>
      <c r="V335">
        <f t="shared" si="190"/>
        <v>0</v>
      </c>
      <c r="W335" s="28" t="str">
        <f t="shared" si="191"/>
        <v>-</v>
      </c>
      <c r="X335" s="18">
        <f>IFERROR(VLOOKUP(S335,Katalog!$C$3:$F$13,2,0),0)</f>
        <v>0</v>
      </c>
      <c r="Y335" s="30">
        <f>IFERROR(VLOOKUP(S335,Katalog!$C$3:$F$13,3,0),0)</f>
        <v>0</v>
      </c>
      <c r="Z335" s="2">
        <f t="shared" si="192"/>
        <v>7</v>
      </c>
      <c r="AA335" s="4">
        <f t="shared" si="193"/>
        <v>1060000</v>
      </c>
      <c r="AB335" s="4">
        <f t="shared" si="194"/>
        <v>390000</v>
      </c>
      <c r="AC335" s="4" t="s">
        <v>12</v>
      </c>
      <c r="AD335" s="16">
        <f>IFERROR(VLOOKUP(AC335,'Kode Diskon'!$C$2:$D$9,2,0),0)</f>
        <v>0.15</v>
      </c>
      <c r="AE335" s="31">
        <f t="shared" si="195"/>
        <v>159000</v>
      </c>
      <c r="AF335" s="31">
        <f t="shared" si="196"/>
        <v>901000</v>
      </c>
      <c r="AG335" s="31">
        <f t="shared" si="197"/>
        <v>670000</v>
      </c>
      <c r="AH335" s="31">
        <f t="shared" si="198"/>
        <v>511000</v>
      </c>
      <c r="AI335" s="4" t="s">
        <v>28</v>
      </c>
      <c r="AJ335" s="4" t="s">
        <v>6</v>
      </c>
      <c r="AK335" s="4" t="str">
        <f>IFERROR(VLOOKUP(AJ335,'Guide '!$A$13:$B$16,2,0),"-")</f>
        <v>SP</v>
      </c>
      <c r="AL335" s="4" t="s">
        <v>925</v>
      </c>
      <c r="AM335" s="40">
        <v>45416</v>
      </c>
      <c r="AN335">
        <f t="shared" si="199"/>
        <v>29</v>
      </c>
      <c r="AO335">
        <f t="shared" si="200"/>
        <v>32</v>
      </c>
      <c r="AP335">
        <f t="shared" si="201"/>
        <v>40</v>
      </c>
      <c r="AQ335">
        <f t="shared" si="202"/>
        <v>43</v>
      </c>
      <c r="AR335" s="26">
        <f t="shared" si="203"/>
        <v>56</v>
      </c>
      <c r="AS335" s="26">
        <f t="shared" si="204"/>
        <v>63</v>
      </c>
      <c r="AT335" s="21">
        <f t="shared" si="205"/>
        <v>12</v>
      </c>
      <c r="AU335" s="21">
        <f t="shared" si="206"/>
        <v>19</v>
      </c>
      <c r="AV335">
        <f t="shared" si="207"/>
        <v>73</v>
      </c>
      <c r="AW335">
        <f t="shared" si="208"/>
        <v>76</v>
      </c>
      <c r="AX335">
        <f t="shared" si="209"/>
        <v>84</v>
      </c>
      <c r="AY335">
        <f t="shared" si="210"/>
        <v>87</v>
      </c>
      <c r="AZ335" t="str">
        <f t="shared" si="211"/>
        <v>-</v>
      </c>
      <c r="BA335" t="str">
        <f t="shared" si="212"/>
        <v>-</v>
      </c>
      <c r="BB335" t="str">
        <f t="shared" si="213"/>
        <v>-</v>
      </c>
      <c r="BC335" t="str">
        <f t="shared" si="214"/>
        <v>-</v>
      </c>
      <c r="BD335" s="29" t="str">
        <f t="shared" si="215"/>
        <v>-</v>
      </c>
      <c r="BE335" s="29" t="str">
        <f t="shared" si="216"/>
        <v>-</v>
      </c>
    </row>
    <row r="336" spans="1:57" ht="15" x14ac:dyDescent="0.2">
      <c r="A336" s="2">
        <v>491</v>
      </c>
      <c r="B336" s="2" t="str">
        <f t="shared" si="181"/>
        <v>0491</v>
      </c>
      <c r="C336" t="str">
        <f t="shared" si="182"/>
        <v>ORD-BB-0491-04/05/24</v>
      </c>
      <c r="D336" s="3" t="s">
        <v>522</v>
      </c>
      <c r="E336" t="str">
        <f t="shared" si="183"/>
        <v>SP001</v>
      </c>
      <c r="F336" t="str">
        <f>INDEX(Katalog!$B$4:$B$13,MATCH('Main Data'!E336,Katalog!$C$4:$C$13,0))</f>
        <v>Sneakers</v>
      </c>
      <c r="G336" t="str">
        <f>VLOOKUP(E336,Katalog!$A$15:$B$25,2,0)</f>
        <v>Sepatu Pria</v>
      </c>
      <c r="H336" t="str">
        <f t="shared" si="184"/>
        <v>1</v>
      </c>
      <c r="I336" t="str">
        <f t="shared" si="185"/>
        <v>1</v>
      </c>
      <c r="J336" s="18">
        <f>VLOOKUP(E336,Katalog!$C$3:$F$13,2,0)</f>
        <v>300000</v>
      </c>
      <c r="K336" s="18">
        <f>VLOOKUP(E336,Katalog!$C$3:$F$13,3,0)</f>
        <v>100000</v>
      </c>
      <c r="L336" t="str">
        <f t="shared" si="186"/>
        <v>PP002</v>
      </c>
      <c r="M336" t="str">
        <f>IFERROR(INDEX(Katalog!$B$4:$B$13,MATCH('Main Data'!L336,Katalog!$C$4:$C$13,0)), "-")</f>
        <v>Celana Pendek</v>
      </c>
      <c r="N336" t="str">
        <f>IFERROR(VLOOKUP(L336,Katalog!$A$15:$B$25,2,0),"-")</f>
        <v>Pakaian Pria</v>
      </c>
      <c r="O336" t="str">
        <f t="shared" si="187"/>
        <v>2</v>
      </c>
      <c r="P336" t="str">
        <f t="shared" si="188"/>
        <v>2</v>
      </c>
      <c r="Q336" s="18">
        <f>IFERROR(VLOOKUP(L336,Katalog!$C$3:$F$13,2,0),0)</f>
        <v>60000</v>
      </c>
      <c r="R336" s="18">
        <f>IFERROR(VLOOKUP(L336,Katalog!$C$3:$F$13,3,0),0)</f>
        <v>25000</v>
      </c>
      <c r="S336" t="str">
        <f t="shared" si="189"/>
        <v>PP003</v>
      </c>
      <c r="T336" t="str">
        <f>IFERROR(INDEX(Katalog!$B$4:$B$13,MATCH('Main Data'!S336,Katalog!$C$4:$C$13,0)),"-")</f>
        <v>Jaket Jeans</v>
      </c>
      <c r="U336" t="str">
        <f>IFERROR(VLOOKUP(S336,Katalog!$A$15:$B$25,2,0),"-")</f>
        <v>Pakaian Pria</v>
      </c>
      <c r="V336" t="str">
        <f t="shared" si="190"/>
        <v>1</v>
      </c>
      <c r="W336" s="28" t="str">
        <f t="shared" si="191"/>
        <v>2</v>
      </c>
      <c r="X336" s="18">
        <f>IFERROR(VLOOKUP(S336,Katalog!$C$3:$F$13,2,0),0)</f>
        <v>150000</v>
      </c>
      <c r="Y336" s="30">
        <f>IFERROR(VLOOKUP(S336,Katalog!$C$3:$F$13,3,0),0)</f>
        <v>70000</v>
      </c>
      <c r="Z336" s="2">
        <f t="shared" si="192"/>
        <v>4</v>
      </c>
      <c r="AA336" s="4">
        <f t="shared" si="193"/>
        <v>570000</v>
      </c>
      <c r="AB336" s="4">
        <f t="shared" si="194"/>
        <v>220000</v>
      </c>
      <c r="AC336" s="4" t="s">
        <v>27</v>
      </c>
      <c r="AD336" s="16">
        <f>IFERROR(VLOOKUP(AC336,'Kode Diskon'!$C$2:$D$9,2,0),0)</f>
        <v>0.15</v>
      </c>
      <c r="AE336" s="31">
        <f t="shared" si="195"/>
        <v>85500</v>
      </c>
      <c r="AF336" s="31">
        <f t="shared" si="196"/>
        <v>484500</v>
      </c>
      <c r="AG336" s="31">
        <f t="shared" si="197"/>
        <v>350000</v>
      </c>
      <c r="AH336" s="31">
        <f t="shared" si="198"/>
        <v>264500</v>
      </c>
      <c r="AI336" s="4" t="s">
        <v>28</v>
      </c>
      <c r="AJ336" s="4" t="s">
        <v>13</v>
      </c>
      <c r="AK336" s="4" t="str">
        <f>IFERROR(VLOOKUP(AJ336,'Guide '!$A$13:$B$16,2,0),"-")</f>
        <v>BB</v>
      </c>
      <c r="AL336" s="4" t="s">
        <v>925</v>
      </c>
      <c r="AM336" s="40">
        <v>45416</v>
      </c>
      <c r="AN336">
        <f t="shared" si="199"/>
        <v>29</v>
      </c>
      <c r="AO336">
        <f t="shared" si="200"/>
        <v>32</v>
      </c>
      <c r="AP336">
        <f t="shared" si="201"/>
        <v>40</v>
      </c>
      <c r="AQ336">
        <f t="shared" si="202"/>
        <v>43</v>
      </c>
      <c r="AR336" s="26">
        <f t="shared" si="203"/>
        <v>56</v>
      </c>
      <c r="AS336" s="26">
        <f t="shared" si="204"/>
        <v>63</v>
      </c>
      <c r="AT336" s="21">
        <f t="shared" si="205"/>
        <v>12</v>
      </c>
      <c r="AU336" s="21">
        <f t="shared" si="206"/>
        <v>19</v>
      </c>
      <c r="AV336">
        <f t="shared" si="207"/>
        <v>73</v>
      </c>
      <c r="AW336">
        <f t="shared" si="208"/>
        <v>76</v>
      </c>
      <c r="AX336">
        <f t="shared" si="209"/>
        <v>84</v>
      </c>
      <c r="AY336">
        <f t="shared" si="210"/>
        <v>87</v>
      </c>
      <c r="AZ336">
        <f t="shared" si="211"/>
        <v>100</v>
      </c>
      <c r="BA336">
        <f t="shared" si="212"/>
        <v>107</v>
      </c>
      <c r="BB336">
        <f t="shared" si="213"/>
        <v>117</v>
      </c>
      <c r="BC336">
        <f t="shared" si="214"/>
        <v>120</v>
      </c>
      <c r="BD336" s="29">
        <f t="shared" si="215"/>
        <v>128</v>
      </c>
      <c r="BE336" s="29">
        <f t="shared" si="216"/>
        <v>131</v>
      </c>
    </row>
    <row r="337" spans="1:57" ht="15" x14ac:dyDescent="0.2">
      <c r="A337" s="2">
        <v>561</v>
      </c>
      <c r="B337" s="2" t="str">
        <f t="shared" si="181"/>
        <v>0561</v>
      </c>
      <c r="C337" t="str">
        <f t="shared" si="182"/>
        <v>ORD-SP-0561-04/05/24</v>
      </c>
      <c r="D337" s="3" t="s">
        <v>583</v>
      </c>
      <c r="E337" t="str">
        <f t="shared" si="183"/>
        <v>PW001</v>
      </c>
      <c r="F337" t="str">
        <f>INDEX(Katalog!$B$4:$B$13,MATCH('Main Data'!E337,Katalog!$C$4:$C$13,0))</f>
        <v>Dress</v>
      </c>
      <c r="G337" t="str">
        <f>VLOOKUP(E337,Katalog!$A$15:$B$25,2,0)</f>
        <v>Pakaian Wanita</v>
      </c>
      <c r="H337" t="str">
        <f t="shared" si="184"/>
        <v>3</v>
      </c>
      <c r="I337" t="str">
        <f t="shared" si="185"/>
        <v>4</v>
      </c>
      <c r="J337" s="18">
        <f>VLOOKUP(E337,Katalog!$C$3:$F$13,2,0)</f>
        <v>150000</v>
      </c>
      <c r="K337" s="18">
        <f>VLOOKUP(E337,Katalog!$C$3:$F$13,3,0)</f>
        <v>55000</v>
      </c>
      <c r="L337" t="str">
        <f t="shared" si="186"/>
        <v>PW002</v>
      </c>
      <c r="M337" t="str">
        <f>IFERROR(INDEX(Katalog!$B$4:$B$13,MATCH('Main Data'!L337,Katalog!$C$4:$C$13,0)), "-")</f>
        <v>Blouse</v>
      </c>
      <c r="N337" t="str">
        <f>IFERROR(VLOOKUP(L337,Katalog!$A$15:$B$25,2,0),"-")</f>
        <v>Pakaian Wanita</v>
      </c>
      <c r="O337" t="str">
        <f t="shared" si="187"/>
        <v>2</v>
      </c>
      <c r="P337" t="str">
        <f t="shared" si="188"/>
        <v>4</v>
      </c>
      <c r="Q337" s="18">
        <f>IFERROR(VLOOKUP(L337,Katalog!$C$3:$F$13,2,0),0)</f>
        <v>125000</v>
      </c>
      <c r="R337" s="18">
        <f>IFERROR(VLOOKUP(L337,Katalog!$C$3:$F$13,3,0),0)</f>
        <v>50000</v>
      </c>
      <c r="S337" t="str">
        <f t="shared" si="189"/>
        <v>-</v>
      </c>
      <c r="T337" t="str">
        <f>IFERROR(INDEX(Katalog!$B$4:$B$13,MATCH('Main Data'!S337,Katalog!$C$4:$C$13,0)),"-")</f>
        <v>-</v>
      </c>
      <c r="U337" t="str">
        <f>IFERROR(VLOOKUP(S337,Katalog!$A$15:$B$25,2,0),"-")</f>
        <v>-</v>
      </c>
      <c r="V337">
        <f t="shared" si="190"/>
        <v>0</v>
      </c>
      <c r="W337" s="28" t="str">
        <f t="shared" si="191"/>
        <v>-</v>
      </c>
      <c r="X337" s="18">
        <f>IFERROR(VLOOKUP(S337,Katalog!$C$3:$F$13,2,0),0)</f>
        <v>0</v>
      </c>
      <c r="Y337" s="30">
        <f>IFERROR(VLOOKUP(S337,Katalog!$C$3:$F$13,3,0),0)</f>
        <v>0</v>
      </c>
      <c r="Z337" s="2">
        <f t="shared" si="192"/>
        <v>5</v>
      </c>
      <c r="AA337" s="4">
        <f t="shared" si="193"/>
        <v>700000</v>
      </c>
      <c r="AB337" s="4">
        <f t="shared" si="194"/>
        <v>265000</v>
      </c>
      <c r="AC337" s="4" t="s">
        <v>12</v>
      </c>
      <c r="AD337" s="16">
        <f>IFERROR(VLOOKUP(AC337,'Kode Diskon'!$C$2:$D$9,2,0),0)</f>
        <v>0.15</v>
      </c>
      <c r="AE337" s="31">
        <f t="shared" si="195"/>
        <v>105000</v>
      </c>
      <c r="AF337" s="31">
        <f t="shared" si="196"/>
        <v>595000</v>
      </c>
      <c r="AG337" s="31">
        <f t="shared" si="197"/>
        <v>435000</v>
      </c>
      <c r="AH337" s="31">
        <f t="shared" si="198"/>
        <v>330000</v>
      </c>
      <c r="AI337" s="4" t="s">
        <v>28</v>
      </c>
      <c r="AJ337" s="4" t="s">
        <v>6</v>
      </c>
      <c r="AK337" s="4" t="str">
        <f>IFERROR(VLOOKUP(AJ337,'Guide '!$A$13:$B$16,2,0),"-")</f>
        <v>SP</v>
      </c>
      <c r="AL337" s="4" t="s">
        <v>925</v>
      </c>
      <c r="AM337" s="40">
        <v>45416</v>
      </c>
      <c r="AN337">
        <f t="shared" si="199"/>
        <v>29</v>
      </c>
      <c r="AO337">
        <f t="shared" si="200"/>
        <v>32</v>
      </c>
      <c r="AP337">
        <f t="shared" si="201"/>
        <v>40</v>
      </c>
      <c r="AQ337">
        <f t="shared" si="202"/>
        <v>43</v>
      </c>
      <c r="AR337" s="26">
        <f t="shared" si="203"/>
        <v>56</v>
      </c>
      <c r="AS337" s="26">
        <f t="shared" si="204"/>
        <v>63</v>
      </c>
      <c r="AT337" s="21">
        <f t="shared" si="205"/>
        <v>12</v>
      </c>
      <c r="AU337" s="21">
        <f t="shared" si="206"/>
        <v>19</v>
      </c>
      <c r="AV337">
        <f t="shared" si="207"/>
        <v>73</v>
      </c>
      <c r="AW337">
        <f t="shared" si="208"/>
        <v>76</v>
      </c>
      <c r="AX337">
        <f t="shared" si="209"/>
        <v>84</v>
      </c>
      <c r="AY337">
        <f t="shared" si="210"/>
        <v>87</v>
      </c>
      <c r="AZ337" t="str">
        <f t="shared" si="211"/>
        <v>-</v>
      </c>
      <c r="BA337" t="str">
        <f t="shared" si="212"/>
        <v>-</v>
      </c>
      <c r="BB337" t="str">
        <f t="shared" si="213"/>
        <v>-</v>
      </c>
      <c r="BC337" t="str">
        <f t="shared" si="214"/>
        <v>-</v>
      </c>
      <c r="BD337" s="29" t="str">
        <f t="shared" si="215"/>
        <v>-</v>
      </c>
      <c r="BE337" s="29" t="str">
        <f t="shared" si="216"/>
        <v>-</v>
      </c>
    </row>
    <row r="338" spans="1:57" ht="15" x14ac:dyDescent="0.2">
      <c r="A338" s="2">
        <v>58</v>
      </c>
      <c r="B338" s="2" t="str">
        <f t="shared" si="181"/>
        <v>0058</v>
      </c>
      <c r="C338" t="str">
        <f t="shared" si="182"/>
        <v>ORD-BB-0058-05/05/24</v>
      </c>
      <c r="D338" s="3" t="s">
        <v>132</v>
      </c>
      <c r="E338" t="str">
        <f t="shared" si="183"/>
        <v>PW001</v>
      </c>
      <c r="F338" t="str">
        <f>INDEX(Katalog!$B$4:$B$13,MATCH('Main Data'!E338,Katalog!$C$4:$C$13,0))</f>
        <v>Dress</v>
      </c>
      <c r="G338" t="str">
        <f>VLOOKUP(E338,Katalog!$A$15:$B$25,2,0)</f>
        <v>Pakaian Wanita</v>
      </c>
      <c r="H338" t="str">
        <f t="shared" si="184"/>
        <v>2</v>
      </c>
      <c r="I338" t="str">
        <f t="shared" si="185"/>
        <v>5</v>
      </c>
      <c r="J338" s="18">
        <f>VLOOKUP(E338,Katalog!$C$3:$F$13,2,0)</f>
        <v>150000</v>
      </c>
      <c r="K338" s="18">
        <f>VLOOKUP(E338,Katalog!$C$3:$F$13,3,0)</f>
        <v>55000</v>
      </c>
      <c r="L338" t="str">
        <f t="shared" si="186"/>
        <v>-</v>
      </c>
      <c r="M338" t="str">
        <f>IFERROR(INDEX(Katalog!$B$4:$B$13,MATCH('Main Data'!L338,Katalog!$C$4:$C$13,0)), "-")</f>
        <v>-</v>
      </c>
      <c r="N338" t="str">
        <f>IFERROR(VLOOKUP(L338,Katalog!$A$15:$B$25,2,0),"-")</f>
        <v>-</v>
      </c>
      <c r="O338">
        <f t="shared" si="187"/>
        <v>0</v>
      </c>
      <c r="P338" t="str">
        <f t="shared" si="188"/>
        <v>-</v>
      </c>
      <c r="Q338" s="18">
        <f>IFERROR(VLOOKUP(L338,Katalog!$C$3:$F$13,2,0),0)</f>
        <v>0</v>
      </c>
      <c r="R338" s="18">
        <f>IFERROR(VLOOKUP(L338,Katalog!$C$3:$F$13,3,0),0)</f>
        <v>0</v>
      </c>
      <c r="S338" t="str">
        <f t="shared" si="189"/>
        <v>-</v>
      </c>
      <c r="T338" t="str">
        <f>IFERROR(INDEX(Katalog!$B$4:$B$13,MATCH('Main Data'!S338,Katalog!$C$4:$C$13,0)),"-")</f>
        <v>-</v>
      </c>
      <c r="U338" t="str">
        <f>IFERROR(VLOOKUP(S338,Katalog!$A$15:$B$25,2,0),"-")</f>
        <v>-</v>
      </c>
      <c r="V338">
        <f t="shared" si="190"/>
        <v>0</v>
      </c>
      <c r="W338" s="28" t="str">
        <f t="shared" si="191"/>
        <v>-</v>
      </c>
      <c r="X338" s="18">
        <f>IFERROR(VLOOKUP(S338,Katalog!$C$3:$F$13,2,0),0)</f>
        <v>0</v>
      </c>
      <c r="Y338" s="30">
        <f>IFERROR(VLOOKUP(S338,Katalog!$C$3:$F$13,3,0),0)</f>
        <v>0</v>
      </c>
      <c r="Z338" s="2">
        <f t="shared" si="192"/>
        <v>2</v>
      </c>
      <c r="AA338" s="4">
        <f t="shared" si="193"/>
        <v>300000</v>
      </c>
      <c r="AB338" s="4">
        <f t="shared" si="194"/>
        <v>110000</v>
      </c>
      <c r="AC338" s="4" t="s">
        <v>27</v>
      </c>
      <c r="AD338" s="16">
        <f>IFERROR(VLOOKUP(AC338,'Kode Diskon'!$C$2:$D$9,2,0),0)</f>
        <v>0.15</v>
      </c>
      <c r="AE338" s="31">
        <f t="shared" si="195"/>
        <v>45000</v>
      </c>
      <c r="AF338" s="31">
        <f t="shared" si="196"/>
        <v>255000</v>
      </c>
      <c r="AG338" s="31">
        <f t="shared" si="197"/>
        <v>190000</v>
      </c>
      <c r="AH338" s="31">
        <f t="shared" si="198"/>
        <v>145000</v>
      </c>
      <c r="AI338" s="4" t="s">
        <v>28</v>
      </c>
      <c r="AJ338" s="4" t="s">
        <v>13</v>
      </c>
      <c r="AK338" s="4" t="str">
        <f>IFERROR(VLOOKUP(AJ338,'Guide '!$A$13:$B$16,2,0),"-")</f>
        <v>BB</v>
      </c>
      <c r="AL338" s="4" t="s">
        <v>925</v>
      </c>
      <c r="AM338" s="40">
        <v>45417</v>
      </c>
      <c r="AN338">
        <f t="shared" si="199"/>
        <v>29</v>
      </c>
      <c r="AO338">
        <f t="shared" si="200"/>
        <v>32</v>
      </c>
      <c r="AP338">
        <f t="shared" si="201"/>
        <v>40</v>
      </c>
      <c r="AQ338">
        <f t="shared" si="202"/>
        <v>43</v>
      </c>
      <c r="AR338" s="26" t="str">
        <f t="shared" si="203"/>
        <v>-</v>
      </c>
      <c r="AS338" s="26" t="str">
        <f t="shared" si="204"/>
        <v>-</v>
      </c>
      <c r="AT338" s="21">
        <f t="shared" si="205"/>
        <v>12</v>
      </c>
      <c r="AU338" s="21">
        <f t="shared" si="206"/>
        <v>19</v>
      </c>
      <c r="AV338" t="str">
        <f t="shared" si="207"/>
        <v>-</v>
      </c>
      <c r="AW338" t="str">
        <f t="shared" si="208"/>
        <v>-</v>
      </c>
      <c r="AX338" t="str">
        <f t="shared" si="209"/>
        <v>-</v>
      </c>
      <c r="AY338" t="str">
        <f t="shared" si="210"/>
        <v>-</v>
      </c>
      <c r="AZ338" t="str">
        <f t="shared" si="211"/>
        <v>-</v>
      </c>
      <c r="BA338" t="str">
        <f t="shared" si="212"/>
        <v>-</v>
      </c>
      <c r="BB338" t="str">
        <f t="shared" si="213"/>
        <v>-</v>
      </c>
      <c r="BC338" t="str">
        <f t="shared" si="214"/>
        <v>-</v>
      </c>
      <c r="BD338" s="29" t="str">
        <f t="shared" si="215"/>
        <v>-</v>
      </c>
      <c r="BE338" s="29" t="str">
        <f t="shared" si="216"/>
        <v>-</v>
      </c>
    </row>
    <row r="339" spans="1:57" ht="15" x14ac:dyDescent="0.2">
      <c r="A339" s="2">
        <v>254</v>
      </c>
      <c r="B339" s="2" t="str">
        <f t="shared" si="181"/>
        <v>0254</v>
      </c>
      <c r="C339" t="str">
        <f t="shared" si="182"/>
        <v>ORD-SP-0254-05/05/24</v>
      </c>
      <c r="D339" s="3" t="s">
        <v>306</v>
      </c>
      <c r="E339" t="str">
        <f t="shared" si="183"/>
        <v>PP001</v>
      </c>
      <c r="F339" t="str">
        <f>INDEX(Katalog!$B$4:$B$13,MATCH('Main Data'!E339,Katalog!$C$4:$C$13,0))</f>
        <v>Kaos Polo</v>
      </c>
      <c r="G339" t="str">
        <f>VLOOKUP(E339,Katalog!$A$15:$B$25,2,0)</f>
        <v>Pakaian Pria</v>
      </c>
      <c r="H339" t="str">
        <f t="shared" si="184"/>
        <v>6</v>
      </c>
      <c r="I339" t="str">
        <f t="shared" si="185"/>
        <v>4</v>
      </c>
      <c r="J339" s="18">
        <f>VLOOKUP(E339,Katalog!$C$3:$F$13,2,0)</f>
        <v>80000</v>
      </c>
      <c r="K339" s="18">
        <f>VLOOKUP(E339,Katalog!$C$3:$F$13,3,0)</f>
        <v>30000</v>
      </c>
      <c r="L339" t="str">
        <f t="shared" si="186"/>
        <v>-</v>
      </c>
      <c r="M339" t="str">
        <f>IFERROR(INDEX(Katalog!$B$4:$B$13,MATCH('Main Data'!L339,Katalog!$C$4:$C$13,0)), "-")</f>
        <v>-</v>
      </c>
      <c r="N339" t="str">
        <f>IFERROR(VLOOKUP(L339,Katalog!$A$15:$B$25,2,0),"-")</f>
        <v>-</v>
      </c>
      <c r="O339">
        <f t="shared" si="187"/>
        <v>0</v>
      </c>
      <c r="P339" t="str">
        <f t="shared" si="188"/>
        <v>-</v>
      </c>
      <c r="Q339" s="18">
        <f>IFERROR(VLOOKUP(L339,Katalog!$C$3:$F$13,2,0),0)</f>
        <v>0</v>
      </c>
      <c r="R339" s="18">
        <f>IFERROR(VLOOKUP(L339,Katalog!$C$3:$F$13,3,0),0)</f>
        <v>0</v>
      </c>
      <c r="S339" t="str">
        <f t="shared" si="189"/>
        <v>-</v>
      </c>
      <c r="T339" t="str">
        <f>IFERROR(INDEX(Katalog!$B$4:$B$13,MATCH('Main Data'!S339,Katalog!$C$4:$C$13,0)),"-")</f>
        <v>-</v>
      </c>
      <c r="U339" t="str">
        <f>IFERROR(VLOOKUP(S339,Katalog!$A$15:$B$25,2,0),"-")</f>
        <v>-</v>
      </c>
      <c r="V339">
        <f t="shared" si="190"/>
        <v>0</v>
      </c>
      <c r="W339" s="28" t="str">
        <f t="shared" si="191"/>
        <v>-</v>
      </c>
      <c r="X339" s="18">
        <f>IFERROR(VLOOKUP(S339,Katalog!$C$3:$F$13,2,0),0)</f>
        <v>0</v>
      </c>
      <c r="Y339" s="30">
        <f>IFERROR(VLOOKUP(S339,Katalog!$C$3:$F$13,3,0),0)</f>
        <v>0</v>
      </c>
      <c r="Z339" s="2">
        <f t="shared" si="192"/>
        <v>6</v>
      </c>
      <c r="AA339" s="4">
        <f t="shared" si="193"/>
        <v>480000</v>
      </c>
      <c r="AB339" s="4">
        <f t="shared" si="194"/>
        <v>180000</v>
      </c>
      <c r="AC339" s="4" t="s">
        <v>5</v>
      </c>
      <c r="AD339" s="16">
        <f>IFERROR(VLOOKUP(AC339,'Kode Diskon'!$C$2:$D$9,2,0),0)</f>
        <v>0.1</v>
      </c>
      <c r="AE339" s="31">
        <f t="shared" si="195"/>
        <v>48000</v>
      </c>
      <c r="AF339" s="31">
        <f t="shared" si="196"/>
        <v>432000</v>
      </c>
      <c r="AG339" s="31">
        <f t="shared" si="197"/>
        <v>300000</v>
      </c>
      <c r="AH339" s="31">
        <f t="shared" si="198"/>
        <v>252000</v>
      </c>
      <c r="AI339" s="4" t="s">
        <v>28</v>
      </c>
      <c r="AJ339" s="4" t="s">
        <v>6</v>
      </c>
      <c r="AK339" s="4" t="str">
        <f>IFERROR(VLOOKUP(AJ339,'Guide '!$A$13:$B$16,2,0),"-")</f>
        <v>SP</v>
      </c>
      <c r="AL339" s="4" t="s">
        <v>923</v>
      </c>
      <c r="AM339" s="40">
        <v>45417</v>
      </c>
      <c r="AN339">
        <f t="shared" si="199"/>
        <v>29</v>
      </c>
      <c r="AO339">
        <f t="shared" si="200"/>
        <v>32</v>
      </c>
      <c r="AP339">
        <f t="shared" si="201"/>
        <v>40</v>
      </c>
      <c r="AQ339">
        <f t="shared" si="202"/>
        <v>43</v>
      </c>
      <c r="AR339" s="26" t="str">
        <f t="shared" si="203"/>
        <v>-</v>
      </c>
      <c r="AS339" s="26" t="str">
        <f t="shared" si="204"/>
        <v>-</v>
      </c>
      <c r="AT339" s="21">
        <f t="shared" si="205"/>
        <v>12</v>
      </c>
      <c r="AU339" s="21">
        <f t="shared" si="206"/>
        <v>19</v>
      </c>
      <c r="AV339" t="str">
        <f t="shared" si="207"/>
        <v>-</v>
      </c>
      <c r="AW339" t="str">
        <f t="shared" si="208"/>
        <v>-</v>
      </c>
      <c r="AX339" t="str">
        <f t="shared" si="209"/>
        <v>-</v>
      </c>
      <c r="AY339" t="str">
        <f t="shared" si="210"/>
        <v>-</v>
      </c>
      <c r="AZ339" t="str">
        <f t="shared" si="211"/>
        <v>-</v>
      </c>
      <c r="BA339" t="str">
        <f t="shared" si="212"/>
        <v>-</v>
      </c>
      <c r="BB339" t="str">
        <f t="shared" si="213"/>
        <v>-</v>
      </c>
      <c r="BC339" t="str">
        <f t="shared" si="214"/>
        <v>-</v>
      </c>
      <c r="BD339" s="29" t="str">
        <f t="shared" si="215"/>
        <v>-</v>
      </c>
      <c r="BE339" s="29" t="str">
        <f t="shared" si="216"/>
        <v>-</v>
      </c>
    </row>
    <row r="340" spans="1:57" ht="15" x14ac:dyDescent="0.2">
      <c r="A340" s="2">
        <v>1</v>
      </c>
      <c r="B340" s="2" t="str">
        <f t="shared" si="181"/>
        <v>0001</v>
      </c>
      <c r="C340" t="str">
        <f t="shared" si="182"/>
        <v>ORD-BB-0001-06/05/24</v>
      </c>
      <c r="D340" s="21" t="s">
        <v>75</v>
      </c>
      <c r="E340" t="str">
        <f t="shared" si="183"/>
        <v>PW001</v>
      </c>
      <c r="F340" t="str">
        <f>INDEX(Katalog!$B$4:$B$13,MATCH('Main Data'!E340,Katalog!$C$4:$C$13,0))</f>
        <v>Dress</v>
      </c>
      <c r="G340" t="str">
        <f>VLOOKUP(E340,Katalog!$A$15:$B$25,2,0)</f>
        <v>Pakaian Wanita</v>
      </c>
      <c r="H340" t="str">
        <f t="shared" si="184"/>
        <v>1</v>
      </c>
      <c r="I340" t="str">
        <f t="shared" si="185"/>
        <v>4</v>
      </c>
      <c r="J340" s="18">
        <f>VLOOKUP(E340,Katalog!$C$3:$F$13,2,0)</f>
        <v>150000</v>
      </c>
      <c r="K340" s="18">
        <f>VLOOKUP(E340,Katalog!$C$3:$F$13,3,0)</f>
        <v>55000</v>
      </c>
      <c r="L340" t="str">
        <f t="shared" si="186"/>
        <v>SP001</v>
      </c>
      <c r="M340" t="str">
        <f>IFERROR(INDEX(Katalog!$B$4:$B$13,MATCH('Main Data'!L340,Katalog!$C$4:$C$13,0)), "-")</f>
        <v>Sneakers</v>
      </c>
      <c r="N340" t="str">
        <f>IFERROR(VLOOKUP(L340,Katalog!$A$15:$B$25,2,0),"-")</f>
        <v>Sepatu Pria</v>
      </c>
      <c r="O340" t="str">
        <f t="shared" si="187"/>
        <v>3</v>
      </c>
      <c r="P340" t="str">
        <f t="shared" si="188"/>
        <v>4</v>
      </c>
      <c r="Q340" s="18">
        <f>IFERROR(VLOOKUP(L340,Katalog!$C$3:$F$13,2,0),0)</f>
        <v>300000</v>
      </c>
      <c r="R340" s="18">
        <f>IFERROR(VLOOKUP(L340,Katalog!$C$3:$F$13,3,0),0)</f>
        <v>100000</v>
      </c>
      <c r="S340" t="str">
        <f t="shared" si="189"/>
        <v>SW001</v>
      </c>
      <c r="T340" t="str">
        <f>IFERROR(INDEX(Katalog!$B$4:$B$13,MATCH('Main Data'!S340,Katalog!$C$4:$C$13,0)),"-")</f>
        <v>Flat Shoes</v>
      </c>
      <c r="U340" t="str">
        <f>IFERROR(VLOOKUP(S340,Katalog!$A$15:$B$25,2,0),"-")</f>
        <v>Sepatu Wanita</v>
      </c>
      <c r="V340" t="str">
        <f t="shared" si="190"/>
        <v>2</v>
      </c>
      <c r="W340" s="28" t="str">
        <f t="shared" si="191"/>
        <v>3</v>
      </c>
      <c r="X340" s="18">
        <f>IFERROR(VLOOKUP(S340,Katalog!$C$3:$F$13,2,0),0)</f>
        <v>150000</v>
      </c>
      <c r="Y340" s="30">
        <f>IFERROR(VLOOKUP(S340,Katalog!$C$3:$F$13,3,0),0)</f>
        <v>70000</v>
      </c>
      <c r="Z340" s="12">
        <f t="shared" si="192"/>
        <v>6</v>
      </c>
      <c r="AA340" s="4">
        <f t="shared" si="193"/>
        <v>1350000</v>
      </c>
      <c r="AB340" s="4">
        <f t="shared" si="194"/>
        <v>495000</v>
      </c>
      <c r="AC340" s="4" t="s">
        <v>27</v>
      </c>
      <c r="AD340" s="16">
        <f>IFERROR(VLOOKUP(AC340,'Kode Diskon'!$C$2:$D$9,2,0),0)</f>
        <v>0.15</v>
      </c>
      <c r="AE340" s="31">
        <f t="shared" si="195"/>
        <v>202500</v>
      </c>
      <c r="AF340" s="31">
        <f t="shared" si="196"/>
        <v>1147500</v>
      </c>
      <c r="AG340" s="31">
        <f t="shared" si="197"/>
        <v>855000</v>
      </c>
      <c r="AH340" s="31">
        <f t="shared" si="198"/>
        <v>652500</v>
      </c>
      <c r="AI340" s="4" t="s">
        <v>28</v>
      </c>
      <c r="AJ340" s="4" t="s">
        <v>13</v>
      </c>
      <c r="AK340" s="4" t="str">
        <f>IFERROR(VLOOKUP(AJ340,'Guide '!$A$13:$B$16,2,0),"-")</f>
        <v>BB</v>
      </c>
      <c r="AL340" s="4" t="s">
        <v>1006</v>
      </c>
      <c r="AM340" s="40">
        <v>45418</v>
      </c>
      <c r="AN340">
        <f t="shared" si="199"/>
        <v>29</v>
      </c>
      <c r="AO340">
        <f t="shared" si="200"/>
        <v>32</v>
      </c>
      <c r="AP340">
        <f t="shared" si="201"/>
        <v>40</v>
      </c>
      <c r="AQ340">
        <f t="shared" si="202"/>
        <v>43</v>
      </c>
      <c r="AR340" s="26">
        <f t="shared" si="203"/>
        <v>56</v>
      </c>
      <c r="AS340" s="26">
        <f t="shared" si="204"/>
        <v>63</v>
      </c>
      <c r="AT340" s="21">
        <f t="shared" si="205"/>
        <v>12</v>
      </c>
      <c r="AU340" s="21">
        <f t="shared" si="206"/>
        <v>19</v>
      </c>
      <c r="AV340">
        <f t="shared" si="207"/>
        <v>73</v>
      </c>
      <c r="AW340">
        <f t="shared" si="208"/>
        <v>76</v>
      </c>
      <c r="AX340">
        <f t="shared" si="209"/>
        <v>84</v>
      </c>
      <c r="AY340">
        <f t="shared" si="210"/>
        <v>87</v>
      </c>
      <c r="AZ340">
        <f t="shared" si="211"/>
        <v>100</v>
      </c>
      <c r="BA340">
        <f t="shared" si="212"/>
        <v>107</v>
      </c>
      <c r="BB340">
        <f t="shared" si="213"/>
        <v>117</v>
      </c>
      <c r="BC340">
        <f t="shared" si="214"/>
        <v>120</v>
      </c>
      <c r="BD340" s="29">
        <f t="shared" si="215"/>
        <v>128</v>
      </c>
      <c r="BE340" s="29">
        <f t="shared" si="216"/>
        <v>131</v>
      </c>
    </row>
    <row r="341" spans="1:57" ht="15" x14ac:dyDescent="0.2">
      <c r="A341" s="2">
        <v>81</v>
      </c>
      <c r="B341" s="2" t="str">
        <f t="shared" si="181"/>
        <v>0081</v>
      </c>
      <c r="C341" t="str">
        <f t="shared" si="182"/>
        <v>ORD-SP-0081-06/05/24</v>
      </c>
      <c r="D341" s="3" t="s">
        <v>154</v>
      </c>
      <c r="E341" t="str">
        <f t="shared" si="183"/>
        <v>PP001</v>
      </c>
      <c r="F341" t="str">
        <f>INDEX(Katalog!$B$4:$B$13,MATCH('Main Data'!E341,Katalog!$C$4:$C$13,0))</f>
        <v>Kaos Polo</v>
      </c>
      <c r="G341" t="str">
        <f>VLOOKUP(E341,Katalog!$A$15:$B$25,2,0)</f>
        <v>Pakaian Pria</v>
      </c>
      <c r="H341" t="str">
        <f t="shared" si="184"/>
        <v>1</v>
      </c>
      <c r="I341" t="str">
        <f t="shared" si="185"/>
        <v>5</v>
      </c>
      <c r="J341" s="18">
        <f>VLOOKUP(E341,Katalog!$C$3:$F$13,2,0)</f>
        <v>80000</v>
      </c>
      <c r="K341" s="18">
        <f>VLOOKUP(E341,Katalog!$C$3:$F$13,3,0)</f>
        <v>30000</v>
      </c>
      <c r="L341" t="str">
        <f t="shared" si="186"/>
        <v>PW003</v>
      </c>
      <c r="M341" t="str">
        <f>IFERROR(INDEX(Katalog!$B$4:$B$13,MATCH('Main Data'!L341,Katalog!$C$4:$C$13,0)), "-")</f>
        <v>Kaftan</v>
      </c>
      <c r="N341" t="str">
        <f>IFERROR(VLOOKUP(L341,Katalog!$A$15:$B$25,2,0),"-")</f>
        <v>Pakaian Wanita</v>
      </c>
      <c r="O341" t="str">
        <f t="shared" si="187"/>
        <v>1</v>
      </c>
      <c r="P341" t="str">
        <f t="shared" si="188"/>
        <v>1</v>
      </c>
      <c r="Q341" s="18">
        <f>IFERROR(VLOOKUP(L341,Katalog!$C$3:$F$13,2,0),0)</f>
        <v>200000</v>
      </c>
      <c r="R341" s="18">
        <f>IFERROR(VLOOKUP(L341,Katalog!$C$3:$F$13,3,0),0)</f>
        <v>100000</v>
      </c>
      <c r="S341" t="str">
        <f t="shared" si="189"/>
        <v>PU001</v>
      </c>
      <c r="T341" t="str">
        <f>IFERROR(INDEX(Katalog!$B$4:$B$13,MATCH('Main Data'!S341,Katalog!$C$4:$C$13,0)),"-")</f>
        <v>Jaket Hoodie</v>
      </c>
      <c r="U341" t="str">
        <f>IFERROR(VLOOKUP(S341,Katalog!$A$15:$B$25,2,0),"-")</f>
        <v>Pakaian Unisex</v>
      </c>
      <c r="V341" t="str">
        <f t="shared" si="190"/>
        <v>1</v>
      </c>
      <c r="W341" s="28" t="str">
        <f t="shared" si="191"/>
        <v>3</v>
      </c>
      <c r="X341" s="18">
        <f>IFERROR(VLOOKUP(S341,Katalog!$C$3:$F$13,2,0),0)</f>
        <v>160000</v>
      </c>
      <c r="Y341" s="30">
        <f>IFERROR(VLOOKUP(S341,Katalog!$C$3:$F$13,3,0),0)</f>
        <v>60000</v>
      </c>
      <c r="Z341" s="2">
        <f t="shared" si="192"/>
        <v>3</v>
      </c>
      <c r="AA341" s="4">
        <f t="shared" si="193"/>
        <v>440000</v>
      </c>
      <c r="AB341" s="4">
        <f t="shared" si="194"/>
        <v>190000</v>
      </c>
      <c r="AC341" s="4" t="s">
        <v>5</v>
      </c>
      <c r="AD341" s="16">
        <f>IFERROR(VLOOKUP(AC341,'Kode Diskon'!$C$2:$D$9,2,0),0)</f>
        <v>0.1</v>
      </c>
      <c r="AE341" s="31">
        <f t="shared" si="195"/>
        <v>44000</v>
      </c>
      <c r="AF341" s="31">
        <f t="shared" si="196"/>
        <v>396000</v>
      </c>
      <c r="AG341" s="31">
        <f t="shared" si="197"/>
        <v>250000</v>
      </c>
      <c r="AH341" s="31">
        <f t="shared" si="198"/>
        <v>206000</v>
      </c>
      <c r="AI341" s="4" t="s">
        <v>28</v>
      </c>
      <c r="AJ341" s="4" t="s">
        <v>6</v>
      </c>
      <c r="AK341" s="4" t="str">
        <f>IFERROR(VLOOKUP(AJ341,'Guide '!$A$13:$B$16,2,0),"-")</f>
        <v>SP</v>
      </c>
      <c r="AL341" s="4" t="s">
        <v>923</v>
      </c>
      <c r="AM341" s="40">
        <v>45418</v>
      </c>
      <c r="AN341">
        <f t="shared" si="199"/>
        <v>29</v>
      </c>
      <c r="AO341">
        <f t="shared" si="200"/>
        <v>32</v>
      </c>
      <c r="AP341">
        <f t="shared" si="201"/>
        <v>40</v>
      </c>
      <c r="AQ341">
        <f t="shared" si="202"/>
        <v>43</v>
      </c>
      <c r="AR341" s="26">
        <f t="shared" si="203"/>
        <v>56</v>
      </c>
      <c r="AS341" s="26">
        <f t="shared" si="204"/>
        <v>63</v>
      </c>
      <c r="AT341" s="21">
        <f t="shared" si="205"/>
        <v>12</v>
      </c>
      <c r="AU341" s="21">
        <f t="shared" si="206"/>
        <v>19</v>
      </c>
      <c r="AV341">
        <f t="shared" si="207"/>
        <v>73</v>
      </c>
      <c r="AW341">
        <f t="shared" si="208"/>
        <v>76</v>
      </c>
      <c r="AX341">
        <f t="shared" si="209"/>
        <v>84</v>
      </c>
      <c r="AY341">
        <f t="shared" si="210"/>
        <v>87</v>
      </c>
      <c r="AZ341">
        <f t="shared" si="211"/>
        <v>100</v>
      </c>
      <c r="BA341">
        <f t="shared" si="212"/>
        <v>107</v>
      </c>
      <c r="BB341">
        <f t="shared" si="213"/>
        <v>117</v>
      </c>
      <c r="BC341">
        <f t="shared" si="214"/>
        <v>120</v>
      </c>
      <c r="BD341" s="29">
        <f t="shared" si="215"/>
        <v>128</v>
      </c>
      <c r="BE341" s="29">
        <f t="shared" si="216"/>
        <v>131</v>
      </c>
    </row>
    <row r="342" spans="1:57" ht="15" x14ac:dyDescent="0.2">
      <c r="A342" s="2">
        <v>368</v>
      </c>
      <c r="B342" s="2" t="str">
        <f t="shared" si="181"/>
        <v>0368</v>
      </c>
      <c r="C342" t="str">
        <f t="shared" si="182"/>
        <v>ORD-SP-0368-06/05/24</v>
      </c>
      <c r="D342" s="3" t="s">
        <v>285</v>
      </c>
      <c r="E342" t="str">
        <f t="shared" si="183"/>
        <v>PU001</v>
      </c>
      <c r="F342" t="str">
        <f>INDEX(Katalog!$B$4:$B$13,MATCH('Main Data'!E342,Katalog!$C$4:$C$13,0))</f>
        <v>Jaket Hoodie</v>
      </c>
      <c r="G342" t="str">
        <f>VLOOKUP(E342,Katalog!$A$15:$B$25,2,0)</f>
        <v>Pakaian Unisex</v>
      </c>
      <c r="H342" t="str">
        <f t="shared" si="184"/>
        <v>1</v>
      </c>
      <c r="I342" t="str">
        <f t="shared" si="185"/>
        <v>3</v>
      </c>
      <c r="J342" s="18">
        <f>VLOOKUP(E342,Katalog!$C$3:$F$13,2,0)</f>
        <v>160000</v>
      </c>
      <c r="K342" s="18">
        <f>VLOOKUP(E342,Katalog!$C$3:$F$13,3,0)</f>
        <v>60000</v>
      </c>
      <c r="L342" t="str">
        <f t="shared" si="186"/>
        <v>-</v>
      </c>
      <c r="M342" t="str">
        <f>IFERROR(INDEX(Katalog!$B$4:$B$13,MATCH('Main Data'!L342,Katalog!$C$4:$C$13,0)), "-")</f>
        <v>-</v>
      </c>
      <c r="N342" t="str">
        <f>IFERROR(VLOOKUP(L342,Katalog!$A$15:$B$25,2,0),"-")</f>
        <v>-</v>
      </c>
      <c r="O342">
        <f t="shared" si="187"/>
        <v>0</v>
      </c>
      <c r="P342" t="str">
        <f t="shared" si="188"/>
        <v>-</v>
      </c>
      <c r="Q342" s="18">
        <f>IFERROR(VLOOKUP(L342,Katalog!$C$3:$F$13,2,0),0)</f>
        <v>0</v>
      </c>
      <c r="R342" s="18">
        <f>IFERROR(VLOOKUP(L342,Katalog!$C$3:$F$13,3,0),0)</f>
        <v>0</v>
      </c>
      <c r="S342" t="str">
        <f t="shared" si="189"/>
        <v>-</v>
      </c>
      <c r="T342" t="str">
        <f>IFERROR(INDEX(Katalog!$B$4:$B$13,MATCH('Main Data'!S342,Katalog!$C$4:$C$13,0)),"-")</f>
        <v>-</v>
      </c>
      <c r="U342" t="str">
        <f>IFERROR(VLOOKUP(S342,Katalog!$A$15:$B$25,2,0),"-")</f>
        <v>-</v>
      </c>
      <c r="V342">
        <f t="shared" si="190"/>
        <v>0</v>
      </c>
      <c r="W342" s="28" t="str">
        <f t="shared" si="191"/>
        <v>-</v>
      </c>
      <c r="X342" s="18">
        <f>IFERROR(VLOOKUP(S342,Katalog!$C$3:$F$13,2,0),0)</f>
        <v>0</v>
      </c>
      <c r="Y342" s="30">
        <f>IFERROR(VLOOKUP(S342,Katalog!$C$3:$F$13,3,0),0)</f>
        <v>0</v>
      </c>
      <c r="Z342" s="2">
        <f t="shared" si="192"/>
        <v>1</v>
      </c>
      <c r="AA342" s="4">
        <f t="shared" si="193"/>
        <v>160000</v>
      </c>
      <c r="AB342" s="4">
        <f t="shared" si="194"/>
        <v>60000</v>
      </c>
      <c r="AC342" s="4" t="s">
        <v>5</v>
      </c>
      <c r="AD342" s="16">
        <f>IFERROR(VLOOKUP(AC342,'Kode Diskon'!$C$2:$D$9,2,0),0)</f>
        <v>0.1</v>
      </c>
      <c r="AE342" s="31">
        <f t="shared" si="195"/>
        <v>16000</v>
      </c>
      <c r="AF342" s="31">
        <f t="shared" si="196"/>
        <v>144000</v>
      </c>
      <c r="AG342" s="31">
        <f t="shared" si="197"/>
        <v>100000</v>
      </c>
      <c r="AH342" s="31">
        <f t="shared" si="198"/>
        <v>84000</v>
      </c>
      <c r="AI342" s="4" t="s">
        <v>28</v>
      </c>
      <c r="AJ342" s="4" t="s">
        <v>6</v>
      </c>
      <c r="AK342" s="4" t="str">
        <f>IFERROR(VLOOKUP(AJ342,'Guide '!$A$13:$B$16,2,0),"-")</f>
        <v>SP</v>
      </c>
      <c r="AL342" s="4" t="s">
        <v>924</v>
      </c>
      <c r="AM342" s="40">
        <v>45418</v>
      </c>
      <c r="AN342">
        <f t="shared" si="199"/>
        <v>29</v>
      </c>
      <c r="AO342">
        <f t="shared" si="200"/>
        <v>32</v>
      </c>
      <c r="AP342">
        <f t="shared" si="201"/>
        <v>40</v>
      </c>
      <c r="AQ342">
        <f t="shared" si="202"/>
        <v>43</v>
      </c>
      <c r="AR342" s="26" t="str">
        <f t="shared" si="203"/>
        <v>-</v>
      </c>
      <c r="AS342" s="26" t="str">
        <f t="shared" si="204"/>
        <v>-</v>
      </c>
      <c r="AT342" s="21">
        <f t="shared" si="205"/>
        <v>12</v>
      </c>
      <c r="AU342" s="21">
        <f t="shared" si="206"/>
        <v>19</v>
      </c>
      <c r="AV342" t="str">
        <f t="shared" si="207"/>
        <v>-</v>
      </c>
      <c r="AW342" t="str">
        <f t="shared" si="208"/>
        <v>-</v>
      </c>
      <c r="AX342" t="str">
        <f t="shared" si="209"/>
        <v>-</v>
      </c>
      <c r="AY342" t="str">
        <f t="shared" si="210"/>
        <v>-</v>
      </c>
      <c r="AZ342" t="str">
        <f t="shared" si="211"/>
        <v>-</v>
      </c>
      <c r="BA342" t="str">
        <f t="shared" si="212"/>
        <v>-</v>
      </c>
      <c r="BB342" t="str">
        <f t="shared" si="213"/>
        <v>-</v>
      </c>
      <c r="BC342" t="str">
        <f t="shared" si="214"/>
        <v>-</v>
      </c>
      <c r="BD342" s="29" t="str">
        <f t="shared" si="215"/>
        <v>-</v>
      </c>
      <c r="BE342" s="29" t="str">
        <f t="shared" si="216"/>
        <v>-</v>
      </c>
    </row>
    <row r="343" spans="1:57" ht="15" x14ac:dyDescent="0.2">
      <c r="A343" s="2">
        <v>515</v>
      </c>
      <c r="B343" s="2" t="str">
        <f t="shared" si="181"/>
        <v>0515</v>
      </c>
      <c r="C343" t="str">
        <f t="shared" si="182"/>
        <v>ORD-SP-0515-06/05/24</v>
      </c>
      <c r="D343" s="3" t="s">
        <v>543</v>
      </c>
      <c r="E343" t="str">
        <f t="shared" si="183"/>
        <v>PU001</v>
      </c>
      <c r="F343" t="str">
        <f>INDEX(Katalog!$B$4:$B$13,MATCH('Main Data'!E343,Katalog!$C$4:$C$13,0))</f>
        <v>Jaket Hoodie</v>
      </c>
      <c r="G343" t="str">
        <f>VLOOKUP(E343,Katalog!$A$15:$B$25,2,0)</f>
        <v>Pakaian Unisex</v>
      </c>
      <c r="H343" t="str">
        <f t="shared" si="184"/>
        <v>4</v>
      </c>
      <c r="I343" t="str">
        <f t="shared" si="185"/>
        <v>5</v>
      </c>
      <c r="J343" s="18">
        <f>VLOOKUP(E343,Katalog!$C$3:$F$13,2,0)</f>
        <v>160000</v>
      </c>
      <c r="K343" s="18">
        <f>VLOOKUP(E343,Katalog!$C$3:$F$13,3,0)</f>
        <v>60000</v>
      </c>
      <c r="L343" t="str">
        <f t="shared" si="186"/>
        <v>SP002</v>
      </c>
      <c r="M343" t="str">
        <f>IFERROR(INDEX(Katalog!$B$4:$B$13,MATCH('Main Data'!L343,Katalog!$C$4:$C$13,0)), "-")</f>
        <v>Sandal Slip On</v>
      </c>
      <c r="N343" t="str">
        <f>IFERROR(VLOOKUP(L343,Katalog!$A$15:$B$25,2,0),"-")</f>
        <v>Sepatu Pria</v>
      </c>
      <c r="O343" t="str">
        <f t="shared" si="187"/>
        <v>2</v>
      </c>
      <c r="P343" t="str">
        <f t="shared" si="188"/>
        <v>1</v>
      </c>
      <c r="Q343" s="18">
        <f>IFERROR(VLOOKUP(L343,Katalog!$C$3:$F$13,2,0),0)</f>
        <v>120000</v>
      </c>
      <c r="R343" s="18">
        <f>IFERROR(VLOOKUP(L343,Katalog!$C$3:$F$13,3,0),0)</f>
        <v>60000</v>
      </c>
      <c r="S343" t="str">
        <f t="shared" si="189"/>
        <v>-</v>
      </c>
      <c r="T343" t="str">
        <f>IFERROR(INDEX(Katalog!$B$4:$B$13,MATCH('Main Data'!S343,Katalog!$C$4:$C$13,0)),"-")</f>
        <v>-</v>
      </c>
      <c r="U343" t="str">
        <f>IFERROR(VLOOKUP(S343,Katalog!$A$15:$B$25,2,0),"-")</f>
        <v>-</v>
      </c>
      <c r="V343">
        <f t="shared" si="190"/>
        <v>0</v>
      </c>
      <c r="W343" s="28" t="str">
        <f t="shared" si="191"/>
        <v>-</v>
      </c>
      <c r="X343" s="18">
        <f>IFERROR(VLOOKUP(S343,Katalog!$C$3:$F$13,2,0),0)</f>
        <v>0</v>
      </c>
      <c r="Y343" s="30">
        <f>IFERROR(VLOOKUP(S343,Katalog!$C$3:$F$13,3,0),0)</f>
        <v>0</v>
      </c>
      <c r="Z343" s="2">
        <f t="shared" si="192"/>
        <v>6</v>
      </c>
      <c r="AA343" s="4">
        <f t="shared" si="193"/>
        <v>880000</v>
      </c>
      <c r="AB343" s="4">
        <f t="shared" si="194"/>
        <v>360000</v>
      </c>
      <c r="AC343" s="4" t="s">
        <v>5</v>
      </c>
      <c r="AD343" s="16">
        <f>IFERROR(VLOOKUP(AC343,'Kode Diskon'!$C$2:$D$9,2,0),0)</f>
        <v>0.1</v>
      </c>
      <c r="AE343" s="31">
        <f t="shared" si="195"/>
        <v>88000</v>
      </c>
      <c r="AF343" s="31">
        <f t="shared" si="196"/>
        <v>792000</v>
      </c>
      <c r="AG343" s="31">
        <f t="shared" si="197"/>
        <v>520000</v>
      </c>
      <c r="AH343" s="31">
        <f t="shared" si="198"/>
        <v>432000</v>
      </c>
      <c r="AI343" s="4" t="s">
        <v>28</v>
      </c>
      <c r="AJ343" s="4" t="s">
        <v>6</v>
      </c>
      <c r="AK343" s="4" t="str">
        <f>IFERROR(VLOOKUP(AJ343,'Guide '!$A$13:$B$16,2,0),"-")</f>
        <v>SP</v>
      </c>
      <c r="AL343" s="4" t="s">
        <v>925</v>
      </c>
      <c r="AM343" s="40">
        <v>45418</v>
      </c>
      <c r="AN343">
        <f t="shared" si="199"/>
        <v>29</v>
      </c>
      <c r="AO343">
        <f t="shared" si="200"/>
        <v>32</v>
      </c>
      <c r="AP343">
        <f t="shared" si="201"/>
        <v>40</v>
      </c>
      <c r="AQ343">
        <f t="shared" si="202"/>
        <v>43</v>
      </c>
      <c r="AR343" s="26">
        <f t="shared" si="203"/>
        <v>56</v>
      </c>
      <c r="AS343" s="26">
        <f t="shared" si="204"/>
        <v>63</v>
      </c>
      <c r="AT343" s="21">
        <f t="shared" si="205"/>
        <v>12</v>
      </c>
      <c r="AU343" s="21">
        <f t="shared" si="206"/>
        <v>19</v>
      </c>
      <c r="AV343">
        <f t="shared" si="207"/>
        <v>73</v>
      </c>
      <c r="AW343">
        <f t="shared" si="208"/>
        <v>76</v>
      </c>
      <c r="AX343">
        <f t="shared" si="209"/>
        <v>84</v>
      </c>
      <c r="AY343">
        <f t="shared" si="210"/>
        <v>87</v>
      </c>
      <c r="AZ343" t="str">
        <f t="shared" si="211"/>
        <v>-</v>
      </c>
      <c r="BA343" t="str">
        <f t="shared" si="212"/>
        <v>-</v>
      </c>
      <c r="BB343" t="str">
        <f t="shared" si="213"/>
        <v>-</v>
      </c>
      <c r="BC343" t="str">
        <f t="shared" si="214"/>
        <v>-</v>
      </c>
      <c r="BD343" s="29" t="str">
        <f t="shared" si="215"/>
        <v>-</v>
      </c>
      <c r="BE343" s="29" t="str">
        <f t="shared" si="216"/>
        <v>-</v>
      </c>
    </row>
    <row r="344" spans="1:57" ht="15" x14ac:dyDescent="0.2">
      <c r="A344" s="2">
        <v>846</v>
      </c>
      <c r="B344" s="2" t="str">
        <f t="shared" si="181"/>
        <v>0846</v>
      </c>
      <c r="C344" t="str">
        <f t="shared" si="182"/>
        <v>ORD-SP-0846-06/05/24</v>
      </c>
      <c r="D344" s="3" t="s">
        <v>800</v>
      </c>
      <c r="E344" t="str">
        <f t="shared" si="183"/>
        <v>PU001</v>
      </c>
      <c r="F344" t="str">
        <f>INDEX(Katalog!$B$4:$B$13,MATCH('Main Data'!E344,Katalog!$C$4:$C$13,0))</f>
        <v>Jaket Hoodie</v>
      </c>
      <c r="G344" t="str">
        <f>VLOOKUP(E344,Katalog!$A$15:$B$25,2,0)</f>
        <v>Pakaian Unisex</v>
      </c>
      <c r="H344" t="str">
        <f t="shared" si="184"/>
        <v>1</v>
      </c>
      <c r="I344" t="str">
        <f t="shared" si="185"/>
        <v>5</v>
      </c>
      <c r="J344" s="18">
        <f>VLOOKUP(E344,Katalog!$C$3:$F$13,2,0)</f>
        <v>160000</v>
      </c>
      <c r="K344" s="18">
        <f>VLOOKUP(E344,Katalog!$C$3:$F$13,3,0)</f>
        <v>60000</v>
      </c>
      <c r="L344" t="str">
        <f t="shared" si="186"/>
        <v>SP002</v>
      </c>
      <c r="M344" t="str">
        <f>IFERROR(INDEX(Katalog!$B$4:$B$13,MATCH('Main Data'!L344,Katalog!$C$4:$C$13,0)), "-")</f>
        <v>Sandal Slip On</v>
      </c>
      <c r="N344" t="str">
        <f>IFERROR(VLOOKUP(L344,Katalog!$A$15:$B$25,2,0),"-")</f>
        <v>Sepatu Pria</v>
      </c>
      <c r="O344" t="str">
        <f t="shared" si="187"/>
        <v>2</v>
      </c>
      <c r="P344" t="str">
        <f t="shared" si="188"/>
        <v>2</v>
      </c>
      <c r="Q344" s="18">
        <f>IFERROR(VLOOKUP(L344,Katalog!$C$3:$F$13,2,0),0)</f>
        <v>120000</v>
      </c>
      <c r="R344" s="18">
        <f>IFERROR(VLOOKUP(L344,Katalog!$C$3:$F$13,3,0),0)</f>
        <v>60000</v>
      </c>
      <c r="S344" t="str">
        <f t="shared" si="189"/>
        <v>PW003</v>
      </c>
      <c r="T344" t="str">
        <f>IFERROR(INDEX(Katalog!$B$4:$B$13,MATCH('Main Data'!S344,Katalog!$C$4:$C$13,0)),"-")</f>
        <v>Kaftan</v>
      </c>
      <c r="U344" t="str">
        <f>IFERROR(VLOOKUP(S344,Katalog!$A$15:$B$25,2,0),"-")</f>
        <v>Pakaian Wanita</v>
      </c>
      <c r="V344" t="str">
        <f t="shared" si="190"/>
        <v>1</v>
      </c>
      <c r="W344" s="28" t="str">
        <f t="shared" si="191"/>
        <v>2</v>
      </c>
      <c r="X344" s="18">
        <f>IFERROR(VLOOKUP(S344,Katalog!$C$3:$F$13,2,0),0)</f>
        <v>200000</v>
      </c>
      <c r="Y344" s="30">
        <f>IFERROR(VLOOKUP(S344,Katalog!$C$3:$F$13,3,0),0)</f>
        <v>100000</v>
      </c>
      <c r="Z344" s="2">
        <f t="shared" si="192"/>
        <v>4</v>
      </c>
      <c r="AA344" s="4">
        <f t="shared" si="193"/>
        <v>600000</v>
      </c>
      <c r="AB344" s="4">
        <f t="shared" si="194"/>
        <v>280000</v>
      </c>
      <c r="AC344" s="4" t="s">
        <v>7</v>
      </c>
      <c r="AD344" s="16">
        <f>IFERROR(VLOOKUP(AC344,'Kode Diskon'!$C$2:$D$9,2,0),0)</f>
        <v>0.2</v>
      </c>
      <c r="AE344" s="31">
        <f t="shared" si="195"/>
        <v>120000</v>
      </c>
      <c r="AF344" s="31">
        <f t="shared" si="196"/>
        <v>480000</v>
      </c>
      <c r="AG344" s="31">
        <f t="shared" si="197"/>
        <v>320000</v>
      </c>
      <c r="AH344" s="31">
        <f t="shared" si="198"/>
        <v>200000</v>
      </c>
      <c r="AI344" s="4" t="s">
        <v>8</v>
      </c>
      <c r="AJ344" s="4" t="s">
        <v>6</v>
      </c>
      <c r="AK344" s="4" t="str">
        <f>IFERROR(VLOOKUP(AJ344,'Guide '!$A$13:$B$16,2,0),"-")</f>
        <v>SP</v>
      </c>
      <c r="AL344" s="4" t="s">
        <v>925</v>
      </c>
      <c r="AM344" s="40">
        <v>45418</v>
      </c>
      <c r="AN344">
        <f t="shared" si="199"/>
        <v>29</v>
      </c>
      <c r="AO344">
        <f t="shared" si="200"/>
        <v>32</v>
      </c>
      <c r="AP344">
        <f t="shared" si="201"/>
        <v>40</v>
      </c>
      <c r="AQ344">
        <f t="shared" si="202"/>
        <v>43</v>
      </c>
      <c r="AR344" s="26">
        <f t="shared" si="203"/>
        <v>56</v>
      </c>
      <c r="AS344" s="26">
        <f t="shared" si="204"/>
        <v>63</v>
      </c>
      <c r="AT344" s="21">
        <f t="shared" si="205"/>
        <v>12</v>
      </c>
      <c r="AU344" s="21">
        <f t="shared" si="206"/>
        <v>19</v>
      </c>
      <c r="AV344">
        <f t="shared" si="207"/>
        <v>73</v>
      </c>
      <c r="AW344">
        <f t="shared" si="208"/>
        <v>76</v>
      </c>
      <c r="AX344">
        <f t="shared" si="209"/>
        <v>84</v>
      </c>
      <c r="AY344">
        <f t="shared" si="210"/>
        <v>87</v>
      </c>
      <c r="AZ344">
        <f t="shared" si="211"/>
        <v>100</v>
      </c>
      <c r="BA344">
        <f t="shared" si="212"/>
        <v>107</v>
      </c>
      <c r="BB344">
        <f t="shared" si="213"/>
        <v>117</v>
      </c>
      <c r="BC344">
        <f t="shared" si="214"/>
        <v>120</v>
      </c>
      <c r="BD344" s="29">
        <f t="shared" si="215"/>
        <v>128</v>
      </c>
      <c r="BE344" s="29">
        <f t="shared" si="216"/>
        <v>131</v>
      </c>
    </row>
    <row r="345" spans="1:57" ht="15" x14ac:dyDescent="0.2">
      <c r="A345" s="2">
        <v>988</v>
      </c>
      <c r="B345" s="2" t="str">
        <f t="shared" si="181"/>
        <v>0988</v>
      </c>
      <c r="C345" t="str">
        <f t="shared" si="182"/>
        <v>ORD-BL-0988-07/05/24</v>
      </c>
      <c r="D345" s="3" t="s">
        <v>910</v>
      </c>
      <c r="E345" t="str">
        <f t="shared" si="183"/>
        <v>PP002</v>
      </c>
      <c r="F345" t="str">
        <f>INDEX(Katalog!$B$4:$B$13,MATCH('Main Data'!E345,Katalog!$C$4:$C$13,0))</f>
        <v>Celana Pendek</v>
      </c>
      <c r="G345" t="str">
        <f>VLOOKUP(E345,Katalog!$A$15:$B$25,2,0)</f>
        <v>Pakaian Pria</v>
      </c>
      <c r="H345" t="str">
        <f t="shared" si="184"/>
        <v>1</v>
      </c>
      <c r="I345" t="str">
        <f t="shared" si="185"/>
        <v>4</v>
      </c>
      <c r="J345" s="18">
        <f>VLOOKUP(E345,Katalog!$C$3:$F$13,2,0)</f>
        <v>60000</v>
      </c>
      <c r="K345" s="18">
        <f>VLOOKUP(E345,Katalog!$C$3:$F$13,3,0)</f>
        <v>25000</v>
      </c>
      <c r="L345" t="str">
        <f t="shared" si="186"/>
        <v>PP003</v>
      </c>
      <c r="M345" t="str">
        <f>IFERROR(INDEX(Katalog!$B$4:$B$13,MATCH('Main Data'!L345,Katalog!$C$4:$C$13,0)), "-")</f>
        <v>Jaket Jeans</v>
      </c>
      <c r="N345" t="str">
        <f>IFERROR(VLOOKUP(L345,Katalog!$A$15:$B$25,2,0),"-")</f>
        <v>Pakaian Pria</v>
      </c>
      <c r="O345" t="str">
        <f t="shared" si="187"/>
        <v>2</v>
      </c>
      <c r="P345" t="str">
        <f t="shared" si="188"/>
        <v>2</v>
      </c>
      <c r="Q345" s="18">
        <f>IFERROR(VLOOKUP(L345,Katalog!$C$3:$F$13,2,0),0)</f>
        <v>150000</v>
      </c>
      <c r="R345" s="18">
        <f>IFERROR(VLOOKUP(L345,Katalog!$C$3:$F$13,3,0),0)</f>
        <v>70000</v>
      </c>
      <c r="S345" t="str">
        <f t="shared" si="189"/>
        <v>SP002</v>
      </c>
      <c r="T345" t="str">
        <f>IFERROR(INDEX(Katalog!$B$4:$B$13,MATCH('Main Data'!S345,Katalog!$C$4:$C$13,0)),"-")</f>
        <v>Sandal Slip On</v>
      </c>
      <c r="U345" t="str">
        <f>IFERROR(VLOOKUP(S345,Katalog!$A$15:$B$25,2,0),"-")</f>
        <v>Sepatu Pria</v>
      </c>
      <c r="V345" t="str">
        <f t="shared" si="190"/>
        <v>2</v>
      </c>
      <c r="W345" s="28" t="str">
        <f t="shared" si="191"/>
        <v>1</v>
      </c>
      <c r="X345" s="18">
        <f>IFERROR(VLOOKUP(S345,Katalog!$C$3:$F$13,2,0),0)</f>
        <v>120000</v>
      </c>
      <c r="Y345" s="30">
        <f>IFERROR(VLOOKUP(S345,Katalog!$C$3:$F$13,3,0),0)</f>
        <v>60000</v>
      </c>
      <c r="Z345" s="2">
        <f t="shared" si="192"/>
        <v>5</v>
      </c>
      <c r="AA345" s="4">
        <f t="shared" si="193"/>
        <v>600000</v>
      </c>
      <c r="AB345" s="4">
        <f t="shared" si="194"/>
        <v>285000</v>
      </c>
      <c r="AC345" s="4" t="s">
        <v>31</v>
      </c>
      <c r="AD345" s="16">
        <f>IFERROR(VLOOKUP(AC345,'Kode Diskon'!$C$2:$D$9,2,0),0)</f>
        <v>0.15</v>
      </c>
      <c r="AE345" s="31">
        <f t="shared" si="195"/>
        <v>90000</v>
      </c>
      <c r="AF345" s="31">
        <f t="shared" si="196"/>
        <v>510000</v>
      </c>
      <c r="AG345" s="31">
        <f t="shared" si="197"/>
        <v>315000</v>
      </c>
      <c r="AH345" s="31">
        <f t="shared" si="198"/>
        <v>225000</v>
      </c>
      <c r="AI345" s="4" t="s">
        <v>8</v>
      </c>
      <c r="AJ345" s="4" t="s">
        <v>11</v>
      </c>
      <c r="AK345" s="4" t="str">
        <f>IFERROR(VLOOKUP(AJ345,'Guide '!$A$13:$B$16,2,0),"-")</f>
        <v>BL</v>
      </c>
      <c r="AL345" s="4" t="s">
        <v>922</v>
      </c>
      <c r="AM345" s="40">
        <v>45419</v>
      </c>
      <c r="AN345">
        <f t="shared" si="199"/>
        <v>29</v>
      </c>
      <c r="AO345">
        <f t="shared" si="200"/>
        <v>32</v>
      </c>
      <c r="AP345">
        <f t="shared" si="201"/>
        <v>40</v>
      </c>
      <c r="AQ345">
        <f t="shared" si="202"/>
        <v>43</v>
      </c>
      <c r="AR345" s="26">
        <f t="shared" si="203"/>
        <v>56</v>
      </c>
      <c r="AS345" s="26">
        <f t="shared" si="204"/>
        <v>63</v>
      </c>
      <c r="AT345" s="21">
        <f t="shared" si="205"/>
        <v>12</v>
      </c>
      <c r="AU345" s="21">
        <f t="shared" si="206"/>
        <v>19</v>
      </c>
      <c r="AV345">
        <f t="shared" si="207"/>
        <v>73</v>
      </c>
      <c r="AW345">
        <f t="shared" si="208"/>
        <v>76</v>
      </c>
      <c r="AX345">
        <f t="shared" si="209"/>
        <v>84</v>
      </c>
      <c r="AY345">
        <f t="shared" si="210"/>
        <v>87</v>
      </c>
      <c r="AZ345">
        <f t="shared" si="211"/>
        <v>100</v>
      </c>
      <c r="BA345">
        <f t="shared" si="212"/>
        <v>107</v>
      </c>
      <c r="BB345">
        <f t="shared" si="213"/>
        <v>117</v>
      </c>
      <c r="BC345">
        <f t="shared" si="214"/>
        <v>120</v>
      </c>
      <c r="BD345" s="29">
        <f t="shared" si="215"/>
        <v>128</v>
      </c>
      <c r="BE345" s="29">
        <f t="shared" si="216"/>
        <v>131</v>
      </c>
    </row>
    <row r="346" spans="1:57" ht="15" x14ac:dyDescent="0.2">
      <c r="A346" s="2">
        <v>771</v>
      </c>
      <c r="B346" s="2" t="str">
        <f t="shared" si="181"/>
        <v>0771</v>
      </c>
      <c r="C346" t="str">
        <f t="shared" si="182"/>
        <v>ORD-TK-0771-08/05/24</v>
      </c>
      <c r="D346" s="3" t="s">
        <v>617</v>
      </c>
      <c r="E346" t="str">
        <f t="shared" si="183"/>
        <v>PW002</v>
      </c>
      <c r="F346" t="str">
        <f>INDEX(Katalog!$B$4:$B$13,MATCH('Main Data'!E346,Katalog!$C$4:$C$13,0))</f>
        <v>Blouse</v>
      </c>
      <c r="G346" t="str">
        <f>VLOOKUP(E346,Katalog!$A$15:$B$25,2,0)</f>
        <v>Pakaian Wanita</v>
      </c>
      <c r="H346" t="str">
        <f t="shared" si="184"/>
        <v>7</v>
      </c>
      <c r="I346" t="str">
        <f t="shared" si="185"/>
        <v>3</v>
      </c>
      <c r="J346" s="18">
        <f>VLOOKUP(E346,Katalog!$C$3:$F$13,2,0)</f>
        <v>125000</v>
      </c>
      <c r="K346" s="18">
        <f>VLOOKUP(E346,Katalog!$C$3:$F$13,3,0)</f>
        <v>50000</v>
      </c>
      <c r="L346" t="str">
        <f t="shared" si="186"/>
        <v>-</v>
      </c>
      <c r="M346" t="str">
        <f>IFERROR(INDEX(Katalog!$B$4:$B$13,MATCH('Main Data'!L346,Katalog!$C$4:$C$13,0)), "-")</f>
        <v>-</v>
      </c>
      <c r="N346" t="str">
        <f>IFERROR(VLOOKUP(L346,Katalog!$A$15:$B$25,2,0),"-")</f>
        <v>-</v>
      </c>
      <c r="O346">
        <f t="shared" si="187"/>
        <v>0</v>
      </c>
      <c r="P346" t="str">
        <f t="shared" si="188"/>
        <v>-</v>
      </c>
      <c r="Q346" s="18">
        <f>IFERROR(VLOOKUP(L346,Katalog!$C$3:$F$13,2,0),0)</f>
        <v>0</v>
      </c>
      <c r="R346" s="18">
        <f>IFERROR(VLOOKUP(L346,Katalog!$C$3:$F$13,3,0),0)</f>
        <v>0</v>
      </c>
      <c r="S346" t="str">
        <f t="shared" si="189"/>
        <v>-</v>
      </c>
      <c r="T346" t="str">
        <f>IFERROR(INDEX(Katalog!$B$4:$B$13,MATCH('Main Data'!S346,Katalog!$C$4:$C$13,0)),"-")</f>
        <v>-</v>
      </c>
      <c r="U346" t="str">
        <f>IFERROR(VLOOKUP(S346,Katalog!$A$15:$B$25,2,0),"-")</f>
        <v>-</v>
      </c>
      <c r="V346">
        <f t="shared" si="190"/>
        <v>0</v>
      </c>
      <c r="W346" s="28" t="str">
        <f t="shared" si="191"/>
        <v>-</v>
      </c>
      <c r="X346" s="18">
        <f>IFERROR(VLOOKUP(S346,Katalog!$C$3:$F$13,2,0),0)</f>
        <v>0</v>
      </c>
      <c r="Y346" s="30">
        <f>IFERROR(VLOOKUP(S346,Katalog!$C$3:$F$13,3,0),0)</f>
        <v>0</v>
      </c>
      <c r="Z346" s="2">
        <f t="shared" si="192"/>
        <v>7</v>
      </c>
      <c r="AA346" s="4">
        <f t="shared" si="193"/>
        <v>875000</v>
      </c>
      <c r="AB346" s="4">
        <f t="shared" si="194"/>
        <v>350000</v>
      </c>
      <c r="AC346" s="4" t="s">
        <v>30</v>
      </c>
      <c r="AD346" s="16">
        <f>IFERROR(VLOOKUP(AC346,'Kode Diskon'!$C$2:$D$9,2,0),0)</f>
        <v>0.1</v>
      </c>
      <c r="AE346" s="31">
        <f t="shared" si="195"/>
        <v>87500</v>
      </c>
      <c r="AF346" s="31">
        <f t="shared" si="196"/>
        <v>787500</v>
      </c>
      <c r="AG346" s="31">
        <f t="shared" si="197"/>
        <v>525000</v>
      </c>
      <c r="AH346" s="31">
        <f t="shared" si="198"/>
        <v>437500</v>
      </c>
      <c r="AI346" s="4" t="s">
        <v>8</v>
      </c>
      <c r="AJ346" s="4" t="s">
        <v>9</v>
      </c>
      <c r="AK346" s="4" t="str">
        <f>IFERROR(VLOOKUP(AJ346,'Guide '!$A$13:$B$16,2,0),"-")</f>
        <v>TK</v>
      </c>
      <c r="AL346" s="4" t="s">
        <v>925</v>
      </c>
      <c r="AM346" s="40">
        <v>45420</v>
      </c>
      <c r="AN346">
        <f t="shared" si="199"/>
        <v>29</v>
      </c>
      <c r="AO346">
        <f t="shared" si="200"/>
        <v>32</v>
      </c>
      <c r="AP346">
        <f t="shared" si="201"/>
        <v>40</v>
      </c>
      <c r="AQ346">
        <f t="shared" si="202"/>
        <v>43</v>
      </c>
      <c r="AR346" s="26" t="str">
        <f t="shared" si="203"/>
        <v>-</v>
      </c>
      <c r="AS346" s="26" t="str">
        <f t="shared" si="204"/>
        <v>-</v>
      </c>
      <c r="AT346" s="21">
        <f t="shared" si="205"/>
        <v>12</v>
      </c>
      <c r="AU346" s="21">
        <f t="shared" si="206"/>
        <v>19</v>
      </c>
      <c r="AV346" t="str">
        <f t="shared" si="207"/>
        <v>-</v>
      </c>
      <c r="AW346" t="str">
        <f t="shared" si="208"/>
        <v>-</v>
      </c>
      <c r="AX346" t="str">
        <f t="shared" si="209"/>
        <v>-</v>
      </c>
      <c r="AY346" t="str">
        <f t="shared" si="210"/>
        <v>-</v>
      </c>
      <c r="AZ346" t="str">
        <f t="shared" si="211"/>
        <v>-</v>
      </c>
      <c r="BA346" t="str">
        <f t="shared" si="212"/>
        <v>-</v>
      </c>
      <c r="BB346" t="str">
        <f t="shared" si="213"/>
        <v>-</v>
      </c>
      <c r="BC346" t="str">
        <f t="shared" si="214"/>
        <v>-</v>
      </c>
      <c r="BD346" s="29" t="str">
        <f t="shared" si="215"/>
        <v>-</v>
      </c>
      <c r="BE346" s="29" t="str">
        <f t="shared" si="216"/>
        <v>-</v>
      </c>
    </row>
    <row r="347" spans="1:57" ht="15" x14ac:dyDescent="0.2">
      <c r="A347" s="2">
        <v>480</v>
      </c>
      <c r="B347" s="2" t="str">
        <f t="shared" si="181"/>
        <v>0480</v>
      </c>
      <c r="C347" t="str">
        <f t="shared" si="182"/>
        <v>ORD-TK-0480-09/05/24</v>
      </c>
      <c r="D347" s="3" t="s">
        <v>129</v>
      </c>
      <c r="E347" t="str">
        <f t="shared" si="183"/>
        <v>SP001</v>
      </c>
      <c r="F347" t="str">
        <f>INDEX(Katalog!$B$4:$B$13,MATCH('Main Data'!E347,Katalog!$C$4:$C$13,0))</f>
        <v>Sneakers</v>
      </c>
      <c r="G347" t="str">
        <f>VLOOKUP(E347,Katalog!$A$15:$B$25,2,0)</f>
        <v>Sepatu Pria</v>
      </c>
      <c r="H347" t="str">
        <f t="shared" si="184"/>
        <v>2</v>
      </c>
      <c r="I347" t="str">
        <f t="shared" si="185"/>
        <v>1</v>
      </c>
      <c r="J347" s="18">
        <f>VLOOKUP(E347,Katalog!$C$3:$F$13,2,0)</f>
        <v>300000</v>
      </c>
      <c r="K347" s="18">
        <f>VLOOKUP(E347,Katalog!$C$3:$F$13,3,0)</f>
        <v>100000</v>
      </c>
      <c r="L347" t="str">
        <f t="shared" si="186"/>
        <v>-</v>
      </c>
      <c r="M347" t="str">
        <f>IFERROR(INDEX(Katalog!$B$4:$B$13,MATCH('Main Data'!L347,Katalog!$C$4:$C$13,0)), "-")</f>
        <v>-</v>
      </c>
      <c r="N347" t="str">
        <f>IFERROR(VLOOKUP(L347,Katalog!$A$15:$B$25,2,0),"-")</f>
        <v>-</v>
      </c>
      <c r="O347">
        <f t="shared" si="187"/>
        <v>0</v>
      </c>
      <c r="P347" t="str">
        <f t="shared" si="188"/>
        <v>-</v>
      </c>
      <c r="Q347" s="18">
        <f>IFERROR(VLOOKUP(L347,Katalog!$C$3:$F$13,2,0),0)</f>
        <v>0</v>
      </c>
      <c r="R347" s="18">
        <f>IFERROR(VLOOKUP(L347,Katalog!$C$3:$F$13,3,0),0)</f>
        <v>0</v>
      </c>
      <c r="S347" t="str">
        <f t="shared" si="189"/>
        <v>-</v>
      </c>
      <c r="T347" t="str">
        <f>IFERROR(INDEX(Katalog!$B$4:$B$13,MATCH('Main Data'!S347,Katalog!$C$4:$C$13,0)),"-")</f>
        <v>-</v>
      </c>
      <c r="U347" t="str">
        <f>IFERROR(VLOOKUP(S347,Katalog!$A$15:$B$25,2,0),"-")</f>
        <v>-</v>
      </c>
      <c r="V347">
        <f t="shared" si="190"/>
        <v>0</v>
      </c>
      <c r="W347" s="28" t="str">
        <f t="shared" si="191"/>
        <v>-</v>
      </c>
      <c r="X347" s="18">
        <f>IFERROR(VLOOKUP(S347,Katalog!$C$3:$F$13,2,0),0)</f>
        <v>0</v>
      </c>
      <c r="Y347" s="30">
        <f>IFERROR(VLOOKUP(S347,Katalog!$C$3:$F$13,3,0),0)</f>
        <v>0</v>
      </c>
      <c r="Z347" s="2">
        <f t="shared" si="192"/>
        <v>2</v>
      </c>
      <c r="AA347" s="4">
        <f t="shared" si="193"/>
        <v>600000</v>
      </c>
      <c r="AB347" s="4">
        <f t="shared" si="194"/>
        <v>200000</v>
      </c>
      <c r="AC347" s="4" t="s">
        <v>29</v>
      </c>
      <c r="AD347" s="16">
        <f>IFERROR(VLOOKUP(AC347,'Kode Diskon'!$C$2:$D$9,2,0),0)</f>
        <v>0.1</v>
      </c>
      <c r="AE347" s="31">
        <f t="shared" si="195"/>
        <v>60000</v>
      </c>
      <c r="AF347" s="31">
        <f t="shared" si="196"/>
        <v>540000</v>
      </c>
      <c r="AG347" s="31">
        <f t="shared" si="197"/>
        <v>400000</v>
      </c>
      <c r="AH347" s="31">
        <f t="shared" si="198"/>
        <v>340000</v>
      </c>
      <c r="AI347" s="4" t="s">
        <v>28</v>
      </c>
      <c r="AJ347" s="4" t="s">
        <v>9</v>
      </c>
      <c r="AK347" s="4" t="str">
        <f>IFERROR(VLOOKUP(AJ347,'Guide '!$A$13:$B$16,2,0),"-")</f>
        <v>TK</v>
      </c>
      <c r="AL347" s="4" t="s">
        <v>924</v>
      </c>
      <c r="AM347" s="40">
        <v>45421</v>
      </c>
      <c r="AN347">
        <f t="shared" si="199"/>
        <v>29</v>
      </c>
      <c r="AO347">
        <f t="shared" si="200"/>
        <v>32</v>
      </c>
      <c r="AP347">
        <f t="shared" si="201"/>
        <v>40</v>
      </c>
      <c r="AQ347">
        <f t="shared" si="202"/>
        <v>43</v>
      </c>
      <c r="AR347" s="26" t="str">
        <f t="shared" si="203"/>
        <v>-</v>
      </c>
      <c r="AS347" s="26" t="str">
        <f t="shared" si="204"/>
        <v>-</v>
      </c>
      <c r="AT347" s="21">
        <f t="shared" si="205"/>
        <v>12</v>
      </c>
      <c r="AU347" s="21">
        <f t="shared" si="206"/>
        <v>19</v>
      </c>
      <c r="AV347" t="str">
        <f t="shared" si="207"/>
        <v>-</v>
      </c>
      <c r="AW347" t="str">
        <f t="shared" si="208"/>
        <v>-</v>
      </c>
      <c r="AX347" t="str">
        <f t="shared" si="209"/>
        <v>-</v>
      </c>
      <c r="AY347" t="str">
        <f t="shared" si="210"/>
        <v>-</v>
      </c>
      <c r="AZ347" t="str">
        <f t="shared" si="211"/>
        <v>-</v>
      </c>
      <c r="BA347" t="str">
        <f t="shared" si="212"/>
        <v>-</v>
      </c>
      <c r="BB347" t="str">
        <f t="shared" si="213"/>
        <v>-</v>
      </c>
      <c r="BC347" t="str">
        <f t="shared" si="214"/>
        <v>-</v>
      </c>
      <c r="BD347" s="29" t="str">
        <f t="shared" si="215"/>
        <v>-</v>
      </c>
      <c r="BE347" s="29" t="str">
        <f t="shared" si="216"/>
        <v>-</v>
      </c>
    </row>
    <row r="348" spans="1:57" ht="15" x14ac:dyDescent="0.2">
      <c r="A348" s="2">
        <v>635</v>
      </c>
      <c r="B348" s="2" t="str">
        <f t="shared" si="181"/>
        <v>0635</v>
      </c>
      <c r="C348" t="str">
        <f t="shared" si="182"/>
        <v>ORD-TK-0635-09/05/24</v>
      </c>
      <c r="D348" s="3" t="s">
        <v>643</v>
      </c>
      <c r="E348" t="str">
        <f t="shared" si="183"/>
        <v>PP002</v>
      </c>
      <c r="F348" t="str">
        <f>INDEX(Katalog!$B$4:$B$13,MATCH('Main Data'!E348,Katalog!$C$4:$C$13,0))</f>
        <v>Celana Pendek</v>
      </c>
      <c r="G348" t="str">
        <f>VLOOKUP(E348,Katalog!$A$15:$B$25,2,0)</f>
        <v>Pakaian Pria</v>
      </c>
      <c r="H348" t="str">
        <f t="shared" si="184"/>
        <v>3</v>
      </c>
      <c r="I348" t="str">
        <f t="shared" si="185"/>
        <v>2</v>
      </c>
      <c r="J348" s="18">
        <f>VLOOKUP(E348,Katalog!$C$3:$F$13,2,0)</f>
        <v>60000</v>
      </c>
      <c r="K348" s="18">
        <f>VLOOKUP(E348,Katalog!$C$3:$F$13,3,0)</f>
        <v>25000</v>
      </c>
      <c r="L348" t="str">
        <f t="shared" si="186"/>
        <v>SP001</v>
      </c>
      <c r="M348" t="str">
        <f>IFERROR(INDEX(Katalog!$B$4:$B$13,MATCH('Main Data'!L348,Katalog!$C$4:$C$13,0)), "-")</f>
        <v>Sneakers</v>
      </c>
      <c r="N348" t="str">
        <f>IFERROR(VLOOKUP(L348,Katalog!$A$15:$B$25,2,0),"-")</f>
        <v>Sepatu Pria</v>
      </c>
      <c r="O348" t="str">
        <f t="shared" si="187"/>
        <v>1</v>
      </c>
      <c r="P348" t="str">
        <f t="shared" si="188"/>
        <v>3</v>
      </c>
      <c r="Q348" s="18">
        <f>IFERROR(VLOOKUP(L348,Katalog!$C$3:$F$13,2,0),0)</f>
        <v>300000</v>
      </c>
      <c r="R348" s="18">
        <f>IFERROR(VLOOKUP(L348,Katalog!$C$3:$F$13,3,0),0)</f>
        <v>100000</v>
      </c>
      <c r="S348" t="str">
        <f t="shared" si="189"/>
        <v>-</v>
      </c>
      <c r="T348" t="str">
        <f>IFERROR(INDEX(Katalog!$B$4:$B$13,MATCH('Main Data'!S348,Katalog!$C$4:$C$13,0)),"-")</f>
        <v>-</v>
      </c>
      <c r="U348" t="str">
        <f>IFERROR(VLOOKUP(S348,Katalog!$A$15:$B$25,2,0),"-")</f>
        <v>-</v>
      </c>
      <c r="V348">
        <f t="shared" si="190"/>
        <v>0</v>
      </c>
      <c r="W348" s="28" t="str">
        <f t="shared" si="191"/>
        <v>-</v>
      </c>
      <c r="X348" s="18">
        <f>IFERROR(VLOOKUP(S348,Katalog!$C$3:$F$13,2,0),0)</f>
        <v>0</v>
      </c>
      <c r="Y348" s="30">
        <f>IFERROR(VLOOKUP(S348,Katalog!$C$3:$F$13,3,0),0)</f>
        <v>0</v>
      </c>
      <c r="Z348" s="2">
        <f t="shared" si="192"/>
        <v>4</v>
      </c>
      <c r="AA348" s="4">
        <f t="shared" si="193"/>
        <v>480000</v>
      </c>
      <c r="AB348" s="4">
        <f t="shared" si="194"/>
        <v>175000</v>
      </c>
      <c r="AC348" s="4" t="s">
        <v>29</v>
      </c>
      <c r="AD348" s="16">
        <f>IFERROR(VLOOKUP(AC348,'Kode Diskon'!$C$2:$D$9,2,0),0)</f>
        <v>0.1</v>
      </c>
      <c r="AE348" s="31">
        <f t="shared" si="195"/>
        <v>48000</v>
      </c>
      <c r="AF348" s="31">
        <f t="shared" si="196"/>
        <v>432000</v>
      </c>
      <c r="AG348" s="31">
        <f t="shared" si="197"/>
        <v>305000</v>
      </c>
      <c r="AH348" s="31">
        <f t="shared" si="198"/>
        <v>257000</v>
      </c>
      <c r="AI348" s="4" t="s">
        <v>28</v>
      </c>
      <c r="AJ348" s="4" t="s">
        <v>9</v>
      </c>
      <c r="AK348" s="4" t="str">
        <f>IFERROR(VLOOKUP(AJ348,'Guide '!$A$13:$B$16,2,0),"-")</f>
        <v>TK</v>
      </c>
      <c r="AL348" s="4" t="s">
        <v>925</v>
      </c>
      <c r="AM348" s="40">
        <v>45421</v>
      </c>
      <c r="AN348">
        <f t="shared" si="199"/>
        <v>29</v>
      </c>
      <c r="AO348">
        <f t="shared" si="200"/>
        <v>32</v>
      </c>
      <c r="AP348">
        <f t="shared" si="201"/>
        <v>40</v>
      </c>
      <c r="AQ348">
        <f t="shared" si="202"/>
        <v>43</v>
      </c>
      <c r="AR348" s="26">
        <f t="shared" si="203"/>
        <v>56</v>
      </c>
      <c r="AS348" s="26">
        <f t="shared" si="204"/>
        <v>63</v>
      </c>
      <c r="AT348" s="21">
        <f t="shared" si="205"/>
        <v>12</v>
      </c>
      <c r="AU348" s="21">
        <f t="shared" si="206"/>
        <v>19</v>
      </c>
      <c r="AV348">
        <f t="shared" si="207"/>
        <v>73</v>
      </c>
      <c r="AW348">
        <f t="shared" si="208"/>
        <v>76</v>
      </c>
      <c r="AX348">
        <f t="shared" si="209"/>
        <v>84</v>
      </c>
      <c r="AY348">
        <f t="shared" si="210"/>
        <v>87</v>
      </c>
      <c r="AZ348" t="str">
        <f t="shared" si="211"/>
        <v>-</v>
      </c>
      <c r="BA348" t="str">
        <f t="shared" si="212"/>
        <v>-</v>
      </c>
      <c r="BB348" t="str">
        <f t="shared" si="213"/>
        <v>-</v>
      </c>
      <c r="BC348" t="str">
        <f t="shared" si="214"/>
        <v>-</v>
      </c>
      <c r="BD348" s="29" t="str">
        <f t="shared" si="215"/>
        <v>-</v>
      </c>
      <c r="BE348" s="29" t="str">
        <f t="shared" si="216"/>
        <v>-</v>
      </c>
    </row>
    <row r="349" spans="1:57" ht="15" x14ac:dyDescent="0.2">
      <c r="A349" s="2">
        <v>11</v>
      </c>
      <c r="B349" s="2" t="str">
        <f t="shared" si="181"/>
        <v>0011</v>
      </c>
      <c r="C349" t="str">
        <f t="shared" si="182"/>
        <v>ORD-SP-0011-10/05/24</v>
      </c>
      <c r="D349" s="3" t="s">
        <v>85</v>
      </c>
      <c r="E349" t="str">
        <f t="shared" si="183"/>
        <v>PU001</v>
      </c>
      <c r="F349" t="str">
        <f>INDEX(Katalog!$B$4:$B$13,MATCH('Main Data'!E349,Katalog!$C$4:$C$13,0))</f>
        <v>Jaket Hoodie</v>
      </c>
      <c r="G349" t="str">
        <f>VLOOKUP(E349,Katalog!$A$15:$B$25,2,0)</f>
        <v>Pakaian Unisex</v>
      </c>
      <c r="H349" t="str">
        <f t="shared" si="184"/>
        <v>3</v>
      </c>
      <c r="I349" t="str">
        <f t="shared" si="185"/>
        <v>5</v>
      </c>
      <c r="J349" s="18">
        <f>VLOOKUP(E349,Katalog!$C$3:$F$13,2,0)</f>
        <v>160000</v>
      </c>
      <c r="K349" s="18">
        <f>VLOOKUP(E349,Katalog!$C$3:$F$13,3,0)</f>
        <v>60000</v>
      </c>
      <c r="L349" t="str">
        <f t="shared" si="186"/>
        <v>PW001</v>
      </c>
      <c r="M349" t="str">
        <f>IFERROR(INDEX(Katalog!$B$4:$B$13,MATCH('Main Data'!L349,Katalog!$C$4:$C$13,0)), "-")</f>
        <v>Dress</v>
      </c>
      <c r="N349" t="str">
        <f>IFERROR(VLOOKUP(L349,Katalog!$A$15:$B$25,2,0),"-")</f>
        <v>Pakaian Wanita</v>
      </c>
      <c r="O349" t="str">
        <f t="shared" si="187"/>
        <v>1</v>
      </c>
      <c r="P349" t="str">
        <f t="shared" si="188"/>
        <v>5</v>
      </c>
      <c r="Q349" s="18">
        <f>IFERROR(VLOOKUP(L349,Katalog!$C$3:$F$13,2,0),0)</f>
        <v>150000</v>
      </c>
      <c r="R349" s="18">
        <f>IFERROR(VLOOKUP(L349,Katalog!$C$3:$F$13,3,0),0)</f>
        <v>55000</v>
      </c>
      <c r="S349" t="str">
        <f t="shared" si="189"/>
        <v>PP001</v>
      </c>
      <c r="T349" t="str">
        <f>IFERROR(INDEX(Katalog!$B$4:$B$13,MATCH('Main Data'!S349,Katalog!$C$4:$C$13,0)),"-")</f>
        <v>Kaos Polo</v>
      </c>
      <c r="U349" t="str">
        <f>IFERROR(VLOOKUP(S349,Katalog!$A$15:$B$25,2,0),"-")</f>
        <v>Pakaian Pria</v>
      </c>
      <c r="V349" t="str">
        <f t="shared" si="190"/>
        <v>1</v>
      </c>
      <c r="W349" s="28" t="str">
        <f t="shared" si="191"/>
        <v>4</v>
      </c>
      <c r="X349" s="18">
        <f>IFERROR(VLOOKUP(S349,Katalog!$C$3:$F$13,2,0),0)</f>
        <v>80000</v>
      </c>
      <c r="Y349" s="30">
        <f>IFERROR(VLOOKUP(S349,Katalog!$C$3:$F$13,3,0),0)</f>
        <v>30000</v>
      </c>
      <c r="Z349" s="2">
        <f t="shared" si="192"/>
        <v>5</v>
      </c>
      <c r="AA349" s="4">
        <f t="shared" si="193"/>
        <v>710000</v>
      </c>
      <c r="AB349" s="4">
        <f t="shared" si="194"/>
        <v>265000</v>
      </c>
      <c r="AC349" s="4" t="s">
        <v>12</v>
      </c>
      <c r="AD349" s="16">
        <f>IFERROR(VLOOKUP(AC349,'Kode Diskon'!$C$2:$D$9,2,0),0)</f>
        <v>0.15</v>
      </c>
      <c r="AE349" s="31">
        <f t="shared" si="195"/>
        <v>106500</v>
      </c>
      <c r="AF349" s="31">
        <f t="shared" si="196"/>
        <v>603500</v>
      </c>
      <c r="AG349" s="31">
        <f t="shared" si="197"/>
        <v>445000</v>
      </c>
      <c r="AH349" s="31">
        <f t="shared" si="198"/>
        <v>338500</v>
      </c>
      <c r="AI349" s="4" t="s">
        <v>28</v>
      </c>
      <c r="AJ349" s="4" t="s">
        <v>6</v>
      </c>
      <c r="AK349" s="4" t="str">
        <f>IFERROR(VLOOKUP(AJ349,'Guide '!$A$13:$B$16,2,0),"-")</f>
        <v>SP</v>
      </c>
      <c r="AL349" s="4" t="s">
        <v>925</v>
      </c>
      <c r="AM349" s="40">
        <v>45422</v>
      </c>
      <c r="AN349">
        <f t="shared" si="199"/>
        <v>29</v>
      </c>
      <c r="AO349">
        <f t="shared" si="200"/>
        <v>32</v>
      </c>
      <c r="AP349">
        <f t="shared" si="201"/>
        <v>40</v>
      </c>
      <c r="AQ349">
        <f t="shared" si="202"/>
        <v>43</v>
      </c>
      <c r="AR349" s="26">
        <f t="shared" si="203"/>
        <v>56</v>
      </c>
      <c r="AS349" s="26">
        <f t="shared" si="204"/>
        <v>63</v>
      </c>
      <c r="AT349" s="21">
        <f t="shared" si="205"/>
        <v>12</v>
      </c>
      <c r="AU349" s="21">
        <f t="shared" si="206"/>
        <v>19</v>
      </c>
      <c r="AV349">
        <f t="shared" si="207"/>
        <v>73</v>
      </c>
      <c r="AW349">
        <f t="shared" si="208"/>
        <v>76</v>
      </c>
      <c r="AX349">
        <f t="shared" si="209"/>
        <v>84</v>
      </c>
      <c r="AY349">
        <f t="shared" si="210"/>
        <v>87</v>
      </c>
      <c r="AZ349">
        <f t="shared" si="211"/>
        <v>100</v>
      </c>
      <c r="BA349">
        <f t="shared" si="212"/>
        <v>107</v>
      </c>
      <c r="BB349">
        <f t="shared" si="213"/>
        <v>117</v>
      </c>
      <c r="BC349">
        <f t="shared" si="214"/>
        <v>120</v>
      </c>
      <c r="BD349" s="29">
        <f t="shared" si="215"/>
        <v>128</v>
      </c>
      <c r="BE349" s="29">
        <f t="shared" si="216"/>
        <v>131</v>
      </c>
    </row>
    <row r="350" spans="1:57" ht="15" x14ac:dyDescent="0.2">
      <c r="A350" s="2">
        <v>350</v>
      </c>
      <c r="B350" s="2" t="str">
        <f t="shared" si="181"/>
        <v>0350</v>
      </c>
      <c r="C350" t="str">
        <f t="shared" si="182"/>
        <v>ORD-BL-0350-10/05/24</v>
      </c>
      <c r="D350" s="3" t="s">
        <v>390</v>
      </c>
      <c r="E350" t="str">
        <f t="shared" si="183"/>
        <v>SW001</v>
      </c>
      <c r="F350" t="str">
        <f>INDEX(Katalog!$B$4:$B$13,MATCH('Main Data'!E350,Katalog!$C$4:$C$13,0))</f>
        <v>Flat Shoes</v>
      </c>
      <c r="G350" t="str">
        <f>VLOOKUP(E350,Katalog!$A$15:$B$25,2,0)</f>
        <v>Sepatu Wanita</v>
      </c>
      <c r="H350" t="str">
        <f t="shared" si="184"/>
        <v>1</v>
      </c>
      <c r="I350" t="str">
        <f t="shared" si="185"/>
        <v>3</v>
      </c>
      <c r="J350" s="18">
        <f>VLOOKUP(E350,Katalog!$C$3:$F$13,2,0)</f>
        <v>150000</v>
      </c>
      <c r="K350" s="18">
        <f>VLOOKUP(E350,Katalog!$C$3:$F$13,3,0)</f>
        <v>70000</v>
      </c>
      <c r="L350" t="str">
        <f t="shared" si="186"/>
        <v>-</v>
      </c>
      <c r="M350" t="str">
        <f>IFERROR(INDEX(Katalog!$B$4:$B$13,MATCH('Main Data'!L350,Katalog!$C$4:$C$13,0)), "-")</f>
        <v>-</v>
      </c>
      <c r="N350" t="str">
        <f>IFERROR(VLOOKUP(L350,Katalog!$A$15:$B$25,2,0),"-")</f>
        <v>-</v>
      </c>
      <c r="O350">
        <f t="shared" si="187"/>
        <v>0</v>
      </c>
      <c r="P350" t="str">
        <f t="shared" si="188"/>
        <v>-</v>
      </c>
      <c r="Q350" s="18">
        <f>IFERROR(VLOOKUP(L350,Katalog!$C$3:$F$13,2,0),0)</f>
        <v>0</v>
      </c>
      <c r="R350" s="18">
        <f>IFERROR(VLOOKUP(L350,Katalog!$C$3:$F$13,3,0),0)</f>
        <v>0</v>
      </c>
      <c r="S350" t="str">
        <f t="shared" si="189"/>
        <v>-</v>
      </c>
      <c r="T350" t="str">
        <f>IFERROR(INDEX(Katalog!$B$4:$B$13,MATCH('Main Data'!S350,Katalog!$C$4:$C$13,0)),"-")</f>
        <v>-</v>
      </c>
      <c r="U350" t="str">
        <f>IFERROR(VLOOKUP(S350,Katalog!$A$15:$B$25,2,0),"-")</f>
        <v>-</v>
      </c>
      <c r="V350">
        <f t="shared" si="190"/>
        <v>0</v>
      </c>
      <c r="W350" s="28" t="str">
        <f t="shared" si="191"/>
        <v>-</v>
      </c>
      <c r="X350" s="18">
        <f>IFERROR(VLOOKUP(S350,Katalog!$C$3:$F$13,2,0),0)</f>
        <v>0</v>
      </c>
      <c r="Y350" s="30">
        <f>IFERROR(VLOOKUP(S350,Katalog!$C$3:$F$13,3,0),0)</f>
        <v>0</v>
      </c>
      <c r="Z350" s="2">
        <f t="shared" si="192"/>
        <v>1</v>
      </c>
      <c r="AA350" s="4">
        <f t="shared" si="193"/>
        <v>150000</v>
      </c>
      <c r="AB350" s="4">
        <f t="shared" si="194"/>
        <v>70000</v>
      </c>
      <c r="AC350" s="4" t="s">
        <v>31</v>
      </c>
      <c r="AD350" s="16">
        <f>IFERROR(VLOOKUP(AC350,'Kode Diskon'!$C$2:$D$9,2,0),0)</f>
        <v>0.15</v>
      </c>
      <c r="AE350" s="31">
        <f t="shared" si="195"/>
        <v>22500</v>
      </c>
      <c r="AF350" s="31">
        <f t="shared" si="196"/>
        <v>127500</v>
      </c>
      <c r="AG350" s="31">
        <f t="shared" si="197"/>
        <v>80000</v>
      </c>
      <c r="AH350" s="31">
        <f t="shared" si="198"/>
        <v>57500</v>
      </c>
      <c r="AI350" s="4" t="s">
        <v>8</v>
      </c>
      <c r="AJ350" s="4" t="s">
        <v>11</v>
      </c>
      <c r="AK350" s="4" t="str">
        <f>IFERROR(VLOOKUP(AJ350,'Guide '!$A$13:$B$16,2,0),"-")</f>
        <v>BL</v>
      </c>
      <c r="AL350" s="4" t="s">
        <v>1006</v>
      </c>
      <c r="AM350" s="40">
        <v>45422</v>
      </c>
      <c r="AN350">
        <f t="shared" si="199"/>
        <v>29</v>
      </c>
      <c r="AO350">
        <f t="shared" si="200"/>
        <v>32</v>
      </c>
      <c r="AP350">
        <f t="shared" si="201"/>
        <v>40</v>
      </c>
      <c r="AQ350">
        <f t="shared" si="202"/>
        <v>43</v>
      </c>
      <c r="AR350" s="26" t="str">
        <f t="shared" si="203"/>
        <v>-</v>
      </c>
      <c r="AS350" s="26" t="str">
        <f t="shared" si="204"/>
        <v>-</v>
      </c>
      <c r="AT350" s="21">
        <f t="shared" si="205"/>
        <v>12</v>
      </c>
      <c r="AU350" s="21">
        <f t="shared" si="206"/>
        <v>19</v>
      </c>
      <c r="AV350" t="str">
        <f t="shared" si="207"/>
        <v>-</v>
      </c>
      <c r="AW350" t="str">
        <f t="shared" si="208"/>
        <v>-</v>
      </c>
      <c r="AX350" t="str">
        <f t="shared" si="209"/>
        <v>-</v>
      </c>
      <c r="AY350" t="str">
        <f t="shared" si="210"/>
        <v>-</v>
      </c>
      <c r="AZ350" t="str">
        <f t="shared" si="211"/>
        <v>-</v>
      </c>
      <c r="BA350" t="str">
        <f t="shared" si="212"/>
        <v>-</v>
      </c>
      <c r="BB350" t="str">
        <f t="shared" si="213"/>
        <v>-</v>
      </c>
      <c r="BC350" t="str">
        <f t="shared" si="214"/>
        <v>-</v>
      </c>
      <c r="BD350" s="29" t="str">
        <f t="shared" si="215"/>
        <v>-</v>
      </c>
      <c r="BE350" s="29" t="str">
        <f t="shared" si="216"/>
        <v>-</v>
      </c>
    </row>
    <row r="351" spans="1:57" ht="15" x14ac:dyDescent="0.2">
      <c r="A351" s="2">
        <v>613</v>
      </c>
      <c r="B351" s="2" t="str">
        <f t="shared" si="181"/>
        <v>0613</v>
      </c>
      <c r="C351" t="str">
        <f t="shared" si="182"/>
        <v>ORD-BL-0613-10/05/24</v>
      </c>
      <c r="D351" s="3" t="s">
        <v>415</v>
      </c>
      <c r="E351" t="str">
        <f t="shared" si="183"/>
        <v>PP001</v>
      </c>
      <c r="F351" t="str">
        <f>INDEX(Katalog!$B$4:$B$13,MATCH('Main Data'!E351,Katalog!$C$4:$C$13,0))</f>
        <v>Kaos Polo</v>
      </c>
      <c r="G351" t="str">
        <f>VLOOKUP(E351,Katalog!$A$15:$B$25,2,0)</f>
        <v>Pakaian Pria</v>
      </c>
      <c r="H351" t="str">
        <f t="shared" si="184"/>
        <v>3</v>
      </c>
      <c r="I351" t="str">
        <f t="shared" si="185"/>
        <v>4</v>
      </c>
      <c r="J351" s="18">
        <f>VLOOKUP(E351,Katalog!$C$3:$F$13,2,0)</f>
        <v>80000</v>
      </c>
      <c r="K351" s="18">
        <f>VLOOKUP(E351,Katalog!$C$3:$F$13,3,0)</f>
        <v>30000</v>
      </c>
      <c r="L351" t="str">
        <f t="shared" si="186"/>
        <v>-</v>
      </c>
      <c r="M351" t="str">
        <f>IFERROR(INDEX(Katalog!$B$4:$B$13,MATCH('Main Data'!L351,Katalog!$C$4:$C$13,0)), "-")</f>
        <v>-</v>
      </c>
      <c r="N351" t="str">
        <f>IFERROR(VLOOKUP(L351,Katalog!$A$15:$B$25,2,0),"-")</f>
        <v>-</v>
      </c>
      <c r="O351">
        <f t="shared" si="187"/>
        <v>0</v>
      </c>
      <c r="P351" t="str">
        <f t="shared" si="188"/>
        <v>-</v>
      </c>
      <c r="Q351" s="18">
        <f>IFERROR(VLOOKUP(L351,Katalog!$C$3:$F$13,2,0),0)</f>
        <v>0</v>
      </c>
      <c r="R351" s="18">
        <f>IFERROR(VLOOKUP(L351,Katalog!$C$3:$F$13,3,0),0)</f>
        <v>0</v>
      </c>
      <c r="S351" t="str">
        <f t="shared" si="189"/>
        <v>-</v>
      </c>
      <c r="T351" t="str">
        <f>IFERROR(INDEX(Katalog!$B$4:$B$13,MATCH('Main Data'!S351,Katalog!$C$4:$C$13,0)),"-")</f>
        <v>-</v>
      </c>
      <c r="U351" t="str">
        <f>IFERROR(VLOOKUP(S351,Katalog!$A$15:$B$25,2,0),"-")</f>
        <v>-</v>
      </c>
      <c r="V351">
        <f t="shared" si="190"/>
        <v>0</v>
      </c>
      <c r="W351" s="28" t="str">
        <f t="shared" si="191"/>
        <v>-</v>
      </c>
      <c r="X351" s="18">
        <f>IFERROR(VLOOKUP(S351,Katalog!$C$3:$F$13,2,0),0)</f>
        <v>0</v>
      </c>
      <c r="Y351" s="30">
        <f>IFERROR(VLOOKUP(S351,Katalog!$C$3:$F$13,3,0),0)</f>
        <v>0</v>
      </c>
      <c r="Z351" s="2">
        <f t="shared" si="192"/>
        <v>3</v>
      </c>
      <c r="AA351" s="4">
        <f t="shared" si="193"/>
        <v>240000</v>
      </c>
      <c r="AB351" s="4">
        <f t="shared" si="194"/>
        <v>90000</v>
      </c>
      <c r="AC351" s="4" t="s">
        <v>31</v>
      </c>
      <c r="AD351" s="16">
        <f>IFERROR(VLOOKUP(AC351,'Kode Diskon'!$C$2:$D$9,2,0),0)</f>
        <v>0.15</v>
      </c>
      <c r="AE351" s="31">
        <f t="shared" si="195"/>
        <v>36000</v>
      </c>
      <c r="AF351" s="31">
        <f t="shared" si="196"/>
        <v>204000</v>
      </c>
      <c r="AG351" s="31">
        <f t="shared" si="197"/>
        <v>150000</v>
      </c>
      <c r="AH351" s="31">
        <f t="shared" si="198"/>
        <v>114000</v>
      </c>
      <c r="AI351" s="4" t="s">
        <v>8</v>
      </c>
      <c r="AJ351" s="4" t="s">
        <v>11</v>
      </c>
      <c r="AK351" s="4" t="str">
        <f>IFERROR(VLOOKUP(AJ351,'Guide '!$A$13:$B$16,2,0),"-")</f>
        <v>BL</v>
      </c>
      <c r="AL351" s="4" t="s">
        <v>925</v>
      </c>
      <c r="AM351" s="40">
        <v>45422</v>
      </c>
      <c r="AN351">
        <f t="shared" si="199"/>
        <v>29</v>
      </c>
      <c r="AO351">
        <f t="shared" si="200"/>
        <v>32</v>
      </c>
      <c r="AP351">
        <f t="shared" si="201"/>
        <v>40</v>
      </c>
      <c r="AQ351">
        <f t="shared" si="202"/>
        <v>43</v>
      </c>
      <c r="AR351" s="26" t="str">
        <f t="shared" si="203"/>
        <v>-</v>
      </c>
      <c r="AS351" s="26" t="str">
        <f t="shared" si="204"/>
        <v>-</v>
      </c>
      <c r="AT351" s="21">
        <f t="shared" si="205"/>
        <v>12</v>
      </c>
      <c r="AU351" s="21">
        <f t="shared" si="206"/>
        <v>19</v>
      </c>
      <c r="AV351" t="str">
        <f t="shared" si="207"/>
        <v>-</v>
      </c>
      <c r="AW351" t="str">
        <f t="shared" si="208"/>
        <v>-</v>
      </c>
      <c r="AX351" t="str">
        <f t="shared" si="209"/>
        <v>-</v>
      </c>
      <c r="AY351" t="str">
        <f t="shared" si="210"/>
        <v>-</v>
      </c>
      <c r="AZ351" t="str">
        <f t="shared" si="211"/>
        <v>-</v>
      </c>
      <c r="BA351" t="str">
        <f t="shared" si="212"/>
        <v>-</v>
      </c>
      <c r="BB351" t="str">
        <f t="shared" si="213"/>
        <v>-</v>
      </c>
      <c r="BC351" t="str">
        <f t="shared" si="214"/>
        <v>-</v>
      </c>
      <c r="BD351" s="29" t="str">
        <f t="shared" si="215"/>
        <v>-</v>
      </c>
      <c r="BE351" s="29" t="str">
        <f t="shared" si="216"/>
        <v>-</v>
      </c>
    </row>
    <row r="352" spans="1:57" ht="15" x14ac:dyDescent="0.2">
      <c r="A352" s="2">
        <v>469</v>
      </c>
      <c r="B352" s="2" t="str">
        <f t="shared" si="181"/>
        <v>0469</v>
      </c>
      <c r="C352" t="str">
        <f t="shared" si="182"/>
        <v>ORD-SP-0469-11/05/24</v>
      </c>
      <c r="D352" s="3" t="s">
        <v>316</v>
      </c>
      <c r="E352" t="str">
        <f t="shared" si="183"/>
        <v>SP002</v>
      </c>
      <c r="F352" t="str">
        <f>INDEX(Katalog!$B$4:$B$13,MATCH('Main Data'!E352,Katalog!$C$4:$C$13,0))</f>
        <v>Sandal Slip On</v>
      </c>
      <c r="G352" t="str">
        <f>VLOOKUP(E352,Katalog!$A$15:$B$25,2,0)</f>
        <v>Sepatu Pria</v>
      </c>
      <c r="H352" t="str">
        <f t="shared" si="184"/>
        <v>2</v>
      </c>
      <c r="I352" t="str">
        <f t="shared" si="185"/>
        <v>5</v>
      </c>
      <c r="J352" s="18">
        <f>VLOOKUP(E352,Katalog!$C$3:$F$13,2,0)</f>
        <v>120000</v>
      </c>
      <c r="K352" s="18">
        <f>VLOOKUP(E352,Katalog!$C$3:$F$13,3,0)</f>
        <v>60000</v>
      </c>
      <c r="L352" t="str">
        <f t="shared" si="186"/>
        <v>-</v>
      </c>
      <c r="M352" t="str">
        <f>IFERROR(INDEX(Katalog!$B$4:$B$13,MATCH('Main Data'!L352,Katalog!$C$4:$C$13,0)), "-")</f>
        <v>-</v>
      </c>
      <c r="N352" t="str">
        <f>IFERROR(VLOOKUP(L352,Katalog!$A$15:$B$25,2,0),"-")</f>
        <v>-</v>
      </c>
      <c r="O352">
        <f t="shared" si="187"/>
        <v>0</v>
      </c>
      <c r="P352" t="str">
        <f t="shared" si="188"/>
        <v>-</v>
      </c>
      <c r="Q352" s="18">
        <f>IFERROR(VLOOKUP(L352,Katalog!$C$3:$F$13,2,0),0)</f>
        <v>0</v>
      </c>
      <c r="R352" s="18">
        <f>IFERROR(VLOOKUP(L352,Katalog!$C$3:$F$13,3,0),0)</f>
        <v>0</v>
      </c>
      <c r="S352" t="str">
        <f t="shared" si="189"/>
        <v>-</v>
      </c>
      <c r="T352" t="str">
        <f>IFERROR(INDEX(Katalog!$B$4:$B$13,MATCH('Main Data'!S352,Katalog!$C$4:$C$13,0)),"-")</f>
        <v>-</v>
      </c>
      <c r="U352" t="str">
        <f>IFERROR(VLOOKUP(S352,Katalog!$A$15:$B$25,2,0),"-")</f>
        <v>-</v>
      </c>
      <c r="V352">
        <f t="shared" si="190"/>
        <v>0</v>
      </c>
      <c r="W352" s="28" t="str">
        <f t="shared" si="191"/>
        <v>-</v>
      </c>
      <c r="X352" s="18">
        <f>IFERROR(VLOOKUP(S352,Katalog!$C$3:$F$13,2,0),0)</f>
        <v>0</v>
      </c>
      <c r="Y352" s="30">
        <f>IFERROR(VLOOKUP(S352,Katalog!$C$3:$F$13,3,0),0)</f>
        <v>0</v>
      </c>
      <c r="Z352" s="2">
        <f t="shared" si="192"/>
        <v>2</v>
      </c>
      <c r="AA352" s="4">
        <f t="shared" si="193"/>
        <v>240000</v>
      </c>
      <c r="AB352" s="4">
        <f t="shared" si="194"/>
        <v>120000</v>
      </c>
      <c r="AC352" s="4" t="s">
        <v>12</v>
      </c>
      <c r="AD352" s="16">
        <f>IFERROR(VLOOKUP(AC352,'Kode Diskon'!$C$2:$D$9,2,0),0)</f>
        <v>0.15</v>
      </c>
      <c r="AE352" s="31">
        <f t="shared" si="195"/>
        <v>36000</v>
      </c>
      <c r="AF352" s="31">
        <f t="shared" si="196"/>
        <v>204000</v>
      </c>
      <c r="AG352" s="31">
        <f t="shared" si="197"/>
        <v>120000</v>
      </c>
      <c r="AH352" s="31">
        <f t="shared" si="198"/>
        <v>84000</v>
      </c>
      <c r="AI352" s="4" t="s">
        <v>28</v>
      </c>
      <c r="AJ352" s="4" t="s">
        <v>6</v>
      </c>
      <c r="AK352" s="4" t="str">
        <f>IFERROR(VLOOKUP(AJ352,'Guide '!$A$13:$B$16,2,0),"-")</f>
        <v>SP</v>
      </c>
      <c r="AL352" s="4" t="s">
        <v>1006</v>
      </c>
      <c r="AM352" s="40">
        <v>45423</v>
      </c>
      <c r="AN352">
        <f t="shared" si="199"/>
        <v>29</v>
      </c>
      <c r="AO352">
        <f t="shared" si="200"/>
        <v>32</v>
      </c>
      <c r="AP352">
        <f t="shared" si="201"/>
        <v>40</v>
      </c>
      <c r="AQ352">
        <f t="shared" si="202"/>
        <v>43</v>
      </c>
      <c r="AR352" s="26" t="str">
        <f t="shared" si="203"/>
        <v>-</v>
      </c>
      <c r="AS352" s="26" t="str">
        <f t="shared" si="204"/>
        <v>-</v>
      </c>
      <c r="AT352" s="21">
        <f t="shared" si="205"/>
        <v>12</v>
      </c>
      <c r="AU352" s="21">
        <f t="shared" si="206"/>
        <v>19</v>
      </c>
      <c r="AV352" t="str">
        <f t="shared" si="207"/>
        <v>-</v>
      </c>
      <c r="AW352" t="str">
        <f t="shared" si="208"/>
        <v>-</v>
      </c>
      <c r="AX352" t="str">
        <f t="shared" si="209"/>
        <v>-</v>
      </c>
      <c r="AY352" t="str">
        <f t="shared" si="210"/>
        <v>-</v>
      </c>
      <c r="AZ352" t="str">
        <f t="shared" si="211"/>
        <v>-</v>
      </c>
      <c r="BA352" t="str">
        <f t="shared" si="212"/>
        <v>-</v>
      </c>
      <c r="BB352" t="str">
        <f t="shared" si="213"/>
        <v>-</v>
      </c>
      <c r="BC352" t="str">
        <f t="shared" si="214"/>
        <v>-</v>
      </c>
      <c r="BD352" s="29" t="str">
        <f t="shared" si="215"/>
        <v>-</v>
      </c>
      <c r="BE352" s="29" t="str">
        <f t="shared" si="216"/>
        <v>-</v>
      </c>
    </row>
    <row r="353" spans="1:57" ht="15" x14ac:dyDescent="0.2">
      <c r="A353" s="2">
        <v>740</v>
      </c>
      <c r="B353" s="2" t="str">
        <f t="shared" si="181"/>
        <v>0740</v>
      </c>
      <c r="C353" t="str">
        <f t="shared" si="182"/>
        <v>ORD-SP-0740-11/05/24</v>
      </c>
      <c r="D353" s="3" t="s">
        <v>724</v>
      </c>
      <c r="E353" t="str">
        <f t="shared" si="183"/>
        <v>PP001</v>
      </c>
      <c r="F353" t="str">
        <f>INDEX(Katalog!$B$4:$B$13,MATCH('Main Data'!E353,Katalog!$C$4:$C$13,0))</f>
        <v>Kaos Polo</v>
      </c>
      <c r="G353" t="str">
        <f>VLOOKUP(E353,Katalog!$A$15:$B$25,2,0)</f>
        <v>Pakaian Pria</v>
      </c>
      <c r="H353" t="str">
        <f t="shared" si="184"/>
        <v>2</v>
      </c>
      <c r="I353" t="str">
        <f t="shared" si="185"/>
        <v>4</v>
      </c>
      <c r="J353" s="18">
        <f>VLOOKUP(E353,Katalog!$C$3:$F$13,2,0)</f>
        <v>80000</v>
      </c>
      <c r="K353" s="18">
        <f>VLOOKUP(E353,Katalog!$C$3:$F$13,3,0)</f>
        <v>30000</v>
      </c>
      <c r="L353" t="str">
        <f t="shared" si="186"/>
        <v>SP001</v>
      </c>
      <c r="M353" t="str">
        <f>IFERROR(INDEX(Katalog!$B$4:$B$13,MATCH('Main Data'!L353,Katalog!$C$4:$C$13,0)), "-")</f>
        <v>Sneakers</v>
      </c>
      <c r="N353" t="str">
        <f>IFERROR(VLOOKUP(L353,Katalog!$A$15:$B$25,2,0),"-")</f>
        <v>Sepatu Pria</v>
      </c>
      <c r="O353" t="str">
        <f t="shared" si="187"/>
        <v>2</v>
      </c>
      <c r="P353" t="str">
        <f t="shared" si="188"/>
        <v>4</v>
      </c>
      <c r="Q353" s="18">
        <f>IFERROR(VLOOKUP(L353,Katalog!$C$3:$F$13,2,0),0)</f>
        <v>300000</v>
      </c>
      <c r="R353" s="18">
        <f>IFERROR(VLOOKUP(L353,Katalog!$C$3:$F$13,3,0),0)</f>
        <v>100000</v>
      </c>
      <c r="S353" t="str">
        <f t="shared" si="189"/>
        <v>-</v>
      </c>
      <c r="T353" t="str">
        <f>IFERROR(INDEX(Katalog!$B$4:$B$13,MATCH('Main Data'!S353,Katalog!$C$4:$C$13,0)),"-")</f>
        <v>-</v>
      </c>
      <c r="U353" t="str">
        <f>IFERROR(VLOOKUP(S353,Katalog!$A$15:$B$25,2,0),"-")</f>
        <v>-</v>
      </c>
      <c r="V353">
        <f t="shared" si="190"/>
        <v>0</v>
      </c>
      <c r="W353" s="28" t="str">
        <f t="shared" si="191"/>
        <v>-</v>
      </c>
      <c r="X353" s="18">
        <f>IFERROR(VLOOKUP(S353,Katalog!$C$3:$F$13,2,0),0)</f>
        <v>0</v>
      </c>
      <c r="Y353" s="30">
        <f>IFERROR(VLOOKUP(S353,Katalog!$C$3:$F$13,3,0),0)</f>
        <v>0</v>
      </c>
      <c r="Z353" s="2">
        <f t="shared" si="192"/>
        <v>4</v>
      </c>
      <c r="AA353" s="4">
        <f t="shared" si="193"/>
        <v>760000</v>
      </c>
      <c r="AB353" s="4">
        <f t="shared" si="194"/>
        <v>260000</v>
      </c>
      <c r="AC353" s="4" t="s">
        <v>5</v>
      </c>
      <c r="AD353" s="16">
        <f>IFERROR(VLOOKUP(AC353,'Kode Diskon'!$C$2:$D$9,2,0),0)</f>
        <v>0.1</v>
      </c>
      <c r="AE353" s="31">
        <f t="shared" si="195"/>
        <v>76000</v>
      </c>
      <c r="AF353" s="31">
        <f t="shared" si="196"/>
        <v>684000</v>
      </c>
      <c r="AG353" s="31">
        <f t="shared" si="197"/>
        <v>500000</v>
      </c>
      <c r="AH353" s="31">
        <f t="shared" si="198"/>
        <v>424000</v>
      </c>
      <c r="AI353" s="4" t="s">
        <v>28</v>
      </c>
      <c r="AJ353" s="4" t="s">
        <v>6</v>
      </c>
      <c r="AK353" s="4" t="str">
        <f>IFERROR(VLOOKUP(AJ353,'Guide '!$A$13:$B$16,2,0),"-")</f>
        <v>SP</v>
      </c>
      <c r="AL353" s="4" t="s">
        <v>922</v>
      </c>
      <c r="AM353" s="40">
        <v>45423</v>
      </c>
      <c r="AN353">
        <f t="shared" si="199"/>
        <v>29</v>
      </c>
      <c r="AO353">
        <f t="shared" si="200"/>
        <v>32</v>
      </c>
      <c r="AP353">
        <f t="shared" si="201"/>
        <v>40</v>
      </c>
      <c r="AQ353">
        <f t="shared" si="202"/>
        <v>43</v>
      </c>
      <c r="AR353" s="26">
        <f t="shared" si="203"/>
        <v>56</v>
      </c>
      <c r="AS353" s="26">
        <f t="shared" si="204"/>
        <v>63</v>
      </c>
      <c r="AT353" s="21">
        <f t="shared" si="205"/>
        <v>12</v>
      </c>
      <c r="AU353" s="21">
        <f t="shared" si="206"/>
        <v>19</v>
      </c>
      <c r="AV353">
        <f t="shared" si="207"/>
        <v>73</v>
      </c>
      <c r="AW353">
        <f t="shared" si="208"/>
        <v>76</v>
      </c>
      <c r="AX353">
        <f t="shared" si="209"/>
        <v>84</v>
      </c>
      <c r="AY353">
        <f t="shared" si="210"/>
        <v>87</v>
      </c>
      <c r="AZ353" t="str">
        <f t="shared" si="211"/>
        <v>-</v>
      </c>
      <c r="BA353" t="str">
        <f t="shared" si="212"/>
        <v>-</v>
      </c>
      <c r="BB353" t="str">
        <f t="shared" si="213"/>
        <v>-</v>
      </c>
      <c r="BC353" t="str">
        <f t="shared" si="214"/>
        <v>-</v>
      </c>
      <c r="BD353" s="29" t="str">
        <f t="shared" si="215"/>
        <v>-</v>
      </c>
      <c r="BE353" s="29" t="str">
        <f t="shared" si="216"/>
        <v>-</v>
      </c>
    </row>
    <row r="354" spans="1:57" ht="15" x14ac:dyDescent="0.2">
      <c r="A354" s="2">
        <v>63</v>
      </c>
      <c r="B354" s="2" t="str">
        <f t="shared" si="181"/>
        <v>0063</v>
      </c>
      <c r="C354" t="str">
        <f t="shared" si="182"/>
        <v>ORD-BL-0063-12/05/24</v>
      </c>
      <c r="D354" s="3" t="s">
        <v>137</v>
      </c>
      <c r="E354" t="str">
        <f t="shared" si="183"/>
        <v>PW002</v>
      </c>
      <c r="F354" t="str">
        <f>INDEX(Katalog!$B$4:$B$13,MATCH('Main Data'!E354,Katalog!$C$4:$C$13,0))</f>
        <v>Blouse</v>
      </c>
      <c r="G354" t="str">
        <f>VLOOKUP(E354,Katalog!$A$15:$B$25,2,0)</f>
        <v>Pakaian Wanita</v>
      </c>
      <c r="H354" t="str">
        <f t="shared" si="184"/>
        <v>2</v>
      </c>
      <c r="I354" t="str">
        <f t="shared" si="185"/>
        <v>5</v>
      </c>
      <c r="J354" s="18">
        <f>VLOOKUP(E354,Katalog!$C$3:$F$13,2,0)</f>
        <v>125000</v>
      </c>
      <c r="K354" s="18">
        <f>VLOOKUP(E354,Katalog!$C$3:$F$13,3,0)</f>
        <v>50000</v>
      </c>
      <c r="L354" t="str">
        <f t="shared" si="186"/>
        <v>-</v>
      </c>
      <c r="M354" t="str">
        <f>IFERROR(INDEX(Katalog!$B$4:$B$13,MATCH('Main Data'!L354,Katalog!$C$4:$C$13,0)), "-")</f>
        <v>-</v>
      </c>
      <c r="N354" t="str">
        <f>IFERROR(VLOOKUP(L354,Katalog!$A$15:$B$25,2,0),"-")</f>
        <v>-</v>
      </c>
      <c r="O354">
        <f t="shared" si="187"/>
        <v>0</v>
      </c>
      <c r="P354" t="str">
        <f t="shared" si="188"/>
        <v>-</v>
      </c>
      <c r="Q354" s="18">
        <f>IFERROR(VLOOKUP(L354,Katalog!$C$3:$F$13,2,0),0)</f>
        <v>0</v>
      </c>
      <c r="R354" s="18">
        <f>IFERROR(VLOOKUP(L354,Katalog!$C$3:$F$13,3,0),0)</f>
        <v>0</v>
      </c>
      <c r="S354" t="str">
        <f t="shared" si="189"/>
        <v>-</v>
      </c>
      <c r="T354" t="str">
        <f>IFERROR(INDEX(Katalog!$B$4:$B$13,MATCH('Main Data'!S354,Katalog!$C$4:$C$13,0)),"-")</f>
        <v>-</v>
      </c>
      <c r="U354" t="str">
        <f>IFERROR(VLOOKUP(S354,Katalog!$A$15:$B$25,2,0),"-")</f>
        <v>-</v>
      </c>
      <c r="V354">
        <f t="shared" si="190"/>
        <v>0</v>
      </c>
      <c r="W354" s="28" t="str">
        <f t="shared" si="191"/>
        <v>-</v>
      </c>
      <c r="X354" s="18">
        <f>IFERROR(VLOOKUP(S354,Katalog!$C$3:$F$13,2,0),0)</f>
        <v>0</v>
      </c>
      <c r="Y354" s="30">
        <f>IFERROR(VLOOKUP(S354,Katalog!$C$3:$F$13,3,0),0)</f>
        <v>0</v>
      </c>
      <c r="Z354" s="2">
        <f t="shared" si="192"/>
        <v>2</v>
      </c>
      <c r="AA354" s="4">
        <f t="shared" si="193"/>
        <v>250000</v>
      </c>
      <c r="AB354" s="4">
        <f t="shared" si="194"/>
        <v>100000</v>
      </c>
      <c r="AC354" s="4" t="s">
        <v>31</v>
      </c>
      <c r="AD354" s="16">
        <f>IFERROR(VLOOKUP(AC354,'Kode Diskon'!$C$2:$D$9,2,0),0)</f>
        <v>0.15</v>
      </c>
      <c r="AE354" s="31">
        <f t="shared" si="195"/>
        <v>37500</v>
      </c>
      <c r="AF354" s="31">
        <f t="shared" si="196"/>
        <v>212500</v>
      </c>
      <c r="AG354" s="31">
        <f t="shared" si="197"/>
        <v>150000</v>
      </c>
      <c r="AH354" s="31">
        <f t="shared" si="198"/>
        <v>112500</v>
      </c>
      <c r="AI354" s="4" t="s">
        <v>8</v>
      </c>
      <c r="AJ354" s="4" t="s">
        <v>11</v>
      </c>
      <c r="AK354" s="4" t="str">
        <f>IFERROR(VLOOKUP(AJ354,'Guide '!$A$13:$B$16,2,0),"-")</f>
        <v>BL</v>
      </c>
      <c r="AL354" s="4" t="s">
        <v>925</v>
      </c>
      <c r="AM354" s="40">
        <v>45424</v>
      </c>
      <c r="AN354">
        <f t="shared" si="199"/>
        <v>29</v>
      </c>
      <c r="AO354">
        <f t="shared" si="200"/>
        <v>32</v>
      </c>
      <c r="AP354">
        <f t="shared" si="201"/>
        <v>40</v>
      </c>
      <c r="AQ354">
        <f t="shared" si="202"/>
        <v>43</v>
      </c>
      <c r="AR354" s="26" t="str">
        <f t="shared" si="203"/>
        <v>-</v>
      </c>
      <c r="AS354" s="26" t="str">
        <f t="shared" si="204"/>
        <v>-</v>
      </c>
      <c r="AT354" s="21">
        <f t="shared" si="205"/>
        <v>12</v>
      </c>
      <c r="AU354" s="21">
        <f t="shared" si="206"/>
        <v>19</v>
      </c>
      <c r="AV354" t="str">
        <f t="shared" si="207"/>
        <v>-</v>
      </c>
      <c r="AW354" t="str">
        <f t="shared" si="208"/>
        <v>-</v>
      </c>
      <c r="AX354" t="str">
        <f t="shared" si="209"/>
        <v>-</v>
      </c>
      <c r="AY354" t="str">
        <f t="shared" si="210"/>
        <v>-</v>
      </c>
      <c r="AZ354" t="str">
        <f t="shared" si="211"/>
        <v>-</v>
      </c>
      <c r="BA354" t="str">
        <f t="shared" si="212"/>
        <v>-</v>
      </c>
      <c r="BB354" t="str">
        <f t="shared" si="213"/>
        <v>-</v>
      </c>
      <c r="BC354" t="str">
        <f t="shared" si="214"/>
        <v>-</v>
      </c>
      <c r="BD354" s="29" t="str">
        <f t="shared" si="215"/>
        <v>-</v>
      </c>
      <c r="BE354" s="29" t="str">
        <f t="shared" si="216"/>
        <v>-</v>
      </c>
    </row>
    <row r="355" spans="1:57" ht="15" x14ac:dyDescent="0.2">
      <c r="A355" s="2">
        <v>89</v>
      </c>
      <c r="B355" s="2" t="str">
        <f t="shared" si="181"/>
        <v>0089</v>
      </c>
      <c r="C355" t="str">
        <f t="shared" si="182"/>
        <v>ORD-SP-0089-12/05/24</v>
      </c>
      <c r="D355" s="3" t="s">
        <v>162</v>
      </c>
      <c r="E355" t="str">
        <f t="shared" si="183"/>
        <v>PW003</v>
      </c>
      <c r="F355" t="str">
        <f>INDEX(Katalog!$B$4:$B$13,MATCH('Main Data'!E355,Katalog!$C$4:$C$13,0))</f>
        <v>Kaftan</v>
      </c>
      <c r="G355" t="str">
        <f>VLOOKUP(E355,Katalog!$A$15:$B$25,2,0)</f>
        <v>Pakaian Wanita</v>
      </c>
      <c r="H355" t="str">
        <f t="shared" si="184"/>
        <v>1</v>
      </c>
      <c r="I355" t="str">
        <f t="shared" si="185"/>
        <v>2</v>
      </c>
      <c r="J355" s="18">
        <f>VLOOKUP(E355,Katalog!$C$3:$F$13,2,0)</f>
        <v>200000</v>
      </c>
      <c r="K355" s="18">
        <f>VLOOKUP(E355,Katalog!$C$3:$F$13,3,0)</f>
        <v>100000</v>
      </c>
      <c r="L355" t="str">
        <f t="shared" si="186"/>
        <v>PP002</v>
      </c>
      <c r="M355" t="str">
        <f>IFERROR(INDEX(Katalog!$B$4:$B$13,MATCH('Main Data'!L355,Katalog!$C$4:$C$13,0)), "-")</f>
        <v>Celana Pendek</v>
      </c>
      <c r="N355" t="str">
        <f>IFERROR(VLOOKUP(L355,Katalog!$A$15:$B$25,2,0),"-")</f>
        <v>Pakaian Pria</v>
      </c>
      <c r="O355" t="str">
        <f t="shared" si="187"/>
        <v>1</v>
      </c>
      <c r="P355" t="str">
        <f t="shared" si="188"/>
        <v>5</v>
      </c>
      <c r="Q355" s="18">
        <f>IFERROR(VLOOKUP(L355,Katalog!$C$3:$F$13,2,0),0)</f>
        <v>60000</v>
      </c>
      <c r="R355" s="18">
        <f>IFERROR(VLOOKUP(L355,Katalog!$C$3:$F$13,3,0),0)</f>
        <v>25000</v>
      </c>
      <c r="S355" t="str">
        <f t="shared" si="189"/>
        <v>-</v>
      </c>
      <c r="T355" t="str">
        <f>IFERROR(INDEX(Katalog!$B$4:$B$13,MATCH('Main Data'!S355,Katalog!$C$4:$C$13,0)),"-")</f>
        <v>-</v>
      </c>
      <c r="U355" t="str">
        <f>IFERROR(VLOOKUP(S355,Katalog!$A$15:$B$25,2,0),"-")</f>
        <v>-</v>
      </c>
      <c r="V355">
        <f t="shared" si="190"/>
        <v>0</v>
      </c>
      <c r="W355" s="28" t="str">
        <f t="shared" si="191"/>
        <v>-</v>
      </c>
      <c r="X355" s="18">
        <f>IFERROR(VLOOKUP(S355,Katalog!$C$3:$F$13,2,0),0)</f>
        <v>0</v>
      </c>
      <c r="Y355" s="30">
        <f>IFERROR(VLOOKUP(S355,Katalog!$C$3:$F$13,3,0),0)</f>
        <v>0</v>
      </c>
      <c r="Z355" s="2">
        <f t="shared" si="192"/>
        <v>2</v>
      </c>
      <c r="AA355" s="4">
        <f t="shared" si="193"/>
        <v>260000</v>
      </c>
      <c r="AB355" s="4">
        <f t="shared" si="194"/>
        <v>125000</v>
      </c>
      <c r="AC355" s="4" t="s">
        <v>5</v>
      </c>
      <c r="AD355" s="16">
        <f>IFERROR(VLOOKUP(AC355,'Kode Diskon'!$C$2:$D$9,2,0),0)</f>
        <v>0.1</v>
      </c>
      <c r="AE355" s="31">
        <f t="shared" si="195"/>
        <v>26000</v>
      </c>
      <c r="AF355" s="31">
        <f t="shared" si="196"/>
        <v>234000</v>
      </c>
      <c r="AG355" s="31">
        <f t="shared" si="197"/>
        <v>135000</v>
      </c>
      <c r="AH355" s="31">
        <f t="shared" si="198"/>
        <v>109000</v>
      </c>
      <c r="AI355" s="4" t="s">
        <v>28</v>
      </c>
      <c r="AJ355" s="4" t="s">
        <v>6</v>
      </c>
      <c r="AK355" s="4" t="str">
        <f>IFERROR(VLOOKUP(AJ355,'Guide '!$A$13:$B$16,2,0),"-")</f>
        <v>SP</v>
      </c>
      <c r="AL355" s="4" t="s">
        <v>921</v>
      </c>
      <c r="AM355" s="40">
        <v>45424</v>
      </c>
      <c r="AN355">
        <f t="shared" si="199"/>
        <v>29</v>
      </c>
      <c r="AO355">
        <f t="shared" si="200"/>
        <v>32</v>
      </c>
      <c r="AP355">
        <f t="shared" si="201"/>
        <v>40</v>
      </c>
      <c r="AQ355">
        <f t="shared" si="202"/>
        <v>43</v>
      </c>
      <c r="AR355" s="26">
        <f t="shared" si="203"/>
        <v>56</v>
      </c>
      <c r="AS355" s="26">
        <f t="shared" si="204"/>
        <v>63</v>
      </c>
      <c r="AT355" s="21">
        <f t="shared" si="205"/>
        <v>12</v>
      </c>
      <c r="AU355" s="21">
        <f t="shared" si="206"/>
        <v>19</v>
      </c>
      <c r="AV355">
        <f t="shared" si="207"/>
        <v>73</v>
      </c>
      <c r="AW355">
        <f t="shared" si="208"/>
        <v>76</v>
      </c>
      <c r="AX355">
        <f t="shared" si="209"/>
        <v>84</v>
      </c>
      <c r="AY355">
        <f t="shared" si="210"/>
        <v>87</v>
      </c>
      <c r="AZ355" t="str">
        <f t="shared" si="211"/>
        <v>-</v>
      </c>
      <c r="BA355" t="str">
        <f t="shared" si="212"/>
        <v>-</v>
      </c>
      <c r="BB355" t="str">
        <f t="shared" si="213"/>
        <v>-</v>
      </c>
      <c r="BC355" t="str">
        <f t="shared" si="214"/>
        <v>-</v>
      </c>
      <c r="BD355" s="29" t="str">
        <f t="shared" si="215"/>
        <v>-</v>
      </c>
      <c r="BE355" s="29" t="str">
        <f t="shared" si="216"/>
        <v>-</v>
      </c>
    </row>
    <row r="356" spans="1:57" ht="15" x14ac:dyDescent="0.2">
      <c r="A356" s="2">
        <v>516</v>
      </c>
      <c r="B356" s="2" t="str">
        <f t="shared" si="181"/>
        <v>0516</v>
      </c>
      <c r="C356" t="str">
        <f t="shared" si="182"/>
        <v>ORD-SP-0516-12/05/24</v>
      </c>
      <c r="D356" s="3" t="s">
        <v>544</v>
      </c>
      <c r="E356" t="str">
        <f t="shared" si="183"/>
        <v>PP003</v>
      </c>
      <c r="F356" t="str">
        <f>INDEX(Katalog!$B$4:$B$13,MATCH('Main Data'!E356,Katalog!$C$4:$C$13,0))</f>
        <v>Jaket Jeans</v>
      </c>
      <c r="G356" t="str">
        <f>VLOOKUP(E356,Katalog!$A$15:$B$25,2,0)</f>
        <v>Pakaian Pria</v>
      </c>
      <c r="H356" t="str">
        <f t="shared" si="184"/>
        <v>2</v>
      </c>
      <c r="I356" t="str">
        <f t="shared" si="185"/>
        <v>3</v>
      </c>
      <c r="J356" s="18">
        <f>VLOOKUP(E356,Katalog!$C$3:$F$13,2,0)</f>
        <v>150000</v>
      </c>
      <c r="K356" s="18">
        <f>VLOOKUP(E356,Katalog!$C$3:$F$13,3,0)</f>
        <v>70000</v>
      </c>
      <c r="L356" t="str">
        <f t="shared" si="186"/>
        <v>PW002</v>
      </c>
      <c r="M356" t="str">
        <f>IFERROR(INDEX(Katalog!$B$4:$B$13,MATCH('Main Data'!L356,Katalog!$C$4:$C$13,0)), "-")</f>
        <v>Blouse</v>
      </c>
      <c r="N356" t="str">
        <f>IFERROR(VLOOKUP(L356,Katalog!$A$15:$B$25,2,0),"-")</f>
        <v>Pakaian Wanita</v>
      </c>
      <c r="O356" t="str">
        <f t="shared" si="187"/>
        <v>3</v>
      </c>
      <c r="P356" t="str">
        <f t="shared" si="188"/>
        <v>1</v>
      </c>
      <c r="Q356" s="18">
        <f>IFERROR(VLOOKUP(L356,Katalog!$C$3:$F$13,2,0),0)</f>
        <v>125000</v>
      </c>
      <c r="R356" s="18">
        <f>IFERROR(VLOOKUP(L356,Katalog!$C$3:$F$13,3,0),0)</f>
        <v>50000</v>
      </c>
      <c r="S356" t="str">
        <f t="shared" si="189"/>
        <v>-</v>
      </c>
      <c r="T356" t="str">
        <f>IFERROR(INDEX(Katalog!$B$4:$B$13,MATCH('Main Data'!S356,Katalog!$C$4:$C$13,0)),"-")</f>
        <v>-</v>
      </c>
      <c r="U356" t="str">
        <f>IFERROR(VLOOKUP(S356,Katalog!$A$15:$B$25,2,0),"-")</f>
        <v>-</v>
      </c>
      <c r="V356">
        <f t="shared" si="190"/>
        <v>0</v>
      </c>
      <c r="W356" s="28" t="str">
        <f t="shared" si="191"/>
        <v>-</v>
      </c>
      <c r="X356" s="18">
        <f>IFERROR(VLOOKUP(S356,Katalog!$C$3:$F$13,2,0),0)</f>
        <v>0</v>
      </c>
      <c r="Y356" s="30">
        <f>IFERROR(VLOOKUP(S356,Katalog!$C$3:$F$13,3,0),0)</f>
        <v>0</v>
      </c>
      <c r="Z356" s="2">
        <f t="shared" si="192"/>
        <v>5</v>
      </c>
      <c r="AA356" s="4">
        <f t="shared" si="193"/>
        <v>675000</v>
      </c>
      <c r="AB356" s="4">
        <f t="shared" si="194"/>
        <v>290000</v>
      </c>
      <c r="AC356" s="4" t="s">
        <v>12</v>
      </c>
      <c r="AD356" s="16">
        <f>IFERROR(VLOOKUP(AC356,'Kode Diskon'!$C$2:$D$9,2,0),0)</f>
        <v>0.15</v>
      </c>
      <c r="AE356" s="31">
        <f t="shared" si="195"/>
        <v>101250</v>
      </c>
      <c r="AF356" s="31">
        <f t="shared" si="196"/>
        <v>573750</v>
      </c>
      <c r="AG356" s="31">
        <f t="shared" si="197"/>
        <v>385000</v>
      </c>
      <c r="AH356" s="31">
        <f t="shared" si="198"/>
        <v>283750</v>
      </c>
      <c r="AI356" s="4" t="s">
        <v>28</v>
      </c>
      <c r="AJ356" s="4" t="s">
        <v>6</v>
      </c>
      <c r="AK356" s="4" t="str">
        <f>IFERROR(VLOOKUP(AJ356,'Guide '!$A$13:$B$16,2,0),"-")</f>
        <v>SP</v>
      </c>
      <c r="AL356" s="4" t="s">
        <v>924</v>
      </c>
      <c r="AM356" s="40">
        <v>45424</v>
      </c>
      <c r="AN356">
        <f t="shared" si="199"/>
        <v>29</v>
      </c>
      <c r="AO356">
        <f t="shared" si="200"/>
        <v>32</v>
      </c>
      <c r="AP356">
        <f t="shared" si="201"/>
        <v>40</v>
      </c>
      <c r="AQ356">
        <f t="shared" si="202"/>
        <v>43</v>
      </c>
      <c r="AR356" s="26">
        <f t="shared" si="203"/>
        <v>56</v>
      </c>
      <c r="AS356" s="26">
        <f t="shared" si="204"/>
        <v>63</v>
      </c>
      <c r="AT356" s="21">
        <f t="shared" si="205"/>
        <v>12</v>
      </c>
      <c r="AU356" s="21">
        <f t="shared" si="206"/>
        <v>19</v>
      </c>
      <c r="AV356">
        <f t="shared" si="207"/>
        <v>73</v>
      </c>
      <c r="AW356">
        <f t="shared" si="208"/>
        <v>76</v>
      </c>
      <c r="AX356">
        <f t="shared" si="209"/>
        <v>84</v>
      </c>
      <c r="AY356">
        <f t="shared" si="210"/>
        <v>87</v>
      </c>
      <c r="AZ356" t="str">
        <f t="shared" si="211"/>
        <v>-</v>
      </c>
      <c r="BA356" t="str">
        <f t="shared" si="212"/>
        <v>-</v>
      </c>
      <c r="BB356" t="str">
        <f t="shared" si="213"/>
        <v>-</v>
      </c>
      <c r="BC356" t="str">
        <f t="shared" si="214"/>
        <v>-</v>
      </c>
      <c r="BD356" s="29" t="str">
        <f t="shared" si="215"/>
        <v>-</v>
      </c>
      <c r="BE356" s="29" t="str">
        <f t="shared" si="216"/>
        <v>-</v>
      </c>
    </row>
    <row r="357" spans="1:57" ht="15" x14ac:dyDescent="0.2">
      <c r="A357" s="2">
        <v>741</v>
      </c>
      <c r="B357" s="2" t="str">
        <f t="shared" si="181"/>
        <v>0741</v>
      </c>
      <c r="C357" t="str">
        <f t="shared" si="182"/>
        <v>ORD-SP-0741-12/05/24</v>
      </c>
      <c r="D357" s="3" t="s">
        <v>725</v>
      </c>
      <c r="E357" t="str">
        <f t="shared" si="183"/>
        <v>PP002</v>
      </c>
      <c r="F357" t="str">
        <f>INDEX(Katalog!$B$4:$B$13,MATCH('Main Data'!E357,Katalog!$C$4:$C$13,0))</f>
        <v>Celana Pendek</v>
      </c>
      <c r="G357" t="str">
        <f>VLOOKUP(E357,Katalog!$A$15:$B$25,2,0)</f>
        <v>Pakaian Pria</v>
      </c>
      <c r="H357" t="str">
        <f t="shared" si="184"/>
        <v>2</v>
      </c>
      <c r="I357" t="str">
        <f t="shared" si="185"/>
        <v>4</v>
      </c>
      <c r="J357" s="18">
        <f>VLOOKUP(E357,Katalog!$C$3:$F$13,2,0)</f>
        <v>60000</v>
      </c>
      <c r="K357" s="18">
        <f>VLOOKUP(E357,Katalog!$C$3:$F$13,3,0)</f>
        <v>25000</v>
      </c>
      <c r="L357" t="str">
        <f t="shared" si="186"/>
        <v>SP001</v>
      </c>
      <c r="M357" t="str">
        <f>IFERROR(INDEX(Katalog!$B$4:$B$13,MATCH('Main Data'!L357,Katalog!$C$4:$C$13,0)), "-")</f>
        <v>Sneakers</v>
      </c>
      <c r="N357" t="str">
        <f>IFERROR(VLOOKUP(L357,Katalog!$A$15:$B$25,2,0),"-")</f>
        <v>Sepatu Pria</v>
      </c>
      <c r="O357" t="str">
        <f t="shared" si="187"/>
        <v>1</v>
      </c>
      <c r="P357" t="str">
        <f t="shared" si="188"/>
        <v>4</v>
      </c>
      <c r="Q357" s="18">
        <f>IFERROR(VLOOKUP(L357,Katalog!$C$3:$F$13,2,0),0)</f>
        <v>300000</v>
      </c>
      <c r="R357" s="18">
        <f>IFERROR(VLOOKUP(L357,Katalog!$C$3:$F$13,3,0),0)</f>
        <v>100000</v>
      </c>
      <c r="S357" t="str">
        <f t="shared" si="189"/>
        <v>SW001</v>
      </c>
      <c r="T357" t="str">
        <f>IFERROR(INDEX(Katalog!$B$4:$B$13,MATCH('Main Data'!S357,Katalog!$C$4:$C$13,0)),"-")</f>
        <v>Flat Shoes</v>
      </c>
      <c r="U357" t="str">
        <f>IFERROR(VLOOKUP(S357,Katalog!$A$15:$B$25,2,0),"-")</f>
        <v>Sepatu Wanita</v>
      </c>
      <c r="V357" t="str">
        <f t="shared" si="190"/>
        <v>1</v>
      </c>
      <c r="W357" s="28" t="str">
        <f t="shared" si="191"/>
        <v>3</v>
      </c>
      <c r="X357" s="18">
        <f>IFERROR(VLOOKUP(S357,Katalog!$C$3:$F$13,2,0),0)</f>
        <v>150000</v>
      </c>
      <c r="Y357" s="30">
        <f>IFERROR(VLOOKUP(S357,Katalog!$C$3:$F$13,3,0),0)</f>
        <v>70000</v>
      </c>
      <c r="Z357" s="2">
        <f t="shared" si="192"/>
        <v>4</v>
      </c>
      <c r="AA357" s="4">
        <f t="shared" si="193"/>
        <v>570000</v>
      </c>
      <c r="AB357" s="4">
        <f t="shared" si="194"/>
        <v>220000</v>
      </c>
      <c r="AC357" s="4" t="s">
        <v>7</v>
      </c>
      <c r="AD357" s="16">
        <f>IFERROR(VLOOKUP(AC357,'Kode Diskon'!$C$2:$D$9,2,0),0)</f>
        <v>0.2</v>
      </c>
      <c r="AE357" s="31">
        <f t="shared" si="195"/>
        <v>114000</v>
      </c>
      <c r="AF357" s="31">
        <f t="shared" si="196"/>
        <v>456000</v>
      </c>
      <c r="AG357" s="31">
        <f t="shared" si="197"/>
        <v>350000</v>
      </c>
      <c r="AH357" s="31">
        <f t="shared" si="198"/>
        <v>236000</v>
      </c>
      <c r="AI357" s="4" t="s">
        <v>8</v>
      </c>
      <c r="AJ357" s="4" t="s">
        <v>6</v>
      </c>
      <c r="AK357" s="4" t="str">
        <f>IFERROR(VLOOKUP(AJ357,'Guide '!$A$13:$B$16,2,0),"-")</f>
        <v>SP</v>
      </c>
      <c r="AL357" s="4" t="s">
        <v>922</v>
      </c>
      <c r="AM357" s="40">
        <v>45424</v>
      </c>
      <c r="AN357">
        <f t="shared" si="199"/>
        <v>29</v>
      </c>
      <c r="AO357">
        <f t="shared" si="200"/>
        <v>32</v>
      </c>
      <c r="AP357">
        <f t="shared" si="201"/>
        <v>40</v>
      </c>
      <c r="AQ357">
        <f t="shared" si="202"/>
        <v>43</v>
      </c>
      <c r="AR357" s="26">
        <f t="shared" si="203"/>
        <v>56</v>
      </c>
      <c r="AS357" s="26">
        <f t="shared" si="204"/>
        <v>63</v>
      </c>
      <c r="AT357" s="21">
        <f t="shared" si="205"/>
        <v>12</v>
      </c>
      <c r="AU357" s="21">
        <f t="shared" si="206"/>
        <v>19</v>
      </c>
      <c r="AV357">
        <f t="shared" si="207"/>
        <v>73</v>
      </c>
      <c r="AW357">
        <f t="shared" si="208"/>
        <v>76</v>
      </c>
      <c r="AX357">
        <f t="shared" si="209"/>
        <v>84</v>
      </c>
      <c r="AY357">
        <f t="shared" si="210"/>
        <v>87</v>
      </c>
      <c r="AZ357">
        <f t="shared" si="211"/>
        <v>100</v>
      </c>
      <c r="BA357">
        <f t="shared" si="212"/>
        <v>107</v>
      </c>
      <c r="BB357">
        <f t="shared" si="213"/>
        <v>117</v>
      </c>
      <c r="BC357">
        <f t="shared" si="214"/>
        <v>120</v>
      </c>
      <c r="BD357" s="29">
        <f t="shared" si="215"/>
        <v>128</v>
      </c>
      <c r="BE357" s="29">
        <f t="shared" si="216"/>
        <v>131</v>
      </c>
    </row>
    <row r="358" spans="1:57" ht="15" x14ac:dyDescent="0.2">
      <c r="A358" s="2">
        <v>818</v>
      </c>
      <c r="B358" s="2" t="str">
        <f t="shared" si="181"/>
        <v>0818</v>
      </c>
      <c r="C358" t="str">
        <f t="shared" si="182"/>
        <v>ORD-BB-0818-12/05/24</v>
      </c>
      <c r="D358" s="3" t="s">
        <v>779</v>
      </c>
      <c r="E358" t="str">
        <f t="shared" si="183"/>
        <v>PP002</v>
      </c>
      <c r="F358" t="str">
        <f>INDEX(Katalog!$B$4:$B$13,MATCH('Main Data'!E358,Katalog!$C$4:$C$13,0))</f>
        <v>Celana Pendek</v>
      </c>
      <c r="G358" t="str">
        <f>VLOOKUP(E358,Katalog!$A$15:$B$25,2,0)</f>
        <v>Pakaian Pria</v>
      </c>
      <c r="H358" t="str">
        <f t="shared" si="184"/>
        <v>2</v>
      </c>
      <c r="I358" t="str">
        <f t="shared" si="185"/>
        <v>5</v>
      </c>
      <c r="J358" s="18">
        <f>VLOOKUP(E358,Katalog!$C$3:$F$13,2,0)</f>
        <v>60000</v>
      </c>
      <c r="K358" s="18">
        <f>VLOOKUP(E358,Katalog!$C$3:$F$13,3,0)</f>
        <v>25000</v>
      </c>
      <c r="L358" t="str">
        <f t="shared" si="186"/>
        <v>PP003</v>
      </c>
      <c r="M358" t="str">
        <f>IFERROR(INDEX(Katalog!$B$4:$B$13,MATCH('Main Data'!L358,Katalog!$C$4:$C$13,0)), "-")</f>
        <v>Jaket Jeans</v>
      </c>
      <c r="N358" t="str">
        <f>IFERROR(VLOOKUP(L358,Katalog!$A$15:$B$25,2,0),"-")</f>
        <v>Pakaian Pria</v>
      </c>
      <c r="O358" t="str">
        <f t="shared" si="187"/>
        <v>1</v>
      </c>
      <c r="P358" t="str">
        <f t="shared" si="188"/>
        <v>4</v>
      </c>
      <c r="Q358" s="18">
        <f>IFERROR(VLOOKUP(L358,Katalog!$C$3:$F$13,2,0),0)</f>
        <v>150000</v>
      </c>
      <c r="R358" s="18">
        <f>IFERROR(VLOOKUP(L358,Katalog!$C$3:$F$13,3,0),0)</f>
        <v>70000</v>
      </c>
      <c r="S358" t="str">
        <f t="shared" si="189"/>
        <v>-</v>
      </c>
      <c r="T358" t="str">
        <f>IFERROR(INDEX(Katalog!$B$4:$B$13,MATCH('Main Data'!S358,Katalog!$C$4:$C$13,0)),"-")</f>
        <v>-</v>
      </c>
      <c r="U358" t="str">
        <f>IFERROR(VLOOKUP(S358,Katalog!$A$15:$B$25,2,0),"-")</f>
        <v>-</v>
      </c>
      <c r="V358">
        <f t="shared" si="190"/>
        <v>0</v>
      </c>
      <c r="W358" s="28" t="str">
        <f t="shared" si="191"/>
        <v>-</v>
      </c>
      <c r="X358" s="18">
        <f>IFERROR(VLOOKUP(S358,Katalog!$C$3:$F$13,2,0),0)</f>
        <v>0</v>
      </c>
      <c r="Y358" s="30">
        <f>IFERROR(VLOOKUP(S358,Katalog!$C$3:$F$13,3,0),0)</f>
        <v>0</v>
      </c>
      <c r="Z358" s="2">
        <f t="shared" si="192"/>
        <v>3</v>
      </c>
      <c r="AA358" s="4">
        <f t="shared" si="193"/>
        <v>270000</v>
      </c>
      <c r="AB358" s="4">
        <f t="shared" si="194"/>
        <v>120000</v>
      </c>
      <c r="AC358" s="4" t="s">
        <v>27</v>
      </c>
      <c r="AD358" s="16">
        <f>IFERROR(VLOOKUP(AC358,'Kode Diskon'!$C$2:$D$9,2,0),0)</f>
        <v>0.15</v>
      </c>
      <c r="AE358" s="31">
        <f t="shared" si="195"/>
        <v>40500</v>
      </c>
      <c r="AF358" s="31">
        <f t="shared" si="196"/>
        <v>229500</v>
      </c>
      <c r="AG358" s="31">
        <f t="shared" si="197"/>
        <v>150000</v>
      </c>
      <c r="AH358" s="31">
        <f t="shared" si="198"/>
        <v>109500</v>
      </c>
      <c r="AI358" s="4" t="s">
        <v>28</v>
      </c>
      <c r="AJ358" s="4" t="s">
        <v>13</v>
      </c>
      <c r="AK358" s="4" t="str">
        <f>IFERROR(VLOOKUP(AJ358,'Guide '!$A$13:$B$16,2,0),"-")</f>
        <v>BB</v>
      </c>
      <c r="AL358" s="4" t="s">
        <v>924</v>
      </c>
      <c r="AM358" s="40">
        <v>45424</v>
      </c>
      <c r="AN358">
        <f t="shared" si="199"/>
        <v>29</v>
      </c>
      <c r="AO358">
        <f t="shared" si="200"/>
        <v>32</v>
      </c>
      <c r="AP358">
        <f t="shared" si="201"/>
        <v>40</v>
      </c>
      <c r="AQ358">
        <f t="shared" si="202"/>
        <v>43</v>
      </c>
      <c r="AR358" s="26">
        <f t="shared" si="203"/>
        <v>56</v>
      </c>
      <c r="AS358" s="26">
        <f t="shared" si="204"/>
        <v>63</v>
      </c>
      <c r="AT358" s="21">
        <f t="shared" si="205"/>
        <v>12</v>
      </c>
      <c r="AU358" s="21">
        <f t="shared" si="206"/>
        <v>19</v>
      </c>
      <c r="AV358">
        <f t="shared" si="207"/>
        <v>73</v>
      </c>
      <c r="AW358">
        <f t="shared" si="208"/>
        <v>76</v>
      </c>
      <c r="AX358">
        <f t="shared" si="209"/>
        <v>84</v>
      </c>
      <c r="AY358">
        <f t="shared" si="210"/>
        <v>87</v>
      </c>
      <c r="AZ358" t="str">
        <f t="shared" si="211"/>
        <v>-</v>
      </c>
      <c r="BA358" t="str">
        <f t="shared" si="212"/>
        <v>-</v>
      </c>
      <c r="BB358" t="str">
        <f t="shared" si="213"/>
        <v>-</v>
      </c>
      <c r="BC358" t="str">
        <f t="shared" si="214"/>
        <v>-</v>
      </c>
      <c r="BD358" s="29" t="str">
        <f t="shared" si="215"/>
        <v>-</v>
      </c>
      <c r="BE358" s="29" t="str">
        <f t="shared" si="216"/>
        <v>-</v>
      </c>
    </row>
    <row r="359" spans="1:57" ht="15" x14ac:dyDescent="0.2">
      <c r="A359" s="2">
        <v>37</v>
      </c>
      <c r="B359" s="2" t="str">
        <f t="shared" si="181"/>
        <v>0037</v>
      </c>
      <c r="C359" t="str">
        <f t="shared" si="182"/>
        <v>ORD-BL-0037-13/05/24</v>
      </c>
      <c r="D359" s="3" t="s">
        <v>111</v>
      </c>
      <c r="E359" t="str">
        <f t="shared" si="183"/>
        <v>SW001</v>
      </c>
      <c r="F359" t="str">
        <f>INDEX(Katalog!$B$4:$B$13,MATCH('Main Data'!E359,Katalog!$C$4:$C$13,0))</f>
        <v>Flat Shoes</v>
      </c>
      <c r="G359" t="str">
        <f>VLOOKUP(E359,Katalog!$A$15:$B$25,2,0)</f>
        <v>Sepatu Wanita</v>
      </c>
      <c r="H359" t="str">
        <f t="shared" si="184"/>
        <v>1</v>
      </c>
      <c r="I359" t="str">
        <f t="shared" si="185"/>
        <v>3</v>
      </c>
      <c r="J359" s="18">
        <f>VLOOKUP(E359,Katalog!$C$3:$F$13,2,0)</f>
        <v>150000</v>
      </c>
      <c r="K359" s="18">
        <f>VLOOKUP(E359,Katalog!$C$3:$F$13,3,0)</f>
        <v>70000</v>
      </c>
      <c r="L359" t="str">
        <f t="shared" si="186"/>
        <v>PP002</v>
      </c>
      <c r="M359" t="str">
        <f>IFERROR(INDEX(Katalog!$B$4:$B$13,MATCH('Main Data'!L359,Katalog!$C$4:$C$13,0)), "-")</f>
        <v>Celana Pendek</v>
      </c>
      <c r="N359" t="str">
        <f>IFERROR(VLOOKUP(L359,Katalog!$A$15:$B$25,2,0),"-")</f>
        <v>Pakaian Pria</v>
      </c>
      <c r="O359" t="str">
        <f t="shared" si="187"/>
        <v>2</v>
      </c>
      <c r="P359" t="str">
        <f t="shared" si="188"/>
        <v>2</v>
      </c>
      <c r="Q359" s="18">
        <f>IFERROR(VLOOKUP(L359,Katalog!$C$3:$F$13,2,0),0)</f>
        <v>60000</v>
      </c>
      <c r="R359" s="18">
        <f>IFERROR(VLOOKUP(L359,Katalog!$C$3:$F$13,3,0),0)</f>
        <v>25000</v>
      </c>
      <c r="S359" t="str">
        <f t="shared" si="189"/>
        <v>-</v>
      </c>
      <c r="T359" t="str">
        <f>IFERROR(INDEX(Katalog!$B$4:$B$13,MATCH('Main Data'!S359,Katalog!$C$4:$C$13,0)),"-")</f>
        <v>-</v>
      </c>
      <c r="U359" t="str">
        <f>IFERROR(VLOOKUP(S359,Katalog!$A$15:$B$25,2,0),"-")</f>
        <v>-</v>
      </c>
      <c r="V359">
        <f t="shared" si="190"/>
        <v>0</v>
      </c>
      <c r="W359" s="28" t="str">
        <f t="shared" si="191"/>
        <v>-</v>
      </c>
      <c r="X359" s="18">
        <f>IFERROR(VLOOKUP(S359,Katalog!$C$3:$F$13,2,0),0)</f>
        <v>0</v>
      </c>
      <c r="Y359" s="30">
        <f>IFERROR(VLOOKUP(S359,Katalog!$C$3:$F$13,3,0),0)</f>
        <v>0</v>
      </c>
      <c r="Z359" s="2">
        <f t="shared" si="192"/>
        <v>3</v>
      </c>
      <c r="AA359" s="4">
        <f t="shared" si="193"/>
        <v>270000</v>
      </c>
      <c r="AB359" s="4">
        <f t="shared" si="194"/>
        <v>120000</v>
      </c>
      <c r="AC359" s="4" t="s">
        <v>31</v>
      </c>
      <c r="AD359" s="16">
        <f>IFERROR(VLOOKUP(AC359,'Kode Diskon'!$C$2:$D$9,2,0),0)</f>
        <v>0.15</v>
      </c>
      <c r="AE359" s="31">
        <f t="shared" si="195"/>
        <v>40500</v>
      </c>
      <c r="AF359" s="31">
        <f t="shared" si="196"/>
        <v>229500</v>
      </c>
      <c r="AG359" s="31">
        <f t="shared" si="197"/>
        <v>150000</v>
      </c>
      <c r="AH359" s="31">
        <f t="shared" si="198"/>
        <v>109500</v>
      </c>
      <c r="AI359" s="4" t="s">
        <v>8</v>
      </c>
      <c r="AJ359" s="4" t="s">
        <v>11</v>
      </c>
      <c r="AK359" s="4" t="str">
        <f>IFERROR(VLOOKUP(AJ359,'Guide '!$A$13:$B$16,2,0),"-")</f>
        <v>BL</v>
      </c>
      <c r="AL359" s="4" t="s">
        <v>924</v>
      </c>
      <c r="AM359" s="40">
        <v>45425</v>
      </c>
      <c r="AN359">
        <f t="shared" si="199"/>
        <v>29</v>
      </c>
      <c r="AO359">
        <f t="shared" si="200"/>
        <v>32</v>
      </c>
      <c r="AP359">
        <f t="shared" si="201"/>
        <v>40</v>
      </c>
      <c r="AQ359">
        <f t="shared" si="202"/>
        <v>43</v>
      </c>
      <c r="AR359" s="26">
        <f t="shared" si="203"/>
        <v>56</v>
      </c>
      <c r="AS359" s="26">
        <f t="shared" si="204"/>
        <v>63</v>
      </c>
      <c r="AT359" s="21">
        <f t="shared" si="205"/>
        <v>12</v>
      </c>
      <c r="AU359" s="21">
        <f t="shared" si="206"/>
        <v>19</v>
      </c>
      <c r="AV359">
        <f t="shared" si="207"/>
        <v>73</v>
      </c>
      <c r="AW359">
        <f t="shared" si="208"/>
        <v>76</v>
      </c>
      <c r="AX359">
        <f t="shared" si="209"/>
        <v>84</v>
      </c>
      <c r="AY359">
        <f t="shared" si="210"/>
        <v>87</v>
      </c>
      <c r="AZ359" t="str">
        <f t="shared" si="211"/>
        <v>-</v>
      </c>
      <c r="BA359" t="str">
        <f t="shared" si="212"/>
        <v>-</v>
      </c>
      <c r="BB359" t="str">
        <f t="shared" si="213"/>
        <v>-</v>
      </c>
      <c r="BC359" t="str">
        <f t="shared" si="214"/>
        <v>-</v>
      </c>
      <c r="BD359" s="29" t="str">
        <f t="shared" si="215"/>
        <v>-</v>
      </c>
      <c r="BE359" s="29" t="str">
        <f t="shared" si="216"/>
        <v>-</v>
      </c>
    </row>
    <row r="360" spans="1:57" ht="15" x14ac:dyDescent="0.2">
      <c r="A360" s="2">
        <v>230</v>
      </c>
      <c r="B360" s="2" t="str">
        <f t="shared" si="181"/>
        <v>0230</v>
      </c>
      <c r="C360" t="str">
        <f t="shared" si="182"/>
        <v>ORD-BB-0230-13/05/24</v>
      </c>
      <c r="D360" s="3" t="s">
        <v>296</v>
      </c>
      <c r="E360" t="str">
        <f t="shared" si="183"/>
        <v>PW001</v>
      </c>
      <c r="F360" t="str">
        <f>INDEX(Katalog!$B$4:$B$13,MATCH('Main Data'!E360,Katalog!$C$4:$C$13,0))</f>
        <v>Dress</v>
      </c>
      <c r="G360" t="str">
        <f>VLOOKUP(E360,Katalog!$A$15:$B$25,2,0)</f>
        <v>Pakaian Wanita</v>
      </c>
      <c r="H360" t="str">
        <f t="shared" si="184"/>
        <v>1</v>
      </c>
      <c r="I360" t="str">
        <f t="shared" si="185"/>
        <v>5</v>
      </c>
      <c r="J360" s="18">
        <f>VLOOKUP(E360,Katalog!$C$3:$F$13,2,0)</f>
        <v>150000</v>
      </c>
      <c r="K360" s="18">
        <f>VLOOKUP(E360,Katalog!$C$3:$F$13,3,0)</f>
        <v>55000</v>
      </c>
      <c r="L360" t="str">
        <f t="shared" si="186"/>
        <v>PP003</v>
      </c>
      <c r="M360" t="str">
        <f>IFERROR(INDEX(Katalog!$B$4:$B$13,MATCH('Main Data'!L360,Katalog!$C$4:$C$13,0)), "-")</f>
        <v>Jaket Jeans</v>
      </c>
      <c r="N360" t="str">
        <f>IFERROR(VLOOKUP(L360,Katalog!$A$15:$B$25,2,0),"-")</f>
        <v>Pakaian Pria</v>
      </c>
      <c r="O360" t="str">
        <f t="shared" si="187"/>
        <v>1</v>
      </c>
      <c r="P360" t="str">
        <f t="shared" si="188"/>
        <v>1</v>
      </c>
      <c r="Q360" s="18">
        <f>IFERROR(VLOOKUP(L360,Katalog!$C$3:$F$13,2,0),0)</f>
        <v>150000</v>
      </c>
      <c r="R360" s="18">
        <f>IFERROR(VLOOKUP(L360,Katalog!$C$3:$F$13,3,0),0)</f>
        <v>70000</v>
      </c>
      <c r="S360" t="str">
        <f t="shared" si="189"/>
        <v>-</v>
      </c>
      <c r="T360" t="str">
        <f>IFERROR(INDEX(Katalog!$B$4:$B$13,MATCH('Main Data'!S360,Katalog!$C$4:$C$13,0)),"-")</f>
        <v>-</v>
      </c>
      <c r="U360" t="str">
        <f>IFERROR(VLOOKUP(S360,Katalog!$A$15:$B$25,2,0),"-")</f>
        <v>-</v>
      </c>
      <c r="V360">
        <f t="shared" si="190"/>
        <v>0</v>
      </c>
      <c r="W360" s="28" t="str">
        <f t="shared" si="191"/>
        <v>-</v>
      </c>
      <c r="X360" s="18">
        <f>IFERROR(VLOOKUP(S360,Katalog!$C$3:$F$13,2,0),0)</f>
        <v>0</v>
      </c>
      <c r="Y360" s="30">
        <f>IFERROR(VLOOKUP(S360,Katalog!$C$3:$F$13,3,0),0)</f>
        <v>0</v>
      </c>
      <c r="Z360" s="2">
        <f t="shared" si="192"/>
        <v>2</v>
      </c>
      <c r="AA360" s="4">
        <f t="shared" si="193"/>
        <v>300000</v>
      </c>
      <c r="AB360" s="4">
        <f t="shared" si="194"/>
        <v>125000</v>
      </c>
      <c r="AC360" s="4" t="s">
        <v>27</v>
      </c>
      <c r="AD360" s="16">
        <f>IFERROR(VLOOKUP(AC360,'Kode Diskon'!$C$2:$D$9,2,0),0)</f>
        <v>0.15</v>
      </c>
      <c r="AE360" s="31">
        <f t="shared" si="195"/>
        <v>45000</v>
      </c>
      <c r="AF360" s="31">
        <f t="shared" si="196"/>
        <v>255000</v>
      </c>
      <c r="AG360" s="31">
        <f t="shared" si="197"/>
        <v>175000</v>
      </c>
      <c r="AH360" s="31">
        <f t="shared" si="198"/>
        <v>130000</v>
      </c>
      <c r="AI360" s="4" t="s">
        <v>28</v>
      </c>
      <c r="AJ360" s="4" t="s">
        <v>13</v>
      </c>
      <c r="AK360" s="4" t="str">
        <f>IFERROR(VLOOKUP(AJ360,'Guide '!$A$13:$B$16,2,0),"-")</f>
        <v>BB</v>
      </c>
      <c r="AL360" s="4" t="s">
        <v>1006</v>
      </c>
      <c r="AM360" s="40">
        <v>45425</v>
      </c>
      <c r="AN360">
        <f t="shared" si="199"/>
        <v>29</v>
      </c>
      <c r="AO360">
        <f t="shared" si="200"/>
        <v>32</v>
      </c>
      <c r="AP360">
        <f t="shared" si="201"/>
        <v>40</v>
      </c>
      <c r="AQ360">
        <f t="shared" si="202"/>
        <v>43</v>
      </c>
      <c r="AR360" s="26">
        <f t="shared" si="203"/>
        <v>56</v>
      </c>
      <c r="AS360" s="26">
        <f t="shared" si="204"/>
        <v>63</v>
      </c>
      <c r="AT360" s="21">
        <f t="shared" si="205"/>
        <v>12</v>
      </c>
      <c r="AU360" s="21">
        <f t="shared" si="206"/>
        <v>19</v>
      </c>
      <c r="AV360">
        <f t="shared" si="207"/>
        <v>73</v>
      </c>
      <c r="AW360">
        <f t="shared" si="208"/>
        <v>76</v>
      </c>
      <c r="AX360">
        <f t="shared" si="209"/>
        <v>84</v>
      </c>
      <c r="AY360">
        <f t="shared" si="210"/>
        <v>87</v>
      </c>
      <c r="AZ360" t="str">
        <f t="shared" si="211"/>
        <v>-</v>
      </c>
      <c r="BA360" t="str">
        <f t="shared" si="212"/>
        <v>-</v>
      </c>
      <c r="BB360" t="str">
        <f t="shared" si="213"/>
        <v>-</v>
      </c>
      <c r="BC360" t="str">
        <f t="shared" si="214"/>
        <v>-</v>
      </c>
      <c r="BD360" s="29" t="str">
        <f t="shared" si="215"/>
        <v>-</v>
      </c>
      <c r="BE360" s="29" t="str">
        <f t="shared" si="216"/>
        <v>-</v>
      </c>
    </row>
    <row r="361" spans="1:57" ht="15" x14ac:dyDescent="0.2">
      <c r="A361" s="2">
        <v>838</v>
      </c>
      <c r="B361" s="2" t="str">
        <f t="shared" si="181"/>
        <v>0838</v>
      </c>
      <c r="C361" t="str">
        <f t="shared" si="182"/>
        <v>ORD-SP-0838-13/05/24</v>
      </c>
      <c r="D361" s="3" t="s">
        <v>793</v>
      </c>
      <c r="E361" t="str">
        <f t="shared" si="183"/>
        <v>PP003</v>
      </c>
      <c r="F361" t="str">
        <f>INDEX(Katalog!$B$4:$B$13,MATCH('Main Data'!E361,Katalog!$C$4:$C$13,0))</f>
        <v>Jaket Jeans</v>
      </c>
      <c r="G361" t="str">
        <f>VLOOKUP(E361,Katalog!$A$15:$B$25,2,0)</f>
        <v>Pakaian Pria</v>
      </c>
      <c r="H361" t="str">
        <f t="shared" si="184"/>
        <v>2</v>
      </c>
      <c r="I361" t="str">
        <f t="shared" si="185"/>
        <v>3</v>
      </c>
      <c r="J361" s="18">
        <f>VLOOKUP(E361,Katalog!$C$3:$F$13,2,0)</f>
        <v>150000</v>
      </c>
      <c r="K361" s="18">
        <f>VLOOKUP(E361,Katalog!$C$3:$F$13,3,0)</f>
        <v>70000</v>
      </c>
      <c r="L361" t="str">
        <f t="shared" si="186"/>
        <v>-</v>
      </c>
      <c r="M361" t="str">
        <f>IFERROR(INDEX(Katalog!$B$4:$B$13,MATCH('Main Data'!L361,Katalog!$C$4:$C$13,0)), "-")</f>
        <v>-</v>
      </c>
      <c r="N361" t="str">
        <f>IFERROR(VLOOKUP(L361,Katalog!$A$15:$B$25,2,0),"-")</f>
        <v>-</v>
      </c>
      <c r="O361">
        <f t="shared" si="187"/>
        <v>0</v>
      </c>
      <c r="P361" t="str">
        <f t="shared" si="188"/>
        <v>-</v>
      </c>
      <c r="Q361" s="18">
        <f>IFERROR(VLOOKUP(L361,Katalog!$C$3:$F$13,2,0),0)</f>
        <v>0</v>
      </c>
      <c r="R361" s="18">
        <f>IFERROR(VLOOKUP(L361,Katalog!$C$3:$F$13,3,0),0)</f>
        <v>0</v>
      </c>
      <c r="S361" t="str">
        <f t="shared" si="189"/>
        <v>-</v>
      </c>
      <c r="T361" t="str">
        <f>IFERROR(INDEX(Katalog!$B$4:$B$13,MATCH('Main Data'!S361,Katalog!$C$4:$C$13,0)),"-")</f>
        <v>-</v>
      </c>
      <c r="U361" t="str">
        <f>IFERROR(VLOOKUP(S361,Katalog!$A$15:$B$25,2,0),"-")</f>
        <v>-</v>
      </c>
      <c r="V361">
        <f t="shared" si="190"/>
        <v>0</v>
      </c>
      <c r="W361" s="28" t="str">
        <f t="shared" si="191"/>
        <v>-</v>
      </c>
      <c r="X361" s="18">
        <f>IFERROR(VLOOKUP(S361,Katalog!$C$3:$F$13,2,0),0)</f>
        <v>0</v>
      </c>
      <c r="Y361" s="30">
        <f>IFERROR(VLOOKUP(S361,Katalog!$C$3:$F$13,3,0),0)</f>
        <v>0</v>
      </c>
      <c r="Z361" s="2">
        <f t="shared" si="192"/>
        <v>2</v>
      </c>
      <c r="AA361" s="4">
        <f t="shared" si="193"/>
        <v>300000</v>
      </c>
      <c r="AB361" s="4">
        <f t="shared" si="194"/>
        <v>140000</v>
      </c>
      <c r="AC361" s="4" t="s">
        <v>5</v>
      </c>
      <c r="AD361" s="16">
        <f>IFERROR(VLOOKUP(AC361,'Kode Diskon'!$C$2:$D$9,2,0),0)</f>
        <v>0.1</v>
      </c>
      <c r="AE361" s="31">
        <f t="shared" si="195"/>
        <v>30000</v>
      </c>
      <c r="AF361" s="31">
        <f t="shared" si="196"/>
        <v>270000</v>
      </c>
      <c r="AG361" s="31">
        <f t="shared" si="197"/>
        <v>160000</v>
      </c>
      <c r="AH361" s="31">
        <f t="shared" si="198"/>
        <v>130000</v>
      </c>
      <c r="AI361" s="4" t="s">
        <v>28</v>
      </c>
      <c r="AJ361" s="4" t="s">
        <v>6</v>
      </c>
      <c r="AK361" s="4" t="str">
        <f>IFERROR(VLOOKUP(AJ361,'Guide '!$A$13:$B$16,2,0),"-")</f>
        <v>SP</v>
      </c>
      <c r="AL361" s="4" t="s">
        <v>924</v>
      </c>
      <c r="AM361" s="40">
        <v>45425</v>
      </c>
      <c r="AN361">
        <f t="shared" si="199"/>
        <v>29</v>
      </c>
      <c r="AO361">
        <f t="shared" si="200"/>
        <v>32</v>
      </c>
      <c r="AP361">
        <f t="shared" si="201"/>
        <v>40</v>
      </c>
      <c r="AQ361">
        <f t="shared" si="202"/>
        <v>43</v>
      </c>
      <c r="AR361" s="26" t="str">
        <f t="shared" si="203"/>
        <v>-</v>
      </c>
      <c r="AS361" s="26" t="str">
        <f t="shared" si="204"/>
        <v>-</v>
      </c>
      <c r="AT361" s="21">
        <f t="shared" si="205"/>
        <v>12</v>
      </c>
      <c r="AU361" s="21">
        <f t="shared" si="206"/>
        <v>19</v>
      </c>
      <c r="AV361" t="str">
        <f t="shared" si="207"/>
        <v>-</v>
      </c>
      <c r="AW361" t="str">
        <f t="shared" si="208"/>
        <v>-</v>
      </c>
      <c r="AX361" t="str">
        <f t="shared" si="209"/>
        <v>-</v>
      </c>
      <c r="AY361" t="str">
        <f t="shared" si="210"/>
        <v>-</v>
      </c>
      <c r="AZ361" t="str">
        <f t="shared" si="211"/>
        <v>-</v>
      </c>
      <c r="BA361" t="str">
        <f t="shared" si="212"/>
        <v>-</v>
      </c>
      <c r="BB361" t="str">
        <f t="shared" si="213"/>
        <v>-</v>
      </c>
      <c r="BC361" t="str">
        <f t="shared" si="214"/>
        <v>-</v>
      </c>
      <c r="BD361" s="29" t="str">
        <f t="shared" si="215"/>
        <v>-</v>
      </c>
      <c r="BE361" s="29" t="str">
        <f t="shared" si="216"/>
        <v>-</v>
      </c>
    </row>
    <row r="362" spans="1:57" ht="15" x14ac:dyDescent="0.2">
      <c r="A362" s="2">
        <v>241</v>
      </c>
      <c r="B362" s="2" t="str">
        <f t="shared" si="181"/>
        <v>0241</v>
      </c>
      <c r="C362" t="str">
        <f t="shared" si="182"/>
        <v>ORD-BL-0241-14/05/24</v>
      </c>
      <c r="D362" s="3" t="s">
        <v>307</v>
      </c>
      <c r="E362" t="str">
        <f t="shared" si="183"/>
        <v>PP001</v>
      </c>
      <c r="F362" t="str">
        <f>INDEX(Katalog!$B$4:$B$13,MATCH('Main Data'!E362,Katalog!$C$4:$C$13,0))</f>
        <v>Kaos Polo</v>
      </c>
      <c r="G362" t="str">
        <f>VLOOKUP(E362,Katalog!$A$15:$B$25,2,0)</f>
        <v>Pakaian Pria</v>
      </c>
      <c r="H362" t="str">
        <f t="shared" si="184"/>
        <v>3</v>
      </c>
      <c r="I362" t="str">
        <f t="shared" si="185"/>
        <v>2</v>
      </c>
      <c r="J362" s="18">
        <f>VLOOKUP(E362,Katalog!$C$3:$F$13,2,0)</f>
        <v>80000</v>
      </c>
      <c r="K362" s="18">
        <f>VLOOKUP(E362,Katalog!$C$3:$F$13,3,0)</f>
        <v>30000</v>
      </c>
      <c r="L362" t="str">
        <f t="shared" si="186"/>
        <v>SP001</v>
      </c>
      <c r="M362" t="str">
        <f>IFERROR(INDEX(Katalog!$B$4:$B$13,MATCH('Main Data'!L362,Katalog!$C$4:$C$13,0)), "-")</f>
        <v>Sneakers</v>
      </c>
      <c r="N362" t="str">
        <f>IFERROR(VLOOKUP(L362,Katalog!$A$15:$B$25,2,0),"-")</f>
        <v>Sepatu Pria</v>
      </c>
      <c r="O362" t="str">
        <f t="shared" si="187"/>
        <v>2</v>
      </c>
      <c r="P362" t="str">
        <f t="shared" si="188"/>
        <v>1</v>
      </c>
      <c r="Q362" s="18">
        <f>IFERROR(VLOOKUP(L362,Katalog!$C$3:$F$13,2,0),0)</f>
        <v>300000</v>
      </c>
      <c r="R362" s="18">
        <f>IFERROR(VLOOKUP(L362,Katalog!$C$3:$F$13,3,0),0)</f>
        <v>100000</v>
      </c>
      <c r="S362" t="str">
        <f t="shared" si="189"/>
        <v>-</v>
      </c>
      <c r="T362" t="str">
        <f>IFERROR(INDEX(Katalog!$B$4:$B$13,MATCH('Main Data'!S362,Katalog!$C$4:$C$13,0)),"-")</f>
        <v>-</v>
      </c>
      <c r="U362" t="str">
        <f>IFERROR(VLOOKUP(S362,Katalog!$A$15:$B$25,2,0),"-")</f>
        <v>-</v>
      </c>
      <c r="V362">
        <f t="shared" si="190"/>
        <v>0</v>
      </c>
      <c r="W362" s="28" t="str">
        <f t="shared" si="191"/>
        <v>-</v>
      </c>
      <c r="X362" s="18">
        <f>IFERROR(VLOOKUP(S362,Katalog!$C$3:$F$13,2,0),0)</f>
        <v>0</v>
      </c>
      <c r="Y362" s="30">
        <f>IFERROR(VLOOKUP(S362,Katalog!$C$3:$F$13,3,0),0)</f>
        <v>0</v>
      </c>
      <c r="Z362" s="2">
        <f t="shared" si="192"/>
        <v>5</v>
      </c>
      <c r="AA362" s="4">
        <f t="shared" si="193"/>
        <v>840000</v>
      </c>
      <c r="AB362" s="4">
        <f t="shared" si="194"/>
        <v>290000</v>
      </c>
      <c r="AC362" s="4" t="s">
        <v>31</v>
      </c>
      <c r="AD362" s="16">
        <f>IFERROR(VLOOKUP(AC362,'Kode Diskon'!$C$2:$D$9,2,0),0)</f>
        <v>0.15</v>
      </c>
      <c r="AE362" s="31">
        <f t="shared" si="195"/>
        <v>126000</v>
      </c>
      <c r="AF362" s="31">
        <f t="shared" si="196"/>
        <v>714000</v>
      </c>
      <c r="AG362" s="31">
        <f t="shared" si="197"/>
        <v>550000</v>
      </c>
      <c r="AH362" s="31">
        <f t="shared" si="198"/>
        <v>424000</v>
      </c>
      <c r="AI362" s="4" t="s">
        <v>8</v>
      </c>
      <c r="AJ362" s="4" t="s">
        <v>11</v>
      </c>
      <c r="AK362" s="4" t="str">
        <f>IFERROR(VLOOKUP(AJ362,'Guide '!$A$13:$B$16,2,0),"-")</f>
        <v>BL</v>
      </c>
      <c r="AL362" s="4" t="s">
        <v>924</v>
      </c>
      <c r="AM362" s="40">
        <v>45426</v>
      </c>
      <c r="AN362">
        <f t="shared" si="199"/>
        <v>29</v>
      </c>
      <c r="AO362">
        <f t="shared" si="200"/>
        <v>32</v>
      </c>
      <c r="AP362">
        <f t="shared" si="201"/>
        <v>40</v>
      </c>
      <c r="AQ362">
        <f t="shared" si="202"/>
        <v>43</v>
      </c>
      <c r="AR362" s="26">
        <f t="shared" si="203"/>
        <v>56</v>
      </c>
      <c r="AS362" s="26">
        <f t="shared" si="204"/>
        <v>63</v>
      </c>
      <c r="AT362" s="21">
        <f t="shared" si="205"/>
        <v>12</v>
      </c>
      <c r="AU362" s="21">
        <f t="shared" si="206"/>
        <v>19</v>
      </c>
      <c r="AV362">
        <f t="shared" si="207"/>
        <v>73</v>
      </c>
      <c r="AW362">
        <f t="shared" si="208"/>
        <v>76</v>
      </c>
      <c r="AX362">
        <f t="shared" si="209"/>
        <v>84</v>
      </c>
      <c r="AY362">
        <f t="shared" si="210"/>
        <v>87</v>
      </c>
      <c r="AZ362" t="str">
        <f t="shared" si="211"/>
        <v>-</v>
      </c>
      <c r="BA362" t="str">
        <f t="shared" si="212"/>
        <v>-</v>
      </c>
      <c r="BB362" t="str">
        <f t="shared" si="213"/>
        <v>-</v>
      </c>
      <c r="BC362" t="str">
        <f t="shared" si="214"/>
        <v>-</v>
      </c>
      <c r="BD362" s="29" t="str">
        <f t="shared" si="215"/>
        <v>-</v>
      </c>
      <c r="BE362" s="29" t="str">
        <f t="shared" si="216"/>
        <v>-</v>
      </c>
    </row>
    <row r="363" spans="1:57" ht="15" x14ac:dyDescent="0.2">
      <c r="A363" s="2">
        <v>264</v>
      </c>
      <c r="B363" s="2" t="str">
        <f t="shared" si="181"/>
        <v>0264</v>
      </c>
      <c r="C363" t="str">
        <f t="shared" si="182"/>
        <v>ORD-SP-0264-14/05/24</v>
      </c>
      <c r="D363" s="3" t="s">
        <v>328</v>
      </c>
      <c r="E363" t="str">
        <f t="shared" si="183"/>
        <v>PP002</v>
      </c>
      <c r="F363" t="str">
        <f>INDEX(Katalog!$B$4:$B$13,MATCH('Main Data'!E363,Katalog!$C$4:$C$13,0))</f>
        <v>Celana Pendek</v>
      </c>
      <c r="G363" t="str">
        <f>VLOOKUP(E363,Katalog!$A$15:$B$25,2,0)</f>
        <v>Pakaian Pria</v>
      </c>
      <c r="H363" t="str">
        <f t="shared" si="184"/>
        <v>1</v>
      </c>
      <c r="I363" t="str">
        <f t="shared" si="185"/>
        <v>2</v>
      </c>
      <c r="J363" s="18">
        <f>VLOOKUP(E363,Katalog!$C$3:$F$13,2,0)</f>
        <v>60000</v>
      </c>
      <c r="K363" s="18">
        <f>VLOOKUP(E363,Katalog!$C$3:$F$13,3,0)</f>
        <v>25000</v>
      </c>
      <c r="L363" t="str">
        <f t="shared" si="186"/>
        <v>-</v>
      </c>
      <c r="M363" t="str">
        <f>IFERROR(INDEX(Katalog!$B$4:$B$13,MATCH('Main Data'!L363,Katalog!$C$4:$C$13,0)), "-")</f>
        <v>-</v>
      </c>
      <c r="N363" t="str">
        <f>IFERROR(VLOOKUP(L363,Katalog!$A$15:$B$25,2,0),"-")</f>
        <v>-</v>
      </c>
      <c r="O363">
        <f t="shared" si="187"/>
        <v>0</v>
      </c>
      <c r="P363" t="str">
        <f t="shared" si="188"/>
        <v>-</v>
      </c>
      <c r="Q363" s="18">
        <f>IFERROR(VLOOKUP(L363,Katalog!$C$3:$F$13,2,0),0)</f>
        <v>0</v>
      </c>
      <c r="R363" s="18">
        <f>IFERROR(VLOOKUP(L363,Katalog!$C$3:$F$13,3,0),0)</f>
        <v>0</v>
      </c>
      <c r="S363" t="str">
        <f t="shared" si="189"/>
        <v>-</v>
      </c>
      <c r="T363" t="str">
        <f>IFERROR(INDEX(Katalog!$B$4:$B$13,MATCH('Main Data'!S363,Katalog!$C$4:$C$13,0)),"-")</f>
        <v>-</v>
      </c>
      <c r="U363" t="str">
        <f>IFERROR(VLOOKUP(S363,Katalog!$A$15:$B$25,2,0),"-")</f>
        <v>-</v>
      </c>
      <c r="V363">
        <f t="shared" si="190"/>
        <v>0</v>
      </c>
      <c r="W363" s="28" t="str">
        <f t="shared" si="191"/>
        <v>-</v>
      </c>
      <c r="X363" s="18">
        <f>IFERROR(VLOOKUP(S363,Katalog!$C$3:$F$13,2,0),0)</f>
        <v>0</v>
      </c>
      <c r="Y363" s="30">
        <f>IFERROR(VLOOKUP(S363,Katalog!$C$3:$F$13,3,0),0)</f>
        <v>0</v>
      </c>
      <c r="Z363" s="2">
        <f t="shared" si="192"/>
        <v>1</v>
      </c>
      <c r="AA363" s="4">
        <f t="shared" si="193"/>
        <v>60000</v>
      </c>
      <c r="AB363" s="4">
        <f t="shared" si="194"/>
        <v>25000</v>
      </c>
      <c r="AC363" s="4" t="s">
        <v>7</v>
      </c>
      <c r="AD363" s="16">
        <f>IFERROR(VLOOKUP(AC363,'Kode Diskon'!$C$2:$D$9,2,0),0)</f>
        <v>0.2</v>
      </c>
      <c r="AE363" s="31">
        <f t="shared" si="195"/>
        <v>12000</v>
      </c>
      <c r="AF363" s="31">
        <f t="shared" si="196"/>
        <v>48000</v>
      </c>
      <c r="AG363" s="31">
        <f t="shared" si="197"/>
        <v>35000</v>
      </c>
      <c r="AH363" s="31">
        <f t="shared" si="198"/>
        <v>23000</v>
      </c>
      <c r="AI363" s="4" t="s">
        <v>8</v>
      </c>
      <c r="AJ363" s="4" t="s">
        <v>6</v>
      </c>
      <c r="AK363" s="4" t="str">
        <f>IFERROR(VLOOKUP(AJ363,'Guide '!$A$13:$B$16,2,0),"-")</f>
        <v>SP</v>
      </c>
      <c r="AL363" s="4" t="s">
        <v>925</v>
      </c>
      <c r="AM363" s="40">
        <v>45426</v>
      </c>
      <c r="AN363">
        <f t="shared" si="199"/>
        <v>29</v>
      </c>
      <c r="AO363">
        <f t="shared" si="200"/>
        <v>32</v>
      </c>
      <c r="AP363">
        <f t="shared" si="201"/>
        <v>40</v>
      </c>
      <c r="AQ363">
        <f t="shared" si="202"/>
        <v>43</v>
      </c>
      <c r="AR363" s="26" t="str">
        <f t="shared" si="203"/>
        <v>-</v>
      </c>
      <c r="AS363" s="26" t="str">
        <f t="shared" si="204"/>
        <v>-</v>
      </c>
      <c r="AT363" s="21">
        <f t="shared" si="205"/>
        <v>12</v>
      </c>
      <c r="AU363" s="21">
        <f t="shared" si="206"/>
        <v>19</v>
      </c>
      <c r="AV363" t="str">
        <f t="shared" si="207"/>
        <v>-</v>
      </c>
      <c r="AW363" t="str">
        <f t="shared" si="208"/>
        <v>-</v>
      </c>
      <c r="AX363" t="str">
        <f t="shared" si="209"/>
        <v>-</v>
      </c>
      <c r="AY363" t="str">
        <f t="shared" si="210"/>
        <v>-</v>
      </c>
      <c r="AZ363" t="str">
        <f t="shared" si="211"/>
        <v>-</v>
      </c>
      <c r="BA363" t="str">
        <f t="shared" si="212"/>
        <v>-</v>
      </c>
      <c r="BB363" t="str">
        <f t="shared" si="213"/>
        <v>-</v>
      </c>
      <c r="BC363" t="str">
        <f t="shared" si="214"/>
        <v>-</v>
      </c>
      <c r="BD363" s="29" t="str">
        <f t="shared" si="215"/>
        <v>-</v>
      </c>
      <c r="BE363" s="29" t="str">
        <f t="shared" si="216"/>
        <v>-</v>
      </c>
    </row>
    <row r="364" spans="1:57" ht="15" x14ac:dyDescent="0.2">
      <c r="A364" s="2">
        <v>366</v>
      </c>
      <c r="B364" s="2" t="str">
        <f t="shared" si="181"/>
        <v>0366</v>
      </c>
      <c r="C364" t="str">
        <f t="shared" si="182"/>
        <v>ORD-BL-0366-14/05/24</v>
      </c>
      <c r="D364" s="3" t="s">
        <v>417</v>
      </c>
      <c r="E364" t="str">
        <f t="shared" si="183"/>
        <v>PW001</v>
      </c>
      <c r="F364" t="str">
        <f>INDEX(Katalog!$B$4:$B$13,MATCH('Main Data'!E364,Katalog!$C$4:$C$13,0))</f>
        <v>Dress</v>
      </c>
      <c r="G364" t="str">
        <f>VLOOKUP(E364,Katalog!$A$15:$B$25,2,0)</f>
        <v>Pakaian Wanita</v>
      </c>
      <c r="H364" t="str">
        <f t="shared" si="184"/>
        <v>1</v>
      </c>
      <c r="I364" t="str">
        <f t="shared" si="185"/>
        <v>5</v>
      </c>
      <c r="J364" s="18">
        <f>VLOOKUP(E364,Katalog!$C$3:$F$13,2,0)</f>
        <v>150000</v>
      </c>
      <c r="K364" s="18">
        <f>VLOOKUP(E364,Katalog!$C$3:$F$13,3,0)</f>
        <v>55000</v>
      </c>
      <c r="L364" t="str">
        <f t="shared" si="186"/>
        <v>PP002</v>
      </c>
      <c r="M364" t="str">
        <f>IFERROR(INDEX(Katalog!$B$4:$B$13,MATCH('Main Data'!L364,Katalog!$C$4:$C$13,0)), "-")</f>
        <v>Celana Pendek</v>
      </c>
      <c r="N364" t="str">
        <f>IFERROR(VLOOKUP(L364,Katalog!$A$15:$B$25,2,0),"-")</f>
        <v>Pakaian Pria</v>
      </c>
      <c r="O364" t="str">
        <f t="shared" si="187"/>
        <v>4</v>
      </c>
      <c r="P364" t="str">
        <f t="shared" si="188"/>
        <v>5</v>
      </c>
      <c r="Q364" s="18">
        <f>IFERROR(VLOOKUP(L364,Katalog!$C$3:$F$13,2,0),0)</f>
        <v>60000</v>
      </c>
      <c r="R364" s="18">
        <f>IFERROR(VLOOKUP(L364,Katalog!$C$3:$F$13,3,0),0)</f>
        <v>25000</v>
      </c>
      <c r="S364" t="str">
        <f t="shared" si="189"/>
        <v>-</v>
      </c>
      <c r="T364" t="str">
        <f>IFERROR(INDEX(Katalog!$B$4:$B$13,MATCH('Main Data'!S364,Katalog!$C$4:$C$13,0)),"-")</f>
        <v>-</v>
      </c>
      <c r="U364" t="str">
        <f>IFERROR(VLOOKUP(S364,Katalog!$A$15:$B$25,2,0),"-")</f>
        <v>-</v>
      </c>
      <c r="V364">
        <f t="shared" si="190"/>
        <v>0</v>
      </c>
      <c r="W364" s="28" t="str">
        <f t="shared" si="191"/>
        <v>-</v>
      </c>
      <c r="X364" s="18">
        <f>IFERROR(VLOOKUP(S364,Katalog!$C$3:$F$13,2,0),0)</f>
        <v>0</v>
      </c>
      <c r="Y364" s="30">
        <f>IFERROR(VLOOKUP(S364,Katalog!$C$3:$F$13,3,0),0)</f>
        <v>0</v>
      </c>
      <c r="Z364" s="2">
        <f t="shared" si="192"/>
        <v>5</v>
      </c>
      <c r="AA364" s="4">
        <f t="shared" si="193"/>
        <v>390000</v>
      </c>
      <c r="AB364" s="4">
        <f t="shared" si="194"/>
        <v>155000</v>
      </c>
      <c r="AC364" s="4" t="s">
        <v>31</v>
      </c>
      <c r="AD364" s="16">
        <f>IFERROR(VLOOKUP(AC364,'Kode Diskon'!$C$2:$D$9,2,0),0)</f>
        <v>0.15</v>
      </c>
      <c r="AE364" s="31">
        <f t="shared" si="195"/>
        <v>58500</v>
      </c>
      <c r="AF364" s="31">
        <f t="shared" si="196"/>
        <v>331500</v>
      </c>
      <c r="AG364" s="31">
        <f t="shared" si="197"/>
        <v>235000</v>
      </c>
      <c r="AH364" s="31">
        <f t="shared" si="198"/>
        <v>176500</v>
      </c>
      <c r="AI364" s="4" t="s">
        <v>8</v>
      </c>
      <c r="AJ364" s="4" t="s">
        <v>11</v>
      </c>
      <c r="AK364" s="4" t="str">
        <f>IFERROR(VLOOKUP(AJ364,'Guide '!$A$13:$B$16,2,0),"-")</f>
        <v>BL</v>
      </c>
      <c r="AL364" s="4" t="s">
        <v>925</v>
      </c>
      <c r="AM364" s="40">
        <v>45426</v>
      </c>
      <c r="AN364">
        <f t="shared" si="199"/>
        <v>29</v>
      </c>
      <c r="AO364">
        <f t="shared" si="200"/>
        <v>32</v>
      </c>
      <c r="AP364">
        <f t="shared" si="201"/>
        <v>40</v>
      </c>
      <c r="AQ364">
        <f t="shared" si="202"/>
        <v>43</v>
      </c>
      <c r="AR364" s="26">
        <f t="shared" si="203"/>
        <v>56</v>
      </c>
      <c r="AS364" s="26">
        <f t="shared" si="204"/>
        <v>63</v>
      </c>
      <c r="AT364" s="21">
        <f t="shared" si="205"/>
        <v>12</v>
      </c>
      <c r="AU364" s="21">
        <f t="shared" si="206"/>
        <v>19</v>
      </c>
      <c r="AV364">
        <f t="shared" si="207"/>
        <v>73</v>
      </c>
      <c r="AW364">
        <f t="shared" si="208"/>
        <v>76</v>
      </c>
      <c r="AX364">
        <f t="shared" si="209"/>
        <v>84</v>
      </c>
      <c r="AY364">
        <f t="shared" si="210"/>
        <v>87</v>
      </c>
      <c r="AZ364" t="str">
        <f t="shared" si="211"/>
        <v>-</v>
      </c>
      <c r="BA364" t="str">
        <f t="shared" si="212"/>
        <v>-</v>
      </c>
      <c r="BB364" t="str">
        <f t="shared" si="213"/>
        <v>-</v>
      </c>
      <c r="BC364" t="str">
        <f t="shared" si="214"/>
        <v>-</v>
      </c>
      <c r="BD364" s="29" t="str">
        <f t="shared" si="215"/>
        <v>-</v>
      </c>
      <c r="BE364" s="29" t="str">
        <f t="shared" si="216"/>
        <v>-</v>
      </c>
    </row>
    <row r="365" spans="1:57" ht="15" x14ac:dyDescent="0.2">
      <c r="A365" s="2">
        <v>772</v>
      </c>
      <c r="B365" s="2" t="str">
        <f t="shared" si="181"/>
        <v>0772</v>
      </c>
      <c r="C365" t="str">
        <f t="shared" si="182"/>
        <v>ORD-SP-0772-14/05/24</v>
      </c>
      <c r="D365" s="3" t="s">
        <v>748</v>
      </c>
      <c r="E365" t="str">
        <f t="shared" si="183"/>
        <v>SP001</v>
      </c>
      <c r="F365" t="str">
        <f>INDEX(Katalog!$B$4:$B$13,MATCH('Main Data'!E365,Katalog!$C$4:$C$13,0))</f>
        <v>Sneakers</v>
      </c>
      <c r="G365" t="str">
        <f>VLOOKUP(E365,Katalog!$A$15:$B$25,2,0)</f>
        <v>Sepatu Pria</v>
      </c>
      <c r="H365" t="str">
        <f t="shared" si="184"/>
        <v>1</v>
      </c>
      <c r="I365" t="str">
        <f t="shared" si="185"/>
        <v>3</v>
      </c>
      <c r="J365" s="18">
        <f>VLOOKUP(E365,Katalog!$C$3:$F$13,2,0)</f>
        <v>300000</v>
      </c>
      <c r="K365" s="18">
        <f>VLOOKUP(E365,Katalog!$C$3:$F$13,3,0)</f>
        <v>100000</v>
      </c>
      <c r="L365" t="str">
        <f t="shared" si="186"/>
        <v>PW003</v>
      </c>
      <c r="M365" t="str">
        <f>IFERROR(INDEX(Katalog!$B$4:$B$13,MATCH('Main Data'!L365,Katalog!$C$4:$C$13,0)), "-")</f>
        <v>Kaftan</v>
      </c>
      <c r="N365" t="str">
        <f>IFERROR(VLOOKUP(L365,Katalog!$A$15:$B$25,2,0),"-")</f>
        <v>Pakaian Wanita</v>
      </c>
      <c r="O365" t="str">
        <f t="shared" si="187"/>
        <v>4</v>
      </c>
      <c r="P365" t="str">
        <f t="shared" si="188"/>
        <v>4</v>
      </c>
      <c r="Q365" s="18">
        <f>IFERROR(VLOOKUP(L365,Katalog!$C$3:$F$13,2,0),0)</f>
        <v>200000</v>
      </c>
      <c r="R365" s="18">
        <f>IFERROR(VLOOKUP(L365,Katalog!$C$3:$F$13,3,0),0)</f>
        <v>100000</v>
      </c>
      <c r="S365" t="str">
        <f t="shared" si="189"/>
        <v>-</v>
      </c>
      <c r="T365" t="str">
        <f>IFERROR(INDEX(Katalog!$B$4:$B$13,MATCH('Main Data'!S365,Katalog!$C$4:$C$13,0)),"-")</f>
        <v>-</v>
      </c>
      <c r="U365" t="str">
        <f>IFERROR(VLOOKUP(S365,Katalog!$A$15:$B$25,2,0),"-")</f>
        <v>-</v>
      </c>
      <c r="V365">
        <f t="shared" si="190"/>
        <v>0</v>
      </c>
      <c r="W365" s="28" t="str">
        <f t="shared" si="191"/>
        <v>-</v>
      </c>
      <c r="X365" s="18">
        <f>IFERROR(VLOOKUP(S365,Katalog!$C$3:$F$13,2,0),0)</f>
        <v>0</v>
      </c>
      <c r="Y365" s="30">
        <f>IFERROR(VLOOKUP(S365,Katalog!$C$3:$F$13,3,0),0)</f>
        <v>0</v>
      </c>
      <c r="Z365" s="2">
        <f t="shared" si="192"/>
        <v>5</v>
      </c>
      <c r="AA365" s="4">
        <f t="shared" si="193"/>
        <v>1100000</v>
      </c>
      <c r="AB365" s="4">
        <f t="shared" si="194"/>
        <v>500000</v>
      </c>
      <c r="AC365" s="4" t="s">
        <v>12</v>
      </c>
      <c r="AD365" s="16">
        <f>IFERROR(VLOOKUP(AC365,'Kode Diskon'!$C$2:$D$9,2,0),0)</f>
        <v>0.15</v>
      </c>
      <c r="AE365" s="31">
        <f t="shared" si="195"/>
        <v>165000</v>
      </c>
      <c r="AF365" s="31">
        <f t="shared" si="196"/>
        <v>935000</v>
      </c>
      <c r="AG365" s="31">
        <f t="shared" si="197"/>
        <v>600000</v>
      </c>
      <c r="AH365" s="31">
        <f t="shared" si="198"/>
        <v>435000</v>
      </c>
      <c r="AI365" s="4" t="s">
        <v>28</v>
      </c>
      <c r="AJ365" s="4" t="s">
        <v>6</v>
      </c>
      <c r="AK365" s="4" t="str">
        <f>IFERROR(VLOOKUP(AJ365,'Guide '!$A$13:$B$16,2,0),"-")</f>
        <v>SP</v>
      </c>
      <c r="AL365" s="4" t="s">
        <v>922</v>
      </c>
      <c r="AM365" s="40">
        <v>45426</v>
      </c>
      <c r="AN365">
        <f t="shared" si="199"/>
        <v>29</v>
      </c>
      <c r="AO365">
        <f t="shared" si="200"/>
        <v>32</v>
      </c>
      <c r="AP365">
        <f t="shared" si="201"/>
        <v>40</v>
      </c>
      <c r="AQ365">
        <f t="shared" si="202"/>
        <v>43</v>
      </c>
      <c r="AR365" s="26">
        <f t="shared" si="203"/>
        <v>56</v>
      </c>
      <c r="AS365" s="26">
        <f t="shared" si="204"/>
        <v>63</v>
      </c>
      <c r="AT365" s="21">
        <f t="shared" si="205"/>
        <v>12</v>
      </c>
      <c r="AU365" s="21">
        <f t="shared" si="206"/>
        <v>19</v>
      </c>
      <c r="AV365">
        <f t="shared" si="207"/>
        <v>73</v>
      </c>
      <c r="AW365">
        <f t="shared" si="208"/>
        <v>76</v>
      </c>
      <c r="AX365">
        <f t="shared" si="209"/>
        <v>84</v>
      </c>
      <c r="AY365">
        <f t="shared" si="210"/>
        <v>87</v>
      </c>
      <c r="AZ365" t="str">
        <f t="shared" si="211"/>
        <v>-</v>
      </c>
      <c r="BA365" t="str">
        <f t="shared" si="212"/>
        <v>-</v>
      </c>
      <c r="BB365" t="str">
        <f t="shared" si="213"/>
        <v>-</v>
      </c>
      <c r="BC365" t="str">
        <f t="shared" si="214"/>
        <v>-</v>
      </c>
      <c r="BD365" s="29" t="str">
        <f t="shared" si="215"/>
        <v>-</v>
      </c>
      <c r="BE365" s="29" t="str">
        <f t="shared" si="216"/>
        <v>-</v>
      </c>
    </row>
    <row r="366" spans="1:57" ht="15" x14ac:dyDescent="0.2">
      <c r="A366" s="2">
        <v>360</v>
      </c>
      <c r="B366" s="2" t="str">
        <f t="shared" si="181"/>
        <v>0360</v>
      </c>
      <c r="C366" t="str">
        <f t="shared" si="182"/>
        <v>ORD-SP-0360-15/05/24</v>
      </c>
      <c r="D366" s="3" t="s">
        <v>411</v>
      </c>
      <c r="E366" t="str">
        <f t="shared" si="183"/>
        <v>SW001</v>
      </c>
      <c r="F366" t="str">
        <f>INDEX(Katalog!$B$4:$B$13,MATCH('Main Data'!E366,Katalog!$C$4:$C$13,0))</f>
        <v>Flat Shoes</v>
      </c>
      <c r="G366" t="str">
        <f>VLOOKUP(E366,Katalog!$A$15:$B$25,2,0)</f>
        <v>Sepatu Wanita</v>
      </c>
      <c r="H366" t="str">
        <f t="shared" si="184"/>
        <v>4</v>
      </c>
      <c r="I366" t="str">
        <f t="shared" si="185"/>
        <v>5</v>
      </c>
      <c r="J366" s="18">
        <f>VLOOKUP(E366,Katalog!$C$3:$F$13,2,0)</f>
        <v>150000</v>
      </c>
      <c r="K366" s="18">
        <f>VLOOKUP(E366,Katalog!$C$3:$F$13,3,0)</f>
        <v>70000</v>
      </c>
      <c r="L366" t="str">
        <f t="shared" si="186"/>
        <v>-</v>
      </c>
      <c r="M366" t="str">
        <f>IFERROR(INDEX(Katalog!$B$4:$B$13,MATCH('Main Data'!L366,Katalog!$C$4:$C$13,0)), "-")</f>
        <v>-</v>
      </c>
      <c r="N366" t="str">
        <f>IFERROR(VLOOKUP(L366,Katalog!$A$15:$B$25,2,0),"-")</f>
        <v>-</v>
      </c>
      <c r="O366">
        <f t="shared" si="187"/>
        <v>0</v>
      </c>
      <c r="P366" t="str">
        <f t="shared" si="188"/>
        <v>-</v>
      </c>
      <c r="Q366" s="18">
        <f>IFERROR(VLOOKUP(L366,Katalog!$C$3:$F$13,2,0),0)</f>
        <v>0</v>
      </c>
      <c r="R366" s="18">
        <f>IFERROR(VLOOKUP(L366,Katalog!$C$3:$F$13,3,0),0)</f>
        <v>0</v>
      </c>
      <c r="S366" t="str">
        <f t="shared" si="189"/>
        <v>-</v>
      </c>
      <c r="T366" t="str">
        <f>IFERROR(INDEX(Katalog!$B$4:$B$13,MATCH('Main Data'!S366,Katalog!$C$4:$C$13,0)),"-")</f>
        <v>-</v>
      </c>
      <c r="U366" t="str">
        <f>IFERROR(VLOOKUP(S366,Katalog!$A$15:$B$25,2,0),"-")</f>
        <v>-</v>
      </c>
      <c r="V366">
        <f t="shared" si="190"/>
        <v>0</v>
      </c>
      <c r="W366" s="28" t="str">
        <f t="shared" si="191"/>
        <v>-</v>
      </c>
      <c r="X366" s="18">
        <f>IFERROR(VLOOKUP(S366,Katalog!$C$3:$F$13,2,0),0)</f>
        <v>0</v>
      </c>
      <c r="Y366" s="30">
        <f>IFERROR(VLOOKUP(S366,Katalog!$C$3:$F$13,3,0),0)</f>
        <v>0</v>
      </c>
      <c r="Z366" s="2">
        <f t="shared" si="192"/>
        <v>4</v>
      </c>
      <c r="AA366" s="4">
        <f t="shared" si="193"/>
        <v>600000</v>
      </c>
      <c r="AB366" s="4">
        <f t="shared" si="194"/>
        <v>280000</v>
      </c>
      <c r="AC366" s="4" t="s">
        <v>5</v>
      </c>
      <c r="AD366" s="16">
        <f>IFERROR(VLOOKUP(AC366,'Kode Diskon'!$C$2:$D$9,2,0),0)</f>
        <v>0.1</v>
      </c>
      <c r="AE366" s="31">
        <f t="shared" si="195"/>
        <v>60000</v>
      </c>
      <c r="AF366" s="31">
        <f t="shared" si="196"/>
        <v>540000</v>
      </c>
      <c r="AG366" s="31">
        <f t="shared" si="197"/>
        <v>320000</v>
      </c>
      <c r="AH366" s="31">
        <f t="shared" si="198"/>
        <v>260000</v>
      </c>
      <c r="AI366" s="4" t="s">
        <v>28</v>
      </c>
      <c r="AJ366" s="4" t="s">
        <v>6</v>
      </c>
      <c r="AK366" s="4" t="str">
        <f>IFERROR(VLOOKUP(AJ366,'Guide '!$A$13:$B$16,2,0),"-")</f>
        <v>SP</v>
      </c>
      <c r="AL366" s="4" t="s">
        <v>1006</v>
      </c>
      <c r="AM366" s="40">
        <v>45427</v>
      </c>
      <c r="AN366">
        <f t="shared" si="199"/>
        <v>29</v>
      </c>
      <c r="AO366">
        <f t="shared" si="200"/>
        <v>32</v>
      </c>
      <c r="AP366">
        <f t="shared" si="201"/>
        <v>40</v>
      </c>
      <c r="AQ366">
        <f t="shared" si="202"/>
        <v>43</v>
      </c>
      <c r="AR366" s="26" t="str">
        <f t="shared" si="203"/>
        <v>-</v>
      </c>
      <c r="AS366" s="26" t="str">
        <f t="shared" si="204"/>
        <v>-</v>
      </c>
      <c r="AT366" s="21">
        <f t="shared" si="205"/>
        <v>12</v>
      </c>
      <c r="AU366" s="21">
        <f t="shared" si="206"/>
        <v>19</v>
      </c>
      <c r="AV366" t="str">
        <f t="shared" si="207"/>
        <v>-</v>
      </c>
      <c r="AW366" t="str">
        <f t="shared" si="208"/>
        <v>-</v>
      </c>
      <c r="AX366" t="str">
        <f t="shared" si="209"/>
        <v>-</v>
      </c>
      <c r="AY366" t="str">
        <f t="shared" si="210"/>
        <v>-</v>
      </c>
      <c r="AZ366" t="str">
        <f t="shared" si="211"/>
        <v>-</v>
      </c>
      <c r="BA366" t="str">
        <f t="shared" si="212"/>
        <v>-</v>
      </c>
      <c r="BB366" t="str">
        <f t="shared" si="213"/>
        <v>-</v>
      </c>
      <c r="BC366" t="str">
        <f t="shared" si="214"/>
        <v>-</v>
      </c>
      <c r="BD366" s="29" t="str">
        <f t="shared" si="215"/>
        <v>-</v>
      </c>
      <c r="BE366" s="29" t="str">
        <f t="shared" si="216"/>
        <v>-</v>
      </c>
    </row>
    <row r="367" spans="1:57" ht="15" x14ac:dyDescent="0.2">
      <c r="A367" s="2">
        <v>427</v>
      </c>
      <c r="B367" s="2" t="str">
        <f t="shared" si="181"/>
        <v>0427</v>
      </c>
      <c r="C367" t="str">
        <f t="shared" si="182"/>
        <v>ORD-TK-0427-15/05/24</v>
      </c>
      <c r="D367" s="3" t="s">
        <v>469</v>
      </c>
      <c r="E367" t="str">
        <f t="shared" si="183"/>
        <v>SP002</v>
      </c>
      <c r="F367" t="str">
        <f>INDEX(Katalog!$B$4:$B$13,MATCH('Main Data'!E367,Katalog!$C$4:$C$13,0))</f>
        <v>Sandal Slip On</v>
      </c>
      <c r="G367" t="str">
        <f>VLOOKUP(E367,Katalog!$A$15:$B$25,2,0)</f>
        <v>Sepatu Pria</v>
      </c>
      <c r="H367" t="str">
        <f t="shared" si="184"/>
        <v>7</v>
      </c>
      <c r="I367" t="str">
        <f t="shared" si="185"/>
        <v>4</v>
      </c>
      <c r="J367" s="18">
        <f>VLOOKUP(E367,Katalog!$C$3:$F$13,2,0)</f>
        <v>120000</v>
      </c>
      <c r="K367" s="18">
        <f>VLOOKUP(E367,Katalog!$C$3:$F$13,3,0)</f>
        <v>60000</v>
      </c>
      <c r="L367" t="str">
        <f t="shared" si="186"/>
        <v>-</v>
      </c>
      <c r="M367" t="str">
        <f>IFERROR(INDEX(Katalog!$B$4:$B$13,MATCH('Main Data'!L367,Katalog!$C$4:$C$13,0)), "-")</f>
        <v>-</v>
      </c>
      <c r="N367" t="str">
        <f>IFERROR(VLOOKUP(L367,Katalog!$A$15:$B$25,2,0),"-")</f>
        <v>-</v>
      </c>
      <c r="O367">
        <f t="shared" si="187"/>
        <v>0</v>
      </c>
      <c r="P367" t="str">
        <f t="shared" si="188"/>
        <v>-</v>
      </c>
      <c r="Q367" s="18">
        <f>IFERROR(VLOOKUP(L367,Katalog!$C$3:$F$13,2,0),0)</f>
        <v>0</v>
      </c>
      <c r="R367" s="18">
        <f>IFERROR(VLOOKUP(L367,Katalog!$C$3:$F$13,3,0),0)</f>
        <v>0</v>
      </c>
      <c r="S367" t="str">
        <f t="shared" si="189"/>
        <v>-</v>
      </c>
      <c r="T367" t="str">
        <f>IFERROR(INDEX(Katalog!$B$4:$B$13,MATCH('Main Data'!S367,Katalog!$C$4:$C$13,0)),"-")</f>
        <v>-</v>
      </c>
      <c r="U367" t="str">
        <f>IFERROR(VLOOKUP(S367,Katalog!$A$15:$B$25,2,0),"-")</f>
        <v>-</v>
      </c>
      <c r="V367">
        <f t="shared" si="190"/>
        <v>0</v>
      </c>
      <c r="W367" s="28" t="str">
        <f t="shared" si="191"/>
        <v>-</v>
      </c>
      <c r="X367" s="18">
        <f>IFERROR(VLOOKUP(S367,Katalog!$C$3:$F$13,2,0),0)</f>
        <v>0</v>
      </c>
      <c r="Y367" s="30">
        <f>IFERROR(VLOOKUP(S367,Katalog!$C$3:$F$13,3,0),0)</f>
        <v>0</v>
      </c>
      <c r="Z367" s="2">
        <f t="shared" si="192"/>
        <v>7</v>
      </c>
      <c r="AA367" s="4">
        <f t="shared" si="193"/>
        <v>840000</v>
      </c>
      <c r="AB367" s="4">
        <f t="shared" si="194"/>
        <v>420000</v>
      </c>
      <c r="AC367" s="4" t="s">
        <v>29</v>
      </c>
      <c r="AD367" s="16">
        <f>IFERROR(VLOOKUP(AC367,'Kode Diskon'!$C$2:$D$9,2,0),0)</f>
        <v>0.1</v>
      </c>
      <c r="AE367" s="31">
        <f t="shared" si="195"/>
        <v>84000</v>
      </c>
      <c r="AF367" s="31">
        <f t="shared" si="196"/>
        <v>756000</v>
      </c>
      <c r="AG367" s="31">
        <f t="shared" si="197"/>
        <v>420000</v>
      </c>
      <c r="AH367" s="31">
        <f t="shared" si="198"/>
        <v>336000</v>
      </c>
      <c r="AI367" s="4" t="s">
        <v>28</v>
      </c>
      <c r="AJ367" s="4" t="s">
        <v>9</v>
      </c>
      <c r="AK367" s="4" t="str">
        <f>IFERROR(VLOOKUP(AJ367,'Guide '!$A$13:$B$16,2,0),"-")</f>
        <v>TK</v>
      </c>
      <c r="AL367" s="4" t="s">
        <v>921</v>
      </c>
      <c r="AM367" s="40">
        <v>45427</v>
      </c>
      <c r="AN367">
        <f t="shared" si="199"/>
        <v>29</v>
      </c>
      <c r="AO367">
        <f t="shared" si="200"/>
        <v>32</v>
      </c>
      <c r="AP367">
        <f t="shared" si="201"/>
        <v>40</v>
      </c>
      <c r="AQ367">
        <f t="shared" si="202"/>
        <v>43</v>
      </c>
      <c r="AR367" s="26" t="str">
        <f t="shared" si="203"/>
        <v>-</v>
      </c>
      <c r="AS367" s="26" t="str">
        <f t="shared" si="204"/>
        <v>-</v>
      </c>
      <c r="AT367" s="21">
        <f t="shared" si="205"/>
        <v>12</v>
      </c>
      <c r="AU367" s="21">
        <f t="shared" si="206"/>
        <v>19</v>
      </c>
      <c r="AV367" t="str">
        <f t="shared" si="207"/>
        <v>-</v>
      </c>
      <c r="AW367" t="str">
        <f t="shared" si="208"/>
        <v>-</v>
      </c>
      <c r="AX367" t="str">
        <f t="shared" si="209"/>
        <v>-</v>
      </c>
      <c r="AY367" t="str">
        <f t="shared" si="210"/>
        <v>-</v>
      </c>
      <c r="AZ367" t="str">
        <f t="shared" si="211"/>
        <v>-</v>
      </c>
      <c r="BA367" t="str">
        <f t="shared" si="212"/>
        <v>-</v>
      </c>
      <c r="BB367" t="str">
        <f t="shared" si="213"/>
        <v>-</v>
      </c>
      <c r="BC367" t="str">
        <f t="shared" si="214"/>
        <v>-</v>
      </c>
      <c r="BD367" s="29" t="str">
        <f t="shared" si="215"/>
        <v>-</v>
      </c>
      <c r="BE367" s="29" t="str">
        <f t="shared" si="216"/>
        <v>-</v>
      </c>
    </row>
    <row r="368" spans="1:57" ht="15" x14ac:dyDescent="0.2">
      <c r="A368" s="2">
        <v>612</v>
      </c>
      <c r="B368" s="2" t="str">
        <f t="shared" si="181"/>
        <v>0612</v>
      </c>
      <c r="C368" t="str">
        <f t="shared" si="182"/>
        <v>ORD-BL-0612-15/05/24</v>
      </c>
      <c r="D368" s="3" t="s">
        <v>624</v>
      </c>
      <c r="E368" t="str">
        <f t="shared" si="183"/>
        <v>PP001</v>
      </c>
      <c r="F368" t="str">
        <f>INDEX(Katalog!$B$4:$B$13,MATCH('Main Data'!E368,Katalog!$C$4:$C$13,0))</f>
        <v>Kaos Polo</v>
      </c>
      <c r="G368" t="str">
        <f>VLOOKUP(E368,Katalog!$A$15:$B$25,2,0)</f>
        <v>Pakaian Pria</v>
      </c>
      <c r="H368" t="str">
        <f t="shared" si="184"/>
        <v>4</v>
      </c>
      <c r="I368" t="str">
        <f t="shared" si="185"/>
        <v>2</v>
      </c>
      <c r="J368" s="18">
        <f>VLOOKUP(E368,Katalog!$C$3:$F$13,2,0)</f>
        <v>80000</v>
      </c>
      <c r="K368" s="18">
        <f>VLOOKUP(E368,Katalog!$C$3:$F$13,3,0)</f>
        <v>30000</v>
      </c>
      <c r="L368" t="str">
        <f t="shared" si="186"/>
        <v>-</v>
      </c>
      <c r="M368" t="str">
        <f>IFERROR(INDEX(Katalog!$B$4:$B$13,MATCH('Main Data'!L368,Katalog!$C$4:$C$13,0)), "-")</f>
        <v>-</v>
      </c>
      <c r="N368" t="str">
        <f>IFERROR(VLOOKUP(L368,Katalog!$A$15:$B$25,2,0),"-")</f>
        <v>-</v>
      </c>
      <c r="O368">
        <f t="shared" si="187"/>
        <v>0</v>
      </c>
      <c r="P368" t="str">
        <f t="shared" si="188"/>
        <v>-</v>
      </c>
      <c r="Q368" s="18">
        <f>IFERROR(VLOOKUP(L368,Katalog!$C$3:$F$13,2,0),0)</f>
        <v>0</v>
      </c>
      <c r="R368" s="18">
        <f>IFERROR(VLOOKUP(L368,Katalog!$C$3:$F$13,3,0),0)</f>
        <v>0</v>
      </c>
      <c r="S368" t="str">
        <f t="shared" si="189"/>
        <v>-</v>
      </c>
      <c r="T368" t="str">
        <f>IFERROR(INDEX(Katalog!$B$4:$B$13,MATCH('Main Data'!S368,Katalog!$C$4:$C$13,0)),"-")</f>
        <v>-</v>
      </c>
      <c r="U368" t="str">
        <f>IFERROR(VLOOKUP(S368,Katalog!$A$15:$B$25,2,0),"-")</f>
        <v>-</v>
      </c>
      <c r="V368">
        <f t="shared" si="190"/>
        <v>0</v>
      </c>
      <c r="W368" s="28" t="str">
        <f t="shared" si="191"/>
        <v>-</v>
      </c>
      <c r="X368" s="18">
        <f>IFERROR(VLOOKUP(S368,Katalog!$C$3:$F$13,2,0),0)</f>
        <v>0</v>
      </c>
      <c r="Y368" s="30">
        <f>IFERROR(VLOOKUP(S368,Katalog!$C$3:$F$13,3,0),0)</f>
        <v>0</v>
      </c>
      <c r="Z368" s="2">
        <f t="shared" si="192"/>
        <v>4</v>
      </c>
      <c r="AA368" s="4">
        <f t="shared" si="193"/>
        <v>320000</v>
      </c>
      <c r="AB368" s="4">
        <f t="shared" si="194"/>
        <v>120000</v>
      </c>
      <c r="AC368" s="4" t="s">
        <v>31</v>
      </c>
      <c r="AD368" s="16">
        <f>IFERROR(VLOOKUP(AC368,'Kode Diskon'!$C$2:$D$9,2,0),0)</f>
        <v>0.15</v>
      </c>
      <c r="AE368" s="31">
        <f t="shared" si="195"/>
        <v>48000</v>
      </c>
      <c r="AF368" s="31">
        <f t="shared" si="196"/>
        <v>272000</v>
      </c>
      <c r="AG368" s="31">
        <f t="shared" si="197"/>
        <v>200000</v>
      </c>
      <c r="AH368" s="31">
        <f t="shared" si="198"/>
        <v>152000</v>
      </c>
      <c r="AI368" s="4" t="s">
        <v>8</v>
      </c>
      <c r="AJ368" s="4" t="s">
        <v>11</v>
      </c>
      <c r="AK368" s="4" t="str">
        <f>IFERROR(VLOOKUP(AJ368,'Guide '!$A$13:$B$16,2,0),"-")</f>
        <v>BL</v>
      </c>
      <c r="AL368" s="4" t="s">
        <v>1006</v>
      </c>
      <c r="AM368" s="40">
        <v>45427</v>
      </c>
      <c r="AN368">
        <f t="shared" si="199"/>
        <v>29</v>
      </c>
      <c r="AO368">
        <f t="shared" si="200"/>
        <v>32</v>
      </c>
      <c r="AP368">
        <f t="shared" si="201"/>
        <v>40</v>
      </c>
      <c r="AQ368">
        <f t="shared" si="202"/>
        <v>43</v>
      </c>
      <c r="AR368" s="26" t="str">
        <f t="shared" si="203"/>
        <v>-</v>
      </c>
      <c r="AS368" s="26" t="str">
        <f t="shared" si="204"/>
        <v>-</v>
      </c>
      <c r="AT368" s="21">
        <f t="shared" si="205"/>
        <v>12</v>
      </c>
      <c r="AU368" s="21">
        <f t="shared" si="206"/>
        <v>19</v>
      </c>
      <c r="AV368" t="str">
        <f t="shared" si="207"/>
        <v>-</v>
      </c>
      <c r="AW368" t="str">
        <f t="shared" si="208"/>
        <v>-</v>
      </c>
      <c r="AX368" t="str">
        <f t="shared" si="209"/>
        <v>-</v>
      </c>
      <c r="AY368" t="str">
        <f t="shared" si="210"/>
        <v>-</v>
      </c>
      <c r="AZ368" t="str">
        <f t="shared" si="211"/>
        <v>-</v>
      </c>
      <c r="BA368" t="str">
        <f t="shared" si="212"/>
        <v>-</v>
      </c>
      <c r="BB368" t="str">
        <f t="shared" si="213"/>
        <v>-</v>
      </c>
      <c r="BC368" t="str">
        <f t="shared" si="214"/>
        <v>-</v>
      </c>
      <c r="BD368" s="29" t="str">
        <f t="shared" si="215"/>
        <v>-</v>
      </c>
      <c r="BE368" s="29" t="str">
        <f t="shared" si="216"/>
        <v>-</v>
      </c>
    </row>
    <row r="369" spans="1:57" ht="15" x14ac:dyDescent="0.2">
      <c r="A369" s="2">
        <v>906</v>
      </c>
      <c r="B369" s="2" t="str">
        <f t="shared" si="181"/>
        <v>0906</v>
      </c>
      <c r="C369" t="str">
        <f t="shared" si="182"/>
        <v>ORD-SP-0906-15/05/24</v>
      </c>
      <c r="D369" s="3" t="s">
        <v>844</v>
      </c>
      <c r="E369" t="str">
        <f t="shared" si="183"/>
        <v>PP003</v>
      </c>
      <c r="F369" t="str">
        <f>INDEX(Katalog!$B$4:$B$13,MATCH('Main Data'!E369,Katalog!$C$4:$C$13,0))</f>
        <v>Jaket Jeans</v>
      </c>
      <c r="G369" t="str">
        <f>VLOOKUP(E369,Katalog!$A$15:$B$25,2,0)</f>
        <v>Pakaian Pria</v>
      </c>
      <c r="H369" t="str">
        <f t="shared" si="184"/>
        <v>1</v>
      </c>
      <c r="I369" t="str">
        <f t="shared" si="185"/>
        <v>4</v>
      </c>
      <c r="J369" s="18">
        <f>VLOOKUP(E369,Katalog!$C$3:$F$13,2,0)</f>
        <v>150000</v>
      </c>
      <c r="K369" s="18">
        <f>VLOOKUP(E369,Katalog!$C$3:$F$13,3,0)</f>
        <v>70000</v>
      </c>
      <c r="L369" t="str">
        <f t="shared" si="186"/>
        <v>SP002</v>
      </c>
      <c r="M369" t="str">
        <f>IFERROR(INDEX(Katalog!$B$4:$B$13,MATCH('Main Data'!L369,Katalog!$C$4:$C$13,0)), "-")</f>
        <v>Sandal Slip On</v>
      </c>
      <c r="N369" t="str">
        <f>IFERROR(VLOOKUP(L369,Katalog!$A$15:$B$25,2,0),"-")</f>
        <v>Sepatu Pria</v>
      </c>
      <c r="O369" t="str">
        <f t="shared" si="187"/>
        <v>4</v>
      </c>
      <c r="P369" t="str">
        <f t="shared" si="188"/>
        <v>5</v>
      </c>
      <c r="Q369" s="18">
        <f>IFERROR(VLOOKUP(L369,Katalog!$C$3:$F$13,2,0),0)</f>
        <v>120000</v>
      </c>
      <c r="R369" s="18">
        <f>IFERROR(VLOOKUP(L369,Katalog!$C$3:$F$13,3,0),0)</f>
        <v>60000</v>
      </c>
      <c r="S369" t="str">
        <f t="shared" si="189"/>
        <v>PP003</v>
      </c>
      <c r="T369" t="str">
        <f>IFERROR(INDEX(Katalog!$B$4:$B$13,MATCH('Main Data'!S369,Katalog!$C$4:$C$13,0)),"-")</f>
        <v>Jaket Jeans</v>
      </c>
      <c r="U369" t="str">
        <f>IFERROR(VLOOKUP(S369,Katalog!$A$15:$B$25,2,0),"-")</f>
        <v>Pakaian Pria</v>
      </c>
      <c r="V369" t="str">
        <f t="shared" si="190"/>
        <v>1</v>
      </c>
      <c r="W369" s="28" t="str">
        <f t="shared" si="191"/>
        <v>4</v>
      </c>
      <c r="X369" s="18">
        <f>IFERROR(VLOOKUP(S369,Katalog!$C$3:$F$13,2,0),0)</f>
        <v>150000</v>
      </c>
      <c r="Y369" s="30">
        <f>IFERROR(VLOOKUP(S369,Katalog!$C$3:$F$13,3,0),0)</f>
        <v>70000</v>
      </c>
      <c r="Z369" s="2">
        <f t="shared" si="192"/>
        <v>6</v>
      </c>
      <c r="AA369" s="4">
        <f t="shared" si="193"/>
        <v>780000</v>
      </c>
      <c r="AB369" s="4">
        <f t="shared" si="194"/>
        <v>380000</v>
      </c>
      <c r="AC369" s="4" t="s">
        <v>12</v>
      </c>
      <c r="AD369" s="16">
        <f>IFERROR(VLOOKUP(AC369,'Kode Diskon'!$C$2:$D$9,2,0),0)</f>
        <v>0.15</v>
      </c>
      <c r="AE369" s="31">
        <f t="shared" si="195"/>
        <v>117000</v>
      </c>
      <c r="AF369" s="31">
        <f t="shared" si="196"/>
        <v>663000</v>
      </c>
      <c r="AG369" s="31">
        <f t="shared" si="197"/>
        <v>400000</v>
      </c>
      <c r="AH369" s="31">
        <f t="shared" si="198"/>
        <v>283000</v>
      </c>
      <c r="AI369" s="4" t="s">
        <v>28</v>
      </c>
      <c r="AJ369" s="4" t="s">
        <v>6</v>
      </c>
      <c r="AK369" s="4" t="str">
        <f>IFERROR(VLOOKUP(AJ369,'Guide '!$A$13:$B$16,2,0),"-")</f>
        <v>SP</v>
      </c>
      <c r="AL369" s="4" t="s">
        <v>925</v>
      </c>
      <c r="AM369" s="40">
        <v>45427</v>
      </c>
      <c r="AN369">
        <f t="shared" si="199"/>
        <v>29</v>
      </c>
      <c r="AO369">
        <f t="shared" si="200"/>
        <v>32</v>
      </c>
      <c r="AP369">
        <f t="shared" si="201"/>
        <v>40</v>
      </c>
      <c r="AQ369">
        <f t="shared" si="202"/>
        <v>43</v>
      </c>
      <c r="AR369" s="26">
        <f t="shared" si="203"/>
        <v>56</v>
      </c>
      <c r="AS369" s="26">
        <f t="shared" si="204"/>
        <v>63</v>
      </c>
      <c r="AT369" s="21">
        <f t="shared" si="205"/>
        <v>12</v>
      </c>
      <c r="AU369" s="21">
        <f t="shared" si="206"/>
        <v>19</v>
      </c>
      <c r="AV369">
        <f t="shared" si="207"/>
        <v>73</v>
      </c>
      <c r="AW369">
        <f t="shared" si="208"/>
        <v>76</v>
      </c>
      <c r="AX369">
        <f t="shared" si="209"/>
        <v>84</v>
      </c>
      <c r="AY369">
        <f t="shared" si="210"/>
        <v>87</v>
      </c>
      <c r="AZ369">
        <f t="shared" si="211"/>
        <v>100</v>
      </c>
      <c r="BA369">
        <f t="shared" si="212"/>
        <v>107</v>
      </c>
      <c r="BB369">
        <f t="shared" si="213"/>
        <v>117</v>
      </c>
      <c r="BC369">
        <f t="shared" si="214"/>
        <v>120</v>
      </c>
      <c r="BD369" s="29">
        <f t="shared" si="215"/>
        <v>128</v>
      </c>
      <c r="BE369" s="29">
        <f t="shared" si="216"/>
        <v>131</v>
      </c>
    </row>
    <row r="370" spans="1:57" ht="15" x14ac:dyDescent="0.2">
      <c r="A370" s="2">
        <v>963</v>
      </c>
      <c r="B370" s="2" t="str">
        <f t="shared" si="181"/>
        <v>0963</v>
      </c>
      <c r="C370" t="str">
        <f t="shared" si="182"/>
        <v>ORD-SP-0963-15/05/24</v>
      </c>
      <c r="D370" s="3" t="s">
        <v>611</v>
      </c>
      <c r="E370" t="str">
        <f t="shared" si="183"/>
        <v>PP003</v>
      </c>
      <c r="F370" t="str">
        <f>INDEX(Katalog!$B$4:$B$13,MATCH('Main Data'!E370,Katalog!$C$4:$C$13,0))</f>
        <v>Jaket Jeans</v>
      </c>
      <c r="G370" t="str">
        <f>VLOOKUP(E370,Katalog!$A$15:$B$25,2,0)</f>
        <v>Pakaian Pria</v>
      </c>
      <c r="H370" t="str">
        <f t="shared" si="184"/>
        <v>4</v>
      </c>
      <c r="I370" t="str">
        <f t="shared" si="185"/>
        <v>3</v>
      </c>
      <c r="J370" s="18">
        <f>VLOOKUP(E370,Katalog!$C$3:$F$13,2,0)</f>
        <v>150000</v>
      </c>
      <c r="K370" s="18">
        <f>VLOOKUP(E370,Katalog!$C$3:$F$13,3,0)</f>
        <v>70000</v>
      </c>
      <c r="L370" t="str">
        <f t="shared" si="186"/>
        <v>-</v>
      </c>
      <c r="M370" t="str">
        <f>IFERROR(INDEX(Katalog!$B$4:$B$13,MATCH('Main Data'!L370,Katalog!$C$4:$C$13,0)), "-")</f>
        <v>-</v>
      </c>
      <c r="N370" t="str">
        <f>IFERROR(VLOOKUP(L370,Katalog!$A$15:$B$25,2,0),"-")</f>
        <v>-</v>
      </c>
      <c r="O370">
        <f t="shared" si="187"/>
        <v>0</v>
      </c>
      <c r="P370" t="str">
        <f t="shared" si="188"/>
        <v>-</v>
      </c>
      <c r="Q370" s="18">
        <f>IFERROR(VLOOKUP(L370,Katalog!$C$3:$F$13,2,0),0)</f>
        <v>0</v>
      </c>
      <c r="R370" s="18">
        <f>IFERROR(VLOOKUP(L370,Katalog!$C$3:$F$13,3,0),0)</f>
        <v>0</v>
      </c>
      <c r="S370" t="str">
        <f t="shared" si="189"/>
        <v>-</v>
      </c>
      <c r="T370" t="str">
        <f>IFERROR(INDEX(Katalog!$B$4:$B$13,MATCH('Main Data'!S370,Katalog!$C$4:$C$13,0)),"-")</f>
        <v>-</v>
      </c>
      <c r="U370" t="str">
        <f>IFERROR(VLOOKUP(S370,Katalog!$A$15:$B$25,2,0),"-")</f>
        <v>-</v>
      </c>
      <c r="V370">
        <f t="shared" si="190"/>
        <v>0</v>
      </c>
      <c r="W370" s="28" t="str">
        <f t="shared" si="191"/>
        <v>-</v>
      </c>
      <c r="X370" s="18">
        <f>IFERROR(VLOOKUP(S370,Katalog!$C$3:$F$13,2,0),0)</f>
        <v>0</v>
      </c>
      <c r="Y370" s="30">
        <f>IFERROR(VLOOKUP(S370,Katalog!$C$3:$F$13,3,0),0)</f>
        <v>0</v>
      </c>
      <c r="Z370" s="2">
        <f t="shared" si="192"/>
        <v>4</v>
      </c>
      <c r="AA370" s="4">
        <f t="shared" si="193"/>
        <v>600000</v>
      </c>
      <c r="AB370" s="4">
        <f t="shared" si="194"/>
        <v>280000</v>
      </c>
      <c r="AC370" s="4" t="s">
        <v>5</v>
      </c>
      <c r="AD370" s="16">
        <f>IFERROR(VLOOKUP(AC370,'Kode Diskon'!$C$2:$D$9,2,0),0)</f>
        <v>0.1</v>
      </c>
      <c r="AE370" s="31">
        <f t="shared" si="195"/>
        <v>60000</v>
      </c>
      <c r="AF370" s="31">
        <f t="shared" si="196"/>
        <v>540000</v>
      </c>
      <c r="AG370" s="31">
        <f t="shared" si="197"/>
        <v>320000</v>
      </c>
      <c r="AH370" s="31">
        <f t="shared" si="198"/>
        <v>260000</v>
      </c>
      <c r="AI370" s="4" t="s">
        <v>28</v>
      </c>
      <c r="AJ370" s="4" t="s">
        <v>6</v>
      </c>
      <c r="AK370" s="4" t="str">
        <f>IFERROR(VLOOKUP(AJ370,'Guide '!$A$13:$B$16,2,0),"-")</f>
        <v>SP</v>
      </c>
      <c r="AL370" s="4" t="s">
        <v>925</v>
      </c>
      <c r="AM370" s="40">
        <v>45427</v>
      </c>
      <c r="AN370">
        <f t="shared" si="199"/>
        <v>29</v>
      </c>
      <c r="AO370">
        <f t="shared" si="200"/>
        <v>32</v>
      </c>
      <c r="AP370">
        <f t="shared" si="201"/>
        <v>40</v>
      </c>
      <c r="AQ370">
        <f t="shared" si="202"/>
        <v>43</v>
      </c>
      <c r="AR370" s="26" t="str">
        <f t="shared" si="203"/>
        <v>-</v>
      </c>
      <c r="AS370" s="26" t="str">
        <f t="shared" si="204"/>
        <v>-</v>
      </c>
      <c r="AT370" s="21">
        <f t="shared" si="205"/>
        <v>12</v>
      </c>
      <c r="AU370" s="21">
        <f t="shared" si="206"/>
        <v>19</v>
      </c>
      <c r="AV370" t="str">
        <f t="shared" si="207"/>
        <v>-</v>
      </c>
      <c r="AW370" t="str">
        <f t="shared" si="208"/>
        <v>-</v>
      </c>
      <c r="AX370" t="str">
        <f t="shared" si="209"/>
        <v>-</v>
      </c>
      <c r="AY370" t="str">
        <f t="shared" si="210"/>
        <v>-</v>
      </c>
      <c r="AZ370" t="str">
        <f t="shared" si="211"/>
        <v>-</v>
      </c>
      <c r="BA370" t="str">
        <f t="shared" si="212"/>
        <v>-</v>
      </c>
      <c r="BB370" t="str">
        <f t="shared" si="213"/>
        <v>-</v>
      </c>
      <c r="BC370" t="str">
        <f t="shared" si="214"/>
        <v>-</v>
      </c>
      <c r="BD370" s="29" t="str">
        <f t="shared" si="215"/>
        <v>-</v>
      </c>
      <c r="BE370" s="29" t="str">
        <f t="shared" si="216"/>
        <v>-</v>
      </c>
    </row>
    <row r="371" spans="1:57" ht="15" x14ac:dyDescent="0.2">
      <c r="A371" s="2">
        <v>282</v>
      </c>
      <c r="B371" s="2" t="str">
        <f t="shared" si="181"/>
        <v>0282</v>
      </c>
      <c r="C371" t="str">
        <f t="shared" si="182"/>
        <v>ORD-TK-0282-16/05/24</v>
      </c>
      <c r="D371" s="3" t="s">
        <v>338</v>
      </c>
      <c r="E371" t="str">
        <f t="shared" si="183"/>
        <v>PP003</v>
      </c>
      <c r="F371" t="str">
        <f>INDEX(Katalog!$B$4:$B$13,MATCH('Main Data'!E371,Katalog!$C$4:$C$13,0))</f>
        <v>Jaket Jeans</v>
      </c>
      <c r="G371" t="str">
        <f>VLOOKUP(E371,Katalog!$A$15:$B$25,2,0)</f>
        <v>Pakaian Pria</v>
      </c>
      <c r="H371" t="str">
        <f t="shared" si="184"/>
        <v>2</v>
      </c>
      <c r="I371" t="str">
        <f t="shared" si="185"/>
        <v>3</v>
      </c>
      <c r="J371" s="18">
        <f>VLOOKUP(E371,Katalog!$C$3:$F$13,2,0)</f>
        <v>150000</v>
      </c>
      <c r="K371" s="18">
        <f>VLOOKUP(E371,Katalog!$C$3:$F$13,3,0)</f>
        <v>70000</v>
      </c>
      <c r="L371" t="str">
        <f t="shared" si="186"/>
        <v>PW001</v>
      </c>
      <c r="M371" t="str">
        <f>IFERROR(INDEX(Katalog!$B$4:$B$13,MATCH('Main Data'!L371,Katalog!$C$4:$C$13,0)), "-")</f>
        <v>Dress</v>
      </c>
      <c r="N371" t="str">
        <f>IFERROR(VLOOKUP(L371,Katalog!$A$15:$B$25,2,0),"-")</f>
        <v>Pakaian Wanita</v>
      </c>
      <c r="O371" t="str">
        <f t="shared" si="187"/>
        <v>1</v>
      </c>
      <c r="P371" t="str">
        <f t="shared" si="188"/>
        <v>2</v>
      </c>
      <c r="Q371" s="18">
        <f>IFERROR(VLOOKUP(L371,Katalog!$C$3:$F$13,2,0),0)</f>
        <v>150000</v>
      </c>
      <c r="R371" s="18">
        <f>IFERROR(VLOOKUP(L371,Katalog!$C$3:$F$13,3,0),0)</f>
        <v>55000</v>
      </c>
      <c r="S371" t="str">
        <f t="shared" si="189"/>
        <v>PP003</v>
      </c>
      <c r="T371" t="str">
        <f>IFERROR(INDEX(Katalog!$B$4:$B$13,MATCH('Main Data'!S371,Katalog!$C$4:$C$13,0)),"-")</f>
        <v>Jaket Jeans</v>
      </c>
      <c r="U371" t="str">
        <f>IFERROR(VLOOKUP(S371,Katalog!$A$15:$B$25,2,0),"-")</f>
        <v>Pakaian Pria</v>
      </c>
      <c r="V371" t="str">
        <f t="shared" si="190"/>
        <v>1</v>
      </c>
      <c r="W371" s="28" t="str">
        <f t="shared" si="191"/>
        <v>4</v>
      </c>
      <c r="X371" s="18">
        <f>IFERROR(VLOOKUP(S371,Katalog!$C$3:$F$13,2,0),0)</f>
        <v>150000</v>
      </c>
      <c r="Y371" s="30">
        <f>IFERROR(VLOOKUP(S371,Katalog!$C$3:$F$13,3,0),0)</f>
        <v>70000</v>
      </c>
      <c r="Z371" s="2">
        <f t="shared" si="192"/>
        <v>4</v>
      </c>
      <c r="AA371" s="4">
        <f t="shared" si="193"/>
        <v>600000</v>
      </c>
      <c r="AB371" s="4">
        <f t="shared" si="194"/>
        <v>265000</v>
      </c>
      <c r="AC371" s="4" t="s">
        <v>29</v>
      </c>
      <c r="AD371" s="16">
        <f>IFERROR(VLOOKUP(AC371,'Kode Diskon'!$C$2:$D$9,2,0),0)</f>
        <v>0.1</v>
      </c>
      <c r="AE371" s="31">
        <f t="shared" si="195"/>
        <v>60000</v>
      </c>
      <c r="AF371" s="31">
        <f t="shared" si="196"/>
        <v>540000</v>
      </c>
      <c r="AG371" s="31">
        <f t="shared" si="197"/>
        <v>335000</v>
      </c>
      <c r="AH371" s="31">
        <f t="shared" si="198"/>
        <v>275000</v>
      </c>
      <c r="AI371" s="4" t="s">
        <v>28</v>
      </c>
      <c r="AJ371" s="4" t="s">
        <v>9</v>
      </c>
      <c r="AK371" s="4" t="str">
        <f>IFERROR(VLOOKUP(AJ371,'Guide '!$A$13:$B$16,2,0),"-")</f>
        <v>TK</v>
      </c>
      <c r="AL371" s="4" t="s">
        <v>921</v>
      </c>
      <c r="AM371" s="40">
        <v>45428</v>
      </c>
      <c r="AN371">
        <f t="shared" si="199"/>
        <v>29</v>
      </c>
      <c r="AO371">
        <f t="shared" si="200"/>
        <v>32</v>
      </c>
      <c r="AP371">
        <f t="shared" si="201"/>
        <v>40</v>
      </c>
      <c r="AQ371">
        <f t="shared" si="202"/>
        <v>43</v>
      </c>
      <c r="AR371" s="26">
        <f t="shared" si="203"/>
        <v>56</v>
      </c>
      <c r="AS371" s="26">
        <f t="shared" si="204"/>
        <v>63</v>
      </c>
      <c r="AT371" s="21">
        <f t="shared" si="205"/>
        <v>12</v>
      </c>
      <c r="AU371" s="21">
        <f t="shared" si="206"/>
        <v>19</v>
      </c>
      <c r="AV371">
        <f t="shared" si="207"/>
        <v>73</v>
      </c>
      <c r="AW371">
        <f t="shared" si="208"/>
        <v>76</v>
      </c>
      <c r="AX371">
        <f t="shared" si="209"/>
        <v>84</v>
      </c>
      <c r="AY371">
        <f t="shared" si="210"/>
        <v>87</v>
      </c>
      <c r="AZ371">
        <f t="shared" si="211"/>
        <v>100</v>
      </c>
      <c r="BA371">
        <f t="shared" si="212"/>
        <v>107</v>
      </c>
      <c r="BB371">
        <f t="shared" si="213"/>
        <v>117</v>
      </c>
      <c r="BC371">
        <f t="shared" si="214"/>
        <v>120</v>
      </c>
      <c r="BD371" s="29">
        <f t="shared" si="215"/>
        <v>128</v>
      </c>
      <c r="BE371" s="29">
        <f t="shared" si="216"/>
        <v>131</v>
      </c>
    </row>
    <row r="372" spans="1:57" ht="15" x14ac:dyDescent="0.2">
      <c r="A372" s="2">
        <v>685</v>
      </c>
      <c r="B372" s="2" t="str">
        <f t="shared" si="181"/>
        <v>0685</v>
      </c>
      <c r="C372" t="str">
        <f t="shared" si="182"/>
        <v>ORD-BL-0685-16/05/24</v>
      </c>
      <c r="D372" s="3" t="s">
        <v>682</v>
      </c>
      <c r="E372" t="str">
        <f t="shared" si="183"/>
        <v>SP002</v>
      </c>
      <c r="F372" t="str">
        <f>INDEX(Katalog!$B$4:$B$13,MATCH('Main Data'!E372,Katalog!$C$4:$C$13,0))</f>
        <v>Sandal Slip On</v>
      </c>
      <c r="G372" t="str">
        <f>VLOOKUP(E372,Katalog!$A$15:$B$25,2,0)</f>
        <v>Sepatu Pria</v>
      </c>
      <c r="H372" t="str">
        <f t="shared" si="184"/>
        <v>3</v>
      </c>
      <c r="I372" t="str">
        <f t="shared" si="185"/>
        <v>1</v>
      </c>
      <c r="J372" s="18">
        <f>VLOOKUP(E372,Katalog!$C$3:$F$13,2,0)</f>
        <v>120000</v>
      </c>
      <c r="K372" s="18">
        <f>VLOOKUP(E372,Katalog!$C$3:$F$13,3,0)</f>
        <v>60000</v>
      </c>
      <c r="L372" t="str">
        <f t="shared" si="186"/>
        <v>-</v>
      </c>
      <c r="M372" t="str">
        <f>IFERROR(INDEX(Katalog!$B$4:$B$13,MATCH('Main Data'!L372,Katalog!$C$4:$C$13,0)), "-")</f>
        <v>-</v>
      </c>
      <c r="N372" t="str">
        <f>IFERROR(VLOOKUP(L372,Katalog!$A$15:$B$25,2,0),"-")</f>
        <v>-</v>
      </c>
      <c r="O372">
        <f t="shared" si="187"/>
        <v>0</v>
      </c>
      <c r="P372" t="str">
        <f t="shared" si="188"/>
        <v>-</v>
      </c>
      <c r="Q372" s="18">
        <f>IFERROR(VLOOKUP(L372,Katalog!$C$3:$F$13,2,0),0)</f>
        <v>0</v>
      </c>
      <c r="R372" s="18">
        <f>IFERROR(VLOOKUP(L372,Katalog!$C$3:$F$13,3,0),0)</f>
        <v>0</v>
      </c>
      <c r="S372" t="str">
        <f t="shared" si="189"/>
        <v>-</v>
      </c>
      <c r="T372" t="str">
        <f>IFERROR(INDEX(Katalog!$B$4:$B$13,MATCH('Main Data'!S372,Katalog!$C$4:$C$13,0)),"-")</f>
        <v>-</v>
      </c>
      <c r="U372" t="str">
        <f>IFERROR(VLOOKUP(S372,Katalog!$A$15:$B$25,2,0),"-")</f>
        <v>-</v>
      </c>
      <c r="V372">
        <f t="shared" si="190"/>
        <v>0</v>
      </c>
      <c r="W372" s="28" t="str">
        <f t="shared" si="191"/>
        <v>-</v>
      </c>
      <c r="X372" s="18">
        <f>IFERROR(VLOOKUP(S372,Katalog!$C$3:$F$13,2,0),0)</f>
        <v>0</v>
      </c>
      <c r="Y372" s="30">
        <f>IFERROR(VLOOKUP(S372,Katalog!$C$3:$F$13,3,0),0)</f>
        <v>0</v>
      </c>
      <c r="Z372" s="2">
        <f t="shared" si="192"/>
        <v>3</v>
      </c>
      <c r="AA372" s="4">
        <f t="shared" si="193"/>
        <v>360000</v>
      </c>
      <c r="AB372" s="4">
        <f t="shared" si="194"/>
        <v>180000</v>
      </c>
      <c r="AC372" s="4" t="s">
        <v>31</v>
      </c>
      <c r="AD372" s="16">
        <f>IFERROR(VLOOKUP(AC372,'Kode Diskon'!$C$2:$D$9,2,0),0)</f>
        <v>0.15</v>
      </c>
      <c r="AE372" s="31">
        <f t="shared" si="195"/>
        <v>54000</v>
      </c>
      <c r="AF372" s="31">
        <f t="shared" si="196"/>
        <v>306000</v>
      </c>
      <c r="AG372" s="31">
        <f t="shared" si="197"/>
        <v>180000</v>
      </c>
      <c r="AH372" s="31">
        <f t="shared" si="198"/>
        <v>126000</v>
      </c>
      <c r="AI372" s="4" t="s">
        <v>8</v>
      </c>
      <c r="AJ372" s="4" t="s">
        <v>11</v>
      </c>
      <c r="AK372" s="4" t="str">
        <f>IFERROR(VLOOKUP(AJ372,'Guide '!$A$13:$B$16,2,0),"-")</f>
        <v>BL</v>
      </c>
      <c r="AL372" s="4" t="s">
        <v>925</v>
      </c>
      <c r="AM372" s="40">
        <v>45428</v>
      </c>
      <c r="AN372">
        <f t="shared" si="199"/>
        <v>29</v>
      </c>
      <c r="AO372">
        <f t="shared" si="200"/>
        <v>32</v>
      </c>
      <c r="AP372">
        <f t="shared" si="201"/>
        <v>40</v>
      </c>
      <c r="AQ372">
        <f t="shared" si="202"/>
        <v>43</v>
      </c>
      <c r="AR372" s="26" t="str">
        <f t="shared" si="203"/>
        <v>-</v>
      </c>
      <c r="AS372" s="26" t="str">
        <f t="shared" si="204"/>
        <v>-</v>
      </c>
      <c r="AT372" s="21">
        <f t="shared" si="205"/>
        <v>12</v>
      </c>
      <c r="AU372" s="21">
        <f t="shared" si="206"/>
        <v>19</v>
      </c>
      <c r="AV372" t="str">
        <f t="shared" si="207"/>
        <v>-</v>
      </c>
      <c r="AW372" t="str">
        <f t="shared" si="208"/>
        <v>-</v>
      </c>
      <c r="AX372" t="str">
        <f t="shared" si="209"/>
        <v>-</v>
      </c>
      <c r="AY372" t="str">
        <f t="shared" si="210"/>
        <v>-</v>
      </c>
      <c r="AZ372" t="str">
        <f t="shared" si="211"/>
        <v>-</v>
      </c>
      <c r="BA372" t="str">
        <f t="shared" si="212"/>
        <v>-</v>
      </c>
      <c r="BB372" t="str">
        <f t="shared" si="213"/>
        <v>-</v>
      </c>
      <c r="BC372" t="str">
        <f t="shared" si="214"/>
        <v>-</v>
      </c>
      <c r="BD372" s="29" t="str">
        <f t="shared" si="215"/>
        <v>-</v>
      </c>
      <c r="BE372" s="29" t="str">
        <f t="shared" si="216"/>
        <v>-</v>
      </c>
    </row>
    <row r="373" spans="1:57" ht="15" x14ac:dyDescent="0.2">
      <c r="A373" s="2">
        <v>738</v>
      </c>
      <c r="B373" s="2" t="str">
        <f t="shared" si="181"/>
        <v>0738</v>
      </c>
      <c r="C373" t="str">
        <f t="shared" si="182"/>
        <v>ORD-SP-0738-16/05/24</v>
      </c>
      <c r="D373" s="3" t="s">
        <v>722</v>
      </c>
      <c r="E373" t="str">
        <f t="shared" si="183"/>
        <v>PU001</v>
      </c>
      <c r="F373" t="str">
        <f>INDEX(Katalog!$B$4:$B$13,MATCH('Main Data'!E373,Katalog!$C$4:$C$13,0))</f>
        <v>Jaket Hoodie</v>
      </c>
      <c r="G373" t="str">
        <f>VLOOKUP(E373,Katalog!$A$15:$B$25,2,0)</f>
        <v>Pakaian Unisex</v>
      </c>
      <c r="H373" t="str">
        <f t="shared" si="184"/>
        <v>4</v>
      </c>
      <c r="I373" t="str">
        <f t="shared" si="185"/>
        <v>2</v>
      </c>
      <c r="J373" s="18">
        <f>VLOOKUP(E373,Katalog!$C$3:$F$13,2,0)</f>
        <v>160000</v>
      </c>
      <c r="K373" s="18">
        <f>VLOOKUP(E373,Katalog!$C$3:$F$13,3,0)</f>
        <v>60000</v>
      </c>
      <c r="L373" t="str">
        <f t="shared" si="186"/>
        <v>SP001</v>
      </c>
      <c r="M373" t="str">
        <f>IFERROR(INDEX(Katalog!$B$4:$B$13,MATCH('Main Data'!L373,Katalog!$C$4:$C$13,0)), "-")</f>
        <v>Sneakers</v>
      </c>
      <c r="N373" t="str">
        <f>IFERROR(VLOOKUP(L373,Katalog!$A$15:$B$25,2,0),"-")</f>
        <v>Sepatu Pria</v>
      </c>
      <c r="O373" t="str">
        <f t="shared" si="187"/>
        <v>2</v>
      </c>
      <c r="P373" t="str">
        <f t="shared" si="188"/>
        <v>4</v>
      </c>
      <c r="Q373" s="18">
        <f>IFERROR(VLOOKUP(L373,Katalog!$C$3:$F$13,2,0),0)</f>
        <v>300000</v>
      </c>
      <c r="R373" s="18">
        <f>IFERROR(VLOOKUP(L373,Katalog!$C$3:$F$13,3,0),0)</f>
        <v>100000</v>
      </c>
      <c r="S373" t="str">
        <f t="shared" si="189"/>
        <v>PW002</v>
      </c>
      <c r="T373" t="str">
        <f>IFERROR(INDEX(Katalog!$B$4:$B$13,MATCH('Main Data'!S373,Katalog!$C$4:$C$13,0)),"-")</f>
        <v>Blouse</v>
      </c>
      <c r="U373" t="str">
        <f>IFERROR(VLOOKUP(S373,Katalog!$A$15:$B$25,2,0),"-")</f>
        <v>Pakaian Wanita</v>
      </c>
      <c r="V373" t="str">
        <f t="shared" si="190"/>
        <v>1</v>
      </c>
      <c r="W373" s="28" t="str">
        <f t="shared" si="191"/>
        <v>1</v>
      </c>
      <c r="X373" s="18">
        <f>IFERROR(VLOOKUP(S373,Katalog!$C$3:$F$13,2,0),0)</f>
        <v>125000</v>
      </c>
      <c r="Y373" s="30">
        <f>IFERROR(VLOOKUP(S373,Katalog!$C$3:$F$13,3,0),0)</f>
        <v>50000</v>
      </c>
      <c r="Z373" s="2">
        <f t="shared" si="192"/>
        <v>7</v>
      </c>
      <c r="AA373" s="4">
        <f t="shared" si="193"/>
        <v>1365000</v>
      </c>
      <c r="AB373" s="4">
        <f t="shared" si="194"/>
        <v>490000</v>
      </c>
      <c r="AC373" s="4" t="s">
        <v>12</v>
      </c>
      <c r="AD373" s="16">
        <f>IFERROR(VLOOKUP(AC373,'Kode Diskon'!$C$2:$D$9,2,0),0)</f>
        <v>0.15</v>
      </c>
      <c r="AE373" s="31">
        <f t="shared" si="195"/>
        <v>204750</v>
      </c>
      <c r="AF373" s="31">
        <f t="shared" si="196"/>
        <v>1160250</v>
      </c>
      <c r="AG373" s="31">
        <f t="shared" si="197"/>
        <v>875000</v>
      </c>
      <c r="AH373" s="31">
        <f t="shared" si="198"/>
        <v>670250</v>
      </c>
      <c r="AI373" s="4" t="s">
        <v>28</v>
      </c>
      <c r="AJ373" s="4" t="s">
        <v>6</v>
      </c>
      <c r="AK373" s="4" t="str">
        <f>IFERROR(VLOOKUP(AJ373,'Guide '!$A$13:$B$16,2,0),"-")</f>
        <v>SP</v>
      </c>
      <c r="AL373" s="4" t="s">
        <v>922</v>
      </c>
      <c r="AM373" s="40">
        <v>45428</v>
      </c>
      <c r="AN373">
        <f t="shared" si="199"/>
        <v>29</v>
      </c>
      <c r="AO373">
        <f t="shared" si="200"/>
        <v>32</v>
      </c>
      <c r="AP373">
        <f t="shared" si="201"/>
        <v>40</v>
      </c>
      <c r="AQ373">
        <f t="shared" si="202"/>
        <v>43</v>
      </c>
      <c r="AR373" s="26">
        <f t="shared" si="203"/>
        <v>56</v>
      </c>
      <c r="AS373" s="26">
        <f t="shared" si="204"/>
        <v>63</v>
      </c>
      <c r="AT373" s="21">
        <f t="shared" si="205"/>
        <v>12</v>
      </c>
      <c r="AU373" s="21">
        <f t="shared" si="206"/>
        <v>19</v>
      </c>
      <c r="AV373">
        <f t="shared" si="207"/>
        <v>73</v>
      </c>
      <c r="AW373">
        <f t="shared" si="208"/>
        <v>76</v>
      </c>
      <c r="AX373">
        <f t="shared" si="209"/>
        <v>84</v>
      </c>
      <c r="AY373">
        <f t="shared" si="210"/>
        <v>87</v>
      </c>
      <c r="AZ373">
        <f t="shared" si="211"/>
        <v>100</v>
      </c>
      <c r="BA373">
        <f t="shared" si="212"/>
        <v>107</v>
      </c>
      <c r="BB373">
        <f t="shared" si="213"/>
        <v>117</v>
      </c>
      <c r="BC373">
        <f t="shared" si="214"/>
        <v>120</v>
      </c>
      <c r="BD373" s="29">
        <f t="shared" si="215"/>
        <v>128</v>
      </c>
      <c r="BE373" s="29">
        <f t="shared" si="216"/>
        <v>131</v>
      </c>
    </row>
    <row r="374" spans="1:57" ht="15" x14ac:dyDescent="0.2">
      <c r="A374" s="2">
        <v>948</v>
      </c>
      <c r="B374" s="2" t="str">
        <f t="shared" si="181"/>
        <v>0948</v>
      </c>
      <c r="C374" t="str">
        <f t="shared" si="182"/>
        <v>ORD-TK-0948-16/05/24</v>
      </c>
      <c r="D374" s="3" t="s">
        <v>879</v>
      </c>
      <c r="E374" t="str">
        <f t="shared" si="183"/>
        <v>PU001</v>
      </c>
      <c r="F374" t="str">
        <f>INDEX(Katalog!$B$4:$B$13,MATCH('Main Data'!E374,Katalog!$C$4:$C$13,0))</f>
        <v>Jaket Hoodie</v>
      </c>
      <c r="G374" t="str">
        <f>VLOOKUP(E374,Katalog!$A$15:$B$25,2,0)</f>
        <v>Pakaian Unisex</v>
      </c>
      <c r="H374" t="str">
        <f t="shared" si="184"/>
        <v>2</v>
      </c>
      <c r="I374" t="str">
        <f t="shared" si="185"/>
        <v>5</v>
      </c>
      <c r="J374" s="18">
        <f>VLOOKUP(E374,Katalog!$C$3:$F$13,2,0)</f>
        <v>160000</v>
      </c>
      <c r="K374" s="18">
        <f>VLOOKUP(E374,Katalog!$C$3:$F$13,3,0)</f>
        <v>60000</v>
      </c>
      <c r="L374" t="str">
        <f t="shared" si="186"/>
        <v>SW001</v>
      </c>
      <c r="M374" t="str">
        <f>IFERROR(INDEX(Katalog!$B$4:$B$13,MATCH('Main Data'!L374,Katalog!$C$4:$C$13,0)), "-")</f>
        <v>Flat Shoes</v>
      </c>
      <c r="N374" t="str">
        <f>IFERROR(VLOOKUP(L374,Katalog!$A$15:$B$25,2,0),"-")</f>
        <v>Sepatu Wanita</v>
      </c>
      <c r="O374" t="str">
        <f t="shared" si="187"/>
        <v>1</v>
      </c>
      <c r="P374" t="str">
        <f t="shared" si="188"/>
        <v>3</v>
      </c>
      <c r="Q374" s="18">
        <f>IFERROR(VLOOKUP(L374,Katalog!$C$3:$F$13,2,0),0)</f>
        <v>150000</v>
      </c>
      <c r="R374" s="18">
        <f>IFERROR(VLOOKUP(L374,Katalog!$C$3:$F$13,3,0),0)</f>
        <v>70000</v>
      </c>
      <c r="S374" t="str">
        <f t="shared" si="189"/>
        <v>PP003</v>
      </c>
      <c r="T374" t="str">
        <f>IFERROR(INDEX(Katalog!$B$4:$B$13,MATCH('Main Data'!S374,Katalog!$C$4:$C$13,0)),"-")</f>
        <v>Jaket Jeans</v>
      </c>
      <c r="U374" t="str">
        <f>IFERROR(VLOOKUP(S374,Katalog!$A$15:$B$25,2,0),"-")</f>
        <v>Pakaian Pria</v>
      </c>
      <c r="V374" t="str">
        <f t="shared" si="190"/>
        <v>3</v>
      </c>
      <c r="W374" s="28" t="str">
        <f t="shared" si="191"/>
        <v>2</v>
      </c>
      <c r="X374" s="18">
        <f>IFERROR(VLOOKUP(S374,Katalog!$C$3:$F$13,2,0),0)</f>
        <v>150000</v>
      </c>
      <c r="Y374" s="30">
        <f>IFERROR(VLOOKUP(S374,Katalog!$C$3:$F$13,3,0),0)</f>
        <v>70000</v>
      </c>
      <c r="Z374" s="2">
        <f t="shared" si="192"/>
        <v>6</v>
      </c>
      <c r="AA374" s="4">
        <f t="shared" si="193"/>
        <v>920000</v>
      </c>
      <c r="AB374" s="4">
        <f t="shared" si="194"/>
        <v>400000</v>
      </c>
      <c r="AC374" s="4" t="s">
        <v>10</v>
      </c>
      <c r="AD374" s="16">
        <f>IFERROR(VLOOKUP(AC374,'Kode Diskon'!$C$2:$D$9,2,0),0)</f>
        <v>0</v>
      </c>
      <c r="AE374" s="31">
        <f t="shared" si="195"/>
        <v>0</v>
      </c>
      <c r="AF374" s="31">
        <f t="shared" si="196"/>
        <v>920000</v>
      </c>
      <c r="AG374" s="31">
        <f t="shared" si="197"/>
        <v>520000</v>
      </c>
      <c r="AH374" s="31">
        <f t="shared" si="198"/>
        <v>520000</v>
      </c>
      <c r="AI374" s="4" t="s">
        <v>10</v>
      </c>
      <c r="AJ374" s="4" t="s">
        <v>9</v>
      </c>
      <c r="AK374" s="4" t="str">
        <f>IFERROR(VLOOKUP(AJ374,'Guide '!$A$13:$B$16,2,0),"-")</f>
        <v>TK</v>
      </c>
      <c r="AL374" s="4" t="s">
        <v>1006</v>
      </c>
      <c r="AM374" s="40">
        <v>45428</v>
      </c>
      <c r="AN374">
        <f t="shared" si="199"/>
        <v>29</v>
      </c>
      <c r="AO374">
        <f t="shared" si="200"/>
        <v>32</v>
      </c>
      <c r="AP374">
        <f t="shared" si="201"/>
        <v>40</v>
      </c>
      <c r="AQ374">
        <f t="shared" si="202"/>
        <v>43</v>
      </c>
      <c r="AR374" s="26">
        <f t="shared" si="203"/>
        <v>56</v>
      </c>
      <c r="AS374" s="26">
        <f t="shared" si="204"/>
        <v>63</v>
      </c>
      <c r="AT374" s="21">
        <f t="shared" si="205"/>
        <v>12</v>
      </c>
      <c r="AU374" s="21">
        <f t="shared" si="206"/>
        <v>19</v>
      </c>
      <c r="AV374">
        <f t="shared" si="207"/>
        <v>73</v>
      </c>
      <c r="AW374">
        <f t="shared" si="208"/>
        <v>76</v>
      </c>
      <c r="AX374">
        <f t="shared" si="209"/>
        <v>84</v>
      </c>
      <c r="AY374">
        <f t="shared" si="210"/>
        <v>87</v>
      </c>
      <c r="AZ374">
        <f t="shared" si="211"/>
        <v>100</v>
      </c>
      <c r="BA374">
        <f t="shared" si="212"/>
        <v>107</v>
      </c>
      <c r="BB374">
        <f t="shared" si="213"/>
        <v>117</v>
      </c>
      <c r="BC374">
        <f t="shared" si="214"/>
        <v>120</v>
      </c>
      <c r="BD374" s="29">
        <f t="shared" si="215"/>
        <v>128</v>
      </c>
      <c r="BE374" s="29">
        <f t="shared" si="216"/>
        <v>131</v>
      </c>
    </row>
    <row r="375" spans="1:57" ht="15" x14ac:dyDescent="0.2">
      <c r="A375" s="2">
        <v>90</v>
      </c>
      <c r="B375" s="2" t="str">
        <f t="shared" si="181"/>
        <v>0090</v>
      </c>
      <c r="C375" t="str">
        <f t="shared" si="182"/>
        <v>ORD-TK-0090-17/05/24</v>
      </c>
      <c r="D375" s="3" t="s">
        <v>163</v>
      </c>
      <c r="E375" t="str">
        <f t="shared" si="183"/>
        <v>SP002</v>
      </c>
      <c r="F375" t="str">
        <f>INDEX(Katalog!$B$4:$B$13,MATCH('Main Data'!E375,Katalog!$C$4:$C$13,0))</f>
        <v>Sandal Slip On</v>
      </c>
      <c r="G375" t="str">
        <f>VLOOKUP(E375,Katalog!$A$15:$B$25,2,0)</f>
        <v>Sepatu Pria</v>
      </c>
      <c r="H375" t="str">
        <f t="shared" si="184"/>
        <v>1</v>
      </c>
      <c r="I375" t="str">
        <f t="shared" si="185"/>
        <v>1</v>
      </c>
      <c r="J375" s="18">
        <f>VLOOKUP(E375,Katalog!$C$3:$F$13,2,0)</f>
        <v>120000</v>
      </c>
      <c r="K375" s="18">
        <f>VLOOKUP(E375,Katalog!$C$3:$F$13,3,0)</f>
        <v>60000</v>
      </c>
      <c r="L375" t="str">
        <f t="shared" si="186"/>
        <v>-</v>
      </c>
      <c r="M375" t="str">
        <f>IFERROR(INDEX(Katalog!$B$4:$B$13,MATCH('Main Data'!L375,Katalog!$C$4:$C$13,0)), "-")</f>
        <v>-</v>
      </c>
      <c r="N375" t="str">
        <f>IFERROR(VLOOKUP(L375,Katalog!$A$15:$B$25,2,0),"-")</f>
        <v>-</v>
      </c>
      <c r="O375">
        <f t="shared" si="187"/>
        <v>0</v>
      </c>
      <c r="P375" t="str">
        <f t="shared" si="188"/>
        <v>-</v>
      </c>
      <c r="Q375" s="18">
        <f>IFERROR(VLOOKUP(L375,Katalog!$C$3:$F$13,2,0),0)</f>
        <v>0</v>
      </c>
      <c r="R375" s="18">
        <f>IFERROR(VLOOKUP(L375,Katalog!$C$3:$F$13,3,0),0)</f>
        <v>0</v>
      </c>
      <c r="S375" t="str">
        <f t="shared" si="189"/>
        <v>-</v>
      </c>
      <c r="T375" t="str">
        <f>IFERROR(INDEX(Katalog!$B$4:$B$13,MATCH('Main Data'!S375,Katalog!$C$4:$C$13,0)),"-")</f>
        <v>-</v>
      </c>
      <c r="U375" t="str">
        <f>IFERROR(VLOOKUP(S375,Katalog!$A$15:$B$25,2,0),"-")</f>
        <v>-</v>
      </c>
      <c r="V375">
        <f t="shared" si="190"/>
        <v>0</v>
      </c>
      <c r="W375" s="28" t="str">
        <f t="shared" si="191"/>
        <v>-</v>
      </c>
      <c r="X375" s="18">
        <f>IFERROR(VLOOKUP(S375,Katalog!$C$3:$F$13,2,0),0)</f>
        <v>0</v>
      </c>
      <c r="Y375" s="30">
        <f>IFERROR(VLOOKUP(S375,Katalog!$C$3:$F$13,3,0),0)</f>
        <v>0</v>
      </c>
      <c r="Z375" s="2">
        <f t="shared" si="192"/>
        <v>1</v>
      </c>
      <c r="AA375" s="4">
        <f t="shared" si="193"/>
        <v>120000</v>
      </c>
      <c r="AB375" s="4">
        <f t="shared" si="194"/>
        <v>60000</v>
      </c>
      <c r="AC375" s="4" t="s">
        <v>29</v>
      </c>
      <c r="AD375" s="16">
        <f>IFERROR(VLOOKUP(AC375,'Kode Diskon'!$C$2:$D$9,2,0),0)</f>
        <v>0.1</v>
      </c>
      <c r="AE375" s="31">
        <f t="shared" si="195"/>
        <v>12000</v>
      </c>
      <c r="AF375" s="31">
        <f t="shared" si="196"/>
        <v>108000</v>
      </c>
      <c r="AG375" s="31">
        <f t="shared" si="197"/>
        <v>60000</v>
      </c>
      <c r="AH375" s="31">
        <f t="shared" si="198"/>
        <v>48000</v>
      </c>
      <c r="AI375" s="4" t="s">
        <v>28</v>
      </c>
      <c r="AJ375" s="4" t="s">
        <v>9</v>
      </c>
      <c r="AK375" s="4" t="str">
        <f>IFERROR(VLOOKUP(AJ375,'Guide '!$A$13:$B$16,2,0),"-")</f>
        <v>TK</v>
      </c>
      <c r="AL375" s="4" t="s">
        <v>925</v>
      </c>
      <c r="AM375" s="40">
        <v>45429</v>
      </c>
      <c r="AN375">
        <f t="shared" si="199"/>
        <v>29</v>
      </c>
      <c r="AO375">
        <f t="shared" si="200"/>
        <v>32</v>
      </c>
      <c r="AP375">
        <f t="shared" si="201"/>
        <v>40</v>
      </c>
      <c r="AQ375">
        <f t="shared" si="202"/>
        <v>43</v>
      </c>
      <c r="AR375" s="26" t="str">
        <f t="shared" si="203"/>
        <v>-</v>
      </c>
      <c r="AS375" s="26" t="str">
        <f t="shared" si="204"/>
        <v>-</v>
      </c>
      <c r="AT375" s="21">
        <f t="shared" si="205"/>
        <v>12</v>
      </c>
      <c r="AU375" s="21">
        <f t="shared" si="206"/>
        <v>19</v>
      </c>
      <c r="AV375" t="str">
        <f t="shared" si="207"/>
        <v>-</v>
      </c>
      <c r="AW375" t="str">
        <f t="shared" si="208"/>
        <v>-</v>
      </c>
      <c r="AX375" t="str">
        <f t="shared" si="209"/>
        <v>-</v>
      </c>
      <c r="AY375" t="str">
        <f t="shared" si="210"/>
        <v>-</v>
      </c>
      <c r="AZ375" t="str">
        <f t="shared" si="211"/>
        <v>-</v>
      </c>
      <c r="BA375" t="str">
        <f t="shared" si="212"/>
        <v>-</v>
      </c>
      <c r="BB375" t="str">
        <f t="shared" si="213"/>
        <v>-</v>
      </c>
      <c r="BC375" t="str">
        <f t="shared" si="214"/>
        <v>-</v>
      </c>
      <c r="BD375" s="29" t="str">
        <f t="shared" si="215"/>
        <v>-</v>
      </c>
      <c r="BE375" s="29" t="str">
        <f t="shared" si="216"/>
        <v>-</v>
      </c>
    </row>
    <row r="376" spans="1:57" ht="15" x14ac:dyDescent="0.2">
      <c r="A376" s="2">
        <v>93</v>
      </c>
      <c r="B376" s="2" t="str">
        <f t="shared" si="181"/>
        <v>0093</v>
      </c>
      <c r="C376" t="str">
        <f t="shared" si="182"/>
        <v>ORD-BB-0093-18/05/24</v>
      </c>
      <c r="D376" s="3" t="s">
        <v>165</v>
      </c>
      <c r="E376" t="str">
        <f t="shared" si="183"/>
        <v>PW003</v>
      </c>
      <c r="F376" t="str">
        <f>INDEX(Katalog!$B$4:$B$13,MATCH('Main Data'!E376,Katalog!$C$4:$C$13,0))</f>
        <v>Kaftan</v>
      </c>
      <c r="G376" t="str">
        <f>VLOOKUP(E376,Katalog!$A$15:$B$25,2,0)</f>
        <v>Pakaian Wanita</v>
      </c>
      <c r="H376" t="str">
        <f t="shared" si="184"/>
        <v>3</v>
      </c>
      <c r="I376" t="str">
        <f t="shared" si="185"/>
        <v>2</v>
      </c>
      <c r="J376" s="18">
        <f>VLOOKUP(E376,Katalog!$C$3:$F$13,2,0)</f>
        <v>200000</v>
      </c>
      <c r="K376" s="18">
        <f>VLOOKUP(E376,Katalog!$C$3:$F$13,3,0)</f>
        <v>100000</v>
      </c>
      <c r="L376" t="str">
        <f t="shared" si="186"/>
        <v>-</v>
      </c>
      <c r="M376" t="str">
        <f>IFERROR(INDEX(Katalog!$B$4:$B$13,MATCH('Main Data'!L376,Katalog!$C$4:$C$13,0)), "-")</f>
        <v>-</v>
      </c>
      <c r="N376" t="str">
        <f>IFERROR(VLOOKUP(L376,Katalog!$A$15:$B$25,2,0),"-")</f>
        <v>-</v>
      </c>
      <c r="O376">
        <f t="shared" si="187"/>
        <v>0</v>
      </c>
      <c r="P376" t="str">
        <f t="shared" si="188"/>
        <v>-</v>
      </c>
      <c r="Q376" s="18">
        <f>IFERROR(VLOOKUP(L376,Katalog!$C$3:$F$13,2,0),0)</f>
        <v>0</v>
      </c>
      <c r="R376" s="18">
        <f>IFERROR(VLOOKUP(L376,Katalog!$C$3:$F$13,3,0),0)</f>
        <v>0</v>
      </c>
      <c r="S376" t="str">
        <f t="shared" si="189"/>
        <v>-</v>
      </c>
      <c r="T376" t="str">
        <f>IFERROR(INDEX(Katalog!$B$4:$B$13,MATCH('Main Data'!S376,Katalog!$C$4:$C$13,0)),"-")</f>
        <v>-</v>
      </c>
      <c r="U376" t="str">
        <f>IFERROR(VLOOKUP(S376,Katalog!$A$15:$B$25,2,0),"-")</f>
        <v>-</v>
      </c>
      <c r="V376">
        <f t="shared" si="190"/>
        <v>0</v>
      </c>
      <c r="W376" s="28" t="str">
        <f t="shared" si="191"/>
        <v>-</v>
      </c>
      <c r="X376" s="18">
        <f>IFERROR(VLOOKUP(S376,Katalog!$C$3:$F$13,2,0),0)</f>
        <v>0</v>
      </c>
      <c r="Y376" s="30">
        <f>IFERROR(VLOOKUP(S376,Katalog!$C$3:$F$13,3,0),0)</f>
        <v>0</v>
      </c>
      <c r="Z376" s="2">
        <f t="shared" si="192"/>
        <v>3</v>
      </c>
      <c r="AA376" s="4">
        <f t="shared" si="193"/>
        <v>600000</v>
      </c>
      <c r="AB376" s="4">
        <f t="shared" si="194"/>
        <v>300000</v>
      </c>
      <c r="AC376" s="4" t="s">
        <v>27</v>
      </c>
      <c r="AD376" s="16">
        <f>IFERROR(VLOOKUP(AC376,'Kode Diskon'!$C$2:$D$9,2,0),0)</f>
        <v>0.15</v>
      </c>
      <c r="AE376" s="31">
        <f t="shared" si="195"/>
        <v>90000</v>
      </c>
      <c r="AF376" s="31">
        <f t="shared" si="196"/>
        <v>510000</v>
      </c>
      <c r="AG376" s="31">
        <f t="shared" si="197"/>
        <v>300000</v>
      </c>
      <c r="AH376" s="31">
        <f t="shared" si="198"/>
        <v>210000</v>
      </c>
      <c r="AI376" s="4" t="s">
        <v>28</v>
      </c>
      <c r="AJ376" s="4" t="s">
        <v>13</v>
      </c>
      <c r="AK376" s="4" t="str">
        <f>IFERROR(VLOOKUP(AJ376,'Guide '!$A$13:$B$16,2,0),"-")</f>
        <v>BB</v>
      </c>
      <c r="AL376" s="4" t="s">
        <v>925</v>
      </c>
      <c r="AM376" s="40">
        <v>45430</v>
      </c>
      <c r="AN376">
        <f t="shared" si="199"/>
        <v>29</v>
      </c>
      <c r="AO376">
        <f t="shared" si="200"/>
        <v>32</v>
      </c>
      <c r="AP376">
        <f t="shared" si="201"/>
        <v>40</v>
      </c>
      <c r="AQ376">
        <f t="shared" si="202"/>
        <v>43</v>
      </c>
      <c r="AR376" s="26" t="str">
        <f t="shared" si="203"/>
        <v>-</v>
      </c>
      <c r="AS376" s="26" t="str">
        <f t="shared" si="204"/>
        <v>-</v>
      </c>
      <c r="AT376" s="21">
        <f t="shared" si="205"/>
        <v>12</v>
      </c>
      <c r="AU376" s="21">
        <f t="shared" si="206"/>
        <v>19</v>
      </c>
      <c r="AV376" t="str">
        <f t="shared" si="207"/>
        <v>-</v>
      </c>
      <c r="AW376" t="str">
        <f t="shared" si="208"/>
        <v>-</v>
      </c>
      <c r="AX376" t="str">
        <f t="shared" si="209"/>
        <v>-</v>
      </c>
      <c r="AY376" t="str">
        <f t="shared" si="210"/>
        <v>-</v>
      </c>
      <c r="AZ376" t="str">
        <f t="shared" si="211"/>
        <v>-</v>
      </c>
      <c r="BA376" t="str">
        <f t="shared" si="212"/>
        <v>-</v>
      </c>
      <c r="BB376" t="str">
        <f t="shared" si="213"/>
        <v>-</v>
      </c>
      <c r="BC376" t="str">
        <f t="shared" si="214"/>
        <v>-</v>
      </c>
      <c r="BD376" s="29" t="str">
        <f t="shared" si="215"/>
        <v>-</v>
      </c>
      <c r="BE376" s="29" t="str">
        <f t="shared" si="216"/>
        <v>-</v>
      </c>
    </row>
    <row r="377" spans="1:57" ht="15" x14ac:dyDescent="0.2">
      <c r="A377" s="2">
        <v>217</v>
      </c>
      <c r="B377" s="2" t="str">
        <f t="shared" si="181"/>
        <v>0217</v>
      </c>
      <c r="C377" t="str">
        <f t="shared" si="182"/>
        <v>ORD-SP-0217-18/05/24</v>
      </c>
      <c r="D377" s="3" t="s">
        <v>285</v>
      </c>
      <c r="E377" t="str">
        <f t="shared" si="183"/>
        <v>PU001</v>
      </c>
      <c r="F377" t="str">
        <f>INDEX(Katalog!$B$4:$B$13,MATCH('Main Data'!E377,Katalog!$C$4:$C$13,0))</f>
        <v>Jaket Hoodie</v>
      </c>
      <c r="G377" t="str">
        <f>VLOOKUP(E377,Katalog!$A$15:$B$25,2,0)</f>
        <v>Pakaian Unisex</v>
      </c>
      <c r="H377" t="str">
        <f t="shared" si="184"/>
        <v>1</v>
      </c>
      <c r="I377" t="str">
        <f t="shared" si="185"/>
        <v>3</v>
      </c>
      <c r="J377" s="18">
        <f>VLOOKUP(E377,Katalog!$C$3:$F$13,2,0)</f>
        <v>160000</v>
      </c>
      <c r="K377" s="18">
        <f>VLOOKUP(E377,Katalog!$C$3:$F$13,3,0)</f>
        <v>60000</v>
      </c>
      <c r="L377" t="str">
        <f t="shared" si="186"/>
        <v>-</v>
      </c>
      <c r="M377" t="str">
        <f>IFERROR(INDEX(Katalog!$B$4:$B$13,MATCH('Main Data'!L377,Katalog!$C$4:$C$13,0)), "-")</f>
        <v>-</v>
      </c>
      <c r="N377" t="str">
        <f>IFERROR(VLOOKUP(L377,Katalog!$A$15:$B$25,2,0),"-")</f>
        <v>-</v>
      </c>
      <c r="O377">
        <f t="shared" si="187"/>
        <v>0</v>
      </c>
      <c r="P377" t="str">
        <f t="shared" si="188"/>
        <v>-</v>
      </c>
      <c r="Q377" s="18">
        <f>IFERROR(VLOOKUP(L377,Katalog!$C$3:$F$13,2,0),0)</f>
        <v>0</v>
      </c>
      <c r="R377" s="18">
        <f>IFERROR(VLOOKUP(L377,Katalog!$C$3:$F$13,3,0),0)</f>
        <v>0</v>
      </c>
      <c r="S377" t="str">
        <f t="shared" si="189"/>
        <v>-</v>
      </c>
      <c r="T377" t="str">
        <f>IFERROR(INDEX(Katalog!$B$4:$B$13,MATCH('Main Data'!S377,Katalog!$C$4:$C$13,0)),"-")</f>
        <v>-</v>
      </c>
      <c r="U377" t="str">
        <f>IFERROR(VLOOKUP(S377,Katalog!$A$15:$B$25,2,0),"-")</f>
        <v>-</v>
      </c>
      <c r="V377">
        <f t="shared" si="190"/>
        <v>0</v>
      </c>
      <c r="W377" s="28" t="str">
        <f t="shared" si="191"/>
        <v>-</v>
      </c>
      <c r="X377" s="18">
        <f>IFERROR(VLOOKUP(S377,Katalog!$C$3:$F$13,2,0),0)</f>
        <v>0</v>
      </c>
      <c r="Y377" s="30">
        <f>IFERROR(VLOOKUP(S377,Katalog!$C$3:$F$13,3,0),0)</f>
        <v>0</v>
      </c>
      <c r="Z377" s="2">
        <f t="shared" si="192"/>
        <v>1</v>
      </c>
      <c r="AA377" s="4">
        <f t="shared" si="193"/>
        <v>160000</v>
      </c>
      <c r="AB377" s="4">
        <f t="shared" si="194"/>
        <v>60000</v>
      </c>
      <c r="AC377" s="4" t="s">
        <v>7</v>
      </c>
      <c r="AD377" s="16">
        <f>IFERROR(VLOOKUP(AC377,'Kode Diskon'!$C$2:$D$9,2,0),0)</f>
        <v>0.2</v>
      </c>
      <c r="AE377" s="31">
        <f t="shared" si="195"/>
        <v>32000</v>
      </c>
      <c r="AF377" s="31">
        <f t="shared" si="196"/>
        <v>128000</v>
      </c>
      <c r="AG377" s="31">
        <f t="shared" si="197"/>
        <v>100000</v>
      </c>
      <c r="AH377" s="31">
        <f t="shared" si="198"/>
        <v>68000</v>
      </c>
      <c r="AI377" s="4" t="s">
        <v>8</v>
      </c>
      <c r="AJ377" s="4" t="s">
        <v>6</v>
      </c>
      <c r="AK377" s="4" t="str">
        <f>IFERROR(VLOOKUP(AJ377,'Guide '!$A$13:$B$16,2,0),"-")</f>
        <v>SP</v>
      </c>
      <c r="AL377" s="4" t="s">
        <v>1006</v>
      </c>
      <c r="AM377" s="40">
        <v>45430</v>
      </c>
      <c r="AN377">
        <f t="shared" si="199"/>
        <v>29</v>
      </c>
      <c r="AO377">
        <f t="shared" si="200"/>
        <v>32</v>
      </c>
      <c r="AP377">
        <f t="shared" si="201"/>
        <v>40</v>
      </c>
      <c r="AQ377">
        <f t="shared" si="202"/>
        <v>43</v>
      </c>
      <c r="AR377" s="26" t="str">
        <f t="shared" si="203"/>
        <v>-</v>
      </c>
      <c r="AS377" s="26" t="str">
        <f t="shared" si="204"/>
        <v>-</v>
      </c>
      <c r="AT377" s="21">
        <f t="shared" si="205"/>
        <v>12</v>
      </c>
      <c r="AU377" s="21">
        <f t="shared" si="206"/>
        <v>19</v>
      </c>
      <c r="AV377" t="str">
        <f t="shared" si="207"/>
        <v>-</v>
      </c>
      <c r="AW377" t="str">
        <f t="shared" si="208"/>
        <v>-</v>
      </c>
      <c r="AX377" t="str">
        <f t="shared" si="209"/>
        <v>-</v>
      </c>
      <c r="AY377" t="str">
        <f t="shared" si="210"/>
        <v>-</v>
      </c>
      <c r="AZ377" t="str">
        <f t="shared" si="211"/>
        <v>-</v>
      </c>
      <c r="BA377" t="str">
        <f t="shared" si="212"/>
        <v>-</v>
      </c>
      <c r="BB377" t="str">
        <f t="shared" si="213"/>
        <v>-</v>
      </c>
      <c r="BC377" t="str">
        <f t="shared" si="214"/>
        <v>-</v>
      </c>
      <c r="BD377" s="29" t="str">
        <f t="shared" si="215"/>
        <v>-</v>
      </c>
      <c r="BE377" s="29" t="str">
        <f t="shared" si="216"/>
        <v>-</v>
      </c>
    </row>
    <row r="378" spans="1:57" ht="15" x14ac:dyDescent="0.2">
      <c r="A378" s="2">
        <v>678</v>
      </c>
      <c r="B378" s="2" t="str">
        <f t="shared" si="181"/>
        <v>0678</v>
      </c>
      <c r="C378" t="str">
        <f t="shared" si="182"/>
        <v>ORD-BB-0678-18/05/24</v>
      </c>
      <c r="D378" s="3" t="s">
        <v>675</v>
      </c>
      <c r="E378" t="str">
        <f t="shared" si="183"/>
        <v>SP002</v>
      </c>
      <c r="F378" t="str">
        <f>INDEX(Katalog!$B$4:$B$13,MATCH('Main Data'!E378,Katalog!$C$4:$C$13,0))</f>
        <v>Sandal Slip On</v>
      </c>
      <c r="G378" t="str">
        <f>VLOOKUP(E378,Katalog!$A$15:$B$25,2,0)</f>
        <v>Sepatu Pria</v>
      </c>
      <c r="H378" t="str">
        <f t="shared" si="184"/>
        <v>3</v>
      </c>
      <c r="I378" t="str">
        <f t="shared" si="185"/>
        <v>5</v>
      </c>
      <c r="J378" s="18">
        <f>VLOOKUP(E378,Katalog!$C$3:$F$13,2,0)</f>
        <v>120000</v>
      </c>
      <c r="K378" s="18">
        <f>VLOOKUP(E378,Katalog!$C$3:$F$13,3,0)</f>
        <v>60000</v>
      </c>
      <c r="L378" t="str">
        <f t="shared" si="186"/>
        <v>PP003</v>
      </c>
      <c r="M378" t="str">
        <f>IFERROR(INDEX(Katalog!$B$4:$B$13,MATCH('Main Data'!L378,Katalog!$C$4:$C$13,0)), "-")</f>
        <v>Jaket Jeans</v>
      </c>
      <c r="N378" t="str">
        <f>IFERROR(VLOOKUP(L378,Katalog!$A$15:$B$25,2,0),"-")</f>
        <v>Pakaian Pria</v>
      </c>
      <c r="O378" t="str">
        <f t="shared" si="187"/>
        <v>2</v>
      </c>
      <c r="P378" t="str">
        <f t="shared" si="188"/>
        <v>2</v>
      </c>
      <c r="Q378" s="18">
        <f>IFERROR(VLOOKUP(L378,Katalog!$C$3:$F$13,2,0),0)</f>
        <v>150000</v>
      </c>
      <c r="R378" s="18">
        <f>IFERROR(VLOOKUP(L378,Katalog!$C$3:$F$13,3,0),0)</f>
        <v>70000</v>
      </c>
      <c r="S378" t="str">
        <f t="shared" si="189"/>
        <v>SP001</v>
      </c>
      <c r="T378" t="str">
        <f>IFERROR(INDEX(Katalog!$B$4:$B$13,MATCH('Main Data'!S378,Katalog!$C$4:$C$13,0)),"-")</f>
        <v>Sneakers</v>
      </c>
      <c r="U378" t="str">
        <f>IFERROR(VLOOKUP(S378,Katalog!$A$15:$B$25,2,0),"-")</f>
        <v>Sepatu Pria</v>
      </c>
      <c r="V378" t="str">
        <f t="shared" si="190"/>
        <v>1</v>
      </c>
      <c r="W378" s="28" t="str">
        <f t="shared" si="191"/>
        <v>1</v>
      </c>
      <c r="X378" s="18">
        <f>IFERROR(VLOOKUP(S378,Katalog!$C$3:$F$13,2,0),0)</f>
        <v>300000</v>
      </c>
      <c r="Y378" s="30">
        <f>IFERROR(VLOOKUP(S378,Katalog!$C$3:$F$13,3,0),0)</f>
        <v>100000</v>
      </c>
      <c r="Z378" s="2">
        <f t="shared" si="192"/>
        <v>6</v>
      </c>
      <c r="AA378" s="4">
        <f t="shared" si="193"/>
        <v>960000</v>
      </c>
      <c r="AB378" s="4">
        <f t="shared" si="194"/>
        <v>420000</v>
      </c>
      <c r="AC378" s="4" t="s">
        <v>27</v>
      </c>
      <c r="AD378" s="16">
        <f>IFERROR(VLOOKUP(AC378,'Kode Diskon'!$C$2:$D$9,2,0),0)</f>
        <v>0.15</v>
      </c>
      <c r="AE378" s="31">
        <f t="shared" si="195"/>
        <v>144000</v>
      </c>
      <c r="AF378" s="31">
        <f t="shared" si="196"/>
        <v>816000</v>
      </c>
      <c r="AG378" s="31">
        <f t="shared" si="197"/>
        <v>540000</v>
      </c>
      <c r="AH378" s="31">
        <f t="shared" si="198"/>
        <v>396000</v>
      </c>
      <c r="AI378" s="4" t="s">
        <v>28</v>
      </c>
      <c r="AJ378" s="4" t="s">
        <v>13</v>
      </c>
      <c r="AK378" s="4" t="str">
        <f>IFERROR(VLOOKUP(AJ378,'Guide '!$A$13:$B$16,2,0),"-")</f>
        <v>BB</v>
      </c>
      <c r="AL378" s="4" t="s">
        <v>923</v>
      </c>
      <c r="AM378" s="40">
        <v>45430</v>
      </c>
      <c r="AN378">
        <f t="shared" si="199"/>
        <v>29</v>
      </c>
      <c r="AO378">
        <f t="shared" si="200"/>
        <v>32</v>
      </c>
      <c r="AP378">
        <f t="shared" si="201"/>
        <v>40</v>
      </c>
      <c r="AQ378">
        <f t="shared" si="202"/>
        <v>43</v>
      </c>
      <c r="AR378" s="26">
        <f t="shared" si="203"/>
        <v>56</v>
      </c>
      <c r="AS378" s="26">
        <f t="shared" si="204"/>
        <v>63</v>
      </c>
      <c r="AT378" s="21">
        <f t="shared" si="205"/>
        <v>12</v>
      </c>
      <c r="AU378" s="21">
        <f t="shared" si="206"/>
        <v>19</v>
      </c>
      <c r="AV378">
        <f t="shared" si="207"/>
        <v>73</v>
      </c>
      <c r="AW378">
        <f t="shared" si="208"/>
        <v>76</v>
      </c>
      <c r="AX378">
        <f t="shared" si="209"/>
        <v>84</v>
      </c>
      <c r="AY378">
        <f t="shared" si="210"/>
        <v>87</v>
      </c>
      <c r="AZ378">
        <f t="shared" si="211"/>
        <v>100</v>
      </c>
      <c r="BA378">
        <f t="shared" si="212"/>
        <v>107</v>
      </c>
      <c r="BB378">
        <f t="shared" si="213"/>
        <v>117</v>
      </c>
      <c r="BC378">
        <f t="shared" si="214"/>
        <v>120</v>
      </c>
      <c r="BD378" s="29">
        <f t="shared" si="215"/>
        <v>128</v>
      </c>
      <c r="BE378" s="29">
        <f t="shared" si="216"/>
        <v>131</v>
      </c>
    </row>
    <row r="379" spans="1:57" ht="15" x14ac:dyDescent="0.2">
      <c r="A379" s="2">
        <v>695</v>
      </c>
      <c r="B379" s="2" t="str">
        <f t="shared" si="181"/>
        <v>0695</v>
      </c>
      <c r="C379" t="str">
        <f t="shared" si="182"/>
        <v>ORD-BB-0695-18/05/24</v>
      </c>
      <c r="D379" s="3" t="s">
        <v>690</v>
      </c>
      <c r="E379" t="str">
        <f t="shared" si="183"/>
        <v>PP003</v>
      </c>
      <c r="F379" t="str">
        <f>INDEX(Katalog!$B$4:$B$13,MATCH('Main Data'!E379,Katalog!$C$4:$C$13,0))</f>
        <v>Jaket Jeans</v>
      </c>
      <c r="G379" t="str">
        <f>VLOOKUP(E379,Katalog!$A$15:$B$25,2,0)</f>
        <v>Pakaian Pria</v>
      </c>
      <c r="H379" t="str">
        <f t="shared" si="184"/>
        <v>1</v>
      </c>
      <c r="I379" t="str">
        <f t="shared" si="185"/>
        <v>5</v>
      </c>
      <c r="J379" s="18">
        <f>VLOOKUP(E379,Katalog!$C$3:$F$13,2,0)</f>
        <v>150000</v>
      </c>
      <c r="K379" s="18">
        <f>VLOOKUP(E379,Katalog!$C$3:$F$13,3,0)</f>
        <v>70000</v>
      </c>
      <c r="L379" t="str">
        <f t="shared" si="186"/>
        <v>SP002</v>
      </c>
      <c r="M379" t="str">
        <f>IFERROR(INDEX(Katalog!$B$4:$B$13,MATCH('Main Data'!L379,Katalog!$C$4:$C$13,0)), "-")</f>
        <v>Sandal Slip On</v>
      </c>
      <c r="N379" t="str">
        <f>IFERROR(VLOOKUP(L379,Katalog!$A$15:$B$25,2,0),"-")</f>
        <v>Sepatu Pria</v>
      </c>
      <c r="O379" t="str">
        <f t="shared" si="187"/>
        <v>1</v>
      </c>
      <c r="P379" t="str">
        <f t="shared" si="188"/>
        <v>4</v>
      </c>
      <c r="Q379" s="18">
        <f>IFERROR(VLOOKUP(L379,Katalog!$C$3:$F$13,2,0),0)</f>
        <v>120000</v>
      </c>
      <c r="R379" s="18">
        <f>IFERROR(VLOOKUP(L379,Katalog!$C$3:$F$13,3,0),0)</f>
        <v>60000</v>
      </c>
      <c r="S379" t="str">
        <f t="shared" si="189"/>
        <v>-</v>
      </c>
      <c r="T379" t="str">
        <f>IFERROR(INDEX(Katalog!$B$4:$B$13,MATCH('Main Data'!S379,Katalog!$C$4:$C$13,0)),"-")</f>
        <v>-</v>
      </c>
      <c r="U379" t="str">
        <f>IFERROR(VLOOKUP(S379,Katalog!$A$15:$B$25,2,0),"-")</f>
        <v>-</v>
      </c>
      <c r="V379">
        <f t="shared" si="190"/>
        <v>0</v>
      </c>
      <c r="W379" s="28" t="str">
        <f t="shared" si="191"/>
        <v>-</v>
      </c>
      <c r="X379" s="18">
        <f>IFERROR(VLOOKUP(S379,Katalog!$C$3:$F$13,2,0),0)</f>
        <v>0</v>
      </c>
      <c r="Y379" s="30">
        <f>IFERROR(VLOOKUP(S379,Katalog!$C$3:$F$13,3,0),0)</f>
        <v>0</v>
      </c>
      <c r="Z379" s="2">
        <f t="shared" si="192"/>
        <v>2</v>
      </c>
      <c r="AA379" s="4">
        <f t="shared" si="193"/>
        <v>270000</v>
      </c>
      <c r="AB379" s="4">
        <f t="shared" si="194"/>
        <v>130000</v>
      </c>
      <c r="AC379" s="4" t="s">
        <v>10</v>
      </c>
      <c r="AD379" s="16">
        <f>IFERROR(VLOOKUP(AC379,'Kode Diskon'!$C$2:$D$9,2,0),0)</f>
        <v>0</v>
      </c>
      <c r="AE379" s="31">
        <f t="shared" si="195"/>
        <v>0</v>
      </c>
      <c r="AF379" s="31">
        <f t="shared" si="196"/>
        <v>270000</v>
      </c>
      <c r="AG379" s="31">
        <f t="shared" si="197"/>
        <v>140000</v>
      </c>
      <c r="AH379" s="31">
        <f t="shared" si="198"/>
        <v>140000</v>
      </c>
      <c r="AI379" s="4" t="s">
        <v>10</v>
      </c>
      <c r="AJ379" s="4" t="s">
        <v>13</v>
      </c>
      <c r="AK379" s="4" t="str">
        <f>IFERROR(VLOOKUP(AJ379,'Guide '!$A$13:$B$16,2,0),"-")</f>
        <v>BB</v>
      </c>
      <c r="AL379" s="4" t="s">
        <v>1006</v>
      </c>
      <c r="AM379" s="40">
        <v>45430</v>
      </c>
      <c r="AN379">
        <f t="shared" si="199"/>
        <v>29</v>
      </c>
      <c r="AO379">
        <f t="shared" si="200"/>
        <v>32</v>
      </c>
      <c r="AP379">
        <f t="shared" si="201"/>
        <v>40</v>
      </c>
      <c r="AQ379">
        <f t="shared" si="202"/>
        <v>43</v>
      </c>
      <c r="AR379" s="26">
        <f t="shared" si="203"/>
        <v>56</v>
      </c>
      <c r="AS379" s="26">
        <f t="shared" si="204"/>
        <v>63</v>
      </c>
      <c r="AT379" s="21">
        <f t="shared" si="205"/>
        <v>12</v>
      </c>
      <c r="AU379" s="21">
        <f t="shared" si="206"/>
        <v>19</v>
      </c>
      <c r="AV379">
        <f t="shared" si="207"/>
        <v>73</v>
      </c>
      <c r="AW379">
        <f t="shared" si="208"/>
        <v>76</v>
      </c>
      <c r="AX379">
        <f t="shared" si="209"/>
        <v>84</v>
      </c>
      <c r="AY379">
        <f t="shared" si="210"/>
        <v>87</v>
      </c>
      <c r="AZ379" t="str">
        <f t="shared" si="211"/>
        <v>-</v>
      </c>
      <c r="BA379" t="str">
        <f t="shared" si="212"/>
        <v>-</v>
      </c>
      <c r="BB379" t="str">
        <f t="shared" si="213"/>
        <v>-</v>
      </c>
      <c r="BC379" t="str">
        <f t="shared" si="214"/>
        <v>-</v>
      </c>
      <c r="BD379" s="29" t="str">
        <f t="shared" si="215"/>
        <v>-</v>
      </c>
      <c r="BE379" s="29" t="str">
        <f t="shared" si="216"/>
        <v>-</v>
      </c>
    </row>
    <row r="380" spans="1:57" ht="15" x14ac:dyDescent="0.2">
      <c r="A380" s="2">
        <v>244</v>
      </c>
      <c r="B380" s="2" t="str">
        <f t="shared" si="181"/>
        <v>0244</v>
      </c>
      <c r="C380" t="str">
        <f t="shared" si="182"/>
        <v>ORD-TK-0244-19/05/24</v>
      </c>
      <c r="D380" s="3" t="s">
        <v>309</v>
      </c>
      <c r="E380" t="str">
        <f t="shared" si="183"/>
        <v>PW001</v>
      </c>
      <c r="F380" t="str">
        <f>INDEX(Katalog!$B$4:$B$13,MATCH('Main Data'!E380,Katalog!$C$4:$C$13,0))</f>
        <v>Dress</v>
      </c>
      <c r="G380" t="str">
        <f>VLOOKUP(E380,Katalog!$A$15:$B$25,2,0)</f>
        <v>Pakaian Wanita</v>
      </c>
      <c r="H380" t="str">
        <f t="shared" si="184"/>
        <v>2</v>
      </c>
      <c r="I380" t="str">
        <f t="shared" si="185"/>
        <v>4</v>
      </c>
      <c r="J380" s="18">
        <f>VLOOKUP(E380,Katalog!$C$3:$F$13,2,0)</f>
        <v>150000</v>
      </c>
      <c r="K380" s="18">
        <f>VLOOKUP(E380,Katalog!$C$3:$F$13,3,0)</f>
        <v>55000</v>
      </c>
      <c r="L380" t="str">
        <f t="shared" si="186"/>
        <v>SP002</v>
      </c>
      <c r="M380" t="str">
        <f>IFERROR(INDEX(Katalog!$B$4:$B$13,MATCH('Main Data'!L380,Katalog!$C$4:$C$13,0)), "-")</f>
        <v>Sandal Slip On</v>
      </c>
      <c r="N380" t="str">
        <f>IFERROR(VLOOKUP(L380,Katalog!$A$15:$B$25,2,0),"-")</f>
        <v>Sepatu Pria</v>
      </c>
      <c r="O380" t="str">
        <f t="shared" si="187"/>
        <v>1</v>
      </c>
      <c r="P380" t="str">
        <f t="shared" si="188"/>
        <v>3</v>
      </c>
      <c r="Q380" s="18">
        <f>IFERROR(VLOOKUP(L380,Katalog!$C$3:$F$13,2,0),0)</f>
        <v>120000</v>
      </c>
      <c r="R380" s="18">
        <f>IFERROR(VLOOKUP(L380,Katalog!$C$3:$F$13,3,0),0)</f>
        <v>60000</v>
      </c>
      <c r="S380" t="str">
        <f t="shared" si="189"/>
        <v>-</v>
      </c>
      <c r="T380" t="str">
        <f>IFERROR(INDEX(Katalog!$B$4:$B$13,MATCH('Main Data'!S380,Katalog!$C$4:$C$13,0)),"-")</f>
        <v>-</v>
      </c>
      <c r="U380" t="str">
        <f>IFERROR(VLOOKUP(S380,Katalog!$A$15:$B$25,2,0),"-")</f>
        <v>-</v>
      </c>
      <c r="V380">
        <f t="shared" si="190"/>
        <v>0</v>
      </c>
      <c r="W380" s="28" t="str">
        <f t="shared" si="191"/>
        <v>-</v>
      </c>
      <c r="X380" s="18">
        <f>IFERROR(VLOOKUP(S380,Katalog!$C$3:$F$13,2,0),0)</f>
        <v>0</v>
      </c>
      <c r="Y380" s="30">
        <f>IFERROR(VLOOKUP(S380,Katalog!$C$3:$F$13,3,0),0)</f>
        <v>0</v>
      </c>
      <c r="Z380" s="2">
        <f t="shared" si="192"/>
        <v>3</v>
      </c>
      <c r="AA380" s="4">
        <f t="shared" si="193"/>
        <v>420000</v>
      </c>
      <c r="AB380" s="4">
        <f t="shared" si="194"/>
        <v>170000</v>
      </c>
      <c r="AC380" s="4" t="s">
        <v>30</v>
      </c>
      <c r="AD380" s="16">
        <f>IFERROR(VLOOKUP(AC380,'Kode Diskon'!$C$2:$D$9,2,0),0)</f>
        <v>0.1</v>
      </c>
      <c r="AE380" s="31">
        <f t="shared" si="195"/>
        <v>42000</v>
      </c>
      <c r="AF380" s="31">
        <f t="shared" si="196"/>
        <v>378000</v>
      </c>
      <c r="AG380" s="31">
        <f t="shared" si="197"/>
        <v>250000</v>
      </c>
      <c r="AH380" s="31">
        <f t="shared" si="198"/>
        <v>208000</v>
      </c>
      <c r="AI380" s="4" t="s">
        <v>8</v>
      </c>
      <c r="AJ380" s="4" t="s">
        <v>9</v>
      </c>
      <c r="AK380" s="4" t="str">
        <f>IFERROR(VLOOKUP(AJ380,'Guide '!$A$13:$B$16,2,0),"-")</f>
        <v>TK</v>
      </c>
      <c r="AL380" s="4" t="s">
        <v>924</v>
      </c>
      <c r="AM380" s="40">
        <v>45431</v>
      </c>
      <c r="AN380">
        <f t="shared" si="199"/>
        <v>29</v>
      </c>
      <c r="AO380">
        <f t="shared" si="200"/>
        <v>32</v>
      </c>
      <c r="AP380">
        <f t="shared" si="201"/>
        <v>40</v>
      </c>
      <c r="AQ380">
        <f t="shared" si="202"/>
        <v>43</v>
      </c>
      <c r="AR380" s="26">
        <f t="shared" si="203"/>
        <v>56</v>
      </c>
      <c r="AS380" s="26">
        <f t="shared" si="204"/>
        <v>63</v>
      </c>
      <c r="AT380" s="21">
        <f t="shared" si="205"/>
        <v>12</v>
      </c>
      <c r="AU380" s="21">
        <f t="shared" si="206"/>
        <v>19</v>
      </c>
      <c r="AV380">
        <f t="shared" si="207"/>
        <v>73</v>
      </c>
      <c r="AW380">
        <f t="shared" si="208"/>
        <v>76</v>
      </c>
      <c r="AX380">
        <f t="shared" si="209"/>
        <v>84</v>
      </c>
      <c r="AY380">
        <f t="shared" si="210"/>
        <v>87</v>
      </c>
      <c r="AZ380" t="str">
        <f t="shared" si="211"/>
        <v>-</v>
      </c>
      <c r="BA380" t="str">
        <f t="shared" si="212"/>
        <v>-</v>
      </c>
      <c r="BB380" t="str">
        <f t="shared" si="213"/>
        <v>-</v>
      </c>
      <c r="BC380" t="str">
        <f t="shared" si="214"/>
        <v>-</v>
      </c>
      <c r="BD380" s="29" t="str">
        <f t="shared" si="215"/>
        <v>-</v>
      </c>
      <c r="BE380" s="29" t="str">
        <f t="shared" si="216"/>
        <v>-</v>
      </c>
    </row>
    <row r="381" spans="1:57" ht="15" x14ac:dyDescent="0.2">
      <c r="A381" s="2">
        <v>523</v>
      </c>
      <c r="B381" s="2" t="str">
        <f t="shared" si="181"/>
        <v>0523</v>
      </c>
      <c r="C381" t="str">
        <f t="shared" si="182"/>
        <v>ORD-SP-0523-19/05/24</v>
      </c>
      <c r="D381" s="3" t="s">
        <v>551</v>
      </c>
      <c r="E381" t="str">
        <f t="shared" si="183"/>
        <v>PP002</v>
      </c>
      <c r="F381" t="str">
        <f>INDEX(Katalog!$B$4:$B$13,MATCH('Main Data'!E381,Katalog!$C$4:$C$13,0))</f>
        <v>Celana Pendek</v>
      </c>
      <c r="G381" t="str">
        <f>VLOOKUP(E381,Katalog!$A$15:$B$25,2,0)</f>
        <v>Pakaian Pria</v>
      </c>
      <c r="H381" t="str">
        <f t="shared" si="184"/>
        <v>1</v>
      </c>
      <c r="I381" t="str">
        <f t="shared" si="185"/>
        <v>4</v>
      </c>
      <c r="J381" s="18">
        <f>VLOOKUP(E381,Katalog!$C$3:$F$13,2,0)</f>
        <v>60000</v>
      </c>
      <c r="K381" s="18">
        <f>VLOOKUP(E381,Katalog!$C$3:$F$13,3,0)</f>
        <v>25000</v>
      </c>
      <c r="L381" t="str">
        <f t="shared" si="186"/>
        <v>PW001</v>
      </c>
      <c r="M381" t="str">
        <f>IFERROR(INDEX(Katalog!$B$4:$B$13,MATCH('Main Data'!L381,Katalog!$C$4:$C$13,0)), "-")</f>
        <v>Dress</v>
      </c>
      <c r="N381" t="str">
        <f>IFERROR(VLOOKUP(L381,Katalog!$A$15:$B$25,2,0),"-")</f>
        <v>Pakaian Wanita</v>
      </c>
      <c r="O381" t="str">
        <f t="shared" si="187"/>
        <v>1</v>
      </c>
      <c r="P381" t="str">
        <f t="shared" si="188"/>
        <v>3</v>
      </c>
      <c r="Q381" s="18">
        <f>IFERROR(VLOOKUP(L381,Katalog!$C$3:$F$13,2,0),0)</f>
        <v>150000</v>
      </c>
      <c r="R381" s="18">
        <f>IFERROR(VLOOKUP(L381,Katalog!$C$3:$F$13,3,0),0)</f>
        <v>55000</v>
      </c>
      <c r="S381" t="str">
        <f t="shared" si="189"/>
        <v>-</v>
      </c>
      <c r="T381" t="str">
        <f>IFERROR(INDEX(Katalog!$B$4:$B$13,MATCH('Main Data'!S381,Katalog!$C$4:$C$13,0)),"-")</f>
        <v>-</v>
      </c>
      <c r="U381" t="str">
        <f>IFERROR(VLOOKUP(S381,Katalog!$A$15:$B$25,2,0),"-")</f>
        <v>-</v>
      </c>
      <c r="V381">
        <f t="shared" si="190"/>
        <v>0</v>
      </c>
      <c r="W381" s="28" t="str">
        <f t="shared" si="191"/>
        <v>-</v>
      </c>
      <c r="X381" s="18">
        <f>IFERROR(VLOOKUP(S381,Katalog!$C$3:$F$13,2,0),0)</f>
        <v>0</v>
      </c>
      <c r="Y381" s="30">
        <f>IFERROR(VLOOKUP(S381,Katalog!$C$3:$F$13,3,0),0)</f>
        <v>0</v>
      </c>
      <c r="Z381" s="2">
        <f t="shared" si="192"/>
        <v>2</v>
      </c>
      <c r="AA381" s="4">
        <f t="shared" si="193"/>
        <v>210000</v>
      </c>
      <c r="AB381" s="4">
        <f t="shared" si="194"/>
        <v>80000</v>
      </c>
      <c r="AC381" s="4" t="s">
        <v>10</v>
      </c>
      <c r="AD381" s="16">
        <f>IFERROR(VLOOKUP(AC381,'Kode Diskon'!$C$2:$D$9,2,0),0)</f>
        <v>0</v>
      </c>
      <c r="AE381" s="31">
        <f t="shared" si="195"/>
        <v>0</v>
      </c>
      <c r="AF381" s="31">
        <f t="shared" si="196"/>
        <v>210000</v>
      </c>
      <c r="AG381" s="31">
        <f t="shared" si="197"/>
        <v>130000</v>
      </c>
      <c r="AH381" s="31">
        <f t="shared" si="198"/>
        <v>130000</v>
      </c>
      <c r="AI381" s="4" t="s">
        <v>10</v>
      </c>
      <c r="AJ381" s="4" t="s">
        <v>6</v>
      </c>
      <c r="AK381" s="4" t="str">
        <f>IFERROR(VLOOKUP(AJ381,'Guide '!$A$13:$B$16,2,0),"-")</f>
        <v>SP</v>
      </c>
      <c r="AL381" s="4" t="s">
        <v>922</v>
      </c>
      <c r="AM381" s="40">
        <v>45431</v>
      </c>
      <c r="AN381">
        <f t="shared" si="199"/>
        <v>29</v>
      </c>
      <c r="AO381">
        <f t="shared" si="200"/>
        <v>32</v>
      </c>
      <c r="AP381">
        <f t="shared" si="201"/>
        <v>40</v>
      </c>
      <c r="AQ381">
        <f t="shared" si="202"/>
        <v>43</v>
      </c>
      <c r="AR381" s="26">
        <f t="shared" si="203"/>
        <v>56</v>
      </c>
      <c r="AS381" s="26">
        <f t="shared" si="204"/>
        <v>63</v>
      </c>
      <c r="AT381" s="21">
        <f t="shared" si="205"/>
        <v>12</v>
      </c>
      <c r="AU381" s="21">
        <f t="shared" si="206"/>
        <v>19</v>
      </c>
      <c r="AV381">
        <f t="shared" si="207"/>
        <v>73</v>
      </c>
      <c r="AW381">
        <f t="shared" si="208"/>
        <v>76</v>
      </c>
      <c r="AX381">
        <f t="shared" si="209"/>
        <v>84</v>
      </c>
      <c r="AY381">
        <f t="shared" si="210"/>
        <v>87</v>
      </c>
      <c r="AZ381" t="str">
        <f t="shared" si="211"/>
        <v>-</v>
      </c>
      <c r="BA381" t="str">
        <f t="shared" si="212"/>
        <v>-</v>
      </c>
      <c r="BB381" t="str">
        <f t="shared" si="213"/>
        <v>-</v>
      </c>
      <c r="BC381" t="str">
        <f t="shared" si="214"/>
        <v>-</v>
      </c>
      <c r="BD381" s="29" t="str">
        <f t="shared" si="215"/>
        <v>-</v>
      </c>
      <c r="BE381" s="29" t="str">
        <f t="shared" si="216"/>
        <v>-</v>
      </c>
    </row>
    <row r="382" spans="1:57" ht="15" x14ac:dyDescent="0.2">
      <c r="A382" s="2">
        <v>718</v>
      </c>
      <c r="B382" s="2" t="str">
        <f t="shared" si="181"/>
        <v>0718</v>
      </c>
      <c r="C382" t="str">
        <f t="shared" si="182"/>
        <v>ORD-SP-0718-19/05/24</v>
      </c>
      <c r="D382" s="3" t="s">
        <v>707</v>
      </c>
      <c r="E382" t="str">
        <f t="shared" si="183"/>
        <v>PW003</v>
      </c>
      <c r="F382" t="str">
        <f>INDEX(Katalog!$B$4:$B$13,MATCH('Main Data'!E382,Katalog!$C$4:$C$13,0))</f>
        <v>Kaftan</v>
      </c>
      <c r="G382" t="str">
        <f>VLOOKUP(E382,Katalog!$A$15:$B$25,2,0)</f>
        <v>Pakaian Wanita</v>
      </c>
      <c r="H382" t="str">
        <f t="shared" si="184"/>
        <v>3</v>
      </c>
      <c r="I382" t="str">
        <f t="shared" si="185"/>
        <v>2</v>
      </c>
      <c r="J382" s="18">
        <f>VLOOKUP(E382,Katalog!$C$3:$F$13,2,0)</f>
        <v>200000</v>
      </c>
      <c r="K382" s="18">
        <f>VLOOKUP(E382,Katalog!$C$3:$F$13,3,0)</f>
        <v>100000</v>
      </c>
      <c r="L382" t="str">
        <f t="shared" si="186"/>
        <v>PU001</v>
      </c>
      <c r="M382" t="str">
        <f>IFERROR(INDEX(Katalog!$B$4:$B$13,MATCH('Main Data'!L382,Katalog!$C$4:$C$13,0)), "-")</f>
        <v>Jaket Hoodie</v>
      </c>
      <c r="N382" t="str">
        <f>IFERROR(VLOOKUP(L382,Katalog!$A$15:$B$25,2,0),"-")</f>
        <v>Pakaian Unisex</v>
      </c>
      <c r="O382" t="str">
        <f t="shared" si="187"/>
        <v>3</v>
      </c>
      <c r="P382" t="str">
        <f t="shared" si="188"/>
        <v>1</v>
      </c>
      <c r="Q382" s="18">
        <f>IFERROR(VLOOKUP(L382,Katalog!$C$3:$F$13,2,0),0)</f>
        <v>160000</v>
      </c>
      <c r="R382" s="18">
        <f>IFERROR(VLOOKUP(L382,Katalog!$C$3:$F$13,3,0),0)</f>
        <v>60000</v>
      </c>
      <c r="S382" t="str">
        <f t="shared" si="189"/>
        <v>-</v>
      </c>
      <c r="T382" t="str">
        <f>IFERROR(INDEX(Katalog!$B$4:$B$13,MATCH('Main Data'!S382,Katalog!$C$4:$C$13,0)),"-")</f>
        <v>-</v>
      </c>
      <c r="U382" t="str">
        <f>IFERROR(VLOOKUP(S382,Katalog!$A$15:$B$25,2,0),"-")</f>
        <v>-</v>
      </c>
      <c r="V382">
        <f t="shared" si="190"/>
        <v>0</v>
      </c>
      <c r="W382" s="28" t="str">
        <f t="shared" si="191"/>
        <v>-</v>
      </c>
      <c r="X382" s="18">
        <f>IFERROR(VLOOKUP(S382,Katalog!$C$3:$F$13,2,0),0)</f>
        <v>0</v>
      </c>
      <c r="Y382" s="30">
        <f>IFERROR(VLOOKUP(S382,Katalog!$C$3:$F$13,3,0),0)</f>
        <v>0</v>
      </c>
      <c r="Z382" s="2">
        <f t="shared" si="192"/>
        <v>6</v>
      </c>
      <c r="AA382" s="4">
        <f t="shared" si="193"/>
        <v>1080000</v>
      </c>
      <c r="AB382" s="4">
        <f t="shared" si="194"/>
        <v>480000</v>
      </c>
      <c r="AC382" s="4" t="s">
        <v>7</v>
      </c>
      <c r="AD382" s="16">
        <f>IFERROR(VLOOKUP(AC382,'Kode Diskon'!$C$2:$D$9,2,0),0)</f>
        <v>0.2</v>
      </c>
      <c r="AE382" s="31">
        <f t="shared" si="195"/>
        <v>216000</v>
      </c>
      <c r="AF382" s="31">
        <f t="shared" si="196"/>
        <v>864000</v>
      </c>
      <c r="AG382" s="31">
        <f t="shared" si="197"/>
        <v>600000</v>
      </c>
      <c r="AH382" s="31">
        <f t="shared" si="198"/>
        <v>384000</v>
      </c>
      <c r="AI382" s="4" t="s">
        <v>8</v>
      </c>
      <c r="AJ382" s="4" t="s">
        <v>6</v>
      </c>
      <c r="AK382" s="4" t="str">
        <f>IFERROR(VLOOKUP(AJ382,'Guide '!$A$13:$B$16,2,0),"-")</f>
        <v>SP</v>
      </c>
      <c r="AL382" s="4" t="s">
        <v>925</v>
      </c>
      <c r="AM382" s="40">
        <v>45431</v>
      </c>
      <c r="AN382">
        <f t="shared" si="199"/>
        <v>29</v>
      </c>
      <c r="AO382">
        <f t="shared" si="200"/>
        <v>32</v>
      </c>
      <c r="AP382">
        <f t="shared" si="201"/>
        <v>40</v>
      </c>
      <c r="AQ382">
        <f t="shared" si="202"/>
        <v>43</v>
      </c>
      <c r="AR382" s="26">
        <f t="shared" si="203"/>
        <v>56</v>
      </c>
      <c r="AS382" s="26">
        <f t="shared" si="204"/>
        <v>63</v>
      </c>
      <c r="AT382" s="21">
        <f t="shared" si="205"/>
        <v>12</v>
      </c>
      <c r="AU382" s="21">
        <f t="shared" si="206"/>
        <v>19</v>
      </c>
      <c r="AV382">
        <f t="shared" si="207"/>
        <v>73</v>
      </c>
      <c r="AW382">
        <f t="shared" si="208"/>
        <v>76</v>
      </c>
      <c r="AX382">
        <f t="shared" si="209"/>
        <v>84</v>
      </c>
      <c r="AY382">
        <f t="shared" si="210"/>
        <v>87</v>
      </c>
      <c r="AZ382" t="str">
        <f t="shared" si="211"/>
        <v>-</v>
      </c>
      <c r="BA382" t="str">
        <f t="shared" si="212"/>
        <v>-</v>
      </c>
      <c r="BB382" t="str">
        <f t="shared" si="213"/>
        <v>-</v>
      </c>
      <c r="BC382" t="str">
        <f t="shared" si="214"/>
        <v>-</v>
      </c>
      <c r="BD382" s="29" t="str">
        <f t="shared" si="215"/>
        <v>-</v>
      </c>
      <c r="BE382" s="29" t="str">
        <f t="shared" si="216"/>
        <v>-</v>
      </c>
    </row>
    <row r="383" spans="1:57" ht="15" x14ac:dyDescent="0.2">
      <c r="A383" s="2">
        <v>745</v>
      </c>
      <c r="B383" s="2" t="str">
        <f t="shared" si="181"/>
        <v>0745</v>
      </c>
      <c r="C383" t="str">
        <f t="shared" si="182"/>
        <v>ORD-SP-0745-19/05/24</v>
      </c>
      <c r="D383" s="3" t="s">
        <v>399</v>
      </c>
      <c r="E383" t="str">
        <f t="shared" si="183"/>
        <v>PW002</v>
      </c>
      <c r="F383" t="str">
        <f>INDEX(Katalog!$B$4:$B$13,MATCH('Main Data'!E383,Katalog!$C$4:$C$13,0))</f>
        <v>Blouse</v>
      </c>
      <c r="G383" t="str">
        <f>VLOOKUP(E383,Katalog!$A$15:$B$25,2,0)</f>
        <v>Pakaian Wanita</v>
      </c>
      <c r="H383" t="str">
        <f t="shared" si="184"/>
        <v>1</v>
      </c>
      <c r="I383" t="str">
        <f t="shared" si="185"/>
        <v>2</v>
      </c>
      <c r="J383" s="18">
        <f>VLOOKUP(E383,Katalog!$C$3:$F$13,2,0)</f>
        <v>125000</v>
      </c>
      <c r="K383" s="18">
        <f>VLOOKUP(E383,Katalog!$C$3:$F$13,3,0)</f>
        <v>50000</v>
      </c>
      <c r="L383" t="str">
        <f t="shared" si="186"/>
        <v>-</v>
      </c>
      <c r="M383" t="str">
        <f>IFERROR(INDEX(Katalog!$B$4:$B$13,MATCH('Main Data'!L383,Katalog!$C$4:$C$13,0)), "-")</f>
        <v>-</v>
      </c>
      <c r="N383" t="str">
        <f>IFERROR(VLOOKUP(L383,Katalog!$A$15:$B$25,2,0),"-")</f>
        <v>-</v>
      </c>
      <c r="O383">
        <f t="shared" si="187"/>
        <v>0</v>
      </c>
      <c r="P383" t="str">
        <f t="shared" si="188"/>
        <v>-</v>
      </c>
      <c r="Q383" s="18">
        <f>IFERROR(VLOOKUP(L383,Katalog!$C$3:$F$13,2,0),0)</f>
        <v>0</v>
      </c>
      <c r="R383" s="18">
        <f>IFERROR(VLOOKUP(L383,Katalog!$C$3:$F$13,3,0),0)</f>
        <v>0</v>
      </c>
      <c r="S383" t="str">
        <f t="shared" si="189"/>
        <v>-</v>
      </c>
      <c r="T383" t="str">
        <f>IFERROR(INDEX(Katalog!$B$4:$B$13,MATCH('Main Data'!S383,Katalog!$C$4:$C$13,0)),"-")</f>
        <v>-</v>
      </c>
      <c r="U383" t="str">
        <f>IFERROR(VLOOKUP(S383,Katalog!$A$15:$B$25,2,0),"-")</f>
        <v>-</v>
      </c>
      <c r="V383">
        <f t="shared" si="190"/>
        <v>0</v>
      </c>
      <c r="W383" s="28" t="str">
        <f t="shared" si="191"/>
        <v>-</v>
      </c>
      <c r="X383" s="18">
        <f>IFERROR(VLOOKUP(S383,Katalog!$C$3:$F$13,2,0),0)</f>
        <v>0</v>
      </c>
      <c r="Y383" s="30">
        <f>IFERROR(VLOOKUP(S383,Katalog!$C$3:$F$13,3,0),0)</f>
        <v>0</v>
      </c>
      <c r="Z383" s="2">
        <f t="shared" si="192"/>
        <v>1</v>
      </c>
      <c r="AA383" s="4">
        <f t="shared" si="193"/>
        <v>125000</v>
      </c>
      <c r="AB383" s="4">
        <f t="shared" si="194"/>
        <v>50000</v>
      </c>
      <c r="AC383" s="4" t="s">
        <v>10</v>
      </c>
      <c r="AD383" s="16">
        <f>IFERROR(VLOOKUP(AC383,'Kode Diskon'!$C$2:$D$9,2,0),0)</f>
        <v>0</v>
      </c>
      <c r="AE383" s="31">
        <f t="shared" si="195"/>
        <v>0</v>
      </c>
      <c r="AF383" s="31">
        <f t="shared" si="196"/>
        <v>125000</v>
      </c>
      <c r="AG383" s="31">
        <f t="shared" si="197"/>
        <v>75000</v>
      </c>
      <c r="AH383" s="31">
        <f t="shared" si="198"/>
        <v>75000</v>
      </c>
      <c r="AI383" s="4" t="s">
        <v>10</v>
      </c>
      <c r="AJ383" s="4" t="s">
        <v>6</v>
      </c>
      <c r="AK383" s="4" t="str">
        <f>IFERROR(VLOOKUP(AJ383,'Guide '!$A$13:$B$16,2,0),"-")</f>
        <v>SP</v>
      </c>
      <c r="AL383" s="4" t="s">
        <v>924</v>
      </c>
      <c r="AM383" s="40">
        <v>45431</v>
      </c>
      <c r="AN383">
        <f t="shared" si="199"/>
        <v>29</v>
      </c>
      <c r="AO383">
        <f t="shared" si="200"/>
        <v>32</v>
      </c>
      <c r="AP383">
        <f t="shared" si="201"/>
        <v>40</v>
      </c>
      <c r="AQ383">
        <f t="shared" si="202"/>
        <v>43</v>
      </c>
      <c r="AR383" s="26" t="str">
        <f t="shared" si="203"/>
        <v>-</v>
      </c>
      <c r="AS383" s="26" t="str">
        <f t="shared" si="204"/>
        <v>-</v>
      </c>
      <c r="AT383" s="21">
        <f t="shared" si="205"/>
        <v>12</v>
      </c>
      <c r="AU383" s="21">
        <f t="shared" si="206"/>
        <v>19</v>
      </c>
      <c r="AV383" t="str">
        <f t="shared" si="207"/>
        <v>-</v>
      </c>
      <c r="AW383" t="str">
        <f t="shared" si="208"/>
        <v>-</v>
      </c>
      <c r="AX383" t="str">
        <f t="shared" si="209"/>
        <v>-</v>
      </c>
      <c r="AY383" t="str">
        <f t="shared" si="210"/>
        <v>-</v>
      </c>
      <c r="AZ383" t="str">
        <f t="shared" si="211"/>
        <v>-</v>
      </c>
      <c r="BA383" t="str">
        <f t="shared" si="212"/>
        <v>-</v>
      </c>
      <c r="BB383" t="str">
        <f t="shared" si="213"/>
        <v>-</v>
      </c>
      <c r="BC383" t="str">
        <f t="shared" si="214"/>
        <v>-</v>
      </c>
      <c r="BD383" s="29" t="str">
        <f t="shared" si="215"/>
        <v>-</v>
      </c>
      <c r="BE383" s="29" t="str">
        <f t="shared" si="216"/>
        <v>-</v>
      </c>
    </row>
    <row r="384" spans="1:57" ht="15" x14ac:dyDescent="0.2">
      <c r="A384" s="2">
        <v>806</v>
      </c>
      <c r="B384" s="2" t="str">
        <f t="shared" si="181"/>
        <v>0806</v>
      </c>
      <c r="C384" t="str">
        <f t="shared" si="182"/>
        <v>ORD-BB-0806-19/05/24</v>
      </c>
      <c r="D384" s="3" t="s">
        <v>268</v>
      </c>
      <c r="E384" t="str">
        <f t="shared" si="183"/>
        <v>PW002</v>
      </c>
      <c r="F384" t="str">
        <f>INDEX(Katalog!$B$4:$B$13,MATCH('Main Data'!E384,Katalog!$C$4:$C$13,0))</f>
        <v>Blouse</v>
      </c>
      <c r="G384" t="str">
        <f>VLOOKUP(E384,Katalog!$A$15:$B$25,2,0)</f>
        <v>Pakaian Wanita</v>
      </c>
      <c r="H384" t="str">
        <f t="shared" si="184"/>
        <v>1</v>
      </c>
      <c r="I384" t="str">
        <f t="shared" si="185"/>
        <v>4</v>
      </c>
      <c r="J384" s="18">
        <f>VLOOKUP(E384,Katalog!$C$3:$F$13,2,0)</f>
        <v>125000</v>
      </c>
      <c r="K384" s="18">
        <f>VLOOKUP(E384,Katalog!$C$3:$F$13,3,0)</f>
        <v>50000</v>
      </c>
      <c r="L384" t="str">
        <f t="shared" si="186"/>
        <v>-</v>
      </c>
      <c r="M384" t="str">
        <f>IFERROR(INDEX(Katalog!$B$4:$B$13,MATCH('Main Data'!L384,Katalog!$C$4:$C$13,0)), "-")</f>
        <v>-</v>
      </c>
      <c r="N384" t="str">
        <f>IFERROR(VLOOKUP(L384,Katalog!$A$15:$B$25,2,0),"-")</f>
        <v>-</v>
      </c>
      <c r="O384">
        <f t="shared" si="187"/>
        <v>0</v>
      </c>
      <c r="P384" t="str">
        <f t="shared" si="188"/>
        <v>-</v>
      </c>
      <c r="Q384" s="18">
        <f>IFERROR(VLOOKUP(L384,Katalog!$C$3:$F$13,2,0),0)</f>
        <v>0</v>
      </c>
      <c r="R384" s="18">
        <f>IFERROR(VLOOKUP(L384,Katalog!$C$3:$F$13,3,0),0)</f>
        <v>0</v>
      </c>
      <c r="S384" t="str">
        <f t="shared" si="189"/>
        <v>-</v>
      </c>
      <c r="T384" t="str">
        <f>IFERROR(INDEX(Katalog!$B$4:$B$13,MATCH('Main Data'!S384,Katalog!$C$4:$C$13,0)),"-")</f>
        <v>-</v>
      </c>
      <c r="U384" t="str">
        <f>IFERROR(VLOOKUP(S384,Katalog!$A$15:$B$25,2,0),"-")</f>
        <v>-</v>
      </c>
      <c r="V384">
        <f t="shared" si="190"/>
        <v>0</v>
      </c>
      <c r="W384" s="28" t="str">
        <f t="shared" si="191"/>
        <v>-</v>
      </c>
      <c r="X384" s="18">
        <f>IFERROR(VLOOKUP(S384,Katalog!$C$3:$F$13,2,0),0)</f>
        <v>0</v>
      </c>
      <c r="Y384" s="30">
        <f>IFERROR(VLOOKUP(S384,Katalog!$C$3:$F$13,3,0),0)</f>
        <v>0</v>
      </c>
      <c r="Z384" s="2">
        <f t="shared" si="192"/>
        <v>1</v>
      </c>
      <c r="AA384" s="4">
        <f t="shared" si="193"/>
        <v>125000</v>
      </c>
      <c r="AB384" s="4">
        <f t="shared" si="194"/>
        <v>50000</v>
      </c>
      <c r="AC384" s="4" t="s">
        <v>10</v>
      </c>
      <c r="AD384" s="16">
        <f>IFERROR(VLOOKUP(AC384,'Kode Diskon'!$C$2:$D$9,2,0),0)</f>
        <v>0</v>
      </c>
      <c r="AE384" s="31">
        <f t="shared" si="195"/>
        <v>0</v>
      </c>
      <c r="AF384" s="31">
        <f t="shared" si="196"/>
        <v>125000</v>
      </c>
      <c r="AG384" s="31">
        <f t="shared" si="197"/>
        <v>75000</v>
      </c>
      <c r="AH384" s="31">
        <f t="shared" si="198"/>
        <v>75000</v>
      </c>
      <c r="AI384" s="4" t="s">
        <v>10</v>
      </c>
      <c r="AJ384" s="4" t="s">
        <v>13</v>
      </c>
      <c r="AK384" s="4" t="str">
        <f>IFERROR(VLOOKUP(AJ384,'Guide '!$A$13:$B$16,2,0),"-")</f>
        <v>BB</v>
      </c>
      <c r="AL384" s="4" t="s">
        <v>1006</v>
      </c>
      <c r="AM384" s="40">
        <v>45431</v>
      </c>
      <c r="AN384">
        <f t="shared" si="199"/>
        <v>29</v>
      </c>
      <c r="AO384">
        <f t="shared" si="200"/>
        <v>32</v>
      </c>
      <c r="AP384">
        <f t="shared" si="201"/>
        <v>40</v>
      </c>
      <c r="AQ384">
        <f t="shared" si="202"/>
        <v>43</v>
      </c>
      <c r="AR384" s="26" t="str">
        <f t="shared" si="203"/>
        <v>-</v>
      </c>
      <c r="AS384" s="26" t="str">
        <f t="shared" si="204"/>
        <v>-</v>
      </c>
      <c r="AT384" s="21">
        <f t="shared" si="205"/>
        <v>12</v>
      </c>
      <c r="AU384" s="21">
        <f t="shared" si="206"/>
        <v>19</v>
      </c>
      <c r="AV384" t="str">
        <f t="shared" si="207"/>
        <v>-</v>
      </c>
      <c r="AW384" t="str">
        <f t="shared" si="208"/>
        <v>-</v>
      </c>
      <c r="AX384" t="str">
        <f t="shared" si="209"/>
        <v>-</v>
      </c>
      <c r="AY384" t="str">
        <f t="shared" si="210"/>
        <v>-</v>
      </c>
      <c r="AZ384" t="str">
        <f t="shared" si="211"/>
        <v>-</v>
      </c>
      <c r="BA384" t="str">
        <f t="shared" si="212"/>
        <v>-</v>
      </c>
      <c r="BB384" t="str">
        <f t="shared" si="213"/>
        <v>-</v>
      </c>
      <c r="BC384" t="str">
        <f t="shared" si="214"/>
        <v>-</v>
      </c>
      <c r="BD384" s="29" t="str">
        <f t="shared" si="215"/>
        <v>-</v>
      </c>
      <c r="BE384" s="29" t="str">
        <f t="shared" si="216"/>
        <v>-</v>
      </c>
    </row>
    <row r="385" spans="1:57" ht="15" x14ac:dyDescent="0.2">
      <c r="A385" s="2">
        <v>147</v>
      </c>
      <c r="B385" s="2" t="str">
        <f t="shared" si="181"/>
        <v>0147</v>
      </c>
      <c r="C385" t="str">
        <f t="shared" si="182"/>
        <v>ORD-SP-0147-20/05/24</v>
      </c>
      <c r="D385" s="3" t="s">
        <v>217</v>
      </c>
      <c r="E385" t="str">
        <f t="shared" si="183"/>
        <v>PW003</v>
      </c>
      <c r="F385" t="str">
        <f>INDEX(Katalog!$B$4:$B$13,MATCH('Main Data'!E385,Katalog!$C$4:$C$13,0))</f>
        <v>Kaftan</v>
      </c>
      <c r="G385" t="str">
        <f>VLOOKUP(E385,Katalog!$A$15:$B$25,2,0)</f>
        <v>Pakaian Wanita</v>
      </c>
      <c r="H385" t="str">
        <f t="shared" si="184"/>
        <v>2</v>
      </c>
      <c r="I385" t="str">
        <f t="shared" si="185"/>
        <v>5</v>
      </c>
      <c r="J385" s="18">
        <f>VLOOKUP(E385,Katalog!$C$3:$F$13,2,0)</f>
        <v>200000</v>
      </c>
      <c r="K385" s="18">
        <f>VLOOKUP(E385,Katalog!$C$3:$F$13,3,0)</f>
        <v>100000</v>
      </c>
      <c r="L385" t="str">
        <f t="shared" si="186"/>
        <v>-</v>
      </c>
      <c r="M385" t="str">
        <f>IFERROR(INDEX(Katalog!$B$4:$B$13,MATCH('Main Data'!L385,Katalog!$C$4:$C$13,0)), "-")</f>
        <v>-</v>
      </c>
      <c r="N385" t="str">
        <f>IFERROR(VLOOKUP(L385,Katalog!$A$15:$B$25,2,0),"-")</f>
        <v>-</v>
      </c>
      <c r="O385">
        <f t="shared" si="187"/>
        <v>0</v>
      </c>
      <c r="P385" t="str">
        <f t="shared" si="188"/>
        <v>-</v>
      </c>
      <c r="Q385" s="18">
        <f>IFERROR(VLOOKUP(L385,Katalog!$C$3:$F$13,2,0),0)</f>
        <v>0</v>
      </c>
      <c r="R385" s="18">
        <f>IFERROR(VLOOKUP(L385,Katalog!$C$3:$F$13,3,0),0)</f>
        <v>0</v>
      </c>
      <c r="S385" t="str">
        <f t="shared" si="189"/>
        <v>-</v>
      </c>
      <c r="T385" t="str">
        <f>IFERROR(INDEX(Katalog!$B$4:$B$13,MATCH('Main Data'!S385,Katalog!$C$4:$C$13,0)),"-")</f>
        <v>-</v>
      </c>
      <c r="U385" t="str">
        <f>IFERROR(VLOOKUP(S385,Katalog!$A$15:$B$25,2,0),"-")</f>
        <v>-</v>
      </c>
      <c r="V385">
        <f t="shared" si="190"/>
        <v>0</v>
      </c>
      <c r="W385" s="28" t="str">
        <f t="shared" si="191"/>
        <v>-</v>
      </c>
      <c r="X385" s="18">
        <f>IFERROR(VLOOKUP(S385,Katalog!$C$3:$F$13,2,0),0)</f>
        <v>0</v>
      </c>
      <c r="Y385" s="30">
        <f>IFERROR(VLOOKUP(S385,Katalog!$C$3:$F$13,3,0),0)</f>
        <v>0</v>
      </c>
      <c r="Z385" s="2">
        <f t="shared" si="192"/>
        <v>2</v>
      </c>
      <c r="AA385" s="4">
        <f t="shared" si="193"/>
        <v>400000</v>
      </c>
      <c r="AB385" s="4">
        <f t="shared" si="194"/>
        <v>200000</v>
      </c>
      <c r="AC385" s="4" t="s">
        <v>5</v>
      </c>
      <c r="AD385" s="16">
        <f>IFERROR(VLOOKUP(AC385,'Kode Diskon'!$C$2:$D$9,2,0),0)</f>
        <v>0.1</v>
      </c>
      <c r="AE385" s="31">
        <f t="shared" si="195"/>
        <v>40000</v>
      </c>
      <c r="AF385" s="31">
        <f t="shared" si="196"/>
        <v>360000</v>
      </c>
      <c r="AG385" s="31">
        <f t="shared" si="197"/>
        <v>200000</v>
      </c>
      <c r="AH385" s="31">
        <f t="shared" si="198"/>
        <v>160000</v>
      </c>
      <c r="AI385" s="4" t="s">
        <v>28</v>
      </c>
      <c r="AJ385" s="4" t="s">
        <v>6</v>
      </c>
      <c r="AK385" s="4" t="str">
        <f>IFERROR(VLOOKUP(AJ385,'Guide '!$A$13:$B$16,2,0),"-")</f>
        <v>SP</v>
      </c>
      <c r="AL385" s="4" t="s">
        <v>925</v>
      </c>
      <c r="AM385" s="40">
        <v>45432</v>
      </c>
      <c r="AN385">
        <f t="shared" si="199"/>
        <v>29</v>
      </c>
      <c r="AO385">
        <f t="shared" si="200"/>
        <v>32</v>
      </c>
      <c r="AP385">
        <f t="shared" si="201"/>
        <v>40</v>
      </c>
      <c r="AQ385">
        <f t="shared" si="202"/>
        <v>43</v>
      </c>
      <c r="AR385" s="26" t="str">
        <f t="shared" si="203"/>
        <v>-</v>
      </c>
      <c r="AS385" s="26" t="str">
        <f t="shared" si="204"/>
        <v>-</v>
      </c>
      <c r="AT385" s="21">
        <f t="shared" si="205"/>
        <v>12</v>
      </c>
      <c r="AU385" s="21">
        <f t="shared" si="206"/>
        <v>19</v>
      </c>
      <c r="AV385" t="str">
        <f t="shared" si="207"/>
        <v>-</v>
      </c>
      <c r="AW385" t="str">
        <f t="shared" si="208"/>
        <v>-</v>
      </c>
      <c r="AX385" t="str">
        <f t="shared" si="209"/>
        <v>-</v>
      </c>
      <c r="AY385" t="str">
        <f t="shared" si="210"/>
        <v>-</v>
      </c>
      <c r="AZ385" t="str">
        <f t="shared" si="211"/>
        <v>-</v>
      </c>
      <c r="BA385" t="str">
        <f t="shared" si="212"/>
        <v>-</v>
      </c>
      <c r="BB385" t="str">
        <f t="shared" si="213"/>
        <v>-</v>
      </c>
      <c r="BC385" t="str">
        <f t="shared" si="214"/>
        <v>-</v>
      </c>
      <c r="BD385" s="29" t="str">
        <f t="shared" si="215"/>
        <v>-</v>
      </c>
      <c r="BE385" s="29" t="str">
        <f t="shared" si="216"/>
        <v>-</v>
      </c>
    </row>
    <row r="386" spans="1:57" ht="15" x14ac:dyDescent="0.2">
      <c r="A386" s="2">
        <v>213</v>
      </c>
      <c r="B386" s="2" t="str">
        <f t="shared" si="181"/>
        <v>0213</v>
      </c>
      <c r="C386" t="str">
        <f t="shared" si="182"/>
        <v>ORD-BB-0213-20/05/24</v>
      </c>
      <c r="D386" s="3" t="s">
        <v>282</v>
      </c>
      <c r="E386" t="str">
        <f t="shared" si="183"/>
        <v>PW002</v>
      </c>
      <c r="F386" t="str">
        <f>INDEX(Katalog!$B$4:$B$13,MATCH('Main Data'!E386,Katalog!$C$4:$C$13,0))</f>
        <v>Blouse</v>
      </c>
      <c r="G386" t="str">
        <f>VLOOKUP(E386,Katalog!$A$15:$B$25,2,0)</f>
        <v>Pakaian Wanita</v>
      </c>
      <c r="H386" t="str">
        <f t="shared" si="184"/>
        <v>3</v>
      </c>
      <c r="I386" t="str">
        <f t="shared" si="185"/>
        <v>5</v>
      </c>
      <c r="J386" s="18">
        <f>VLOOKUP(E386,Katalog!$C$3:$F$13,2,0)</f>
        <v>125000</v>
      </c>
      <c r="K386" s="18">
        <f>VLOOKUP(E386,Katalog!$C$3:$F$13,3,0)</f>
        <v>50000</v>
      </c>
      <c r="L386" t="str">
        <f t="shared" si="186"/>
        <v>PW003</v>
      </c>
      <c r="M386" t="str">
        <f>IFERROR(INDEX(Katalog!$B$4:$B$13,MATCH('Main Data'!L386,Katalog!$C$4:$C$13,0)), "-")</f>
        <v>Kaftan</v>
      </c>
      <c r="N386" t="str">
        <f>IFERROR(VLOOKUP(L386,Katalog!$A$15:$B$25,2,0),"-")</f>
        <v>Pakaian Wanita</v>
      </c>
      <c r="O386" t="str">
        <f t="shared" si="187"/>
        <v>1</v>
      </c>
      <c r="P386" t="str">
        <f t="shared" si="188"/>
        <v>5</v>
      </c>
      <c r="Q386" s="18">
        <f>IFERROR(VLOOKUP(L386,Katalog!$C$3:$F$13,2,0),0)</f>
        <v>200000</v>
      </c>
      <c r="R386" s="18">
        <f>IFERROR(VLOOKUP(L386,Katalog!$C$3:$F$13,3,0),0)</f>
        <v>100000</v>
      </c>
      <c r="S386" t="str">
        <f t="shared" si="189"/>
        <v>-</v>
      </c>
      <c r="T386" t="str">
        <f>IFERROR(INDEX(Katalog!$B$4:$B$13,MATCH('Main Data'!S386,Katalog!$C$4:$C$13,0)),"-")</f>
        <v>-</v>
      </c>
      <c r="U386" t="str">
        <f>IFERROR(VLOOKUP(S386,Katalog!$A$15:$B$25,2,0),"-")</f>
        <v>-</v>
      </c>
      <c r="V386">
        <f t="shared" si="190"/>
        <v>0</v>
      </c>
      <c r="W386" s="28" t="str">
        <f t="shared" si="191"/>
        <v>-</v>
      </c>
      <c r="X386" s="18">
        <f>IFERROR(VLOOKUP(S386,Katalog!$C$3:$F$13,2,0),0)</f>
        <v>0</v>
      </c>
      <c r="Y386" s="30">
        <f>IFERROR(VLOOKUP(S386,Katalog!$C$3:$F$13,3,0),0)</f>
        <v>0</v>
      </c>
      <c r="Z386" s="2">
        <f t="shared" si="192"/>
        <v>4</v>
      </c>
      <c r="AA386" s="4">
        <f t="shared" si="193"/>
        <v>575000</v>
      </c>
      <c r="AB386" s="4">
        <f t="shared" si="194"/>
        <v>250000</v>
      </c>
      <c r="AC386" s="4" t="s">
        <v>27</v>
      </c>
      <c r="AD386" s="16">
        <f>IFERROR(VLOOKUP(AC386,'Kode Diskon'!$C$2:$D$9,2,0),0)</f>
        <v>0.15</v>
      </c>
      <c r="AE386" s="31">
        <f t="shared" si="195"/>
        <v>86250</v>
      </c>
      <c r="AF386" s="31">
        <f t="shared" si="196"/>
        <v>488750</v>
      </c>
      <c r="AG386" s="31">
        <f t="shared" si="197"/>
        <v>325000</v>
      </c>
      <c r="AH386" s="31">
        <f t="shared" si="198"/>
        <v>238750</v>
      </c>
      <c r="AI386" s="4" t="s">
        <v>28</v>
      </c>
      <c r="AJ386" s="4" t="s">
        <v>13</v>
      </c>
      <c r="AK386" s="4" t="str">
        <f>IFERROR(VLOOKUP(AJ386,'Guide '!$A$13:$B$16,2,0),"-")</f>
        <v>BB</v>
      </c>
      <c r="AL386" s="4" t="s">
        <v>925</v>
      </c>
      <c r="AM386" s="40">
        <v>45432</v>
      </c>
      <c r="AN386">
        <f t="shared" si="199"/>
        <v>29</v>
      </c>
      <c r="AO386">
        <f t="shared" si="200"/>
        <v>32</v>
      </c>
      <c r="AP386">
        <f t="shared" si="201"/>
        <v>40</v>
      </c>
      <c r="AQ386">
        <f t="shared" si="202"/>
        <v>43</v>
      </c>
      <c r="AR386" s="26">
        <f t="shared" si="203"/>
        <v>56</v>
      </c>
      <c r="AS386" s="26">
        <f t="shared" si="204"/>
        <v>63</v>
      </c>
      <c r="AT386" s="21">
        <f t="shared" si="205"/>
        <v>12</v>
      </c>
      <c r="AU386" s="21">
        <f t="shared" si="206"/>
        <v>19</v>
      </c>
      <c r="AV386">
        <f t="shared" si="207"/>
        <v>73</v>
      </c>
      <c r="AW386">
        <f t="shared" si="208"/>
        <v>76</v>
      </c>
      <c r="AX386">
        <f t="shared" si="209"/>
        <v>84</v>
      </c>
      <c r="AY386">
        <f t="shared" si="210"/>
        <v>87</v>
      </c>
      <c r="AZ386" t="str">
        <f t="shared" si="211"/>
        <v>-</v>
      </c>
      <c r="BA386" t="str">
        <f t="shared" si="212"/>
        <v>-</v>
      </c>
      <c r="BB386" t="str">
        <f t="shared" si="213"/>
        <v>-</v>
      </c>
      <c r="BC386" t="str">
        <f t="shared" si="214"/>
        <v>-</v>
      </c>
      <c r="BD386" s="29" t="str">
        <f t="shared" si="215"/>
        <v>-</v>
      </c>
      <c r="BE386" s="29" t="str">
        <f t="shared" si="216"/>
        <v>-</v>
      </c>
    </row>
    <row r="387" spans="1:57" ht="15" x14ac:dyDescent="0.2">
      <c r="A387" s="2">
        <v>643</v>
      </c>
      <c r="B387" s="2" t="str">
        <f t="shared" ref="B387:B450" si="217">TEXT(A387,"0000")</f>
        <v>0643</v>
      </c>
      <c r="C387" t="str">
        <f t="shared" ref="C387:C450" si="218">CONCATENATE("ORD","-",AK387,"-",B387,"-",TEXT(AM387,"dd/mm/yy"))</f>
        <v>ORD-SP-0643-20/05/24</v>
      </c>
      <c r="D387" s="3" t="s">
        <v>482</v>
      </c>
      <c r="E387" t="str">
        <f t="shared" ref="E387:E450" si="219">MID(D387,AT387+2,AU387-AT387-2)</f>
        <v>PP002</v>
      </c>
      <c r="F387" t="str">
        <f>INDEX(Katalog!$B$4:$B$13,MATCH('Main Data'!E387,Katalog!$C$4:$C$13,0))</f>
        <v>Celana Pendek</v>
      </c>
      <c r="G387" t="str">
        <f>VLOOKUP(E387,Katalog!$A$15:$B$25,2,0)</f>
        <v>Pakaian Pria</v>
      </c>
      <c r="H387" t="str">
        <f t="shared" ref="H387:H450" si="220">MID(D387,AN387+2,AO387-AN387-2)</f>
        <v>1</v>
      </c>
      <c r="I387" t="str">
        <f t="shared" ref="I387:I450" si="221">MID(D387,AP387+2,AQ387-AP387-2)</f>
        <v>3</v>
      </c>
      <c r="J387" s="18">
        <f>VLOOKUP(E387,Katalog!$C$3:$F$13,2,0)</f>
        <v>60000</v>
      </c>
      <c r="K387" s="18">
        <f>VLOOKUP(E387,Katalog!$C$3:$F$13,3,0)</f>
        <v>25000</v>
      </c>
      <c r="L387" t="str">
        <f t="shared" ref="L387:L450" si="222">IFERROR(MID(D387,AR387+2,AS387-AR387-2),"-")</f>
        <v>-</v>
      </c>
      <c r="M387" t="str">
        <f>IFERROR(INDEX(Katalog!$B$4:$B$13,MATCH('Main Data'!L387,Katalog!$C$4:$C$13,0)), "-")</f>
        <v>-</v>
      </c>
      <c r="N387" t="str">
        <f>IFERROR(VLOOKUP(L387,Katalog!$A$15:$B$25,2,0),"-")</f>
        <v>-</v>
      </c>
      <c r="O387">
        <f t="shared" ref="O387:O450" si="223">IFERROR(MID(D387,AV387+2,AW387-AV387-2),0)</f>
        <v>0</v>
      </c>
      <c r="P387" t="str">
        <f t="shared" ref="P387:P450" si="224">IFERROR(MID(D387,AX387+2,AY387-AX387-2),"-")</f>
        <v>-</v>
      </c>
      <c r="Q387" s="18">
        <f>IFERROR(VLOOKUP(L387,Katalog!$C$3:$F$13,2,0),0)</f>
        <v>0</v>
      </c>
      <c r="R387" s="18">
        <f>IFERROR(VLOOKUP(L387,Katalog!$C$3:$F$13,3,0),0)</f>
        <v>0</v>
      </c>
      <c r="S387" t="str">
        <f t="shared" ref="S387:S450" si="225">IFERROR(MID(D387,AZ387+2,BA387-AZ387-2),"-")</f>
        <v>-</v>
      </c>
      <c r="T387" t="str">
        <f>IFERROR(INDEX(Katalog!$B$4:$B$13,MATCH('Main Data'!S387,Katalog!$C$4:$C$13,0)),"-")</f>
        <v>-</v>
      </c>
      <c r="U387" t="str">
        <f>IFERROR(VLOOKUP(S387,Katalog!$A$15:$B$25,2,0),"-")</f>
        <v>-</v>
      </c>
      <c r="V387">
        <f t="shared" ref="V387:V450" si="226">IFERROR(MID(D387,BB387+2,BC387-BB387-2),0)</f>
        <v>0</v>
      </c>
      <c r="W387" s="28" t="str">
        <f t="shared" ref="W387:W450" si="227">IFERROR(MID(D387,BD387+2,BE387-BD387-2),"-")</f>
        <v>-</v>
      </c>
      <c r="X387" s="18">
        <f>IFERROR(VLOOKUP(S387,Katalog!$C$3:$F$13,2,0),0)</f>
        <v>0</v>
      </c>
      <c r="Y387" s="30">
        <f>IFERROR(VLOOKUP(S387,Katalog!$C$3:$F$13,3,0),0)</f>
        <v>0</v>
      </c>
      <c r="Z387" s="2">
        <f t="shared" ref="Z387:Z450" si="228">H387+O387+V387</f>
        <v>1</v>
      </c>
      <c r="AA387" s="4">
        <f t="shared" ref="AA387:AA450" si="229">J387*H387+Q387*O387+X387*V387</f>
        <v>60000</v>
      </c>
      <c r="AB387" s="4">
        <f t="shared" ref="AB387:AB450" si="230">K387*H387+R387*O387+Y387*V387</f>
        <v>25000</v>
      </c>
      <c r="AC387" s="4" t="s">
        <v>7</v>
      </c>
      <c r="AD387" s="16">
        <f>IFERROR(VLOOKUP(AC387,'Kode Diskon'!$C$2:$D$9,2,0),0)</f>
        <v>0.2</v>
      </c>
      <c r="AE387" s="31">
        <f t="shared" ref="AE387:AE450" si="231">AA387*AD387</f>
        <v>12000</v>
      </c>
      <c r="AF387" s="31">
        <f t="shared" ref="AF387:AF450" si="232">AA387-AE387</f>
        <v>48000</v>
      </c>
      <c r="AG387" s="31">
        <f t="shared" ref="AG387:AG450" si="233">AA387-AB387</f>
        <v>35000</v>
      </c>
      <c r="AH387" s="31">
        <f t="shared" ref="AH387:AH450" si="234">AF387-AB387</f>
        <v>23000</v>
      </c>
      <c r="AI387" s="4" t="s">
        <v>8</v>
      </c>
      <c r="AJ387" s="4" t="s">
        <v>6</v>
      </c>
      <c r="AK387" s="4" t="str">
        <f>IFERROR(VLOOKUP(AJ387,'Guide '!$A$13:$B$16,2,0),"-")</f>
        <v>SP</v>
      </c>
      <c r="AL387" s="4" t="s">
        <v>925</v>
      </c>
      <c r="AM387" s="40">
        <v>45432</v>
      </c>
      <c r="AN387">
        <f t="shared" ref="AN387:AN450" si="235">FIND(":",D387,AT387+1)</f>
        <v>29</v>
      </c>
      <c r="AO387">
        <f t="shared" ref="AO387:AO450" si="236">FIND(",",D387,AU387+1)</f>
        <v>32</v>
      </c>
      <c r="AP387">
        <f t="shared" ref="AP387:AP450" si="237">FIND(":",D387,AN387+1)</f>
        <v>40</v>
      </c>
      <c r="AQ387">
        <f t="shared" ref="AQ387:AQ450" si="238">FIND("}",D387,AO387+1)</f>
        <v>43</v>
      </c>
      <c r="AR387" s="26" t="str">
        <f t="shared" ref="AR387:AR450" si="239">IFERROR(FIND(":",D387,AP387+1),"-")</f>
        <v>-</v>
      </c>
      <c r="AS387" s="26" t="str">
        <f t="shared" ref="AS387:AS450" si="240">IFERROR(FIND(",",D387,AQ387+2),"-")</f>
        <v>-</v>
      </c>
      <c r="AT387" s="21">
        <f t="shared" ref="AT387:AT450" si="241">FIND(":",D387)</f>
        <v>12</v>
      </c>
      <c r="AU387" s="21">
        <f t="shared" ref="AU387:AU450" si="242">FIND(",",D387)</f>
        <v>19</v>
      </c>
      <c r="AV387" t="str">
        <f t="shared" ref="AV387:AV450" si="243">IFERROR(FIND(":",D387,AR387+1),"-")</f>
        <v>-</v>
      </c>
      <c r="AW387" t="str">
        <f t="shared" ref="AW387:AW450" si="244">IFERROR(FIND(",",D387,AS387+1),"-")</f>
        <v>-</v>
      </c>
      <c r="AX387" t="str">
        <f t="shared" ref="AX387:AX450" si="245">IFERROR(FIND(":",D387,AV387+1),"-")</f>
        <v>-</v>
      </c>
      <c r="AY387" t="str">
        <f t="shared" ref="AY387:AY450" si="246">IFERROR(FIND("}",D387,AW387+1),"-")</f>
        <v>-</v>
      </c>
      <c r="AZ387" t="str">
        <f t="shared" ref="AZ387:AZ450" si="247">IFERROR(FIND(":",D387,AX387+1),"-")</f>
        <v>-</v>
      </c>
      <c r="BA387" t="str">
        <f t="shared" ref="BA387:BA450" si="248">IFERROR(FIND(",",D387,AY387+2),"-")</f>
        <v>-</v>
      </c>
      <c r="BB387" t="str">
        <f t="shared" ref="BB387:BB450" si="249">IFERROR(FIND(":",D387,AZ387+1),"-")</f>
        <v>-</v>
      </c>
      <c r="BC387" t="str">
        <f t="shared" ref="BC387:BC450" si="250">IFERROR(FIND(",",D387,BA387+1),"-")</f>
        <v>-</v>
      </c>
      <c r="BD387" s="29" t="str">
        <f t="shared" ref="BD387:BD450" si="251">IFERROR(FIND(":",D387,BB387+1),"-")</f>
        <v>-</v>
      </c>
      <c r="BE387" s="29" t="str">
        <f t="shared" ref="BE387:BE450" si="252">IFERROR(FIND("}",D387,BC387+1),"-")</f>
        <v>-</v>
      </c>
    </row>
    <row r="388" spans="1:57" ht="15" x14ac:dyDescent="0.2">
      <c r="A388" s="2">
        <v>853</v>
      </c>
      <c r="B388" s="2" t="str">
        <f t="shared" si="217"/>
        <v>0853</v>
      </c>
      <c r="C388" t="str">
        <f t="shared" si="218"/>
        <v>ORD-TK-0853-21/05/24</v>
      </c>
      <c r="D388" s="3" t="s">
        <v>805</v>
      </c>
      <c r="E388" t="str">
        <f t="shared" si="219"/>
        <v>PU001</v>
      </c>
      <c r="F388" t="str">
        <f>INDEX(Katalog!$B$4:$B$13,MATCH('Main Data'!E388,Katalog!$C$4:$C$13,0))</f>
        <v>Jaket Hoodie</v>
      </c>
      <c r="G388" t="str">
        <f>VLOOKUP(E388,Katalog!$A$15:$B$25,2,0)</f>
        <v>Pakaian Unisex</v>
      </c>
      <c r="H388" t="str">
        <f t="shared" si="220"/>
        <v>2</v>
      </c>
      <c r="I388" t="str">
        <f t="shared" si="221"/>
        <v>4</v>
      </c>
      <c r="J388" s="18">
        <f>VLOOKUP(E388,Katalog!$C$3:$F$13,2,0)</f>
        <v>160000</v>
      </c>
      <c r="K388" s="18">
        <f>VLOOKUP(E388,Katalog!$C$3:$F$13,3,0)</f>
        <v>60000</v>
      </c>
      <c r="L388" t="str">
        <f t="shared" si="222"/>
        <v>-</v>
      </c>
      <c r="M388" t="str">
        <f>IFERROR(INDEX(Katalog!$B$4:$B$13,MATCH('Main Data'!L388,Katalog!$C$4:$C$13,0)), "-")</f>
        <v>-</v>
      </c>
      <c r="N388" t="str">
        <f>IFERROR(VLOOKUP(L388,Katalog!$A$15:$B$25,2,0),"-")</f>
        <v>-</v>
      </c>
      <c r="O388">
        <f t="shared" si="223"/>
        <v>0</v>
      </c>
      <c r="P388" t="str">
        <f t="shared" si="224"/>
        <v>-</v>
      </c>
      <c r="Q388" s="18">
        <f>IFERROR(VLOOKUP(L388,Katalog!$C$3:$F$13,2,0),0)</f>
        <v>0</v>
      </c>
      <c r="R388" s="18">
        <f>IFERROR(VLOOKUP(L388,Katalog!$C$3:$F$13,3,0),0)</f>
        <v>0</v>
      </c>
      <c r="S388" t="str">
        <f t="shared" si="225"/>
        <v>-</v>
      </c>
      <c r="T388" t="str">
        <f>IFERROR(INDEX(Katalog!$B$4:$B$13,MATCH('Main Data'!S388,Katalog!$C$4:$C$13,0)),"-")</f>
        <v>-</v>
      </c>
      <c r="U388" t="str">
        <f>IFERROR(VLOOKUP(S388,Katalog!$A$15:$B$25,2,0),"-")</f>
        <v>-</v>
      </c>
      <c r="V388">
        <f t="shared" si="226"/>
        <v>0</v>
      </c>
      <c r="W388" s="28" t="str">
        <f t="shared" si="227"/>
        <v>-</v>
      </c>
      <c r="X388" s="18">
        <f>IFERROR(VLOOKUP(S388,Katalog!$C$3:$F$13,2,0),0)</f>
        <v>0</v>
      </c>
      <c r="Y388" s="30">
        <f>IFERROR(VLOOKUP(S388,Katalog!$C$3:$F$13,3,0),0)</f>
        <v>0</v>
      </c>
      <c r="Z388" s="2">
        <f t="shared" si="228"/>
        <v>2</v>
      </c>
      <c r="AA388" s="4">
        <f t="shared" si="229"/>
        <v>320000</v>
      </c>
      <c r="AB388" s="4">
        <f t="shared" si="230"/>
        <v>120000</v>
      </c>
      <c r="AC388" s="4" t="s">
        <v>29</v>
      </c>
      <c r="AD388" s="16">
        <f>IFERROR(VLOOKUP(AC388,'Kode Diskon'!$C$2:$D$9,2,0),0)</f>
        <v>0.1</v>
      </c>
      <c r="AE388" s="31">
        <f t="shared" si="231"/>
        <v>32000</v>
      </c>
      <c r="AF388" s="31">
        <f t="shared" si="232"/>
        <v>288000</v>
      </c>
      <c r="AG388" s="31">
        <f t="shared" si="233"/>
        <v>200000</v>
      </c>
      <c r="AH388" s="31">
        <f t="shared" si="234"/>
        <v>168000</v>
      </c>
      <c r="AI388" s="4" t="s">
        <v>28</v>
      </c>
      <c r="AJ388" s="4" t="s">
        <v>9</v>
      </c>
      <c r="AK388" s="4" t="str">
        <f>IFERROR(VLOOKUP(AJ388,'Guide '!$A$13:$B$16,2,0),"-")</f>
        <v>TK</v>
      </c>
      <c r="AL388" s="4" t="s">
        <v>925</v>
      </c>
      <c r="AM388" s="40">
        <v>45433</v>
      </c>
      <c r="AN388">
        <f t="shared" si="235"/>
        <v>29</v>
      </c>
      <c r="AO388">
        <f t="shared" si="236"/>
        <v>32</v>
      </c>
      <c r="AP388">
        <f t="shared" si="237"/>
        <v>40</v>
      </c>
      <c r="AQ388">
        <f t="shared" si="238"/>
        <v>43</v>
      </c>
      <c r="AR388" s="26" t="str">
        <f t="shared" si="239"/>
        <v>-</v>
      </c>
      <c r="AS388" s="26" t="str">
        <f t="shared" si="240"/>
        <v>-</v>
      </c>
      <c r="AT388" s="21">
        <f t="shared" si="241"/>
        <v>12</v>
      </c>
      <c r="AU388" s="21">
        <f t="shared" si="242"/>
        <v>19</v>
      </c>
      <c r="AV388" t="str">
        <f t="shared" si="243"/>
        <v>-</v>
      </c>
      <c r="AW388" t="str">
        <f t="shared" si="244"/>
        <v>-</v>
      </c>
      <c r="AX388" t="str">
        <f t="shared" si="245"/>
        <v>-</v>
      </c>
      <c r="AY388" t="str">
        <f t="shared" si="246"/>
        <v>-</v>
      </c>
      <c r="AZ388" t="str">
        <f t="shared" si="247"/>
        <v>-</v>
      </c>
      <c r="BA388" t="str">
        <f t="shared" si="248"/>
        <v>-</v>
      </c>
      <c r="BB388" t="str">
        <f t="shared" si="249"/>
        <v>-</v>
      </c>
      <c r="BC388" t="str">
        <f t="shared" si="250"/>
        <v>-</v>
      </c>
      <c r="BD388" s="29" t="str">
        <f t="shared" si="251"/>
        <v>-</v>
      </c>
      <c r="BE388" s="29" t="str">
        <f t="shared" si="252"/>
        <v>-</v>
      </c>
    </row>
    <row r="389" spans="1:57" ht="15" x14ac:dyDescent="0.2">
      <c r="A389" s="2">
        <v>866</v>
      </c>
      <c r="B389" s="2" t="str">
        <f t="shared" si="217"/>
        <v>0866</v>
      </c>
      <c r="C389" t="str">
        <f t="shared" si="218"/>
        <v>ORD-SP-0866-21/05/24</v>
      </c>
      <c r="D389" s="3" t="s">
        <v>812</v>
      </c>
      <c r="E389" t="str">
        <f t="shared" si="219"/>
        <v>PP002</v>
      </c>
      <c r="F389" t="str">
        <f>INDEX(Katalog!$B$4:$B$13,MATCH('Main Data'!E389,Katalog!$C$4:$C$13,0))</f>
        <v>Celana Pendek</v>
      </c>
      <c r="G389" t="str">
        <f>VLOOKUP(E389,Katalog!$A$15:$B$25,2,0)</f>
        <v>Pakaian Pria</v>
      </c>
      <c r="H389" t="str">
        <f t="shared" si="220"/>
        <v>4</v>
      </c>
      <c r="I389" t="str">
        <f t="shared" si="221"/>
        <v>5</v>
      </c>
      <c r="J389" s="18">
        <f>VLOOKUP(E389,Katalog!$C$3:$F$13,2,0)</f>
        <v>60000</v>
      </c>
      <c r="K389" s="18">
        <f>VLOOKUP(E389,Katalog!$C$3:$F$13,3,0)</f>
        <v>25000</v>
      </c>
      <c r="L389" t="str">
        <f t="shared" si="222"/>
        <v>PW003</v>
      </c>
      <c r="M389" t="str">
        <f>IFERROR(INDEX(Katalog!$B$4:$B$13,MATCH('Main Data'!L389,Katalog!$C$4:$C$13,0)), "-")</f>
        <v>Kaftan</v>
      </c>
      <c r="N389" t="str">
        <f>IFERROR(VLOOKUP(L389,Katalog!$A$15:$B$25,2,0),"-")</f>
        <v>Pakaian Wanita</v>
      </c>
      <c r="O389" t="str">
        <f t="shared" si="223"/>
        <v>1</v>
      </c>
      <c r="P389" t="str">
        <f t="shared" si="224"/>
        <v>4</v>
      </c>
      <c r="Q389" s="18">
        <f>IFERROR(VLOOKUP(L389,Katalog!$C$3:$F$13,2,0),0)</f>
        <v>200000</v>
      </c>
      <c r="R389" s="18">
        <f>IFERROR(VLOOKUP(L389,Katalog!$C$3:$F$13,3,0),0)</f>
        <v>100000</v>
      </c>
      <c r="S389" t="str">
        <f t="shared" si="225"/>
        <v>PW003</v>
      </c>
      <c r="T389" t="str">
        <f>IFERROR(INDEX(Katalog!$B$4:$B$13,MATCH('Main Data'!S389,Katalog!$C$4:$C$13,0)),"-")</f>
        <v>Kaftan</v>
      </c>
      <c r="U389" t="str">
        <f>IFERROR(VLOOKUP(S389,Katalog!$A$15:$B$25,2,0),"-")</f>
        <v>Pakaian Wanita</v>
      </c>
      <c r="V389" t="str">
        <f t="shared" si="226"/>
        <v>1</v>
      </c>
      <c r="W389" s="28" t="str">
        <f t="shared" si="227"/>
        <v>1</v>
      </c>
      <c r="X389" s="18">
        <f>IFERROR(VLOOKUP(S389,Katalog!$C$3:$F$13,2,0),0)</f>
        <v>200000</v>
      </c>
      <c r="Y389" s="30">
        <f>IFERROR(VLOOKUP(S389,Katalog!$C$3:$F$13,3,0),0)</f>
        <v>100000</v>
      </c>
      <c r="Z389" s="2">
        <f t="shared" si="228"/>
        <v>6</v>
      </c>
      <c r="AA389" s="4">
        <f t="shared" si="229"/>
        <v>640000</v>
      </c>
      <c r="AB389" s="4">
        <f t="shared" si="230"/>
        <v>300000</v>
      </c>
      <c r="AC389" s="4" t="s">
        <v>10</v>
      </c>
      <c r="AD389" s="16">
        <f>IFERROR(VLOOKUP(AC389,'Kode Diskon'!$C$2:$D$9,2,0),0)</f>
        <v>0</v>
      </c>
      <c r="AE389" s="31">
        <f t="shared" si="231"/>
        <v>0</v>
      </c>
      <c r="AF389" s="31">
        <f t="shared" si="232"/>
        <v>640000</v>
      </c>
      <c r="AG389" s="31">
        <f t="shared" si="233"/>
        <v>340000</v>
      </c>
      <c r="AH389" s="31">
        <f t="shared" si="234"/>
        <v>340000</v>
      </c>
      <c r="AI389" s="4" t="s">
        <v>10</v>
      </c>
      <c r="AJ389" s="4" t="s">
        <v>6</v>
      </c>
      <c r="AK389" s="4" t="str">
        <f>IFERROR(VLOOKUP(AJ389,'Guide '!$A$13:$B$16,2,0),"-")</f>
        <v>SP</v>
      </c>
      <c r="AL389" s="4" t="s">
        <v>924</v>
      </c>
      <c r="AM389" s="40">
        <v>45433</v>
      </c>
      <c r="AN389">
        <f t="shared" si="235"/>
        <v>29</v>
      </c>
      <c r="AO389">
        <f t="shared" si="236"/>
        <v>32</v>
      </c>
      <c r="AP389">
        <f t="shared" si="237"/>
        <v>40</v>
      </c>
      <c r="AQ389">
        <f t="shared" si="238"/>
        <v>43</v>
      </c>
      <c r="AR389" s="26">
        <f t="shared" si="239"/>
        <v>56</v>
      </c>
      <c r="AS389" s="26">
        <f t="shared" si="240"/>
        <v>63</v>
      </c>
      <c r="AT389" s="21">
        <f t="shared" si="241"/>
        <v>12</v>
      </c>
      <c r="AU389" s="21">
        <f t="shared" si="242"/>
        <v>19</v>
      </c>
      <c r="AV389">
        <f t="shared" si="243"/>
        <v>73</v>
      </c>
      <c r="AW389">
        <f t="shared" si="244"/>
        <v>76</v>
      </c>
      <c r="AX389">
        <f t="shared" si="245"/>
        <v>84</v>
      </c>
      <c r="AY389">
        <f t="shared" si="246"/>
        <v>87</v>
      </c>
      <c r="AZ389">
        <f t="shared" si="247"/>
        <v>100</v>
      </c>
      <c r="BA389">
        <f t="shared" si="248"/>
        <v>107</v>
      </c>
      <c r="BB389">
        <f t="shared" si="249"/>
        <v>117</v>
      </c>
      <c r="BC389">
        <f t="shared" si="250"/>
        <v>120</v>
      </c>
      <c r="BD389" s="29">
        <f t="shared" si="251"/>
        <v>128</v>
      </c>
      <c r="BE389" s="29">
        <f t="shared" si="252"/>
        <v>131</v>
      </c>
    </row>
    <row r="390" spans="1:57" ht="15" x14ac:dyDescent="0.2">
      <c r="A390" s="2">
        <v>153</v>
      </c>
      <c r="B390" s="2" t="str">
        <f t="shared" si="217"/>
        <v>0153</v>
      </c>
      <c r="C390" t="str">
        <f t="shared" si="218"/>
        <v>ORD-SP-0153-22/05/24</v>
      </c>
      <c r="D390" s="3" t="s">
        <v>223</v>
      </c>
      <c r="E390" t="str">
        <f t="shared" si="219"/>
        <v>SW001</v>
      </c>
      <c r="F390" t="str">
        <f>INDEX(Katalog!$B$4:$B$13,MATCH('Main Data'!E390,Katalog!$C$4:$C$13,0))</f>
        <v>Flat Shoes</v>
      </c>
      <c r="G390" t="str">
        <f>VLOOKUP(E390,Katalog!$A$15:$B$25,2,0)</f>
        <v>Sepatu Wanita</v>
      </c>
      <c r="H390" t="str">
        <f t="shared" si="220"/>
        <v>2</v>
      </c>
      <c r="I390" t="str">
        <f t="shared" si="221"/>
        <v>1</v>
      </c>
      <c r="J390" s="18">
        <f>VLOOKUP(E390,Katalog!$C$3:$F$13,2,0)</f>
        <v>150000</v>
      </c>
      <c r="K390" s="18">
        <f>VLOOKUP(E390,Katalog!$C$3:$F$13,3,0)</f>
        <v>70000</v>
      </c>
      <c r="L390" t="str">
        <f t="shared" si="222"/>
        <v>PP001</v>
      </c>
      <c r="M390" t="str">
        <f>IFERROR(INDEX(Katalog!$B$4:$B$13,MATCH('Main Data'!L390,Katalog!$C$4:$C$13,0)), "-")</f>
        <v>Kaos Polo</v>
      </c>
      <c r="N390" t="str">
        <f>IFERROR(VLOOKUP(L390,Katalog!$A$15:$B$25,2,0),"-")</f>
        <v>Pakaian Pria</v>
      </c>
      <c r="O390" t="str">
        <f t="shared" si="223"/>
        <v>1</v>
      </c>
      <c r="P390" t="str">
        <f t="shared" si="224"/>
        <v>5</v>
      </c>
      <c r="Q390" s="18">
        <f>IFERROR(VLOOKUP(L390,Katalog!$C$3:$F$13,2,0),0)</f>
        <v>80000</v>
      </c>
      <c r="R390" s="18">
        <f>IFERROR(VLOOKUP(L390,Katalog!$C$3:$F$13,3,0),0)</f>
        <v>30000</v>
      </c>
      <c r="S390" t="str">
        <f t="shared" si="225"/>
        <v>-</v>
      </c>
      <c r="T390" t="str">
        <f>IFERROR(INDEX(Katalog!$B$4:$B$13,MATCH('Main Data'!S390,Katalog!$C$4:$C$13,0)),"-")</f>
        <v>-</v>
      </c>
      <c r="U390" t="str">
        <f>IFERROR(VLOOKUP(S390,Katalog!$A$15:$B$25,2,0),"-")</f>
        <v>-</v>
      </c>
      <c r="V390">
        <f t="shared" si="226"/>
        <v>0</v>
      </c>
      <c r="W390" s="28" t="str">
        <f t="shared" si="227"/>
        <v>-</v>
      </c>
      <c r="X390" s="18">
        <f>IFERROR(VLOOKUP(S390,Katalog!$C$3:$F$13,2,0),0)</f>
        <v>0</v>
      </c>
      <c r="Y390" s="30">
        <f>IFERROR(VLOOKUP(S390,Katalog!$C$3:$F$13,3,0),0)</f>
        <v>0</v>
      </c>
      <c r="Z390" s="2">
        <f t="shared" si="228"/>
        <v>3</v>
      </c>
      <c r="AA390" s="4">
        <f t="shared" si="229"/>
        <v>380000</v>
      </c>
      <c r="AB390" s="4">
        <f t="shared" si="230"/>
        <v>170000</v>
      </c>
      <c r="AC390" s="4" t="s">
        <v>5</v>
      </c>
      <c r="AD390" s="16">
        <f>IFERROR(VLOOKUP(AC390,'Kode Diskon'!$C$2:$D$9,2,0),0)</f>
        <v>0.1</v>
      </c>
      <c r="AE390" s="31">
        <f t="shared" si="231"/>
        <v>38000</v>
      </c>
      <c r="AF390" s="31">
        <f t="shared" si="232"/>
        <v>342000</v>
      </c>
      <c r="AG390" s="31">
        <f t="shared" si="233"/>
        <v>210000</v>
      </c>
      <c r="AH390" s="31">
        <f t="shared" si="234"/>
        <v>172000</v>
      </c>
      <c r="AI390" s="4" t="s">
        <v>28</v>
      </c>
      <c r="AJ390" s="4" t="s">
        <v>6</v>
      </c>
      <c r="AK390" s="4" t="str">
        <f>IFERROR(VLOOKUP(AJ390,'Guide '!$A$13:$B$16,2,0),"-")</f>
        <v>SP</v>
      </c>
      <c r="AL390" s="4" t="s">
        <v>924</v>
      </c>
      <c r="AM390" s="40">
        <v>45434</v>
      </c>
      <c r="AN390">
        <f t="shared" si="235"/>
        <v>29</v>
      </c>
      <c r="AO390">
        <f t="shared" si="236"/>
        <v>32</v>
      </c>
      <c r="AP390">
        <f t="shared" si="237"/>
        <v>40</v>
      </c>
      <c r="AQ390">
        <f t="shared" si="238"/>
        <v>43</v>
      </c>
      <c r="AR390" s="26">
        <f t="shared" si="239"/>
        <v>56</v>
      </c>
      <c r="AS390" s="26">
        <f t="shared" si="240"/>
        <v>63</v>
      </c>
      <c r="AT390" s="21">
        <f t="shared" si="241"/>
        <v>12</v>
      </c>
      <c r="AU390" s="21">
        <f t="shared" si="242"/>
        <v>19</v>
      </c>
      <c r="AV390">
        <f t="shared" si="243"/>
        <v>73</v>
      </c>
      <c r="AW390">
        <f t="shared" si="244"/>
        <v>76</v>
      </c>
      <c r="AX390">
        <f t="shared" si="245"/>
        <v>84</v>
      </c>
      <c r="AY390">
        <f t="shared" si="246"/>
        <v>87</v>
      </c>
      <c r="AZ390" t="str">
        <f t="shared" si="247"/>
        <v>-</v>
      </c>
      <c r="BA390" t="str">
        <f t="shared" si="248"/>
        <v>-</v>
      </c>
      <c r="BB390" t="str">
        <f t="shared" si="249"/>
        <v>-</v>
      </c>
      <c r="BC390" t="str">
        <f t="shared" si="250"/>
        <v>-</v>
      </c>
      <c r="BD390" s="29" t="str">
        <f t="shared" si="251"/>
        <v>-</v>
      </c>
      <c r="BE390" s="29" t="str">
        <f t="shared" si="252"/>
        <v>-</v>
      </c>
    </row>
    <row r="391" spans="1:57" ht="15" x14ac:dyDescent="0.2">
      <c r="A391" s="2">
        <v>238</v>
      </c>
      <c r="B391" s="2" t="str">
        <f t="shared" si="217"/>
        <v>0238</v>
      </c>
      <c r="C391" t="str">
        <f t="shared" si="218"/>
        <v>ORD-SP-0238-22/05/24</v>
      </c>
      <c r="D391" s="3" t="s">
        <v>304</v>
      </c>
      <c r="E391" t="str">
        <f t="shared" si="219"/>
        <v>SP002</v>
      </c>
      <c r="F391" t="str">
        <f>INDEX(Katalog!$B$4:$B$13,MATCH('Main Data'!E391,Katalog!$C$4:$C$13,0))</f>
        <v>Sandal Slip On</v>
      </c>
      <c r="G391" t="str">
        <f>VLOOKUP(E391,Katalog!$A$15:$B$25,2,0)</f>
        <v>Sepatu Pria</v>
      </c>
      <c r="H391" t="str">
        <f t="shared" si="220"/>
        <v>2</v>
      </c>
      <c r="I391" t="str">
        <f t="shared" si="221"/>
        <v>4</v>
      </c>
      <c r="J391" s="18">
        <f>VLOOKUP(E391,Katalog!$C$3:$F$13,2,0)</f>
        <v>120000</v>
      </c>
      <c r="K391" s="18">
        <f>VLOOKUP(E391,Katalog!$C$3:$F$13,3,0)</f>
        <v>60000</v>
      </c>
      <c r="L391" t="str">
        <f t="shared" si="222"/>
        <v>PP003</v>
      </c>
      <c r="M391" t="str">
        <f>IFERROR(INDEX(Katalog!$B$4:$B$13,MATCH('Main Data'!L391,Katalog!$C$4:$C$13,0)), "-")</f>
        <v>Jaket Jeans</v>
      </c>
      <c r="N391" t="str">
        <f>IFERROR(VLOOKUP(L391,Katalog!$A$15:$B$25,2,0),"-")</f>
        <v>Pakaian Pria</v>
      </c>
      <c r="O391" t="str">
        <f t="shared" si="223"/>
        <v>1</v>
      </c>
      <c r="P391" t="str">
        <f t="shared" si="224"/>
        <v>3</v>
      </c>
      <c r="Q391" s="18">
        <f>IFERROR(VLOOKUP(L391,Katalog!$C$3:$F$13,2,0),0)</f>
        <v>150000</v>
      </c>
      <c r="R391" s="18">
        <f>IFERROR(VLOOKUP(L391,Katalog!$C$3:$F$13,3,0),0)</f>
        <v>70000</v>
      </c>
      <c r="S391" t="str">
        <f t="shared" si="225"/>
        <v>PW002</v>
      </c>
      <c r="T391" t="str">
        <f>IFERROR(INDEX(Katalog!$B$4:$B$13,MATCH('Main Data'!S391,Katalog!$C$4:$C$13,0)),"-")</f>
        <v>Blouse</v>
      </c>
      <c r="U391" t="str">
        <f>IFERROR(VLOOKUP(S391,Katalog!$A$15:$B$25,2,0),"-")</f>
        <v>Pakaian Wanita</v>
      </c>
      <c r="V391" t="str">
        <f t="shared" si="226"/>
        <v>4</v>
      </c>
      <c r="W391" s="28" t="str">
        <f t="shared" si="227"/>
        <v>5</v>
      </c>
      <c r="X391" s="18">
        <f>IFERROR(VLOOKUP(S391,Katalog!$C$3:$F$13,2,0),0)</f>
        <v>125000</v>
      </c>
      <c r="Y391" s="30">
        <f>IFERROR(VLOOKUP(S391,Katalog!$C$3:$F$13,3,0),0)</f>
        <v>50000</v>
      </c>
      <c r="Z391" s="2">
        <f t="shared" si="228"/>
        <v>7</v>
      </c>
      <c r="AA391" s="4">
        <f t="shared" si="229"/>
        <v>890000</v>
      </c>
      <c r="AB391" s="4">
        <f t="shared" si="230"/>
        <v>390000</v>
      </c>
      <c r="AC391" s="4" t="s">
        <v>12</v>
      </c>
      <c r="AD391" s="16">
        <f>IFERROR(VLOOKUP(AC391,'Kode Diskon'!$C$2:$D$9,2,0),0)</f>
        <v>0.15</v>
      </c>
      <c r="AE391" s="31">
        <f t="shared" si="231"/>
        <v>133500</v>
      </c>
      <c r="AF391" s="31">
        <f t="shared" si="232"/>
        <v>756500</v>
      </c>
      <c r="AG391" s="31">
        <f t="shared" si="233"/>
        <v>500000</v>
      </c>
      <c r="AH391" s="31">
        <f t="shared" si="234"/>
        <v>366500</v>
      </c>
      <c r="AI391" s="4" t="s">
        <v>28</v>
      </c>
      <c r="AJ391" s="4" t="s">
        <v>6</v>
      </c>
      <c r="AK391" s="4" t="str">
        <f>IFERROR(VLOOKUP(AJ391,'Guide '!$A$13:$B$16,2,0),"-")</f>
        <v>SP</v>
      </c>
      <c r="AL391" s="4" t="s">
        <v>1006</v>
      </c>
      <c r="AM391" s="40">
        <v>45434</v>
      </c>
      <c r="AN391">
        <f t="shared" si="235"/>
        <v>29</v>
      </c>
      <c r="AO391">
        <f t="shared" si="236"/>
        <v>32</v>
      </c>
      <c r="AP391">
        <f t="shared" si="237"/>
        <v>40</v>
      </c>
      <c r="AQ391">
        <f t="shared" si="238"/>
        <v>43</v>
      </c>
      <c r="AR391" s="26">
        <f t="shared" si="239"/>
        <v>56</v>
      </c>
      <c r="AS391" s="26">
        <f t="shared" si="240"/>
        <v>63</v>
      </c>
      <c r="AT391" s="21">
        <f t="shared" si="241"/>
        <v>12</v>
      </c>
      <c r="AU391" s="21">
        <f t="shared" si="242"/>
        <v>19</v>
      </c>
      <c r="AV391">
        <f t="shared" si="243"/>
        <v>73</v>
      </c>
      <c r="AW391">
        <f t="shared" si="244"/>
        <v>76</v>
      </c>
      <c r="AX391">
        <f t="shared" si="245"/>
        <v>84</v>
      </c>
      <c r="AY391">
        <f t="shared" si="246"/>
        <v>87</v>
      </c>
      <c r="AZ391">
        <f t="shared" si="247"/>
        <v>100</v>
      </c>
      <c r="BA391">
        <f t="shared" si="248"/>
        <v>107</v>
      </c>
      <c r="BB391">
        <f t="shared" si="249"/>
        <v>117</v>
      </c>
      <c r="BC391">
        <f t="shared" si="250"/>
        <v>120</v>
      </c>
      <c r="BD391" s="29">
        <f t="shared" si="251"/>
        <v>128</v>
      </c>
      <c r="BE391" s="29">
        <f t="shared" si="252"/>
        <v>131</v>
      </c>
    </row>
    <row r="392" spans="1:57" ht="15" x14ac:dyDescent="0.2">
      <c r="A392" s="2">
        <v>431</v>
      </c>
      <c r="B392" s="2" t="str">
        <f t="shared" si="217"/>
        <v>0431</v>
      </c>
      <c r="C392" t="str">
        <f t="shared" si="218"/>
        <v>ORD-SP-0431-22/05/24</v>
      </c>
      <c r="D392" s="3" t="s">
        <v>472</v>
      </c>
      <c r="E392" t="str">
        <f t="shared" si="219"/>
        <v>SP001</v>
      </c>
      <c r="F392" t="str">
        <f>INDEX(Katalog!$B$4:$B$13,MATCH('Main Data'!E392,Katalog!$C$4:$C$13,0))</f>
        <v>Sneakers</v>
      </c>
      <c r="G392" t="str">
        <f>VLOOKUP(E392,Katalog!$A$15:$B$25,2,0)</f>
        <v>Sepatu Pria</v>
      </c>
      <c r="H392" t="str">
        <f t="shared" si="220"/>
        <v>3</v>
      </c>
      <c r="I392" t="str">
        <f t="shared" si="221"/>
        <v>2</v>
      </c>
      <c r="J392" s="18">
        <f>VLOOKUP(E392,Katalog!$C$3:$F$13,2,0)</f>
        <v>300000</v>
      </c>
      <c r="K392" s="18">
        <f>VLOOKUP(E392,Katalog!$C$3:$F$13,3,0)</f>
        <v>100000</v>
      </c>
      <c r="L392" t="str">
        <f t="shared" si="222"/>
        <v>SW001</v>
      </c>
      <c r="M392" t="str">
        <f>IFERROR(INDEX(Katalog!$B$4:$B$13,MATCH('Main Data'!L392,Katalog!$C$4:$C$13,0)), "-")</f>
        <v>Flat Shoes</v>
      </c>
      <c r="N392" t="str">
        <f>IFERROR(VLOOKUP(L392,Katalog!$A$15:$B$25,2,0),"-")</f>
        <v>Sepatu Wanita</v>
      </c>
      <c r="O392" t="str">
        <f t="shared" si="223"/>
        <v>1</v>
      </c>
      <c r="P392" t="str">
        <f t="shared" si="224"/>
        <v>1</v>
      </c>
      <c r="Q392" s="18">
        <f>IFERROR(VLOOKUP(L392,Katalog!$C$3:$F$13,2,0),0)</f>
        <v>150000</v>
      </c>
      <c r="R392" s="18">
        <f>IFERROR(VLOOKUP(L392,Katalog!$C$3:$F$13,3,0),0)</f>
        <v>70000</v>
      </c>
      <c r="S392" t="str">
        <f t="shared" si="225"/>
        <v>-</v>
      </c>
      <c r="T392" t="str">
        <f>IFERROR(INDEX(Katalog!$B$4:$B$13,MATCH('Main Data'!S392,Katalog!$C$4:$C$13,0)),"-")</f>
        <v>-</v>
      </c>
      <c r="U392" t="str">
        <f>IFERROR(VLOOKUP(S392,Katalog!$A$15:$B$25,2,0),"-")</f>
        <v>-</v>
      </c>
      <c r="V392">
        <f t="shared" si="226"/>
        <v>0</v>
      </c>
      <c r="W392" s="28" t="str">
        <f t="shared" si="227"/>
        <v>-</v>
      </c>
      <c r="X392" s="18">
        <f>IFERROR(VLOOKUP(S392,Katalog!$C$3:$F$13,2,0),0)</f>
        <v>0</v>
      </c>
      <c r="Y392" s="30">
        <f>IFERROR(VLOOKUP(S392,Katalog!$C$3:$F$13,3,0),0)</f>
        <v>0</v>
      </c>
      <c r="Z392" s="2">
        <f t="shared" si="228"/>
        <v>4</v>
      </c>
      <c r="AA392" s="4">
        <f t="shared" si="229"/>
        <v>1050000</v>
      </c>
      <c r="AB392" s="4">
        <f t="shared" si="230"/>
        <v>370000</v>
      </c>
      <c r="AC392" s="4" t="s">
        <v>7</v>
      </c>
      <c r="AD392" s="16">
        <f>IFERROR(VLOOKUP(AC392,'Kode Diskon'!$C$2:$D$9,2,0),0)</f>
        <v>0.2</v>
      </c>
      <c r="AE392" s="31">
        <f t="shared" si="231"/>
        <v>210000</v>
      </c>
      <c r="AF392" s="31">
        <f t="shared" si="232"/>
        <v>840000</v>
      </c>
      <c r="AG392" s="31">
        <f t="shared" si="233"/>
        <v>680000</v>
      </c>
      <c r="AH392" s="31">
        <f t="shared" si="234"/>
        <v>470000</v>
      </c>
      <c r="AI392" s="4" t="s">
        <v>8</v>
      </c>
      <c r="AJ392" s="4" t="s">
        <v>6</v>
      </c>
      <c r="AK392" s="4" t="str">
        <f>IFERROR(VLOOKUP(AJ392,'Guide '!$A$13:$B$16,2,0),"-")</f>
        <v>SP</v>
      </c>
      <c r="AL392" s="4" t="s">
        <v>922</v>
      </c>
      <c r="AM392" s="40">
        <v>45434</v>
      </c>
      <c r="AN392">
        <f t="shared" si="235"/>
        <v>29</v>
      </c>
      <c r="AO392">
        <f t="shared" si="236"/>
        <v>32</v>
      </c>
      <c r="AP392">
        <f t="shared" si="237"/>
        <v>40</v>
      </c>
      <c r="AQ392">
        <f t="shared" si="238"/>
        <v>43</v>
      </c>
      <c r="AR392" s="26">
        <f t="shared" si="239"/>
        <v>56</v>
      </c>
      <c r="AS392" s="26">
        <f t="shared" si="240"/>
        <v>63</v>
      </c>
      <c r="AT392" s="21">
        <f t="shared" si="241"/>
        <v>12</v>
      </c>
      <c r="AU392" s="21">
        <f t="shared" si="242"/>
        <v>19</v>
      </c>
      <c r="AV392">
        <f t="shared" si="243"/>
        <v>73</v>
      </c>
      <c r="AW392">
        <f t="shared" si="244"/>
        <v>76</v>
      </c>
      <c r="AX392">
        <f t="shared" si="245"/>
        <v>84</v>
      </c>
      <c r="AY392">
        <f t="shared" si="246"/>
        <v>87</v>
      </c>
      <c r="AZ392" t="str">
        <f t="shared" si="247"/>
        <v>-</v>
      </c>
      <c r="BA392" t="str">
        <f t="shared" si="248"/>
        <v>-</v>
      </c>
      <c r="BB392" t="str">
        <f t="shared" si="249"/>
        <v>-</v>
      </c>
      <c r="BC392" t="str">
        <f t="shared" si="250"/>
        <v>-</v>
      </c>
      <c r="BD392" s="29" t="str">
        <f t="shared" si="251"/>
        <v>-</v>
      </c>
      <c r="BE392" s="29" t="str">
        <f t="shared" si="252"/>
        <v>-</v>
      </c>
    </row>
    <row r="393" spans="1:57" ht="15" x14ac:dyDescent="0.2">
      <c r="A393" s="2">
        <v>594</v>
      </c>
      <c r="B393" s="2" t="str">
        <f t="shared" si="217"/>
        <v>0594</v>
      </c>
      <c r="C393" t="str">
        <f t="shared" si="218"/>
        <v>ORD-BB-0594-22/05/24</v>
      </c>
      <c r="D393" s="3" t="s">
        <v>607</v>
      </c>
      <c r="E393" t="str">
        <f t="shared" si="219"/>
        <v>SP001</v>
      </c>
      <c r="F393" t="str">
        <f>INDEX(Katalog!$B$4:$B$13,MATCH('Main Data'!E393,Katalog!$C$4:$C$13,0))</f>
        <v>Sneakers</v>
      </c>
      <c r="G393" t="str">
        <f>VLOOKUP(E393,Katalog!$A$15:$B$25,2,0)</f>
        <v>Sepatu Pria</v>
      </c>
      <c r="H393" t="str">
        <f t="shared" si="220"/>
        <v>3</v>
      </c>
      <c r="I393" t="str">
        <f t="shared" si="221"/>
        <v>5</v>
      </c>
      <c r="J393" s="18">
        <f>VLOOKUP(E393,Katalog!$C$3:$F$13,2,0)</f>
        <v>300000</v>
      </c>
      <c r="K393" s="18">
        <f>VLOOKUP(E393,Katalog!$C$3:$F$13,3,0)</f>
        <v>100000</v>
      </c>
      <c r="L393" t="str">
        <f t="shared" si="222"/>
        <v>PU001</v>
      </c>
      <c r="M393" t="str">
        <f>IFERROR(INDEX(Katalog!$B$4:$B$13,MATCH('Main Data'!L393,Katalog!$C$4:$C$13,0)), "-")</f>
        <v>Jaket Hoodie</v>
      </c>
      <c r="N393" t="str">
        <f>IFERROR(VLOOKUP(L393,Katalog!$A$15:$B$25,2,0),"-")</f>
        <v>Pakaian Unisex</v>
      </c>
      <c r="O393" t="str">
        <f t="shared" si="223"/>
        <v>3</v>
      </c>
      <c r="P393" t="str">
        <f t="shared" si="224"/>
        <v>5</v>
      </c>
      <c r="Q393" s="18">
        <f>IFERROR(VLOOKUP(L393,Katalog!$C$3:$F$13,2,0),0)</f>
        <v>160000</v>
      </c>
      <c r="R393" s="18">
        <f>IFERROR(VLOOKUP(L393,Katalog!$C$3:$F$13,3,0),0)</f>
        <v>60000</v>
      </c>
      <c r="S393" t="str">
        <f t="shared" si="225"/>
        <v>-</v>
      </c>
      <c r="T393" t="str">
        <f>IFERROR(INDEX(Katalog!$B$4:$B$13,MATCH('Main Data'!S393,Katalog!$C$4:$C$13,0)),"-")</f>
        <v>-</v>
      </c>
      <c r="U393" t="str">
        <f>IFERROR(VLOOKUP(S393,Katalog!$A$15:$B$25,2,0),"-")</f>
        <v>-</v>
      </c>
      <c r="V393">
        <f t="shared" si="226"/>
        <v>0</v>
      </c>
      <c r="W393" s="28" t="str">
        <f t="shared" si="227"/>
        <v>-</v>
      </c>
      <c r="X393" s="18">
        <f>IFERROR(VLOOKUP(S393,Katalog!$C$3:$F$13,2,0),0)</f>
        <v>0</v>
      </c>
      <c r="Y393" s="30">
        <f>IFERROR(VLOOKUP(S393,Katalog!$C$3:$F$13,3,0),0)</f>
        <v>0</v>
      </c>
      <c r="Z393" s="2">
        <f t="shared" si="228"/>
        <v>6</v>
      </c>
      <c r="AA393" s="4">
        <f t="shared" si="229"/>
        <v>1380000</v>
      </c>
      <c r="AB393" s="4">
        <f t="shared" si="230"/>
        <v>480000</v>
      </c>
      <c r="AC393" s="4" t="s">
        <v>27</v>
      </c>
      <c r="AD393" s="16">
        <f>IFERROR(VLOOKUP(AC393,'Kode Diskon'!$C$2:$D$9,2,0),0)</f>
        <v>0.15</v>
      </c>
      <c r="AE393" s="31">
        <f t="shared" si="231"/>
        <v>207000</v>
      </c>
      <c r="AF393" s="31">
        <f t="shared" si="232"/>
        <v>1173000</v>
      </c>
      <c r="AG393" s="31">
        <f t="shared" si="233"/>
        <v>900000</v>
      </c>
      <c r="AH393" s="31">
        <f t="shared" si="234"/>
        <v>693000</v>
      </c>
      <c r="AI393" s="4" t="s">
        <v>28</v>
      </c>
      <c r="AJ393" s="4" t="s">
        <v>13</v>
      </c>
      <c r="AK393" s="4" t="str">
        <f>IFERROR(VLOOKUP(AJ393,'Guide '!$A$13:$B$16,2,0),"-")</f>
        <v>BB</v>
      </c>
      <c r="AL393" s="4" t="s">
        <v>924</v>
      </c>
      <c r="AM393" s="40">
        <v>45434</v>
      </c>
      <c r="AN393">
        <f t="shared" si="235"/>
        <v>29</v>
      </c>
      <c r="AO393">
        <f t="shared" si="236"/>
        <v>32</v>
      </c>
      <c r="AP393">
        <f t="shared" si="237"/>
        <v>40</v>
      </c>
      <c r="AQ393">
        <f t="shared" si="238"/>
        <v>43</v>
      </c>
      <c r="AR393" s="26">
        <f t="shared" si="239"/>
        <v>56</v>
      </c>
      <c r="AS393" s="26">
        <f t="shared" si="240"/>
        <v>63</v>
      </c>
      <c r="AT393" s="21">
        <f t="shared" si="241"/>
        <v>12</v>
      </c>
      <c r="AU393" s="21">
        <f t="shared" si="242"/>
        <v>19</v>
      </c>
      <c r="AV393">
        <f t="shared" si="243"/>
        <v>73</v>
      </c>
      <c r="AW393">
        <f t="shared" si="244"/>
        <v>76</v>
      </c>
      <c r="AX393">
        <f t="shared" si="245"/>
        <v>84</v>
      </c>
      <c r="AY393">
        <f t="shared" si="246"/>
        <v>87</v>
      </c>
      <c r="AZ393" t="str">
        <f t="shared" si="247"/>
        <v>-</v>
      </c>
      <c r="BA393" t="str">
        <f t="shared" si="248"/>
        <v>-</v>
      </c>
      <c r="BB393" t="str">
        <f t="shared" si="249"/>
        <v>-</v>
      </c>
      <c r="BC393" t="str">
        <f t="shared" si="250"/>
        <v>-</v>
      </c>
      <c r="BD393" s="29" t="str">
        <f t="shared" si="251"/>
        <v>-</v>
      </c>
      <c r="BE393" s="29" t="str">
        <f t="shared" si="252"/>
        <v>-</v>
      </c>
    </row>
    <row r="394" spans="1:57" ht="15" x14ac:dyDescent="0.2">
      <c r="A394" s="2">
        <v>615</v>
      </c>
      <c r="B394" s="2" t="str">
        <f t="shared" si="217"/>
        <v>0615</v>
      </c>
      <c r="C394" t="str">
        <f t="shared" si="218"/>
        <v>ORD-BL-0615-22/05/24</v>
      </c>
      <c r="D394" s="3" t="s">
        <v>626</v>
      </c>
      <c r="E394" t="str">
        <f t="shared" si="219"/>
        <v>PU001</v>
      </c>
      <c r="F394" t="str">
        <f>INDEX(Katalog!$B$4:$B$13,MATCH('Main Data'!E394,Katalog!$C$4:$C$13,0))</f>
        <v>Jaket Hoodie</v>
      </c>
      <c r="G394" t="str">
        <f>VLOOKUP(E394,Katalog!$A$15:$B$25,2,0)</f>
        <v>Pakaian Unisex</v>
      </c>
      <c r="H394" t="str">
        <f t="shared" si="220"/>
        <v>4</v>
      </c>
      <c r="I394" t="str">
        <f t="shared" si="221"/>
        <v>1</v>
      </c>
      <c r="J394" s="18">
        <f>VLOOKUP(E394,Katalog!$C$3:$F$13,2,0)</f>
        <v>160000</v>
      </c>
      <c r="K394" s="18">
        <f>VLOOKUP(E394,Katalog!$C$3:$F$13,3,0)</f>
        <v>60000</v>
      </c>
      <c r="L394" t="str">
        <f t="shared" si="222"/>
        <v>SP002</v>
      </c>
      <c r="M394" t="str">
        <f>IFERROR(INDEX(Katalog!$B$4:$B$13,MATCH('Main Data'!L394,Katalog!$C$4:$C$13,0)), "-")</f>
        <v>Sandal Slip On</v>
      </c>
      <c r="N394" t="str">
        <f>IFERROR(VLOOKUP(L394,Katalog!$A$15:$B$25,2,0),"-")</f>
        <v>Sepatu Pria</v>
      </c>
      <c r="O394" t="str">
        <f t="shared" si="223"/>
        <v>2</v>
      </c>
      <c r="P394" t="str">
        <f t="shared" si="224"/>
        <v>5</v>
      </c>
      <c r="Q394" s="18">
        <f>IFERROR(VLOOKUP(L394,Katalog!$C$3:$F$13,2,0),0)</f>
        <v>120000</v>
      </c>
      <c r="R394" s="18">
        <f>IFERROR(VLOOKUP(L394,Katalog!$C$3:$F$13,3,0),0)</f>
        <v>60000</v>
      </c>
      <c r="S394" t="str">
        <f t="shared" si="225"/>
        <v>PP003</v>
      </c>
      <c r="T394" t="str">
        <f>IFERROR(INDEX(Katalog!$B$4:$B$13,MATCH('Main Data'!S394,Katalog!$C$4:$C$13,0)),"-")</f>
        <v>Jaket Jeans</v>
      </c>
      <c r="U394" t="str">
        <f>IFERROR(VLOOKUP(S394,Katalog!$A$15:$B$25,2,0),"-")</f>
        <v>Pakaian Pria</v>
      </c>
      <c r="V394" t="str">
        <f t="shared" si="226"/>
        <v>1</v>
      </c>
      <c r="W394" s="28" t="str">
        <f t="shared" si="227"/>
        <v>3</v>
      </c>
      <c r="X394" s="18">
        <f>IFERROR(VLOOKUP(S394,Katalog!$C$3:$F$13,2,0),0)</f>
        <v>150000</v>
      </c>
      <c r="Y394" s="30">
        <f>IFERROR(VLOOKUP(S394,Katalog!$C$3:$F$13,3,0),0)</f>
        <v>70000</v>
      </c>
      <c r="Z394" s="2">
        <f t="shared" si="228"/>
        <v>7</v>
      </c>
      <c r="AA394" s="4">
        <f t="shared" si="229"/>
        <v>1030000</v>
      </c>
      <c r="AB394" s="4">
        <f t="shared" si="230"/>
        <v>430000</v>
      </c>
      <c r="AC394" s="4" t="s">
        <v>31</v>
      </c>
      <c r="AD394" s="16">
        <f>IFERROR(VLOOKUP(AC394,'Kode Diskon'!$C$2:$D$9,2,0),0)</f>
        <v>0.15</v>
      </c>
      <c r="AE394" s="31">
        <f t="shared" si="231"/>
        <v>154500</v>
      </c>
      <c r="AF394" s="31">
        <f t="shared" si="232"/>
        <v>875500</v>
      </c>
      <c r="AG394" s="31">
        <f t="shared" si="233"/>
        <v>600000</v>
      </c>
      <c r="AH394" s="31">
        <f t="shared" si="234"/>
        <v>445500</v>
      </c>
      <c r="AI394" s="4" t="s">
        <v>8</v>
      </c>
      <c r="AJ394" s="4" t="s">
        <v>11</v>
      </c>
      <c r="AK394" s="4" t="str">
        <f>IFERROR(VLOOKUP(AJ394,'Guide '!$A$13:$B$16,2,0),"-")</f>
        <v>BL</v>
      </c>
      <c r="AL394" s="4" t="s">
        <v>921</v>
      </c>
      <c r="AM394" s="40">
        <v>45434</v>
      </c>
      <c r="AN394">
        <f t="shared" si="235"/>
        <v>29</v>
      </c>
      <c r="AO394">
        <f t="shared" si="236"/>
        <v>32</v>
      </c>
      <c r="AP394">
        <f t="shared" si="237"/>
        <v>40</v>
      </c>
      <c r="AQ394">
        <f t="shared" si="238"/>
        <v>43</v>
      </c>
      <c r="AR394" s="26">
        <f t="shared" si="239"/>
        <v>56</v>
      </c>
      <c r="AS394" s="26">
        <f t="shared" si="240"/>
        <v>63</v>
      </c>
      <c r="AT394" s="21">
        <f t="shared" si="241"/>
        <v>12</v>
      </c>
      <c r="AU394" s="21">
        <f t="shared" si="242"/>
        <v>19</v>
      </c>
      <c r="AV394">
        <f t="shared" si="243"/>
        <v>73</v>
      </c>
      <c r="AW394">
        <f t="shared" si="244"/>
        <v>76</v>
      </c>
      <c r="AX394">
        <f t="shared" si="245"/>
        <v>84</v>
      </c>
      <c r="AY394">
        <f t="shared" si="246"/>
        <v>87</v>
      </c>
      <c r="AZ394">
        <f t="shared" si="247"/>
        <v>100</v>
      </c>
      <c r="BA394">
        <f t="shared" si="248"/>
        <v>107</v>
      </c>
      <c r="BB394">
        <f t="shared" si="249"/>
        <v>117</v>
      </c>
      <c r="BC394">
        <f t="shared" si="250"/>
        <v>120</v>
      </c>
      <c r="BD394" s="29">
        <f t="shared" si="251"/>
        <v>128</v>
      </c>
      <c r="BE394" s="29">
        <f t="shared" si="252"/>
        <v>131</v>
      </c>
    </row>
    <row r="395" spans="1:57" ht="15" x14ac:dyDescent="0.2">
      <c r="A395" s="2">
        <v>243</v>
      </c>
      <c r="B395" s="2" t="str">
        <f t="shared" si="217"/>
        <v>0243</v>
      </c>
      <c r="C395" t="str">
        <f t="shared" si="218"/>
        <v>ORD-SP-0243-23/05/24</v>
      </c>
      <c r="D395" s="3" t="s">
        <v>244</v>
      </c>
      <c r="E395" t="str">
        <f t="shared" si="219"/>
        <v>PP002</v>
      </c>
      <c r="F395" t="str">
        <f>INDEX(Katalog!$B$4:$B$13,MATCH('Main Data'!E395,Katalog!$C$4:$C$13,0))</f>
        <v>Celana Pendek</v>
      </c>
      <c r="G395" t="str">
        <f>VLOOKUP(E395,Katalog!$A$15:$B$25,2,0)</f>
        <v>Pakaian Pria</v>
      </c>
      <c r="H395" t="str">
        <f t="shared" si="220"/>
        <v>2</v>
      </c>
      <c r="I395" t="str">
        <f t="shared" si="221"/>
        <v>4</v>
      </c>
      <c r="J395" s="18">
        <f>VLOOKUP(E395,Katalog!$C$3:$F$13,2,0)</f>
        <v>60000</v>
      </c>
      <c r="K395" s="18">
        <f>VLOOKUP(E395,Katalog!$C$3:$F$13,3,0)</f>
        <v>25000</v>
      </c>
      <c r="L395" t="str">
        <f t="shared" si="222"/>
        <v>-</v>
      </c>
      <c r="M395" t="str">
        <f>IFERROR(INDEX(Katalog!$B$4:$B$13,MATCH('Main Data'!L395,Katalog!$C$4:$C$13,0)), "-")</f>
        <v>-</v>
      </c>
      <c r="N395" t="str">
        <f>IFERROR(VLOOKUP(L395,Katalog!$A$15:$B$25,2,0),"-")</f>
        <v>-</v>
      </c>
      <c r="O395">
        <f t="shared" si="223"/>
        <v>0</v>
      </c>
      <c r="P395" t="str">
        <f t="shared" si="224"/>
        <v>-</v>
      </c>
      <c r="Q395" s="18">
        <f>IFERROR(VLOOKUP(L395,Katalog!$C$3:$F$13,2,0),0)</f>
        <v>0</v>
      </c>
      <c r="R395" s="18">
        <f>IFERROR(VLOOKUP(L395,Katalog!$C$3:$F$13,3,0),0)</f>
        <v>0</v>
      </c>
      <c r="S395" t="str">
        <f t="shared" si="225"/>
        <v>-</v>
      </c>
      <c r="T395" t="str">
        <f>IFERROR(INDEX(Katalog!$B$4:$B$13,MATCH('Main Data'!S395,Katalog!$C$4:$C$13,0)),"-")</f>
        <v>-</v>
      </c>
      <c r="U395" t="str">
        <f>IFERROR(VLOOKUP(S395,Katalog!$A$15:$B$25,2,0),"-")</f>
        <v>-</v>
      </c>
      <c r="V395">
        <f t="shared" si="226"/>
        <v>0</v>
      </c>
      <c r="W395" s="28" t="str">
        <f t="shared" si="227"/>
        <v>-</v>
      </c>
      <c r="X395" s="18">
        <f>IFERROR(VLOOKUP(S395,Katalog!$C$3:$F$13,2,0),0)</f>
        <v>0</v>
      </c>
      <c r="Y395" s="30">
        <f>IFERROR(VLOOKUP(S395,Katalog!$C$3:$F$13,3,0),0)</f>
        <v>0</v>
      </c>
      <c r="Z395" s="2">
        <f t="shared" si="228"/>
        <v>2</v>
      </c>
      <c r="AA395" s="4">
        <f t="shared" si="229"/>
        <v>120000</v>
      </c>
      <c r="AB395" s="4">
        <f t="shared" si="230"/>
        <v>50000</v>
      </c>
      <c r="AC395" s="4" t="s">
        <v>12</v>
      </c>
      <c r="AD395" s="16">
        <f>IFERROR(VLOOKUP(AC395,'Kode Diskon'!$C$2:$D$9,2,0),0)</f>
        <v>0.15</v>
      </c>
      <c r="AE395" s="31">
        <f t="shared" si="231"/>
        <v>18000</v>
      </c>
      <c r="AF395" s="31">
        <f t="shared" si="232"/>
        <v>102000</v>
      </c>
      <c r="AG395" s="31">
        <f t="shared" si="233"/>
        <v>70000</v>
      </c>
      <c r="AH395" s="31">
        <f t="shared" si="234"/>
        <v>52000</v>
      </c>
      <c r="AI395" s="4" t="s">
        <v>28</v>
      </c>
      <c r="AJ395" s="4" t="s">
        <v>6</v>
      </c>
      <c r="AK395" s="4" t="str">
        <f>IFERROR(VLOOKUP(AJ395,'Guide '!$A$13:$B$16,2,0),"-")</f>
        <v>SP</v>
      </c>
      <c r="AL395" s="4" t="s">
        <v>925</v>
      </c>
      <c r="AM395" s="40">
        <v>45435</v>
      </c>
      <c r="AN395">
        <f t="shared" si="235"/>
        <v>29</v>
      </c>
      <c r="AO395">
        <f t="shared" si="236"/>
        <v>32</v>
      </c>
      <c r="AP395">
        <f t="shared" si="237"/>
        <v>40</v>
      </c>
      <c r="AQ395">
        <f t="shared" si="238"/>
        <v>43</v>
      </c>
      <c r="AR395" s="26" t="str">
        <f t="shared" si="239"/>
        <v>-</v>
      </c>
      <c r="AS395" s="26" t="str">
        <f t="shared" si="240"/>
        <v>-</v>
      </c>
      <c r="AT395" s="21">
        <f t="shared" si="241"/>
        <v>12</v>
      </c>
      <c r="AU395" s="21">
        <f t="shared" si="242"/>
        <v>19</v>
      </c>
      <c r="AV395" t="str">
        <f t="shared" si="243"/>
        <v>-</v>
      </c>
      <c r="AW395" t="str">
        <f t="shared" si="244"/>
        <v>-</v>
      </c>
      <c r="AX395" t="str">
        <f t="shared" si="245"/>
        <v>-</v>
      </c>
      <c r="AY395" t="str">
        <f t="shared" si="246"/>
        <v>-</v>
      </c>
      <c r="AZ395" t="str">
        <f t="shared" si="247"/>
        <v>-</v>
      </c>
      <c r="BA395" t="str">
        <f t="shared" si="248"/>
        <v>-</v>
      </c>
      <c r="BB395" t="str">
        <f t="shared" si="249"/>
        <v>-</v>
      </c>
      <c r="BC395" t="str">
        <f t="shared" si="250"/>
        <v>-</v>
      </c>
      <c r="BD395" s="29" t="str">
        <f t="shared" si="251"/>
        <v>-</v>
      </c>
      <c r="BE395" s="29" t="str">
        <f t="shared" si="252"/>
        <v>-</v>
      </c>
    </row>
    <row r="396" spans="1:57" ht="15" x14ac:dyDescent="0.2">
      <c r="A396" s="2">
        <v>478</v>
      </c>
      <c r="B396" s="2" t="str">
        <f t="shared" si="217"/>
        <v>0478</v>
      </c>
      <c r="C396" t="str">
        <f t="shared" si="218"/>
        <v>ORD-BB-0478-23/05/24</v>
      </c>
      <c r="D396" s="3" t="s">
        <v>514</v>
      </c>
      <c r="E396" t="str">
        <f t="shared" si="219"/>
        <v>PU001</v>
      </c>
      <c r="F396" t="str">
        <f>INDEX(Katalog!$B$4:$B$13,MATCH('Main Data'!E396,Katalog!$C$4:$C$13,0))</f>
        <v>Jaket Hoodie</v>
      </c>
      <c r="G396" t="str">
        <f>VLOOKUP(E396,Katalog!$A$15:$B$25,2,0)</f>
        <v>Pakaian Unisex</v>
      </c>
      <c r="H396" t="str">
        <f t="shared" si="220"/>
        <v>1</v>
      </c>
      <c r="I396" t="str">
        <f t="shared" si="221"/>
        <v>3</v>
      </c>
      <c r="J396" s="18">
        <f>VLOOKUP(E396,Katalog!$C$3:$F$13,2,0)</f>
        <v>160000</v>
      </c>
      <c r="K396" s="18">
        <f>VLOOKUP(E396,Katalog!$C$3:$F$13,3,0)</f>
        <v>60000</v>
      </c>
      <c r="L396" t="str">
        <f t="shared" si="222"/>
        <v>PW002</v>
      </c>
      <c r="M396" t="str">
        <f>IFERROR(INDEX(Katalog!$B$4:$B$13,MATCH('Main Data'!L396,Katalog!$C$4:$C$13,0)), "-")</f>
        <v>Blouse</v>
      </c>
      <c r="N396" t="str">
        <f>IFERROR(VLOOKUP(L396,Katalog!$A$15:$B$25,2,0),"-")</f>
        <v>Pakaian Wanita</v>
      </c>
      <c r="O396" t="str">
        <f t="shared" si="223"/>
        <v>4</v>
      </c>
      <c r="P396" t="str">
        <f t="shared" si="224"/>
        <v>2</v>
      </c>
      <c r="Q396" s="18">
        <f>IFERROR(VLOOKUP(L396,Katalog!$C$3:$F$13,2,0),0)</f>
        <v>125000</v>
      </c>
      <c r="R396" s="18">
        <f>IFERROR(VLOOKUP(L396,Katalog!$C$3:$F$13,3,0),0)</f>
        <v>50000</v>
      </c>
      <c r="S396" t="str">
        <f t="shared" si="225"/>
        <v>PU001</v>
      </c>
      <c r="T396" t="str">
        <f>IFERROR(INDEX(Katalog!$B$4:$B$13,MATCH('Main Data'!S396,Katalog!$C$4:$C$13,0)),"-")</f>
        <v>Jaket Hoodie</v>
      </c>
      <c r="U396" t="str">
        <f>IFERROR(VLOOKUP(S396,Katalog!$A$15:$B$25,2,0),"-")</f>
        <v>Pakaian Unisex</v>
      </c>
      <c r="V396" t="str">
        <f t="shared" si="226"/>
        <v>1</v>
      </c>
      <c r="W396" s="28" t="str">
        <f t="shared" si="227"/>
        <v>4</v>
      </c>
      <c r="X396" s="18">
        <f>IFERROR(VLOOKUP(S396,Katalog!$C$3:$F$13,2,0),0)</f>
        <v>160000</v>
      </c>
      <c r="Y396" s="30">
        <f>IFERROR(VLOOKUP(S396,Katalog!$C$3:$F$13,3,0),0)</f>
        <v>60000</v>
      </c>
      <c r="Z396" s="2">
        <f t="shared" si="228"/>
        <v>6</v>
      </c>
      <c r="AA396" s="4">
        <f t="shared" si="229"/>
        <v>820000</v>
      </c>
      <c r="AB396" s="4">
        <f t="shared" si="230"/>
        <v>320000</v>
      </c>
      <c r="AC396" s="4" t="s">
        <v>27</v>
      </c>
      <c r="AD396" s="16">
        <f>IFERROR(VLOOKUP(AC396,'Kode Diskon'!$C$2:$D$9,2,0),0)</f>
        <v>0.15</v>
      </c>
      <c r="AE396" s="31">
        <f t="shared" si="231"/>
        <v>123000</v>
      </c>
      <c r="AF396" s="31">
        <f t="shared" si="232"/>
        <v>697000</v>
      </c>
      <c r="AG396" s="31">
        <f t="shared" si="233"/>
        <v>500000</v>
      </c>
      <c r="AH396" s="31">
        <f t="shared" si="234"/>
        <v>377000</v>
      </c>
      <c r="AI396" s="4" t="s">
        <v>28</v>
      </c>
      <c r="AJ396" s="4" t="s">
        <v>13</v>
      </c>
      <c r="AK396" s="4" t="str">
        <f>IFERROR(VLOOKUP(AJ396,'Guide '!$A$13:$B$16,2,0),"-")</f>
        <v>BB</v>
      </c>
      <c r="AL396" s="4" t="s">
        <v>925</v>
      </c>
      <c r="AM396" s="40">
        <v>45435</v>
      </c>
      <c r="AN396">
        <f t="shared" si="235"/>
        <v>29</v>
      </c>
      <c r="AO396">
        <f t="shared" si="236"/>
        <v>32</v>
      </c>
      <c r="AP396">
        <f t="shared" si="237"/>
        <v>40</v>
      </c>
      <c r="AQ396">
        <f t="shared" si="238"/>
        <v>43</v>
      </c>
      <c r="AR396" s="26">
        <f t="shared" si="239"/>
        <v>56</v>
      </c>
      <c r="AS396" s="26">
        <f t="shared" si="240"/>
        <v>63</v>
      </c>
      <c r="AT396" s="21">
        <f t="shared" si="241"/>
        <v>12</v>
      </c>
      <c r="AU396" s="21">
        <f t="shared" si="242"/>
        <v>19</v>
      </c>
      <c r="AV396">
        <f t="shared" si="243"/>
        <v>73</v>
      </c>
      <c r="AW396">
        <f t="shared" si="244"/>
        <v>76</v>
      </c>
      <c r="AX396">
        <f t="shared" si="245"/>
        <v>84</v>
      </c>
      <c r="AY396">
        <f t="shared" si="246"/>
        <v>87</v>
      </c>
      <c r="AZ396">
        <f t="shared" si="247"/>
        <v>100</v>
      </c>
      <c r="BA396">
        <f t="shared" si="248"/>
        <v>107</v>
      </c>
      <c r="BB396">
        <f t="shared" si="249"/>
        <v>117</v>
      </c>
      <c r="BC396">
        <f t="shared" si="250"/>
        <v>120</v>
      </c>
      <c r="BD396" s="29">
        <f t="shared" si="251"/>
        <v>128</v>
      </c>
      <c r="BE396" s="29">
        <f t="shared" si="252"/>
        <v>131</v>
      </c>
    </row>
    <row r="397" spans="1:57" ht="15" x14ac:dyDescent="0.2">
      <c r="A397" s="2">
        <v>482</v>
      </c>
      <c r="B397" s="2" t="str">
        <f t="shared" si="217"/>
        <v>0482</v>
      </c>
      <c r="C397" t="str">
        <f t="shared" si="218"/>
        <v>ORD-TK-0482-23/05/24</v>
      </c>
      <c r="D397" s="3" t="s">
        <v>410</v>
      </c>
      <c r="E397" t="str">
        <f t="shared" si="219"/>
        <v>PP001</v>
      </c>
      <c r="F397" t="str">
        <f>INDEX(Katalog!$B$4:$B$13,MATCH('Main Data'!E397,Katalog!$C$4:$C$13,0))</f>
        <v>Kaos Polo</v>
      </c>
      <c r="G397" t="str">
        <f>VLOOKUP(E397,Katalog!$A$15:$B$25,2,0)</f>
        <v>Pakaian Pria</v>
      </c>
      <c r="H397" t="str">
        <f t="shared" si="220"/>
        <v>1</v>
      </c>
      <c r="I397" t="str">
        <f t="shared" si="221"/>
        <v>3</v>
      </c>
      <c r="J397" s="18">
        <f>VLOOKUP(E397,Katalog!$C$3:$F$13,2,0)</f>
        <v>80000</v>
      </c>
      <c r="K397" s="18">
        <f>VLOOKUP(E397,Katalog!$C$3:$F$13,3,0)</f>
        <v>30000</v>
      </c>
      <c r="L397" t="str">
        <f t="shared" si="222"/>
        <v>-</v>
      </c>
      <c r="M397" t="str">
        <f>IFERROR(INDEX(Katalog!$B$4:$B$13,MATCH('Main Data'!L397,Katalog!$C$4:$C$13,0)), "-")</f>
        <v>-</v>
      </c>
      <c r="N397" t="str">
        <f>IFERROR(VLOOKUP(L397,Katalog!$A$15:$B$25,2,0),"-")</f>
        <v>-</v>
      </c>
      <c r="O397">
        <f t="shared" si="223"/>
        <v>0</v>
      </c>
      <c r="P397" t="str">
        <f t="shared" si="224"/>
        <v>-</v>
      </c>
      <c r="Q397" s="18">
        <f>IFERROR(VLOOKUP(L397,Katalog!$C$3:$F$13,2,0),0)</f>
        <v>0</v>
      </c>
      <c r="R397" s="18">
        <f>IFERROR(VLOOKUP(L397,Katalog!$C$3:$F$13,3,0),0)</f>
        <v>0</v>
      </c>
      <c r="S397" t="str">
        <f t="shared" si="225"/>
        <v>-</v>
      </c>
      <c r="T397" t="str">
        <f>IFERROR(INDEX(Katalog!$B$4:$B$13,MATCH('Main Data'!S397,Katalog!$C$4:$C$13,0)),"-")</f>
        <v>-</v>
      </c>
      <c r="U397" t="str">
        <f>IFERROR(VLOOKUP(S397,Katalog!$A$15:$B$25,2,0),"-")</f>
        <v>-</v>
      </c>
      <c r="V397">
        <f t="shared" si="226"/>
        <v>0</v>
      </c>
      <c r="W397" s="28" t="str">
        <f t="shared" si="227"/>
        <v>-</v>
      </c>
      <c r="X397" s="18">
        <f>IFERROR(VLOOKUP(S397,Katalog!$C$3:$F$13,2,0),0)</f>
        <v>0</v>
      </c>
      <c r="Y397" s="30">
        <f>IFERROR(VLOOKUP(S397,Katalog!$C$3:$F$13,3,0),0)</f>
        <v>0</v>
      </c>
      <c r="Z397" s="2">
        <f t="shared" si="228"/>
        <v>1</v>
      </c>
      <c r="AA397" s="4">
        <f t="shared" si="229"/>
        <v>80000</v>
      </c>
      <c r="AB397" s="4">
        <f t="shared" si="230"/>
        <v>30000</v>
      </c>
      <c r="AC397" s="4" t="s">
        <v>30</v>
      </c>
      <c r="AD397" s="16">
        <f>IFERROR(VLOOKUP(AC397,'Kode Diskon'!$C$2:$D$9,2,0),0)</f>
        <v>0.1</v>
      </c>
      <c r="AE397" s="31">
        <f t="shared" si="231"/>
        <v>8000</v>
      </c>
      <c r="AF397" s="31">
        <f t="shared" si="232"/>
        <v>72000</v>
      </c>
      <c r="AG397" s="31">
        <f t="shared" si="233"/>
        <v>50000</v>
      </c>
      <c r="AH397" s="31">
        <f t="shared" si="234"/>
        <v>42000</v>
      </c>
      <c r="AI397" s="4" t="s">
        <v>8</v>
      </c>
      <c r="AJ397" s="4" t="s">
        <v>9</v>
      </c>
      <c r="AK397" s="4" t="str">
        <f>IFERROR(VLOOKUP(AJ397,'Guide '!$A$13:$B$16,2,0),"-")</f>
        <v>TK</v>
      </c>
      <c r="AL397" s="4" t="s">
        <v>921</v>
      </c>
      <c r="AM397" s="40">
        <v>45435</v>
      </c>
      <c r="AN397">
        <f t="shared" si="235"/>
        <v>29</v>
      </c>
      <c r="AO397">
        <f t="shared" si="236"/>
        <v>32</v>
      </c>
      <c r="AP397">
        <f t="shared" si="237"/>
        <v>40</v>
      </c>
      <c r="AQ397">
        <f t="shared" si="238"/>
        <v>43</v>
      </c>
      <c r="AR397" s="26" t="str">
        <f t="shared" si="239"/>
        <v>-</v>
      </c>
      <c r="AS397" s="26" t="str">
        <f t="shared" si="240"/>
        <v>-</v>
      </c>
      <c r="AT397" s="21">
        <f t="shared" si="241"/>
        <v>12</v>
      </c>
      <c r="AU397" s="21">
        <f t="shared" si="242"/>
        <v>19</v>
      </c>
      <c r="AV397" t="str">
        <f t="shared" si="243"/>
        <v>-</v>
      </c>
      <c r="AW397" t="str">
        <f t="shared" si="244"/>
        <v>-</v>
      </c>
      <c r="AX397" t="str">
        <f t="shared" si="245"/>
        <v>-</v>
      </c>
      <c r="AY397" t="str">
        <f t="shared" si="246"/>
        <v>-</v>
      </c>
      <c r="AZ397" t="str">
        <f t="shared" si="247"/>
        <v>-</v>
      </c>
      <c r="BA397" t="str">
        <f t="shared" si="248"/>
        <v>-</v>
      </c>
      <c r="BB397" t="str">
        <f t="shared" si="249"/>
        <v>-</v>
      </c>
      <c r="BC397" t="str">
        <f t="shared" si="250"/>
        <v>-</v>
      </c>
      <c r="BD397" s="29" t="str">
        <f t="shared" si="251"/>
        <v>-</v>
      </c>
      <c r="BE397" s="29" t="str">
        <f t="shared" si="252"/>
        <v>-</v>
      </c>
    </row>
    <row r="398" spans="1:57" ht="15" x14ac:dyDescent="0.2">
      <c r="A398" s="2">
        <v>731</v>
      </c>
      <c r="B398" s="2" t="str">
        <f t="shared" si="217"/>
        <v>0731</v>
      </c>
      <c r="C398" t="str">
        <f t="shared" si="218"/>
        <v>ORD-SP-0731-23/05/24</v>
      </c>
      <c r="D398" s="3" t="s">
        <v>717</v>
      </c>
      <c r="E398" t="str">
        <f t="shared" si="219"/>
        <v>SP002</v>
      </c>
      <c r="F398" t="str">
        <f>INDEX(Katalog!$B$4:$B$13,MATCH('Main Data'!E398,Katalog!$C$4:$C$13,0))</f>
        <v>Sandal Slip On</v>
      </c>
      <c r="G398" t="str">
        <f>VLOOKUP(E398,Katalog!$A$15:$B$25,2,0)</f>
        <v>Sepatu Pria</v>
      </c>
      <c r="H398" t="str">
        <f t="shared" si="220"/>
        <v>5</v>
      </c>
      <c r="I398" t="str">
        <f t="shared" si="221"/>
        <v>1</v>
      </c>
      <c r="J398" s="18">
        <f>VLOOKUP(E398,Katalog!$C$3:$F$13,2,0)</f>
        <v>120000</v>
      </c>
      <c r="K398" s="18">
        <f>VLOOKUP(E398,Katalog!$C$3:$F$13,3,0)</f>
        <v>60000</v>
      </c>
      <c r="L398" t="str">
        <f t="shared" si="222"/>
        <v>SW001</v>
      </c>
      <c r="M398" t="str">
        <f>IFERROR(INDEX(Katalog!$B$4:$B$13,MATCH('Main Data'!L398,Katalog!$C$4:$C$13,0)), "-")</f>
        <v>Flat Shoes</v>
      </c>
      <c r="N398" t="str">
        <f>IFERROR(VLOOKUP(L398,Katalog!$A$15:$B$25,2,0),"-")</f>
        <v>Sepatu Wanita</v>
      </c>
      <c r="O398" t="str">
        <f t="shared" si="223"/>
        <v>1</v>
      </c>
      <c r="P398" t="str">
        <f t="shared" si="224"/>
        <v>1</v>
      </c>
      <c r="Q398" s="18">
        <f>IFERROR(VLOOKUP(L398,Katalog!$C$3:$F$13,2,0),0)</f>
        <v>150000</v>
      </c>
      <c r="R398" s="18">
        <f>IFERROR(VLOOKUP(L398,Katalog!$C$3:$F$13,3,0),0)</f>
        <v>70000</v>
      </c>
      <c r="S398" t="str">
        <f t="shared" si="225"/>
        <v>-</v>
      </c>
      <c r="T398" t="str">
        <f>IFERROR(INDEX(Katalog!$B$4:$B$13,MATCH('Main Data'!S398,Katalog!$C$4:$C$13,0)),"-")</f>
        <v>-</v>
      </c>
      <c r="U398" t="str">
        <f>IFERROR(VLOOKUP(S398,Katalog!$A$15:$B$25,2,0),"-")</f>
        <v>-</v>
      </c>
      <c r="V398">
        <f t="shared" si="226"/>
        <v>0</v>
      </c>
      <c r="W398" s="28" t="str">
        <f t="shared" si="227"/>
        <v>-</v>
      </c>
      <c r="X398" s="18">
        <f>IFERROR(VLOOKUP(S398,Katalog!$C$3:$F$13,2,0),0)</f>
        <v>0</v>
      </c>
      <c r="Y398" s="30">
        <f>IFERROR(VLOOKUP(S398,Katalog!$C$3:$F$13,3,0),0)</f>
        <v>0</v>
      </c>
      <c r="Z398" s="2">
        <f t="shared" si="228"/>
        <v>6</v>
      </c>
      <c r="AA398" s="4">
        <f t="shared" si="229"/>
        <v>750000</v>
      </c>
      <c r="AB398" s="4">
        <f t="shared" si="230"/>
        <v>370000</v>
      </c>
      <c r="AC398" s="4" t="s">
        <v>12</v>
      </c>
      <c r="AD398" s="16">
        <f>IFERROR(VLOOKUP(AC398,'Kode Diskon'!$C$2:$D$9,2,0),0)</f>
        <v>0.15</v>
      </c>
      <c r="AE398" s="31">
        <f t="shared" si="231"/>
        <v>112500</v>
      </c>
      <c r="AF398" s="31">
        <f t="shared" si="232"/>
        <v>637500</v>
      </c>
      <c r="AG398" s="31">
        <f t="shared" si="233"/>
        <v>380000</v>
      </c>
      <c r="AH398" s="31">
        <f t="shared" si="234"/>
        <v>267500</v>
      </c>
      <c r="AI398" s="4" t="s">
        <v>28</v>
      </c>
      <c r="AJ398" s="4" t="s">
        <v>6</v>
      </c>
      <c r="AK398" s="4" t="str">
        <f>IFERROR(VLOOKUP(AJ398,'Guide '!$A$13:$B$16,2,0),"-")</f>
        <v>SP</v>
      </c>
      <c r="AL398" s="4" t="s">
        <v>1006</v>
      </c>
      <c r="AM398" s="40">
        <v>45435</v>
      </c>
      <c r="AN398">
        <f t="shared" si="235"/>
        <v>29</v>
      </c>
      <c r="AO398">
        <f t="shared" si="236"/>
        <v>32</v>
      </c>
      <c r="AP398">
        <f t="shared" si="237"/>
        <v>40</v>
      </c>
      <c r="AQ398">
        <f t="shared" si="238"/>
        <v>43</v>
      </c>
      <c r="AR398" s="26">
        <f t="shared" si="239"/>
        <v>56</v>
      </c>
      <c r="AS398" s="26">
        <f t="shared" si="240"/>
        <v>63</v>
      </c>
      <c r="AT398" s="21">
        <f t="shared" si="241"/>
        <v>12</v>
      </c>
      <c r="AU398" s="21">
        <f t="shared" si="242"/>
        <v>19</v>
      </c>
      <c r="AV398">
        <f t="shared" si="243"/>
        <v>73</v>
      </c>
      <c r="AW398">
        <f t="shared" si="244"/>
        <v>76</v>
      </c>
      <c r="AX398">
        <f t="shared" si="245"/>
        <v>84</v>
      </c>
      <c r="AY398">
        <f t="shared" si="246"/>
        <v>87</v>
      </c>
      <c r="AZ398" t="str">
        <f t="shared" si="247"/>
        <v>-</v>
      </c>
      <c r="BA398" t="str">
        <f t="shared" si="248"/>
        <v>-</v>
      </c>
      <c r="BB398" t="str">
        <f t="shared" si="249"/>
        <v>-</v>
      </c>
      <c r="BC398" t="str">
        <f t="shared" si="250"/>
        <v>-</v>
      </c>
      <c r="BD398" s="29" t="str">
        <f t="shared" si="251"/>
        <v>-</v>
      </c>
      <c r="BE398" s="29" t="str">
        <f t="shared" si="252"/>
        <v>-</v>
      </c>
    </row>
    <row r="399" spans="1:57" ht="15" x14ac:dyDescent="0.2">
      <c r="A399" s="2">
        <v>260</v>
      </c>
      <c r="B399" s="2" t="str">
        <f t="shared" si="217"/>
        <v>0260</v>
      </c>
      <c r="C399" t="str">
        <f t="shared" si="218"/>
        <v>ORD-TK-0260-24/05/24</v>
      </c>
      <c r="D399" s="3" t="s">
        <v>324</v>
      </c>
      <c r="E399" t="str">
        <f t="shared" si="219"/>
        <v>PW002</v>
      </c>
      <c r="F399" t="str">
        <f>INDEX(Katalog!$B$4:$B$13,MATCH('Main Data'!E399,Katalog!$C$4:$C$13,0))</f>
        <v>Blouse</v>
      </c>
      <c r="G399" t="str">
        <f>VLOOKUP(E399,Katalog!$A$15:$B$25,2,0)</f>
        <v>Pakaian Wanita</v>
      </c>
      <c r="H399" t="str">
        <f t="shared" si="220"/>
        <v>2</v>
      </c>
      <c r="I399" t="str">
        <f t="shared" si="221"/>
        <v>4</v>
      </c>
      <c r="J399" s="18">
        <f>VLOOKUP(E399,Katalog!$C$3:$F$13,2,0)</f>
        <v>125000</v>
      </c>
      <c r="K399" s="18">
        <f>VLOOKUP(E399,Katalog!$C$3:$F$13,3,0)</f>
        <v>50000</v>
      </c>
      <c r="L399" t="str">
        <f t="shared" si="222"/>
        <v>-</v>
      </c>
      <c r="M399" t="str">
        <f>IFERROR(INDEX(Katalog!$B$4:$B$13,MATCH('Main Data'!L399,Katalog!$C$4:$C$13,0)), "-")</f>
        <v>-</v>
      </c>
      <c r="N399" t="str">
        <f>IFERROR(VLOOKUP(L399,Katalog!$A$15:$B$25,2,0),"-")</f>
        <v>-</v>
      </c>
      <c r="O399">
        <f t="shared" si="223"/>
        <v>0</v>
      </c>
      <c r="P399" t="str">
        <f t="shared" si="224"/>
        <v>-</v>
      </c>
      <c r="Q399" s="18">
        <f>IFERROR(VLOOKUP(L399,Katalog!$C$3:$F$13,2,0),0)</f>
        <v>0</v>
      </c>
      <c r="R399" s="18">
        <f>IFERROR(VLOOKUP(L399,Katalog!$C$3:$F$13,3,0),0)</f>
        <v>0</v>
      </c>
      <c r="S399" t="str">
        <f t="shared" si="225"/>
        <v>-</v>
      </c>
      <c r="T399" t="str">
        <f>IFERROR(INDEX(Katalog!$B$4:$B$13,MATCH('Main Data'!S399,Katalog!$C$4:$C$13,0)),"-")</f>
        <v>-</v>
      </c>
      <c r="U399" t="str">
        <f>IFERROR(VLOOKUP(S399,Katalog!$A$15:$B$25,2,0),"-")</f>
        <v>-</v>
      </c>
      <c r="V399">
        <f t="shared" si="226"/>
        <v>0</v>
      </c>
      <c r="W399" s="28" t="str">
        <f t="shared" si="227"/>
        <v>-</v>
      </c>
      <c r="X399" s="18">
        <f>IFERROR(VLOOKUP(S399,Katalog!$C$3:$F$13,2,0),0)</f>
        <v>0</v>
      </c>
      <c r="Y399" s="30">
        <f>IFERROR(VLOOKUP(S399,Katalog!$C$3:$F$13,3,0),0)</f>
        <v>0</v>
      </c>
      <c r="Z399" s="2">
        <f t="shared" si="228"/>
        <v>2</v>
      </c>
      <c r="AA399" s="4">
        <f t="shared" si="229"/>
        <v>250000</v>
      </c>
      <c r="AB399" s="4">
        <f t="shared" si="230"/>
        <v>100000</v>
      </c>
      <c r="AC399" s="4" t="s">
        <v>30</v>
      </c>
      <c r="AD399" s="16">
        <f>IFERROR(VLOOKUP(AC399,'Kode Diskon'!$C$2:$D$9,2,0),0)</f>
        <v>0.1</v>
      </c>
      <c r="AE399" s="31">
        <f t="shared" si="231"/>
        <v>25000</v>
      </c>
      <c r="AF399" s="31">
        <f t="shared" si="232"/>
        <v>225000</v>
      </c>
      <c r="AG399" s="31">
        <f t="shared" si="233"/>
        <v>150000</v>
      </c>
      <c r="AH399" s="31">
        <f t="shared" si="234"/>
        <v>125000</v>
      </c>
      <c r="AI399" s="4" t="s">
        <v>8</v>
      </c>
      <c r="AJ399" s="4" t="s">
        <v>9</v>
      </c>
      <c r="AK399" s="4" t="str">
        <f>IFERROR(VLOOKUP(AJ399,'Guide '!$A$13:$B$16,2,0),"-")</f>
        <v>TK</v>
      </c>
      <c r="AL399" s="4" t="s">
        <v>925</v>
      </c>
      <c r="AM399" s="40">
        <v>45436</v>
      </c>
      <c r="AN399">
        <f t="shared" si="235"/>
        <v>29</v>
      </c>
      <c r="AO399">
        <f t="shared" si="236"/>
        <v>32</v>
      </c>
      <c r="AP399">
        <f t="shared" si="237"/>
        <v>40</v>
      </c>
      <c r="AQ399">
        <f t="shared" si="238"/>
        <v>43</v>
      </c>
      <c r="AR399" s="26" t="str">
        <f t="shared" si="239"/>
        <v>-</v>
      </c>
      <c r="AS399" s="26" t="str">
        <f t="shared" si="240"/>
        <v>-</v>
      </c>
      <c r="AT399" s="21">
        <f t="shared" si="241"/>
        <v>12</v>
      </c>
      <c r="AU399" s="21">
        <f t="shared" si="242"/>
        <v>19</v>
      </c>
      <c r="AV399" t="str">
        <f t="shared" si="243"/>
        <v>-</v>
      </c>
      <c r="AW399" t="str">
        <f t="shared" si="244"/>
        <v>-</v>
      </c>
      <c r="AX399" t="str">
        <f t="shared" si="245"/>
        <v>-</v>
      </c>
      <c r="AY399" t="str">
        <f t="shared" si="246"/>
        <v>-</v>
      </c>
      <c r="AZ399" t="str">
        <f t="shared" si="247"/>
        <v>-</v>
      </c>
      <c r="BA399" t="str">
        <f t="shared" si="248"/>
        <v>-</v>
      </c>
      <c r="BB399" t="str">
        <f t="shared" si="249"/>
        <v>-</v>
      </c>
      <c r="BC399" t="str">
        <f t="shared" si="250"/>
        <v>-</v>
      </c>
      <c r="BD399" s="29" t="str">
        <f t="shared" si="251"/>
        <v>-</v>
      </c>
      <c r="BE399" s="29" t="str">
        <f t="shared" si="252"/>
        <v>-</v>
      </c>
    </row>
    <row r="400" spans="1:57" ht="15" x14ac:dyDescent="0.2">
      <c r="A400" s="2">
        <v>624</v>
      </c>
      <c r="B400" s="2" t="str">
        <f t="shared" si="217"/>
        <v>0624</v>
      </c>
      <c r="C400" t="str">
        <f t="shared" si="218"/>
        <v>ORD-TK-0624-24/05/24</v>
      </c>
      <c r="D400" s="3" t="s">
        <v>633</v>
      </c>
      <c r="E400" t="str">
        <f t="shared" si="219"/>
        <v>PP002</v>
      </c>
      <c r="F400" t="str">
        <f>INDEX(Katalog!$B$4:$B$13,MATCH('Main Data'!E400,Katalog!$C$4:$C$13,0))</f>
        <v>Celana Pendek</v>
      </c>
      <c r="G400" t="str">
        <f>VLOOKUP(E400,Katalog!$A$15:$B$25,2,0)</f>
        <v>Pakaian Pria</v>
      </c>
      <c r="H400" t="str">
        <f t="shared" si="220"/>
        <v>2</v>
      </c>
      <c r="I400" t="str">
        <f t="shared" si="221"/>
        <v>1</v>
      </c>
      <c r="J400" s="18">
        <f>VLOOKUP(E400,Katalog!$C$3:$F$13,2,0)</f>
        <v>60000</v>
      </c>
      <c r="K400" s="18">
        <f>VLOOKUP(E400,Katalog!$C$3:$F$13,3,0)</f>
        <v>25000</v>
      </c>
      <c r="L400" t="str">
        <f t="shared" si="222"/>
        <v>SP001</v>
      </c>
      <c r="M400" t="str">
        <f>IFERROR(INDEX(Katalog!$B$4:$B$13,MATCH('Main Data'!L400,Katalog!$C$4:$C$13,0)), "-")</f>
        <v>Sneakers</v>
      </c>
      <c r="N400" t="str">
        <f>IFERROR(VLOOKUP(L400,Katalog!$A$15:$B$25,2,0),"-")</f>
        <v>Sepatu Pria</v>
      </c>
      <c r="O400" t="str">
        <f t="shared" si="223"/>
        <v>3</v>
      </c>
      <c r="P400" t="str">
        <f t="shared" si="224"/>
        <v>2</v>
      </c>
      <c r="Q400" s="18">
        <f>IFERROR(VLOOKUP(L400,Katalog!$C$3:$F$13,2,0),0)</f>
        <v>300000</v>
      </c>
      <c r="R400" s="18">
        <f>IFERROR(VLOOKUP(L400,Katalog!$C$3:$F$13,3,0),0)</f>
        <v>100000</v>
      </c>
      <c r="S400" t="str">
        <f t="shared" si="225"/>
        <v>-</v>
      </c>
      <c r="T400" t="str">
        <f>IFERROR(INDEX(Katalog!$B$4:$B$13,MATCH('Main Data'!S400,Katalog!$C$4:$C$13,0)),"-")</f>
        <v>-</v>
      </c>
      <c r="U400" t="str">
        <f>IFERROR(VLOOKUP(S400,Katalog!$A$15:$B$25,2,0),"-")</f>
        <v>-</v>
      </c>
      <c r="V400">
        <f t="shared" si="226"/>
        <v>0</v>
      </c>
      <c r="W400" s="28" t="str">
        <f t="shared" si="227"/>
        <v>-</v>
      </c>
      <c r="X400" s="18">
        <f>IFERROR(VLOOKUP(S400,Katalog!$C$3:$F$13,2,0),0)</f>
        <v>0</v>
      </c>
      <c r="Y400" s="30">
        <f>IFERROR(VLOOKUP(S400,Katalog!$C$3:$F$13,3,0),0)</f>
        <v>0</v>
      </c>
      <c r="Z400" s="2">
        <f t="shared" si="228"/>
        <v>5</v>
      </c>
      <c r="AA400" s="4">
        <f t="shared" si="229"/>
        <v>1020000</v>
      </c>
      <c r="AB400" s="4">
        <f t="shared" si="230"/>
        <v>350000</v>
      </c>
      <c r="AC400" s="4" t="s">
        <v>30</v>
      </c>
      <c r="AD400" s="16">
        <f>IFERROR(VLOOKUP(AC400,'Kode Diskon'!$C$2:$D$9,2,0),0)</f>
        <v>0.1</v>
      </c>
      <c r="AE400" s="31">
        <f t="shared" si="231"/>
        <v>102000</v>
      </c>
      <c r="AF400" s="31">
        <f t="shared" si="232"/>
        <v>918000</v>
      </c>
      <c r="AG400" s="31">
        <f t="shared" si="233"/>
        <v>670000</v>
      </c>
      <c r="AH400" s="31">
        <f t="shared" si="234"/>
        <v>568000</v>
      </c>
      <c r="AI400" s="4" t="s">
        <v>8</v>
      </c>
      <c r="AJ400" s="4" t="s">
        <v>9</v>
      </c>
      <c r="AK400" s="4" t="str">
        <f>IFERROR(VLOOKUP(AJ400,'Guide '!$A$13:$B$16,2,0),"-")</f>
        <v>TK</v>
      </c>
      <c r="AL400" s="4" t="s">
        <v>925</v>
      </c>
      <c r="AM400" s="40">
        <v>45436</v>
      </c>
      <c r="AN400">
        <f t="shared" si="235"/>
        <v>29</v>
      </c>
      <c r="AO400">
        <f t="shared" si="236"/>
        <v>32</v>
      </c>
      <c r="AP400">
        <f t="shared" si="237"/>
        <v>40</v>
      </c>
      <c r="AQ400">
        <f t="shared" si="238"/>
        <v>43</v>
      </c>
      <c r="AR400" s="26">
        <f t="shared" si="239"/>
        <v>56</v>
      </c>
      <c r="AS400" s="26">
        <f t="shared" si="240"/>
        <v>63</v>
      </c>
      <c r="AT400" s="21">
        <f t="shared" si="241"/>
        <v>12</v>
      </c>
      <c r="AU400" s="21">
        <f t="shared" si="242"/>
        <v>19</v>
      </c>
      <c r="AV400">
        <f t="shared" si="243"/>
        <v>73</v>
      </c>
      <c r="AW400">
        <f t="shared" si="244"/>
        <v>76</v>
      </c>
      <c r="AX400">
        <f t="shared" si="245"/>
        <v>84</v>
      </c>
      <c r="AY400">
        <f t="shared" si="246"/>
        <v>87</v>
      </c>
      <c r="AZ400" t="str">
        <f t="shared" si="247"/>
        <v>-</v>
      </c>
      <c r="BA400" t="str">
        <f t="shared" si="248"/>
        <v>-</v>
      </c>
      <c r="BB400" t="str">
        <f t="shared" si="249"/>
        <v>-</v>
      </c>
      <c r="BC400" t="str">
        <f t="shared" si="250"/>
        <v>-</v>
      </c>
      <c r="BD400" s="29" t="str">
        <f t="shared" si="251"/>
        <v>-</v>
      </c>
      <c r="BE400" s="29" t="str">
        <f t="shared" si="252"/>
        <v>-</v>
      </c>
    </row>
    <row r="401" spans="1:57" ht="15" x14ac:dyDescent="0.2">
      <c r="A401" s="2">
        <v>763</v>
      </c>
      <c r="B401" s="2" t="str">
        <f t="shared" si="217"/>
        <v>0763</v>
      </c>
      <c r="C401" t="str">
        <f t="shared" si="218"/>
        <v>ORD-TK-0763-24/05/24</v>
      </c>
      <c r="D401" s="3" t="s">
        <v>741</v>
      </c>
      <c r="E401" t="str">
        <f t="shared" si="219"/>
        <v>PP001</v>
      </c>
      <c r="F401" t="str">
        <f>INDEX(Katalog!$B$4:$B$13,MATCH('Main Data'!E401,Katalog!$C$4:$C$13,0))</f>
        <v>Kaos Polo</v>
      </c>
      <c r="G401" t="str">
        <f>VLOOKUP(E401,Katalog!$A$15:$B$25,2,0)</f>
        <v>Pakaian Pria</v>
      </c>
      <c r="H401" t="str">
        <f t="shared" si="220"/>
        <v>3</v>
      </c>
      <c r="I401" t="str">
        <f t="shared" si="221"/>
        <v>1</v>
      </c>
      <c r="J401" s="18">
        <f>VLOOKUP(E401,Katalog!$C$3:$F$13,2,0)</f>
        <v>80000</v>
      </c>
      <c r="K401" s="18">
        <f>VLOOKUP(E401,Katalog!$C$3:$F$13,3,0)</f>
        <v>30000</v>
      </c>
      <c r="L401" t="str">
        <f t="shared" si="222"/>
        <v>PW003</v>
      </c>
      <c r="M401" t="str">
        <f>IFERROR(INDEX(Katalog!$B$4:$B$13,MATCH('Main Data'!L401,Katalog!$C$4:$C$13,0)), "-")</f>
        <v>Kaftan</v>
      </c>
      <c r="N401" t="str">
        <f>IFERROR(VLOOKUP(L401,Katalog!$A$15:$B$25,2,0),"-")</f>
        <v>Pakaian Wanita</v>
      </c>
      <c r="O401" t="str">
        <f t="shared" si="223"/>
        <v>1</v>
      </c>
      <c r="P401" t="str">
        <f t="shared" si="224"/>
        <v>4</v>
      </c>
      <c r="Q401" s="18">
        <f>IFERROR(VLOOKUP(L401,Katalog!$C$3:$F$13,2,0),0)</f>
        <v>200000</v>
      </c>
      <c r="R401" s="18">
        <f>IFERROR(VLOOKUP(L401,Katalog!$C$3:$F$13,3,0),0)</f>
        <v>100000</v>
      </c>
      <c r="S401" t="str">
        <f t="shared" si="225"/>
        <v>-</v>
      </c>
      <c r="T401" t="str">
        <f>IFERROR(INDEX(Katalog!$B$4:$B$13,MATCH('Main Data'!S401,Katalog!$C$4:$C$13,0)),"-")</f>
        <v>-</v>
      </c>
      <c r="U401" t="str">
        <f>IFERROR(VLOOKUP(S401,Katalog!$A$15:$B$25,2,0),"-")</f>
        <v>-</v>
      </c>
      <c r="V401">
        <f t="shared" si="226"/>
        <v>0</v>
      </c>
      <c r="W401" s="28" t="str">
        <f t="shared" si="227"/>
        <v>-</v>
      </c>
      <c r="X401" s="18">
        <f>IFERROR(VLOOKUP(S401,Katalog!$C$3:$F$13,2,0),0)</f>
        <v>0</v>
      </c>
      <c r="Y401" s="30">
        <f>IFERROR(VLOOKUP(S401,Katalog!$C$3:$F$13,3,0),0)</f>
        <v>0</v>
      </c>
      <c r="Z401" s="2">
        <f t="shared" si="228"/>
        <v>4</v>
      </c>
      <c r="AA401" s="4">
        <f t="shared" si="229"/>
        <v>440000</v>
      </c>
      <c r="AB401" s="4">
        <f t="shared" si="230"/>
        <v>190000</v>
      </c>
      <c r="AC401" s="4" t="s">
        <v>30</v>
      </c>
      <c r="AD401" s="16">
        <f>IFERROR(VLOOKUP(AC401,'Kode Diskon'!$C$2:$D$9,2,0),0)</f>
        <v>0.1</v>
      </c>
      <c r="AE401" s="31">
        <f t="shared" si="231"/>
        <v>44000</v>
      </c>
      <c r="AF401" s="31">
        <f t="shared" si="232"/>
        <v>396000</v>
      </c>
      <c r="AG401" s="31">
        <f t="shared" si="233"/>
        <v>250000</v>
      </c>
      <c r="AH401" s="31">
        <f t="shared" si="234"/>
        <v>206000</v>
      </c>
      <c r="AI401" s="4" t="s">
        <v>8</v>
      </c>
      <c r="AJ401" s="4" t="s">
        <v>9</v>
      </c>
      <c r="AK401" s="4" t="str">
        <f>IFERROR(VLOOKUP(AJ401,'Guide '!$A$13:$B$16,2,0),"-")</f>
        <v>TK</v>
      </c>
      <c r="AL401" s="4" t="s">
        <v>1006</v>
      </c>
      <c r="AM401" s="40">
        <v>45436</v>
      </c>
      <c r="AN401">
        <f t="shared" si="235"/>
        <v>29</v>
      </c>
      <c r="AO401">
        <f t="shared" si="236"/>
        <v>32</v>
      </c>
      <c r="AP401">
        <f t="shared" si="237"/>
        <v>40</v>
      </c>
      <c r="AQ401">
        <f t="shared" si="238"/>
        <v>43</v>
      </c>
      <c r="AR401" s="26">
        <f t="shared" si="239"/>
        <v>56</v>
      </c>
      <c r="AS401" s="26">
        <f t="shared" si="240"/>
        <v>63</v>
      </c>
      <c r="AT401" s="21">
        <f t="shared" si="241"/>
        <v>12</v>
      </c>
      <c r="AU401" s="21">
        <f t="shared" si="242"/>
        <v>19</v>
      </c>
      <c r="AV401">
        <f t="shared" si="243"/>
        <v>73</v>
      </c>
      <c r="AW401">
        <f t="shared" si="244"/>
        <v>76</v>
      </c>
      <c r="AX401">
        <f t="shared" si="245"/>
        <v>84</v>
      </c>
      <c r="AY401">
        <f t="shared" si="246"/>
        <v>87</v>
      </c>
      <c r="AZ401" t="str">
        <f t="shared" si="247"/>
        <v>-</v>
      </c>
      <c r="BA401" t="str">
        <f t="shared" si="248"/>
        <v>-</v>
      </c>
      <c r="BB401" t="str">
        <f t="shared" si="249"/>
        <v>-</v>
      </c>
      <c r="BC401" t="str">
        <f t="shared" si="250"/>
        <v>-</v>
      </c>
      <c r="BD401" s="29" t="str">
        <f t="shared" si="251"/>
        <v>-</v>
      </c>
      <c r="BE401" s="29" t="str">
        <f t="shared" si="252"/>
        <v>-</v>
      </c>
    </row>
    <row r="402" spans="1:57" ht="15" x14ac:dyDescent="0.2">
      <c r="A402" s="2">
        <v>206</v>
      </c>
      <c r="B402" s="2" t="str">
        <f t="shared" si="217"/>
        <v>0206</v>
      </c>
      <c r="C402" t="str">
        <f t="shared" si="218"/>
        <v>ORD-SP-0206-25/05/24</v>
      </c>
      <c r="D402" s="3" t="s">
        <v>275</v>
      </c>
      <c r="E402" t="str">
        <f t="shared" si="219"/>
        <v>PP002</v>
      </c>
      <c r="F402" t="str">
        <f>INDEX(Katalog!$B$4:$B$13,MATCH('Main Data'!E402,Katalog!$C$4:$C$13,0))</f>
        <v>Celana Pendek</v>
      </c>
      <c r="G402" t="str">
        <f>VLOOKUP(E402,Katalog!$A$15:$B$25,2,0)</f>
        <v>Pakaian Pria</v>
      </c>
      <c r="H402" t="str">
        <f t="shared" si="220"/>
        <v>3</v>
      </c>
      <c r="I402" t="str">
        <f t="shared" si="221"/>
        <v>4</v>
      </c>
      <c r="J402" s="18">
        <f>VLOOKUP(E402,Katalog!$C$3:$F$13,2,0)</f>
        <v>60000</v>
      </c>
      <c r="K402" s="18">
        <f>VLOOKUP(E402,Katalog!$C$3:$F$13,3,0)</f>
        <v>25000</v>
      </c>
      <c r="L402" t="str">
        <f t="shared" si="222"/>
        <v>PP001</v>
      </c>
      <c r="M402" t="str">
        <f>IFERROR(INDEX(Katalog!$B$4:$B$13,MATCH('Main Data'!L402,Katalog!$C$4:$C$13,0)), "-")</f>
        <v>Kaos Polo</v>
      </c>
      <c r="N402" t="str">
        <f>IFERROR(VLOOKUP(L402,Katalog!$A$15:$B$25,2,0),"-")</f>
        <v>Pakaian Pria</v>
      </c>
      <c r="O402" t="str">
        <f t="shared" si="223"/>
        <v>1</v>
      </c>
      <c r="P402" t="str">
        <f t="shared" si="224"/>
        <v>4</v>
      </c>
      <c r="Q402" s="18">
        <f>IFERROR(VLOOKUP(L402,Katalog!$C$3:$F$13,2,0),0)</f>
        <v>80000</v>
      </c>
      <c r="R402" s="18">
        <f>IFERROR(VLOOKUP(L402,Katalog!$C$3:$F$13,3,0),0)</f>
        <v>30000</v>
      </c>
      <c r="S402" t="str">
        <f t="shared" si="225"/>
        <v>-</v>
      </c>
      <c r="T402" t="str">
        <f>IFERROR(INDEX(Katalog!$B$4:$B$13,MATCH('Main Data'!S402,Katalog!$C$4:$C$13,0)),"-")</f>
        <v>-</v>
      </c>
      <c r="U402" t="str">
        <f>IFERROR(VLOOKUP(S402,Katalog!$A$15:$B$25,2,0),"-")</f>
        <v>-</v>
      </c>
      <c r="V402">
        <f t="shared" si="226"/>
        <v>0</v>
      </c>
      <c r="W402" s="28" t="str">
        <f t="shared" si="227"/>
        <v>-</v>
      </c>
      <c r="X402" s="18">
        <f>IFERROR(VLOOKUP(S402,Katalog!$C$3:$F$13,2,0),0)</f>
        <v>0</v>
      </c>
      <c r="Y402" s="30">
        <f>IFERROR(VLOOKUP(S402,Katalog!$C$3:$F$13,3,0),0)</f>
        <v>0</v>
      </c>
      <c r="Z402" s="2">
        <f t="shared" si="228"/>
        <v>4</v>
      </c>
      <c r="AA402" s="4">
        <f t="shared" si="229"/>
        <v>260000</v>
      </c>
      <c r="AB402" s="4">
        <f t="shared" si="230"/>
        <v>105000</v>
      </c>
      <c r="AC402" s="4" t="s">
        <v>12</v>
      </c>
      <c r="AD402" s="16">
        <f>IFERROR(VLOOKUP(AC402,'Kode Diskon'!$C$2:$D$9,2,0),0)</f>
        <v>0.15</v>
      </c>
      <c r="AE402" s="31">
        <f t="shared" si="231"/>
        <v>39000</v>
      </c>
      <c r="AF402" s="31">
        <f t="shared" si="232"/>
        <v>221000</v>
      </c>
      <c r="AG402" s="31">
        <f t="shared" si="233"/>
        <v>155000</v>
      </c>
      <c r="AH402" s="31">
        <f t="shared" si="234"/>
        <v>116000</v>
      </c>
      <c r="AI402" s="4" t="s">
        <v>28</v>
      </c>
      <c r="AJ402" s="4" t="s">
        <v>6</v>
      </c>
      <c r="AK402" s="4" t="str">
        <f>IFERROR(VLOOKUP(AJ402,'Guide '!$A$13:$B$16,2,0),"-")</f>
        <v>SP</v>
      </c>
      <c r="AL402" s="4" t="s">
        <v>922</v>
      </c>
      <c r="AM402" s="40">
        <v>45437</v>
      </c>
      <c r="AN402">
        <f t="shared" si="235"/>
        <v>29</v>
      </c>
      <c r="AO402">
        <f t="shared" si="236"/>
        <v>32</v>
      </c>
      <c r="AP402">
        <f t="shared" si="237"/>
        <v>40</v>
      </c>
      <c r="AQ402">
        <f t="shared" si="238"/>
        <v>43</v>
      </c>
      <c r="AR402" s="26">
        <f t="shared" si="239"/>
        <v>56</v>
      </c>
      <c r="AS402" s="26">
        <f t="shared" si="240"/>
        <v>63</v>
      </c>
      <c r="AT402" s="21">
        <f t="shared" si="241"/>
        <v>12</v>
      </c>
      <c r="AU402" s="21">
        <f t="shared" si="242"/>
        <v>19</v>
      </c>
      <c r="AV402">
        <f t="shared" si="243"/>
        <v>73</v>
      </c>
      <c r="AW402">
        <f t="shared" si="244"/>
        <v>76</v>
      </c>
      <c r="AX402">
        <f t="shared" si="245"/>
        <v>84</v>
      </c>
      <c r="AY402">
        <f t="shared" si="246"/>
        <v>87</v>
      </c>
      <c r="AZ402" t="str">
        <f t="shared" si="247"/>
        <v>-</v>
      </c>
      <c r="BA402" t="str">
        <f t="shared" si="248"/>
        <v>-</v>
      </c>
      <c r="BB402" t="str">
        <f t="shared" si="249"/>
        <v>-</v>
      </c>
      <c r="BC402" t="str">
        <f t="shared" si="250"/>
        <v>-</v>
      </c>
      <c r="BD402" s="29" t="str">
        <f t="shared" si="251"/>
        <v>-</v>
      </c>
      <c r="BE402" s="29" t="str">
        <f t="shared" si="252"/>
        <v>-</v>
      </c>
    </row>
    <row r="403" spans="1:57" ht="15" x14ac:dyDescent="0.2">
      <c r="A403" s="2">
        <v>578</v>
      </c>
      <c r="B403" s="2" t="str">
        <f t="shared" si="217"/>
        <v>0578</v>
      </c>
      <c r="C403" t="str">
        <f t="shared" si="218"/>
        <v>ORD-BB-0578-25/05/24</v>
      </c>
      <c r="D403" s="3" t="s">
        <v>596</v>
      </c>
      <c r="E403" t="str">
        <f t="shared" si="219"/>
        <v>PP003</v>
      </c>
      <c r="F403" t="str">
        <f>INDEX(Katalog!$B$4:$B$13,MATCH('Main Data'!E403,Katalog!$C$4:$C$13,0))</f>
        <v>Jaket Jeans</v>
      </c>
      <c r="G403" t="str">
        <f>VLOOKUP(E403,Katalog!$A$15:$B$25,2,0)</f>
        <v>Pakaian Pria</v>
      </c>
      <c r="H403" t="str">
        <f t="shared" si="220"/>
        <v>2</v>
      </c>
      <c r="I403" t="str">
        <f t="shared" si="221"/>
        <v>2</v>
      </c>
      <c r="J403" s="18">
        <f>VLOOKUP(E403,Katalog!$C$3:$F$13,2,0)</f>
        <v>150000</v>
      </c>
      <c r="K403" s="18">
        <f>VLOOKUP(E403,Katalog!$C$3:$F$13,3,0)</f>
        <v>70000</v>
      </c>
      <c r="L403" t="str">
        <f t="shared" si="222"/>
        <v>PW001</v>
      </c>
      <c r="M403" t="str">
        <f>IFERROR(INDEX(Katalog!$B$4:$B$13,MATCH('Main Data'!L403,Katalog!$C$4:$C$13,0)), "-")</f>
        <v>Dress</v>
      </c>
      <c r="N403" t="str">
        <f>IFERROR(VLOOKUP(L403,Katalog!$A$15:$B$25,2,0),"-")</f>
        <v>Pakaian Wanita</v>
      </c>
      <c r="O403" t="str">
        <f t="shared" si="223"/>
        <v>2</v>
      </c>
      <c r="P403" t="str">
        <f t="shared" si="224"/>
        <v>2</v>
      </c>
      <c r="Q403" s="18">
        <f>IFERROR(VLOOKUP(L403,Katalog!$C$3:$F$13,2,0),0)</f>
        <v>150000</v>
      </c>
      <c r="R403" s="18">
        <f>IFERROR(VLOOKUP(L403,Katalog!$C$3:$F$13,3,0),0)</f>
        <v>55000</v>
      </c>
      <c r="S403" t="str">
        <f t="shared" si="225"/>
        <v>-</v>
      </c>
      <c r="T403" t="str">
        <f>IFERROR(INDEX(Katalog!$B$4:$B$13,MATCH('Main Data'!S403,Katalog!$C$4:$C$13,0)),"-")</f>
        <v>-</v>
      </c>
      <c r="U403" t="str">
        <f>IFERROR(VLOOKUP(S403,Katalog!$A$15:$B$25,2,0),"-")</f>
        <v>-</v>
      </c>
      <c r="V403">
        <f t="shared" si="226"/>
        <v>0</v>
      </c>
      <c r="W403" s="28" t="str">
        <f t="shared" si="227"/>
        <v>-</v>
      </c>
      <c r="X403" s="18">
        <f>IFERROR(VLOOKUP(S403,Katalog!$C$3:$F$13,2,0),0)</f>
        <v>0</v>
      </c>
      <c r="Y403" s="30">
        <f>IFERROR(VLOOKUP(S403,Katalog!$C$3:$F$13,3,0),0)</f>
        <v>0</v>
      </c>
      <c r="Z403" s="2">
        <f t="shared" si="228"/>
        <v>4</v>
      </c>
      <c r="AA403" s="4">
        <f t="shared" si="229"/>
        <v>600000</v>
      </c>
      <c r="AB403" s="4">
        <f t="shared" si="230"/>
        <v>250000</v>
      </c>
      <c r="AC403" s="4" t="s">
        <v>10</v>
      </c>
      <c r="AD403" s="16">
        <f>IFERROR(VLOOKUP(AC403,'Kode Diskon'!$C$2:$D$9,2,0),0)</f>
        <v>0</v>
      </c>
      <c r="AE403" s="31">
        <f t="shared" si="231"/>
        <v>0</v>
      </c>
      <c r="AF403" s="31">
        <f t="shared" si="232"/>
        <v>600000</v>
      </c>
      <c r="AG403" s="31">
        <f t="shared" si="233"/>
        <v>350000</v>
      </c>
      <c r="AH403" s="31">
        <f t="shared" si="234"/>
        <v>350000</v>
      </c>
      <c r="AI403" s="4" t="s">
        <v>10</v>
      </c>
      <c r="AJ403" s="4" t="s">
        <v>13</v>
      </c>
      <c r="AK403" s="4" t="str">
        <f>IFERROR(VLOOKUP(AJ403,'Guide '!$A$13:$B$16,2,0),"-")</f>
        <v>BB</v>
      </c>
      <c r="AL403" s="4" t="s">
        <v>921</v>
      </c>
      <c r="AM403" s="40">
        <v>45437</v>
      </c>
      <c r="AN403">
        <f t="shared" si="235"/>
        <v>29</v>
      </c>
      <c r="AO403">
        <f t="shared" si="236"/>
        <v>32</v>
      </c>
      <c r="AP403">
        <f t="shared" si="237"/>
        <v>40</v>
      </c>
      <c r="AQ403">
        <f t="shared" si="238"/>
        <v>43</v>
      </c>
      <c r="AR403" s="26">
        <f t="shared" si="239"/>
        <v>56</v>
      </c>
      <c r="AS403" s="26">
        <f t="shared" si="240"/>
        <v>63</v>
      </c>
      <c r="AT403" s="21">
        <f t="shared" si="241"/>
        <v>12</v>
      </c>
      <c r="AU403" s="21">
        <f t="shared" si="242"/>
        <v>19</v>
      </c>
      <c r="AV403">
        <f t="shared" si="243"/>
        <v>73</v>
      </c>
      <c r="AW403">
        <f t="shared" si="244"/>
        <v>76</v>
      </c>
      <c r="AX403">
        <f t="shared" si="245"/>
        <v>84</v>
      </c>
      <c r="AY403">
        <f t="shared" si="246"/>
        <v>87</v>
      </c>
      <c r="AZ403" t="str">
        <f t="shared" si="247"/>
        <v>-</v>
      </c>
      <c r="BA403" t="str">
        <f t="shared" si="248"/>
        <v>-</v>
      </c>
      <c r="BB403" t="str">
        <f t="shared" si="249"/>
        <v>-</v>
      </c>
      <c r="BC403" t="str">
        <f t="shared" si="250"/>
        <v>-</v>
      </c>
      <c r="BD403" s="29" t="str">
        <f t="shared" si="251"/>
        <v>-</v>
      </c>
      <c r="BE403" s="29" t="str">
        <f t="shared" si="252"/>
        <v>-</v>
      </c>
    </row>
    <row r="404" spans="1:57" ht="15" x14ac:dyDescent="0.2">
      <c r="A404" s="2">
        <v>865</v>
      </c>
      <c r="B404" s="2" t="str">
        <f t="shared" si="217"/>
        <v>0865</v>
      </c>
      <c r="C404" t="str">
        <f t="shared" si="218"/>
        <v>ORD-TK-0865-25/05/24</v>
      </c>
      <c r="D404" s="3" t="s">
        <v>137</v>
      </c>
      <c r="E404" t="str">
        <f t="shared" si="219"/>
        <v>PW002</v>
      </c>
      <c r="F404" t="str">
        <f>INDEX(Katalog!$B$4:$B$13,MATCH('Main Data'!E404,Katalog!$C$4:$C$13,0))</f>
        <v>Blouse</v>
      </c>
      <c r="G404" t="str">
        <f>VLOOKUP(E404,Katalog!$A$15:$B$25,2,0)</f>
        <v>Pakaian Wanita</v>
      </c>
      <c r="H404" t="str">
        <f t="shared" si="220"/>
        <v>2</v>
      </c>
      <c r="I404" t="str">
        <f t="shared" si="221"/>
        <v>5</v>
      </c>
      <c r="J404" s="18">
        <f>VLOOKUP(E404,Katalog!$C$3:$F$13,2,0)</f>
        <v>125000</v>
      </c>
      <c r="K404" s="18">
        <f>VLOOKUP(E404,Katalog!$C$3:$F$13,3,0)</f>
        <v>50000</v>
      </c>
      <c r="L404" t="str">
        <f t="shared" si="222"/>
        <v>-</v>
      </c>
      <c r="M404" t="str">
        <f>IFERROR(INDEX(Katalog!$B$4:$B$13,MATCH('Main Data'!L404,Katalog!$C$4:$C$13,0)), "-")</f>
        <v>-</v>
      </c>
      <c r="N404" t="str">
        <f>IFERROR(VLOOKUP(L404,Katalog!$A$15:$B$25,2,0),"-")</f>
        <v>-</v>
      </c>
      <c r="O404">
        <f t="shared" si="223"/>
        <v>0</v>
      </c>
      <c r="P404" t="str">
        <f t="shared" si="224"/>
        <v>-</v>
      </c>
      <c r="Q404" s="18">
        <f>IFERROR(VLOOKUP(L404,Katalog!$C$3:$F$13,2,0),0)</f>
        <v>0</v>
      </c>
      <c r="R404" s="18">
        <f>IFERROR(VLOOKUP(L404,Katalog!$C$3:$F$13,3,0),0)</f>
        <v>0</v>
      </c>
      <c r="S404" t="str">
        <f t="shared" si="225"/>
        <v>-</v>
      </c>
      <c r="T404" t="str">
        <f>IFERROR(INDEX(Katalog!$B$4:$B$13,MATCH('Main Data'!S404,Katalog!$C$4:$C$13,0)),"-")</f>
        <v>-</v>
      </c>
      <c r="U404" t="str">
        <f>IFERROR(VLOOKUP(S404,Katalog!$A$15:$B$25,2,0),"-")</f>
        <v>-</v>
      </c>
      <c r="V404">
        <f t="shared" si="226"/>
        <v>0</v>
      </c>
      <c r="W404" s="28" t="str">
        <f t="shared" si="227"/>
        <v>-</v>
      </c>
      <c r="X404" s="18">
        <f>IFERROR(VLOOKUP(S404,Katalog!$C$3:$F$13,2,0),0)</f>
        <v>0</v>
      </c>
      <c r="Y404" s="30">
        <f>IFERROR(VLOOKUP(S404,Katalog!$C$3:$F$13,3,0),0)</f>
        <v>0</v>
      </c>
      <c r="Z404" s="2">
        <f t="shared" si="228"/>
        <v>2</v>
      </c>
      <c r="AA404" s="4">
        <f t="shared" si="229"/>
        <v>250000</v>
      </c>
      <c r="AB404" s="4">
        <f t="shared" si="230"/>
        <v>100000</v>
      </c>
      <c r="AC404" s="4" t="s">
        <v>30</v>
      </c>
      <c r="AD404" s="16">
        <f>IFERROR(VLOOKUP(AC404,'Kode Diskon'!$C$2:$D$9,2,0),0)</f>
        <v>0.1</v>
      </c>
      <c r="AE404" s="31">
        <f t="shared" si="231"/>
        <v>25000</v>
      </c>
      <c r="AF404" s="31">
        <f t="shared" si="232"/>
        <v>225000</v>
      </c>
      <c r="AG404" s="31">
        <f t="shared" si="233"/>
        <v>150000</v>
      </c>
      <c r="AH404" s="31">
        <f t="shared" si="234"/>
        <v>125000</v>
      </c>
      <c r="AI404" s="4" t="s">
        <v>8</v>
      </c>
      <c r="AJ404" s="4" t="s">
        <v>9</v>
      </c>
      <c r="AK404" s="4" t="str">
        <f>IFERROR(VLOOKUP(AJ404,'Guide '!$A$13:$B$16,2,0),"-")</f>
        <v>TK</v>
      </c>
      <c r="AL404" s="4" t="s">
        <v>1006</v>
      </c>
      <c r="AM404" s="40">
        <v>45437</v>
      </c>
      <c r="AN404">
        <f t="shared" si="235"/>
        <v>29</v>
      </c>
      <c r="AO404">
        <f t="shared" si="236"/>
        <v>32</v>
      </c>
      <c r="AP404">
        <f t="shared" si="237"/>
        <v>40</v>
      </c>
      <c r="AQ404">
        <f t="shared" si="238"/>
        <v>43</v>
      </c>
      <c r="AR404" s="26" t="str">
        <f t="shared" si="239"/>
        <v>-</v>
      </c>
      <c r="AS404" s="26" t="str">
        <f t="shared" si="240"/>
        <v>-</v>
      </c>
      <c r="AT404" s="21">
        <f t="shared" si="241"/>
        <v>12</v>
      </c>
      <c r="AU404" s="21">
        <f t="shared" si="242"/>
        <v>19</v>
      </c>
      <c r="AV404" t="str">
        <f t="shared" si="243"/>
        <v>-</v>
      </c>
      <c r="AW404" t="str">
        <f t="shared" si="244"/>
        <v>-</v>
      </c>
      <c r="AX404" t="str">
        <f t="shared" si="245"/>
        <v>-</v>
      </c>
      <c r="AY404" t="str">
        <f t="shared" si="246"/>
        <v>-</v>
      </c>
      <c r="AZ404" t="str">
        <f t="shared" si="247"/>
        <v>-</v>
      </c>
      <c r="BA404" t="str">
        <f t="shared" si="248"/>
        <v>-</v>
      </c>
      <c r="BB404" t="str">
        <f t="shared" si="249"/>
        <v>-</v>
      </c>
      <c r="BC404" t="str">
        <f t="shared" si="250"/>
        <v>-</v>
      </c>
      <c r="BD404" s="29" t="str">
        <f t="shared" si="251"/>
        <v>-</v>
      </c>
      <c r="BE404" s="29" t="str">
        <f t="shared" si="252"/>
        <v>-</v>
      </c>
    </row>
    <row r="405" spans="1:57" ht="15" x14ac:dyDescent="0.2">
      <c r="A405" s="2">
        <v>75</v>
      </c>
      <c r="B405" s="2" t="str">
        <f t="shared" si="217"/>
        <v>0075</v>
      </c>
      <c r="C405" t="str">
        <f t="shared" si="218"/>
        <v>ORD-TK-0075-26/05/24</v>
      </c>
      <c r="D405" s="3" t="s">
        <v>148</v>
      </c>
      <c r="E405" t="str">
        <f t="shared" si="219"/>
        <v>PP003</v>
      </c>
      <c r="F405" t="str">
        <f>INDEX(Katalog!$B$4:$B$13,MATCH('Main Data'!E405,Katalog!$C$4:$C$13,0))</f>
        <v>Jaket Jeans</v>
      </c>
      <c r="G405" t="str">
        <f>VLOOKUP(E405,Katalog!$A$15:$B$25,2,0)</f>
        <v>Pakaian Pria</v>
      </c>
      <c r="H405" t="str">
        <f t="shared" si="220"/>
        <v>6</v>
      </c>
      <c r="I405" t="str">
        <f t="shared" si="221"/>
        <v>4</v>
      </c>
      <c r="J405" s="18">
        <f>VLOOKUP(E405,Katalog!$C$3:$F$13,2,0)</f>
        <v>150000</v>
      </c>
      <c r="K405" s="18">
        <f>VLOOKUP(E405,Katalog!$C$3:$F$13,3,0)</f>
        <v>70000</v>
      </c>
      <c r="L405" t="str">
        <f t="shared" si="222"/>
        <v>PW001</v>
      </c>
      <c r="M405" t="str">
        <f>IFERROR(INDEX(Katalog!$B$4:$B$13,MATCH('Main Data'!L405,Katalog!$C$4:$C$13,0)), "-")</f>
        <v>Dress</v>
      </c>
      <c r="N405" t="str">
        <f>IFERROR(VLOOKUP(L405,Katalog!$A$15:$B$25,2,0),"-")</f>
        <v>Pakaian Wanita</v>
      </c>
      <c r="O405" t="str">
        <f t="shared" si="223"/>
        <v>1</v>
      </c>
      <c r="P405" t="str">
        <f t="shared" si="224"/>
        <v>1</v>
      </c>
      <c r="Q405" s="18">
        <f>IFERROR(VLOOKUP(L405,Katalog!$C$3:$F$13,2,0),0)</f>
        <v>150000</v>
      </c>
      <c r="R405" s="18">
        <f>IFERROR(VLOOKUP(L405,Katalog!$C$3:$F$13,3,0),0)</f>
        <v>55000</v>
      </c>
      <c r="S405" t="str">
        <f t="shared" si="225"/>
        <v>-</v>
      </c>
      <c r="T405" t="str">
        <f>IFERROR(INDEX(Katalog!$B$4:$B$13,MATCH('Main Data'!S405,Katalog!$C$4:$C$13,0)),"-")</f>
        <v>-</v>
      </c>
      <c r="U405" t="str">
        <f>IFERROR(VLOOKUP(S405,Katalog!$A$15:$B$25,2,0),"-")</f>
        <v>-</v>
      </c>
      <c r="V405">
        <f t="shared" si="226"/>
        <v>0</v>
      </c>
      <c r="W405" s="28" t="str">
        <f t="shared" si="227"/>
        <v>-</v>
      </c>
      <c r="X405" s="18">
        <f>IFERROR(VLOOKUP(S405,Katalog!$C$3:$F$13,2,0),0)</f>
        <v>0</v>
      </c>
      <c r="Y405" s="30">
        <f>IFERROR(VLOOKUP(S405,Katalog!$C$3:$F$13,3,0),0)</f>
        <v>0</v>
      </c>
      <c r="Z405" s="2">
        <f t="shared" si="228"/>
        <v>7</v>
      </c>
      <c r="AA405" s="4">
        <f t="shared" si="229"/>
        <v>1050000</v>
      </c>
      <c r="AB405" s="4">
        <f t="shared" si="230"/>
        <v>475000</v>
      </c>
      <c r="AC405" s="4" t="s">
        <v>29</v>
      </c>
      <c r="AD405" s="16">
        <f>IFERROR(VLOOKUP(AC405,'Kode Diskon'!$C$2:$D$9,2,0),0)</f>
        <v>0.1</v>
      </c>
      <c r="AE405" s="31">
        <f t="shared" si="231"/>
        <v>105000</v>
      </c>
      <c r="AF405" s="31">
        <f t="shared" si="232"/>
        <v>945000</v>
      </c>
      <c r="AG405" s="31">
        <f t="shared" si="233"/>
        <v>575000</v>
      </c>
      <c r="AH405" s="31">
        <f t="shared" si="234"/>
        <v>470000</v>
      </c>
      <c r="AI405" s="4" t="s">
        <v>28</v>
      </c>
      <c r="AJ405" s="4" t="s">
        <v>9</v>
      </c>
      <c r="AK405" s="4" t="str">
        <f>IFERROR(VLOOKUP(AJ405,'Guide '!$A$13:$B$16,2,0),"-")</f>
        <v>TK</v>
      </c>
      <c r="AL405" s="4" t="s">
        <v>924</v>
      </c>
      <c r="AM405" s="40">
        <v>45438</v>
      </c>
      <c r="AN405">
        <f t="shared" si="235"/>
        <v>29</v>
      </c>
      <c r="AO405">
        <f t="shared" si="236"/>
        <v>32</v>
      </c>
      <c r="AP405">
        <f t="shared" si="237"/>
        <v>40</v>
      </c>
      <c r="AQ405">
        <f t="shared" si="238"/>
        <v>43</v>
      </c>
      <c r="AR405" s="26">
        <f t="shared" si="239"/>
        <v>56</v>
      </c>
      <c r="AS405" s="26">
        <f t="shared" si="240"/>
        <v>63</v>
      </c>
      <c r="AT405" s="21">
        <f t="shared" si="241"/>
        <v>12</v>
      </c>
      <c r="AU405" s="21">
        <f t="shared" si="242"/>
        <v>19</v>
      </c>
      <c r="AV405">
        <f t="shared" si="243"/>
        <v>73</v>
      </c>
      <c r="AW405">
        <f t="shared" si="244"/>
        <v>76</v>
      </c>
      <c r="AX405">
        <f t="shared" si="245"/>
        <v>84</v>
      </c>
      <c r="AY405">
        <f t="shared" si="246"/>
        <v>87</v>
      </c>
      <c r="AZ405" t="str">
        <f t="shared" si="247"/>
        <v>-</v>
      </c>
      <c r="BA405" t="str">
        <f t="shared" si="248"/>
        <v>-</v>
      </c>
      <c r="BB405" t="str">
        <f t="shared" si="249"/>
        <v>-</v>
      </c>
      <c r="BC405" t="str">
        <f t="shared" si="250"/>
        <v>-</v>
      </c>
      <c r="BD405" s="29" t="str">
        <f t="shared" si="251"/>
        <v>-</v>
      </c>
      <c r="BE405" s="29" t="str">
        <f t="shared" si="252"/>
        <v>-</v>
      </c>
    </row>
    <row r="406" spans="1:57" ht="15" x14ac:dyDescent="0.2">
      <c r="A406" s="2">
        <v>201</v>
      </c>
      <c r="B406" s="2" t="str">
        <f t="shared" si="217"/>
        <v>0201</v>
      </c>
      <c r="C406" t="str">
        <f t="shared" si="218"/>
        <v>ORD-TK-0201-26/05/24</v>
      </c>
      <c r="D406" s="3" t="s">
        <v>270</v>
      </c>
      <c r="E406" t="str">
        <f t="shared" si="219"/>
        <v>PP003</v>
      </c>
      <c r="F406" t="str">
        <f>INDEX(Katalog!$B$4:$B$13,MATCH('Main Data'!E406,Katalog!$C$4:$C$13,0))</f>
        <v>Jaket Jeans</v>
      </c>
      <c r="G406" t="str">
        <f>VLOOKUP(E406,Katalog!$A$15:$B$25,2,0)</f>
        <v>Pakaian Pria</v>
      </c>
      <c r="H406" t="str">
        <f t="shared" si="220"/>
        <v>1</v>
      </c>
      <c r="I406" t="str">
        <f t="shared" si="221"/>
        <v>1</v>
      </c>
      <c r="J406" s="18">
        <f>VLOOKUP(E406,Katalog!$C$3:$F$13,2,0)</f>
        <v>150000</v>
      </c>
      <c r="K406" s="18">
        <f>VLOOKUP(E406,Katalog!$C$3:$F$13,3,0)</f>
        <v>70000</v>
      </c>
      <c r="L406" t="str">
        <f t="shared" si="222"/>
        <v>-</v>
      </c>
      <c r="M406" t="str">
        <f>IFERROR(INDEX(Katalog!$B$4:$B$13,MATCH('Main Data'!L406,Katalog!$C$4:$C$13,0)), "-")</f>
        <v>-</v>
      </c>
      <c r="N406" t="str">
        <f>IFERROR(VLOOKUP(L406,Katalog!$A$15:$B$25,2,0),"-")</f>
        <v>-</v>
      </c>
      <c r="O406">
        <f t="shared" si="223"/>
        <v>0</v>
      </c>
      <c r="P406" t="str">
        <f t="shared" si="224"/>
        <v>-</v>
      </c>
      <c r="Q406" s="18">
        <f>IFERROR(VLOOKUP(L406,Katalog!$C$3:$F$13,2,0),0)</f>
        <v>0</v>
      </c>
      <c r="R406" s="18">
        <f>IFERROR(VLOOKUP(L406,Katalog!$C$3:$F$13,3,0),0)</f>
        <v>0</v>
      </c>
      <c r="S406" t="str">
        <f t="shared" si="225"/>
        <v>-</v>
      </c>
      <c r="T406" t="str">
        <f>IFERROR(INDEX(Katalog!$B$4:$B$13,MATCH('Main Data'!S406,Katalog!$C$4:$C$13,0)),"-")</f>
        <v>-</v>
      </c>
      <c r="U406" t="str">
        <f>IFERROR(VLOOKUP(S406,Katalog!$A$15:$B$25,2,0),"-")</f>
        <v>-</v>
      </c>
      <c r="V406">
        <f t="shared" si="226"/>
        <v>0</v>
      </c>
      <c r="W406" s="28" t="str">
        <f t="shared" si="227"/>
        <v>-</v>
      </c>
      <c r="X406" s="18">
        <f>IFERROR(VLOOKUP(S406,Katalog!$C$3:$F$13,2,0),0)</f>
        <v>0</v>
      </c>
      <c r="Y406" s="30">
        <f>IFERROR(VLOOKUP(S406,Katalog!$C$3:$F$13,3,0),0)</f>
        <v>0</v>
      </c>
      <c r="Z406" s="2">
        <f t="shared" si="228"/>
        <v>1</v>
      </c>
      <c r="AA406" s="4">
        <f t="shared" si="229"/>
        <v>150000</v>
      </c>
      <c r="AB406" s="4">
        <f t="shared" si="230"/>
        <v>70000</v>
      </c>
      <c r="AC406" s="4" t="s">
        <v>30</v>
      </c>
      <c r="AD406" s="16">
        <f>IFERROR(VLOOKUP(AC406,'Kode Diskon'!$C$2:$D$9,2,0),0)</f>
        <v>0.1</v>
      </c>
      <c r="AE406" s="31">
        <f t="shared" si="231"/>
        <v>15000</v>
      </c>
      <c r="AF406" s="31">
        <f t="shared" si="232"/>
        <v>135000</v>
      </c>
      <c r="AG406" s="31">
        <f t="shared" si="233"/>
        <v>80000</v>
      </c>
      <c r="AH406" s="31">
        <f t="shared" si="234"/>
        <v>65000</v>
      </c>
      <c r="AI406" s="4" t="s">
        <v>8</v>
      </c>
      <c r="AJ406" s="4" t="s">
        <v>9</v>
      </c>
      <c r="AK406" s="4" t="str">
        <f>IFERROR(VLOOKUP(AJ406,'Guide '!$A$13:$B$16,2,0),"-")</f>
        <v>TK</v>
      </c>
      <c r="AL406" s="4" t="s">
        <v>925</v>
      </c>
      <c r="AM406" s="40">
        <v>45438</v>
      </c>
      <c r="AN406">
        <f t="shared" si="235"/>
        <v>29</v>
      </c>
      <c r="AO406">
        <f t="shared" si="236"/>
        <v>32</v>
      </c>
      <c r="AP406">
        <f t="shared" si="237"/>
        <v>40</v>
      </c>
      <c r="AQ406">
        <f t="shared" si="238"/>
        <v>43</v>
      </c>
      <c r="AR406" s="26" t="str">
        <f t="shared" si="239"/>
        <v>-</v>
      </c>
      <c r="AS406" s="26" t="str">
        <f t="shared" si="240"/>
        <v>-</v>
      </c>
      <c r="AT406" s="21">
        <f t="shared" si="241"/>
        <v>12</v>
      </c>
      <c r="AU406" s="21">
        <f t="shared" si="242"/>
        <v>19</v>
      </c>
      <c r="AV406" t="str">
        <f t="shared" si="243"/>
        <v>-</v>
      </c>
      <c r="AW406" t="str">
        <f t="shared" si="244"/>
        <v>-</v>
      </c>
      <c r="AX406" t="str">
        <f t="shared" si="245"/>
        <v>-</v>
      </c>
      <c r="AY406" t="str">
        <f t="shared" si="246"/>
        <v>-</v>
      </c>
      <c r="AZ406" t="str">
        <f t="shared" si="247"/>
        <v>-</v>
      </c>
      <c r="BA406" t="str">
        <f t="shared" si="248"/>
        <v>-</v>
      </c>
      <c r="BB406" t="str">
        <f t="shared" si="249"/>
        <v>-</v>
      </c>
      <c r="BC406" t="str">
        <f t="shared" si="250"/>
        <v>-</v>
      </c>
      <c r="BD406" s="29" t="str">
        <f t="shared" si="251"/>
        <v>-</v>
      </c>
      <c r="BE406" s="29" t="str">
        <f t="shared" si="252"/>
        <v>-</v>
      </c>
    </row>
    <row r="407" spans="1:57" ht="15" x14ac:dyDescent="0.2">
      <c r="A407" s="2">
        <v>378</v>
      </c>
      <c r="B407" s="2" t="str">
        <f t="shared" si="217"/>
        <v>0378</v>
      </c>
      <c r="C407" t="str">
        <f t="shared" si="218"/>
        <v>ORD-TK-0378-26/05/24</v>
      </c>
      <c r="D407" s="3" t="s">
        <v>427</v>
      </c>
      <c r="E407" t="str">
        <f t="shared" si="219"/>
        <v>SW001</v>
      </c>
      <c r="F407" t="str">
        <f>INDEX(Katalog!$B$4:$B$13,MATCH('Main Data'!E407,Katalog!$C$4:$C$13,0))</f>
        <v>Flat Shoes</v>
      </c>
      <c r="G407" t="str">
        <f>VLOOKUP(E407,Katalog!$A$15:$B$25,2,0)</f>
        <v>Sepatu Wanita</v>
      </c>
      <c r="H407" t="str">
        <f t="shared" si="220"/>
        <v>3</v>
      </c>
      <c r="I407" t="str">
        <f t="shared" si="221"/>
        <v>4</v>
      </c>
      <c r="J407" s="18">
        <f>VLOOKUP(E407,Katalog!$C$3:$F$13,2,0)</f>
        <v>150000</v>
      </c>
      <c r="K407" s="18">
        <f>VLOOKUP(E407,Katalog!$C$3:$F$13,3,0)</f>
        <v>70000</v>
      </c>
      <c r="L407" t="str">
        <f t="shared" si="222"/>
        <v>PP003</v>
      </c>
      <c r="M407" t="str">
        <f>IFERROR(INDEX(Katalog!$B$4:$B$13,MATCH('Main Data'!L407,Katalog!$C$4:$C$13,0)), "-")</f>
        <v>Jaket Jeans</v>
      </c>
      <c r="N407" t="str">
        <f>IFERROR(VLOOKUP(L407,Katalog!$A$15:$B$25,2,0),"-")</f>
        <v>Pakaian Pria</v>
      </c>
      <c r="O407" t="str">
        <f t="shared" si="223"/>
        <v>2</v>
      </c>
      <c r="P407" t="str">
        <f t="shared" si="224"/>
        <v>5</v>
      </c>
      <c r="Q407" s="18">
        <f>IFERROR(VLOOKUP(L407,Katalog!$C$3:$F$13,2,0),0)</f>
        <v>150000</v>
      </c>
      <c r="R407" s="18">
        <f>IFERROR(VLOOKUP(L407,Katalog!$C$3:$F$13,3,0),0)</f>
        <v>70000</v>
      </c>
      <c r="S407" t="str">
        <f t="shared" si="225"/>
        <v>-</v>
      </c>
      <c r="T407" t="str">
        <f>IFERROR(INDEX(Katalog!$B$4:$B$13,MATCH('Main Data'!S407,Katalog!$C$4:$C$13,0)),"-")</f>
        <v>-</v>
      </c>
      <c r="U407" t="str">
        <f>IFERROR(VLOOKUP(S407,Katalog!$A$15:$B$25,2,0),"-")</f>
        <v>-</v>
      </c>
      <c r="V407">
        <f t="shared" si="226"/>
        <v>0</v>
      </c>
      <c r="W407" s="28" t="str">
        <f t="shared" si="227"/>
        <v>-</v>
      </c>
      <c r="X407" s="18">
        <f>IFERROR(VLOOKUP(S407,Katalog!$C$3:$F$13,2,0),0)</f>
        <v>0</v>
      </c>
      <c r="Y407" s="30">
        <f>IFERROR(VLOOKUP(S407,Katalog!$C$3:$F$13,3,0),0)</f>
        <v>0</v>
      </c>
      <c r="Z407" s="2">
        <f t="shared" si="228"/>
        <v>5</v>
      </c>
      <c r="AA407" s="4">
        <f t="shared" si="229"/>
        <v>750000</v>
      </c>
      <c r="AB407" s="4">
        <f t="shared" si="230"/>
        <v>350000</v>
      </c>
      <c r="AC407" s="4" t="s">
        <v>30</v>
      </c>
      <c r="AD407" s="16">
        <f>IFERROR(VLOOKUP(AC407,'Kode Diskon'!$C$2:$D$9,2,0),0)</f>
        <v>0.1</v>
      </c>
      <c r="AE407" s="31">
        <f t="shared" si="231"/>
        <v>75000</v>
      </c>
      <c r="AF407" s="31">
        <f t="shared" si="232"/>
        <v>675000</v>
      </c>
      <c r="AG407" s="31">
        <f t="shared" si="233"/>
        <v>400000</v>
      </c>
      <c r="AH407" s="31">
        <f t="shared" si="234"/>
        <v>325000</v>
      </c>
      <c r="AI407" s="4" t="s">
        <v>8</v>
      </c>
      <c r="AJ407" s="4" t="s">
        <v>9</v>
      </c>
      <c r="AK407" s="4" t="str">
        <f>IFERROR(VLOOKUP(AJ407,'Guide '!$A$13:$B$16,2,0),"-")</f>
        <v>TK</v>
      </c>
      <c r="AL407" s="4" t="s">
        <v>924</v>
      </c>
      <c r="AM407" s="40">
        <v>45438</v>
      </c>
      <c r="AN407">
        <f t="shared" si="235"/>
        <v>29</v>
      </c>
      <c r="AO407">
        <f t="shared" si="236"/>
        <v>32</v>
      </c>
      <c r="AP407">
        <f t="shared" si="237"/>
        <v>40</v>
      </c>
      <c r="AQ407">
        <f t="shared" si="238"/>
        <v>43</v>
      </c>
      <c r="AR407" s="26">
        <f t="shared" si="239"/>
        <v>56</v>
      </c>
      <c r="AS407" s="26">
        <f t="shared" si="240"/>
        <v>63</v>
      </c>
      <c r="AT407" s="21">
        <f t="shared" si="241"/>
        <v>12</v>
      </c>
      <c r="AU407" s="21">
        <f t="shared" si="242"/>
        <v>19</v>
      </c>
      <c r="AV407">
        <f t="shared" si="243"/>
        <v>73</v>
      </c>
      <c r="AW407">
        <f t="shared" si="244"/>
        <v>76</v>
      </c>
      <c r="AX407">
        <f t="shared" si="245"/>
        <v>84</v>
      </c>
      <c r="AY407">
        <f t="shared" si="246"/>
        <v>87</v>
      </c>
      <c r="AZ407" t="str">
        <f t="shared" si="247"/>
        <v>-</v>
      </c>
      <c r="BA407" t="str">
        <f t="shared" si="248"/>
        <v>-</v>
      </c>
      <c r="BB407" t="str">
        <f t="shared" si="249"/>
        <v>-</v>
      </c>
      <c r="BC407" t="str">
        <f t="shared" si="250"/>
        <v>-</v>
      </c>
      <c r="BD407" s="29" t="str">
        <f t="shared" si="251"/>
        <v>-</v>
      </c>
      <c r="BE407" s="29" t="str">
        <f t="shared" si="252"/>
        <v>-</v>
      </c>
    </row>
    <row r="408" spans="1:57" ht="15" x14ac:dyDescent="0.2">
      <c r="A408" s="2">
        <v>400</v>
      </c>
      <c r="B408" s="2" t="str">
        <f t="shared" si="217"/>
        <v>0400</v>
      </c>
      <c r="C408" t="str">
        <f t="shared" si="218"/>
        <v>ORD-SP-0400-26/05/24</v>
      </c>
      <c r="D408" s="3" t="s">
        <v>448</v>
      </c>
      <c r="E408" t="str">
        <f t="shared" si="219"/>
        <v>SP002</v>
      </c>
      <c r="F408" t="str">
        <f>INDEX(Katalog!$B$4:$B$13,MATCH('Main Data'!E408,Katalog!$C$4:$C$13,0))</f>
        <v>Sandal Slip On</v>
      </c>
      <c r="G408" t="str">
        <f>VLOOKUP(E408,Katalog!$A$15:$B$25,2,0)</f>
        <v>Sepatu Pria</v>
      </c>
      <c r="H408" t="str">
        <f t="shared" si="220"/>
        <v>3</v>
      </c>
      <c r="I408" t="str">
        <f t="shared" si="221"/>
        <v>3</v>
      </c>
      <c r="J408" s="18">
        <f>VLOOKUP(E408,Katalog!$C$3:$F$13,2,0)</f>
        <v>120000</v>
      </c>
      <c r="K408" s="18">
        <f>VLOOKUP(E408,Katalog!$C$3:$F$13,3,0)</f>
        <v>60000</v>
      </c>
      <c r="L408" t="str">
        <f t="shared" si="222"/>
        <v>PW003</v>
      </c>
      <c r="M408" t="str">
        <f>IFERROR(INDEX(Katalog!$B$4:$B$13,MATCH('Main Data'!L408,Katalog!$C$4:$C$13,0)), "-")</f>
        <v>Kaftan</v>
      </c>
      <c r="N408" t="str">
        <f>IFERROR(VLOOKUP(L408,Katalog!$A$15:$B$25,2,0),"-")</f>
        <v>Pakaian Wanita</v>
      </c>
      <c r="O408" t="str">
        <f t="shared" si="223"/>
        <v>1</v>
      </c>
      <c r="P408" t="str">
        <f t="shared" si="224"/>
        <v>2</v>
      </c>
      <c r="Q408" s="18">
        <f>IFERROR(VLOOKUP(L408,Katalog!$C$3:$F$13,2,0),0)</f>
        <v>200000</v>
      </c>
      <c r="R408" s="18">
        <f>IFERROR(VLOOKUP(L408,Katalog!$C$3:$F$13,3,0),0)</f>
        <v>100000</v>
      </c>
      <c r="S408" t="str">
        <f t="shared" si="225"/>
        <v>-</v>
      </c>
      <c r="T408" t="str">
        <f>IFERROR(INDEX(Katalog!$B$4:$B$13,MATCH('Main Data'!S408,Katalog!$C$4:$C$13,0)),"-")</f>
        <v>-</v>
      </c>
      <c r="U408" t="str">
        <f>IFERROR(VLOOKUP(S408,Katalog!$A$15:$B$25,2,0),"-")</f>
        <v>-</v>
      </c>
      <c r="V408">
        <f t="shared" si="226"/>
        <v>0</v>
      </c>
      <c r="W408" s="28" t="str">
        <f t="shared" si="227"/>
        <v>-</v>
      </c>
      <c r="X408" s="18">
        <f>IFERROR(VLOOKUP(S408,Katalog!$C$3:$F$13,2,0),0)</f>
        <v>0</v>
      </c>
      <c r="Y408" s="30">
        <f>IFERROR(VLOOKUP(S408,Katalog!$C$3:$F$13,3,0),0)</f>
        <v>0</v>
      </c>
      <c r="Z408" s="2">
        <f t="shared" si="228"/>
        <v>4</v>
      </c>
      <c r="AA408" s="4">
        <f t="shared" si="229"/>
        <v>560000</v>
      </c>
      <c r="AB408" s="4">
        <f t="shared" si="230"/>
        <v>280000</v>
      </c>
      <c r="AC408" s="4" t="s">
        <v>7</v>
      </c>
      <c r="AD408" s="16">
        <f>IFERROR(VLOOKUP(AC408,'Kode Diskon'!$C$2:$D$9,2,0),0)</f>
        <v>0.2</v>
      </c>
      <c r="AE408" s="31">
        <f t="shared" si="231"/>
        <v>112000</v>
      </c>
      <c r="AF408" s="31">
        <f t="shared" si="232"/>
        <v>448000</v>
      </c>
      <c r="AG408" s="31">
        <f t="shared" si="233"/>
        <v>280000</v>
      </c>
      <c r="AH408" s="31">
        <f t="shared" si="234"/>
        <v>168000</v>
      </c>
      <c r="AI408" s="4" t="s">
        <v>8</v>
      </c>
      <c r="AJ408" s="4" t="s">
        <v>6</v>
      </c>
      <c r="AK408" s="4" t="str">
        <f>IFERROR(VLOOKUP(AJ408,'Guide '!$A$13:$B$16,2,0),"-")</f>
        <v>SP</v>
      </c>
      <c r="AL408" s="4" t="s">
        <v>925</v>
      </c>
      <c r="AM408" s="40">
        <v>45438</v>
      </c>
      <c r="AN408">
        <f t="shared" si="235"/>
        <v>29</v>
      </c>
      <c r="AO408">
        <f t="shared" si="236"/>
        <v>32</v>
      </c>
      <c r="AP408">
        <f t="shared" si="237"/>
        <v>40</v>
      </c>
      <c r="AQ408">
        <f t="shared" si="238"/>
        <v>43</v>
      </c>
      <c r="AR408" s="26">
        <f t="shared" si="239"/>
        <v>56</v>
      </c>
      <c r="AS408" s="26">
        <f t="shared" si="240"/>
        <v>63</v>
      </c>
      <c r="AT408" s="21">
        <f t="shared" si="241"/>
        <v>12</v>
      </c>
      <c r="AU408" s="21">
        <f t="shared" si="242"/>
        <v>19</v>
      </c>
      <c r="AV408">
        <f t="shared" si="243"/>
        <v>73</v>
      </c>
      <c r="AW408">
        <f t="shared" si="244"/>
        <v>76</v>
      </c>
      <c r="AX408">
        <f t="shared" si="245"/>
        <v>84</v>
      </c>
      <c r="AY408">
        <f t="shared" si="246"/>
        <v>87</v>
      </c>
      <c r="AZ408" t="str">
        <f t="shared" si="247"/>
        <v>-</v>
      </c>
      <c r="BA408" t="str">
        <f t="shared" si="248"/>
        <v>-</v>
      </c>
      <c r="BB408" t="str">
        <f t="shared" si="249"/>
        <v>-</v>
      </c>
      <c r="BC408" t="str">
        <f t="shared" si="250"/>
        <v>-</v>
      </c>
      <c r="BD408" s="29" t="str">
        <f t="shared" si="251"/>
        <v>-</v>
      </c>
      <c r="BE408" s="29" t="str">
        <f t="shared" si="252"/>
        <v>-</v>
      </c>
    </row>
    <row r="409" spans="1:57" ht="15" x14ac:dyDescent="0.2">
      <c r="A409" s="2">
        <v>587</v>
      </c>
      <c r="B409" s="2" t="str">
        <f t="shared" si="217"/>
        <v>0587</v>
      </c>
      <c r="C409" t="str">
        <f t="shared" si="218"/>
        <v>ORD-SP-0587-26/05/24</v>
      </c>
      <c r="D409" s="3" t="s">
        <v>156</v>
      </c>
      <c r="E409" t="str">
        <f t="shared" si="219"/>
        <v>PW003</v>
      </c>
      <c r="F409" t="str">
        <f>INDEX(Katalog!$B$4:$B$13,MATCH('Main Data'!E409,Katalog!$C$4:$C$13,0))</f>
        <v>Kaftan</v>
      </c>
      <c r="G409" t="str">
        <f>VLOOKUP(E409,Katalog!$A$15:$B$25,2,0)</f>
        <v>Pakaian Wanita</v>
      </c>
      <c r="H409" t="str">
        <f t="shared" si="220"/>
        <v>1</v>
      </c>
      <c r="I409" t="str">
        <f t="shared" si="221"/>
        <v>3</v>
      </c>
      <c r="J409" s="18">
        <f>VLOOKUP(E409,Katalog!$C$3:$F$13,2,0)</f>
        <v>200000</v>
      </c>
      <c r="K409" s="18">
        <f>VLOOKUP(E409,Katalog!$C$3:$F$13,3,0)</f>
        <v>100000</v>
      </c>
      <c r="L409" t="str">
        <f t="shared" si="222"/>
        <v>-</v>
      </c>
      <c r="M409" t="str">
        <f>IFERROR(INDEX(Katalog!$B$4:$B$13,MATCH('Main Data'!L409,Katalog!$C$4:$C$13,0)), "-")</f>
        <v>-</v>
      </c>
      <c r="N409" t="str">
        <f>IFERROR(VLOOKUP(L409,Katalog!$A$15:$B$25,2,0),"-")</f>
        <v>-</v>
      </c>
      <c r="O409">
        <f t="shared" si="223"/>
        <v>0</v>
      </c>
      <c r="P409" t="str">
        <f t="shared" si="224"/>
        <v>-</v>
      </c>
      <c r="Q409" s="18">
        <f>IFERROR(VLOOKUP(L409,Katalog!$C$3:$F$13,2,0),0)</f>
        <v>0</v>
      </c>
      <c r="R409" s="18">
        <f>IFERROR(VLOOKUP(L409,Katalog!$C$3:$F$13,3,0),0)</f>
        <v>0</v>
      </c>
      <c r="S409" t="str">
        <f t="shared" si="225"/>
        <v>-</v>
      </c>
      <c r="T409" t="str">
        <f>IFERROR(INDEX(Katalog!$B$4:$B$13,MATCH('Main Data'!S409,Katalog!$C$4:$C$13,0)),"-")</f>
        <v>-</v>
      </c>
      <c r="U409" t="str">
        <f>IFERROR(VLOOKUP(S409,Katalog!$A$15:$B$25,2,0),"-")</f>
        <v>-</v>
      </c>
      <c r="V409">
        <f t="shared" si="226"/>
        <v>0</v>
      </c>
      <c r="W409" s="28" t="str">
        <f t="shared" si="227"/>
        <v>-</v>
      </c>
      <c r="X409" s="18">
        <f>IFERROR(VLOOKUP(S409,Katalog!$C$3:$F$13,2,0),0)</f>
        <v>0</v>
      </c>
      <c r="Y409" s="30">
        <f>IFERROR(VLOOKUP(S409,Katalog!$C$3:$F$13,3,0),0)</f>
        <v>0</v>
      </c>
      <c r="Z409" s="2">
        <f t="shared" si="228"/>
        <v>1</v>
      </c>
      <c r="AA409" s="4">
        <f t="shared" si="229"/>
        <v>200000</v>
      </c>
      <c r="AB409" s="4">
        <f t="shared" si="230"/>
        <v>100000</v>
      </c>
      <c r="AC409" s="4" t="s">
        <v>5</v>
      </c>
      <c r="AD409" s="16">
        <f>IFERROR(VLOOKUP(AC409,'Kode Diskon'!$C$2:$D$9,2,0),0)</f>
        <v>0.1</v>
      </c>
      <c r="AE409" s="31">
        <f t="shared" si="231"/>
        <v>20000</v>
      </c>
      <c r="AF409" s="31">
        <f t="shared" si="232"/>
        <v>180000</v>
      </c>
      <c r="AG409" s="31">
        <f t="shared" si="233"/>
        <v>100000</v>
      </c>
      <c r="AH409" s="31">
        <f t="shared" si="234"/>
        <v>80000</v>
      </c>
      <c r="AI409" s="4" t="s">
        <v>28</v>
      </c>
      <c r="AJ409" s="4" t="s">
        <v>6</v>
      </c>
      <c r="AK409" s="4" t="str">
        <f>IFERROR(VLOOKUP(AJ409,'Guide '!$A$13:$B$16,2,0),"-")</f>
        <v>SP</v>
      </c>
      <c r="AL409" s="4" t="s">
        <v>922</v>
      </c>
      <c r="AM409" s="40">
        <v>45438</v>
      </c>
      <c r="AN409">
        <f t="shared" si="235"/>
        <v>29</v>
      </c>
      <c r="AO409">
        <f t="shared" si="236"/>
        <v>32</v>
      </c>
      <c r="AP409">
        <f t="shared" si="237"/>
        <v>40</v>
      </c>
      <c r="AQ409">
        <f t="shared" si="238"/>
        <v>43</v>
      </c>
      <c r="AR409" s="26" t="str">
        <f t="shared" si="239"/>
        <v>-</v>
      </c>
      <c r="AS409" s="26" t="str">
        <f t="shared" si="240"/>
        <v>-</v>
      </c>
      <c r="AT409" s="21">
        <f t="shared" si="241"/>
        <v>12</v>
      </c>
      <c r="AU409" s="21">
        <f t="shared" si="242"/>
        <v>19</v>
      </c>
      <c r="AV409" t="str">
        <f t="shared" si="243"/>
        <v>-</v>
      </c>
      <c r="AW409" t="str">
        <f t="shared" si="244"/>
        <v>-</v>
      </c>
      <c r="AX409" t="str">
        <f t="shared" si="245"/>
        <v>-</v>
      </c>
      <c r="AY409" t="str">
        <f t="shared" si="246"/>
        <v>-</v>
      </c>
      <c r="AZ409" t="str">
        <f t="shared" si="247"/>
        <v>-</v>
      </c>
      <c r="BA409" t="str">
        <f t="shared" si="248"/>
        <v>-</v>
      </c>
      <c r="BB409" t="str">
        <f t="shared" si="249"/>
        <v>-</v>
      </c>
      <c r="BC409" t="str">
        <f t="shared" si="250"/>
        <v>-</v>
      </c>
      <c r="BD409" s="29" t="str">
        <f t="shared" si="251"/>
        <v>-</v>
      </c>
      <c r="BE409" s="29" t="str">
        <f t="shared" si="252"/>
        <v>-</v>
      </c>
    </row>
    <row r="410" spans="1:57" ht="15" x14ac:dyDescent="0.2">
      <c r="A410" s="2">
        <v>626</v>
      </c>
      <c r="B410" s="2" t="str">
        <f t="shared" si="217"/>
        <v>0626</v>
      </c>
      <c r="C410" t="str">
        <f t="shared" si="218"/>
        <v>ORD-TK-0626-26/05/24</v>
      </c>
      <c r="D410" s="3" t="s">
        <v>635</v>
      </c>
      <c r="E410" t="str">
        <f t="shared" si="219"/>
        <v>PU001</v>
      </c>
      <c r="F410" t="str">
        <f>INDEX(Katalog!$B$4:$B$13,MATCH('Main Data'!E410,Katalog!$C$4:$C$13,0))</f>
        <v>Jaket Hoodie</v>
      </c>
      <c r="G410" t="str">
        <f>VLOOKUP(E410,Katalog!$A$15:$B$25,2,0)</f>
        <v>Pakaian Unisex</v>
      </c>
      <c r="H410" t="str">
        <f t="shared" si="220"/>
        <v>1</v>
      </c>
      <c r="I410" t="str">
        <f t="shared" si="221"/>
        <v>5</v>
      </c>
      <c r="J410" s="18">
        <f>VLOOKUP(E410,Katalog!$C$3:$F$13,2,0)</f>
        <v>160000</v>
      </c>
      <c r="K410" s="18">
        <f>VLOOKUP(E410,Katalog!$C$3:$F$13,3,0)</f>
        <v>60000</v>
      </c>
      <c r="L410" t="str">
        <f t="shared" si="222"/>
        <v>SW001</v>
      </c>
      <c r="M410" t="str">
        <f>IFERROR(INDEX(Katalog!$B$4:$B$13,MATCH('Main Data'!L410,Katalog!$C$4:$C$13,0)), "-")</f>
        <v>Flat Shoes</v>
      </c>
      <c r="N410" t="str">
        <f>IFERROR(VLOOKUP(L410,Katalog!$A$15:$B$25,2,0),"-")</f>
        <v>Sepatu Wanita</v>
      </c>
      <c r="O410" t="str">
        <f t="shared" si="223"/>
        <v>1</v>
      </c>
      <c r="P410" t="str">
        <f t="shared" si="224"/>
        <v>1</v>
      </c>
      <c r="Q410" s="18">
        <f>IFERROR(VLOOKUP(L410,Katalog!$C$3:$F$13,2,0),0)</f>
        <v>150000</v>
      </c>
      <c r="R410" s="18">
        <f>IFERROR(VLOOKUP(L410,Katalog!$C$3:$F$13,3,0),0)</f>
        <v>70000</v>
      </c>
      <c r="S410" t="str">
        <f t="shared" si="225"/>
        <v>PP003</v>
      </c>
      <c r="T410" t="str">
        <f>IFERROR(INDEX(Katalog!$B$4:$B$13,MATCH('Main Data'!S410,Katalog!$C$4:$C$13,0)),"-")</f>
        <v>Jaket Jeans</v>
      </c>
      <c r="U410" t="str">
        <f>IFERROR(VLOOKUP(S410,Katalog!$A$15:$B$25,2,0),"-")</f>
        <v>Pakaian Pria</v>
      </c>
      <c r="V410" t="str">
        <f t="shared" si="226"/>
        <v>2</v>
      </c>
      <c r="W410" s="28" t="str">
        <f t="shared" si="227"/>
        <v>1</v>
      </c>
      <c r="X410" s="18">
        <f>IFERROR(VLOOKUP(S410,Katalog!$C$3:$F$13,2,0),0)</f>
        <v>150000</v>
      </c>
      <c r="Y410" s="30">
        <f>IFERROR(VLOOKUP(S410,Katalog!$C$3:$F$13,3,0),0)</f>
        <v>70000</v>
      </c>
      <c r="Z410" s="2">
        <f t="shared" si="228"/>
        <v>4</v>
      </c>
      <c r="AA410" s="4">
        <f t="shared" si="229"/>
        <v>610000</v>
      </c>
      <c r="AB410" s="4">
        <f t="shared" si="230"/>
        <v>270000</v>
      </c>
      <c r="AC410" s="4" t="s">
        <v>29</v>
      </c>
      <c r="AD410" s="16">
        <f>IFERROR(VLOOKUP(AC410,'Kode Diskon'!$C$2:$D$9,2,0),0)</f>
        <v>0.1</v>
      </c>
      <c r="AE410" s="31">
        <f t="shared" si="231"/>
        <v>61000</v>
      </c>
      <c r="AF410" s="31">
        <f t="shared" si="232"/>
        <v>549000</v>
      </c>
      <c r="AG410" s="31">
        <f t="shared" si="233"/>
        <v>340000</v>
      </c>
      <c r="AH410" s="31">
        <f t="shared" si="234"/>
        <v>279000</v>
      </c>
      <c r="AI410" s="4" t="s">
        <v>28</v>
      </c>
      <c r="AJ410" s="4" t="s">
        <v>9</v>
      </c>
      <c r="AK410" s="4" t="str">
        <f>IFERROR(VLOOKUP(AJ410,'Guide '!$A$13:$B$16,2,0),"-")</f>
        <v>TK</v>
      </c>
      <c r="AL410" s="4" t="s">
        <v>921</v>
      </c>
      <c r="AM410" s="40">
        <v>45438</v>
      </c>
      <c r="AN410">
        <f t="shared" si="235"/>
        <v>29</v>
      </c>
      <c r="AO410">
        <f t="shared" si="236"/>
        <v>32</v>
      </c>
      <c r="AP410">
        <f t="shared" si="237"/>
        <v>40</v>
      </c>
      <c r="AQ410">
        <f t="shared" si="238"/>
        <v>43</v>
      </c>
      <c r="AR410" s="26">
        <f t="shared" si="239"/>
        <v>56</v>
      </c>
      <c r="AS410" s="26">
        <f t="shared" si="240"/>
        <v>63</v>
      </c>
      <c r="AT410" s="21">
        <f t="shared" si="241"/>
        <v>12</v>
      </c>
      <c r="AU410" s="21">
        <f t="shared" si="242"/>
        <v>19</v>
      </c>
      <c r="AV410">
        <f t="shared" si="243"/>
        <v>73</v>
      </c>
      <c r="AW410">
        <f t="shared" si="244"/>
        <v>76</v>
      </c>
      <c r="AX410">
        <f t="shared" si="245"/>
        <v>84</v>
      </c>
      <c r="AY410">
        <f t="shared" si="246"/>
        <v>87</v>
      </c>
      <c r="AZ410">
        <f t="shared" si="247"/>
        <v>100</v>
      </c>
      <c r="BA410">
        <f t="shared" si="248"/>
        <v>107</v>
      </c>
      <c r="BB410">
        <f t="shared" si="249"/>
        <v>117</v>
      </c>
      <c r="BC410">
        <f t="shared" si="250"/>
        <v>120</v>
      </c>
      <c r="BD410" s="29">
        <f t="shared" si="251"/>
        <v>128</v>
      </c>
      <c r="BE410" s="29">
        <f t="shared" si="252"/>
        <v>131</v>
      </c>
    </row>
    <row r="411" spans="1:57" ht="15" x14ac:dyDescent="0.2">
      <c r="A411" s="2">
        <v>179</v>
      </c>
      <c r="B411" s="2" t="str">
        <f t="shared" si="217"/>
        <v>0179</v>
      </c>
      <c r="C411" t="str">
        <f t="shared" si="218"/>
        <v>ORD-SP-0179-27/05/24</v>
      </c>
      <c r="D411" s="3" t="s">
        <v>248</v>
      </c>
      <c r="E411" t="str">
        <f t="shared" si="219"/>
        <v>SW001</v>
      </c>
      <c r="F411" t="str">
        <f>INDEX(Katalog!$B$4:$B$13,MATCH('Main Data'!E411,Katalog!$C$4:$C$13,0))</f>
        <v>Flat Shoes</v>
      </c>
      <c r="G411" t="str">
        <f>VLOOKUP(E411,Katalog!$A$15:$B$25,2,0)</f>
        <v>Sepatu Wanita</v>
      </c>
      <c r="H411" t="str">
        <f t="shared" si="220"/>
        <v>1</v>
      </c>
      <c r="I411" t="str">
        <f t="shared" si="221"/>
        <v>5</v>
      </c>
      <c r="J411" s="18">
        <f>VLOOKUP(E411,Katalog!$C$3:$F$13,2,0)</f>
        <v>150000</v>
      </c>
      <c r="K411" s="18">
        <f>VLOOKUP(E411,Katalog!$C$3:$F$13,3,0)</f>
        <v>70000</v>
      </c>
      <c r="L411" t="str">
        <f t="shared" si="222"/>
        <v>-</v>
      </c>
      <c r="M411" t="str">
        <f>IFERROR(INDEX(Katalog!$B$4:$B$13,MATCH('Main Data'!L411,Katalog!$C$4:$C$13,0)), "-")</f>
        <v>-</v>
      </c>
      <c r="N411" t="str">
        <f>IFERROR(VLOOKUP(L411,Katalog!$A$15:$B$25,2,0),"-")</f>
        <v>-</v>
      </c>
      <c r="O411">
        <f t="shared" si="223"/>
        <v>0</v>
      </c>
      <c r="P411" t="str">
        <f t="shared" si="224"/>
        <v>-</v>
      </c>
      <c r="Q411" s="18">
        <f>IFERROR(VLOOKUP(L411,Katalog!$C$3:$F$13,2,0),0)</f>
        <v>0</v>
      </c>
      <c r="R411" s="18">
        <f>IFERROR(VLOOKUP(L411,Katalog!$C$3:$F$13,3,0),0)</f>
        <v>0</v>
      </c>
      <c r="S411" t="str">
        <f t="shared" si="225"/>
        <v>-</v>
      </c>
      <c r="T411" t="str">
        <f>IFERROR(INDEX(Katalog!$B$4:$B$13,MATCH('Main Data'!S411,Katalog!$C$4:$C$13,0)),"-")</f>
        <v>-</v>
      </c>
      <c r="U411" t="str">
        <f>IFERROR(VLOOKUP(S411,Katalog!$A$15:$B$25,2,0),"-")</f>
        <v>-</v>
      </c>
      <c r="V411">
        <f t="shared" si="226"/>
        <v>0</v>
      </c>
      <c r="W411" s="28" t="str">
        <f t="shared" si="227"/>
        <v>-</v>
      </c>
      <c r="X411" s="18">
        <f>IFERROR(VLOOKUP(S411,Katalog!$C$3:$F$13,2,0),0)</f>
        <v>0</v>
      </c>
      <c r="Y411" s="30">
        <f>IFERROR(VLOOKUP(S411,Katalog!$C$3:$F$13,3,0),0)</f>
        <v>0</v>
      </c>
      <c r="Z411" s="2">
        <f t="shared" si="228"/>
        <v>1</v>
      </c>
      <c r="AA411" s="4">
        <f t="shared" si="229"/>
        <v>150000</v>
      </c>
      <c r="AB411" s="4">
        <f t="shared" si="230"/>
        <v>70000</v>
      </c>
      <c r="AC411" s="4" t="s">
        <v>7</v>
      </c>
      <c r="AD411" s="16">
        <f>IFERROR(VLOOKUP(AC411,'Kode Diskon'!$C$2:$D$9,2,0),0)</f>
        <v>0.2</v>
      </c>
      <c r="AE411" s="31">
        <f t="shared" si="231"/>
        <v>30000</v>
      </c>
      <c r="AF411" s="31">
        <f t="shared" si="232"/>
        <v>120000</v>
      </c>
      <c r="AG411" s="31">
        <f t="shared" si="233"/>
        <v>80000</v>
      </c>
      <c r="AH411" s="31">
        <f t="shared" si="234"/>
        <v>50000</v>
      </c>
      <c r="AI411" s="4" t="s">
        <v>8</v>
      </c>
      <c r="AJ411" s="4" t="s">
        <v>6</v>
      </c>
      <c r="AK411" s="4" t="str">
        <f>IFERROR(VLOOKUP(AJ411,'Guide '!$A$13:$B$16,2,0),"-")</f>
        <v>SP</v>
      </c>
      <c r="AL411" s="4" t="s">
        <v>921</v>
      </c>
      <c r="AM411" s="40">
        <v>45439</v>
      </c>
      <c r="AN411">
        <f t="shared" si="235"/>
        <v>29</v>
      </c>
      <c r="AO411">
        <f t="shared" si="236"/>
        <v>32</v>
      </c>
      <c r="AP411">
        <f t="shared" si="237"/>
        <v>40</v>
      </c>
      <c r="AQ411">
        <f t="shared" si="238"/>
        <v>43</v>
      </c>
      <c r="AR411" s="26" t="str">
        <f t="shared" si="239"/>
        <v>-</v>
      </c>
      <c r="AS411" s="26" t="str">
        <f t="shared" si="240"/>
        <v>-</v>
      </c>
      <c r="AT411" s="21">
        <f t="shared" si="241"/>
        <v>12</v>
      </c>
      <c r="AU411" s="21">
        <f t="shared" si="242"/>
        <v>19</v>
      </c>
      <c r="AV411" t="str">
        <f t="shared" si="243"/>
        <v>-</v>
      </c>
      <c r="AW411" t="str">
        <f t="shared" si="244"/>
        <v>-</v>
      </c>
      <c r="AX411" t="str">
        <f t="shared" si="245"/>
        <v>-</v>
      </c>
      <c r="AY411" t="str">
        <f t="shared" si="246"/>
        <v>-</v>
      </c>
      <c r="AZ411" t="str">
        <f t="shared" si="247"/>
        <v>-</v>
      </c>
      <c r="BA411" t="str">
        <f t="shared" si="248"/>
        <v>-</v>
      </c>
      <c r="BB411" t="str">
        <f t="shared" si="249"/>
        <v>-</v>
      </c>
      <c r="BC411" t="str">
        <f t="shared" si="250"/>
        <v>-</v>
      </c>
      <c r="BD411" s="29" t="str">
        <f t="shared" si="251"/>
        <v>-</v>
      </c>
      <c r="BE411" s="29" t="str">
        <f t="shared" si="252"/>
        <v>-</v>
      </c>
    </row>
    <row r="412" spans="1:57" ht="15" x14ac:dyDescent="0.2">
      <c r="A412" s="2">
        <v>455</v>
      </c>
      <c r="B412" s="2" t="str">
        <f t="shared" si="217"/>
        <v>0455</v>
      </c>
      <c r="C412" t="str">
        <f t="shared" si="218"/>
        <v>ORD-BL-0455-27/05/24</v>
      </c>
      <c r="D412" s="3" t="s">
        <v>493</v>
      </c>
      <c r="E412" t="str">
        <f t="shared" si="219"/>
        <v>PW002</v>
      </c>
      <c r="F412" t="str">
        <f>INDEX(Katalog!$B$4:$B$13,MATCH('Main Data'!E412,Katalog!$C$4:$C$13,0))</f>
        <v>Blouse</v>
      </c>
      <c r="G412" t="str">
        <f>VLOOKUP(E412,Katalog!$A$15:$B$25,2,0)</f>
        <v>Pakaian Wanita</v>
      </c>
      <c r="H412" t="str">
        <f t="shared" si="220"/>
        <v>4</v>
      </c>
      <c r="I412" t="str">
        <f t="shared" si="221"/>
        <v>5</v>
      </c>
      <c r="J412" s="18">
        <f>VLOOKUP(E412,Katalog!$C$3:$F$13,2,0)</f>
        <v>125000</v>
      </c>
      <c r="K412" s="18">
        <f>VLOOKUP(E412,Katalog!$C$3:$F$13,3,0)</f>
        <v>50000</v>
      </c>
      <c r="L412" t="str">
        <f t="shared" si="222"/>
        <v>SP001</v>
      </c>
      <c r="M412" t="str">
        <f>IFERROR(INDEX(Katalog!$B$4:$B$13,MATCH('Main Data'!L412,Katalog!$C$4:$C$13,0)), "-")</f>
        <v>Sneakers</v>
      </c>
      <c r="N412" t="str">
        <f>IFERROR(VLOOKUP(L412,Katalog!$A$15:$B$25,2,0),"-")</f>
        <v>Sepatu Pria</v>
      </c>
      <c r="O412" t="str">
        <f t="shared" si="223"/>
        <v>1</v>
      </c>
      <c r="P412" t="str">
        <f t="shared" si="224"/>
        <v>1</v>
      </c>
      <c r="Q412" s="18">
        <f>IFERROR(VLOOKUP(L412,Katalog!$C$3:$F$13,2,0),0)</f>
        <v>300000</v>
      </c>
      <c r="R412" s="18">
        <f>IFERROR(VLOOKUP(L412,Katalog!$C$3:$F$13,3,0),0)</f>
        <v>100000</v>
      </c>
      <c r="S412" t="str">
        <f t="shared" si="225"/>
        <v>-</v>
      </c>
      <c r="T412" t="str">
        <f>IFERROR(INDEX(Katalog!$B$4:$B$13,MATCH('Main Data'!S412,Katalog!$C$4:$C$13,0)),"-")</f>
        <v>-</v>
      </c>
      <c r="U412" t="str">
        <f>IFERROR(VLOOKUP(S412,Katalog!$A$15:$B$25,2,0),"-")</f>
        <v>-</v>
      </c>
      <c r="V412">
        <f t="shared" si="226"/>
        <v>0</v>
      </c>
      <c r="W412" s="28" t="str">
        <f t="shared" si="227"/>
        <v>-</v>
      </c>
      <c r="X412" s="18">
        <f>IFERROR(VLOOKUP(S412,Katalog!$C$3:$F$13,2,0),0)</f>
        <v>0</v>
      </c>
      <c r="Y412" s="30">
        <f>IFERROR(VLOOKUP(S412,Katalog!$C$3:$F$13,3,0),0)</f>
        <v>0</v>
      </c>
      <c r="Z412" s="2">
        <f t="shared" si="228"/>
        <v>5</v>
      </c>
      <c r="AA412" s="4">
        <f t="shared" si="229"/>
        <v>800000</v>
      </c>
      <c r="AB412" s="4">
        <f t="shared" si="230"/>
        <v>300000</v>
      </c>
      <c r="AC412" s="4" t="s">
        <v>31</v>
      </c>
      <c r="AD412" s="16">
        <f>IFERROR(VLOOKUP(AC412,'Kode Diskon'!$C$2:$D$9,2,0),0)</f>
        <v>0.15</v>
      </c>
      <c r="AE412" s="31">
        <f t="shared" si="231"/>
        <v>120000</v>
      </c>
      <c r="AF412" s="31">
        <f t="shared" si="232"/>
        <v>680000</v>
      </c>
      <c r="AG412" s="31">
        <f t="shared" si="233"/>
        <v>500000</v>
      </c>
      <c r="AH412" s="31">
        <f t="shared" si="234"/>
        <v>380000</v>
      </c>
      <c r="AI412" s="4" t="s">
        <v>8</v>
      </c>
      <c r="AJ412" s="4" t="s">
        <v>11</v>
      </c>
      <c r="AK412" s="4" t="str">
        <f>IFERROR(VLOOKUP(AJ412,'Guide '!$A$13:$B$16,2,0),"-")</f>
        <v>BL</v>
      </c>
      <c r="AL412" s="4" t="s">
        <v>925</v>
      </c>
      <c r="AM412" s="40">
        <v>45439</v>
      </c>
      <c r="AN412">
        <f t="shared" si="235"/>
        <v>29</v>
      </c>
      <c r="AO412">
        <f t="shared" si="236"/>
        <v>32</v>
      </c>
      <c r="AP412">
        <f t="shared" si="237"/>
        <v>40</v>
      </c>
      <c r="AQ412">
        <f t="shared" si="238"/>
        <v>43</v>
      </c>
      <c r="AR412" s="26">
        <f t="shared" si="239"/>
        <v>56</v>
      </c>
      <c r="AS412" s="26">
        <f t="shared" si="240"/>
        <v>63</v>
      </c>
      <c r="AT412" s="21">
        <f t="shared" si="241"/>
        <v>12</v>
      </c>
      <c r="AU412" s="21">
        <f t="shared" si="242"/>
        <v>19</v>
      </c>
      <c r="AV412">
        <f t="shared" si="243"/>
        <v>73</v>
      </c>
      <c r="AW412">
        <f t="shared" si="244"/>
        <v>76</v>
      </c>
      <c r="AX412">
        <f t="shared" si="245"/>
        <v>84</v>
      </c>
      <c r="AY412">
        <f t="shared" si="246"/>
        <v>87</v>
      </c>
      <c r="AZ412" t="str">
        <f t="shared" si="247"/>
        <v>-</v>
      </c>
      <c r="BA412" t="str">
        <f t="shared" si="248"/>
        <v>-</v>
      </c>
      <c r="BB412" t="str">
        <f t="shared" si="249"/>
        <v>-</v>
      </c>
      <c r="BC412" t="str">
        <f t="shared" si="250"/>
        <v>-</v>
      </c>
      <c r="BD412" s="29" t="str">
        <f t="shared" si="251"/>
        <v>-</v>
      </c>
      <c r="BE412" s="29" t="str">
        <f t="shared" si="252"/>
        <v>-</v>
      </c>
    </row>
    <row r="413" spans="1:57" ht="15" x14ac:dyDescent="0.2">
      <c r="A413" s="2">
        <v>888</v>
      </c>
      <c r="B413" s="2" t="str">
        <f t="shared" si="217"/>
        <v>0888</v>
      </c>
      <c r="C413" t="str">
        <f t="shared" si="218"/>
        <v>ORD-BB-0888-27/05/24</v>
      </c>
      <c r="D413" s="3" t="s">
        <v>828</v>
      </c>
      <c r="E413" t="str">
        <f t="shared" si="219"/>
        <v>PP003</v>
      </c>
      <c r="F413" t="str">
        <f>INDEX(Katalog!$B$4:$B$13,MATCH('Main Data'!E413,Katalog!$C$4:$C$13,0))</f>
        <v>Jaket Jeans</v>
      </c>
      <c r="G413" t="str">
        <f>VLOOKUP(E413,Katalog!$A$15:$B$25,2,0)</f>
        <v>Pakaian Pria</v>
      </c>
      <c r="H413" t="str">
        <f t="shared" si="220"/>
        <v>1</v>
      </c>
      <c r="I413" t="str">
        <f t="shared" si="221"/>
        <v>1</v>
      </c>
      <c r="J413" s="18">
        <f>VLOOKUP(E413,Katalog!$C$3:$F$13,2,0)</f>
        <v>150000</v>
      </c>
      <c r="K413" s="18">
        <f>VLOOKUP(E413,Katalog!$C$3:$F$13,3,0)</f>
        <v>70000</v>
      </c>
      <c r="L413" t="str">
        <f t="shared" si="222"/>
        <v>PP002</v>
      </c>
      <c r="M413" t="str">
        <f>IFERROR(INDEX(Katalog!$B$4:$B$13,MATCH('Main Data'!L413,Katalog!$C$4:$C$13,0)), "-")</f>
        <v>Celana Pendek</v>
      </c>
      <c r="N413" t="str">
        <f>IFERROR(VLOOKUP(L413,Katalog!$A$15:$B$25,2,0),"-")</f>
        <v>Pakaian Pria</v>
      </c>
      <c r="O413" t="str">
        <f t="shared" si="223"/>
        <v>1</v>
      </c>
      <c r="P413" t="str">
        <f t="shared" si="224"/>
        <v>3</v>
      </c>
      <c r="Q413" s="18">
        <f>IFERROR(VLOOKUP(L413,Katalog!$C$3:$F$13,2,0),0)</f>
        <v>60000</v>
      </c>
      <c r="R413" s="18">
        <f>IFERROR(VLOOKUP(L413,Katalog!$C$3:$F$13,3,0),0)</f>
        <v>25000</v>
      </c>
      <c r="S413" t="str">
        <f t="shared" si="225"/>
        <v>SP001</v>
      </c>
      <c r="T413" t="str">
        <f>IFERROR(INDEX(Katalog!$B$4:$B$13,MATCH('Main Data'!S413,Katalog!$C$4:$C$13,0)),"-")</f>
        <v>Sneakers</v>
      </c>
      <c r="U413" t="str">
        <f>IFERROR(VLOOKUP(S413,Katalog!$A$15:$B$25,2,0),"-")</f>
        <v>Sepatu Pria</v>
      </c>
      <c r="V413" t="str">
        <f t="shared" si="226"/>
        <v>2</v>
      </c>
      <c r="W413" s="28" t="str">
        <f t="shared" si="227"/>
        <v>4</v>
      </c>
      <c r="X413" s="18">
        <f>IFERROR(VLOOKUP(S413,Katalog!$C$3:$F$13,2,0),0)</f>
        <v>300000</v>
      </c>
      <c r="Y413" s="30">
        <f>IFERROR(VLOOKUP(S413,Katalog!$C$3:$F$13,3,0),0)</f>
        <v>100000</v>
      </c>
      <c r="Z413" s="2">
        <f t="shared" si="228"/>
        <v>4</v>
      </c>
      <c r="AA413" s="4">
        <f t="shared" si="229"/>
        <v>810000</v>
      </c>
      <c r="AB413" s="4">
        <f t="shared" si="230"/>
        <v>295000</v>
      </c>
      <c r="AC413" s="4" t="s">
        <v>27</v>
      </c>
      <c r="AD413" s="16">
        <f>IFERROR(VLOOKUP(AC413,'Kode Diskon'!$C$2:$D$9,2,0),0)</f>
        <v>0.15</v>
      </c>
      <c r="AE413" s="31">
        <f t="shared" si="231"/>
        <v>121500</v>
      </c>
      <c r="AF413" s="31">
        <f t="shared" si="232"/>
        <v>688500</v>
      </c>
      <c r="AG413" s="31">
        <f t="shared" si="233"/>
        <v>515000</v>
      </c>
      <c r="AH413" s="31">
        <f t="shared" si="234"/>
        <v>393500</v>
      </c>
      <c r="AI413" s="4" t="s">
        <v>28</v>
      </c>
      <c r="AJ413" s="4" t="s">
        <v>13</v>
      </c>
      <c r="AK413" s="4" t="str">
        <f>IFERROR(VLOOKUP(AJ413,'Guide '!$A$13:$B$16,2,0),"-")</f>
        <v>BB</v>
      </c>
      <c r="AL413" s="4" t="s">
        <v>1006</v>
      </c>
      <c r="AM413" s="40">
        <v>45439</v>
      </c>
      <c r="AN413">
        <f t="shared" si="235"/>
        <v>29</v>
      </c>
      <c r="AO413">
        <f t="shared" si="236"/>
        <v>32</v>
      </c>
      <c r="AP413">
        <f t="shared" si="237"/>
        <v>40</v>
      </c>
      <c r="AQ413">
        <f t="shared" si="238"/>
        <v>43</v>
      </c>
      <c r="AR413" s="26">
        <f t="shared" si="239"/>
        <v>56</v>
      </c>
      <c r="AS413" s="26">
        <f t="shared" si="240"/>
        <v>63</v>
      </c>
      <c r="AT413" s="21">
        <f t="shared" si="241"/>
        <v>12</v>
      </c>
      <c r="AU413" s="21">
        <f t="shared" si="242"/>
        <v>19</v>
      </c>
      <c r="AV413">
        <f t="shared" si="243"/>
        <v>73</v>
      </c>
      <c r="AW413">
        <f t="shared" si="244"/>
        <v>76</v>
      </c>
      <c r="AX413">
        <f t="shared" si="245"/>
        <v>84</v>
      </c>
      <c r="AY413">
        <f t="shared" si="246"/>
        <v>87</v>
      </c>
      <c r="AZ413">
        <f t="shared" si="247"/>
        <v>100</v>
      </c>
      <c r="BA413">
        <f t="shared" si="248"/>
        <v>107</v>
      </c>
      <c r="BB413">
        <f t="shared" si="249"/>
        <v>117</v>
      </c>
      <c r="BC413">
        <f t="shared" si="250"/>
        <v>120</v>
      </c>
      <c r="BD413" s="29">
        <f t="shared" si="251"/>
        <v>128</v>
      </c>
      <c r="BE413" s="29">
        <f t="shared" si="252"/>
        <v>131</v>
      </c>
    </row>
    <row r="414" spans="1:57" ht="15" x14ac:dyDescent="0.2">
      <c r="A414" s="2">
        <v>785</v>
      </c>
      <c r="B414" s="2" t="str">
        <f t="shared" si="217"/>
        <v>0785</v>
      </c>
      <c r="C414" t="str">
        <f t="shared" si="218"/>
        <v>ORD-TK-0785-28/05/24</v>
      </c>
      <c r="D414" s="3" t="s">
        <v>757</v>
      </c>
      <c r="E414" t="str">
        <f t="shared" si="219"/>
        <v>SP001</v>
      </c>
      <c r="F414" t="str">
        <f>INDEX(Katalog!$B$4:$B$13,MATCH('Main Data'!E414,Katalog!$C$4:$C$13,0))</f>
        <v>Sneakers</v>
      </c>
      <c r="G414" t="str">
        <f>VLOOKUP(E414,Katalog!$A$15:$B$25,2,0)</f>
        <v>Sepatu Pria</v>
      </c>
      <c r="H414" t="str">
        <f t="shared" si="220"/>
        <v>1</v>
      </c>
      <c r="I414" t="str">
        <f t="shared" si="221"/>
        <v>1</v>
      </c>
      <c r="J414" s="18">
        <f>VLOOKUP(E414,Katalog!$C$3:$F$13,2,0)</f>
        <v>300000</v>
      </c>
      <c r="K414" s="18">
        <f>VLOOKUP(E414,Katalog!$C$3:$F$13,3,0)</f>
        <v>100000</v>
      </c>
      <c r="L414" t="str">
        <f t="shared" si="222"/>
        <v>-</v>
      </c>
      <c r="M414" t="str">
        <f>IFERROR(INDEX(Katalog!$B$4:$B$13,MATCH('Main Data'!L414,Katalog!$C$4:$C$13,0)), "-")</f>
        <v>-</v>
      </c>
      <c r="N414" t="str">
        <f>IFERROR(VLOOKUP(L414,Katalog!$A$15:$B$25,2,0),"-")</f>
        <v>-</v>
      </c>
      <c r="O414">
        <f t="shared" si="223"/>
        <v>0</v>
      </c>
      <c r="P414" t="str">
        <f t="shared" si="224"/>
        <v>-</v>
      </c>
      <c r="Q414" s="18">
        <f>IFERROR(VLOOKUP(L414,Katalog!$C$3:$F$13,2,0),0)</f>
        <v>0</v>
      </c>
      <c r="R414" s="18">
        <f>IFERROR(VLOOKUP(L414,Katalog!$C$3:$F$13,3,0),0)</f>
        <v>0</v>
      </c>
      <c r="S414" t="str">
        <f t="shared" si="225"/>
        <v>-</v>
      </c>
      <c r="T414" t="str">
        <f>IFERROR(INDEX(Katalog!$B$4:$B$13,MATCH('Main Data'!S414,Katalog!$C$4:$C$13,0)),"-")</f>
        <v>-</v>
      </c>
      <c r="U414" t="str">
        <f>IFERROR(VLOOKUP(S414,Katalog!$A$15:$B$25,2,0),"-")</f>
        <v>-</v>
      </c>
      <c r="V414">
        <f t="shared" si="226"/>
        <v>0</v>
      </c>
      <c r="W414" s="28" t="str">
        <f t="shared" si="227"/>
        <v>-</v>
      </c>
      <c r="X414" s="18">
        <f>IFERROR(VLOOKUP(S414,Katalog!$C$3:$F$13,2,0),0)</f>
        <v>0</v>
      </c>
      <c r="Y414" s="30">
        <f>IFERROR(VLOOKUP(S414,Katalog!$C$3:$F$13,3,0),0)</f>
        <v>0</v>
      </c>
      <c r="Z414" s="2">
        <f t="shared" si="228"/>
        <v>1</v>
      </c>
      <c r="AA414" s="4">
        <f t="shared" si="229"/>
        <v>300000</v>
      </c>
      <c r="AB414" s="4">
        <f t="shared" si="230"/>
        <v>100000</v>
      </c>
      <c r="AC414" s="4" t="s">
        <v>29</v>
      </c>
      <c r="AD414" s="16">
        <f>IFERROR(VLOOKUP(AC414,'Kode Diskon'!$C$2:$D$9,2,0),0)</f>
        <v>0.1</v>
      </c>
      <c r="AE414" s="31">
        <f t="shared" si="231"/>
        <v>30000</v>
      </c>
      <c r="AF414" s="31">
        <f t="shared" si="232"/>
        <v>270000</v>
      </c>
      <c r="AG414" s="31">
        <f t="shared" si="233"/>
        <v>200000</v>
      </c>
      <c r="AH414" s="31">
        <f t="shared" si="234"/>
        <v>170000</v>
      </c>
      <c r="AI414" s="4" t="s">
        <v>28</v>
      </c>
      <c r="AJ414" s="4" t="s">
        <v>9</v>
      </c>
      <c r="AK414" s="4" t="str">
        <f>IFERROR(VLOOKUP(AJ414,'Guide '!$A$13:$B$16,2,0),"-")</f>
        <v>TK</v>
      </c>
      <c r="AL414" s="4" t="s">
        <v>923</v>
      </c>
      <c r="AM414" s="40">
        <v>45440</v>
      </c>
      <c r="AN414">
        <f t="shared" si="235"/>
        <v>29</v>
      </c>
      <c r="AO414">
        <f t="shared" si="236"/>
        <v>32</v>
      </c>
      <c r="AP414">
        <f t="shared" si="237"/>
        <v>40</v>
      </c>
      <c r="AQ414">
        <f t="shared" si="238"/>
        <v>43</v>
      </c>
      <c r="AR414" s="26" t="str">
        <f t="shared" si="239"/>
        <v>-</v>
      </c>
      <c r="AS414" s="26" t="str">
        <f t="shared" si="240"/>
        <v>-</v>
      </c>
      <c r="AT414" s="21">
        <f t="shared" si="241"/>
        <v>12</v>
      </c>
      <c r="AU414" s="21">
        <f t="shared" si="242"/>
        <v>19</v>
      </c>
      <c r="AV414" t="str">
        <f t="shared" si="243"/>
        <v>-</v>
      </c>
      <c r="AW414" t="str">
        <f t="shared" si="244"/>
        <v>-</v>
      </c>
      <c r="AX414" t="str">
        <f t="shared" si="245"/>
        <v>-</v>
      </c>
      <c r="AY414" t="str">
        <f t="shared" si="246"/>
        <v>-</v>
      </c>
      <c r="AZ414" t="str">
        <f t="shared" si="247"/>
        <v>-</v>
      </c>
      <c r="BA414" t="str">
        <f t="shared" si="248"/>
        <v>-</v>
      </c>
      <c r="BB414" t="str">
        <f t="shared" si="249"/>
        <v>-</v>
      </c>
      <c r="BC414" t="str">
        <f t="shared" si="250"/>
        <v>-</v>
      </c>
      <c r="BD414" s="29" t="str">
        <f t="shared" si="251"/>
        <v>-</v>
      </c>
      <c r="BE414" s="29" t="str">
        <f t="shared" si="252"/>
        <v>-</v>
      </c>
    </row>
    <row r="415" spans="1:57" ht="15" x14ac:dyDescent="0.2">
      <c r="A415" s="2">
        <v>563</v>
      </c>
      <c r="B415" s="2" t="str">
        <f t="shared" si="217"/>
        <v>0563</v>
      </c>
      <c r="C415" t="str">
        <f t="shared" si="218"/>
        <v>ORD-TK-0563-29/05/24</v>
      </c>
      <c r="D415" s="3" t="s">
        <v>498</v>
      </c>
      <c r="E415" t="str">
        <f t="shared" si="219"/>
        <v>PP001</v>
      </c>
      <c r="F415" t="str">
        <f>INDEX(Katalog!$B$4:$B$13,MATCH('Main Data'!E415,Katalog!$C$4:$C$13,0))</f>
        <v>Kaos Polo</v>
      </c>
      <c r="G415" t="str">
        <f>VLOOKUP(E415,Katalog!$A$15:$B$25,2,0)</f>
        <v>Pakaian Pria</v>
      </c>
      <c r="H415" t="str">
        <f t="shared" si="220"/>
        <v>4</v>
      </c>
      <c r="I415" t="str">
        <f t="shared" si="221"/>
        <v>4</v>
      </c>
      <c r="J415" s="18">
        <f>VLOOKUP(E415,Katalog!$C$3:$F$13,2,0)</f>
        <v>80000</v>
      </c>
      <c r="K415" s="18">
        <f>VLOOKUP(E415,Katalog!$C$3:$F$13,3,0)</f>
        <v>30000</v>
      </c>
      <c r="L415" t="str">
        <f t="shared" si="222"/>
        <v>-</v>
      </c>
      <c r="M415" t="str">
        <f>IFERROR(INDEX(Katalog!$B$4:$B$13,MATCH('Main Data'!L415,Katalog!$C$4:$C$13,0)), "-")</f>
        <v>-</v>
      </c>
      <c r="N415" t="str">
        <f>IFERROR(VLOOKUP(L415,Katalog!$A$15:$B$25,2,0),"-")</f>
        <v>-</v>
      </c>
      <c r="O415">
        <f t="shared" si="223"/>
        <v>0</v>
      </c>
      <c r="P415" t="str">
        <f t="shared" si="224"/>
        <v>-</v>
      </c>
      <c r="Q415" s="18">
        <f>IFERROR(VLOOKUP(L415,Katalog!$C$3:$F$13,2,0),0)</f>
        <v>0</v>
      </c>
      <c r="R415" s="18">
        <f>IFERROR(VLOOKUP(L415,Katalog!$C$3:$F$13,3,0),0)</f>
        <v>0</v>
      </c>
      <c r="S415" t="str">
        <f t="shared" si="225"/>
        <v>-</v>
      </c>
      <c r="T415" t="str">
        <f>IFERROR(INDEX(Katalog!$B$4:$B$13,MATCH('Main Data'!S415,Katalog!$C$4:$C$13,0)),"-")</f>
        <v>-</v>
      </c>
      <c r="U415" t="str">
        <f>IFERROR(VLOOKUP(S415,Katalog!$A$15:$B$25,2,0),"-")</f>
        <v>-</v>
      </c>
      <c r="V415">
        <f t="shared" si="226"/>
        <v>0</v>
      </c>
      <c r="W415" s="28" t="str">
        <f t="shared" si="227"/>
        <v>-</v>
      </c>
      <c r="X415" s="18">
        <f>IFERROR(VLOOKUP(S415,Katalog!$C$3:$F$13,2,0),0)</f>
        <v>0</v>
      </c>
      <c r="Y415" s="30">
        <f>IFERROR(VLOOKUP(S415,Katalog!$C$3:$F$13,3,0),0)</f>
        <v>0</v>
      </c>
      <c r="Z415" s="2">
        <f t="shared" si="228"/>
        <v>4</v>
      </c>
      <c r="AA415" s="4">
        <f t="shared" si="229"/>
        <v>320000</v>
      </c>
      <c r="AB415" s="4">
        <f t="shared" si="230"/>
        <v>120000</v>
      </c>
      <c r="AC415" s="4" t="s">
        <v>29</v>
      </c>
      <c r="AD415" s="16">
        <f>IFERROR(VLOOKUP(AC415,'Kode Diskon'!$C$2:$D$9,2,0),0)</f>
        <v>0.1</v>
      </c>
      <c r="AE415" s="31">
        <f t="shared" si="231"/>
        <v>32000</v>
      </c>
      <c r="AF415" s="31">
        <f t="shared" si="232"/>
        <v>288000</v>
      </c>
      <c r="AG415" s="31">
        <f t="shared" si="233"/>
        <v>200000</v>
      </c>
      <c r="AH415" s="31">
        <f t="shared" si="234"/>
        <v>168000</v>
      </c>
      <c r="AI415" s="4" t="s">
        <v>28</v>
      </c>
      <c r="AJ415" s="4" t="s">
        <v>9</v>
      </c>
      <c r="AK415" s="4" t="str">
        <f>IFERROR(VLOOKUP(AJ415,'Guide '!$A$13:$B$16,2,0),"-")</f>
        <v>TK</v>
      </c>
      <c r="AL415" s="4" t="s">
        <v>925</v>
      </c>
      <c r="AM415" s="40">
        <v>45441</v>
      </c>
      <c r="AN415">
        <f t="shared" si="235"/>
        <v>29</v>
      </c>
      <c r="AO415">
        <f t="shared" si="236"/>
        <v>32</v>
      </c>
      <c r="AP415">
        <f t="shared" si="237"/>
        <v>40</v>
      </c>
      <c r="AQ415">
        <f t="shared" si="238"/>
        <v>43</v>
      </c>
      <c r="AR415" s="26" t="str">
        <f t="shared" si="239"/>
        <v>-</v>
      </c>
      <c r="AS415" s="26" t="str">
        <f t="shared" si="240"/>
        <v>-</v>
      </c>
      <c r="AT415" s="21">
        <f t="shared" si="241"/>
        <v>12</v>
      </c>
      <c r="AU415" s="21">
        <f t="shared" si="242"/>
        <v>19</v>
      </c>
      <c r="AV415" t="str">
        <f t="shared" si="243"/>
        <v>-</v>
      </c>
      <c r="AW415" t="str">
        <f t="shared" si="244"/>
        <v>-</v>
      </c>
      <c r="AX415" t="str">
        <f t="shared" si="245"/>
        <v>-</v>
      </c>
      <c r="AY415" t="str">
        <f t="shared" si="246"/>
        <v>-</v>
      </c>
      <c r="AZ415" t="str">
        <f t="shared" si="247"/>
        <v>-</v>
      </c>
      <c r="BA415" t="str">
        <f t="shared" si="248"/>
        <v>-</v>
      </c>
      <c r="BB415" t="str">
        <f t="shared" si="249"/>
        <v>-</v>
      </c>
      <c r="BC415" t="str">
        <f t="shared" si="250"/>
        <v>-</v>
      </c>
      <c r="BD415" s="29" t="str">
        <f t="shared" si="251"/>
        <v>-</v>
      </c>
      <c r="BE415" s="29" t="str">
        <f t="shared" si="252"/>
        <v>-</v>
      </c>
    </row>
    <row r="416" spans="1:57" ht="15" x14ac:dyDescent="0.2">
      <c r="A416" s="2">
        <v>821</v>
      </c>
      <c r="B416" s="2" t="str">
        <f t="shared" si="217"/>
        <v>0821</v>
      </c>
      <c r="C416" t="str">
        <f t="shared" si="218"/>
        <v>ORD-TK-0821-29/05/24</v>
      </c>
      <c r="D416" s="3" t="s">
        <v>782</v>
      </c>
      <c r="E416" t="str">
        <f t="shared" si="219"/>
        <v>PP002</v>
      </c>
      <c r="F416" t="str">
        <f>INDEX(Katalog!$B$4:$B$13,MATCH('Main Data'!E416,Katalog!$C$4:$C$13,0))</f>
        <v>Celana Pendek</v>
      </c>
      <c r="G416" t="str">
        <f>VLOOKUP(E416,Katalog!$A$15:$B$25,2,0)</f>
        <v>Pakaian Pria</v>
      </c>
      <c r="H416" t="str">
        <f t="shared" si="220"/>
        <v>1</v>
      </c>
      <c r="I416" t="str">
        <f t="shared" si="221"/>
        <v>1</v>
      </c>
      <c r="J416" s="18">
        <f>VLOOKUP(E416,Katalog!$C$3:$F$13,2,0)</f>
        <v>60000</v>
      </c>
      <c r="K416" s="18">
        <f>VLOOKUP(E416,Katalog!$C$3:$F$13,3,0)</f>
        <v>25000</v>
      </c>
      <c r="L416" t="str">
        <f t="shared" si="222"/>
        <v>PP003</v>
      </c>
      <c r="M416" t="str">
        <f>IFERROR(INDEX(Katalog!$B$4:$B$13,MATCH('Main Data'!L416,Katalog!$C$4:$C$13,0)), "-")</f>
        <v>Jaket Jeans</v>
      </c>
      <c r="N416" t="str">
        <f>IFERROR(VLOOKUP(L416,Katalog!$A$15:$B$25,2,0),"-")</f>
        <v>Pakaian Pria</v>
      </c>
      <c r="O416" t="str">
        <f t="shared" si="223"/>
        <v>1</v>
      </c>
      <c r="P416" t="str">
        <f t="shared" si="224"/>
        <v>4</v>
      </c>
      <c r="Q416" s="18">
        <f>IFERROR(VLOOKUP(L416,Katalog!$C$3:$F$13,2,0),0)</f>
        <v>150000</v>
      </c>
      <c r="R416" s="18">
        <f>IFERROR(VLOOKUP(L416,Katalog!$C$3:$F$13,3,0),0)</f>
        <v>70000</v>
      </c>
      <c r="S416" t="str">
        <f t="shared" si="225"/>
        <v>-</v>
      </c>
      <c r="T416" t="str">
        <f>IFERROR(INDEX(Katalog!$B$4:$B$13,MATCH('Main Data'!S416,Katalog!$C$4:$C$13,0)),"-")</f>
        <v>-</v>
      </c>
      <c r="U416" t="str">
        <f>IFERROR(VLOOKUP(S416,Katalog!$A$15:$B$25,2,0),"-")</f>
        <v>-</v>
      </c>
      <c r="V416">
        <f t="shared" si="226"/>
        <v>0</v>
      </c>
      <c r="W416" s="28" t="str">
        <f t="shared" si="227"/>
        <v>-</v>
      </c>
      <c r="X416" s="18">
        <f>IFERROR(VLOOKUP(S416,Katalog!$C$3:$F$13,2,0),0)</f>
        <v>0</v>
      </c>
      <c r="Y416" s="30">
        <f>IFERROR(VLOOKUP(S416,Katalog!$C$3:$F$13,3,0),0)</f>
        <v>0</v>
      </c>
      <c r="Z416" s="2">
        <f t="shared" si="228"/>
        <v>2</v>
      </c>
      <c r="AA416" s="4">
        <f t="shared" si="229"/>
        <v>210000</v>
      </c>
      <c r="AB416" s="4">
        <f t="shared" si="230"/>
        <v>95000</v>
      </c>
      <c r="AC416" s="4" t="s">
        <v>30</v>
      </c>
      <c r="AD416" s="16">
        <f>IFERROR(VLOOKUP(AC416,'Kode Diskon'!$C$2:$D$9,2,0),0)</f>
        <v>0.1</v>
      </c>
      <c r="AE416" s="31">
        <f t="shared" si="231"/>
        <v>21000</v>
      </c>
      <c r="AF416" s="31">
        <f t="shared" si="232"/>
        <v>189000</v>
      </c>
      <c r="AG416" s="31">
        <f t="shared" si="233"/>
        <v>115000</v>
      </c>
      <c r="AH416" s="31">
        <f t="shared" si="234"/>
        <v>94000</v>
      </c>
      <c r="AI416" s="4" t="s">
        <v>8</v>
      </c>
      <c r="AJ416" s="4" t="s">
        <v>9</v>
      </c>
      <c r="AK416" s="4" t="str">
        <f>IFERROR(VLOOKUP(AJ416,'Guide '!$A$13:$B$16,2,0),"-")</f>
        <v>TK</v>
      </c>
      <c r="AL416" s="4" t="s">
        <v>925</v>
      </c>
      <c r="AM416" s="40">
        <v>45441</v>
      </c>
      <c r="AN416">
        <f t="shared" si="235"/>
        <v>29</v>
      </c>
      <c r="AO416">
        <f t="shared" si="236"/>
        <v>32</v>
      </c>
      <c r="AP416">
        <f t="shared" si="237"/>
        <v>40</v>
      </c>
      <c r="AQ416">
        <f t="shared" si="238"/>
        <v>43</v>
      </c>
      <c r="AR416" s="26">
        <f t="shared" si="239"/>
        <v>56</v>
      </c>
      <c r="AS416" s="26">
        <f t="shared" si="240"/>
        <v>63</v>
      </c>
      <c r="AT416" s="21">
        <f t="shared" si="241"/>
        <v>12</v>
      </c>
      <c r="AU416" s="21">
        <f t="shared" si="242"/>
        <v>19</v>
      </c>
      <c r="AV416">
        <f t="shared" si="243"/>
        <v>73</v>
      </c>
      <c r="AW416">
        <f t="shared" si="244"/>
        <v>76</v>
      </c>
      <c r="AX416">
        <f t="shared" si="245"/>
        <v>84</v>
      </c>
      <c r="AY416">
        <f t="shared" si="246"/>
        <v>87</v>
      </c>
      <c r="AZ416" t="str">
        <f t="shared" si="247"/>
        <v>-</v>
      </c>
      <c r="BA416" t="str">
        <f t="shared" si="248"/>
        <v>-</v>
      </c>
      <c r="BB416" t="str">
        <f t="shared" si="249"/>
        <v>-</v>
      </c>
      <c r="BC416" t="str">
        <f t="shared" si="250"/>
        <v>-</v>
      </c>
      <c r="BD416" s="29" t="str">
        <f t="shared" si="251"/>
        <v>-</v>
      </c>
      <c r="BE416" s="29" t="str">
        <f t="shared" si="252"/>
        <v>-</v>
      </c>
    </row>
    <row r="417" spans="1:57" ht="15" x14ac:dyDescent="0.2">
      <c r="A417" s="2">
        <v>256</v>
      </c>
      <c r="B417" s="2" t="str">
        <f t="shared" si="217"/>
        <v>0256</v>
      </c>
      <c r="C417" t="str">
        <f t="shared" si="218"/>
        <v>ORD-SP-0256-30/05/24</v>
      </c>
      <c r="D417" s="3" t="s">
        <v>320</v>
      </c>
      <c r="E417" t="str">
        <f t="shared" si="219"/>
        <v>PU001</v>
      </c>
      <c r="F417" t="str">
        <f>INDEX(Katalog!$B$4:$B$13,MATCH('Main Data'!E417,Katalog!$C$4:$C$13,0))</f>
        <v>Jaket Hoodie</v>
      </c>
      <c r="G417" t="str">
        <f>VLOOKUP(E417,Katalog!$A$15:$B$25,2,0)</f>
        <v>Pakaian Unisex</v>
      </c>
      <c r="H417" t="str">
        <f t="shared" si="220"/>
        <v>3</v>
      </c>
      <c r="I417" t="str">
        <f t="shared" si="221"/>
        <v>4</v>
      </c>
      <c r="J417" s="18">
        <f>VLOOKUP(E417,Katalog!$C$3:$F$13,2,0)</f>
        <v>160000</v>
      </c>
      <c r="K417" s="18">
        <f>VLOOKUP(E417,Katalog!$C$3:$F$13,3,0)</f>
        <v>60000</v>
      </c>
      <c r="L417" t="str">
        <f t="shared" si="222"/>
        <v>SP002</v>
      </c>
      <c r="M417" t="str">
        <f>IFERROR(INDEX(Katalog!$B$4:$B$13,MATCH('Main Data'!L417,Katalog!$C$4:$C$13,0)), "-")</f>
        <v>Sandal Slip On</v>
      </c>
      <c r="N417" t="str">
        <f>IFERROR(VLOOKUP(L417,Katalog!$A$15:$B$25,2,0),"-")</f>
        <v>Sepatu Pria</v>
      </c>
      <c r="O417" t="str">
        <f t="shared" si="223"/>
        <v>1</v>
      </c>
      <c r="P417" t="str">
        <f t="shared" si="224"/>
        <v>5</v>
      </c>
      <c r="Q417" s="18">
        <f>IFERROR(VLOOKUP(L417,Katalog!$C$3:$F$13,2,0),0)</f>
        <v>120000</v>
      </c>
      <c r="R417" s="18">
        <f>IFERROR(VLOOKUP(L417,Katalog!$C$3:$F$13,3,0),0)</f>
        <v>60000</v>
      </c>
      <c r="S417" t="str">
        <f t="shared" si="225"/>
        <v>SP002</v>
      </c>
      <c r="T417" t="str">
        <f>IFERROR(INDEX(Katalog!$B$4:$B$13,MATCH('Main Data'!S417,Katalog!$C$4:$C$13,0)),"-")</f>
        <v>Sandal Slip On</v>
      </c>
      <c r="U417" t="str">
        <f>IFERROR(VLOOKUP(S417,Katalog!$A$15:$B$25,2,0),"-")</f>
        <v>Sepatu Pria</v>
      </c>
      <c r="V417" t="str">
        <f t="shared" si="226"/>
        <v>1</v>
      </c>
      <c r="W417" s="28" t="str">
        <f t="shared" si="227"/>
        <v>2</v>
      </c>
      <c r="X417" s="18">
        <f>IFERROR(VLOOKUP(S417,Katalog!$C$3:$F$13,2,0),0)</f>
        <v>120000</v>
      </c>
      <c r="Y417" s="30">
        <f>IFERROR(VLOOKUP(S417,Katalog!$C$3:$F$13,3,0),0)</f>
        <v>60000</v>
      </c>
      <c r="Z417" s="2">
        <f t="shared" si="228"/>
        <v>5</v>
      </c>
      <c r="AA417" s="4">
        <f t="shared" si="229"/>
        <v>720000</v>
      </c>
      <c r="AB417" s="4">
        <f t="shared" si="230"/>
        <v>300000</v>
      </c>
      <c r="AC417" s="4" t="s">
        <v>5</v>
      </c>
      <c r="AD417" s="16">
        <f>IFERROR(VLOOKUP(AC417,'Kode Diskon'!$C$2:$D$9,2,0),0)</f>
        <v>0.1</v>
      </c>
      <c r="AE417" s="31">
        <f t="shared" si="231"/>
        <v>72000</v>
      </c>
      <c r="AF417" s="31">
        <f t="shared" si="232"/>
        <v>648000</v>
      </c>
      <c r="AG417" s="31">
        <f t="shared" si="233"/>
        <v>420000</v>
      </c>
      <c r="AH417" s="31">
        <f t="shared" si="234"/>
        <v>348000</v>
      </c>
      <c r="AI417" s="4" t="s">
        <v>28</v>
      </c>
      <c r="AJ417" s="4" t="s">
        <v>6</v>
      </c>
      <c r="AK417" s="4" t="str">
        <f>IFERROR(VLOOKUP(AJ417,'Guide '!$A$13:$B$16,2,0),"-")</f>
        <v>SP</v>
      </c>
      <c r="AL417" s="4" t="s">
        <v>922</v>
      </c>
      <c r="AM417" s="40">
        <v>45442</v>
      </c>
      <c r="AN417">
        <f t="shared" si="235"/>
        <v>29</v>
      </c>
      <c r="AO417">
        <f t="shared" si="236"/>
        <v>32</v>
      </c>
      <c r="AP417">
        <f t="shared" si="237"/>
        <v>40</v>
      </c>
      <c r="AQ417">
        <f t="shared" si="238"/>
        <v>43</v>
      </c>
      <c r="AR417" s="26">
        <f t="shared" si="239"/>
        <v>56</v>
      </c>
      <c r="AS417" s="26">
        <f t="shared" si="240"/>
        <v>63</v>
      </c>
      <c r="AT417" s="21">
        <f t="shared" si="241"/>
        <v>12</v>
      </c>
      <c r="AU417" s="21">
        <f t="shared" si="242"/>
        <v>19</v>
      </c>
      <c r="AV417">
        <f t="shared" si="243"/>
        <v>73</v>
      </c>
      <c r="AW417">
        <f t="shared" si="244"/>
        <v>76</v>
      </c>
      <c r="AX417">
        <f t="shared" si="245"/>
        <v>84</v>
      </c>
      <c r="AY417">
        <f t="shared" si="246"/>
        <v>87</v>
      </c>
      <c r="AZ417">
        <f t="shared" si="247"/>
        <v>100</v>
      </c>
      <c r="BA417">
        <f t="shared" si="248"/>
        <v>107</v>
      </c>
      <c r="BB417">
        <f t="shared" si="249"/>
        <v>117</v>
      </c>
      <c r="BC417">
        <f t="shared" si="250"/>
        <v>120</v>
      </c>
      <c r="BD417" s="29">
        <f t="shared" si="251"/>
        <v>128</v>
      </c>
      <c r="BE417" s="29">
        <f t="shared" si="252"/>
        <v>131</v>
      </c>
    </row>
    <row r="418" spans="1:57" ht="15" x14ac:dyDescent="0.2">
      <c r="A418" s="2">
        <v>273</v>
      </c>
      <c r="B418" s="2" t="str">
        <f t="shared" si="217"/>
        <v>0273</v>
      </c>
      <c r="C418" t="str">
        <f t="shared" si="218"/>
        <v>ORD-SP-0273-31/05/24</v>
      </c>
      <c r="D418" s="3" t="s">
        <v>335</v>
      </c>
      <c r="E418" t="str">
        <f t="shared" si="219"/>
        <v>SW001</v>
      </c>
      <c r="F418" t="str">
        <f>INDEX(Katalog!$B$4:$B$13,MATCH('Main Data'!E418,Katalog!$C$4:$C$13,0))</f>
        <v>Flat Shoes</v>
      </c>
      <c r="G418" t="str">
        <f>VLOOKUP(E418,Katalog!$A$15:$B$25,2,0)</f>
        <v>Sepatu Wanita</v>
      </c>
      <c r="H418" t="str">
        <f t="shared" si="220"/>
        <v>2</v>
      </c>
      <c r="I418" t="str">
        <f t="shared" si="221"/>
        <v>4</v>
      </c>
      <c r="J418" s="18">
        <f>VLOOKUP(E418,Katalog!$C$3:$F$13,2,0)</f>
        <v>150000</v>
      </c>
      <c r="K418" s="18">
        <f>VLOOKUP(E418,Katalog!$C$3:$F$13,3,0)</f>
        <v>70000</v>
      </c>
      <c r="L418" t="str">
        <f t="shared" si="222"/>
        <v>SP002</v>
      </c>
      <c r="M418" t="str">
        <f>IFERROR(INDEX(Katalog!$B$4:$B$13,MATCH('Main Data'!L418,Katalog!$C$4:$C$13,0)), "-")</f>
        <v>Sandal Slip On</v>
      </c>
      <c r="N418" t="str">
        <f>IFERROR(VLOOKUP(L418,Katalog!$A$15:$B$25,2,0),"-")</f>
        <v>Sepatu Pria</v>
      </c>
      <c r="O418" t="str">
        <f t="shared" si="223"/>
        <v>4</v>
      </c>
      <c r="P418" t="str">
        <f t="shared" si="224"/>
        <v>4</v>
      </c>
      <c r="Q418" s="18">
        <f>IFERROR(VLOOKUP(L418,Katalog!$C$3:$F$13,2,0),0)</f>
        <v>120000</v>
      </c>
      <c r="R418" s="18">
        <f>IFERROR(VLOOKUP(L418,Katalog!$C$3:$F$13,3,0),0)</f>
        <v>60000</v>
      </c>
      <c r="S418" t="str">
        <f t="shared" si="225"/>
        <v>SW001</v>
      </c>
      <c r="T418" t="str">
        <f>IFERROR(INDEX(Katalog!$B$4:$B$13,MATCH('Main Data'!S418,Katalog!$C$4:$C$13,0)),"-")</f>
        <v>Flat Shoes</v>
      </c>
      <c r="U418" t="str">
        <f>IFERROR(VLOOKUP(S418,Katalog!$A$15:$B$25,2,0),"-")</f>
        <v>Sepatu Wanita</v>
      </c>
      <c r="V418" t="str">
        <f t="shared" si="226"/>
        <v>1</v>
      </c>
      <c r="W418" s="28" t="str">
        <f t="shared" si="227"/>
        <v>3</v>
      </c>
      <c r="X418" s="18">
        <f>IFERROR(VLOOKUP(S418,Katalog!$C$3:$F$13,2,0),0)</f>
        <v>150000</v>
      </c>
      <c r="Y418" s="30">
        <f>IFERROR(VLOOKUP(S418,Katalog!$C$3:$F$13,3,0),0)</f>
        <v>70000</v>
      </c>
      <c r="Z418" s="2">
        <f t="shared" si="228"/>
        <v>7</v>
      </c>
      <c r="AA418" s="4">
        <f t="shared" si="229"/>
        <v>930000</v>
      </c>
      <c r="AB418" s="4">
        <f t="shared" si="230"/>
        <v>450000</v>
      </c>
      <c r="AC418" s="4" t="s">
        <v>5</v>
      </c>
      <c r="AD418" s="16">
        <f>IFERROR(VLOOKUP(AC418,'Kode Diskon'!$C$2:$D$9,2,0),0)</f>
        <v>0.1</v>
      </c>
      <c r="AE418" s="31">
        <f t="shared" si="231"/>
        <v>93000</v>
      </c>
      <c r="AF418" s="31">
        <f t="shared" si="232"/>
        <v>837000</v>
      </c>
      <c r="AG418" s="31">
        <f t="shared" si="233"/>
        <v>480000</v>
      </c>
      <c r="AH418" s="31">
        <f t="shared" si="234"/>
        <v>387000</v>
      </c>
      <c r="AI418" s="4" t="s">
        <v>28</v>
      </c>
      <c r="AJ418" s="4" t="s">
        <v>6</v>
      </c>
      <c r="AK418" s="4" t="str">
        <f>IFERROR(VLOOKUP(AJ418,'Guide '!$A$13:$B$16,2,0),"-")</f>
        <v>SP</v>
      </c>
      <c r="AL418" s="4" t="s">
        <v>1006</v>
      </c>
      <c r="AM418" s="40">
        <v>45443</v>
      </c>
      <c r="AN418">
        <f t="shared" si="235"/>
        <v>29</v>
      </c>
      <c r="AO418">
        <f t="shared" si="236"/>
        <v>32</v>
      </c>
      <c r="AP418">
        <f t="shared" si="237"/>
        <v>40</v>
      </c>
      <c r="AQ418">
        <f t="shared" si="238"/>
        <v>43</v>
      </c>
      <c r="AR418" s="26">
        <f t="shared" si="239"/>
        <v>56</v>
      </c>
      <c r="AS418" s="26">
        <f t="shared" si="240"/>
        <v>63</v>
      </c>
      <c r="AT418" s="21">
        <f t="shared" si="241"/>
        <v>12</v>
      </c>
      <c r="AU418" s="21">
        <f t="shared" si="242"/>
        <v>19</v>
      </c>
      <c r="AV418">
        <f t="shared" si="243"/>
        <v>73</v>
      </c>
      <c r="AW418">
        <f t="shared" si="244"/>
        <v>76</v>
      </c>
      <c r="AX418">
        <f t="shared" si="245"/>
        <v>84</v>
      </c>
      <c r="AY418">
        <f t="shared" si="246"/>
        <v>87</v>
      </c>
      <c r="AZ418">
        <f t="shared" si="247"/>
        <v>100</v>
      </c>
      <c r="BA418">
        <f t="shared" si="248"/>
        <v>107</v>
      </c>
      <c r="BB418">
        <f t="shared" si="249"/>
        <v>117</v>
      </c>
      <c r="BC418">
        <f t="shared" si="250"/>
        <v>120</v>
      </c>
      <c r="BD418" s="29">
        <f t="shared" si="251"/>
        <v>128</v>
      </c>
      <c r="BE418" s="29">
        <f t="shared" si="252"/>
        <v>131</v>
      </c>
    </row>
    <row r="419" spans="1:57" ht="15" x14ac:dyDescent="0.2">
      <c r="A419" s="2">
        <v>805</v>
      </c>
      <c r="B419" s="2" t="str">
        <f t="shared" si="217"/>
        <v>0805</v>
      </c>
      <c r="C419" t="str">
        <f t="shared" si="218"/>
        <v>ORD-SP-0805-31/05/24</v>
      </c>
      <c r="D419" s="3" t="s">
        <v>771</v>
      </c>
      <c r="E419" t="str">
        <f t="shared" si="219"/>
        <v>PP002</v>
      </c>
      <c r="F419" t="str">
        <f>INDEX(Katalog!$B$4:$B$13,MATCH('Main Data'!E419,Katalog!$C$4:$C$13,0))</f>
        <v>Celana Pendek</v>
      </c>
      <c r="G419" t="str">
        <f>VLOOKUP(E419,Katalog!$A$15:$B$25,2,0)</f>
        <v>Pakaian Pria</v>
      </c>
      <c r="H419" t="str">
        <f t="shared" si="220"/>
        <v>4</v>
      </c>
      <c r="I419" t="str">
        <f t="shared" si="221"/>
        <v>3</v>
      </c>
      <c r="J419" s="18">
        <f>VLOOKUP(E419,Katalog!$C$3:$F$13,2,0)</f>
        <v>60000</v>
      </c>
      <c r="K419" s="18">
        <f>VLOOKUP(E419,Katalog!$C$3:$F$13,3,0)</f>
        <v>25000</v>
      </c>
      <c r="L419" t="str">
        <f t="shared" si="222"/>
        <v>-</v>
      </c>
      <c r="M419" t="str">
        <f>IFERROR(INDEX(Katalog!$B$4:$B$13,MATCH('Main Data'!L419,Katalog!$C$4:$C$13,0)), "-")</f>
        <v>-</v>
      </c>
      <c r="N419" t="str">
        <f>IFERROR(VLOOKUP(L419,Katalog!$A$15:$B$25,2,0),"-")</f>
        <v>-</v>
      </c>
      <c r="O419">
        <f t="shared" si="223"/>
        <v>0</v>
      </c>
      <c r="P419" t="str">
        <f t="shared" si="224"/>
        <v>-</v>
      </c>
      <c r="Q419" s="18">
        <f>IFERROR(VLOOKUP(L419,Katalog!$C$3:$F$13,2,0),0)</f>
        <v>0</v>
      </c>
      <c r="R419" s="18">
        <f>IFERROR(VLOOKUP(L419,Katalog!$C$3:$F$13,3,0),0)</f>
        <v>0</v>
      </c>
      <c r="S419" t="str">
        <f t="shared" si="225"/>
        <v>-</v>
      </c>
      <c r="T419" t="str">
        <f>IFERROR(INDEX(Katalog!$B$4:$B$13,MATCH('Main Data'!S419,Katalog!$C$4:$C$13,0)),"-")</f>
        <v>-</v>
      </c>
      <c r="U419" t="str">
        <f>IFERROR(VLOOKUP(S419,Katalog!$A$15:$B$25,2,0),"-")</f>
        <v>-</v>
      </c>
      <c r="V419">
        <f t="shared" si="226"/>
        <v>0</v>
      </c>
      <c r="W419" s="28" t="str">
        <f t="shared" si="227"/>
        <v>-</v>
      </c>
      <c r="X419" s="18">
        <f>IFERROR(VLOOKUP(S419,Katalog!$C$3:$F$13,2,0),0)</f>
        <v>0</v>
      </c>
      <c r="Y419" s="30">
        <f>IFERROR(VLOOKUP(S419,Katalog!$C$3:$F$13,3,0),0)</f>
        <v>0</v>
      </c>
      <c r="Z419" s="2">
        <f t="shared" si="228"/>
        <v>4</v>
      </c>
      <c r="AA419" s="4">
        <f t="shared" si="229"/>
        <v>240000</v>
      </c>
      <c r="AB419" s="4">
        <f t="shared" si="230"/>
        <v>100000</v>
      </c>
      <c r="AC419" s="4" t="s">
        <v>10</v>
      </c>
      <c r="AD419" s="16">
        <f>IFERROR(VLOOKUP(AC419,'Kode Diskon'!$C$2:$D$9,2,0),0)</f>
        <v>0</v>
      </c>
      <c r="AE419" s="31">
        <f t="shared" si="231"/>
        <v>0</v>
      </c>
      <c r="AF419" s="31">
        <f t="shared" si="232"/>
        <v>240000</v>
      </c>
      <c r="AG419" s="31">
        <f t="shared" si="233"/>
        <v>140000</v>
      </c>
      <c r="AH419" s="31">
        <f t="shared" si="234"/>
        <v>140000</v>
      </c>
      <c r="AI419" s="4" t="s">
        <v>10</v>
      </c>
      <c r="AJ419" s="4" t="s">
        <v>6</v>
      </c>
      <c r="AK419" s="4" t="str">
        <f>IFERROR(VLOOKUP(AJ419,'Guide '!$A$13:$B$16,2,0),"-")</f>
        <v>SP</v>
      </c>
      <c r="AL419" s="4" t="s">
        <v>921</v>
      </c>
      <c r="AM419" s="40">
        <v>45443</v>
      </c>
      <c r="AN419">
        <f t="shared" si="235"/>
        <v>29</v>
      </c>
      <c r="AO419">
        <f t="shared" si="236"/>
        <v>32</v>
      </c>
      <c r="AP419">
        <f t="shared" si="237"/>
        <v>40</v>
      </c>
      <c r="AQ419">
        <f t="shared" si="238"/>
        <v>43</v>
      </c>
      <c r="AR419" s="26" t="str">
        <f t="shared" si="239"/>
        <v>-</v>
      </c>
      <c r="AS419" s="26" t="str">
        <f t="shared" si="240"/>
        <v>-</v>
      </c>
      <c r="AT419" s="21">
        <f t="shared" si="241"/>
        <v>12</v>
      </c>
      <c r="AU419" s="21">
        <f t="shared" si="242"/>
        <v>19</v>
      </c>
      <c r="AV419" t="str">
        <f t="shared" si="243"/>
        <v>-</v>
      </c>
      <c r="AW419" t="str">
        <f t="shared" si="244"/>
        <v>-</v>
      </c>
      <c r="AX419" t="str">
        <f t="shared" si="245"/>
        <v>-</v>
      </c>
      <c r="AY419" t="str">
        <f t="shared" si="246"/>
        <v>-</v>
      </c>
      <c r="AZ419" t="str">
        <f t="shared" si="247"/>
        <v>-</v>
      </c>
      <c r="BA419" t="str">
        <f t="shared" si="248"/>
        <v>-</v>
      </c>
      <c r="BB419" t="str">
        <f t="shared" si="249"/>
        <v>-</v>
      </c>
      <c r="BC419" t="str">
        <f t="shared" si="250"/>
        <v>-</v>
      </c>
      <c r="BD419" s="29" t="str">
        <f t="shared" si="251"/>
        <v>-</v>
      </c>
      <c r="BE419" s="29" t="str">
        <f t="shared" si="252"/>
        <v>-</v>
      </c>
    </row>
    <row r="420" spans="1:57" ht="15" x14ac:dyDescent="0.2">
      <c r="A420" s="2">
        <v>895</v>
      </c>
      <c r="B420" s="2" t="str">
        <f t="shared" si="217"/>
        <v>0895</v>
      </c>
      <c r="C420" t="str">
        <f t="shared" si="218"/>
        <v>ORD-SP-0895-31/05/24</v>
      </c>
      <c r="D420" s="3" t="s">
        <v>835</v>
      </c>
      <c r="E420" t="str">
        <f t="shared" si="219"/>
        <v>PW001</v>
      </c>
      <c r="F420" t="str">
        <f>INDEX(Katalog!$B$4:$B$13,MATCH('Main Data'!E420,Katalog!$C$4:$C$13,0))</f>
        <v>Dress</v>
      </c>
      <c r="G420" t="str">
        <f>VLOOKUP(E420,Katalog!$A$15:$B$25,2,0)</f>
        <v>Pakaian Wanita</v>
      </c>
      <c r="H420" t="str">
        <f t="shared" si="220"/>
        <v>4</v>
      </c>
      <c r="I420" t="str">
        <f t="shared" si="221"/>
        <v>4</v>
      </c>
      <c r="J420" s="18">
        <f>VLOOKUP(E420,Katalog!$C$3:$F$13,2,0)</f>
        <v>150000</v>
      </c>
      <c r="K420" s="18">
        <f>VLOOKUP(E420,Katalog!$C$3:$F$13,3,0)</f>
        <v>55000</v>
      </c>
      <c r="L420" t="str">
        <f t="shared" si="222"/>
        <v>PP001</v>
      </c>
      <c r="M420" t="str">
        <f>IFERROR(INDEX(Katalog!$B$4:$B$13,MATCH('Main Data'!L420,Katalog!$C$4:$C$13,0)), "-")</f>
        <v>Kaos Polo</v>
      </c>
      <c r="N420" t="str">
        <f>IFERROR(VLOOKUP(L420,Katalog!$A$15:$B$25,2,0),"-")</f>
        <v>Pakaian Pria</v>
      </c>
      <c r="O420" t="str">
        <f t="shared" si="223"/>
        <v>1</v>
      </c>
      <c r="P420" t="str">
        <f t="shared" si="224"/>
        <v>5</v>
      </c>
      <c r="Q420" s="18">
        <f>IFERROR(VLOOKUP(L420,Katalog!$C$3:$F$13,2,0),0)</f>
        <v>80000</v>
      </c>
      <c r="R420" s="18">
        <f>IFERROR(VLOOKUP(L420,Katalog!$C$3:$F$13,3,0),0)</f>
        <v>30000</v>
      </c>
      <c r="S420" t="str">
        <f t="shared" si="225"/>
        <v>-</v>
      </c>
      <c r="T420" t="str">
        <f>IFERROR(INDEX(Katalog!$B$4:$B$13,MATCH('Main Data'!S420,Katalog!$C$4:$C$13,0)),"-")</f>
        <v>-</v>
      </c>
      <c r="U420" t="str">
        <f>IFERROR(VLOOKUP(S420,Katalog!$A$15:$B$25,2,0),"-")</f>
        <v>-</v>
      </c>
      <c r="V420">
        <f t="shared" si="226"/>
        <v>0</v>
      </c>
      <c r="W420" s="28" t="str">
        <f t="shared" si="227"/>
        <v>-</v>
      </c>
      <c r="X420" s="18">
        <f>IFERROR(VLOOKUP(S420,Katalog!$C$3:$F$13,2,0),0)</f>
        <v>0</v>
      </c>
      <c r="Y420" s="30">
        <f>IFERROR(VLOOKUP(S420,Katalog!$C$3:$F$13,3,0),0)</f>
        <v>0</v>
      </c>
      <c r="Z420" s="2">
        <f t="shared" si="228"/>
        <v>5</v>
      </c>
      <c r="AA420" s="4">
        <f t="shared" si="229"/>
        <v>680000</v>
      </c>
      <c r="AB420" s="4">
        <f t="shared" si="230"/>
        <v>250000</v>
      </c>
      <c r="AC420" s="4" t="s">
        <v>7</v>
      </c>
      <c r="AD420" s="16">
        <f>IFERROR(VLOOKUP(AC420,'Kode Diskon'!$C$2:$D$9,2,0),0)</f>
        <v>0.2</v>
      </c>
      <c r="AE420" s="31">
        <f t="shared" si="231"/>
        <v>136000</v>
      </c>
      <c r="AF420" s="31">
        <f t="shared" si="232"/>
        <v>544000</v>
      </c>
      <c r="AG420" s="31">
        <f t="shared" si="233"/>
        <v>430000</v>
      </c>
      <c r="AH420" s="31">
        <f t="shared" si="234"/>
        <v>294000</v>
      </c>
      <c r="AI420" s="4" t="s">
        <v>8</v>
      </c>
      <c r="AJ420" s="4" t="s">
        <v>6</v>
      </c>
      <c r="AK420" s="4" t="str">
        <f>IFERROR(VLOOKUP(AJ420,'Guide '!$A$13:$B$16,2,0),"-")</f>
        <v>SP</v>
      </c>
      <c r="AL420" s="4" t="s">
        <v>1006</v>
      </c>
      <c r="AM420" s="40">
        <v>45443</v>
      </c>
      <c r="AN420">
        <f t="shared" si="235"/>
        <v>29</v>
      </c>
      <c r="AO420">
        <f t="shared" si="236"/>
        <v>32</v>
      </c>
      <c r="AP420">
        <f t="shared" si="237"/>
        <v>40</v>
      </c>
      <c r="AQ420">
        <f t="shared" si="238"/>
        <v>43</v>
      </c>
      <c r="AR420" s="26">
        <f t="shared" si="239"/>
        <v>56</v>
      </c>
      <c r="AS420" s="26">
        <f t="shared" si="240"/>
        <v>63</v>
      </c>
      <c r="AT420" s="21">
        <f t="shared" si="241"/>
        <v>12</v>
      </c>
      <c r="AU420" s="21">
        <f t="shared" si="242"/>
        <v>19</v>
      </c>
      <c r="AV420">
        <f t="shared" si="243"/>
        <v>73</v>
      </c>
      <c r="AW420">
        <f t="shared" si="244"/>
        <v>76</v>
      </c>
      <c r="AX420">
        <f t="shared" si="245"/>
        <v>84</v>
      </c>
      <c r="AY420">
        <f t="shared" si="246"/>
        <v>87</v>
      </c>
      <c r="AZ420" t="str">
        <f t="shared" si="247"/>
        <v>-</v>
      </c>
      <c r="BA420" t="str">
        <f t="shared" si="248"/>
        <v>-</v>
      </c>
      <c r="BB420" t="str">
        <f t="shared" si="249"/>
        <v>-</v>
      </c>
      <c r="BC420" t="str">
        <f t="shared" si="250"/>
        <v>-</v>
      </c>
      <c r="BD420" s="29" t="str">
        <f t="shared" si="251"/>
        <v>-</v>
      </c>
      <c r="BE420" s="29" t="str">
        <f t="shared" si="252"/>
        <v>-</v>
      </c>
    </row>
    <row r="421" spans="1:57" ht="15" x14ac:dyDescent="0.2">
      <c r="A421" s="2">
        <v>312</v>
      </c>
      <c r="B421" s="2" t="str">
        <f t="shared" si="217"/>
        <v>0312</v>
      </c>
      <c r="C421" t="str">
        <f t="shared" si="218"/>
        <v>ORD-TK-0312-01/06/24</v>
      </c>
      <c r="D421" s="3" t="s">
        <v>367</v>
      </c>
      <c r="E421" t="str">
        <f t="shared" si="219"/>
        <v>SP001</v>
      </c>
      <c r="F421" t="str">
        <f>INDEX(Katalog!$B$4:$B$13,MATCH('Main Data'!E421,Katalog!$C$4:$C$13,0))</f>
        <v>Sneakers</v>
      </c>
      <c r="G421" t="str">
        <f>VLOOKUP(E421,Katalog!$A$15:$B$25,2,0)</f>
        <v>Sepatu Pria</v>
      </c>
      <c r="H421" t="str">
        <f t="shared" si="220"/>
        <v>2</v>
      </c>
      <c r="I421" t="str">
        <f t="shared" si="221"/>
        <v>5</v>
      </c>
      <c r="J421" s="18">
        <f>VLOOKUP(E421,Katalog!$C$3:$F$13,2,0)</f>
        <v>300000</v>
      </c>
      <c r="K421" s="18">
        <f>VLOOKUP(E421,Katalog!$C$3:$F$13,3,0)</f>
        <v>100000</v>
      </c>
      <c r="L421" t="str">
        <f t="shared" si="222"/>
        <v>PW003</v>
      </c>
      <c r="M421" t="str">
        <f>IFERROR(INDEX(Katalog!$B$4:$B$13,MATCH('Main Data'!L421,Katalog!$C$4:$C$13,0)), "-")</f>
        <v>Kaftan</v>
      </c>
      <c r="N421" t="str">
        <f>IFERROR(VLOOKUP(L421,Katalog!$A$15:$B$25,2,0),"-")</f>
        <v>Pakaian Wanita</v>
      </c>
      <c r="O421" t="str">
        <f t="shared" si="223"/>
        <v>1</v>
      </c>
      <c r="P421" t="str">
        <f t="shared" si="224"/>
        <v>3</v>
      </c>
      <c r="Q421" s="18">
        <f>IFERROR(VLOOKUP(L421,Katalog!$C$3:$F$13,2,0),0)</f>
        <v>200000</v>
      </c>
      <c r="R421" s="18">
        <f>IFERROR(VLOOKUP(L421,Katalog!$C$3:$F$13,3,0),0)</f>
        <v>100000</v>
      </c>
      <c r="S421" t="str">
        <f t="shared" si="225"/>
        <v>SP002</v>
      </c>
      <c r="T421" t="str">
        <f>IFERROR(INDEX(Katalog!$B$4:$B$13,MATCH('Main Data'!S421,Katalog!$C$4:$C$13,0)),"-")</f>
        <v>Sandal Slip On</v>
      </c>
      <c r="U421" t="str">
        <f>IFERROR(VLOOKUP(S421,Katalog!$A$15:$B$25,2,0),"-")</f>
        <v>Sepatu Pria</v>
      </c>
      <c r="V421" t="str">
        <f t="shared" si="226"/>
        <v>1</v>
      </c>
      <c r="W421" s="28" t="str">
        <f t="shared" si="227"/>
        <v>2</v>
      </c>
      <c r="X421" s="18">
        <f>IFERROR(VLOOKUP(S421,Katalog!$C$3:$F$13,2,0),0)</f>
        <v>120000</v>
      </c>
      <c r="Y421" s="30">
        <f>IFERROR(VLOOKUP(S421,Katalog!$C$3:$F$13,3,0),0)</f>
        <v>60000</v>
      </c>
      <c r="Z421" s="2">
        <f t="shared" si="228"/>
        <v>4</v>
      </c>
      <c r="AA421" s="4">
        <f t="shared" si="229"/>
        <v>920000</v>
      </c>
      <c r="AB421" s="4">
        <f t="shared" si="230"/>
        <v>360000</v>
      </c>
      <c r="AC421" s="4" t="s">
        <v>30</v>
      </c>
      <c r="AD421" s="16">
        <f>IFERROR(VLOOKUP(AC421,'Kode Diskon'!$C$2:$D$9,2,0),0)</f>
        <v>0.1</v>
      </c>
      <c r="AE421" s="31">
        <f t="shared" si="231"/>
        <v>92000</v>
      </c>
      <c r="AF421" s="31">
        <f t="shared" si="232"/>
        <v>828000</v>
      </c>
      <c r="AG421" s="31">
        <f t="shared" si="233"/>
        <v>560000</v>
      </c>
      <c r="AH421" s="31">
        <f t="shared" si="234"/>
        <v>468000</v>
      </c>
      <c r="AI421" s="4" t="s">
        <v>8</v>
      </c>
      <c r="AJ421" s="4" t="s">
        <v>9</v>
      </c>
      <c r="AK421" s="4" t="str">
        <f>IFERROR(VLOOKUP(AJ421,'Guide '!$A$13:$B$16,2,0),"-")</f>
        <v>TK</v>
      </c>
      <c r="AL421" s="4" t="s">
        <v>1006</v>
      </c>
      <c r="AM421" s="40">
        <v>45444</v>
      </c>
      <c r="AN421">
        <f t="shared" si="235"/>
        <v>29</v>
      </c>
      <c r="AO421">
        <f t="shared" si="236"/>
        <v>32</v>
      </c>
      <c r="AP421">
        <f t="shared" si="237"/>
        <v>40</v>
      </c>
      <c r="AQ421">
        <f t="shared" si="238"/>
        <v>43</v>
      </c>
      <c r="AR421" s="26">
        <f t="shared" si="239"/>
        <v>56</v>
      </c>
      <c r="AS421" s="26">
        <f t="shared" si="240"/>
        <v>63</v>
      </c>
      <c r="AT421" s="21">
        <f t="shared" si="241"/>
        <v>12</v>
      </c>
      <c r="AU421" s="21">
        <f t="shared" si="242"/>
        <v>19</v>
      </c>
      <c r="AV421">
        <f t="shared" si="243"/>
        <v>73</v>
      </c>
      <c r="AW421">
        <f t="shared" si="244"/>
        <v>76</v>
      </c>
      <c r="AX421">
        <f t="shared" si="245"/>
        <v>84</v>
      </c>
      <c r="AY421">
        <f t="shared" si="246"/>
        <v>87</v>
      </c>
      <c r="AZ421">
        <f t="shared" si="247"/>
        <v>100</v>
      </c>
      <c r="BA421">
        <f t="shared" si="248"/>
        <v>107</v>
      </c>
      <c r="BB421">
        <f t="shared" si="249"/>
        <v>117</v>
      </c>
      <c r="BC421">
        <f t="shared" si="250"/>
        <v>120</v>
      </c>
      <c r="BD421" s="29">
        <f t="shared" si="251"/>
        <v>128</v>
      </c>
      <c r="BE421" s="29">
        <f t="shared" si="252"/>
        <v>131</v>
      </c>
    </row>
    <row r="422" spans="1:57" ht="15" x14ac:dyDescent="0.2">
      <c r="A422" s="2">
        <v>456</v>
      </c>
      <c r="B422" s="2" t="str">
        <f t="shared" si="217"/>
        <v>0456</v>
      </c>
      <c r="C422" t="str">
        <f t="shared" si="218"/>
        <v>ORD-BB-0456-01/06/24</v>
      </c>
      <c r="D422" s="3" t="s">
        <v>494</v>
      </c>
      <c r="E422" t="str">
        <f t="shared" si="219"/>
        <v>PP002</v>
      </c>
      <c r="F422" t="str">
        <f>INDEX(Katalog!$B$4:$B$13,MATCH('Main Data'!E422,Katalog!$C$4:$C$13,0))</f>
        <v>Celana Pendek</v>
      </c>
      <c r="G422" t="str">
        <f>VLOOKUP(E422,Katalog!$A$15:$B$25,2,0)</f>
        <v>Pakaian Pria</v>
      </c>
      <c r="H422" t="str">
        <f t="shared" si="220"/>
        <v>1</v>
      </c>
      <c r="I422" t="str">
        <f t="shared" si="221"/>
        <v>1</v>
      </c>
      <c r="J422" s="18">
        <f>VLOOKUP(E422,Katalog!$C$3:$F$13,2,0)</f>
        <v>60000</v>
      </c>
      <c r="K422" s="18">
        <f>VLOOKUP(E422,Katalog!$C$3:$F$13,3,0)</f>
        <v>25000</v>
      </c>
      <c r="L422" t="str">
        <f t="shared" si="222"/>
        <v>SW001</v>
      </c>
      <c r="M422" t="str">
        <f>IFERROR(INDEX(Katalog!$B$4:$B$13,MATCH('Main Data'!L422,Katalog!$C$4:$C$13,0)), "-")</f>
        <v>Flat Shoes</v>
      </c>
      <c r="N422" t="str">
        <f>IFERROR(VLOOKUP(L422,Katalog!$A$15:$B$25,2,0),"-")</f>
        <v>Sepatu Wanita</v>
      </c>
      <c r="O422" t="str">
        <f t="shared" si="223"/>
        <v>6</v>
      </c>
      <c r="P422" t="str">
        <f t="shared" si="224"/>
        <v>4</v>
      </c>
      <c r="Q422" s="18">
        <f>IFERROR(VLOOKUP(L422,Katalog!$C$3:$F$13,2,0),0)</f>
        <v>150000</v>
      </c>
      <c r="R422" s="18">
        <f>IFERROR(VLOOKUP(L422,Katalog!$C$3:$F$13,3,0),0)</f>
        <v>70000</v>
      </c>
      <c r="S422" t="str">
        <f t="shared" si="225"/>
        <v>-</v>
      </c>
      <c r="T422" t="str">
        <f>IFERROR(INDEX(Katalog!$B$4:$B$13,MATCH('Main Data'!S422,Katalog!$C$4:$C$13,0)),"-")</f>
        <v>-</v>
      </c>
      <c r="U422" t="str">
        <f>IFERROR(VLOOKUP(S422,Katalog!$A$15:$B$25,2,0),"-")</f>
        <v>-</v>
      </c>
      <c r="V422">
        <f t="shared" si="226"/>
        <v>0</v>
      </c>
      <c r="W422" s="28" t="str">
        <f t="shared" si="227"/>
        <v>-</v>
      </c>
      <c r="X422" s="18">
        <f>IFERROR(VLOOKUP(S422,Katalog!$C$3:$F$13,2,0),0)</f>
        <v>0</v>
      </c>
      <c r="Y422" s="30">
        <f>IFERROR(VLOOKUP(S422,Katalog!$C$3:$F$13,3,0),0)</f>
        <v>0</v>
      </c>
      <c r="Z422" s="2">
        <f t="shared" si="228"/>
        <v>7</v>
      </c>
      <c r="AA422" s="4">
        <f t="shared" si="229"/>
        <v>960000</v>
      </c>
      <c r="AB422" s="4">
        <f t="shared" si="230"/>
        <v>445000</v>
      </c>
      <c r="AC422" s="4" t="s">
        <v>27</v>
      </c>
      <c r="AD422" s="16">
        <f>IFERROR(VLOOKUP(AC422,'Kode Diskon'!$C$2:$D$9,2,0),0)</f>
        <v>0.15</v>
      </c>
      <c r="AE422" s="31">
        <f t="shared" si="231"/>
        <v>144000</v>
      </c>
      <c r="AF422" s="31">
        <f t="shared" si="232"/>
        <v>816000</v>
      </c>
      <c r="AG422" s="31">
        <f t="shared" si="233"/>
        <v>515000</v>
      </c>
      <c r="AH422" s="31">
        <f t="shared" si="234"/>
        <v>371000</v>
      </c>
      <c r="AI422" s="4" t="s">
        <v>28</v>
      </c>
      <c r="AJ422" s="4" t="s">
        <v>13</v>
      </c>
      <c r="AK422" s="4" t="str">
        <f>IFERROR(VLOOKUP(AJ422,'Guide '!$A$13:$B$16,2,0),"-")</f>
        <v>BB</v>
      </c>
      <c r="AL422" s="4" t="s">
        <v>925</v>
      </c>
      <c r="AM422" s="40">
        <v>45444</v>
      </c>
      <c r="AN422">
        <f t="shared" si="235"/>
        <v>29</v>
      </c>
      <c r="AO422">
        <f t="shared" si="236"/>
        <v>32</v>
      </c>
      <c r="AP422">
        <f t="shared" si="237"/>
        <v>40</v>
      </c>
      <c r="AQ422">
        <f t="shared" si="238"/>
        <v>43</v>
      </c>
      <c r="AR422" s="26">
        <f t="shared" si="239"/>
        <v>56</v>
      </c>
      <c r="AS422" s="26">
        <f t="shared" si="240"/>
        <v>63</v>
      </c>
      <c r="AT422" s="21">
        <f t="shared" si="241"/>
        <v>12</v>
      </c>
      <c r="AU422" s="21">
        <f t="shared" si="242"/>
        <v>19</v>
      </c>
      <c r="AV422">
        <f t="shared" si="243"/>
        <v>73</v>
      </c>
      <c r="AW422">
        <f t="shared" si="244"/>
        <v>76</v>
      </c>
      <c r="AX422">
        <f t="shared" si="245"/>
        <v>84</v>
      </c>
      <c r="AY422">
        <f t="shared" si="246"/>
        <v>87</v>
      </c>
      <c r="AZ422" t="str">
        <f t="shared" si="247"/>
        <v>-</v>
      </c>
      <c r="BA422" t="str">
        <f t="shared" si="248"/>
        <v>-</v>
      </c>
      <c r="BB422" t="str">
        <f t="shared" si="249"/>
        <v>-</v>
      </c>
      <c r="BC422" t="str">
        <f t="shared" si="250"/>
        <v>-</v>
      </c>
      <c r="BD422" s="29" t="str">
        <f t="shared" si="251"/>
        <v>-</v>
      </c>
      <c r="BE422" s="29" t="str">
        <f t="shared" si="252"/>
        <v>-</v>
      </c>
    </row>
    <row r="423" spans="1:57" ht="15" x14ac:dyDescent="0.2">
      <c r="A423" s="2">
        <v>567</v>
      </c>
      <c r="B423" s="2" t="str">
        <f t="shared" si="217"/>
        <v>0567</v>
      </c>
      <c r="C423" t="str">
        <f t="shared" si="218"/>
        <v>ORD-BB-0567-01/06/24</v>
      </c>
      <c r="D423" s="3" t="s">
        <v>588</v>
      </c>
      <c r="E423" t="str">
        <f t="shared" si="219"/>
        <v>SP001</v>
      </c>
      <c r="F423" t="str">
        <f>INDEX(Katalog!$B$4:$B$13,MATCH('Main Data'!E423,Katalog!$C$4:$C$13,0))</f>
        <v>Sneakers</v>
      </c>
      <c r="G423" t="str">
        <f>VLOOKUP(E423,Katalog!$A$15:$B$25,2,0)</f>
        <v>Sepatu Pria</v>
      </c>
      <c r="H423" t="str">
        <f t="shared" si="220"/>
        <v>3</v>
      </c>
      <c r="I423" t="str">
        <f t="shared" si="221"/>
        <v>4</v>
      </c>
      <c r="J423" s="18">
        <f>VLOOKUP(E423,Katalog!$C$3:$F$13,2,0)</f>
        <v>300000</v>
      </c>
      <c r="K423" s="18">
        <f>VLOOKUP(E423,Katalog!$C$3:$F$13,3,0)</f>
        <v>100000</v>
      </c>
      <c r="L423" t="str">
        <f t="shared" si="222"/>
        <v>-</v>
      </c>
      <c r="M423" t="str">
        <f>IFERROR(INDEX(Katalog!$B$4:$B$13,MATCH('Main Data'!L423,Katalog!$C$4:$C$13,0)), "-")</f>
        <v>-</v>
      </c>
      <c r="N423" t="str">
        <f>IFERROR(VLOOKUP(L423,Katalog!$A$15:$B$25,2,0),"-")</f>
        <v>-</v>
      </c>
      <c r="O423">
        <f t="shared" si="223"/>
        <v>0</v>
      </c>
      <c r="P423" t="str">
        <f t="shared" si="224"/>
        <v>-</v>
      </c>
      <c r="Q423" s="18">
        <f>IFERROR(VLOOKUP(L423,Katalog!$C$3:$F$13,2,0),0)</f>
        <v>0</v>
      </c>
      <c r="R423" s="18">
        <f>IFERROR(VLOOKUP(L423,Katalog!$C$3:$F$13,3,0),0)</f>
        <v>0</v>
      </c>
      <c r="S423" t="str">
        <f t="shared" si="225"/>
        <v>-</v>
      </c>
      <c r="T423" t="str">
        <f>IFERROR(INDEX(Katalog!$B$4:$B$13,MATCH('Main Data'!S423,Katalog!$C$4:$C$13,0)),"-")</f>
        <v>-</v>
      </c>
      <c r="U423" t="str">
        <f>IFERROR(VLOOKUP(S423,Katalog!$A$15:$B$25,2,0),"-")</f>
        <v>-</v>
      </c>
      <c r="V423">
        <f t="shared" si="226"/>
        <v>0</v>
      </c>
      <c r="W423" s="28" t="str">
        <f t="shared" si="227"/>
        <v>-</v>
      </c>
      <c r="X423" s="18">
        <f>IFERROR(VLOOKUP(S423,Katalog!$C$3:$F$13,2,0),0)</f>
        <v>0</v>
      </c>
      <c r="Y423" s="30">
        <f>IFERROR(VLOOKUP(S423,Katalog!$C$3:$F$13,3,0),0)</f>
        <v>0</v>
      </c>
      <c r="Z423" s="2">
        <f t="shared" si="228"/>
        <v>3</v>
      </c>
      <c r="AA423" s="4">
        <f t="shared" si="229"/>
        <v>900000</v>
      </c>
      <c r="AB423" s="4">
        <f t="shared" si="230"/>
        <v>300000</v>
      </c>
      <c r="AC423" s="4" t="s">
        <v>27</v>
      </c>
      <c r="AD423" s="16">
        <f>IFERROR(VLOOKUP(AC423,'Kode Diskon'!$C$2:$D$9,2,0),0)</f>
        <v>0.15</v>
      </c>
      <c r="AE423" s="31">
        <f t="shared" si="231"/>
        <v>135000</v>
      </c>
      <c r="AF423" s="31">
        <f t="shared" si="232"/>
        <v>765000</v>
      </c>
      <c r="AG423" s="31">
        <f t="shared" si="233"/>
        <v>600000</v>
      </c>
      <c r="AH423" s="31">
        <f t="shared" si="234"/>
        <v>465000</v>
      </c>
      <c r="AI423" s="4" t="s">
        <v>28</v>
      </c>
      <c r="AJ423" s="4" t="s">
        <v>13</v>
      </c>
      <c r="AK423" s="4" t="str">
        <f>IFERROR(VLOOKUP(AJ423,'Guide '!$A$13:$B$16,2,0),"-")</f>
        <v>BB</v>
      </c>
      <c r="AL423" s="4" t="s">
        <v>925</v>
      </c>
      <c r="AM423" s="40">
        <v>45444</v>
      </c>
      <c r="AN423">
        <f t="shared" si="235"/>
        <v>29</v>
      </c>
      <c r="AO423">
        <f t="shared" si="236"/>
        <v>32</v>
      </c>
      <c r="AP423">
        <f t="shared" si="237"/>
        <v>40</v>
      </c>
      <c r="AQ423">
        <f t="shared" si="238"/>
        <v>43</v>
      </c>
      <c r="AR423" s="26" t="str">
        <f t="shared" si="239"/>
        <v>-</v>
      </c>
      <c r="AS423" s="26" t="str">
        <f t="shared" si="240"/>
        <v>-</v>
      </c>
      <c r="AT423" s="21">
        <f t="shared" si="241"/>
        <v>12</v>
      </c>
      <c r="AU423" s="21">
        <f t="shared" si="242"/>
        <v>19</v>
      </c>
      <c r="AV423" t="str">
        <f t="shared" si="243"/>
        <v>-</v>
      </c>
      <c r="AW423" t="str">
        <f t="shared" si="244"/>
        <v>-</v>
      </c>
      <c r="AX423" t="str">
        <f t="shared" si="245"/>
        <v>-</v>
      </c>
      <c r="AY423" t="str">
        <f t="shared" si="246"/>
        <v>-</v>
      </c>
      <c r="AZ423" t="str">
        <f t="shared" si="247"/>
        <v>-</v>
      </c>
      <c r="BA423" t="str">
        <f t="shared" si="248"/>
        <v>-</v>
      </c>
      <c r="BB423" t="str">
        <f t="shared" si="249"/>
        <v>-</v>
      </c>
      <c r="BC423" t="str">
        <f t="shared" si="250"/>
        <v>-</v>
      </c>
      <c r="BD423" s="29" t="str">
        <f t="shared" si="251"/>
        <v>-</v>
      </c>
      <c r="BE423" s="29" t="str">
        <f t="shared" si="252"/>
        <v>-</v>
      </c>
    </row>
    <row r="424" spans="1:57" ht="15" x14ac:dyDescent="0.2">
      <c r="A424" s="2">
        <v>996</v>
      </c>
      <c r="B424" s="2" t="str">
        <f t="shared" si="217"/>
        <v>0996</v>
      </c>
      <c r="C424" t="str">
        <f t="shared" si="218"/>
        <v>ORD-SP-0996-02/06/24</v>
      </c>
      <c r="D424" s="3" t="s">
        <v>499</v>
      </c>
      <c r="E424" t="str">
        <f t="shared" si="219"/>
        <v>PU001</v>
      </c>
      <c r="F424" t="str">
        <f>INDEX(Katalog!$B$4:$B$13,MATCH('Main Data'!E424,Katalog!$C$4:$C$13,0))</f>
        <v>Jaket Hoodie</v>
      </c>
      <c r="G424" t="str">
        <f>VLOOKUP(E424,Katalog!$A$15:$B$25,2,0)</f>
        <v>Pakaian Unisex</v>
      </c>
      <c r="H424" t="str">
        <f t="shared" si="220"/>
        <v>1</v>
      </c>
      <c r="I424" t="str">
        <f t="shared" si="221"/>
        <v>5</v>
      </c>
      <c r="J424" s="18">
        <f>VLOOKUP(E424,Katalog!$C$3:$F$13,2,0)</f>
        <v>160000</v>
      </c>
      <c r="K424" s="18">
        <f>VLOOKUP(E424,Katalog!$C$3:$F$13,3,0)</f>
        <v>60000</v>
      </c>
      <c r="L424" t="str">
        <f t="shared" si="222"/>
        <v>-</v>
      </c>
      <c r="M424" t="str">
        <f>IFERROR(INDEX(Katalog!$B$4:$B$13,MATCH('Main Data'!L424,Katalog!$C$4:$C$13,0)), "-")</f>
        <v>-</v>
      </c>
      <c r="N424" t="str">
        <f>IFERROR(VLOOKUP(L424,Katalog!$A$15:$B$25,2,0),"-")</f>
        <v>-</v>
      </c>
      <c r="O424">
        <f t="shared" si="223"/>
        <v>0</v>
      </c>
      <c r="P424" t="str">
        <f t="shared" si="224"/>
        <v>-</v>
      </c>
      <c r="Q424" s="18">
        <f>IFERROR(VLOOKUP(L424,Katalog!$C$3:$F$13,2,0),0)</f>
        <v>0</v>
      </c>
      <c r="R424" s="18">
        <f>IFERROR(VLOOKUP(L424,Katalog!$C$3:$F$13,3,0),0)</f>
        <v>0</v>
      </c>
      <c r="S424" t="str">
        <f t="shared" si="225"/>
        <v>-</v>
      </c>
      <c r="T424" t="str">
        <f>IFERROR(INDEX(Katalog!$B$4:$B$13,MATCH('Main Data'!S424,Katalog!$C$4:$C$13,0)),"-")</f>
        <v>-</v>
      </c>
      <c r="U424" t="str">
        <f>IFERROR(VLOOKUP(S424,Katalog!$A$15:$B$25,2,0),"-")</f>
        <v>-</v>
      </c>
      <c r="V424">
        <f t="shared" si="226"/>
        <v>0</v>
      </c>
      <c r="W424" s="28" t="str">
        <f t="shared" si="227"/>
        <v>-</v>
      </c>
      <c r="X424" s="18">
        <f>IFERROR(VLOOKUP(S424,Katalog!$C$3:$F$13,2,0),0)</f>
        <v>0</v>
      </c>
      <c r="Y424" s="30">
        <f>IFERROR(VLOOKUP(S424,Katalog!$C$3:$F$13,3,0),0)</f>
        <v>0</v>
      </c>
      <c r="Z424" s="2">
        <f t="shared" si="228"/>
        <v>1</v>
      </c>
      <c r="AA424" s="4">
        <f t="shared" si="229"/>
        <v>160000</v>
      </c>
      <c r="AB424" s="4">
        <f t="shared" si="230"/>
        <v>60000</v>
      </c>
      <c r="AC424" s="4" t="s">
        <v>7</v>
      </c>
      <c r="AD424" s="16">
        <f>IFERROR(VLOOKUP(AC424,'Kode Diskon'!$C$2:$D$9,2,0),0)</f>
        <v>0.2</v>
      </c>
      <c r="AE424" s="31">
        <f t="shared" si="231"/>
        <v>32000</v>
      </c>
      <c r="AF424" s="31">
        <f t="shared" si="232"/>
        <v>128000</v>
      </c>
      <c r="AG424" s="31">
        <f t="shared" si="233"/>
        <v>100000</v>
      </c>
      <c r="AH424" s="31">
        <f t="shared" si="234"/>
        <v>68000</v>
      </c>
      <c r="AI424" s="4" t="s">
        <v>8</v>
      </c>
      <c r="AJ424" s="4" t="s">
        <v>6</v>
      </c>
      <c r="AK424" s="4" t="str">
        <f>IFERROR(VLOOKUP(AJ424,'Guide '!$A$13:$B$16,2,0),"-")</f>
        <v>SP</v>
      </c>
      <c r="AL424" s="4" t="s">
        <v>923</v>
      </c>
      <c r="AM424" s="40">
        <v>45445</v>
      </c>
      <c r="AN424">
        <f t="shared" si="235"/>
        <v>29</v>
      </c>
      <c r="AO424">
        <f t="shared" si="236"/>
        <v>32</v>
      </c>
      <c r="AP424">
        <f t="shared" si="237"/>
        <v>40</v>
      </c>
      <c r="AQ424">
        <f t="shared" si="238"/>
        <v>43</v>
      </c>
      <c r="AR424" s="26" t="str">
        <f t="shared" si="239"/>
        <v>-</v>
      </c>
      <c r="AS424" s="26" t="str">
        <f t="shared" si="240"/>
        <v>-</v>
      </c>
      <c r="AT424" s="21">
        <f t="shared" si="241"/>
        <v>12</v>
      </c>
      <c r="AU424" s="21">
        <f t="shared" si="242"/>
        <v>19</v>
      </c>
      <c r="AV424" t="str">
        <f t="shared" si="243"/>
        <v>-</v>
      </c>
      <c r="AW424" t="str">
        <f t="shared" si="244"/>
        <v>-</v>
      </c>
      <c r="AX424" t="str">
        <f t="shared" si="245"/>
        <v>-</v>
      </c>
      <c r="AY424" t="str">
        <f t="shared" si="246"/>
        <v>-</v>
      </c>
      <c r="AZ424" t="str">
        <f t="shared" si="247"/>
        <v>-</v>
      </c>
      <c r="BA424" t="str">
        <f t="shared" si="248"/>
        <v>-</v>
      </c>
      <c r="BB424" t="str">
        <f t="shared" si="249"/>
        <v>-</v>
      </c>
      <c r="BC424" t="str">
        <f t="shared" si="250"/>
        <v>-</v>
      </c>
      <c r="BD424" s="29" t="str">
        <f t="shared" si="251"/>
        <v>-</v>
      </c>
      <c r="BE424" s="29" t="str">
        <f t="shared" si="252"/>
        <v>-</v>
      </c>
    </row>
    <row r="425" spans="1:57" ht="15" x14ac:dyDescent="0.2">
      <c r="A425" s="2">
        <v>325</v>
      </c>
      <c r="B425" s="2" t="str">
        <f t="shared" si="217"/>
        <v>0325</v>
      </c>
      <c r="C425" t="str">
        <f t="shared" si="218"/>
        <v>ORD-SP-0325-03/06/24</v>
      </c>
      <c r="D425" s="3" t="s">
        <v>379</v>
      </c>
      <c r="E425" t="str">
        <f t="shared" si="219"/>
        <v>SP002</v>
      </c>
      <c r="F425" t="str">
        <f>INDEX(Katalog!$B$4:$B$13,MATCH('Main Data'!E425,Katalog!$C$4:$C$13,0))</f>
        <v>Sandal Slip On</v>
      </c>
      <c r="G425" t="str">
        <f>VLOOKUP(E425,Katalog!$A$15:$B$25,2,0)</f>
        <v>Sepatu Pria</v>
      </c>
      <c r="H425" t="str">
        <f t="shared" si="220"/>
        <v>3</v>
      </c>
      <c r="I425" t="str">
        <f t="shared" si="221"/>
        <v>4</v>
      </c>
      <c r="J425" s="18">
        <f>VLOOKUP(E425,Katalog!$C$3:$F$13,2,0)</f>
        <v>120000</v>
      </c>
      <c r="K425" s="18">
        <f>VLOOKUP(E425,Katalog!$C$3:$F$13,3,0)</f>
        <v>60000</v>
      </c>
      <c r="L425" t="str">
        <f t="shared" si="222"/>
        <v>PW002</v>
      </c>
      <c r="M425" t="str">
        <f>IFERROR(INDEX(Katalog!$B$4:$B$13,MATCH('Main Data'!L425,Katalog!$C$4:$C$13,0)), "-")</f>
        <v>Blouse</v>
      </c>
      <c r="N425" t="str">
        <f>IFERROR(VLOOKUP(L425,Katalog!$A$15:$B$25,2,0),"-")</f>
        <v>Pakaian Wanita</v>
      </c>
      <c r="O425" t="str">
        <f t="shared" si="223"/>
        <v>2</v>
      </c>
      <c r="P425" t="str">
        <f t="shared" si="224"/>
        <v>5</v>
      </c>
      <c r="Q425" s="18">
        <f>IFERROR(VLOOKUP(L425,Katalog!$C$3:$F$13,2,0),0)</f>
        <v>125000</v>
      </c>
      <c r="R425" s="18">
        <f>IFERROR(VLOOKUP(L425,Katalog!$C$3:$F$13,3,0),0)</f>
        <v>50000</v>
      </c>
      <c r="S425" t="str">
        <f t="shared" si="225"/>
        <v>PP001</v>
      </c>
      <c r="T425" t="str">
        <f>IFERROR(INDEX(Katalog!$B$4:$B$13,MATCH('Main Data'!S425,Katalog!$C$4:$C$13,0)),"-")</f>
        <v>Kaos Polo</v>
      </c>
      <c r="U425" t="str">
        <f>IFERROR(VLOOKUP(S425,Katalog!$A$15:$B$25,2,0),"-")</f>
        <v>Pakaian Pria</v>
      </c>
      <c r="V425" t="str">
        <f t="shared" si="226"/>
        <v>1</v>
      </c>
      <c r="W425" s="28" t="str">
        <f t="shared" si="227"/>
        <v>3</v>
      </c>
      <c r="X425" s="18">
        <f>IFERROR(VLOOKUP(S425,Katalog!$C$3:$F$13,2,0),0)</f>
        <v>80000</v>
      </c>
      <c r="Y425" s="30">
        <f>IFERROR(VLOOKUP(S425,Katalog!$C$3:$F$13,3,0),0)</f>
        <v>30000</v>
      </c>
      <c r="Z425" s="2">
        <f t="shared" si="228"/>
        <v>6</v>
      </c>
      <c r="AA425" s="4">
        <f t="shared" si="229"/>
        <v>690000</v>
      </c>
      <c r="AB425" s="4">
        <f t="shared" si="230"/>
        <v>310000</v>
      </c>
      <c r="AC425" s="4" t="s">
        <v>5</v>
      </c>
      <c r="AD425" s="16">
        <f>IFERROR(VLOOKUP(AC425,'Kode Diskon'!$C$2:$D$9,2,0),0)</f>
        <v>0.1</v>
      </c>
      <c r="AE425" s="31">
        <f t="shared" si="231"/>
        <v>69000</v>
      </c>
      <c r="AF425" s="31">
        <f t="shared" si="232"/>
        <v>621000</v>
      </c>
      <c r="AG425" s="31">
        <f t="shared" si="233"/>
        <v>380000</v>
      </c>
      <c r="AH425" s="31">
        <f t="shared" si="234"/>
        <v>311000</v>
      </c>
      <c r="AI425" s="4" t="s">
        <v>28</v>
      </c>
      <c r="AJ425" s="4" t="s">
        <v>6</v>
      </c>
      <c r="AK425" s="4" t="str">
        <f>IFERROR(VLOOKUP(AJ425,'Guide '!$A$13:$B$16,2,0),"-")</f>
        <v>SP</v>
      </c>
      <c r="AL425" s="4" t="s">
        <v>924</v>
      </c>
      <c r="AM425" s="40">
        <v>45446</v>
      </c>
      <c r="AN425">
        <f t="shared" si="235"/>
        <v>29</v>
      </c>
      <c r="AO425">
        <f t="shared" si="236"/>
        <v>32</v>
      </c>
      <c r="AP425">
        <f t="shared" si="237"/>
        <v>40</v>
      </c>
      <c r="AQ425">
        <f t="shared" si="238"/>
        <v>43</v>
      </c>
      <c r="AR425" s="26">
        <f t="shared" si="239"/>
        <v>56</v>
      </c>
      <c r="AS425" s="26">
        <f t="shared" si="240"/>
        <v>63</v>
      </c>
      <c r="AT425" s="21">
        <f t="shared" si="241"/>
        <v>12</v>
      </c>
      <c r="AU425" s="21">
        <f t="shared" si="242"/>
        <v>19</v>
      </c>
      <c r="AV425">
        <f t="shared" si="243"/>
        <v>73</v>
      </c>
      <c r="AW425">
        <f t="shared" si="244"/>
        <v>76</v>
      </c>
      <c r="AX425">
        <f t="shared" si="245"/>
        <v>84</v>
      </c>
      <c r="AY425">
        <f t="shared" si="246"/>
        <v>87</v>
      </c>
      <c r="AZ425">
        <f t="shared" si="247"/>
        <v>100</v>
      </c>
      <c r="BA425">
        <f t="shared" si="248"/>
        <v>107</v>
      </c>
      <c r="BB425">
        <f t="shared" si="249"/>
        <v>117</v>
      </c>
      <c r="BC425">
        <f t="shared" si="250"/>
        <v>120</v>
      </c>
      <c r="BD425" s="29">
        <f t="shared" si="251"/>
        <v>128</v>
      </c>
      <c r="BE425" s="29">
        <f t="shared" si="252"/>
        <v>131</v>
      </c>
    </row>
    <row r="426" spans="1:57" ht="15" x14ac:dyDescent="0.2">
      <c r="A426" s="2">
        <v>614</v>
      </c>
      <c r="B426" s="2" t="str">
        <f t="shared" si="217"/>
        <v>0614</v>
      </c>
      <c r="C426" t="str">
        <f t="shared" si="218"/>
        <v>ORD-SP-0614-03/06/24</v>
      </c>
      <c r="D426" s="3" t="s">
        <v>625</v>
      </c>
      <c r="E426" t="str">
        <f t="shared" si="219"/>
        <v>PP002</v>
      </c>
      <c r="F426" t="str">
        <f>INDEX(Katalog!$B$4:$B$13,MATCH('Main Data'!E426,Katalog!$C$4:$C$13,0))</f>
        <v>Celana Pendek</v>
      </c>
      <c r="G426" t="str">
        <f>VLOOKUP(E426,Katalog!$A$15:$B$25,2,0)</f>
        <v>Pakaian Pria</v>
      </c>
      <c r="H426" t="str">
        <f t="shared" si="220"/>
        <v>1</v>
      </c>
      <c r="I426" t="str">
        <f t="shared" si="221"/>
        <v>5</v>
      </c>
      <c r="J426" s="18">
        <f>VLOOKUP(E426,Katalog!$C$3:$F$13,2,0)</f>
        <v>60000</v>
      </c>
      <c r="K426" s="18">
        <f>VLOOKUP(E426,Katalog!$C$3:$F$13,3,0)</f>
        <v>25000</v>
      </c>
      <c r="L426" t="str">
        <f t="shared" si="222"/>
        <v>SP002</v>
      </c>
      <c r="M426" t="str">
        <f>IFERROR(INDEX(Katalog!$B$4:$B$13,MATCH('Main Data'!L426,Katalog!$C$4:$C$13,0)), "-")</f>
        <v>Sandal Slip On</v>
      </c>
      <c r="N426" t="str">
        <f>IFERROR(VLOOKUP(L426,Katalog!$A$15:$B$25,2,0),"-")</f>
        <v>Sepatu Pria</v>
      </c>
      <c r="O426" t="str">
        <f t="shared" si="223"/>
        <v>1</v>
      </c>
      <c r="P426" t="str">
        <f t="shared" si="224"/>
        <v>3</v>
      </c>
      <c r="Q426" s="18">
        <f>IFERROR(VLOOKUP(L426,Katalog!$C$3:$F$13,2,0),0)</f>
        <v>120000</v>
      </c>
      <c r="R426" s="18">
        <f>IFERROR(VLOOKUP(L426,Katalog!$C$3:$F$13,3,0),0)</f>
        <v>60000</v>
      </c>
      <c r="S426" t="str">
        <f t="shared" si="225"/>
        <v>-</v>
      </c>
      <c r="T426" t="str">
        <f>IFERROR(INDEX(Katalog!$B$4:$B$13,MATCH('Main Data'!S426,Katalog!$C$4:$C$13,0)),"-")</f>
        <v>-</v>
      </c>
      <c r="U426" t="str">
        <f>IFERROR(VLOOKUP(S426,Katalog!$A$15:$B$25,2,0),"-")</f>
        <v>-</v>
      </c>
      <c r="V426">
        <f t="shared" si="226"/>
        <v>0</v>
      </c>
      <c r="W426" s="28" t="str">
        <f t="shared" si="227"/>
        <v>-</v>
      </c>
      <c r="X426" s="18">
        <f>IFERROR(VLOOKUP(S426,Katalog!$C$3:$F$13,2,0),0)</f>
        <v>0</v>
      </c>
      <c r="Y426" s="30">
        <f>IFERROR(VLOOKUP(S426,Katalog!$C$3:$F$13,3,0),0)</f>
        <v>0</v>
      </c>
      <c r="Z426" s="2">
        <f t="shared" si="228"/>
        <v>2</v>
      </c>
      <c r="AA426" s="4">
        <f t="shared" si="229"/>
        <v>180000</v>
      </c>
      <c r="AB426" s="4">
        <f t="shared" si="230"/>
        <v>85000</v>
      </c>
      <c r="AC426" s="4" t="s">
        <v>7</v>
      </c>
      <c r="AD426" s="16">
        <f>IFERROR(VLOOKUP(AC426,'Kode Diskon'!$C$2:$D$9,2,0),0)</f>
        <v>0.2</v>
      </c>
      <c r="AE426" s="31">
        <f t="shared" si="231"/>
        <v>36000</v>
      </c>
      <c r="AF426" s="31">
        <f t="shared" si="232"/>
        <v>144000</v>
      </c>
      <c r="AG426" s="31">
        <f t="shared" si="233"/>
        <v>95000</v>
      </c>
      <c r="AH426" s="31">
        <f t="shared" si="234"/>
        <v>59000</v>
      </c>
      <c r="AI426" s="4" t="s">
        <v>8</v>
      </c>
      <c r="AJ426" s="4" t="s">
        <v>6</v>
      </c>
      <c r="AK426" s="4" t="str">
        <f>IFERROR(VLOOKUP(AJ426,'Guide '!$A$13:$B$16,2,0),"-")</f>
        <v>SP</v>
      </c>
      <c r="AL426" s="4" t="s">
        <v>925</v>
      </c>
      <c r="AM426" s="40">
        <v>45446</v>
      </c>
      <c r="AN426">
        <f t="shared" si="235"/>
        <v>29</v>
      </c>
      <c r="AO426">
        <f t="shared" si="236"/>
        <v>32</v>
      </c>
      <c r="AP426">
        <f t="shared" si="237"/>
        <v>40</v>
      </c>
      <c r="AQ426">
        <f t="shared" si="238"/>
        <v>43</v>
      </c>
      <c r="AR426" s="26">
        <f t="shared" si="239"/>
        <v>56</v>
      </c>
      <c r="AS426" s="26">
        <f t="shared" si="240"/>
        <v>63</v>
      </c>
      <c r="AT426" s="21">
        <f t="shared" si="241"/>
        <v>12</v>
      </c>
      <c r="AU426" s="21">
        <f t="shared" si="242"/>
        <v>19</v>
      </c>
      <c r="AV426">
        <f t="shared" si="243"/>
        <v>73</v>
      </c>
      <c r="AW426">
        <f t="shared" si="244"/>
        <v>76</v>
      </c>
      <c r="AX426">
        <f t="shared" si="245"/>
        <v>84</v>
      </c>
      <c r="AY426">
        <f t="shared" si="246"/>
        <v>87</v>
      </c>
      <c r="AZ426" t="str">
        <f t="shared" si="247"/>
        <v>-</v>
      </c>
      <c r="BA426" t="str">
        <f t="shared" si="248"/>
        <v>-</v>
      </c>
      <c r="BB426" t="str">
        <f t="shared" si="249"/>
        <v>-</v>
      </c>
      <c r="BC426" t="str">
        <f t="shared" si="250"/>
        <v>-</v>
      </c>
      <c r="BD426" s="29" t="str">
        <f t="shared" si="251"/>
        <v>-</v>
      </c>
      <c r="BE426" s="29" t="str">
        <f t="shared" si="252"/>
        <v>-</v>
      </c>
    </row>
    <row r="427" spans="1:57" ht="15" x14ac:dyDescent="0.2">
      <c r="A427" s="2">
        <v>692</v>
      </c>
      <c r="B427" s="2" t="str">
        <f t="shared" si="217"/>
        <v>0692</v>
      </c>
      <c r="C427" t="str">
        <f t="shared" si="218"/>
        <v>ORD-SP-0692-03/06/24</v>
      </c>
      <c r="D427" s="3" t="s">
        <v>688</v>
      </c>
      <c r="E427" t="str">
        <f t="shared" si="219"/>
        <v>SP002</v>
      </c>
      <c r="F427" t="str">
        <f>INDEX(Katalog!$B$4:$B$13,MATCH('Main Data'!E427,Katalog!$C$4:$C$13,0))</f>
        <v>Sandal Slip On</v>
      </c>
      <c r="G427" t="str">
        <f>VLOOKUP(E427,Katalog!$A$15:$B$25,2,0)</f>
        <v>Sepatu Pria</v>
      </c>
      <c r="H427" t="str">
        <f t="shared" si="220"/>
        <v>1</v>
      </c>
      <c r="I427" t="str">
        <f t="shared" si="221"/>
        <v>3</v>
      </c>
      <c r="J427" s="18">
        <f>VLOOKUP(E427,Katalog!$C$3:$F$13,2,0)</f>
        <v>120000</v>
      </c>
      <c r="K427" s="18">
        <f>VLOOKUP(E427,Katalog!$C$3:$F$13,3,0)</f>
        <v>60000</v>
      </c>
      <c r="L427" t="str">
        <f t="shared" si="222"/>
        <v>SP001</v>
      </c>
      <c r="M427" t="str">
        <f>IFERROR(INDEX(Katalog!$B$4:$B$13,MATCH('Main Data'!L427,Katalog!$C$4:$C$13,0)), "-")</f>
        <v>Sneakers</v>
      </c>
      <c r="N427" t="str">
        <f>IFERROR(VLOOKUP(L427,Katalog!$A$15:$B$25,2,0),"-")</f>
        <v>Sepatu Pria</v>
      </c>
      <c r="O427" t="str">
        <f t="shared" si="223"/>
        <v>2</v>
      </c>
      <c r="P427" t="str">
        <f t="shared" si="224"/>
        <v>2</v>
      </c>
      <c r="Q427" s="18">
        <f>IFERROR(VLOOKUP(L427,Katalog!$C$3:$F$13,2,0),0)</f>
        <v>300000</v>
      </c>
      <c r="R427" s="18">
        <f>IFERROR(VLOOKUP(L427,Katalog!$C$3:$F$13,3,0),0)</f>
        <v>100000</v>
      </c>
      <c r="S427" t="str">
        <f t="shared" si="225"/>
        <v>PW001</v>
      </c>
      <c r="T427" t="str">
        <f>IFERROR(INDEX(Katalog!$B$4:$B$13,MATCH('Main Data'!S427,Katalog!$C$4:$C$13,0)),"-")</f>
        <v>Dress</v>
      </c>
      <c r="U427" t="str">
        <f>IFERROR(VLOOKUP(S427,Katalog!$A$15:$B$25,2,0),"-")</f>
        <v>Pakaian Wanita</v>
      </c>
      <c r="V427" t="str">
        <f t="shared" si="226"/>
        <v>3</v>
      </c>
      <c r="W427" s="28" t="str">
        <f t="shared" si="227"/>
        <v>4</v>
      </c>
      <c r="X427" s="18">
        <f>IFERROR(VLOOKUP(S427,Katalog!$C$3:$F$13,2,0),0)</f>
        <v>150000</v>
      </c>
      <c r="Y427" s="30">
        <f>IFERROR(VLOOKUP(S427,Katalog!$C$3:$F$13,3,0),0)</f>
        <v>55000</v>
      </c>
      <c r="Z427" s="2">
        <f t="shared" si="228"/>
        <v>6</v>
      </c>
      <c r="AA427" s="4">
        <f t="shared" si="229"/>
        <v>1170000</v>
      </c>
      <c r="AB427" s="4">
        <f t="shared" si="230"/>
        <v>425000</v>
      </c>
      <c r="AC427" s="4" t="s">
        <v>12</v>
      </c>
      <c r="AD427" s="16">
        <f>IFERROR(VLOOKUP(AC427,'Kode Diskon'!$C$2:$D$9,2,0),0)</f>
        <v>0.15</v>
      </c>
      <c r="AE427" s="31">
        <f t="shared" si="231"/>
        <v>175500</v>
      </c>
      <c r="AF427" s="31">
        <f t="shared" si="232"/>
        <v>994500</v>
      </c>
      <c r="AG427" s="31">
        <f t="shared" si="233"/>
        <v>745000</v>
      </c>
      <c r="AH427" s="31">
        <f t="shared" si="234"/>
        <v>569500</v>
      </c>
      <c r="AI427" s="4" t="s">
        <v>28</v>
      </c>
      <c r="AJ427" s="4" t="s">
        <v>6</v>
      </c>
      <c r="AK427" s="4" t="str">
        <f>IFERROR(VLOOKUP(AJ427,'Guide '!$A$13:$B$16,2,0),"-")</f>
        <v>SP</v>
      </c>
      <c r="AL427" s="4" t="s">
        <v>923</v>
      </c>
      <c r="AM427" s="40">
        <v>45446</v>
      </c>
      <c r="AN427">
        <f t="shared" si="235"/>
        <v>29</v>
      </c>
      <c r="AO427">
        <f t="shared" si="236"/>
        <v>32</v>
      </c>
      <c r="AP427">
        <f t="shared" si="237"/>
        <v>40</v>
      </c>
      <c r="AQ427">
        <f t="shared" si="238"/>
        <v>43</v>
      </c>
      <c r="AR427" s="26">
        <f t="shared" si="239"/>
        <v>56</v>
      </c>
      <c r="AS427" s="26">
        <f t="shared" si="240"/>
        <v>63</v>
      </c>
      <c r="AT427" s="21">
        <f t="shared" si="241"/>
        <v>12</v>
      </c>
      <c r="AU427" s="21">
        <f t="shared" si="242"/>
        <v>19</v>
      </c>
      <c r="AV427">
        <f t="shared" si="243"/>
        <v>73</v>
      </c>
      <c r="AW427">
        <f t="shared" si="244"/>
        <v>76</v>
      </c>
      <c r="AX427">
        <f t="shared" si="245"/>
        <v>84</v>
      </c>
      <c r="AY427">
        <f t="shared" si="246"/>
        <v>87</v>
      </c>
      <c r="AZ427">
        <f t="shared" si="247"/>
        <v>100</v>
      </c>
      <c r="BA427">
        <f t="shared" si="248"/>
        <v>107</v>
      </c>
      <c r="BB427">
        <f t="shared" si="249"/>
        <v>117</v>
      </c>
      <c r="BC427">
        <f t="shared" si="250"/>
        <v>120</v>
      </c>
      <c r="BD427" s="29">
        <f t="shared" si="251"/>
        <v>128</v>
      </c>
      <c r="BE427" s="29">
        <f t="shared" si="252"/>
        <v>131</v>
      </c>
    </row>
    <row r="428" spans="1:57" ht="15" x14ac:dyDescent="0.2">
      <c r="A428" s="2">
        <v>701</v>
      </c>
      <c r="B428" s="2" t="str">
        <f t="shared" si="217"/>
        <v>0701</v>
      </c>
      <c r="C428" t="str">
        <f t="shared" si="218"/>
        <v>ORD-TK-0701-03/06/24</v>
      </c>
      <c r="D428" s="3" t="s">
        <v>116</v>
      </c>
      <c r="E428" t="str">
        <f t="shared" si="219"/>
        <v>PP003</v>
      </c>
      <c r="F428" t="str">
        <f>INDEX(Katalog!$B$4:$B$13,MATCH('Main Data'!E428,Katalog!$C$4:$C$13,0))</f>
        <v>Jaket Jeans</v>
      </c>
      <c r="G428" t="str">
        <f>VLOOKUP(E428,Katalog!$A$15:$B$25,2,0)</f>
        <v>Pakaian Pria</v>
      </c>
      <c r="H428" t="str">
        <f t="shared" si="220"/>
        <v>1</v>
      </c>
      <c r="I428" t="str">
        <f t="shared" si="221"/>
        <v>5</v>
      </c>
      <c r="J428" s="18">
        <f>VLOOKUP(E428,Katalog!$C$3:$F$13,2,0)</f>
        <v>150000</v>
      </c>
      <c r="K428" s="18">
        <f>VLOOKUP(E428,Katalog!$C$3:$F$13,3,0)</f>
        <v>70000</v>
      </c>
      <c r="L428" t="str">
        <f t="shared" si="222"/>
        <v>-</v>
      </c>
      <c r="M428" t="str">
        <f>IFERROR(INDEX(Katalog!$B$4:$B$13,MATCH('Main Data'!L428,Katalog!$C$4:$C$13,0)), "-")</f>
        <v>-</v>
      </c>
      <c r="N428" t="str">
        <f>IFERROR(VLOOKUP(L428,Katalog!$A$15:$B$25,2,0),"-")</f>
        <v>-</v>
      </c>
      <c r="O428">
        <f t="shared" si="223"/>
        <v>0</v>
      </c>
      <c r="P428" t="str">
        <f t="shared" si="224"/>
        <v>-</v>
      </c>
      <c r="Q428" s="18">
        <f>IFERROR(VLOOKUP(L428,Katalog!$C$3:$F$13,2,0),0)</f>
        <v>0</v>
      </c>
      <c r="R428" s="18">
        <f>IFERROR(VLOOKUP(L428,Katalog!$C$3:$F$13,3,0),0)</f>
        <v>0</v>
      </c>
      <c r="S428" t="str">
        <f t="shared" si="225"/>
        <v>-</v>
      </c>
      <c r="T428" t="str">
        <f>IFERROR(INDEX(Katalog!$B$4:$B$13,MATCH('Main Data'!S428,Katalog!$C$4:$C$13,0)),"-")</f>
        <v>-</v>
      </c>
      <c r="U428" t="str">
        <f>IFERROR(VLOOKUP(S428,Katalog!$A$15:$B$25,2,0),"-")</f>
        <v>-</v>
      </c>
      <c r="V428">
        <f t="shared" si="226"/>
        <v>0</v>
      </c>
      <c r="W428" s="28" t="str">
        <f t="shared" si="227"/>
        <v>-</v>
      </c>
      <c r="X428" s="18">
        <f>IFERROR(VLOOKUP(S428,Katalog!$C$3:$F$13,2,0),0)</f>
        <v>0</v>
      </c>
      <c r="Y428" s="30">
        <f>IFERROR(VLOOKUP(S428,Katalog!$C$3:$F$13,3,0),0)</f>
        <v>0</v>
      </c>
      <c r="Z428" s="2">
        <f t="shared" si="228"/>
        <v>1</v>
      </c>
      <c r="AA428" s="4">
        <f t="shared" si="229"/>
        <v>150000</v>
      </c>
      <c r="AB428" s="4">
        <f t="shared" si="230"/>
        <v>70000</v>
      </c>
      <c r="AC428" s="4" t="s">
        <v>30</v>
      </c>
      <c r="AD428" s="16">
        <f>IFERROR(VLOOKUP(AC428,'Kode Diskon'!$C$2:$D$9,2,0),0)</f>
        <v>0.1</v>
      </c>
      <c r="AE428" s="31">
        <f t="shared" si="231"/>
        <v>15000</v>
      </c>
      <c r="AF428" s="31">
        <f t="shared" si="232"/>
        <v>135000</v>
      </c>
      <c r="AG428" s="31">
        <f t="shared" si="233"/>
        <v>80000</v>
      </c>
      <c r="AH428" s="31">
        <f t="shared" si="234"/>
        <v>65000</v>
      </c>
      <c r="AI428" s="4" t="s">
        <v>8</v>
      </c>
      <c r="AJ428" s="4" t="s">
        <v>9</v>
      </c>
      <c r="AK428" s="4" t="str">
        <f>IFERROR(VLOOKUP(AJ428,'Guide '!$A$13:$B$16,2,0),"-")</f>
        <v>TK</v>
      </c>
      <c r="AL428" s="4" t="s">
        <v>925</v>
      </c>
      <c r="AM428" s="40">
        <v>45446</v>
      </c>
      <c r="AN428">
        <f t="shared" si="235"/>
        <v>29</v>
      </c>
      <c r="AO428">
        <f t="shared" si="236"/>
        <v>32</v>
      </c>
      <c r="AP428">
        <f t="shared" si="237"/>
        <v>40</v>
      </c>
      <c r="AQ428">
        <f t="shared" si="238"/>
        <v>43</v>
      </c>
      <c r="AR428" s="26" t="str">
        <f t="shared" si="239"/>
        <v>-</v>
      </c>
      <c r="AS428" s="26" t="str">
        <f t="shared" si="240"/>
        <v>-</v>
      </c>
      <c r="AT428" s="21">
        <f t="shared" si="241"/>
        <v>12</v>
      </c>
      <c r="AU428" s="21">
        <f t="shared" si="242"/>
        <v>19</v>
      </c>
      <c r="AV428" t="str">
        <f t="shared" si="243"/>
        <v>-</v>
      </c>
      <c r="AW428" t="str">
        <f t="shared" si="244"/>
        <v>-</v>
      </c>
      <c r="AX428" t="str">
        <f t="shared" si="245"/>
        <v>-</v>
      </c>
      <c r="AY428" t="str">
        <f t="shared" si="246"/>
        <v>-</v>
      </c>
      <c r="AZ428" t="str">
        <f t="shared" si="247"/>
        <v>-</v>
      </c>
      <c r="BA428" t="str">
        <f t="shared" si="248"/>
        <v>-</v>
      </c>
      <c r="BB428" t="str">
        <f t="shared" si="249"/>
        <v>-</v>
      </c>
      <c r="BC428" t="str">
        <f t="shared" si="250"/>
        <v>-</v>
      </c>
      <c r="BD428" s="29" t="str">
        <f t="shared" si="251"/>
        <v>-</v>
      </c>
      <c r="BE428" s="29" t="str">
        <f t="shared" si="252"/>
        <v>-</v>
      </c>
    </row>
    <row r="429" spans="1:57" ht="15" x14ac:dyDescent="0.2">
      <c r="A429" s="2">
        <v>859</v>
      </c>
      <c r="B429" s="2" t="str">
        <f t="shared" si="217"/>
        <v>0859</v>
      </c>
      <c r="C429" t="str">
        <f t="shared" si="218"/>
        <v>ORD-TK-0859-03/06/24</v>
      </c>
      <c r="D429" s="3" t="s">
        <v>263</v>
      </c>
      <c r="E429" t="str">
        <f t="shared" si="219"/>
        <v>PW002</v>
      </c>
      <c r="F429" t="str">
        <f>INDEX(Katalog!$B$4:$B$13,MATCH('Main Data'!E429,Katalog!$C$4:$C$13,0))</f>
        <v>Blouse</v>
      </c>
      <c r="G429" t="str">
        <f>VLOOKUP(E429,Katalog!$A$15:$B$25,2,0)</f>
        <v>Pakaian Wanita</v>
      </c>
      <c r="H429" t="str">
        <f t="shared" si="220"/>
        <v>1</v>
      </c>
      <c r="I429" t="str">
        <f t="shared" si="221"/>
        <v>3</v>
      </c>
      <c r="J429" s="18">
        <f>VLOOKUP(E429,Katalog!$C$3:$F$13,2,0)</f>
        <v>125000</v>
      </c>
      <c r="K429" s="18">
        <f>VLOOKUP(E429,Katalog!$C$3:$F$13,3,0)</f>
        <v>50000</v>
      </c>
      <c r="L429" t="str">
        <f t="shared" si="222"/>
        <v>-</v>
      </c>
      <c r="M429" t="str">
        <f>IFERROR(INDEX(Katalog!$B$4:$B$13,MATCH('Main Data'!L429,Katalog!$C$4:$C$13,0)), "-")</f>
        <v>-</v>
      </c>
      <c r="N429" t="str">
        <f>IFERROR(VLOOKUP(L429,Katalog!$A$15:$B$25,2,0),"-")</f>
        <v>-</v>
      </c>
      <c r="O429">
        <f t="shared" si="223"/>
        <v>0</v>
      </c>
      <c r="P429" t="str">
        <f t="shared" si="224"/>
        <v>-</v>
      </c>
      <c r="Q429" s="18">
        <f>IFERROR(VLOOKUP(L429,Katalog!$C$3:$F$13,2,0),0)</f>
        <v>0</v>
      </c>
      <c r="R429" s="18">
        <f>IFERROR(VLOOKUP(L429,Katalog!$C$3:$F$13,3,0),0)</f>
        <v>0</v>
      </c>
      <c r="S429" t="str">
        <f t="shared" si="225"/>
        <v>-</v>
      </c>
      <c r="T429" t="str">
        <f>IFERROR(INDEX(Katalog!$B$4:$B$13,MATCH('Main Data'!S429,Katalog!$C$4:$C$13,0)),"-")</f>
        <v>-</v>
      </c>
      <c r="U429" t="str">
        <f>IFERROR(VLOOKUP(S429,Katalog!$A$15:$B$25,2,0),"-")</f>
        <v>-</v>
      </c>
      <c r="V429">
        <f t="shared" si="226"/>
        <v>0</v>
      </c>
      <c r="W429" s="28" t="str">
        <f t="shared" si="227"/>
        <v>-</v>
      </c>
      <c r="X429" s="18">
        <f>IFERROR(VLOOKUP(S429,Katalog!$C$3:$F$13,2,0),0)</f>
        <v>0</v>
      </c>
      <c r="Y429" s="30">
        <f>IFERROR(VLOOKUP(S429,Katalog!$C$3:$F$13,3,0),0)</f>
        <v>0</v>
      </c>
      <c r="Z429" s="2">
        <f t="shared" si="228"/>
        <v>1</v>
      </c>
      <c r="AA429" s="4">
        <f t="shared" si="229"/>
        <v>125000</v>
      </c>
      <c r="AB429" s="4">
        <f t="shared" si="230"/>
        <v>50000</v>
      </c>
      <c r="AC429" s="4" t="s">
        <v>10</v>
      </c>
      <c r="AD429" s="16">
        <f>IFERROR(VLOOKUP(AC429,'Kode Diskon'!$C$2:$D$9,2,0),0)</f>
        <v>0</v>
      </c>
      <c r="AE429" s="31">
        <f t="shared" si="231"/>
        <v>0</v>
      </c>
      <c r="AF429" s="31">
        <f t="shared" si="232"/>
        <v>125000</v>
      </c>
      <c r="AG429" s="31">
        <f t="shared" si="233"/>
        <v>75000</v>
      </c>
      <c r="AH429" s="31">
        <f t="shared" si="234"/>
        <v>75000</v>
      </c>
      <c r="AI429" s="4" t="s">
        <v>10</v>
      </c>
      <c r="AJ429" s="4" t="s">
        <v>9</v>
      </c>
      <c r="AK429" s="4" t="str">
        <f>IFERROR(VLOOKUP(AJ429,'Guide '!$A$13:$B$16,2,0),"-")</f>
        <v>TK</v>
      </c>
      <c r="AL429" s="4" t="s">
        <v>922</v>
      </c>
      <c r="AM429" s="40">
        <v>45446</v>
      </c>
      <c r="AN429">
        <f t="shared" si="235"/>
        <v>29</v>
      </c>
      <c r="AO429">
        <f t="shared" si="236"/>
        <v>32</v>
      </c>
      <c r="AP429">
        <f t="shared" si="237"/>
        <v>40</v>
      </c>
      <c r="AQ429">
        <f t="shared" si="238"/>
        <v>43</v>
      </c>
      <c r="AR429" s="26" t="str">
        <f t="shared" si="239"/>
        <v>-</v>
      </c>
      <c r="AS429" s="26" t="str">
        <f t="shared" si="240"/>
        <v>-</v>
      </c>
      <c r="AT429" s="21">
        <f t="shared" si="241"/>
        <v>12</v>
      </c>
      <c r="AU429" s="21">
        <f t="shared" si="242"/>
        <v>19</v>
      </c>
      <c r="AV429" t="str">
        <f t="shared" si="243"/>
        <v>-</v>
      </c>
      <c r="AW429" t="str">
        <f t="shared" si="244"/>
        <v>-</v>
      </c>
      <c r="AX429" t="str">
        <f t="shared" si="245"/>
        <v>-</v>
      </c>
      <c r="AY429" t="str">
        <f t="shared" si="246"/>
        <v>-</v>
      </c>
      <c r="AZ429" t="str">
        <f t="shared" si="247"/>
        <v>-</v>
      </c>
      <c r="BA429" t="str">
        <f t="shared" si="248"/>
        <v>-</v>
      </c>
      <c r="BB429" t="str">
        <f t="shared" si="249"/>
        <v>-</v>
      </c>
      <c r="BC429" t="str">
        <f t="shared" si="250"/>
        <v>-</v>
      </c>
      <c r="BD429" s="29" t="str">
        <f t="shared" si="251"/>
        <v>-</v>
      </c>
      <c r="BE429" s="29" t="str">
        <f t="shared" si="252"/>
        <v>-</v>
      </c>
    </row>
    <row r="430" spans="1:57" ht="15" x14ac:dyDescent="0.2">
      <c r="A430" s="2">
        <v>236</v>
      </c>
      <c r="B430" s="2" t="str">
        <f t="shared" si="217"/>
        <v>0236</v>
      </c>
      <c r="C430" t="str">
        <f t="shared" si="218"/>
        <v>ORD-TK-0236-04/06/24</v>
      </c>
      <c r="D430" s="3" t="s">
        <v>302</v>
      </c>
      <c r="E430" t="str">
        <f t="shared" si="219"/>
        <v>PP001</v>
      </c>
      <c r="F430" t="str">
        <f>INDEX(Katalog!$B$4:$B$13,MATCH('Main Data'!E430,Katalog!$C$4:$C$13,0))</f>
        <v>Kaos Polo</v>
      </c>
      <c r="G430" t="str">
        <f>VLOOKUP(E430,Katalog!$A$15:$B$25,2,0)</f>
        <v>Pakaian Pria</v>
      </c>
      <c r="H430" t="str">
        <f t="shared" si="220"/>
        <v>1</v>
      </c>
      <c r="I430" t="str">
        <f t="shared" si="221"/>
        <v>2</v>
      </c>
      <c r="J430" s="18">
        <f>VLOOKUP(E430,Katalog!$C$3:$F$13,2,0)</f>
        <v>80000</v>
      </c>
      <c r="K430" s="18">
        <f>VLOOKUP(E430,Katalog!$C$3:$F$13,3,0)</f>
        <v>30000</v>
      </c>
      <c r="L430" t="str">
        <f t="shared" si="222"/>
        <v>-</v>
      </c>
      <c r="M430" t="str">
        <f>IFERROR(INDEX(Katalog!$B$4:$B$13,MATCH('Main Data'!L430,Katalog!$C$4:$C$13,0)), "-")</f>
        <v>-</v>
      </c>
      <c r="N430" t="str">
        <f>IFERROR(VLOOKUP(L430,Katalog!$A$15:$B$25,2,0),"-")</f>
        <v>-</v>
      </c>
      <c r="O430">
        <f t="shared" si="223"/>
        <v>0</v>
      </c>
      <c r="P430" t="str">
        <f t="shared" si="224"/>
        <v>-</v>
      </c>
      <c r="Q430" s="18">
        <f>IFERROR(VLOOKUP(L430,Katalog!$C$3:$F$13,2,0),0)</f>
        <v>0</v>
      </c>
      <c r="R430" s="18">
        <f>IFERROR(VLOOKUP(L430,Katalog!$C$3:$F$13,3,0),0)</f>
        <v>0</v>
      </c>
      <c r="S430" t="str">
        <f t="shared" si="225"/>
        <v>-</v>
      </c>
      <c r="T430" t="str">
        <f>IFERROR(INDEX(Katalog!$B$4:$B$13,MATCH('Main Data'!S430,Katalog!$C$4:$C$13,0)),"-")</f>
        <v>-</v>
      </c>
      <c r="U430" t="str">
        <f>IFERROR(VLOOKUP(S430,Katalog!$A$15:$B$25,2,0),"-")</f>
        <v>-</v>
      </c>
      <c r="V430">
        <f t="shared" si="226"/>
        <v>0</v>
      </c>
      <c r="W430" s="28" t="str">
        <f t="shared" si="227"/>
        <v>-</v>
      </c>
      <c r="X430" s="18">
        <f>IFERROR(VLOOKUP(S430,Katalog!$C$3:$F$13,2,0),0)</f>
        <v>0</v>
      </c>
      <c r="Y430" s="30">
        <f>IFERROR(VLOOKUP(S430,Katalog!$C$3:$F$13,3,0),0)</f>
        <v>0</v>
      </c>
      <c r="Z430" s="2">
        <f t="shared" si="228"/>
        <v>1</v>
      </c>
      <c r="AA430" s="4">
        <f t="shared" si="229"/>
        <v>80000</v>
      </c>
      <c r="AB430" s="4">
        <f t="shared" si="230"/>
        <v>30000</v>
      </c>
      <c r="AC430" s="4" t="s">
        <v>30</v>
      </c>
      <c r="AD430" s="16">
        <f>IFERROR(VLOOKUP(AC430,'Kode Diskon'!$C$2:$D$9,2,0),0)</f>
        <v>0.1</v>
      </c>
      <c r="AE430" s="31">
        <f t="shared" si="231"/>
        <v>8000</v>
      </c>
      <c r="AF430" s="31">
        <f t="shared" si="232"/>
        <v>72000</v>
      </c>
      <c r="AG430" s="31">
        <f t="shared" si="233"/>
        <v>50000</v>
      </c>
      <c r="AH430" s="31">
        <f t="shared" si="234"/>
        <v>42000</v>
      </c>
      <c r="AI430" s="4" t="s">
        <v>8</v>
      </c>
      <c r="AJ430" s="4" t="s">
        <v>9</v>
      </c>
      <c r="AK430" s="4" t="str">
        <f>IFERROR(VLOOKUP(AJ430,'Guide '!$A$13:$B$16,2,0),"-")</f>
        <v>TK</v>
      </c>
      <c r="AL430" s="4" t="s">
        <v>923</v>
      </c>
      <c r="AM430" s="40">
        <v>45447</v>
      </c>
      <c r="AN430">
        <f t="shared" si="235"/>
        <v>29</v>
      </c>
      <c r="AO430">
        <f t="shared" si="236"/>
        <v>32</v>
      </c>
      <c r="AP430">
        <f t="shared" si="237"/>
        <v>40</v>
      </c>
      <c r="AQ430">
        <f t="shared" si="238"/>
        <v>43</v>
      </c>
      <c r="AR430" s="26" t="str">
        <f t="shared" si="239"/>
        <v>-</v>
      </c>
      <c r="AS430" s="26" t="str">
        <f t="shared" si="240"/>
        <v>-</v>
      </c>
      <c r="AT430" s="21">
        <f t="shared" si="241"/>
        <v>12</v>
      </c>
      <c r="AU430" s="21">
        <f t="shared" si="242"/>
        <v>19</v>
      </c>
      <c r="AV430" t="str">
        <f t="shared" si="243"/>
        <v>-</v>
      </c>
      <c r="AW430" t="str">
        <f t="shared" si="244"/>
        <v>-</v>
      </c>
      <c r="AX430" t="str">
        <f t="shared" si="245"/>
        <v>-</v>
      </c>
      <c r="AY430" t="str">
        <f t="shared" si="246"/>
        <v>-</v>
      </c>
      <c r="AZ430" t="str">
        <f t="shared" si="247"/>
        <v>-</v>
      </c>
      <c r="BA430" t="str">
        <f t="shared" si="248"/>
        <v>-</v>
      </c>
      <c r="BB430" t="str">
        <f t="shared" si="249"/>
        <v>-</v>
      </c>
      <c r="BC430" t="str">
        <f t="shared" si="250"/>
        <v>-</v>
      </c>
      <c r="BD430" s="29" t="str">
        <f t="shared" si="251"/>
        <v>-</v>
      </c>
      <c r="BE430" s="29" t="str">
        <f t="shared" si="252"/>
        <v>-</v>
      </c>
    </row>
    <row r="431" spans="1:57" ht="15" x14ac:dyDescent="0.2">
      <c r="A431" s="2">
        <v>340</v>
      </c>
      <c r="B431" s="2" t="str">
        <f t="shared" si="217"/>
        <v>0340</v>
      </c>
      <c r="C431" t="str">
        <f t="shared" si="218"/>
        <v>ORD-SP-0340-05/06/24</v>
      </c>
      <c r="D431" s="3" t="s">
        <v>392</v>
      </c>
      <c r="E431" t="str">
        <f t="shared" si="219"/>
        <v>SW001</v>
      </c>
      <c r="F431" t="str">
        <f>INDEX(Katalog!$B$4:$B$13,MATCH('Main Data'!E431,Katalog!$C$4:$C$13,0))</f>
        <v>Flat Shoes</v>
      </c>
      <c r="G431" t="str">
        <f>VLOOKUP(E431,Katalog!$A$15:$B$25,2,0)</f>
        <v>Sepatu Wanita</v>
      </c>
      <c r="H431" t="str">
        <f t="shared" si="220"/>
        <v>1</v>
      </c>
      <c r="I431" t="str">
        <f t="shared" si="221"/>
        <v>5</v>
      </c>
      <c r="J431" s="18">
        <f>VLOOKUP(E431,Katalog!$C$3:$F$13,2,0)</f>
        <v>150000</v>
      </c>
      <c r="K431" s="18">
        <f>VLOOKUP(E431,Katalog!$C$3:$F$13,3,0)</f>
        <v>70000</v>
      </c>
      <c r="L431" t="str">
        <f t="shared" si="222"/>
        <v>PP001</v>
      </c>
      <c r="M431" t="str">
        <f>IFERROR(INDEX(Katalog!$B$4:$B$13,MATCH('Main Data'!L431,Katalog!$C$4:$C$13,0)), "-")</f>
        <v>Kaos Polo</v>
      </c>
      <c r="N431" t="str">
        <f>IFERROR(VLOOKUP(L431,Katalog!$A$15:$B$25,2,0),"-")</f>
        <v>Pakaian Pria</v>
      </c>
      <c r="O431" t="str">
        <f t="shared" si="223"/>
        <v>1</v>
      </c>
      <c r="P431" t="str">
        <f t="shared" si="224"/>
        <v>1</v>
      </c>
      <c r="Q431" s="18">
        <f>IFERROR(VLOOKUP(L431,Katalog!$C$3:$F$13,2,0),0)</f>
        <v>80000</v>
      </c>
      <c r="R431" s="18">
        <f>IFERROR(VLOOKUP(L431,Katalog!$C$3:$F$13,3,0),0)</f>
        <v>30000</v>
      </c>
      <c r="S431" t="str">
        <f t="shared" si="225"/>
        <v>-</v>
      </c>
      <c r="T431" t="str">
        <f>IFERROR(INDEX(Katalog!$B$4:$B$13,MATCH('Main Data'!S431,Katalog!$C$4:$C$13,0)),"-")</f>
        <v>-</v>
      </c>
      <c r="U431" t="str">
        <f>IFERROR(VLOOKUP(S431,Katalog!$A$15:$B$25,2,0),"-")</f>
        <v>-</v>
      </c>
      <c r="V431">
        <f t="shared" si="226"/>
        <v>0</v>
      </c>
      <c r="W431" s="28" t="str">
        <f t="shared" si="227"/>
        <v>-</v>
      </c>
      <c r="X431" s="18">
        <f>IFERROR(VLOOKUP(S431,Katalog!$C$3:$F$13,2,0),0)</f>
        <v>0</v>
      </c>
      <c r="Y431" s="30">
        <f>IFERROR(VLOOKUP(S431,Katalog!$C$3:$F$13,3,0),0)</f>
        <v>0</v>
      </c>
      <c r="Z431" s="2">
        <f t="shared" si="228"/>
        <v>2</v>
      </c>
      <c r="AA431" s="4">
        <f t="shared" si="229"/>
        <v>230000</v>
      </c>
      <c r="AB431" s="4">
        <f t="shared" si="230"/>
        <v>100000</v>
      </c>
      <c r="AC431" s="4" t="s">
        <v>5</v>
      </c>
      <c r="AD431" s="16">
        <f>IFERROR(VLOOKUP(AC431,'Kode Diskon'!$C$2:$D$9,2,0),0)</f>
        <v>0.1</v>
      </c>
      <c r="AE431" s="31">
        <f t="shared" si="231"/>
        <v>23000</v>
      </c>
      <c r="AF431" s="31">
        <f t="shared" si="232"/>
        <v>207000</v>
      </c>
      <c r="AG431" s="31">
        <f t="shared" si="233"/>
        <v>130000</v>
      </c>
      <c r="AH431" s="31">
        <f t="shared" si="234"/>
        <v>107000</v>
      </c>
      <c r="AI431" s="4" t="s">
        <v>28</v>
      </c>
      <c r="AJ431" s="4" t="s">
        <v>6</v>
      </c>
      <c r="AK431" s="4" t="str">
        <f>IFERROR(VLOOKUP(AJ431,'Guide '!$A$13:$B$16,2,0),"-")</f>
        <v>SP</v>
      </c>
      <c r="AL431" s="4" t="s">
        <v>925</v>
      </c>
      <c r="AM431" s="40">
        <v>45448</v>
      </c>
      <c r="AN431">
        <f t="shared" si="235"/>
        <v>29</v>
      </c>
      <c r="AO431">
        <f t="shared" si="236"/>
        <v>32</v>
      </c>
      <c r="AP431">
        <f t="shared" si="237"/>
        <v>40</v>
      </c>
      <c r="AQ431">
        <f t="shared" si="238"/>
        <v>43</v>
      </c>
      <c r="AR431" s="26">
        <f t="shared" si="239"/>
        <v>56</v>
      </c>
      <c r="AS431" s="26">
        <f t="shared" si="240"/>
        <v>63</v>
      </c>
      <c r="AT431" s="21">
        <f t="shared" si="241"/>
        <v>12</v>
      </c>
      <c r="AU431" s="21">
        <f t="shared" si="242"/>
        <v>19</v>
      </c>
      <c r="AV431">
        <f t="shared" si="243"/>
        <v>73</v>
      </c>
      <c r="AW431">
        <f t="shared" si="244"/>
        <v>76</v>
      </c>
      <c r="AX431">
        <f t="shared" si="245"/>
        <v>84</v>
      </c>
      <c r="AY431">
        <f t="shared" si="246"/>
        <v>87</v>
      </c>
      <c r="AZ431" t="str">
        <f t="shared" si="247"/>
        <v>-</v>
      </c>
      <c r="BA431" t="str">
        <f t="shared" si="248"/>
        <v>-</v>
      </c>
      <c r="BB431" t="str">
        <f t="shared" si="249"/>
        <v>-</v>
      </c>
      <c r="BC431" t="str">
        <f t="shared" si="250"/>
        <v>-</v>
      </c>
      <c r="BD431" s="29" t="str">
        <f t="shared" si="251"/>
        <v>-</v>
      </c>
      <c r="BE431" s="29" t="str">
        <f t="shared" si="252"/>
        <v>-</v>
      </c>
    </row>
    <row r="432" spans="1:57" ht="15" x14ac:dyDescent="0.2">
      <c r="A432" s="2">
        <v>428</v>
      </c>
      <c r="B432" s="2" t="str">
        <f t="shared" si="217"/>
        <v>0428</v>
      </c>
      <c r="C432" t="str">
        <f t="shared" si="218"/>
        <v>ORD-SP-0428-05/06/24</v>
      </c>
      <c r="D432" s="3" t="s">
        <v>322</v>
      </c>
      <c r="E432" t="str">
        <f t="shared" si="219"/>
        <v>SW001</v>
      </c>
      <c r="F432" t="str">
        <f>INDEX(Katalog!$B$4:$B$13,MATCH('Main Data'!E432,Katalog!$C$4:$C$13,0))</f>
        <v>Flat Shoes</v>
      </c>
      <c r="G432" t="str">
        <f>VLOOKUP(E432,Katalog!$A$15:$B$25,2,0)</f>
        <v>Sepatu Wanita</v>
      </c>
      <c r="H432" t="str">
        <f t="shared" si="220"/>
        <v>1</v>
      </c>
      <c r="I432" t="str">
        <f t="shared" si="221"/>
        <v>1</v>
      </c>
      <c r="J432" s="18">
        <f>VLOOKUP(E432,Katalog!$C$3:$F$13,2,0)</f>
        <v>150000</v>
      </c>
      <c r="K432" s="18">
        <f>VLOOKUP(E432,Katalog!$C$3:$F$13,3,0)</f>
        <v>70000</v>
      </c>
      <c r="L432" t="str">
        <f t="shared" si="222"/>
        <v>-</v>
      </c>
      <c r="M432" t="str">
        <f>IFERROR(INDEX(Katalog!$B$4:$B$13,MATCH('Main Data'!L432,Katalog!$C$4:$C$13,0)), "-")</f>
        <v>-</v>
      </c>
      <c r="N432" t="str">
        <f>IFERROR(VLOOKUP(L432,Katalog!$A$15:$B$25,2,0),"-")</f>
        <v>-</v>
      </c>
      <c r="O432">
        <f t="shared" si="223"/>
        <v>0</v>
      </c>
      <c r="P432" t="str">
        <f t="shared" si="224"/>
        <v>-</v>
      </c>
      <c r="Q432" s="18">
        <f>IFERROR(VLOOKUP(L432,Katalog!$C$3:$F$13,2,0),0)</f>
        <v>0</v>
      </c>
      <c r="R432" s="18">
        <f>IFERROR(VLOOKUP(L432,Katalog!$C$3:$F$13,3,0),0)</f>
        <v>0</v>
      </c>
      <c r="S432" t="str">
        <f t="shared" si="225"/>
        <v>-</v>
      </c>
      <c r="T432" t="str">
        <f>IFERROR(INDEX(Katalog!$B$4:$B$13,MATCH('Main Data'!S432,Katalog!$C$4:$C$13,0)),"-")</f>
        <v>-</v>
      </c>
      <c r="U432" t="str">
        <f>IFERROR(VLOOKUP(S432,Katalog!$A$15:$B$25,2,0),"-")</f>
        <v>-</v>
      </c>
      <c r="V432">
        <f t="shared" si="226"/>
        <v>0</v>
      </c>
      <c r="W432" s="28" t="str">
        <f t="shared" si="227"/>
        <v>-</v>
      </c>
      <c r="X432" s="18">
        <f>IFERROR(VLOOKUP(S432,Katalog!$C$3:$F$13,2,0),0)</f>
        <v>0</v>
      </c>
      <c r="Y432" s="30">
        <f>IFERROR(VLOOKUP(S432,Katalog!$C$3:$F$13,3,0),0)</f>
        <v>0</v>
      </c>
      <c r="Z432" s="2">
        <f t="shared" si="228"/>
        <v>1</v>
      </c>
      <c r="AA432" s="4">
        <f t="shared" si="229"/>
        <v>150000</v>
      </c>
      <c r="AB432" s="4">
        <f t="shared" si="230"/>
        <v>70000</v>
      </c>
      <c r="AC432" s="4" t="s">
        <v>5</v>
      </c>
      <c r="AD432" s="16">
        <f>IFERROR(VLOOKUP(AC432,'Kode Diskon'!$C$2:$D$9,2,0),0)</f>
        <v>0.1</v>
      </c>
      <c r="AE432" s="31">
        <f t="shared" si="231"/>
        <v>15000</v>
      </c>
      <c r="AF432" s="31">
        <f t="shared" si="232"/>
        <v>135000</v>
      </c>
      <c r="AG432" s="31">
        <f t="shared" si="233"/>
        <v>80000</v>
      </c>
      <c r="AH432" s="31">
        <f t="shared" si="234"/>
        <v>65000</v>
      </c>
      <c r="AI432" s="4" t="s">
        <v>28</v>
      </c>
      <c r="AJ432" s="4" t="s">
        <v>6</v>
      </c>
      <c r="AK432" s="4" t="str">
        <f>IFERROR(VLOOKUP(AJ432,'Guide '!$A$13:$B$16,2,0),"-")</f>
        <v>SP</v>
      </c>
      <c r="AL432" s="4" t="s">
        <v>925</v>
      </c>
      <c r="AM432" s="40">
        <v>45448</v>
      </c>
      <c r="AN432">
        <f t="shared" si="235"/>
        <v>29</v>
      </c>
      <c r="AO432">
        <f t="shared" si="236"/>
        <v>32</v>
      </c>
      <c r="AP432">
        <f t="shared" si="237"/>
        <v>40</v>
      </c>
      <c r="AQ432">
        <f t="shared" si="238"/>
        <v>43</v>
      </c>
      <c r="AR432" s="26" t="str">
        <f t="shared" si="239"/>
        <v>-</v>
      </c>
      <c r="AS432" s="26" t="str">
        <f t="shared" si="240"/>
        <v>-</v>
      </c>
      <c r="AT432" s="21">
        <f t="shared" si="241"/>
        <v>12</v>
      </c>
      <c r="AU432" s="21">
        <f t="shared" si="242"/>
        <v>19</v>
      </c>
      <c r="AV432" t="str">
        <f t="shared" si="243"/>
        <v>-</v>
      </c>
      <c r="AW432" t="str">
        <f t="shared" si="244"/>
        <v>-</v>
      </c>
      <c r="AX432" t="str">
        <f t="shared" si="245"/>
        <v>-</v>
      </c>
      <c r="AY432" t="str">
        <f t="shared" si="246"/>
        <v>-</v>
      </c>
      <c r="AZ432" t="str">
        <f t="shared" si="247"/>
        <v>-</v>
      </c>
      <c r="BA432" t="str">
        <f t="shared" si="248"/>
        <v>-</v>
      </c>
      <c r="BB432" t="str">
        <f t="shared" si="249"/>
        <v>-</v>
      </c>
      <c r="BC432" t="str">
        <f t="shared" si="250"/>
        <v>-</v>
      </c>
      <c r="BD432" s="29" t="str">
        <f t="shared" si="251"/>
        <v>-</v>
      </c>
      <c r="BE432" s="29" t="str">
        <f t="shared" si="252"/>
        <v>-</v>
      </c>
    </row>
    <row r="433" spans="1:57" ht="15" x14ac:dyDescent="0.2">
      <c r="A433" s="2">
        <v>669</v>
      </c>
      <c r="B433" s="2" t="str">
        <f t="shared" si="217"/>
        <v>0669</v>
      </c>
      <c r="C433" t="str">
        <f t="shared" si="218"/>
        <v>ORD-SP-0669-05/06/24</v>
      </c>
      <c r="D433" s="3" t="s">
        <v>669</v>
      </c>
      <c r="E433" t="str">
        <f t="shared" si="219"/>
        <v>SW001</v>
      </c>
      <c r="F433" t="str">
        <f>INDEX(Katalog!$B$4:$B$13,MATCH('Main Data'!E433,Katalog!$C$4:$C$13,0))</f>
        <v>Flat Shoes</v>
      </c>
      <c r="G433" t="str">
        <f>VLOOKUP(E433,Katalog!$A$15:$B$25,2,0)</f>
        <v>Sepatu Wanita</v>
      </c>
      <c r="H433" t="str">
        <f t="shared" si="220"/>
        <v>2</v>
      </c>
      <c r="I433" t="str">
        <f t="shared" si="221"/>
        <v>1</v>
      </c>
      <c r="J433" s="18">
        <f>VLOOKUP(E433,Katalog!$C$3:$F$13,2,0)</f>
        <v>150000</v>
      </c>
      <c r="K433" s="18">
        <f>VLOOKUP(E433,Katalog!$C$3:$F$13,3,0)</f>
        <v>70000</v>
      </c>
      <c r="L433" t="str">
        <f t="shared" si="222"/>
        <v>-</v>
      </c>
      <c r="M433" t="str">
        <f>IFERROR(INDEX(Katalog!$B$4:$B$13,MATCH('Main Data'!L433,Katalog!$C$4:$C$13,0)), "-")</f>
        <v>-</v>
      </c>
      <c r="N433" t="str">
        <f>IFERROR(VLOOKUP(L433,Katalog!$A$15:$B$25,2,0),"-")</f>
        <v>-</v>
      </c>
      <c r="O433">
        <f t="shared" si="223"/>
        <v>0</v>
      </c>
      <c r="P433" t="str">
        <f t="shared" si="224"/>
        <v>-</v>
      </c>
      <c r="Q433" s="18">
        <f>IFERROR(VLOOKUP(L433,Katalog!$C$3:$F$13,2,0),0)</f>
        <v>0</v>
      </c>
      <c r="R433" s="18">
        <f>IFERROR(VLOOKUP(L433,Katalog!$C$3:$F$13,3,0),0)</f>
        <v>0</v>
      </c>
      <c r="S433" t="str">
        <f t="shared" si="225"/>
        <v>-</v>
      </c>
      <c r="T433" t="str">
        <f>IFERROR(INDEX(Katalog!$B$4:$B$13,MATCH('Main Data'!S433,Katalog!$C$4:$C$13,0)),"-")</f>
        <v>-</v>
      </c>
      <c r="U433" t="str">
        <f>IFERROR(VLOOKUP(S433,Katalog!$A$15:$B$25,2,0),"-")</f>
        <v>-</v>
      </c>
      <c r="V433">
        <f t="shared" si="226"/>
        <v>0</v>
      </c>
      <c r="W433" s="28" t="str">
        <f t="shared" si="227"/>
        <v>-</v>
      </c>
      <c r="X433" s="18">
        <f>IFERROR(VLOOKUP(S433,Katalog!$C$3:$F$13,2,0),0)</f>
        <v>0</v>
      </c>
      <c r="Y433" s="30">
        <f>IFERROR(VLOOKUP(S433,Katalog!$C$3:$F$13,3,0),0)</f>
        <v>0</v>
      </c>
      <c r="Z433" s="2">
        <f t="shared" si="228"/>
        <v>2</v>
      </c>
      <c r="AA433" s="4">
        <f t="shared" si="229"/>
        <v>300000</v>
      </c>
      <c r="AB433" s="4">
        <f t="shared" si="230"/>
        <v>140000</v>
      </c>
      <c r="AC433" s="4" t="s">
        <v>7</v>
      </c>
      <c r="AD433" s="16">
        <f>IFERROR(VLOOKUP(AC433,'Kode Diskon'!$C$2:$D$9,2,0),0)</f>
        <v>0.2</v>
      </c>
      <c r="AE433" s="31">
        <f t="shared" si="231"/>
        <v>60000</v>
      </c>
      <c r="AF433" s="31">
        <f t="shared" si="232"/>
        <v>240000</v>
      </c>
      <c r="AG433" s="31">
        <f t="shared" si="233"/>
        <v>160000</v>
      </c>
      <c r="AH433" s="31">
        <f t="shared" si="234"/>
        <v>100000</v>
      </c>
      <c r="AI433" s="4" t="s">
        <v>8</v>
      </c>
      <c r="AJ433" s="4" t="s">
        <v>6</v>
      </c>
      <c r="AK433" s="4" t="str">
        <f>IFERROR(VLOOKUP(AJ433,'Guide '!$A$13:$B$16,2,0),"-")</f>
        <v>SP</v>
      </c>
      <c r="AL433" s="4" t="s">
        <v>925</v>
      </c>
      <c r="AM433" s="40">
        <v>45448</v>
      </c>
      <c r="AN433">
        <f t="shared" si="235"/>
        <v>29</v>
      </c>
      <c r="AO433">
        <f t="shared" si="236"/>
        <v>32</v>
      </c>
      <c r="AP433">
        <f t="shared" si="237"/>
        <v>40</v>
      </c>
      <c r="AQ433">
        <f t="shared" si="238"/>
        <v>43</v>
      </c>
      <c r="AR433" s="26" t="str">
        <f t="shared" si="239"/>
        <v>-</v>
      </c>
      <c r="AS433" s="26" t="str">
        <f t="shared" si="240"/>
        <v>-</v>
      </c>
      <c r="AT433" s="21">
        <f t="shared" si="241"/>
        <v>12</v>
      </c>
      <c r="AU433" s="21">
        <f t="shared" si="242"/>
        <v>19</v>
      </c>
      <c r="AV433" t="str">
        <f t="shared" si="243"/>
        <v>-</v>
      </c>
      <c r="AW433" t="str">
        <f t="shared" si="244"/>
        <v>-</v>
      </c>
      <c r="AX433" t="str">
        <f t="shared" si="245"/>
        <v>-</v>
      </c>
      <c r="AY433" t="str">
        <f t="shared" si="246"/>
        <v>-</v>
      </c>
      <c r="AZ433" t="str">
        <f t="shared" si="247"/>
        <v>-</v>
      </c>
      <c r="BA433" t="str">
        <f t="shared" si="248"/>
        <v>-</v>
      </c>
      <c r="BB433" t="str">
        <f t="shared" si="249"/>
        <v>-</v>
      </c>
      <c r="BC433" t="str">
        <f t="shared" si="250"/>
        <v>-</v>
      </c>
      <c r="BD433" s="29" t="str">
        <f t="shared" si="251"/>
        <v>-</v>
      </c>
      <c r="BE433" s="29" t="str">
        <f t="shared" si="252"/>
        <v>-</v>
      </c>
    </row>
    <row r="434" spans="1:57" ht="15" x14ac:dyDescent="0.2">
      <c r="A434" s="2">
        <v>139</v>
      </c>
      <c r="B434" s="2" t="str">
        <f t="shared" si="217"/>
        <v>0139</v>
      </c>
      <c r="C434" t="str">
        <f t="shared" si="218"/>
        <v>ORD-SP-0139-06/06/24</v>
      </c>
      <c r="D434" s="3" t="s">
        <v>209</v>
      </c>
      <c r="E434" t="str">
        <f t="shared" si="219"/>
        <v>PW002</v>
      </c>
      <c r="F434" t="str">
        <f>INDEX(Katalog!$B$4:$B$13,MATCH('Main Data'!E434,Katalog!$C$4:$C$13,0))</f>
        <v>Blouse</v>
      </c>
      <c r="G434" t="str">
        <f>VLOOKUP(E434,Katalog!$A$15:$B$25,2,0)</f>
        <v>Pakaian Wanita</v>
      </c>
      <c r="H434" t="str">
        <f t="shared" si="220"/>
        <v>4</v>
      </c>
      <c r="I434" t="str">
        <f t="shared" si="221"/>
        <v>4</v>
      </c>
      <c r="J434" s="18">
        <f>VLOOKUP(E434,Katalog!$C$3:$F$13,2,0)</f>
        <v>125000</v>
      </c>
      <c r="K434" s="18">
        <f>VLOOKUP(E434,Katalog!$C$3:$F$13,3,0)</f>
        <v>50000</v>
      </c>
      <c r="L434" t="str">
        <f t="shared" si="222"/>
        <v>-</v>
      </c>
      <c r="M434" t="str">
        <f>IFERROR(INDEX(Katalog!$B$4:$B$13,MATCH('Main Data'!L434,Katalog!$C$4:$C$13,0)), "-")</f>
        <v>-</v>
      </c>
      <c r="N434" t="str">
        <f>IFERROR(VLOOKUP(L434,Katalog!$A$15:$B$25,2,0),"-")</f>
        <v>-</v>
      </c>
      <c r="O434">
        <f t="shared" si="223"/>
        <v>0</v>
      </c>
      <c r="P434" t="str">
        <f t="shared" si="224"/>
        <v>-</v>
      </c>
      <c r="Q434" s="18">
        <f>IFERROR(VLOOKUP(L434,Katalog!$C$3:$F$13,2,0),0)</f>
        <v>0</v>
      </c>
      <c r="R434" s="18">
        <f>IFERROR(VLOOKUP(L434,Katalog!$C$3:$F$13,3,0),0)</f>
        <v>0</v>
      </c>
      <c r="S434" t="str">
        <f t="shared" si="225"/>
        <v>-</v>
      </c>
      <c r="T434" t="str">
        <f>IFERROR(INDEX(Katalog!$B$4:$B$13,MATCH('Main Data'!S434,Katalog!$C$4:$C$13,0)),"-")</f>
        <v>-</v>
      </c>
      <c r="U434" t="str">
        <f>IFERROR(VLOOKUP(S434,Katalog!$A$15:$B$25,2,0),"-")</f>
        <v>-</v>
      </c>
      <c r="V434">
        <f t="shared" si="226"/>
        <v>0</v>
      </c>
      <c r="W434" s="28" t="str">
        <f t="shared" si="227"/>
        <v>-</v>
      </c>
      <c r="X434" s="18">
        <f>IFERROR(VLOOKUP(S434,Katalog!$C$3:$F$13,2,0),0)</f>
        <v>0</v>
      </c>
      <c r="Y434" s="30">
        <f>IFERROR(VLOOKUP(S434,Katalog!$C$3:$F$13,3,0),0)</f>
        <v>0</v>
      </c>
      <c r="Z434" s="2">
        <f t="shared" si="228"/>
        <v>4</v>
      </c>
      <c r="AA434" s="4">
        <f t="shared" si="229"/>
        <v>500000</v>
      </c>
      <c r="AB434" s="4">
        <f t="shared" si="230"/>
        <v>200000</v>
      </c>
      <c r="AC434" s="4" t="s">
        <v>7</v>
      </c>
      <c r="AD434" s="16">
        <f>IFERROR(VLOOKUP(AC434,'Kode Diskon'!$C$2:$D$9,2,0),0)</f>
        <v>0.2</v>
      </c>
      <c r="AE434" s="31">
        <f t="shared" si="231"/>
        <v>100000</v>
      </c>
      <c r="AF434" s="31">
        <f t="shared" si="232"/>
        <v>400000</v>
      </c>
      <c r="AG434" s="31">
        <f t="shared" si="233"/>
        <v>300000</v>
      </c>
      <c r="AH434" s="31">
        <f t="shared" si="234"/>
        <v>200000</v>
      </c>
      <c r="AI434" s="4" t="s">
        <v>8</v>
      </c>
      <c r="AJ434" s="4" t="s">
        <v>6</v>
      </c>
      <c r="AK434" s="4" t="str">
        <f>IFERROR(VLOOKUP(AJ434,'Guide '!$A$13:$B$16,2,0),"-")</f>
        <v>SP</v>
      </c>
      <c r="AL434" s="4" t="s">
        <v>924</v>
      </c>
      <c r="AM434" s="40">
        <v>45449</v>
      </c>
      <c r="AN434">
        <f t="shared" si="235"/>
        <v>29</v>
      </c>
      <c r="AO434">
        <f t="shared" si="236"/>
        <v>32</v>
      </c>
      <c r="AP434">
        <f t="shared" si="237"/>
        <v>40</v>
      </c>
      <c r="AQ434">
        <f t="shared" si="238"/>
        <v>43</v>
      </c>
      <c r="AR434" s="26" t="str">
        <f t="shared" si="239"/>
        <v>-</v>
      </c>
      <c r="AS434" s="26" t="str">
        <f t="shared" si="240"/>
        <v>-</v>
      </c>
      <c r="AT434" s="21">
        <f t="shared" si="241"/>
        <v>12</v>
      </c>
      <c r="AU434" s="21">
        <f t="shared" si="242"/>
        <v>19</v>
      </c>
      <c r="AV434" t="str">
        <f t="shared" si="243"/>
        <v>-</v>
      </c>
      <c r="AW434" t="str">
        <f t="shared" si="244"/>
        <v>-</v>
      </c>
      <c r="AX434" t="str">
        <f t="shared" si="245"/>
        <v>-</v>
      </c>
      <c r="AY434" t="str">
        <f t="shared" si="246"/>
        <v>-</v>
      </c>
      <c r="AZ434" t="str">
        <f t="shared" si="247"/>
        <v>-</v>
      </c>
      <c r="BA434" t="str">
        <f t="shared" si="248"/>
        <v>-</v>
      </c>
      <c r="BB434" t="str">
        <f t="shared" si="249"/>
        <v>-</v>
      </c>
      <c r="BC434" t="str">
        <f t="shared" si="250"/>
        <v>-</v>
      </c>
      <c r="BD434" s="29" t="str">
        <f t="shared" si="251"/>
        <v>-</v>
      </c>
      <c r="BE434" s="29" t="str">
        <f t="shared" si="252"/>
        <v>-</v>
      </c>
    </row>
    <row r="435" spans="1:57" ht="15" x14ac:dyDescent="0.2">
      <c r="A435" s="2">
        <v>440</v>
      </c>
      <c r="B435" s="2" t="str">
        <f t="shared" si="217"/>
        <v>0440</v>
      </c>
      <c r="C435" t="str">
        <f t="shared" si="218"/>
        <v>ORD-TK-0440-06/06/24</v>
      </c>
      <c r="D435" s="3" t="s">
        <v>480</v>
      </c>
      <c r="E435" t="str">
        <f t="shared" si="219"/>
        <v>PP001</v>
      </c>
      <c r="F435" t="str">
        <f>INDEX(Katalog!$B$4:$B$13,MATCH('Main Data'!E435,Katalog!$C$4:$C$13,0))</f>
        <v>Kaos Polo</v>
      </c>
      <c r="G435" t="str">
        <f>VLOOKUP(E435,Katalog!$A$15:$B$25,2,0)</f>
        <v>Pakaian Pria</v>
      </c>
      <c r="H435" t="str">
        <f t="shared" si="220"/>
        <v>1</v>
      </c>
      <c r="I435" t="str">
        <f t="shared" si="221"/>
        <v>5</v>
      </c>
      <c r="J435" s="18">
        <f>VLOOKUP(E435,Katalog!$C$3:$F$13,2,0)</f>
        <v>80000</v>
      </c>
      <c r="K435" s="18">
        <f>VLOOKUP(E435,Katalog!$C$3:$F$13,3,0)</f>
        <v>30000</v>
      </c>
      <c r="L435" t="str">
        <f t="shared" si="222"/>
        <v>SP002</v>
      </c>
      <c r="M435" t="str">
        <f>IFERROR(INDEX(Katalog!$B$4:$B$13,MATCH('Main Data'!L435,Katalog!$C$4:$C$13,0)), "-")</f>
        <v>Sandal Slip On</v>
      </c>
      <c r="N435" t="str">
        <f>IFERROR(VLOOKUP(L435,Katalog!$A$15:$B$25,2,0),"-")</f>
        <v>Sepatu Pria</v>
      </c>
      <c r="O435" t="str">
        <f t="shared" si="223"/>
        <v>1</v>
      </c>
      <c r="P435" t="str">
        <f t="shared" si="224"/>
        <v>5</v>
      </c>
      <c r="Q435" s="18">
        <f>IFERROR(VLOOKUP(L435,Katalog!$C$3:$F$13,2,0),0)</f>
        <v>120000</v>
      </c>
      <c r="R435" s="18">
        <f>IFERROR(VLOOKUP(L435,Katalog!$C$3:$F$13,3,0),0)</f>
        <v>60000</v>
      </c>
      <c r="S435" t="str">
        <f t="shared" si="225"/>
        <v>-</v>
      </c>
      <c r="T435" t="str">
        <f>IFERROR(INDEX(Katalog!$B$4:$B$13,MATCH('Main Data'!S435,Katalog!$C$4:$C$13,0)),"-")</f>
        <v>-</v>
      </c>
      <c r="U435" t="str">
        <f>IFERROR(VLOOKUP(S435,Katalog!$A$15:$B$25,2,0),"-")</f>
        <v>-</v>
      </c>
      <c r="V435">
        <f t="shared" si="226"/>
        <v>0</v>
      </c>
      <c r="W435" s="28" t="str">
        <f t="shared" si="227"/>
        <v>-</v>
      </c>
      <c r="X435" s="18">
        <f>IFERROR(VLOOKUP(S435,Katalog!$C$3:$F$13,2,0),0)</f>
        <v>0</v>
      </c>
      <c r="Y435" s="30">
        <f>IFERROR(VLOOKUP(S435,Katalog!$C$3:$F$13,3,0),0)</f>
        <v>0</v>
      </c>
      <c r="Z435" s="2">
        <f t="shared" si="228"/>
        <v>2</v>
      </c>
      <c r="AA435" s="4">
        <f t="shared" si="229"/>
        <v>200000</v>
      </c>
      <c r="AB435" s="4">
        <f t="shared" si="230"/>
        <v>90000</v>
      </c>
      <c r="AC435" s="4" t="s">
        <v>30</v>
      </c>
      <c r="AD435" s="16">
        <f>IFERROR(VLOOKUP(AC435,'Kode Diskon'!$C$2:$D$9,2,0),0)</f>
        <v>0.1</v>
      </c>
      <c r="AE435" s="31">
        <f t="shared" si="231"/>
        <v>20000</v>
      </c>
      <c r="AF435" s="31">
        <f t="shared" si="232"/>
        <v>180000</v>
      </c>
      <c r="AG435" s="31">
        <f t="shared" si="233"/>
        <v>110000</v>
      </c>
      <c r="AH435" s="31">
        <f t="shared" si="234"/>
        <v>90000</v>
      </c>
      <c r="AI435" s="4" t="s">
        <v>8</v>
      </c>
      <c r="AJ435" s="4" t="s">
        <v>9</v>
      </c>
      <c r="AK435" s="4" t="str">
        <f>IFERROR(VLOOKUP(AJ435,'Guide '!$A$13:$B$16,2,0),"-")</f>
        <v>TK</v>
      </c>
      <c r="AL435" s="4" t="s">
        <v>925</v>
      </c>
      <c r="AM435" s="40">
        <v>45449</v>
      </c>
      <c r="AN435">
        <f t="shared" si="235"/>
        <v>29</v>
      </c>
      <c r="AO435">
        <f t="shared" si="236"/>
        <v>32</v>
      </c>
      <c r="AP435">
        <f t="shared" si="237"/>
        <v>40</v>
      </c>
      <c r="AQ435">
        <f t="shared" si="238"/>
        <v>43</v>
      </c>
      <c r="AR435" s="26">
        <f t="shared" si="239"/>
        <v>56</v>
      </c>
      <c r="AS435" s="26">
        <f t="shared" si="240"/>
        <v>63</v>
      </c>
      <c r="AT435" s="21">
        <f t="shared" si="241"/>
        <v>12</v>
      </c>
      <c r="AU435" s="21">
        <f t="shared" si="242"/>
        <v>19</v>
      </c>
      <c r="AV435">
        <f t="shared" si="243"/>
        <v>73</v>
      </c>
      <c r="AW435">
        <f t="shared" si="244"/>
        <v>76</v>
      </c>
      <c r="AX435">
        <f t="shared" si="245"/>
        <v>84</v>
      </c>
      <c r="AY435">
        <f t="shared" si="246"/>
        <v>87</v>
      </c>
      <c r="AZ435" t="str">
        <f t="shared" si="247"/>
        <v>-</v>
      </c>
      <c r="BA435" t="str">
        <f t="shared" si="248"/>
        <v>-</v>
      </c>
      <c r="BB435" t="str">
        <f t="shared" si="249"/>
        <v>-</v>
      </c>
      <c r="BC435" t="str">
        <f t="shared" si="250"/>
        <v>-</v>
      </c>
      <c r="BD435" s="29" t="str">
        <f t="shared" si="251"/>
        <v>-</v>
      </c>
      <c r="BE435" s="29" t="str">
        <f t="shared" si="252"/>
        <v>-</v>
      </c>
    </row>
    <row r="436" spans="1:57" ht="15" x14ac:dyDescent="0.2">
      <c r="A436" s="2">
        <v>249</v>
      </c>
      <c r="B436" s="2" t="str">
        <f t="shared" si="217"/>
        <v>0249</v>
      </c>
      <c r="C436" t="str">
        <f t="shared" si="218"/>
        <v>ORD-TK-0249-07/06/24</v>
      </c>
      <c r="D436" s="3" t="s">
        <v>314</v>
      </c>
      <c r="E436" t="str">
        <f t="shared" si="219"/>
        <v>SP002</v>
      </c>
      <c r="F436" t="str">
        <f>INDEX(Katalog!$B$4:$B$13,MATCH('Main Data'!E436,Katalog!$C$4:$C$13,0))</f>
        <v>Sandal Slip On</v>
      </c>
      <c r="G436" t="str">
        <f>VLOOKUP(E436,Katalog!$A$15:$B$25,2,0)</f>
        <v>Sepatu Pria</v>
      </c>
      <c r="H436" t="str">
        <f t="shared" si="220"/>
        <v>3</v>
      </c>
      <c r="I436" t="str">
        <f t="shared" si="221"/>
        <v>4</v>
      </c>
      <c r="J436" s="18">
        <f>VLOOKUP(E436,Katalog!$C$3:$F$13,2,0)</f>
        <v>120000</v>
      </c>
      <c r="K436" s="18">
        <f>VLOOKUP(E436,Katalog!$C$3:$F$13,3,0)</f>
        <v>60000</v>
      </c>
      <c r="L436" t="str">
        <f t="shared" si="222"/>
        <v>PU001</v>
      </c>
      <c r="M436" t="str">
        <f>IFERROR(INDEX(Katalog!$B$4:$B$13,MATCH('Main Data'!L436,Katalog!$C$4:$C$13,0)), "-")</f>
        <v>Jaket Hoodie</v>
      </c>
      <c r="N436" t="str">
        <f>IFERROR(VLOOKUP(L436,Katalog!$A$15:$B$25,2,0),"-")</f>
        <v>Pakaian Unisex</v>
      </c>
      <c r="O436" t="str">
        <f t="shared" si="223"/>
        <v>1</v>
      </c>
      <c r="P436" t="str">
        <f t="shared" si="224"/>
        <v>4</v>
      </c>
      <c r="Q436" s="18">
        <f>IFERROR(VLOOKUP(L436,Katalog!$C$3:$F$13,2,0),0)</f>
        <v>160000</v>
      </c>
      <c r="R436" s="18">
        <f>IFERROR(VLOOKUP(L436,Katalog!$C$3:$F$13,3,0),0)</f>
        <v>60000</v>
      </c>
      <c r="S436" t="str">
        <f t="shared" si="225"/>
        <v>PP001</v>
      </c>
      <c r="T436" t="str">
        <f>IFERROR(INDEX(Katalog!$B$4:$B$13,MATCH('Main Data'!S436,Katalog!$C$4:$C$13,0)),"-")</f>
        <v>Kaos Polo</v>
      </c>
      <c r="U436" t="str">
        <f>IFERROR(VLOOKUP(S436,Katalog!$A$15:$B$25,2,0),"-")</f>
        <v>Pakaian Pria</v>
      </c>
      <c r="V436" t="str">
        <f t="shared" si="226"/>
        <v>1</v>
      </c>
      <c r="W436" s="28" t="str">
        <f t="shared" si="227"/>
        <v>5</v>
      </c>
      <c r="X436" s="18">
        <f>IFERROR(VLOOKUP(S436,Katalog!$C$3:$F$13,2,0),0)</f>
        <v>80000</v>
      </c>
      <c r="Y436" s="30">
        <f>IFERROR(VLOOKUP(S436,Katalog!$C$3:$F$13,3,0),0)</f>
        <v>30000</v>
      </c>
      <c r="Z436" s="2">
        <f t="shared" si="228"/>
        <v>5</v>
      </c>
      <c r="AA436" s="4">
        <f t="shared" si="229"/>
        <v>600000</v>
      </c>
      <c r="AB436" s="4">
        <f t="shared" si="230"/>
        <v>270000</v>
      </c>
      <c r="AC436" s="4" t="s">
        <v>29</v>
      </c>
      <c r="AD436" s="16">
        <f>IFERROR(VLOOKUP(AC436,'Kode Diskon'!$C$2:$D$9,2,0),0)</f>
        <v>0.1</v>
      </c>
      <c r="AE436" s="31">
        <f t="shared" si="231"/>
        <v>60000</v>
      </c>
      <c r="AF436" s="31">
        <f t="shared" si="232"/>
        <v>540000</v>
      </c>
      <c r="AG436" s="31">
        <f t="shared" si="233"/>
        <v>330000</v>
      </c>
      <c r="AH436" s="31">
        <f t="shared" si="234"/>
        <v>270000</v>
      </c>
      <c r="AI436" s="4" t="s">
        <v>28</v>
      </c>
      <c r="AJ436" s="4" t="s">
        <v>9</v>
      </c>
      <c r="AK436" s="4" t="str">
        <f>IFERROR(VLOOKUP(AJ436,'Guide '!$A$13:$B$16,2,0),"-")</f>
        <v>TK</v>
      </c>
      <c r="AL436" s="4" t="s">
        <v>925</v>
      </c>
      <c r="AM436" s="40">
        <v>45450</v>
      </c>
      <c r="AN436">
        <f t="shared" si="235"/>
        <v>29</v>
      </c>
      <c r="AO436">
        <f t="shared" si="236"/>
        <v>32</v>
      </c>
      <c r="AP436">
        <f t="shared" si="237"/>
        <v>40</v>
      </c>
      <c r="AQ436">
        <f t="shared" si="238"/>
        <v>43</v>
      </c>
      <c r="AR436" s="26">
        <f t="shared" si="239"/>
        <v>56</v>
      </c>
      <c r="AS436" s="26">
        <f t="shared" si="240"/>
        <v>63</v>
      </c>
      <c r="AT436" s="21">
        <f t="shared" si="241"/>
        <v>12</v>
      </c>
      <c r="AU436" s="21">
        <f t="shared" si="242"/>
        <v>19</v>
      </c>
      <c r="AV436">
        <f t="shared" si="243"/>
        <v>73</v>
      </c>
      <c r="AW436">
        <f t="shared" si="244"/>
        <v>76</v>
      </c>
      <c r="AX436">
        <f t="shared" si="245"/>
        <v>84</v>
      </c>
      <c r="AY436">
        <f t="shared" si="246"/>
        <v>87</v>
      </c>
      <c r="AZ436">
        <f t="shared" si="247"/>
        <v>100</v>
      </c>
      <c r="BA436">
        <f t="shared" si="248"/>
        <v>107</v>
      </c>
      <c r="BB436">
        <f t="shared" si="249"/>
        <v>117</v>
      </c>
      <c r="BC436">
        <f t="shared" si="250"/>
        <v>120</v>
      </c>
      <c r="BD436" s="29">
        <f t="shared" si="251"/>
        <v>128</v>
      </c>
      <c r="BE436" s="29">
        <f t="shared" si="252"/>
        <v>131</v>
      </c>
    </row>
    <row r="437" spans="1:57" ht="15" x14ac:dyDescent="0.2">
      <c r="A437" s="2">
        <v>467</v>
      </c>
      <c r="B437" s="2" t="str">
        <f t="shared" si="217"/>
        <v>0467</v>
      </c>
      <c r="C437" t="str">
        <f t="shared" si="218"/>
        <v>ORD-TK-0467-08/06/24</v>
      </c>
      <c r="D437" s="3" t="s">
        <v>308</v>
      </c>
      <c r="E437" t="str">
        <f t="shared" si="219"/>
        <v>PP001</v>
      </c>
      <c r="F437" t="str">
        <f>INDEX(Katalog!$B$4:$B$13,MATCH('Main Data'!E437,Katalog!$C$4:$C$13,0))</f>
        <v>Kaos Polo</v>
      </c>
      <c r="G437" t="str">
        <f>VLOOKUP(E437,Katalog!$A$15:$B$25,2,0)</f>
        <v>Pakaian Pria</v>
      </c>
      <c r="H437" t="str">
        <f t="shared" si="220"/>
        <v>3</v>
      </c>
      <c r="I437" t="str">
        <f t="shared" si="221"/>
        <v>5</v>
      </c>
      <c r="J437" s="18">
        <f>VLOOKUP(E437,Katalog!$C$3:$F$13,2,0)</f>
        <v>80000</v>
      </c>
      <c r="K437" s="18">
        <f>VLOOKUP(E437,Katalog!$C$3:$F$13,3,0)</f>
        <v>30000</v>
      </c>
      <c r="L437" t="str">
        <f t="shared" si="222"/>
        <v>-</v>
      </c>
      <c r="M437" t="str">
        <f>IFERROR(INDEX(Katalog!$B$4:$B$13,MATCH('Main Data'!L437,Katalog!$C$4:$C$13,0)), "-")</f>
        <v>-</v>
      </c>
      <c r="N437" t="str">
        <f>IFERROR(VLOOKUP(L437,Katalog!$A$15:$B$25,2,0),"-")</f>
        <v>-</v>
      </c>
      <c r="O437">
        <f t="shared" si="223"/>
        <v>0</v>
      </c>
      <c r="P437" t="str">
        <f t="shared" si="224"/>
        <v>-</v>
      </c>
      <c r="Q437" s="18">
        <f>IFERROR(VLOOKUP(L437,Katalog!$C$3:$F$13,2,0),0)</f>
        <v>0</v>
      </c>
      <c r="R437" s="18">
        <f>IFERROR(VLOOKUP(L437,Katalog!$C$3:$F$13,3,0),0)</f>
        <v>0</v>
      </c>
      <c r="S437" t="str">
        <f t="shared" si="225"/>
        <v>-</v>
      </c>
      <c r="T437" t="str">
        <f>IFERROR(INDEX(Katalog!$B$4:$B$13,MATCH('Main Data'!S437,Katalog!$C$4:$C$13,0)),"-")</f>
        <v>-</v>
      </c>
      <c r="U437" t="str">
        <f>IFERROR(VLOOKUP(S437,Katalog!$A$15:$B$25,2,0),"-")</f>
        <v>-</v>
      </c>
      <c r="V437">
        <f t="shared" si="226"/>
        <v>0</v>
      </c>
      <c r="W437" s="28" t="str">
        <f t="shared" si="227"/>
        <v>-</v>
      </c>
      <c r="X437" s="18">
        <f>IFERROR(VLOOKUP(S437,Katalog!$C$3:$F$13,2,0),0)</f>
        <v>0</v>
      </c>
      <c r="Y437" s="30">
        <f>IFERROR(VLOOKUP(S437,Katalog!$C$3:$F$13,3,0),0)</f>
        <v>0</v>
      </c>
      <c r="Z437" s="2">
        <f t="shared" si="228"/>
        <v>3</v>
      </c>
      <c r="AA437" s="4">
        <f t="shared" si="229"/>
        <v>240000</v>
      </c>
      <c r="AB437" s="4">
        <f t="shared" si="230"/>
        <v>90000</v>
      </c>
      <c r="AC437" s="4" t="s">
        <v>30</v>
      </c>
      <c r="AD437" s="16">
        <f>IFERROR(VLOOKUP(AC437,'Kode Diskon'!$C$2:$D$9,2,0),0)</f>
        <v>0.1</v>
      </c>
      <c r="AE437" s="31">
        <f t="shared" si="231"/>
        <v>24000</v>
      </c>
      <c r="AF437" s="31">
        <f t="shared" si="232"/>
        <v>216000</v>
      </c>
      <c r="AG437" s="31">
        <f t="shared" si="233"/>
        <v>150000</v>
      </c>
      <c r="AH437" s="31">
        <f t="shared" si="234"/>
        <v>126000</v>
      </c>
      <c r="AI437" s="4" t="s">
        <v>8</v>
      </c>
      <c r="AJ437" s="4" t="s">
        <v>9</v>
      </c>
      <c r="AK437" s="4" t="str">
        <f>IFERROR(VLOOKUP(AJ437,'Guide '!$A$13:$B$16,2,0),"-")</f>
        <v>TK</v>
      </c>
      <c r="AL437" s="4" t="s">
        <v>925</v>
      </c>
      <c r="AM437" s="40">
        <v>45451</v>
      </c>
      <c r="AN437">
        <f t="shared" si="235"/>
        <v>29</v>
      </c>
      <c r="AO437">
        <f t="shared" si="236"/>
        <v>32</v>
      </c>
      <c r="AP437">
        <f t="shared" si="237"/>
        <v>40</v>
      </c>
      <c r="AQ437">
        <f t="shared" si="238"/>
        <v>43</v>
      </c>
      <c r="AR437" s="26" t="str">
        <f t="shared" si="239"/>
        <v>-</v>
      </c>
      <c r="AS437" s="26" t="str">
        <f t="shared" si="240"/>
        <v>-</v>
      </c>
      <c r="AT437" s="21">
        <f t="shared" si="241"/>
        <v>12</v>
      </c>
      <c r="AU437" s="21">
        <f t="shared" si="242"/>
        <v>19</v>
      </c>
      <c r="AV437" t="str">
        <f t="shared" si="243"/>
        <v>-</v>
      </c>
      <c r="AW437" t="str">
        <f t="shared" si="244"/>
        <v>-</v>
      </c>
      <c r="AX437" t="str">
        <f t="shared" si="245"/>
        <v>-</v>
      </c>
      <c r="AY437" t="str">
        <f t="shared" si="246"/>
        <v>-</v>
      </c>
      <c r="AZ437" t="str">
        <f t="shared" si="247"/>
        <v>-</v>
      </c>
      <c r="BA437" t="str">
        <f t="shared" si="248"/>
        <v>-</v>
      </c>
      <c r="BB437" t="str">
        <f t="shared" si="249"/>
        <v>-</v>
      </c>
      <c r="BC437" t="str">
        <f t="shared" si="250"/>
        <v>-</v>
      </c>
      <c r="BD437" s="29" t="str">
        <f t="shared" si="251"/>
        <v>-</v>
      </c>
      <c r="BE437" s="29" t="str">
        <f t="shared" si="252"/>
        <v>-</v>
      </c>
    </row>
    <row r="438" spans="1:57" ht="15" x14ac:dyDescent="0.2">
      <c r="A438" s="2">
        <v>971</v>
      </c>
      <c r="B438" s="2" t="str">
        <f t="shared" si="217"/>
        <v>0971</v>
      </c>
      <c r="C438" t="str">
        <f t="shared" si="218"/>
        <v>ORD-BB-0971-08/06/24</v>
      </c>
      <c r="D438" s="3" t="s">
        <v>898</v>
      </c>
      <c r="E438" t="str">
        <f t="shared" si="219"/>
        <v>PP003</v>
      </c>
      <c r="F438" t="str">
        <f>INDEX(Katalog!$B$4:$B$13,MATCH('Main Data'!E438,Katalog!$C$4:$C$13,0))</f>
        <v>Jaket Jeans</v>
      </c>
      <c r="G438" t="str">
        <f>VLOOKUP(E438,Katalog!$A$15:$B$25,2,0)</f>
        <v>Pakaian Pria</v>
      </c>
      <c r="H438" t="str">
        <f t="shared" si="220"/>
        <v>5</v>
      </c>
      <c r="I438" t="str">
        <f t="shared" si="221"/>
        <v>3</v>
      </c>
      <c r="J438" s="18">
        <f>VLOOKUP(E438,Katalog!$C$3:$F$13,2,0)</f>
        <v>150000</v>
      </c>
      <c r="K438" s="18">
        <f>VLOOKUP(E438,Katalog!$C$3:$F$13,3,0)</f>
        <v>70000</v>
      </c>
      <c r="L438" t="str">
        <f t="shared" si="222"/>
        <v>-</v>
      </c>
      <c r="M438" t="str">
        <f>IFERROR(INDEX(Katalog!$B$4:$B$13,MATCH('Main Data'!L438,Katalog!$C$4:$C$13,0)), "-")</f>
        <v>-</v>
      </c>
      <c r="N438" t="str">
        <f>IFERROR(VLOOKUP(L438,Katalog!$A$15:$B$25,2,0),"-")</f>
        <v>-</v>
      </c>
      <c r="O438">
        <f t="shared" si="223"/>
        <v>0</v>
      </c>
      <c r="P438" t="str">
        <f t="shared" si="224"/>
        <v>-</v>
      </c>
      <c r="Q438" s="18">
        <f>IFERROR(VLOOKUP(L438,Katalog!$C$3:$F$13,2,0),0)</f>
        <v>0</v>
      </c>
      <c r="R438" s="18">
        <f>IFERROR(VLOOKUP(L438,Katalog!$C$3:$F$13,3,0),0)</f>
        <v>0</v>
      </c>
      <c r="S438" t="str">
        <f t="shared" si="225"/>
        <v>-</v>
      </c>
      <c r="T438" t="str">
        <f>IFERROR(INDEX(Katalog!$B$4:$B$13,MATCH('Main Data'!S438,Katalog!$C$4:$C$13,0)),"-")</f>
        <v>-</v>
      </c>
      <c r="U438" t="str">
        <f>IFERROR(VLOOKUP(S438,Katalog!$A$15:$B$25,2,0),"-")</f>
        <v>-</v>
      </c>
      <c r="V438">
        <f t="shared" si="226"/>
        <v>0</v>
      </c>
      <c r="W438" s="28" t="str">
        <f t="shared" si="227"/>
        <v>-</v>
      </c>
      <c r="X438" s="18">
        <f>IFERROR(VLOOKUP(S438,Katalog!$C$3:$F$13,2,0),0)</f>
        <v>0</v>
      </c>
      <c r="Y438" s="30">
        <f>IFERROR(VLOOKUP(S438,Katalog!$C$3:$F$13,3,0),0)</f>
        <v>0</v>
      </c>
      <c r="Z438" s="2">
        <f t="shared" si="228"/>
        <v>5</v>
      </c>
      <c r="AA438" s="4">
        <f t="shared" si="229"/>
        <v>750000</v>
      </c>
      <c r="AB438" s="4">
        <f t="shared" si="230"/>
        <v>350000</v>
      </c>
      <c r="AC438" s="4" t="s">
        <v>27</v>
      </c>
      <c r="AD438" s="16">
        <f>IFERROR(VLOOKUP(AC438,'Kode Diskon'!$C$2:$D$9,2,0),0)</f>
        <v>0.15</v>
      </c>
      <c r="AE438" s="31">
        <f t="shared" si="231"/>
        <v>112500</v>
      </c>
      <c r="AF438" s="31">
        <f t="shared" si="232"/>
        <v>637500</v>
      </c>
      <c r="AG438" s="31">
        <f t="shared" si="233"/>
        <v>400000</v>
      </c>
      <c r="AH438" s="31">
        <f t="shared" si="234"/>
        <v>287500</v>
      </c>
      <c r="AI438" s="4" t="s">
        <v>28</v>
      </c>
      <c r="AJ438" s="4" t="s">
        <v>13</v>
      </c>
      <c r="AK438" s="4" t="str">
        <f>IFERROR(VLOOKUP(AJ438,'Guide '!$A$13:$B$16,2,0),"-")</f>
        <v>BB</v>
      </c>
      <c r="AL438" s="4" t="s">
        <v>1006</v>
      </c>
      <c r="AM438" s="40">
        <v>45451</v>
      </c>
      <c r="AN438">
        <f t="shared" si="235"/>
        <v>29</v>
      </c>
      <c r="AO438">
        <f t="shared" si="236"/>
        <v>32</v>
      </c>
      <c r="AP438">
        <f t="shared" si="237"/>
        <v>40</v>
      </c>
      <c r="AQ438">
        <f t="shared" si="238"/>
        <v>43</v>
      </c>
      <c r="AR438" s="26" t="str">
        <f t="shared" si="239"/>
        <v>-</v>
      </c>
      <c r="AS438" s="26" t="str">
        <f t="shared" si="240"/>
        <v>-</v>
      </c>
      <c r="AT438" s="21">
        <f t="shared" si="241"/>
        <v>12</v>
      </c>
      <c r="AU438" s="21">
        <f t="shared" si="242"/>
        <v>19</v>
      </c>
      <c r="AV438" t="str">
        <f t="shared" si="243"/>
        <v>-</v>
      </c>
      <c r="AW438" t="str">
        <f t="shared" si="244"/>
        <v>-</v>
      </c>
      <c r="AX438" t="str">
        <f t="shared" si="245"/>
        <v>-</v>
      </c>
      <c r="AY438" t="str">
        <f t="shared" si="246"/>
        <v>-</v>
      </c>
      <c r="AZ438" t="str">
        <f t="shared" si="247"/>
        <v>-</v>
      </c>
      <c r="BA438" t="str">
        <f t="shared" si="248"/>
        <v>-</v>
      </c>
      <c r="BB438" t="str">
        <f t="shared" si="249"/>
        <v>-</v>
      </c>
      <c r="BC438" t="str">
        <f t="shared" si="250"/>
        <v>-</v>
      </c>
      <c r="BD438" s="29" t="str">
        <f t="shared" si="251"/>
        <v>-</v>
      </c>
      <c r="BE438" s="29" t="str">
        <f t="shared" si="252"/>
        <v>-</v>
      </c>
    </row>
    <row r="439" spans="1:57" ht="15" x14ac:dyDescent="0.2">
      <c r="A439" s="2">
        <v>109</v>
      </c>
      <c r="B439" s="2" t="str">
        <f t="shared" si="217"/>
        <v>0109</v>
      </c>
      <c r="C439" t="str">
        <f t="shared" si="218"/>
        <v>ORD-SP-0109-09/06/24</v>
      </c>
      <c r="D439" s="3" t="s">
        <v>181</v>
      </c>
      <c r="E439" t="str">
        <f t="shared" si="219"/>
        <v>SW001</v>
      </c>
      <c r="F439" t="str">
        <f>INDEX(Katalog!$B$4:$B$13,MATCH('Main Data'!E439,Katalog!$C$4:$C$13,0))</f>
        <v>Flat Shoes</v>
      </c>
      <c r="G439" t="str">
        <f>VLOOKUP(E439,Katalog!$A$15:$B$25,2,0)</f>
        <v>Sepatu Wanita</v>
      </c>
      <c r="H439" t="str">
        <f t="shared" si="220"/>
        <v>1</v>
      </c>
      <c r="I439" t="str">
        <f t="shared" si="221"/>
        <v>4</v>
      </c>
      <c r="J439" s="18">
        <f>VLOOKUP(E439,Katalog!$C$3:$F$13,2,0)</f>
        <v>150000</v>
      </c>
      <c r="K439" s="18">
        <f>VLOOKUP(E439,Katalog!$C$3:$F$13,3,0)</f>
        <v>70000</v>
      </c>
      <c r="L439" t="str">
        <f t="shared" si="222"/>
        <v>PP002</v>
      </c>
      <c r="M439" t="str">
        <f>IFERROR(INDEX(Katalog!$B$4:$B$13,MATCH('Main Data'!L439,Katalog!$C$4:$C$13,0)), "-")</f>
        <v>Celana Pendek</v>
      </c>
      <c r="N439" t="str">
        <f>IFERROR(VLOOKUP(L439,Katalog!$A$15:$B$25,2,0),"-")</f>
        <v>Pakaian Pria</v>
      </c>
      <c r="O439" t="str">
        <f t="shared" si="223"/>
        <v>1</v>
      </c>
      <c r="P439" t="str">
        <f t="shared" si="224"/>
        <v>3</v>
      </c>
      <c r="Q439" s="18">
        <f>IFERROR(VLOOKUP(L439,Katalog!$C$3:$F$13,2,0),0)</f>
        <v>60000</v>
      </c>
      <c r="R439" s="18">
        <f>IFERROR(VLOOKUP(L439,Katalog!$C$3:$F$13,3,0),0)</f>
        <v>25000</v>
      </c>
      <c r="S439" t="str">
        <f t="shared" si="225"/>
        <v>-</v>
      </c>
      <c r="T439" t="str">
        <f>IFERROR(INDEX(Katalog!$B$4:$B$13,MATCH('Main Data'!S439,Katalog!$C$4:$C$13,0)),"-")</f>
        <v>-</v>
      </c>
      <c r="U439" t="str">
        <f>IFERROR(VLOOKUP(S439,Katalog!$A$15:$B$25,2,0),"-")</f>
        <v>-</v>
      </c>
      <c r="V439">
        <f t="shared" si="226"/>
        <v>0</v>
      </c>
      <c r="W439" s="28" t="str">
        <f t="shared" si="227"/>
        <v>-</v>
      </c>
      <c r="X439" s="18">
        <f>IFERROR(VLOOKUP(S439,Katalog!$C$3:$F$13,2,0),0)</f>
        <v>0</v>
      </c>
      <c r="Y439" s="30">
        <f>IFERROR(VLOOKUP(S439,Katalog!$C$3:$F$13,3,0),0)</f>
        <v>0</v>
      </c>
      <c r="Z439" s="2">
        <f t="shared" si="228"/>
        <v>2</v>
      </c>
      <c r="AA439" s="4">
        <f t="shared" si="229"/>
        <v>210000</v>
      </c>
      <c r="AB439" s="4">
        <f t="shared" si="230"/>
        <v>95000</v>
      </c>
      <c r="AC439" s="4" t="s">
        <v>7</v>
      </c>
      <c r="AD439" s="16">
        <f>IFERROR(VLOOKUP(AC439,'Kode Diskon'!$C$2:$D$9,2,0),0)</f>
        <v>0.2</v>
      </c>
      <c r="AE439" s="31">
        <f t="shared" si="231"/>
        <v>42000</v>
      </c>
      <c r="AF439" s="31">
        <f t="shared" si="232"/>
        <v>168000</v>
      </c>
      <c r="AG439" s="31">
        <f t="shared" si="233"/>
        <v>115000</v>
      </c>
      <c r="AH439" s="31">
        <f t="shared" si="234"/>
        <v>73000</v>
      </c>
      <c r="AI439" s="4" t="s">
        <v>8</v>
      </c>
      <c r="AJ439" s="4" t="s">
        <v>6</v>
      </c>
      <c r="AK439" s="4" t="str">
        <f>IFERROR(VLOOKUP(AJ439,'Guide '!$A$13:$B$16,2,0),"-")</f>
        <v>SP</v>
      </c>
      <c r="AL439" s="4" t="s">
        <v>922</v>
      </c>
      <c r="AM439" s="40">
        <v>45452</v>
      </c>
      <c r="AN439">
        <f t="shared" si="235"/>
        <v>29</v>
      </c>
      <c r="AO439">
        <f t="shared" si="236"/>
        <v>32</v>
      </c>
      <c r="AP439">
        <f t="shared" si="237"/>
        <v>40</v>
      </c>
      <c r="AQ439">
        <f t="shared" si="238"/>
        <v>43</v>
      </c>
      <c r="AR439" s="26">
        <f t="shared" si="239"/>
        <v>56</v>
      </c>
      <c r="AS439" s="26">
        <f t="shared" si="240"/>
        <v>63</v>
      </c>
      <c r="AT439" s="21">
        <f t="shared" si="241"/>
        <v>12</v>
      </c>
      <c r="AU439" s="21">
        <f t="shared" si="242"/>
        <v>19</v>
      </c>
      <c r="AV439">
        <f t="shared" si="243"/>
        <v>73</v>
      </c>
      <c r="AW439">
        <f t="shared" si="244"/>
        <v>76</v>
      </c>
      <c r="AX439">
        <f t="shared" si="245"/>
        <v>84</v>
      </c>
      <c r="AY439">
        <f t="shared" si="246"/>
        <v>87</v>
      </c>
      <c r="AZ439" t="str">
        <f t="shared" si="247"/>
        <v>-</v>
      </c>
      <c r="BA439" t="str">
        <f t="shared" si="248"/>
        <v>-</v>
      </c>
      <c r="BB439" t="str">
        <f t="shared" si="249"/>
        <v>-</v>
      </c>
      <c r="BC439" t="str">
        <f t="shared" si="250"/>
        <v>-</v>
      </c>
      <c r="BD439" s="29" t="str">
        <f t="shared" si="251"/>
        <v>-</v>
      </c>
      <c r="BE439" s="29" t="str">
        <f t="shared" si="252"/>
        <v>-</v>
      </c>
    </row>
    <row r="440" spans="1:57" ht="15" x14ac:dyDescent="0.2">
      <c r="A440" s="2">
        <v>539</v>
      </c>
      <c r="B440" s="2" t="str">
        <f t="shared" si="217"/>
        <v>0539</v>
      </c>
      <c r="C440" t="str">
        <f t="shared" si="218"/>
        <v>ORD-SP-0539-09/06/24</v>
      </c>
      <c r="D440" s="3" t="s">
        <v>563</v>
      </c>
      <c r="E440" t="str">
        <f t="shared" si="219"/>
        <v>SP001</v>
      </c>
      <c r="F440" t="str">
        <f>INDEX(Katalog!$B$4:$B$13,MATCH('Main Data'!E440,Katalog!$C$4:$C$13,0))</f>
        <v>Sneakers</v>
      </c>
      <c r="G440" t="str">
        <f>VLOOKUP(E440,Katalog!$A$15:$B$25,2,0)</f>
        <v>Sepatu Pria</v>
      </c>
      <c r="H440" t="str">
        <f t="shared" si="220"/>
        <v>3</v>
      </c>
      <c r="I440" t="str">
        <f t="shared" si="221"/>
        <v>5</v>
      </c>
      <c r="J440" s="18">
        <f>VLOOKUP(E440,Katalog!$C$3:$F$13,2,0)</f>
        <v>300000</v>
      </c>
      <c r="K440" s="18">
        <f>VLOOKUP(E440,Katalog!$C$3:$F$13,3,0)</f>
        <v>100000</v>
      </c>
      <c r="L440" t="str">
        <f t="shared" si="222"/>
        <v>SW001</v>
      </c>
      <c r="M440" t="str">
        <f>IFERROR(INDEX(Katalog!$B$4:$B$13,MATCH('Main Data'!L440,Katalog!$C$4:$C$13,0)), "-")</f>
        <v>Flat Shoes</v>
      </c>
      <c r="N440" t="str">
        <f>IFERROR(VLOOKUP(L440,Katalog!$A$15:$B$25,2,0),"-")</f>
        <v>Sepatu Wanita</v>
      </c>
      <c r="O440" t="str">
        <f t="shared" si="223"/>
        <v>1</v>
      </c>
      <c r="P440" t="str">
        <f t="shared" si="224"/>
        <v>2</v>
      </c>
      <c r="Q440" s="18">
        <f>IFERROR(VLOOKUP(L440,Katalog!$C$3:$F$13,2,0),0)</f>
        <v>150000</v>
      </c>
      <c r="R440" s="18">
        <f>IFERROR(VLOOKUP(L440,Katalog!$C$3:$F$13,3,0),0)</f>
        <v>70000</v>
      </c>
      <c r="S440" t="str">
        <f t="shared" si="225"/>
        <v>-</v>
      </c>
      <c r="T440" t="str">
        <f>IFERROR(INDEX(Katalog!$B$4:$B$13,MATCH('Main Data'!S440,Katalog!$C$4:$C$13,0)),"-")</f>
        <v>-</v>
      </c>
      <c r="U440" t="str">
        <f>IFERROR(VLOOKUP(S440,Katalog!$A$15:$B$25,2,0),"-")</f>
        <v>-</v>
      </c>
      <c r="V440">
        <f t="shared" si="226"/>
        <v>0</v>
      </c>
      <c r="W440" s="28" t="str">
        <f t="shared" si="227"/>
        <v>-</v>
      </c>
      <c r="X440" s="18">
        <f>IFERROR(VLOOKUP(S440,Katalog!$C$3:$F$13,2,0),0)</f>
        <v>0</v>
      </c>
      <c r="Y440" s="30">
        <f>IFERROR(VLOOKUP(S440,Katalog!$C$3:$F$13,3,0),0)</f>
        <v>0</v>
      </c>
      <c r="Z440" s="2">
        <f t="shared" si="228"/>
        <v>4</v>
      </c>
      <c r="AA440" s="4">
        <f t="shared" si="229"/>
        <v>1050000</v>
      </c>
      <c r="AB440" s="4">
        <f t="shared" si="230"/>
        <v>370000</v>
      </c>
      <c r="AC440" s="4" t="s">
        <v>5</v>
      </c>
      <c r="AD440" s="16">
        <f>IFERROR(VLOOKUP(AC440,'Kode Diskon'!$C$2:$D$9,2,0),0)</f>
        <v>0.1</v>
      </c>
      <c r="AE440" s="31">
        <f t="shared" si="231"/>
        <v>105000</v>
      </c>
      <c r="AF440" s="31">
        <f t="shared" si="232"/>
        <v>945000</v>
      </c>
      <c r="AG440" s="31">
        <f t="shared" si="233"/>
        <v>680000</v>
      </c>
      <c r="AH440" s="31">
        <f t="shared" si="234"/>
        <v>575000</v>
      </c>
      <c r="AI440" s="4" t="s">
        <v>28</v>
      </c>
      <c r="AJ440" s="4" t="s">
        <v>6</v>
      </c>
      <c r="AK440" s="4" t="str">
        <f>IFERROR(VLOOKUP(AJ440,'Guide '!$A$13:$B$16,2,0),"-")</f>
        <v>SP</v>
      </c>
      <c r="AL440" s="4" t="s">
        <v>921</v>
      </c>
      <c r="AM440" s="40">
        <v>45452</v>
      </c>
      <c r="AN440">
        <f t="shared" si="235"/>
        <v>29</v>
      </c>
      <c r="AO440">
        <f t="shared" si="236"/>
        <v>32</v>
      </c>
      <c r="AP440">
        <f t="shared" si="237"/>
        <v>40</v>
      </c>
      <c r="AQ440">
        <f t="shared" si="238"/>
        <v>43</v>
      </c>
      <c r="AR440" s="26">
        <f t="shared" si="239"/>
        <v>56</v>
      </c>
      <c r="AS440" s="26">
        <f t="shared" si="240"/>
        <v>63</v>
      </c>
      <c r="AT440" s="21">
        <f t="shared" si="241"/>
        <v>12</v>
      </c>
      <c r="AU440" s="21">
        <f t="shared" si="242"/>
        <v>19</v>
      </c>
      <c r="AV440">
        <f t="shared" si="243"/>
        <v>73</v>
      </c>
      <c r="AW440">
        <f t="shared" si="244"/>
        <v>76</v>
      </c>
      <c r="AX440">
        <f t="shared" si="245"/>
        <v>84</v>
      </c>
      <c r="AY440">
        <f t="shared" si="246"/>
        <v>87</v>
      </c>
      <c r="AZ440" t="str">
        <f t="shared" si="247"/>
        <v>-</v>
      </c>
      <c r="BA440" t="str">
        <f t="shared" si="248"/>
        <v>-</v>
      </c>
      <c r="BB440" t="str">
        <f t="shared" si="249"/>
        <v>-</v>
      </c>
      <c r="BC440" t="str">
        <f t="shared" si="250"/>
        <v>-</v>
      </c>
      <c r="BD440" s="29" t="str">
        <f t="shared" si="251"/>
        <v>-</v>
      </c>
      <c r="BE440" s="29" t="str">
        <f t="shared" si="252"/>
        <v>-</v>
      </c>
    </row>
    <row r="441" spans="1:57" ht="15" x14ac:dyDescent="0.2">
      <c r="A441" s="2">
        <v>915</v>
      </c>
      <c r="B441" s="2" t="str">
        <f t="shared" si="217"/>
        <v>0915</v>
      </c>
      <c r="C441" t="str">
        <f t="shared" si="218"/>
        <v>ORD-SP-0915-11/06/24</v>
      </c>
      <c r="D441" s="3" t="s">
        <v>850</v>
      </c>
      <c r="E441" t="str">
        <f t="shared" si="219"/>
        <v>PW002</v>
      </c>
      <c r="F441" t="str">
        <f>INDEX(Katalog!$B$4:$B$13,MATCH('Main Data'!E441,Katalog!$C$4:$C$13,0))</f>
        <v>Blouse</v>
      </c>
      <c r="G441" t="str">
        <f>VLOOKUP(E441,Katalog!$A$15:$B$25,2,0)</f>
        <v>Pakaian Wanita</v>
      </c>
      <c r="H441" t="str">
        <f t="shared" si="220"/>
        <v>1</v>
      </c>
      <c r="I441" t="str">
        <f t="shared" si="221"/>
        <v>3</v>
      </c>
      <c r="J441" s="18">
        <f>VLOOKUP(E441,Katalog!$C$3:$F$13,2,0)</f>
        <v>125000</v>
      </c>
      <c r="K441" s="18">
        <f>VLOOKUP(E441,Katalog!$C$3:$F$13,3,0)</f>
        <v>50000</v>
      </c>
      <c r="L441" t="str">
        <f t="shared" si="222"/>
        <v>PP003</v>
      </c>
      <c r="M441" t="str">
        <f>IFERROR(INDEX(Katalog!$B$4:$B$13,MATCH('Main Data'!L441,Katalog!$C$4:$C$13,0)), "-")</f>
        <v>Jaket Jeans</v>
      </c>
      <c r="N441" t="str">
        <f>IFERROR(VLOOKUP(L441,Katalog!$A$15:$B$25,2,0),"-")</f>
        <v>Pakaian Pria</v>
      </c>
      <c r="O441" t="str">
        <f t="shared" si="223"/>
        <v>1</v>
      </c>
      <c r="P441" t="str">
        <f t="shared" si="224"/>
        <v>3</v>
      </c>
      <c r="Q441" s="18">
        <f>IFERROR(VLOOKUP(L441,Katalog!$C$3:$F$13,2,0),0)</f>
        <v>150000</v>
      </c>
      <c r="R441" s="18">
        <f>IFERROR(VLOOKUP(L441,Katalog!$C$3:$F$13,3,0),0)</f>
        <v>70000</v>
      </c>
      <c r="S441" t="str">
        <f t="shared" si="225"/>
        <v>-</v>
      </c>
      <c r="T441" t="str">
        <f>IFERROR(INDEX(Katalog!$B$4:$B$13,MATCH('Main Data'!S441,Katalog!$C$4:$C$13,0)),"-")</f>
        <v>-</v>
      </c>
      <c r="U441" t="str">
        <f>IFERROR(VLOOKUP(S441,Katalog!$A$15:$B$25,2,0),"-")</f>
        <v>-</v>
      </c>
      <c r="V441">
        <f t="shared" si="226"/>
        <v>0</v>
      </c>
      <c r="W441" s="28" t="str">
        <f t="shared" si="227"/>
        <v>-</v>
      </c>
      <c r="X441" s="18">
        <f>IFERROR(VLOOKUP(S441,Katalog!$C$3:$F$13,2,0),0)</f>
        <v>0</v>
      </c>
      <c r="Y441" s="30">
        <f>IFERROR(VLOOKUP(S441,Katalog!$C$3:$F$13,3,0),0)</f>
        <v>0</v>
      </c>
      <c r="Z441" s="2">
        <f t="shared" si="228"/>
        <v>2</v>
      </c>
      <c r="AA441" s="4">
        <f t="shared" si="229"/>
        <v>275000</v>
      </c>
      <c r="AB441" s="4">
        <f t="shared" si="230"/>
        <v>120000</v>
      </c>
      <c r="AC441" s="4" t="s">
        <v>5</v>
      </c>
      <c r="AD441" s="16">
        <f>IFERROR(VLOOKUP(AC441,'Kode Diskon'!$C$2:$D$9,2,0),0)</f>
        <v>0.1</v>
      </c>
      <c r="AE441" s="31">
        <f t="shared" si="231"/>
        <v>27500</v>
      </c>
      <c r="AF441" s="31">
        <f t="shared" si="232"/>
        <v>247500</v>
      </c>
      <c r="AG441" s="31">
        <f t="shared" si="233"/>
        <v>155000</v>
      </c>
      <c r="AH441" s="31">
        <f t="shared" si="234"/>
        <v>127500</v>
      </c>
      <c r="AI441" s="4" t="s">
        <v>28</v>
      </c>
      <c r="AJ441" s="4" t="s">
        <v>6</v>
      </c>
      <c r="AK441" s="4" t="str">
        <f>IFERROR(VLOOKUP(AJ441,'Guide '!$A$13:$B$16,2,0),"-")</f>
        <v>SP</v>
      </c>
      <c r="AL441" s="4" t="s">
        <v>921</v>
      </c>
      <c r="AM441" s="40">
        <v>45454</v>
      </c>
      <c r="AN441">
        <f t="shared" si="235"/>
        <v>29</v>
      </c>
      <c r="AO441">
        <f t="shared" si="236"/>
        <v>32</v>
      </c>
      <c r="AP441">
        <f t="shared" si="237"/>
        <v>40</v>
      </c>
      <c r="AQ441">
        <f t="shared" si="238"/>
        <v>43</v>
      </c>
      <c r="AR441" s="26">
        <f t="shared" si="239"/>
        <v>56</v>
      </c>
      <c r="AS441" s="26">
        <f t="shared" si="240"/>
        <v>63</v>
      </c>
      <c r="AT441" s="21">
        <f t="shared" si="241"/>
        <v>12</v>
      </c>
      <c r="AU441" s="21">
        <f t="shared" si="242"/>
        <v>19</v>
      </c>
      <c r="AV441">
        <f t="shared" si="243"/>
        <v>73</v>
      </c>
      <c r="AW441">
        <f t="shared" si="244"/>
        <v>76</v>
      </c>
      <c r="AX441">
        <f t="shared" si="245"/>
        <v>84</v>
      </c>
      <c r="AY441">
        <f t="shared" si="246"/>
        <v>87</v>
      </c>
      <c r="AZ441" t="str">
        <f t="shared" si="247"/>
        <v>-</v>
      </c>
      <c r="BA441" t="str">
        <f t="shared" si="248"/>
        <v>-</v>
      </c>
      <c r="BB441" t="str">
        <f t="shared" si="249"/>
        <v>-</v>
      </c>
      <c r="BC441" t="str">
        <f t="shared" si="250"/>
        <v>-</v>
      </c>
      <c r="BD441" s="29" t="str">
        <f t="shared" si="251"/>
        <v>-</v>
      </c>
      <c r="BE441" s="29" t="str">
        <f t="shared" si="252"/>
        <v>-</v>
      </c>
    </row>
    <row r="442" spans="1:57" ht="15" x14ac:dyDescent="0.2">
      <c r="A442" s="2">
        <v>510</v>
      </c>
      <c r="B442" s="2" t="str">
        <f t="shared" si="217"/>
        <v>0510</v>
      </c>
      <c r="C442" t="str">
        <f t="shared" si="218"/>
        <v>ORD-SP-0510-12/06/24</v>
      </c>
      <c r="D442" s="3" t="s">
        <v>539</v>
      </c>
      <c r="E442" t="str">
        <f t="shared" si="219"/>
        <v>SW001</v>
      </c>
      <c r="F442" t="str">
        <f>INDEX(Katalog!$B$4:$B$13,MATCH('Main Data'!E442,Katalog!$C$4:$C$13,0))</f>
        <v>Flat Shoes</v>
      </c>
      <c r="G442" t="str">
        <f>VLOOKUP(E442,Katalog!$A$15:$B$25,2,0)</f>
        <v>Sepatu Wanita</v>
      </c>
      <c r="H442" t="str">
        <f t="shared" si="220"/>
        <v>1</v>
      </c>
      <c r="I442" t="str">
        <f t="shared" si="221"/>
        <v>4</v>
      </c>
      <c r="J442" s="18">
        <f>VLOOKUP(E442,Katalog!$C$3:$F$13,2,0)</f>
        <v>150000</v>
      </c>
      <c r="K442" s="18">
        <f>VLOOKUP(E442,Katalog!$C$3:$F$13,3,0)</f>
        <v>70000</v>
      </c>
      <c r="L442" t="str">
        <f t="shared" si="222"/>
        <v>-</v>
      </c>
      <c r="M442" t="str">
        <f>IFERROR(INDEX(Katalog!$B$4:$B$13,MATCH('Main Data'!L442,Katalog!$C$4:$C$13,0)), "-")</f>
        <v>-</v>
      </c>
      <c r="N442" t="str">
        <f>IFERROR(VLOOKUP(L442,Katalog!$A$15:$B$25,2,0),"-")</f>
        <v>-</v>
      </c>
      <c r="O442">
        <f t="shared" si="223"/>
        <v>0</v>
      </c>
      <c r="P442" t="str">
        <f t="shared" si="224"/>
        <v>-</v>
      </c>
      <c r="Q442" s="18">
        <f>IFERROR(VLOOKUP(L442,Katalog!$C$3:$F$13,2,0),0)</f>
        <v>0</v>
      </c>
      <c r="R442" s="18">
        <f>IFERROR(VLOOKUP(L442,Katalog!$C$3:$F$13,3,0),0)</f>
        <v>0</v>
      </c>
      <c r="S442" t="str">
        <f t="shared" si="225"/>
        <v>-</v>
      </c>
      <c r="T442" t="str">
        <f>IFERROR(INDEX(Katalog!$B$4:$B$13,MATCH('Main Data'!S442,Katalog!$C$4:$C$13,0)),"-")</f>
        <v>-</v>
      </c>
      <c r="U442" t="str">
        <f>IFERROR(VLOOKUP(S442,Katalog!$A$15:$B$25,2,0),"-")</f>
        <v>-</v>
      </c>
      <c r="V442">
        <f t="shared" si="226"/>
        <v>0</v>
      </c>
      <c r="W442" s="28" t="str">
        <f t="shared" si="227"/>
        <v>-</v>
      </c>
      <c r="X442" s="18">
        <f>IFERROR(VLOOKUP(S442,Katalog!$C$3:$F$13,2,0),0)</f>
        <v>0</v>
      </c>
      <c r="Y442" s="30">
        <f>IFERROR(VLOOKUP(S442,Katalog!$C$3:$F$13,3,0),0)</f>
        <v>0</v>
      </c>
      <c r="Z442" s="2">
        <f t="shared" si="228"/>
        <v>1</v>
      </c>
      <c r="AA442" s="4">
        <f t="shared" si="229"/>
        <v>150000</v>
      </c>
      <c r="AB442" s="4">
        <f t="shared" si="230"/>
        <v>70000</v>
      </c>
      <c r="AC442" s="4" t="s">
        <v>12</v>
      </c>
      <c r="AD442" s="16">
        <f>IFERROR(VLOOKUP(AC442,'Kode Diskon'!$C$2:$D$9,2,0),0)</f>
        <v>0.15</v>
      </c>
      <c r="AE442" s="31">
        <f t="shared" si="231"/>
        <v>22500</v>
      </c>
      <c r="AF442" s="31">
        <f t="shared" si="232"/>
        <v>127500</v>
      </c>
      <c r="AG442" s="31">
        <f t="shared" si="233"/>
        <v>80000</v>
      </c>
      <c r="AH442" s="31">
        <f t="shared" si="234"/>
        <v>57500</v>
      </c>
      <c r="AI442" s="4" t="s">
        <v>28</v>
      </c>
      <c r="AJ442" s="4" t="s">
        <v>6</v>
      </c>
      <c r="AK442" s="4" t="str">
        <f>IFERROR(VLOOKUP(AJ442,'Guide '!$A$13:$B$16,2,0),"-")</f>
        <v>SP</v>
      </c>
      <c r="AL442" s="4" t="s">
        <v>924</v>
      </c>
      <c r="AM442" s="40">
        <v>45455</v>
      </c>
      <c r="AN442">
        <f t="shared" si="235"/>
        <v>29</v>
      </c>
      <c r="AO442">
        <f t="shared" si="236"/>
        <v>32</v>
      </c>
      <c r="AP442">
        <f t="shared" si="237"/>
        <v>40</v>
      </c>
      <c r="AQ442">
        <f t="shared" si="238"/>
        <v>43</v>
      </c>
      <c r="AR442" s="26" t="str">
        <f t="shared" si="239"/>
        <v>-</v>
      </c>
      <c r="AS442" s="26" t="str">
        <f t="shared" si="240"/>
        <v>-</v>
      </c>
      <c r="AT442" s="21">
        <f t="shared" si="241"/>
        <v>12</v>
      </c>
      <c r="AU442" s="21">
        <f t="shared" si="242"/>
        <v>19</v>
      </c>
      <c r="AV442" t="str">
        <f t="shared" si="243"/>
        <v>-</v>
      </c>
      <c r="AW442" t="str">
        <f t="shared" si="244"/>
        <v>-</v>
      </c>
      <c r="AX442" t="str">
        <f t="shared" si="245"/>
        <v>-</v>
      </c>
      <c r="AY442" t="str">
        <f t="shared" si="246"/>
        <v>-</v>
      </c>
      <c r="AZ442" t="str">
        <f t="shared" si="247"/>
        <v>-</v>
      </c>
      <c r="BA442" t="str">
        <f t="shared" si="248"/>
        <v>-</v>
      </c>
      <c r="BB442" t="str">
        <f t="shared" si="249"/>
        <v>-</v>
      </c>
      <c r="BC442" t="str">
        <f t="shared" si="250"/>
        <v>-</v>
      </c>
      <c r="BD442" s="29" t="str">
        <f t="shared" si="251"/>
        <v>-</v>
      </c>
      <c r="BE442" s="29" t="str">
        <f t="shared" si="252"/>
        <v>-</v>
      </c>
    </row>
    <row r="443" spans="1:57" ht="15" x14ac:dyDescent="0.2">
      <c r="A443" s="2">
        <v>769</v>
      </c>
      <c r="B443" s="2" t="str">
        <f t="shared" si="217"/>
        <v>0769</v>
      </c>
      <c r="C443" t="str">
        <f t="shared" si="218"/>
        <v>ORD-TK-0769-12/06/24</v>
      </c>
      <c r="D443" s="3" t="s">
        <v>747</v>
      </c>
      <c r="E443" t="str">
        <f t="shared" si="219"/>
        <v>PP003</v>
      </c>
      <c r="F443" t="str">
        <f>INDEX(Katalog!$B$4:$B$13,MATCH('Main Data'!E443,Katalog!$C$4:$C$13,0))</f>
        <v>Jaket Jeans</v>
      </c>
      <c r="G443" t="str">
        <f>VLOOKUP(E443,Katalog!$A$15:$B$25,2,0)</f>
        <v>Pakaian Pria</v>
      </c>
      <c r="H443" t="str">
        <f t="shared" si="220"/>
        <v>3</v>
      </c>
      <c r="I443" t="str">
        <f t="shared" si="221"/>
        <v>3</v>
      </c>
      <c r="J443" s="18">
        <f>VLOOKUP(E443,Katalog!$C$3:$F$13,2,0)</f>
        <v>150000</v>
      </c>
      <c r="K443" s="18">
        <f>VLOOKUP(E443,Katalog!$C$3:$F$13,3,0)</f>
        <v>70000</v>
      </c>
      <c r="L443" t="str">
        <f t="shared" si="222"/>
        <v>PW002</v>
      </c>
      <c r="M443" t="str">
        <f>IFERROR(INDEX(Katalog!$B$4:$B$13,MATCH('Main Data'!L443,Katalog!$C$4:$C$13,0)), "-")</f>
        <v>Blouse</v>
      </c>
      <c r="N443" t="str">
        <f>IFERROR(VLOOKUP(L443,Katalog!$A$15:$B$25,2,0),"-")</f>
        <v>Pakaian Wanita</v>
      </c>
      <c r="O443" t="str">
        <f t="shared" si="223"/>
        <v>3</v>
      </c>
      <c r="P443" t="str">
        <f t="shared" si="224"/>
        <v>3</v>
      </c>
      <c r="Q443" s="18">
        <f>IFERROR(VLOOKUP(L443,Katalog!$C$3:$F$13,2,0),0)</f>
        <v>125000</v>
      </c>
      <c r="R443" s="18">
        <f>IFERROR(VLOOKUP(L443,Katalog!$C$3:$F$13,3,0),0)</f>
        <v>50000</v>
      </c>
      <c r="S443" t="str">
        <f t="shared" si="225"/>
        <v>-</v>
      </c>
      <c r="T443" t="str">
        <f>IFERROR(INDEX(Katalog!$B$4:$B$13,MATCH('Main Data'!S443,Katalog!$C$4:$C$13,0)),"-")</f>
        <v>-</v>
      </c>
      <c r="U443" t="str">
        <f>IFERROR(VLOOKUP(S443,Katalog!$A$15:$B$25,2,0),"-")</f>
        <v>-</v>
      </c>
      <c r="V443">
        <f t="shared" si="226"/>
        <v>0</v>
      </c>
      <c r="W443" s="28" t="str">
        <f t="shared" si="227"/>
        <v>-</v>
      </c>
      <c r="X443" s="18">
        <f>IFERROR(VLOOKUP(S443,Katalog!$C$3:$F$13,2,0),0)</f>
        <v>0</v>
      </c>
      <c r="Y443" s="30">
        <f>IFERROR(VLOOKUP(S443,Katalog!$C$3:$F$13,3,0),0)</f>
        <v>0</v>
      </c>
      <c r="Z443" s="2">
        <f t="shared" si="228"/>
        <v>6</v>
      </c>
      <c r="AA443" s="4">
        <f t="shared" si="229"/>
        <v>825000</v>
      </c>
      <c r="AB443" s="4">
        <f t="shared" si="230"/>
        <v>360000</v>
      </c>
      <c r="AC443" s="4" t="s">
        <v>30</v>
      </c>
      <c r="AD443" s="16">
        <f>IFERROR(VLOOKUP(AC443,'Kode Diskon'!$C$2:$D$9,2,0),0)</f>
        <v>0.1</v>
      </c>
      <c r="AE443" s="31">
        <f t="shared" si="231"/>
        <v>82500</v>
      </c>
      <c r="AF443" s="31">
        <f t="shared" si="232"/>
        <v>742500</v>
      </c>
      <c r="AG443" s="31">
        <f t="shared" si="233"/>
        <v>465000</v>
      </c>
      <c r="AH443" s="31">
        <f t="shared" si="234"/>
        <v>382500</v>
      </c>
      <c r="AI443" s="4" t="s">
        <v>8</v>
      </c>
      <c r="AJ443" s="4" t="s">
        <v>9</v>
      </c>
      <c r="AK443" s="4" t="str">
        <f>IFERROR(VLOOKUP(AJ443,'Guide '!$A$13:$B$16,2,0),"-")</f>
        <v>TK</v>
      </c>
      <c r="AL443" s="4" t="s">
        <v>921</v>
      </c>
      <c r="AM443" s="40">
        <v>45455</v>
      </c>
      <c r="AN443">
        <f t="shared" si="235"/>
        <v>29</v>
      </c>
      <c r="AO443">
        <f t="shared" si="236"/>
        <v>32</v>
      </c>
      <c r="AP443">
        <f t="shared" si="237"/>
        <v>40</v>
      </c>
      <c r="AQ443">
        <f t="shared" si="238"/>
        <v>43</v>
      </c>
      <c r="AR443" s="26">
        <f t="shared" si="239"/>
        <v>56</v>
      </c>
      <c r="AS443" s="26">
        <f t="shared" si="240"/>
        <v>63</v>
      </c>
      <c r="AT443" s="21">
        <f t="shared" si="241"/>
        <v>12</v>
      </c>
      <c r="AU443" s="21">
        <f t="shared" si="242"/>
        <v>19</v>
      </c>
      <c r="AV443">
        <f t="shared" si="243"/>
        <v>73</v>
      </c>
      <c r="AW443">
        <f t="shared" si="244"/>
        <v>76</v>
      </c>
      <c r="AX443">
        <f t="shared" si="245"/>
        <v>84</v>
      </c>
      <c r="AY443">
        <f t="shared" si="246"/>
        <v>87</v>
      </c>
      <c r="AZ443" t="str">
        <f t="shared" si="247"/>
        <v>-</v>
      </c>
      <c r="BA443" t="str">
        <f t="shared" si="248"/>
        <v>-</v>
      </c>
      <c r="BB443" t="str">
        <f t="shared" si="249"/>
        <v>-</v>
      </c>
      <c r="BC443" t="str">
        <f t="shared" si="250"/>
        <v>-</v>
      </c>
      <c r="BD443" s="29" t="str">
        <f t="shared" si="251"/>
        <v>-</v>
      </c>
      <c r="BE443" s="29" t="str">
        <f t="shared" si="252"/>
        <v>-</v>
      </c>
    </row>
    <row r="444" spans="1:57" ht="15" x14ac:dyDescent="0.2">
      <c r="A444" s="2">
        <v>569</v>
      </c>
      <c r="B444" s="2" t="str">
        <f t="shared" si="217"/>
        <v>0569</v>
      </c>
      <c r="C444" t="str">
        <f t="shared" si="218"/>
        <v>ORD-SP-0569-14/06/24</v>
      </c>
      <c r="D444" s="3" t="s">
        <v>359</v>
      </c>
      <c r="E444" t="str">
        <f t="shared" si="219"/>
        <v>PP003</v>
      </c>
      <c r="F444" t="str">
        <f>INDEX(Katalog!$B$4:$B$13,MATCH('Main Data'!E444,Katalog!$C$4:$C$13,0))</f>
        <v>Jaket Jeans</v>
      </c>
      <c r="G444" t="str">
        <f>VLOOKUP(E444,Katalog!$A$15:$B$25,2,0)</f>
        <v>Pakaian Pria</v>
      </c>
      <c r="H444" t="str">
        <f t="shared" si="220"/>
        <v>2</v>
      </c>
      <c r="I444" t="str">
        <f t="shared" si="221"/>
        <v>4</v>
      </c>
      <c r="J444" s="18">
        <f>VLOOKUP(E444,Katalog!$C$3:$F$13,2,0)</f>
        <v>150000</v>
      </c>
      <c r="K444" s="18">
        <f>VLOOKUP(E444,Katalog!$C$3:$F$13,3,0)</f>
        <v>70000</v>
      </c>
      <c r="L444" t="str">
        <f t="shared" si="222"/>
        <v>-</v>
      </c>
      <c r="M444" t="str">
        <f>IFERROR(INDEX(Katalog!$B$4:$B$13,MATCH('Main Data'!L444,Katalog!$C$4:$C$13,0)), "-")</f>
        <v>-</v>
      </c>
      <c r="N444" t="str">
        <f>IFERROR(VLOOKUP(L444,Katalog!$A$15:$B$25,2,0),"-")</f>
        <v>-</v>
      </c>
      <c r="O444">
        <f t="shared" si="223"/>
        <v>0</v>
      </c>
      <c r="P444" t="str">
        <f t="shared" si="224"/>
        <v>-</v>
      </c>
      <c r="Q444" s="18">
        <f>IFERROR(VLOOKUP(L444,Katalog!$C$3:$F$13,2,0),0)</f>
        <v>0</v>
      </c>
      <c r="R444" s="18">
        <f>IFERROR(VLOOKUP(L444,Katalog!$C$3:$F$13,3,0),0)</f>
        <v>0</v>
      </c>
      <c r="S444" t="str">
        <f t="shared" si="225"/>
        <v>-</v>
      </c>
      <c r="T444" t="str">
        <f>IFERROR(INDEX(Katalog!$B$4:$B$13,MATCH('Main Data'!S444,Katalog!$C$4:$C$13,0)),"-")</f>
        <v>-</v>
      </c>
      <c r="U444" t="str">
        <f>IFERROR(VLOOKUP(S444,Katalog!$A$15:$B$25,2,0),"-")</f>
        <v>-</v>
      </c>
      <c r="V444">
        <f t="shared" si="226"/>
        <v>0</v>
      </c>
      <c r="W444" s="28" t="str">
        <f t="shared" si="227"/>
        <v>-</v>
      </c>
      <c r="X444" s="18">
        <f>IFERROR(VLOOKUP(S444,Katalog!$C$3:$F$13,2,0),0)</f>
        <v>0</v>
      </c>
      <c r="Y444" s="30">
        <f>IFERROR(VLOOKUP(S444,Katalog!$C$3:$F$13,3,0),0)</f>
        <v>0</v>
      </c>
      <c r="Z444" s="2">
        <f t="shared" si="228"/>
        <v>2</v>
      </c>
      <c r="AA444" s="4">
        <f t="shared" si="229"/>
        <v>300000</v>
      </c>
      <c r="AB444" s="4">
        <f t="shared" si="230"/>
        <v>140000</v>
      </c>
      <c r="AC444" s="4" t="s">
        <v>12</v>
      </c>
      <c r="AD444" s="16">
        <f>IFERROR(VLOOKUP(AC444,'Kode Diskon'!$C$2:$D$9,2,0),0)</f>
        <v>0.15</v>
      </c>
      <c r="AE444" s="31">
        <f t="shared" si="231"/>
        <v>45000</v>
      </c>
      <c r="AF444" s="31">
        <f t="shared" si="232"/>
        <v>255000</v>
      </c>
      <c r="AG444" s="31">
        <f t="shared" si="233"/>
        <v>160000</v>
      </c>
      <c r="AH444" s="31">
        <f t="shared" si="234"/>
        <v>115000</v>
      </c>
      <c r="AI444" s="4" t="s">
        <v>28</v>
      </c>
      <c r="AJ444" s="4" t="s">
        <v>6</v>
      </c>
      <c r="AK444" s="4" t="str">
        <f>IFERROR(VLOOKUP(AJ444,'Guide '!$A$13:$B$16,2,0),"-")</f>
        <v>SP</v>
      </c>
      <c r="AL444" s="4" t="s">
        <v>923</v>
      </c>
      <c r="AM444" s="40">
        <v>45457</v>
      </c>
      <c r="AN444">
        <f t="shared" si="235"/>
        <v>29</v>
      </c>
      <c r="AO444">
        <f t="shared" si="236"/>
        <v>32</v>
      </c>
      <c r="AP444">
        <f t="shared" si="237"/>
        <v>40</v>
      </c>
      <c r="AQ444">
        <f t="shared" si="238"/>
        <v>43</v>
      </c>
      <c r="AR444" s="26" t="str">
        <f t="shared" si="239"/>
        <v>-</v>
      </c>
      <c r="AS444" s="26" t="str">
        <f t="shared" si="240"/>
        <v>-</v>
      </c>
      <c r="AT444" s="21">
        <f t="shared" si="241"/>
        <v>12</v>
      </c>
      <c r="AU444" s="21">
        <f t="shared" si="242"/>
        <v>19</v>
      </c>
      <c r="AV444" t="str">
        <f t="shared" si="243"/>
        <v>-</v>
      </c>
      <c r="AW444" t="str">
        <f t="shared" si="244"/>
        <v>-</v>
      </c>
      <c r="AX444" t="str">
        <f t="shared" si="245"/>
        <v>-</v>
      </c>
      <c r="AY444" t="str">
        <f t="shared" si="246"/>
        <v>-</v>
      </c>
      <c r="AZ444" t="str">
        <f t="shared" si="247"/>
        <v>-</v>
      </c>
      <c r="BA444" t="str">
        <f t="shared" si="248"/>
        <v>-</v>
      </c>
      <c r="BB444" t="str">
        <f t="shared" si="249"/>
        <v>-</v>
      </c>
      <c r="BC444" t="str">
        <f t="shared" si="250"/>
        <v>-</v>
      </c>
      <c r="BD444" s="29" t="str">
        <f t="shared" si="251"/>
        <v>-</v>
      </c>
      <c r="BE444" s="29" t="str">
        <f t="shared" si="252"/>
        <v>-</v>
      </c>
    </row>
    <row r="445" spans="1:57" ht="15" x14ac:dyDescent="0.2">
      <c r="A445" s="2">
        <v>723</v>
      </c>
      <c r="B445" s="2" t="str">
        <f t="shared" si="217"/>
        <v>0723</v>
      </c>
      <c r="C445" t="str">
        <f t="shared" si="218"/>
        <v>ORD-TK-0723-14/06/24</v>
      </c>
      <c r="D445" s="3" t="s">
        <v>710</v>
      </c>
      <c r="E445" t="str">
        <f t="shared" si="219"/>
        <v>PP003</v>
      </c>
      <c r="F445" t="str">
        <f>INDEX(Katalog!$B$4:$B$13,MATCH('Main Data'!E445,Katalog!$C$4:$C$13,0))</f>
        <v>Jaket Jeans</v>
      </c>
      <c r="G445" t="str">
        <f>VLOOKUP(E445,Katalog!$A$15:$B$25,2,0)</f>
        <v>Pakaian Pria</v>
      </c>
      <c r="H445" t="str">
        <f t="shared" si="220"/>
        <v>2</v>
      </c>
      <c r="I445" t="str">
        <f t="shared" si="221"/>
        <v>4</v>
      </c>
      <c r="J445" s="18">
        <f>VLOOKUP(E445,Katalog!$C$3:$F$13,2,0)</f>
        <v>150000</v>
      </c>
      <c r="K445" s="18">
        <f>VLOOKUP(E445,Katalog!$C$3:$F$13,3,0)</f>
        <v>70000</v>
      </c>
      <c r="L445" t="str">
        <f t="shared" si="222"/>
        <v>PW003</v>
      </c>
      <c r="M445" t="str">
        <f>IFERROR(INDEX(Katalog!$B$4:$B$13,MATCH('Main Data'!L445,Katalog!$C$4:$C$13,0)), "-")</f>
        <v>Kaftan</v>
      </c>
      <c r="N445" t="str">
        <f>IFERROR(VLOOKUP(L445,Katalog!$A$15:$B$25,2,0),"-")</f>
        <v>Pakaian Wanita</v>
      </c>
      <c r="O445" t="str">
        <f t="shared" si="223"/>
        <v>1</v>
      </c>
      <c r="P445" t="str">
        <f t="shared" si="224"/>
        <v>2</v>
      </c>
      <c r="Q445" s="18">
        <f>IFERROR(VLOOKUP(L445,Katalog!$C$3:$F$13,2,0),0)</f>
        <v>200000</v>
      </c>
      <c r="R445" s="18">
        <f>IFERROR(VLOOKUP(L445,Katalog!$C$3:$F$13,3,0),0)</f>
        <v>100000</v>
      </c>
      <c r="S445" t="str">
        <f t="shared" si="225"/>
        <v>PP003</v>
      </c>
      <c r="T445" t="str">
        <f>IFERROR(INDEX(Katalog!$B$4:$B$13,MATCH('Main Data'!S445,Katalog!$C$4:$C$13,0)),"-")</f>
        <v>Jaket Jeans</v>
      </c>
      <c r="U445" t="str">
        <f>IFERROR(VLOOKUP(S445,Katalog!$A$15:$B$25,2,0),"-")</f>
        <v>Pakaian Pria</v>
      </c>
      <c r="V445" t="str">
        <f t="shared" si="226"/>
        <v>2</v>
      </c>
      <c r="W445" s="28" t="str">
        <f t="shared" si="227"/>
        <v>3</v>
      </c>
      <c r="X445" s="18">
        <f>IFERROR(VLOOKUP(S445,Katalog!$C$3:$F$13,2,0),0)</f>
        <v>150000</v>
      </c>
      <c r="Y445" s="30">
        <f>IFERROR(VLOOKUP(S445,Katalog!$C$3:$F$13,3,0),0)</f>
        <v>70000</v>
      </c>
      <c r="Z445" s="2">
        <f t="shared" si="228"/>
        <v>5</v>
      </c>
      <c r="AA445" s="4">
        <f t="shared" si="229"/>
        <v>800000</v>
      </c>
      <c r="AB445" s="4">
        <f t="shared" si="230"/>
        <v>380000</v>
      </c>
      <c r="AC445" s="4" t="s">
        <v>30</v>
      </c>
      <c r="AD445" s="16">
        <f>IFERROR(VLOOKUP(AC445,'Kode Diskon'!$C$2:$D$9,2,0),0)</f>
        <v>0.1</v>
      </c>
      <c r="AE445" s="31">
        <f t="shared" si="231"/>
        <v>80000</v>
      </c>
      <c r="AF445" s="31">
        <f t="shared" si="232"/>
        <v>720000</v>
      </c>
      <c r="AG445" s="31">
        <f t="shared" si="233"/>
        <v>420000</v>
      </c>
      <c r="AH445" s="31">
        <f t="shared" si="234"/>
        <v>340000</v>
      </c>
      <c r="AI445" s="4" t="s">
        <v>8</v>
      </c>
      <c r="AJ445" s="4" t="s">
        <v>9</v>
      </c>
      <c r="AK445" s="4" t="str">
        <f>IFERROR(VLOOKUP(AJ445,'Guide '!$A$13:$B$16,2,0),"-")</f>
        <v>TK</v>
      </c>
      <c r="AL445" s="4" t="s">
        <v>924</v>
      </c>
      <c r="AM445" s="40">
        <v>45457</v>
      </c>
      <c r="AN445">
        <f t="shared" si="235"/>
        <v>29</v>
      </c>
      <c r="AO445">
        <f t="shared" si="236"/>
        <v>32</v>
      </c>
      <c r="AP445">
        <f t="shared" si="237"/>
        <v>40</v>
      </c>
      <c r="AQ445">
        <f t="shared" si="238"/>
        <v>43</v>
      </c>
      <c r="AR445" s="26">
        <f t="shared" si="239"/>
        <v>56</v>
      </c>
      <c r="AS445" s="26">
        <f t="shared" si="240"/>
        <v>63</v>
      </c>
      <c r="AT445" s="21">
        <f t="shared" si="241"/>
        <v>12</v>
      </c>
      <c r="AU445" s="21">
        <f t="shared" si="242"/>
        <v>19</v>
      </c>
      <c r="AV445">
        <f t="shared" si="243"/>
        <v>73</v>
      </c>
      <c r="AW445">
        <f t="shared" si="244"/>
        <v>76</v>
      </c>
      <c r="AX445">
        <f t="shared" si="245"/>
        <v>84</v>
      </c>
      <c r="AY445">
        <f t="shared" si="246"/>
        <v>87</v>
      </c>
      <c r="AZ445">
        <f t="shared" si="247"/>
        <v>100</v>
      </c>
      <c r="BA445">
        <f t="shared" si="248"/>
        <v>107</v>
      </c>
      <c r="BB445">
        <f t="shared" si="249"/>
        <v>117</v>
      </c>
      <c r="BC445">
        <f t="shared" si="250"/>
        <v>120</v>
      </c>
      <c r="BD445" s="29">
        <f t="shared" si="251"/>
        <v>128</v>
      </c>
      <c r="BE445" s="29">
        <f t="shared" si="252"/>
        <v>131</v>
      </c>
    </row>
    <row r="446" spans="1:57" ht="15" x14ac:dyDescent="0.2">
      <c r="A446" s="2">
        <v>2</v>
      </c>
      <c r="B446" s="2" t="str">
        <f t="shared" si="217"/>
        <v>0002</v>
      </c>
      <c r="C446" t="str">
        <f t="shared" si="218"/>
        <v>ORD-TK-0002-15/06/24</v>
      </c>
      <c r="D446" s="3" t="s">
        <v>76</v>
      </c>
      <c r="E446" t="str">
        <f t="shared" si="219"/>
        <v>PW002</v>
      </c>
      <c r="F446" t="str">
        <f>INDEX(Katalog!$B$4:$B$13,MATCH('Main Data'!E446,Katalog!$C$4:$C$13,0))</f>
        <v>Blouse</v>
      </c>
      <c r="G446" t="str">
        <f>VLOOKUP(E446,Katalog!$A$15:$B$25,2,0)</f>
        <v>Pakaian Wanita</v>
      </c>
      <c r="H446" t="str">
        <f t="shared" si="220"/>
        <v>1</v>
      </c>
      <c r="I446" t="str">
        <f t="shared" si="221"/>
        <v>2</v>
      </c>
      <c r="J446" s="18">
        <f>VLOOKUP(E446,Katalog!$C$3:$F$13,2,0)</f>
        <v>125000</v>
      </c>
      <c r="K446" s="18">
        <f>VLOOKUP(E446,Katalog!$C$3:$F$13,3,0)</f>
        <v>50000</v>
      </c>
      <c r="L446" t="str">
        <f t="shared" si="222"/>
        <v>PP003</v>
      </c>
      <c r="M446" t="str">
        <f>IFERROR(INDEX(Katalog!$B$4:$B$13,MATCH('Main Data'!L446,Katalog!$C$4:$C$13,0)), "-")</f>
        <v>Jaket Jeans</v>
      </c>
      <c r="N446" t="str">
        <f>IFERROR(VLOOKUP(L446,Katalog!$A$15:$B$25,2,0),"-")</f>
        <v>Pakaian Pria</v>
      </c>
      <c r="O446" t="str">
        <f t="shared" si="223"/>
        <v>1</v>
      </c>
      <c r="P446" t="str">
        <f t="shared" si="224"/>
        <v>1</v>
      </c>
      <c r="Q446" s="18">
        <f>IFERROR(VLOOKUP(L446,Katalog!$C$3:$F$13,2,0),0)</f>
        <v>150000</v>
      </c>
      <c r="R446" s="18">
        <f>IFERROR(VLOOKUP(L446,Katalog!$C$3:$F$13,3,0),0)</f>
        <v>70000</v>
      </c>
      <c r="S446" t="str">
        <f t="shared" si="225"/>
        <v>SP002</v>
      </c>
      <c r="T446" t="str">
        <f>IFERROR(INDEX(Katalog!$B$4:$B$13,MATCH('Main Data'!S446,Katalog!$C$4:$C$13,0)),"-")</f>
        <v>Sandal Slip On</v>
      </c>
      <c r="U446" t="str">
        <f>IFERROR(VLOOKUP(S446,Katalog!$A$15:$B$25,2,0),"-")</f>
        <v>Sepatu Pria</v>
      </c>
      <c r="V446" t="str">
        <f t="shared" si="226"/>
        <v>2</v>
      </c>
      <c r="W446" s="28" t="str">
        <f t="shared" si="227"/>
        <v>4</v>
      </c>
      <c r="X446" s="18">
        <f>IFERROR(VLOOKUP(S446,Katalog!$C$3:$F$13,2,0),0)</f>
        <v>120000</v>
      </c>
      <c r="Y446" s="30">
        <f>IFERROR(VLOOKUP(S446,Katalog!$C$3:$F$13,3,0),0)</f>
        <v>60000</v>
      </c>
      <c r="Z446" s="2">
        <f t="shared" si="228"/>
        <v>4</v>
      </c>
      <c r="AA446" s="4">
        <f t="shared" si="229"/>
        <v>515000</v>
      </c>
      <c r="AB446" s="4">
        <f t="shared" si="230"/>
        <v>240000</v>
      </c>
      <c r="AC446" s="4" t="s">
        <v>29</v>
      </c>
      <c r="AD446" s="16">
        <f>IFERROR(VLOOKUP(AC446,'Kode Diskon'!$C$2:$D$9,2,0),0)</f>
        <v>0.1</v>
      </c>
      <c r="AE446" s="31">
        <f t="shared" si="231"/>
        <v>51500</v>
      </c>
      <c r="AF446" s="31">
        <f t="shared" si="232"/>
        <v>463500</v>
      </c>
      <c r="AG446" s="31">
        <f t="shared" si="233"/>
        <v>275000</v>
      </c>
      <c r="AH446" s="31">
        <f t="shared" si="234"/>
        <v>223500</v>
      </c>
      <c r="AI446" s="4" t="s">
        <v>28</v>
      </c>
      <c r="AJ446" s="4" t="s">
        <v>9</v>
      </c>
      <c r="AK446" s="4" t="str">
        <f>IFERROR(VLOOKUP(AJ446,'Guide '!$A$13:$B$16,2,0),"-")</f>
        <v>TK</v>
      </c>
      <c r="AL446" s="4" t="s">
        <v>1006</v>
      </c>
      <c r="AM446" s="40">
        <v>45458</v>
      </c>
      <c r="AN446">
        <f t="shared" si="235"/>
        <v>29</v>
      </c>
      <c r="AO446">
        <f t="shared" si="236"/>
        <v>32</v>
      </c>
      <c r="AP446">
        <f t="shared" si="237"/>
        <v>40</v>
      </c>
      <c r="AQ446">
        <f t="shared" si="238"/>
        <v>43</v>
      </c>
      <c r="AR446" s="26">
        <f t="shared" si="239"/>
        <v>56</v>
      </c>
      <c r="AS446" s="26">
        <f t="shared" si="240"/>
        <v>63</v>
      </c>
      <c r="AT446" s="21">
        <f t="shared" si="241"/>
        <v>12</v>
      </c>
      <c r="AU446" s="21">
        <f t="shared" si="242"/>
        <v>19</v>
      </c>
      <c r="AV446">
        <f t="shared" si="243"/>
        <v>73</v>
      </c>
      <c r="AW446">
        <f t="shared" si="244"/>
        <v>76</v>
      </c>
      <c r="AX446">
        <f t="shared" si="245"/>
        <v>84</v>
      </c>
      <c r="AY446">
        <f t="shared" si="246"/>
        <v>87</v>
      </c>
      <c r="AZ446">
        <f t="shared" si="247"/>
        <v>100</v>
      </c>
      <c r="BA446">
        <f t="shared" si="248"/>
        <v>107</v>
      </c>
      <c r="BB446">
        <f t="shared" si="249"/>
        <v>117</v>
      </c>
      <c r="BC446">
        <f t="shared" si="250"/>
        <v>120</v>
      </c>
      <c r="BD446" s="29">
        <f t="shared" si="251"/>
        <v>128</v>
      </c>
      <c r="BE446" s="29">
        <f t="shared" si="252"/>
        <v>131</v>
      </c>
    </row>
    <row r="447" spans="1:57" ht="15" x14ac:dyDescent="0.2">
      <c r="A447" s="2">
        <v>719</v>
      </c>
      <c r="B447" s="2" t="str">
        <f t="shared" si="217"/>
        <v>0719</v>
      </c>
      <c r="C447" t="str">
        <f t="shared" si="218"/>
        <v>ORD-TK-0719-15/06/24</v>
      </c>
      <c r="D447" s="3" t="s">
        <v>708</v>
      </c>
      <c r="E447" t="str">
        <f t="shared" si="219"/>
        <v>PW003</v>
      </c>
      <c r="F447" t="str">
        <f>INDEX(Katalog!$B$4:$B$13,MATCH('Main Data'!E447,Katalog!$C$4:$C$13,0))</f>
        <v>Kaftan</v>
      </c>
      <c r="G447" t="str">
        <f>VLOOKUP(E447,Katalog!$A$15:$B$25,2,0)</f>
        <v>Pakaian Wanita</v>
      </c>
      <c r="H447" t="str">
        <f t="shared" si="220"/>
        <v>1</v>
      </c>
      <c r="I447" t="str">
        <f t="shared" si="221"/>
        <v>2</v>
      </c>
      <c r="J447" s="18">
        <f>VLOOKUP(E447,Katalog!$C$3:$F$13,2,0)</f>
        <v>200000</v>
      </c>
      <c r="K447" s="18">
        <f>VLOOKUP(E447,Katalog!$C$3:$F$13,3,0)</f>
        <v>100000</v>
      </c>
      <c r="L447" t="str">
        <f t="shared" si="222"/>
        <v>PP003</v>
      </c>
      <c r="M447" t="str">
        <f>IFERROR(INDEX(Katalog!$B$4:$B$13,MATCH('Main Data'!L447,Katalog!$C$4:$C$13,0)), "-")</f>
        <v>Jaket Jeans</v>
      </c>
      <c r="N447" t="str">
        <f>IFERROR(VLOOKUP(L447,Katalog!$A$15:$B$25,2,0),"-")</f>
        <v>Pakaian Pria</v>
      </c>
      <c r="O447" t="str">
        <f t="shared" si="223"/>
        <v>4</v>
      </c>
      <c r="P447" t="str">
        <f t="shared" si="224"/>
        <v>1</v>
      </c>
      <c r="Q447" s="18">
        <f>IFERROR(VLOOKUP(L447,Katalog!$C$3:$F$13,2,0),0)</f>
        <v>150000</v>
      </c>
      <c r="R447" s="18">
        <f>IFERROR(VLOOKUP(L447,Katalog!$C$3:$F$13,3,0),0)</f>
        <v>70000</v>
      </c>
      <c r="S447" t="str">
        <f t="shared" si="225"/>
        <v>SP002</v>
      </c>
      <c r="T447" t="str">
        <f>IFERROR(INDEX(Katalog!$B$4:$B$13,MATCH('Main Data'!S447,Katalog!$C$4:$C$13,0)),"-")</f>
        <v>Sandal Slip On</v>
      </c>
      <c r="U447" t="str">
        <f>IFERROR(VLOOKUP(S447,Katalog!$A$15:$B$25,2,0),"-")</f>
        <v>Sepatu Pria</v>
      </c>
      <c r="V447" t="str">
        <f t="shared" si="226"/>
        <v>1</v>
      </c>
      <c r="W447" s="28" t="str">
        <f t="shared" si="227"/>
        <v>5</v>
      </c>
      <c r="X447" s="18">
        <f>IFERROR(VLOOKUP(S447,Katalog!$C$3:$F$13,2,0),0)</f>
        <v>120000</v>
      </c>
      <c r="Y447" s="30">
        <f>IFERROR(VLOOKUP(S447,Katalog!$C$3:$F$13,3,0),0)</f>
        <v>60000</v>
      </c>
      <c r="Z447" s="2">
        <f t="shared" si="228"/>
        <v>6</v>
      </c>
      <c r="AA447" s="4">
        <f t="shared" si="229"/>
        <v>920000</v>
      </c>
      <c r="AB447" s="4">
        <f t="shared" si="230"/>
        <v>440000</v>
      </c>
      <c r="AC447" s="4" t="s">
        <v>29</v>
      </c>
      <c r="AD447" s="16">
        <f>IFERROR(VLOOKUP(AC447,'Kode Diskon'!$C$2:$D$9,2,0),0)</f>
        <v>0.1</v>
      </c>
      <c r="AE447" s="31">
        <f t="shared" si="231"/>
        <v>92000</v>
      </c>
      <c r="AF447" s="31">
        <f t="shared" si="232"/>
        <v>828000</v>
      </c>
      <c r="AG447" s="31">
        <f t="shared" si="233"/>
        <v>480000</v>
      </c>
      <c r="AH447" s="31">
        <f t="shared" si="234"/>
        <v>388000</v>
      </c>
      <c r="AI447" s="4" t="s">
        <v>28</v>
      </c>
      <c r="AJ447" s="4" t="s">
        <v>9</v>
      </c>
      <c r="AK447" s="4" t="str">
        <f>IFERROR(VLOOKUP(AJ447,'Guide '!$A$13:$B$16,2,0),"-")</f>
        <v>TK</v>
      </c>
      <c r="AL447" s="4" t="s">
        <v>925</v>
      </c>
      <c r="AM447" s="40">
        <v>45458</v>
      </c>
      <c r="AN447">
        <f t="shared" si="235"/>
        <v>29</v>
      </c>
      <c r="AO447">
        <f t="shared" si="236"/>
        <v>32</v>
      </c>
      <c r="AP447">
        <f t="shared" si="237"/>
        <v>40</v>
      </c>
      <c r="AQ447">
        <f t="shared" si="238"/>
        <v>43</v>
      </c>
      <c r="AR447" s="26">
        <f t="shared" si="239"/>
        <v>56</v>
      </c>
      <c r="AS447" s="26">
        <f t="shared" si="240"/>
        <v>63</v>
      </c>
      <c r="AT447" s="21">
        <f t="shared" si="241"/>
        <v>12</v>
      </c>
      <c r="AU447" s="21">
        <f t="shared" si="242"/>
        <v>19</v>
      </c>
      <c r="AV447">
        <f t="shared" si="243"/>
        <v>73</v>
      </c>
      <c r="AW447">
        <f t="shared" si="244"/>
        <v>76</v>
      </c>
      <c r="AX447">
        <f t="shared" si="245"/>
        <v>84</v>
      </c>
      <c r="AY447">
        <f t="shared" si="246"/>
        <v>87</v>
      </c>
      <c r="AZ447">
        <f t="shared" si="247"/>
        <v>100</v>
      </c>
      <c r="BA447">
        <f t="shared" si="248"/>
        <v>107</v>
      </c>
      <c r="BB447">
        <f t="shared" si="249"/>
        <v>117</v>
      </c>
      <c r="BC447">
        <f t="shared" si="250"/>
        <v>120</v>
      </c>
      <c r="BD447" s="29">
        <f t="shared" si="251"/>
        <v>128</v>
      </c>
      <c r="BE447" s="29">
        <f t="shared" si="252"/>
        <v>131</v>
      </c>
    </row>
    <row r="448" spans="1:57" ht="15" x14ac:dyDescent="0.2">
      <c r="A448" s="2">
        <v>986</v>
      </c>
      <c r="B448" s="2" t="str">
        <f t="shared" si="217"/>
        <v>0986</v>
      </c>
      <c r="C448" t="str">
        <f t="shared" si="218"/>
        <v>ORD-BL-0986-15/06/24</v>
      </c>
      <c r="D448" s="3" t="s">
        <v>908</v>
      </c>
      <c r="E448" t="str">
        <f t="shared" si="219"/>
        <v>PP003</v>
      </c>
      <c r="F448" t="str">
        <f>INDEX(Katalog!$B$4:$B$13,MATCH('Main Data'!E448,Katalog!$C$4:$C$13,0))</f>
        <v>Jaket Jeans</v>
      </c>
      <c r="G448" t="str">
        <f>VLOOKUP(E448,Katalog!$A$15:$B$25,2,0)</f>
        <v>Pakaian Pria</v>
      </c>
      <c r="H448" t="str">
        <f t="shared" si="220"/>
        <v>2</v>
      </c>
      <c r="I448" t="str">
        <f t="shared" si="221"/>
        <v>2</v>
      </c>
      <c r="J448" s="18">
        <f>VLOOKUP(E448,Katalog!$C$3:$F$13,2,0)</f>
        <v>150000</v>
      </c>
      <c r="K448" s="18">
        <f>VLOOKUP(E448,Katalog!$C$3:$F$13,3,0)</f>
        <v>70000</v>
      </c>
      <c r="L448" t="str">
        <f t="shared" si="222"/>
        <v>PP002</v>
      </c>
      <c r="M448" t="str">
        <f>IFERROR(INDEX(Katalog!$B$4:$B$13,MATCH('Main Data'!L448,Katalog!$C$4:$C$13,0)), "-")</f>
        <v>Celana Pendek</v>
      </c>
      <c r="N448" t="str">
        <f>IFERROR(VLOOKUP(L448,Katalog!$A$15:$B$25,2,0),"-")</f>
        <v>Pakaian Pria</v>
      </c>
      <c r="O448" t="str">
        <f t="shared" si="223"/>
        <v>1</v>
      </c>
      <c r="P448" t="str">
        <f t="shared" si="224"/>
        <v>5</v>
      </c>
      <c r="Q448" s="18">
        <f>IFERROR(VLOOKUP(L448,Katalog!$C$3:$F$13,2,0),0)</f>
        <v>60000</v>
      </c>
      <c r="R448" s="18">
        <f>IFERROR(VLOOKUP(L448,Katalog!$C$3:$F$13,3,0),0)</f>
        <v>25000</v>
      </c>
      <c r="S448" t="str">
        <f t="shared" si="225"/>
        <v>-</v>
      </c>
      <c r="T448" t="str">
        <f>IFERROR(INDEX(Katalog!$B$4:$B$13,MATCH('Main Data'!S448,Katalog!$C$4:$C$13,0)),"-")</f>
        <v>-</v>
      </c>
      <c r="U448" t="str">
        <f>IFERROR(VLOOKUP(S448,Katalog!$A$15:$B$25,2,0),"-")</f>
        <v>-</v>
      </c>
      <c r="V448">
        <f t="shared" si="226"/>
        <v>0</v>
      </c>
      <c r="W448" s="28" t="str">
        <f t="shared" si="227"/>
        <v>-</v>
      </c>
      <c r="X448" s="18">
        <f>IFERROR(VLOOKUP(S448,Katalog!$C$3:$F$13,2,0),0)</f>
        <v>0</v>
      </c>
      <c r="Y448" s="30">
        <f>IFERROR(VLOOKUP(S448,Katalog!$C$3:$F$13,3,0),0)</f>
        <v>0</v>
      </c>
      <c r="Z448" s="2">
        <f t="shared" si="228"/>
        <v>3</v>
      </c>
      <c r="AA448" s="4">
        <f t="shared" si="229"/>
        <v>360000</v>
      </c>
      <c r="AB448" s="4">
        <f t="shared" si="230"/>
        <v>165000</v>
      </c>
      <c r="AC448" s="4" t="s">
        <v>31</v>
      </c>
      <c r="AD448" s="16">
        <f>IFERROR(VLOOKUP(AC448,'Kode Diskon'!$C$2:$D$9,2,0),0)</f>
        <v>0.15</v>
      </c>
      <c r="AE448" s="31">
        <f t="shared" si="231"/>
        <v>54000</v>
      </c>
      <c r="AF448" s="31">
        <f t="shared" si="232"/>
        <v>306000</v>
      </c>
      <c r="AG448" s="31">
        <f t="shared" si="233"/>
        <v>195000</v>
      </c>
      <c r="AH448" s="31">
        <f t="shared" si="234"/>
        <v>141000</v>
      </c>
      <c r="AI448" s="4" t="s">
        <v>8</v>
      </c>
      <c r="AJ448" s="4" t="s">
        <v>11</v>
      </c>
      <c r="AK448" s="4" t="str">
        <f>IFERROR(VLOOKUP(AJ448,'Guide '!$A$13:$B$16,2,0),"-")</f>
        <v>BL</v>
      </c>
      <c r="AL448" s="4" t="s">
        <v>925</v>
      </c>
      <c r="AM448" s="40">
        <v>45458</v>
      </c>
      <c r="AN448">
        <f t="shared" si="235"/>
        <v>29</v>
      </c>
      <c r="AO448">
        <f t="shared" si="236"/>
        <v>32</v>
      </c>
      <c r="AP448">
        <f t="shared" si="237"/>
        <v>40</v>
      </c>
      <c r="AQ448">
        <f t="shared" si="238"/>
        <v>43</v>
      </c>
      <c r="AR448" s="26">
        <f t="shared" si="239"/>
        <v>56</v>
      </c>
      <c r="AS448" s="26">
        <f t="shared" si="240"/>
        <v>63</v>
      </c>
      <c r="AT448" s="21">
        <f t="shared" si="241"/>
        <v>12</v>
      </c>
      <c r="AU448" s="21">
        <f t="shared" si="242"/>
        <v>19</v>
      </c>
      <c r="AV448">
        <f t="shared" si="243"/>
        <v>73</v>
      </c>
      <c r="AW448">
        <f t="shared" si="244"/>
        <v>76</v>
      </c>
      <c r="AX448">
        <f t="shared" si="245"/>
        <v>84</v>
      </c>
      <c r="AY448">
        <f t="shared" si="246"/>
        <v>87</v>
      </c>
      <c r="AZ448" t="str">
        <f t="shared" si="247"/>
        <v>-</v>
      </c>
      <c r="BA448" t="str">
        <f t="shared" si="248"/>
        <v>-</v>
      </c>
      <c r="BB448" t="str">
        <f t="shared" si="249"/>
        <v>-</v>
      </c>
      <c r="BC448" t="str">
        <f t="shared" si="250"/>
        <v>-</v>
      </c>
      <c r="BD448" s="29" t="str">
        <f t="shared" si="251"/>
        <v>-</v>
      </c>
      <c r="BE448" s="29" t="str">
        <f t="shared" si="252"/>
        <v>-</v>
      </c>
    </row>
    <row r="449" spans="1:57" ht="15" x14ac:dyDescent="0.2">
      <c r="A449" s="2">
        <v>620</v>
      </c>
      <c r="B449" s="2" t="str">
        <f t="shared" si="217"/>
        <v>0620</v>
      </c>
      <c r="C449" t="str">
        <f t="shared" si="218"/>
        <v>ORD-TK-0620-16/06/24</v>
      </c>
      <c r="D449" s="3" t="s">
        <v>629</v>
      </c>
      <c r="E449" t="str">
        <f t="shared" si="219"/>
        <v>PP001</v>
      </c>
      <c r="F449" t="str">
        <f>INDEX(Katalog!$B$4:$B$13,MATCH('Main Data'!E449,Katalog!$C$4:$C$13,0))</f>
        <v>Kaos Polo</v>
      </c>
      <c r="G449" t="str">
        <f>VLOOKUP(E449,Katalog!$A$15:$B$25,2,0)</f>
        <v>Pakaian Pria</v>
      </c>
      <c r="H449" t="str">
        <f t="shared" si="220"/>
        <v>5</v>
      </c>
      <c r="I449" t="str">
        <f t="shared" si="221"/>
        <v>2</v>
      </c>
      <c r="J449" s="18">
        <f>VLOOKUP(E449,Katalog!$C$3:$F$13,2,0)</f>
        <v>80000</v>
      </c>
      <c r="K449" s="18">
        <f>VLOOKUP(E449,Katalog!$C$3:$F$13,3,0)</f>
        <v>30000</v>
      </c>
      <c r="L449" t="str">
        <f t="shared" si="222"/>
        <v>-</v>
      </c>
      <c r="M449" t="str">
        <f>IFERROR(INDEX(Katalog!$B$4:$B$13,MATCH('Main Data'!L449,Katalog!$C$4:$C$13,0)), "-")</f>
        <v>-</v>
      </c>
      <c r="N449" t="str">
        <f>IFERROR(VLOOKUP(L449,Katalog!$A$15:$B$25,2,0),"-")</f>
        <v>-</v>
      </c>
      <c r="O449">
        <f t="shared" si="223"/>
        <v>0</v>
      </c>
      <c r="P449" t="str">
        <f t="shared" si="224"/>
        <v>-</v>
      </c>
      <c r="Q449" s="18">
        <f>IFERROR(VLOOKUP(L449,Katalog!$C$3:$F$13,2,0),0)</f>
        <v>0</v>
      </c>
      <c r="R449" s="18">
        <f>IFERROR(VLOOKUP(L449,Katalog!$C$3:$F$13,3,0),0)</f>
        <v>0</v>
      </c>
      <c r="S449" t="str">
        <f t="shared" si="225"/>
        <v>-</v>
      </c>
      <c r="T449" t="str">
        <f>IFERROR(INDEX(Katalog!$B$4:$B$13,MATCH('Main Data'!S449,Katalog!$C$4:$C$13,0)),"-")</f>
        <v>-</v>
      </c>
      <c r="U449" t="str">
        <f>IFERROR(VLOOKUP(S449,Katalog!$A$15:$B$25,2,0),"-")</f>
        <v>-</v>
      </c>
      <c r="V449">
        <f t="shared" si="226"/>
        <v>0</v>
      </c>
      <c r="W449" s="28" t="str">
        <f t="shared" si="227"/>
        <v>-</v>
      </c>
      <c r="X449" s="18">
        <f>IFERROR(VLOOKUP(S449,Katalog!$C$3:$F$13,2,0),0)</f>
        <v>0</v>
      </c>
      <c r="Y449" s="30">
        <f>IFERROR(VLOOKUP(S449,Katalog!$C$3:$F$13,3,0),0)</f>
        <v>0</v>
      </c>
      <c r="Z449" s="2">
        <f t="shared" si="228"/>
        <v>5</v>
      </c>
      <c r="AA449" s="4">
        <f t="shared" si="229"/>
        <v>400000</v>
      </c>
      <c r="AB449" s="4">
        <f t="shared" si="230"/>
        <v>150000</v>
      </c>
      <c r="AC449" s="4" t="s">
        <v>30</v>
      </c>
      <c r="AD449" s="16">
        <f>IFERROR(VLOOKUP(AC449,'Kode Diskon'!$C$2:$D$9,2,0),0)</f>
        <v>0.1</v>
      </c>
      <c r="AE449" s="31">
        <f t="shared" si="231"/>
        <v>40000</v>
      </c>
      <c r="AF449" s="31">
        <f t="shared" si="232"/>
        <v>360000</v>
      </c>
      <c r="AG449" s="31">
        <f t="shared" si="233"/>
        <v>250000</v>
      </c>
      <c r="AH449" s="31">
        <f t="shared" si="234"/>
        <v>210000</v>
      </c>
      <c r="AI449" s="4" t="s">
        <v>8</v>
      </c>
      <c r="AJ449" s="4" t="s">
        <v>9</v>
      </c>
      <c r="AK449" s="4" t="str">
        <f>IFERROR(VLOOKUP(AJ449,'Guide '!$A$13:$B$16,2,0),"-")</f>
        <v>TK</v>
      </c>
      <c r="AL449" s="4" t="s">
        <v>1006</v>
      </c>
      <c r="AM449" s="40">
        <v>45459</v>
      </c>
      <c r="AN449">
        <f t="shared" si="235"/>
        <v>29</v>
      </c>
      <c r="AO449">
        <f t="shared" si="236"/>
        <v>32</v>
      </c>
      <c r="AP449">
        <f t="shared" si="237"/>
        <v>40</v>
      </c>
      <c r="AQ449">
        <f t="shared" si="238"/>
        <v>43</v>
      </c>
      <c r="AR449" s="26" t="str">
        <f t="shared" si="239"/>
        <v>-</v>
      </c>
      <c r="AS449" s="26" t="str">
        <f t="shared" si="240"/>
        <v>-</v>
      </c>
      <c r="AT449" s="21">
        <f t="shared" si="241"/>
        <v>12</v>
      </c>
      <c r="AU449" s="21">
        <f t="shared" si="242"/>
        <v>19</v>
      </c>
      <c r="AV449" t="str">
        <f t="shared" si="243"/>
        <v>-</v>
      </c>
      <c r="AW449" t="str">
        <f t="shared" si="244"/>
        <v>-</v>
      </c>
      <c r="AX449" t="str">
        <f t="shared" si="245"/>
        <v>-</v>
      </c>
      <c r="AY449" t="str">
        <f t="shared" si="246"/>
        <v>-</v>
      </c>
      <c r="AZ449" t="str">
        <f t="shared" si="247"/>
        <v>-</v>
      </c>
      <c r="BA449" t="str">
        <f t="shared" si="248"/>
        <v>-</v>
      </c>
      <c r="BB449" t="str">
        <f t="shared" si="249"/>
        <v>-</v>
      </c>
      <c r="BC449" t="str">
        <f t="shared" si="250"/>
        <v>-</v>
      </c>
      <c r="BD449" s="29" t="str">
        <f t="shared" si="251"/>
        <v>-</v>
      </c>
      <c r="BE449" s="29" t="str">
        <f t="shared" si="252"/>
        <v>-</v>
      </c>
    </row>
    <row r="450" spans="1:57" ht="15" x14ac:dyDescent="0.2">
      <c r="A450" s="2">
        <v>47</v>
      </c>
      <c r="B450" s="2" t="str">
        <f t="shared" si="217"/>
        <v>0047</v>
      </c>
      <c r="C450" t="str">
        <f t="shared" si="218"/>
        <v>ORD-SP-0047-17/06/24</v>
      </c>
      <c r="D450" s="3" t="s">
        <v>121</v>
      </c>
      <c r="E450" t="str">
        <f t="shared" si="219"/>
        <v>PW001</v>
      </c>
      <c r="F450" t="str">
        <f>INDEX(Katalog!$B$4:$B$13,MATCH('Main Data'!E450,Katalog!$C$4:$C$13,0))</f>
        <v>Dress</v>
      </c>
      <c r="G450" t="str">
        <f>VLOOKUP(E450,Katalog!$A$15:$B$25,2,0)</f>
        <v>Pakaian Wanita</v>
      </c>
      <c r="H450" t="str">
        <f t="shared" si="220"/>
        <v>1</v>
      </c>
      <c r="I450" t="str">
        <f t="shared" si="221"/>
        <v>1</v>
      </c>
      <c r="J450" s="18">
        <f>VLOOKUP(E450,Katalog!$C$3:$F$13,2,0)</f>
        <v>150000</v>
      </c>
      <c r="K450" s="18">
        <f>VLOOKUP(E450,Katalog!$C$3:$F$13,3,0)</f>
        <v>55000</v>
      </c>
      <c r="L450" t="str">
        <f t="shared" si="222"/>
        <v>PP003</v>
      </c>
      <c r="M450" t="str">
        <f>IFERROR(INDEX(Katalog!$B$4:$B$13,MATCH('Main Data'!L450,Katalog!$C$4:$C$13,0)), "-")</f>
        <v>Jaket Jeans</v>
      </c>
      <c r="N450" t="str">
        <f>IFERROR(VLOOKUP(L450,Katalog!$A$15:$B$25,2,0),"-")</f>
        <v>Pakaian Pria</v>
      </c>
      <c r="O450" t="str">
        <f t="shared" si="223"/>
        <v>2</v>
      </c>
      <c r="P450" t="str">
        <f t="shared" si="224"/>
        <v>3</v>
      </c>
      <c r="Q450" s="18">
        <f>IFERROR(VLOOKUP(L450,Katalog!$C$3:$F$13,2,0),0)</f>
        <v>150000</v>
      </c>
      <c r="R450" s="18">
        <f>IFERROR(VLOOKUP(L450,Katalog!$C$3:$F$13,3,0),0)</f>
        <v>70000</v>
      </c>
      <c r="S450" t="str">
        <f t="shared" si="225"/>
        <v>-</v>
      </c>
      <c r="T450" t="str">
        <f>IFERROR(INDEX(Katalog!$B$4:$B$13,MATCH('Main Data'!S450,Katalog!$C$4:$C$13,0)),"-")</f>
        <v>-</v>
      </c>
      <c r="U450" t="str">
        <f>IFERROR(VLOOKUP(S450,Katalog!$A$15:$B$25,2,0),"-")</f>
        <v>-</v>
      </c>
      <c r="V450">
        <f t="shared" si="226"/>
        <v>0</v>
      </c>
      <c r="W450" s="28" t="str">
        <f t="shared" si="227"/>
        <v>-</v>
      </c>
      <c r="X450" s="18">
        <f>IFERROR(VLOOKUP(S450,Katalog!$C$3:$F$13,2,0),0)</f>
        <v>0</v>
      </c>
      <c r="Y450" s="30">
        <f>IFERROR(VLOOKUP(S450,Katalog!$C$3:$F$13,3,0),0)</f>
        <v>0</v>
      </c>
      <c r="Z450" s="2">
        <f t="shared" si="228"/>
        <v>3</v>
      </c>
      <c r="AA450" s="4">
        <f t="shared" si="229"/>
        <v>450000</v>
      </c>
      <c r="AB450" s="4">
        <f t="shared" si="230"/>
        <v>195000</v>
      </c>
      <c r="AC450" s="4" t="s">
        <v>5</v>
      </c>
      <c r="AD450" s="16">
        <f>IFERROR(VLOOKUP(AC450,'Kode Diskon'!$C$2:$D$9,2,0),0)</f>
        <v>0.1</v>
      </c>
      <c r="AE450" s="31">
        <f t="shared" si="231"/>
        <v>45000</v>
      </c>
      <c r="AF450" s="31">
        <f t="shared" si="232"/>
        <v>405000</v>
      </c>
      <c r="AG450" s="31">
        <f t="shared" si="233"/>
        <v>255000</v>
      </c>
      <c r="AH450" s="31">
        <f t="shared" si="234"/>
        <v>210000</v>
      </c>
      <c r="AI450" s="4" t="s">
        <v>28</v>
      </c>
      <c r="AJ450" s="4" t="s">
        <v>6</v>
      </c>
      <c r="AK450" s="4" t="str">
        <f>IFERROR(VLOOKUP(AJ450,'Guide '!$A$13:$B$16,2,0),"-")</f>
        <v>SP</v>
      </c>
      <c r="AL450" s="4" t="s">
        <v>924</v>
      </c>
      <c r="AM450" s="40">
        <v>45460</v>
      </c>
      <c r="AN450">
        <f t="shared" si="235"/>
        <v>29</v>
      </c>
      <c r="AO450">
        <f t="shared" si="236"/>
        <v>32</v>
      </c>
      <c r="AP450">
        <f t="shared" si="237"/>
        <v>40</v>
      </c>
      <c r="AQ450">
        <f t="shared" si="238"/>
        <v>43</v>
      </c>
      <c r="AR450" s="26">
        <f t="shared" si="239"/>
        <v>56</v>
      </c>
      <c r="AS450" s="26">
        <f t="shared" si="240"/>
        <v>63</v>
      </c>
      <c r="AT450" s="21">
        <f t="shared" si="241"/>
        <v>12</v>
      </c>
      <c r="AU450" s="21">
        <f t="shared" si="242"/>
        <v>19</v>
      </c>
      <c r="AV450">
        <f t="shared" si="243"/>
        <v>73</v>
      </c>
      <c r="AW450">
        <f t="shared" si="244"/>
        <v>76</v>
      </c>
      <c r="AX450">
        <f t="shared" si="245"/>
        <v>84</v>
      </c>
      <c r="AY450">
        <f t="shared" si="246"/>
        <v>87</v>
      </c>
      <c r="AZ450" t="str">
        <f t="shared" si="247"/>
        <v>-</v>
      </c>
      <c r="BA450" t="str">
        <f t="shared" si="248"/>
        <v>-</v>
      </c>
      <c r="BB450" t="str">
        <f t="shared" si="249"/>
        <v>-</v>
      </c>
      <c r="BC450" t="str">
        <f t="shared" si="250"/>
        <v>-</v>
      </c>
      <c r="BD450" s="29" t="str">
        <f t="shared" si="251"/>
        <v>-</v>
      </c>
      <c r="BE450" s="29" t="str">
        <f t="shared" si="252"/>
        <v>-</v>
      </c>
    </row>
    <row r="451" spans="1:57" ht="15" x14ac:dyDescent="0.2">
      <c r="A451" s="2">
        <v>261</v>
      </c>
      <c r="B451" s="2" t="str">
        <f t="shared" ref="B451:B514" si="253">TEXT(A451,"0000")</f>
        <v>0261</v>
      </c>
      <c r="C451" t="str">
        <f t="shared" ref="C451:C514" si="254">CONCATENATE("ORD","-",AK451,"-",B451,"-",TEXT(AM451,"dd/mm/yy"))</f>
        <v>ORD-SP-0261-17/06/24</v>
      </c>
      <c r="D451" s="3" t="s">
        <v>325</v>
      </c>
      <c r="E451" t="str">
        <f t="shared" ref="E451:E514" si="255">MID(D451,AT451+2,AU451-AT451-2)</f>
        <v>PW002</v>
      </c>
      <c r="F451" t="str">
        <f>INDEX(Katalog!$B$4:$B$13,MATCH('Main Data'!E451,Katalog!$C$4:$C$13,0))</f>
        <v>Blouse</v>
      </c>
      <c r="G451" t="str">
        <f>VLOOKUP(E451,Katalog!$A$15:$B$25,2,0)</f>
        <v>Pakaian Wanita</v>
      </c>
      <c r="H451" t="str">
        <f t="shared" ref="H451:H514" si="256">MID(D451,AN451+2,AO451-AN451-2)</f>
        <v>6</v>
      </c>
      <c r="I451" t="str">
        <f t="shared" ref="I451:I514" si="257">MID(D451,AP451+2,AQ451-AP451-2)</f>
        <v>3</v>
      </c>
      <c r="J451" s="18">
        <f>VLOOKUP(E451,Katalog!$C$3:$F$13,2,0)</f>
        <v>125000</v>
      </c>
      <c r="K451" s="18">
        <f>VLOOKUP(E451,Katalog!$C$3:$F$13,3,0)</f>
        <v>50000</v>
      </c>
      <c r="L451" t="str">
        <f t="shared" ref="L451:L514" si="258">IFERROR(MID(D451,AR451+2,AS451-AR451-2),"-")</f>
        <v>PP003</v>
      </c>
      <c r="M451" t="str">
        <f>IFERROR(INDEX(Katalog!$B$4:$B$13,MATCH('Main Data'!L451,Katalog!$C$4:$C$13,0)), "-")</f>
        <v>Jaket Jeans</v>
      </c>
      <c r="N451" t="str">
        <f>IFERROR(VLOOKUP(L451,Katalog!$A$15:$B$25,2,0),"-")</f>
        <v>Pakaian Pria</v>
      </c>
      <c r="O451" t="str">
        <f t="shared" ref="O451:O514" si="259">IFERROR(MID(D451,AV451+2,AW451-AV451-2),0)</f>
        <v>1</v>
      </c>
      <c r="P451" t="str">
        <f t="shared" ref="P451:P514" si="260">IFERROR(MID(D451,AX451+2,AY451-AX451-2),"-")</f>
        <v>5</v>
      </c>
      <c r="Q451" s="18">
        <f>IFERROR(VLOOKUP(L451,Katalog!$C$3:$F$13,2,0),0)</f>
        <v>150000</v>
      </c>
      <c r="R451" s="18">
        <f>IFERROR(VLOOKUP(L451,Katalog!$C$3:$F$13,3,0),0)</f>
        <v>70000</v>
      </c>
      <c r="S451" t="str">
        <f t="shared" ref="S451:S514" si="261">IFERROR(MID(D451,AZ451+2,BA451-AZ451-2),"-")</f>
        <v>-</v>
      </c>
      <c r="T451" t="str">
        <f>IFERROR(INDEX(Katalog!$B$4:$B$13,MATCH('Main Data'!S451,Katalog!$C$4:$C$13,0)),"-")</f>
        <v>-</v>
      </c>
      <c r="U451" t="str">
        <f>IFERROR(VLOOKUP(S451,Katalog!$A$15:$B$25,2,0),"-")</f>
        <v>-</v>
      </c>
      <c r="V451">
        <f t="shared" ref="V451:V514" si="262">IFERROR(MID(D451,BB451+2,BC451-BB451-2),0)</f>
        <v>0</v>
      </c>
      <c r="W451" s="28" t="str">
        <f t="shared" ref="W451:W514" si="263">IFERROR(MID(D451,BD451+2,BE451-BD451-2),"-")</f>
        <v>-</v>
      </c>
      <c r="X451" s="18">
        <f>IFERROR(VLOOKUP(S451,Katalog!$C$3:$F$13,2,0),0)</f>
        <v>0</v>
      </c>
      <c r="Y451" s="30">
        <f>IFERROR(VLOOKUP(S451,Katalog!$C$3:$F$13,3,0),0)</f>
        <v>0</v>
      </c>
      <c r="Z451" s="2">
        <f t="shared" ref="Z451:Z514" si="264">H451+O451+V451</f>
        <v>7</v>
      </c>
      <c r="AA451" s="4">
        <f t="shared" ref="AA451:AA514" si="265">J451*H451+Q451*O451+X451*V451</f>
        <v>900000</v>
      </c>
      <c r="AB451" s="4">
        <f t="shared" ref="AB451:AB514" si="266">K451*H451+R451*O451+Y451*V451</f>
        <v>370000</v>
      </c>
      <c r="AC451" s="4" t="s">
        <v>12</v>
      </c>
      <c r="AD451" s="16">
        <f>IFERROR(VLOOKUP(AC451,'Kode Diskon'!$C$2:$D$9,2,0),0)</f>
        <v>0.15</v>
      </c>
      <c r="AE451" s="31">
        <f t="shared" ref="AE451:AE514" si="267">AA451*AD451</f>
        <v>135000</v>
      </c>
      <c r="AF451" s="31">
        <f t="shared" ref="AF451:AF514" si="268">AA451-AE451</f>
        <v>765000</v>
      </c>
      <c r="AG451" s="31">
        <f t="shared" ref="AG451:AG514" si="269">AA451-AB451</f>
        <v>530000</v>
      </c>
      <c r="AH451" s="31">
        <f t="shared" ref="AH451:AH514" si="270">AF451-AB451</f>
        <v>395000</v>
      </c>
      <c r="AI451" s="4" t="s">
        <v>28</v>
      </c>
      <c r="AJ451" s="4" t="s">
        <v>6</v>
      </c>
      <c r="AK451" s="4" t="str">
        <f>IFERROR(VLOOKUP(AJ451,'Guide '!$A$13:$B$16,2,0),"-")</f>
        <v>SP</v>
      </c>
      <c r="AL451" s="4" t="s">
        <v>922</v>
      </c>
      <c r="AM451" s="40">
        <v>45460</v>
      </c>
      <c r="AN451">
        <f t="shared" ref="AN451:AN514" si="271">FIND(":",D451,AT451+1)</f>
        <v>29</v>
      </c>
      <c r="AO451">
        <f t="shared" ref="AO451:AO514" si="272">FIND(",",D451,AU451+1)</f>
        <v>32</v>
      </c>
      <c r="AP451">
        <f t="shared" ref="AP451:AP514" si="273">FIND(":",D451,AN451+1)</f>
        <v>40</v>
      </c>
      <c r="AQ451">
        <f t="shared" ref="AQ451:AQ514" si="274">FIND("}",D451,AO451+1)</f>
        <v>43</v>
      </c>
      <c r="AR451" s="26">
        <f t="shared" ref="AR451:AR514" si="275">IFERROR(FIND(":",D451,AP451+1),"-")</f>
        <v>56</v>
      </c>
      <c r="AS451" s="26">
        <f t="shared" ref="AS451:AS514" si="276">IFERROR(FIND(",",D451,AQ451+2),"-")</f>
        <v>63</v>
      </c>
      <c r="AT451" s="21">
        <f t="shared" ref="AT451:AT514" si="277">FIND(":",D451)</f>
        <v>12</v>
      </c>
      <c r="AU451" s="21">
        <f t="shared" ref="AU451:AU514" si="278">FIND(",",D451)</f>
        <v>19</v>
      </c>
      <c r="AV451">
        <f t="shared" ref="AV451:AV514" si="279">IFERROR(FIND(":",D451,AR451+1),"-")</f>
        <v>73</v>
      </c>
      <c r="AW451">
        <f t="shared" ref="AW451:AW514" si="280">IFERROR(FIND(",",D451,AS451+1),"-")</f>
        <v>76</v>
      </c>
      <c r="AX451">
        <f t="shared" ref="AX451:AX514" si="281">IFERROR(FIND(":",D451,AV451+1),"-")</f>
        <v>84</v>
      </c>
      <c r="AY451">
        <f t="shared" ref="AY451:AY514" si="282">IFERROR(FIND("}",D451,AW451+1),"-")</f>
        <v>87</v>
      </c>
      <c r="AZ451" t="str">
        <f t="shared" ref="AZ451:AZ514" si="283">IFERROR(FIND(":",D451,AX451+1),"-")</f>
        <v>-</v>
      </c>
      <c r="BA451" t="str">
        <f t="shared" ref="BA451:BA514" si="284">IFERROR(FIND(",",D451,AY451+2),"-")</f>
        <v>-</v>
      </c>
      <c r="BB451" t="str">
        <f t="shared" ref="BB451:BB514" si="285">IFERROR(FIND(":",D451,AZ451+1),"-")</f>
        <v>-</v>
      </c>
      <c r="BC451" t="str">
        <f t="shared" ref="BC451:BC514" si="286">IFERROR(FIND(",",D451,BA451+1),"-")</f>
        <v>-</v>
      </c>
      <c r="BD451" s="29" t="str">
        <f t="shared" ref="BD451:BD514" si="287">IFERROR(FIND(":",D451,BB451+1),"-")</f>
        <v>-</v>
      </c>
      <c r="BE451" s="29" t="str">
        <f t="shared" ref="BE451:BE514" si="288">IFERROR(FIND("}",D451,BC451+1),"-")</f>
        <v>-</v>
      </c>
    </row>
    <row r="452" spans="1:57" ht="15" x14ac:dyDescent="0.2">
      <c r="A452" s="2">
        <v>829</v>
      </c>
      <c r="B452" s="2" t="str">
        <f t="shared" si="253"/>
        <v>0829</v>
      </c>
      <c r="C452" t="str">
        <f t="shared" si="254"/>
        <v>ORD-TK-0829-17/06/24</v>
      </c>
      <c r="D452" s="3" t="s">
        <v>788</v>
      </c>
      <c r="E452" t="str">
        <f t="shared" si="255"/>
        <v>SP001</v>
      </c>
      <c r="F452" t="str">
        <f>INDEX(Katalog!$B$4:$B$13,MATCH('Main Data'!E452,Katalog!$C$4:$C$13,0))</f>
        <v>Sneakers</v>
      </c>
      <c r="G452" t="str">
        <f>VLOOKUP(E452,Katalog!$A$15:$B$25,2,0)</f>
        <v>Sepatu Pria</v>
      </c>
      <c r="H452" t="str">
        <f t="shared" si="256"/>
        <v>1</v>
      </c>
      <c r="I452" t="str">
        <f t="shared" si="257"/>
        <v>4</v>
      </c>
      <c r="J452" s="18">
        <f>VLOOKUP(E452,Katalog!$C$3:$F$13,2,0)</f>
        <v>300000</v>
      </c>
      <c r="K452" s="18">
        <f>VLOOKUP(E452,Katalog!$C$3:$F$13,3,0)</f>
        <v>100000</v>
      </c>
      <c r="L452" t="str">
        <f t="shared" si="258"/>
        <v>PU001</v>
      </c>
      <c r="M452" t="str">
        <f>IFERROR(INDEX(Katalog!$B$4:$B$13,MATCH('Main Data'!L452,Katalog!$C$4:$C$13,0)), "-")</f>
        <v>Jaket Hoodie</v>
      </c>
      <c r="N452" t="str">
        <f>IFERROR(VLOOKUP(L452,Katalog!$A$15:$B$25,2,0),"-")</f>
        <v>Pakaian Unisex</v>
      </c>
      <c r="O452" t="str">
        <f t="shared" si="259"/>
        <v>1</v>
      </c>
      <c r="P452" t="str">
        <f t="shared" si="260"/>
        <v>2</v>
      </c>
      <c r="Q452" s="18">
        <f>IFERROR(VLOOKUP(L452,Katalog!$C$3:$F$13,2,0),0)</f>
        <v>160000</v>
      </c>
      <c r="R452" s="18">
        <f>IFERROR(VLOOKUP(L452,Katalog!$C$3:$F$13,3,0),0)</f>
        <v>60000</v>
      </c>
      <c r="S452" t="str">
        <f t="shared" si="261"/>
        <v>SP002</v>
      </c>
      <c r="T452" t="str">
        <f>IFERROR(INDEX(Katalog!$B$4:$B$13,MATCH('Main Data'!S452,Katalog!$C$4:$C$13,0)),"-")</f>
        <v>Sandal Slip On</v>
      </c>
      <c r="U452" t="str">
        <f>IFERROR(VLOOKUP(S452,Katalog!$A$15:$B$25,2,0),"-")</f>
        <v>Sepatu Pria</v>
      </c>
      <c r="V452" t="str">
        <f t="shared" si="262"/>
        <v>1</v>
      </c>
      <c r="W452" s="28" t="str">
        <f t="shared" si="263"/>
        <v>2</v>
      </c>
      <c r="X452" s="18">
        <f>IFERROR(VLOOKUP(S452,Katalog!$C$3:$F$13,2,0),0)</f>
        <v>120000</v>
      </c>
      <c r="Y452" s="30">
        <f>IFERROR(VLOOKUP(S452,Katalog!$C$3:$F$13,3,0),0)</f>
        <v>60000</v>
      </c>
      <c r="Z452" s="2">
        <f t="shared" si="264"/>
        <v>3</v>
      </c>
      <c r="AA452" s="4">
        <f t="shared" si="265"/>
        <v>580000</v>
      </c>
      <c r="AB452" s="4">
        <f t="shared" si="266"/>
        <v>220000</v>
      </c>
      <c r="AC452" s="4" t="s">
        <v>30</v>
      </c>
      <c r="AD452" s="16">
        <f>IFERROR(VLOOKUP(AC452,'Kode Diskon'!$C$2:$D$9,2,0),0)</f>
        <v>0.1</v>
      </c>
      <c r="AE452" s="31">
        <f t="shared" si="267"/>
        <v>58000</v>
      </c>
      <c r="AF452" s="31">
        <f t="shared" si="268"/>
        <v>522000</v>
      </c>
      <c r="AG452" s="31">
        <f t="shared" si="269"/>
        <v>360000</v>
      </c>
      <c r="AH452" s="31">
        <f t="shared" si="270"/>
        <v>302000</v>
      </c>
      <c r="AI452" s="4" t="s">
        <v>8</v>
      </c>
      <c r="AJ452" s="4" t="s">
        <v>9</v>
      </c>
      <c r="AK452" s="4" t="str">
        <f>IFERROR(VLOOKUP(AJ452,'Guide '!$A$13:$B$16,2,0),"-")</f>
        <v>TK</v>
      </c>
      <c r="AL452" s="4" t="s">
        <v>921</v>
      </c>
      <c r="AM452" s="40">
        <v>45460</v>
      </c>
      <c r="AN452">
        <f t="shared" si="271"/>
        <v>29</v>
      </c>
      <c r="AO452">
        <f t="shared" si="272"/>
        <v>32</v>
      </c>
      <c r="AP452">
        <f t="shared" si="273"/>
        <v>40</v>
      </c>
      <c r="AQ452">
        <f t="shared" si="274"/>
        <v>43</v>
      </c>
      <c r="AR452" s="26">
        <f t="shared" si="275"/>
        <v>56</v>
      </c>
      <c r="AS452" s="26">
        <f t="shared" si="276"/>
        <v>63</v>
      </c>
      <c r="AT452" s="21">
        <f t="shared" si="277"/>
        <v>12</v>
      </c>
      <c r="AU452" s="21">
        <f t="shared" si="278"/>
        <v>19</v>
      </c>
      <c r="AV452">
        <f t="shared" si="279"/>
        <v>73</v>
      </c>
      <c r="AW452">
        <f t="shared" si="280"/>
        <v>76</v>
      </c>
      <c r="AX452">
        <f t="shared" si="281"/>
        <v>84</v>
      </c>
      <c r="AY452">
        <f t="shared" si="282"/>
        <v>87</v>
      </c>
      <c r="AZ452">
        <f t="shared" si="283"/>
        <v>100</v>
      </c>
      <c r="BA452">
        <f t="shared" si="284"/>
        <v>107</v>
      </c>
      <c r="BB452">
        <f t="shared" si="285"/>
        <v>117</v>
      </c>
      <c r="BC452">
        <f t="shared" si="286"/>
        <v>120</v>
      </c>
      <c r="BD452" s="29">
        <f t="shared" si="287"/>
        <v>128</v>
      </c>
      <c r="BE452" s="29">
        <f t="shared" si="288"/>
        <v>131</v>
      </c>
    </row>
    <row r="453" spans="1:57" ht="15" x14ac:dyDescent="0.2">
      <c r="A453" s="2">
        <v>705</v>
      </c>
      <c r="B453" s="2" t="str">
        <f t="shared" si="253"/>
        <v>0705</v>
      </c>
      <c r="C453" t="str">
        <f t="shared" si="254"/>
        <v>ORD-TK-0705-18/06/24</v>
      </c>
      <c r="D453" s="3" t="s">
        <v>290</v>
      </c>
      <c r="E453" t="str">
        <f t="shared" si="255"/>
        <v>PP001</v>
      </c>
      <c r="F453" t="str">
        <f>INDEX(Katalog!$B$4:$B$13,MATCH('Main Data'!E453,Katalog!$C$4:$C$13,0))</f>
        <v>Kaos Polo</v>
      </c>
      <c r="G453" t="str">
        <f>VLOOKUP(E453,Katalog!$A$15:$B$25,2,0)</f>
        <v>Pakaian Pria</v>
      </c>
      <c r="H453" t="str">
        <f t="shared" si="256"/>
        <v>2</v>
      </c>
      <c r="I453" t="str">
        <f t="shared" si="257"/>
        <v>3</v>
      </c>
      <c r="J453" s="18">
        <f>VLOOKUP(E453,Katalog!$C$3:$F$13,2,0)</f>
        <v>80000</v>
      </c>
      <c r="K453" s="18">
        <f>VLOOKUP(E453,Katalog!$C$3:$F$13,3,0)</f>
        <v>30000</v>
      </c>
      <c r="L453" t="str">
        <f t="shared" si="258"/>
        <v>-</v>
      </c>
      <c r="M453" t="str">
        <f>IFERROR(INDEX(Katalog!$B$4:$B$13,MATCH('Main Data'!L453,Katalog!$C$4:$C$13,0)), "-")</f>
        <v>-</v>
      </c>
      <c r="N453" t="str">
        <f>IFERROR(VLOOKUP(L453,Katalog!$A$15:$B$25,2,0),"-")</f>
        <v>-</v>
      </c>
      <c r="O453">
        <f t="shared" si="259"/>
        <v>0</v>
      </c>
      <c r="P453" t="str">
        <f t="shared" si="260"/>
        <v>-</v>
      </c>
      <c r="Q453" s="18">
        <f>IFERROR(VLOOKUP(L453,Katalog!$C$3:$F$13,2,0),0)</f>
        <v>0</v>
      </c>
      <c r="R453" s="18">
        <f>IFERROR(VLOOKUP(L453,Katalog!$C$3:$F$13,3,0),0)</f>
        <v>0</v>
      </c>
      <c r="S453" t="str">
        <f t="shared" si="261"/>
        <v>-</v>
      </c>
      <c r="T453" t="str">
        <f>IFERROR(INDEX(Katalog!$B$4:$B$13,MATCH('Main Data'!S453,Katalog!$C$4:$C$13,0)),"-")</f>
        <v>-</v>
      </c>
      <c r="U453" t="str">
        <f>IFERROR(VLOOKUP(S453,Katalog!$A$15:$B$25,2,0),"-")</f>
        <v>-</v>
      </c>
      <c r="V453">
        <f t="shared" si="262"/>
        <v>0</v>
      </c>
      <c r="W453" s="28" t="str">
        <f t="shared" si="263"/>
        <v>-</v>
      </c>
      <c r="X453" s="18">
        <f>IFERROR(VLOOKUP(S453,Katalog!$C$3:$F$13,2,0),0)</f>
        <v>0</v>
      </c>
      <c r="Y453" s="30">
        <f>IFERROR(VLOOKUP(S453,Katalog!$C$3:$F$13,3,0),0)</f>
        <v>0</v>
      </c>
      <c r="Z453" s="2">
        <f t="shared" si="264"/>
        <v>2</v>
      </c>
      <c r="AA453" s="4">
        <f t="shared" si="265"/>
        <v>160000</v>
      </c>
      <c r="AB453" s="4">
        <f t="shared" si="266"/>
        <v>60000</v>
      </c>
      <c r="AC453" s="4" t="s">
        <v>30</v>
      </c>
      <c r="AD453" s="16">
        <f>IFERROR(VLOOKUP(AC453,'Kode Diskon'!$C$2:$D$9,2,0),0)</f>
        <v>0.1</v>
      </c>
      <c r="AE453" s="31">
        <f t="shared" si="267"/>
        <v>16000</v>
      </c>
      <c r="AF453" s="31">
        <f t="shared" si="268"/>
        <v>144000</v>
      </c>
      <c r="AG453" s="31">
        <f t="shared" si="269"/>
        <v>100000</v>
      </c>
      <c r="AH453" s="31">
        <f t="shared" si="270"/>
        <v>84000</v>
      </c>
      <c r="AI453" s="4" t="s">
        <v>8</v>
      </c>
      <c r="AJ453" s="4" t="s">
        <v>9</v>
      </c>
      <c r="AK453" s="4" t="str">
        <f>IFERROR(VLOOKUP(AJ453,'Guide '!$A$13:$B$16,2,0),"-")</f>
        <v>TK</v>
      </c>
      <c r="AL453" s="4" t="s">
        <v>922</v>
      </c>
      <c r="AM453" s="40">
        <v>45461</v>
      </c>
      <c r="AN453">
        <f t="shared" si="271"/>
        <v>29</v>
      </c>
      <c r="AO453">
        <f t="shared" si="272"/>
        <v>32</v>
      </c>
      <c r="AP453">
        <f t="shared" si="273"/>
        <v>40</v>
      </c>
      <c r="AQ453">
        <f t="shared" si="274"/>
        <v>43</v>
      </c>
      <c r="AR453" s="26" t="str">
        <f t="shared" si="275"/>
        <v>-</v>
      </c>
      <c r="AS453" s="26" t="str">
        <f t="shared" si="276"/>
        <v>-</v>
      </c>
      <c r="AT453" s="21">
        <f t="shared" si="277"/>
        <v>12</v>
      </c>
      <c r="AU453" s="21">
        <f t="shared" si="278"/>
        <v>19</v>
      </c>
      <c r="AV453" t="str">
        <f t="shared" si="279"/>
        <v>-</v>
      </c>
      <c r="AW453" t="str">
        <f t="shared" si="280"/>
        <v>-</v>
      </c>
      <c r="AX453" t="str">
        <f t="shared" si="281"/>
        <v>-</v>
      </c>
      <c r="AY453" t="str">
        <f t="shared" si="282"/>
        <v>-</v>
      </c>
      <c r="AZ453" t="str">
        <f t="shared" si="283"/>
        <v>-</v>
      </c>
      <c r="BA453" t="str">
        <f t="shared" si="284"/>
        <v>-</v>
      </c>
      <c r="BB453" t="str">
        <f t="shared" si="285"/>
        <v>-</v>
      </c>
      <c r="BC453" t="str">
        <f t="shared" si="286"/>
        <v>-</v>
      </c>
      <c r="BD453" s="29" t="str">
        <f t="shared" si="287"/>
        <v>-</v>
      </c>
      <c r="BE453" s="29" t="str">
        <f t="shared" si="288"/>
        <v>-</v>
      </c>
    </row>
    <row r="454" spans="1:57" ht="15" x14ac:dyDescent="0.2">
      <c r="A454" s="2">
        <v>791</v>
      </c>
      <c r="B454" s="2" t="str">
        <f t="shared" si="253"/>
        <v>0791</v>
      </c>
      <c r="C454" t="str">
        <f t="shared" si="254"/>
        <v>ORD-TK-0791-18/06/24</v>
      </c>
      <c r="D454" s="3" t="s">
        <v>761</v>
      </c>
      <c r="E454" t="str">
        <f t="shared" si="255"/>
        <v>SP002</v>
      </c>
      <c r="F454" t="str">
        <f>INDEX(Katalog!$B$4:$B$13,MATCH('Main Data'!E454,Katalog!$C$4:$C$13,0))</f>
        <v>Sandal Slip On</v>
      </c>
      <c r="G454" t="str">
        <f>VLOOKUP(E454,Katalog!$A$15:$B$25,2,0)</f>
        <v>Sepatu Pria</v>
      </c>
      <c r="H454" t="str">
        <f t="shared" si="256"/>
        <v>1</v>
      </c>
      <c r="I454" t="str">
        <f t="shared" si="257"/>
        <v>3</v>
      </c>
      <c r="J454" s="18">
        <f>VLOOKUP(E454,Katalog!$C$3:$F$13,2,0)</f>
        <v>120000</v>
      </c>
      <c r="K454" s="18">
        <f>VLOOKUP(E454,Katalog!$C$3:$F$13,3,0)</f>
        <v>60000</v>
      </c>
      <c r="L454" t="str">
        <f t="shared" si="258"/>
        <v>SW001</v>
      </c>
      <c r="M454" t="str">
        <f>IFERROR(INDEX(Katalog!$B$4:$B$13,MATCH('Main Data'!L454,Katalog!$C$4:$C$13,0)), "-")</f>
        <v>Flat Shoes</v>
      </c>
      <c r="N454" t="str">
        <f>IFERROR(VLOOKUP(L454,Katalog!$A$15:$B$25,2,0),"-")</f>
        <v>Sepatu Wanita</v>
      </c>
      <c r="O454" t="str">
        <f t="shared" si="259"/>
        <v>3</v>
      </c>
      <c r="P454" t="str">
        <f t="shared" si="260"/>
        <v>5</v>
      </c>
      <c r="Q454" s="18">
        <f>IFERROR(VLOOKUP(L454,Katalog!$C$3:$F$13,2,0),0)</f>
        <v>150000</v>
      </c>
      <c r="R454" s="18">
        <f>IFERROR(VLOOKUP(L454,Katalog!$C$3:$F$13,3,0),0)</f>
        <v>70000</v>
      </c>
      <c r="S454" t="str">
        <f t="shared" si="261"/>
        <v>-</v>
      </c>
      <c r="T454" t="str">
        <f>IFERROR(INDEX(Katalog!$B$4:$B$13,MATCH('Main Data'!S454,Katalog!$C$4:$C$13,0)),"-")</f>
        <v>-</v>
      </c>
      <c r="U454" t="str">
        <f>IFERROR(VLOOKUP(S454,Katalog!$A$15:$B$25,2,0),"-")</f>
        <v>-</v>
      </c>
      <c r="V454">
        <f t="shared" si="262"/>
        <v>0</v>
      </c>
      <c r="W454" s="28" t="str">
        <f t="shared" si="263"/>
        <v>-</v>
      </c>
      <c r="X454" s="18">
        <f>IFERROR(VLOOKUP(S454,Katalog!$C$3:$F$13,2,0),0)</f>
        <v>0</v>
      </c>
      <c r="Y454" s="30">
        <f>IFERROR(VLOOKUP(S454,Katalog!$C$3:$F$13,3,0),0)</f>
        <v>0</v>
      </c>
      <c r="Z454" s="2">
        <f t="shared" si="264"/>
        <v>4</v>
      </c>
      <c r="AA454" s="4">
        <f t="shared" si="265"/>
        <v>570000</v>
      </c>
      <c r="AB454" s="4">
        <f t="shared" si="266"/>
        <v>270000</v>
      </c>
      <c r="AC454" s="4" t="s">
        <v>10</v>
      </c>
      <c r="AD454" s="16">
        <f>IFERROR(VLOOKUP(AC454,'Kode Diskon'!$C$2:$D$9,2,0),0)</f>
        <v>0</v>
      </c>
      <c r="AE454" s="31">
        <f t="shared" si="267"/>
        <v>0</v>
      </c>
      <c r="AF454" s="31">
        <f t="shared" si="268"/>
        <v>570000</v>
      </c>
      <c r="AG454" s="31">
        <f t="shared" si="269"/>
        <v>300000</v>
      </c>
      <c r="AH454" s="31">
        <f t="shared" si="270"/>
        <v>300000</v>
      </c>
      <c r="AI454" s="4" t="s">
        <v>10</v>
      </c>
      <c r="AJ454" s="4" t="s">
        <v>9</v>
      </c>
      <c r="AK454" s="4" t="str">
        <f>IFERROR(VLOOKUP(AJ454,'Guide '!$A$13:$B$16,2,0),"-")</f>
        <v>TK</v>
      </c>
      <c r="AL454" s="4" t="s">
        <v>925</v>
      </c>
      <c r="AM454" s="40">
        <v>45461</v>
      </c>
      <c r="AN454">
        <f t="shared" si="271"/>
        <v>29</v>
      </c>
      <c r="AO454">
        <f t="shared" si="272"/>
        <v>32</v>
      </c>
      <c r="AP454">
        <f t="shared" si="273"/>
        <v>40</v>
      </c>
      <c r="AQ454">
        <f t="shared" si="274"/>
        <v>43</v>
      </c>
      <c r="AR454" s="26">
        <f t="shared" si="275"/>
        <v>56</v>
      </c>
      <c r="AS454" s="26">
        <f t="shared" si="276"/>
        <v>63</v>
      </c>
      <c r="AT454" s="21">
        <f t="shared" si="277"/>
        <v>12</v>
      </c>
      <c r="AU454" s="21">
        <f t="shared" si="278"/>
        <v>19</v>
      </c>
      <c r="AV454">
        <f t="shared" si="279"/>
        <v>73</v>
      </c>
      <c r="AW454">
        <f t="shared" si="280"/>
        <v>76</v>
      </c>
      <c r="AX454">
        <f t="shared" si="281"/>
        <v>84</v>
      </c>
      <c r="AY454">
        <f t="shared" si="282"/>
        <v>87</v>
      </c>
      <c r="AZ454" t="str">
        <f t="shared" si="283"/>
        <v>-</v>
      </c>
      <c r="BA454" t="str">
        <f t="shared" si="284"/>
        <v>-</v>
      </c>
      <c r="BB454" t="str">
        <f t="shared" si="285"/>
        <v>-</v>
      </c>
      <c r="BC454" t="str">
        <f t="shared" si="286"/>
        <v>-</v>
      </c>
      <c r="BD454" s="29" t="str">
        <f t="shared" si="287"/>
        <v>-</v>
      </c>
      <c r="BE454" s="29" t="str">
        <f t="shared" si="288"/>
        <v>-</v>
      </c>
    </row>
    <row r="455" spans="1:57" ht="15" x14ac:dyDescent="0.2">
      <c r="A455" s="2">
        <v>993</v>
      </c>
      <c r="B455" s="2" t="str">
        <f t="shared" si="253"/>
        <v>0993</v>
      </c>
      <c r="C455" t="str">
        <f t="shared" si="254"/>
        <v>ORD-SP-0993-18/06/24</v>
      </c>
      <c r="D455" s="3" t="s">
        <v>914</v>
      </c>
      <c r="E455" t="str">
        <f t="shared" si="255"/>
        <v>SW001</v>
      </c>
      <c r="F455" t="str">
        <f>INDEX(Katalog!$B$4:$B$13,MATCH('Main Data'!E455,Katalog!$C$4:$C$13,0))</f>
        <v>Flat Shoes</v>
      </c>
      <c r="G455" t="str">
        <f>VLOOKUP(E455,Katalog!$A$15:$B$25,2,0)</f>
        <v>Sepatu Wanita</v>
      </c>
      <c r="H455" t="str">
        <f t="shared" si="256"/>
        <v>2</v>
      </c>
      <c r="I455" t="str">
        <f t="shared" si="257"/>
        <v>4</v>
      </c>
      <c r="J455" s="18">
        <f>VLOOKUP(E455,Katalog!$C$3:$F$13,2,0)</f>
        <v>150000</v>
      </c>
      <c r="K455" s="18">
        <f>VLOOKUP(E455,Katalog!$C$3:$F$13,3,0)</f>
        <v>70000</v>
      </c>
      <c r="L455" t="str">
        <f t="shared" si="258"/>
        <v>PW002</v>
      </c>
      <c r="M455" t="str">
        <f>IFERROR(INDEX(Katalog!$B$4:$B$13,MATCH('Main Data'!L455,Katalog!$C$4:$C$13,0)), "-")</f>
        <v>Blouse</v>
      </c>
      <c r="N455" t="str">
        <f>IFERROR(VLOOKUP(L455,Katalog!$A$15:$B$25,2,0),"-")</f>
        <v>Pakaian Wanita</v>
      </c>
      <c r="O455" t="str">
        <f t="shared" si="259"/>
        <v>1</v>
      </c>
      <c r="P455" t="str">
        <f t="shared" si="260"/>
        <v>4</v>
      </c>
      <c r="Q455" s="18">
        <f>IFERROR(VLOOKUP(L455,Katalog!$C$3:$F$13,2,0),0)</f>
        <v>125000</v>
      </c>
      <c r="R455" s="18">
        <f>IFERROR(VLOOKUP(L455,Katalog!$C$3:$F$13,3,0),0)</f>
        <v>50000</v>
      </c>
      <c r="S455" t="str">
        <f t="shared" si="261"/>
        <v>-</v>
      </c>
      <c r="T455" t="str">
        <f>IFERROR(INDEX(Katalog!$B$4:$B$13,MATCH('Main Data'!S455,Katalog!$C$4:$C$13,0)),"-")</f>
        <v>-</v>
      </c>
      <c r="U455" t="str">
        <f>IFERROR(VLOOKUP(S455,Katalog!$A$15:$B$25,2,0),"-")</f>
        <v>-</v>
      </c>
      <c r="V455">
        <f t="shared" si="262"/>
        <v>0</v>
      </c>
      <c r="W455" s="28" t="str">
        <f t="shared" si="263"/>
        <v>-</v>
      </c>
      <c r="X455" s="18">
        <f>IFERROR(VLOOKUP(S455,Katalog!$C$3:$F$13,2,0),0)</f>
        <v>0</v>
      </c>
      <c r="Y455" s="30">
        <f>IFERROR(VLOOKUP(S455,Katalog!$C$3:$F$13,3,0),0)</f>
        <v>0</v>
      </c>
      <c r="Z455" s="2">
        <f t="shared" si="264"/>
        <v>3</v>
      </c>
      <c r="AA455" s="4">
        <f t="shared" si="265"/>
        <v>425000</v>
      </c>
      <c r="AB455" s="4">
        <f t="shared" si="266"/>
        <v>190000</v>
      </c>
      <c r="AC455" s="4" t="s">
        <v>10</v>
      </c>
      <c r="AD455" s="16">
        <f>IFERROR(VLOOKUP(AC455,'Kode Diskon'!$C$2:$D$9,2,0),0)</f>
        <v>0</v>
      </c>
      <c r="AE455" s="31">
        <f t="shared" si="267"/>
        <v>0</v>
      </c>
      <c r="AF455" s="31">
        <f t="shared" si="268"/>
        <v>425000</v>
      </c>
      <c r="AG455" s="31">
        <f t="shared" si="269"/>
        <v>235000</v>
      </c>
      <c r="AH455" s="31">
        <f t="shared" si="270"/>
        <v>235000</v>
      </c>
      <c r="AI455" s="4" t="s">
        <v>10</v>
      </c>
      <c r="AJ455" s="4" t="s">
        <v>6</v>
      </c>
      <c r="AK455" s="4" t="str">
        <f>IFERROR(VLOOKUP(AJ455,'Guide '!$A$13:$B$16,2,0),"-")</f>
        <v>SP</v>
      </c>
      <c r="AL455" s="4" t="s">
        <v>921</v>
      </c>
      <c r="AM455" s="40">
        <v>45461</v>
      </c>
      <c r="AN455">
        <f t="shared" si="271"/>
        <v>29</v>
      </c>
      <c r="AO455">
        <f t="shared" si="272"/>
        <v>32</v>
      </c>
      <c r="AP455">
        <f t="shared" si="273"/>
        <v>40</v>
      </c>
      <c r="AQ455">
        <f t="shared" si="274"/>
        <v>43</v>
      </c>
      <c r="AR455" s="26">
        <f t="shared" si="275"/>
        <v>56</v>
      </c>
      <c r="AS455" s="26">
        <f t="shared" si="276"/>
        <v>63</v>
      </c>
      <c r="AT455" s="21">
        <f t="shared" si="277"/>
        <v>12</v>
      </c>
      <c r="AU455" s="21">
        <f t="shared" si="278"/>
        <v>19</v>
      </c>
      <c r="AV455">
        <f t="shared" si="279"/>
        <v>73</v>
      </c>
      <c r="AW455">
        <f t="shared" si="280"/>
        <v>76</v>
      </c>
      <c r="AX455">
        <f t="shared" si="281"/>
        <v>84</v>
      </c>
      <c r="AY455">
        <f t="shared" si="282"/>
        <v>87</v>
      </c>
      <c r="AZ455" t="str">
        <f t="shared" si="283"/>
        <v>-</v>
      </c>
      <c r="BA455" t="str">
        <f t="shared" si="284"/>
        <v>-</v>
      </c>
      <c r="BB455" t="str">
        <f t="shared" si="285"/>
        <v>-</v>
      </c>
      <c r="BC455" t="str">
        <f t="shared" si="286"/>
        <v>-</v>
      </c>
      <c r="BD455" s="29" t="str">
        <f t="shared" si="287"/>
        <v>-</v>
      </c>
      <c r="BE455" s="29" t="str">
        <f t="shared" si="288"/>
        <v>-</v>
      </c>
    </row>
    <row r="456" spans="1:57" ht="15" x14ac:dyDescent="0.2">
      <c r="A456" s="2">
        <v>753</v>
      </c>
      <c r="B456" s="2" t="str">
        <f t="shared" si="253"/>
        <v>0753</v>
      </c>
      <c r="C456" t="str">
        <f t="shared" si="254"/>
        <v>ORD-SP-0753-19/06/24</v>
      </c>
      <c r="D456" s="3" t="s">
        <v>521</v>
      </c>
      <c r="E456" t="str">
        <f t="shared" si="255"/>
        <v>SP001</v>
      </c>
      <c r="F456" t="str">
        <f>INDEX(Katalog!$B$4:$B$13,MATCH('Main Data'!E456,Katalog!$C$4:$C$13,0))</f>
        <v>Sneakers</v>
      </c>
      <c r="G456" t="str">
        <f>VLOOKUP(E456,Katalog!$A$15:$B$25,2,0)</f>
        <v>Sepatu Pria</v>
      </c>
      <c r="H456" t="str">
        <f t="shared" si="256"/>
        <v>1</v>
      </c>
      <c r="I456" t="str">
        <f t="shared" si="257"/>
        <v>2</v>
      </c>
      <c r="J456" s="18">
        <f>VLOOKUP(E456,Katalog!$C$3:$F$13,2,0)</f>
        <v>300000</v>
      </c>
      <c r="K456" s="18">
        <f>VLOOKUP(E456,Katalog!$C$3:$F$13,3,0)</f>
        <v>100000</v>
      </c>
      <c r="L456" t="str">
        <f t="shared" si="258"/>
        <v>-</v>
      </c>
      <c r="M456" t="str">
        <f>IFERROR(INDEX(Katalog!$B$4:$B$13,MATCH('Main Data'!L456,Katalog!$C$4:$C$13,0)), "-")</f>
        <v>-</v>
      </c>
      <c r="N456" t="str">
        <f>IFERROR(VLOOKUP(L456,Katalog!$A$15:$B$25,2,0),"-")</f>
        <v>-</v>
      </c>
      <c r="O456">
        <f t="shared" si="259"/>
        <v>0</v>
      </c>
      <c r="P456" t="str">
        <f t="shared" si="260"/>
        <v>-</v>
      </c>
      <c r="Q456" s="18">
        <f>IFERROR(VLOOKUP(L456,Katalog!$C$3:$F$13,2,0),0)</f>
        <v>0</v>
      </c>
      <c r="R456" s="18">
        <f>IFERROR(VLOOKUP(L456,Katalog!$C$3:$F$13,3,0),0)</f>
        <v>0</v>
      </c>
      <c r="S456" t="str">
        <f t="shared" si="261"/>
        <v>-</v>
      </c>
      <c r="T456" t="str">
        <f>IFERROR(INDEX(Katalog!$B$4:$B$13,MATCH('Main Data'!S456,Katalog!$C$4:$C$13,0)),"-")</f>
        <v>-</v>
      </c>
      <c r="U456" t="str">
        <f>IFERROR(VLOOKUP(S456,Katalog!$A$15:$B$25,2,0),"-")</f>
        <v>-</v>
      </c>
      <c r="V456">
        <f t="shared" si="262"/>
        <v>0</v>
      </c>
      <c r="W456" s="28" t="str">
        <f t="shared" si="263"/>
        <v>-</v>
      </c>
      <c r="X456" s="18">
        <f>IFERROR(VLOOKUP(S456,Katalog!$C$3:$F$13,2,0),0)</f>
        <v>0</v>
      </c>
      <c r="Y456" s="30">
        <f>IFERROR(VLOOKUP(S456,Katalog!$C$3:$F$13,3,0),0)</f>
        <v>0</v>
      </c>
      <c r="Z456" s="2">
        <f t="shared" si="264"/>
        <v>1</v>
      </c>
      <c r="AA456" s="4">
        <f t="shared" si="265"/>
        <v>300000</v>
      </c>
      <c r="AB456" s="4">
        <f t="shared" si="266"/>
        <v>100000</v>
      </c>
      <c r="AC456" s="4" t="s">
        <v>10</v>
      </c>
      <c r="AD456" s="16">
        <f>IFERROR(VLOOKUP(AC456,'Kode Diskon'!$C$2:$D$9,2,0),0)</f>
        <v>0</v>
      </c>
      <c r="AE456" s="31">
        <f t="shared" si="267"/>
        <v>0</v>
      </c>
      <c r="AF456" s="31">
        <f t="shared" si="268"/>
        <v>300000</v>
      </c>
      <c r="AG456" s="31">
        <f t="shared" si="269"/>
        <v>200000</v>
      </c>
      <c r="AH456" s="31">
        <f t="shared" si="270"/>
        <v>200000</v>
      </c>
      <c r="AI456" s="4" t="s">
        <v>10</v>
      </c>
      <c r="AJ456" s="4" t="s">
        <v>6</v>
      </c>
      <c r="AK456" s="4" t="str">
        <f>IFERROR(VLOOKUP(AJ456,'Guide '!$A$13:$B$16,2,0),"-")</f>
        <v>SP</v>
      </c>
      <c r="AL456" s="4" t="s">
        <v>925</v>
      </c>
      <c r="AM456" s="40">
        <v>45462</v>
      </c>
      <c r="AN456">
        <f t="shared" si="271"/>
        <v>29</v>
      </c>
      <c r="AO456">
        <f t="shared" si="272"/>
        <v>32</v>
      </c>
      <c r="AP456">
        <f t="shared" si="273"/>
        <v>40</v>
      </c>
      <c r="AQ456">
        <f t="shared" si="274"/>
        <v>43</v>
      </c>
      <c r="AR456" s="26" t="str">
        <f t="shared" si="275"/>
        <v>-</v>
      </c>
      <c r="AS456" s="26" t="str">
        <f t="shared" si="276"/>
        <v>-</v>
      </c>
      <c r="AT456" s="21">
        <f t="shared" si="277"/>
        <v>12</v>
      </c>
      <c r="AU456" s="21">
        <f t="shared" si="278"/>
        <v>19</v>
      </c>
      <c r="AV456" t="str">
        <f t="shared" si="279"/>
        <v>-</v>
      </c>
      <c r="AW456" t="str">
        <f t="shared" si="280"/>
        <v>-</v>
      </c>
      <c r="AX456" t="str">
        <f t="shared" si="281"/>
        <v>-</v>
      </c>
      <c r="AY456" t="str">
        <f t="shared" si="282"/>
        <v>-</v>
      </c>
      <c r="AZ456" t="str">
        <f t="shared" si="283"/>
        <v>-</v>
      </c>
      <c r="BA456" t="str">
        <f t="shared" si="284"/>
        <v>-</v>
      </c>
      <c r="BB456" t="str">
        <f t="shared" si="285"/>
        <v>-</v>
      </c>
      <c r="BC456" t="str">
        <f t="shared" si="286"/>
        <v>-</v>
      </c>
      <c r="BD456" s="29" t="str">
        <f t="shared" si="287"/>
        <v>-</v>
      </c>
      <c r="BE456" s="29" t="str">
        <f t="shared" si="288"/>
        <v>-</v>
      </c>
    </row>
    <row r="457" spans="1:57" ht="15" x14ac:dyDescent="0.2">
      <c r="A457" s="2">
        <v>72</v>
      </c>
      <c r="B457" s="2" t="str">
        <f t="shared" si="253"/>
        <v>0072</v>
      </c>
      <c r="C457" t="str">
        <f t="shared" si="254"/>
        <v>ORD-SP-0072-20/06/24</v>
      </c>
      <c r="D457" s="3" t="s">
        <v>145</v>
      </c>
      <c r="E457" t="str">
        <f t="shared" si="255"/>
        <v>SW001</v>
      </c>
      <c r="F457" t="str">
        <f>INDEX(Katalog!$B$4:$B$13,MATCH('Main Data'!E457,Katalog!$C$4:$C$13,0))</f>
        <v>Flat Shoes</v>
      </c>
      <c r="G457" t="str">
        <f>VLOOKUP(E457,Katalog!$A$15:$B$25,2,0)</f>
        <v>Sepatu Wanita</v>
      </c>
      <c r="H457" t="str">
        <f t="shared" si="256"/>
        <v>3</v>
      </c>
      <c r="I457" t="str">
        <f t="shared" si="257"/>
        <v>4</v>
      </c>
      <c r="J457" s="18">
        <f>VLOOKUP(E457,Katalog!$C$3:$F$13,2,0)</f>
        <v>150000</v>
      </c>
      <c r="K457" s="18">
        <f>VLOOKUP(E457,Katalog!$C$3:$F$13,3,0)</f>
        <v>70000</v>
      </c>
      <c r="L457" t="str">
        <f t="shared" si="258"/>
        <v>PP001</v>
      </c>
      <c r="M457" t="str">
        <f>IFERROR(INDEX(Katalog!$B$4:$B$13,MATCH('Main Data'!L457,Katalog!$C$4:$C$13,0)), "-")</f>
        <v>Kaos Polo</v>
      </c>
      <c r="N457" t="str">
        <f>IFERROR(VLOOKUP(L457,Katalog!$A$15:$B$25,2,0),"-")</f>
        <v>Pakaian Pria</v>
      </c>
      <c r="O457" t="str">
        <f t="shared" si="259"/>
        <v>2</v>
      </c>
      <c r="P457" t="str">
        <f t="shared" si="260"/>
        <v>3</v>
      </c>
      <c r="Q457" s="18">
        <f>IFERROR(VLOOKUP(L457,Katalog!$C$3:$F$13,2,0),0)</f>
        <v>80000</v>
      </c>
      <c r="R457" s="18">
        <f>IFERROR(VLOOKUP(L457,Katalog!$C$3:$F$13,3,0),0)</f>
        <v>30000</v>
      </c>
      <c r="S457" t="str">
        <f t="shared" si="261"/>
        <v>PW002</v>
      </c>
      <c r="T457" t="str">
        <f>IFERROR(INDEX(Katalog!$B$4:$B$13,MATCH('Main Data'!S457,Katalog!$C$4:$C$13,0)),"-")</f>
        <v>Blouse</v>
      </c>
      <c r="U457" t="str">
        <f>IFERROR(VLOOKUP(S457,Katalog!$A$15:$B$25,2,0),"-")</f>
        <v>Pakaian Wanita</v>
      </c>
      <c r="V457" t="str">
        <f t="shared" si="262"/>
        <v>1</v>
      </c>
      <c r="W457" s="28" t="str">
        <f t="shared" si="263"/>
        <v>1</v>
      </c>
      <c r="X457" s="18">
        <f>IFERROR(VLOOKUP(S457,Katalog!$C$3:$F$13,2,0),0)</f>
        <v>125000</v>
      </c>
      <c r="Y457" s="30">
        <f>IFERROR(VLOOKUP(S457,Katalog!$C$3:$F$13,3,0),0)</f>
        <v>50000</v>
      </c>
      <c r="Z457" s="2">
        <f t="shared" si="264"/>
        <v>6</v>
      </c>
      <c r="AA457" s="4">
        <f t="shared" si="265"/>
        <v>735000</v>
      </c>
      <c r="AB457" s="4">
        <f t="shared" si="266"/>
        <v>320000</v>
      </c>
      <c r="AC457" s="4" t="s">
        <v>5</v>
      </c>
      <c r="AD457" s="16">
        <f>IFERROR(VLOOKUP(AC457,'Kode Diskon'!$C$2:$D$9,2,0),0)</f>
        <v>0.1</v>
      </c>
      <c r="AE457" s="31">
        <f t="shared" si="267"/>
        <v>73500</v>
      </c>
      <c r="AF457" s="31">
        <f t="shared" si="268"/>
        <v>661500</v>
      </c>
      <c r="AG457" s="31">
        <f t="shared" si="269"/>
        <v>415000</v>
      </c>
      <c r="AH457" s="31">
        <f t="shared" si="270"/>
        <v>341500</v>
      </c>
      <c r="AI457" s="4" t="s">
        <v>28</v>
      </c>
      <c r="AJ457" s="4" t="s">
        <v>6</v>
      </c>
      <c r="AK457" s="4" t="str">
        <f>IFERROR(VLOOKUP(AJ457,'Guide '!$A$13:$B$16,2,0),"-")</f>
        <v>SP</v>
      </c>
      <c r="AL457" s="4" t="s">
        <v>925</v>
      </c>
      <c r="AM457" s="40">
        <v>45463</v>
      </c>
      <c r="AN457">
        <f t="shared" si="271"/>
        <v>29</v>
      </c>
      <c r="AO457">
        <f t="shared" si="272"/>
        <v>32</v>
      </c>
      <c r="AP457">
        <f t="shared" si="273"/>
        <v>40</v>
      </c>
      <c r="AQ457">
        <f t="shared" si="274"/>
        <v>43</v>
      </c>
      <c r="AR457" s="26">
        <f t="shared" si="275"/>
        <v>56</v>
      </c>
      <c r="AS457" s="26">
        <f t="shared" si="276"/>
        <v>63</v>
      </c>
      <c r="AT457" s="21">
        <f t="shared" si="277"/>
        <v>12</v>
      </c>
      <c r="AU457" s="21">
        <f t="shared" si="278"/>
        <v>19</v>
      </c>
      <c r="AV457">
        <f t="shared" si="279"/>
        <v>73</v>
      </c>
      <c r="AW457">
        <f t="shared" si="280"/>
        <v>76</v>
      </c>
      <c r="AX457">
        <f t="shared" si="281"/>
        <v>84</v>
      </c>
      <c r="AY457">
        <f t="shared" si="282"/>
        <v>87</v>
      </c>
      <c r="AZ457">
        <f t="shared" si="283"/>
        <v>100</v>
      </c>
      <c r="BA457">
        <f t="shared" si="284"/>
        <v>107</v>
      </c>
      <c r="BB457">
        <f t="shared" si="285"/>
        <v>117</v>
      </c>
      <c r="BC457">
        <f t="shared" si="286"/>
        <v>120</v>
      </c>
      <c r="BD457" s="29">
        <f t="shared" si="287"/>
        <v>128</v>
      </c>
      <c r="BE457" s="29">
        <f t="shared" si="288"/>
        <v>131</v>
      </c>
    </row>
    <row r="458" spans="1:57" ht="15" x14ac:dyDescent="0.2">
      <c r="A458" s="2">
        <v>100</v>
      </c>
      <c r="B458" s="2" t="str">
        <f t="shared" si="253"/>
        <v>0100</v>
      </c>
      <c r="C458" t="str">
        <f t="shared" si="254"/>
        <v>ORD-TK-0100-20/06/24</v>
      </c>
      <c r="D458" s="3" t="s">
        <v>172</v>
      </c>
      <c r="E458" t="str">
        <f t="shared" si="255"/>
        <v>SW001</v>
      </c>
      <c r="F458" t="str">
        <f>INDEX(Katalog!$B$4:$B$13,MATCH('Main Data'!E458,Katalog!$C$4:$C$13,0))</f>
        <v>Flat Shoes</v>
      </c>
      <c r="G458" t="str">
        <f>VLOOKUP(E458,Katalog!$A$15:$B$25,2,0)</f>
        <v>Sepatu Wanita</v>
      </c>
      <c r="H458" t="str">
        <f t="shared" si="256"/>
        <v>1</v>
      </c>
      <c r="I458" t="str">
        <f t="shared" si="257"/>
        <v>1</v>
      </c>
      <c r="J458" s="18">
        <f>VLOOKUP(E458,Katalog!$C$3:$F$13,2,0)</f>
        <v>150000</v>
      </c>
      <c r="K458" s="18">
        <f>VLOOKUP(E458,Katalog!$C$3:$F$13,3,0)</f>
        <v>70000</v>
      </c>
      <c r="L458" t="str">
        <f t="shared" si="258"/>
        <v>SP001</v>
      </c>
      <c r="M458" t="str">
        <f>IFERROR(INDEX(Katalog!$B$4:$B$13,MATCH('Main Data'!L458,Katalog!$C$4:$C$13,0)), "-")</f>
        <v>Sneakers</v>
      </c>
      <c r="N458" t="str">
        <f>IFERROR(VLOOKUP(L458,Katalog!$A$15:$B$25,2,0),"-")</f>
        <v>Sepatu Pria</v>
      </c>
      <c r="O458" t="str">
        <f t="shared" si="259"/>
        <v>1</v>
      </c>
      <c r="P458" t="str">
        <f t="shared" si="260"/>
        <v>2</v>
      </c>
      <c r="Q458" s="18">
        <f>IFERROR(VLOOKUP(L458,Katalog!$C$3:$F$13,2,0),0)</f>
        <v>300000</v>
      </c>
      <c r="R458" s="18">
        <f>IFERROR(VLOOKUP(L458,Katalog!$C$3:$F$13,3,0),0)</f>
        <v>100000</v>
      </c>
      <c r="S458" t="str">
        <f t="shared" si="261"/>
        <v>SW001</v>
      </c>
      <c r="T458" t="str">
        <f>IFERROR(INDEX(Katalog!$B$4:$B$13,MATCH('Main Data'!S458,Katalog!$C$4:$C$13,0)),"-")</f>
        <v>Flat Shoes</v>
      </c>
      <c r="U458" t="str">
        <f>IFERROR(VLOOKUP(S458,Katalog!$A$15:$B$25,2,0),"-")</f>
        <v>Sepatu Wanita</v>
      </c>
      <c r="V458" t="str">
        <f t="shared" si="262"/>
        <v>1</v>
      </c>
      <c r="W458" s="28" t="str">
        <f t="shared" si="263"/>
        <v>1</v>
      </c>
      <c r="X458" s="18">
        <f>IFERROR(VLOOKUP(S458,Katalog!$C$3:$F$13,2,0),0)</f>
        <v>150000</v>
      </c>
      <c r="Y458" s="30">
        <f>IFERROR(VLOOKUP(S458,Katalog!$C$3:$F$13,3,0),0)</f>
        <v>70000</v>
      </c>
      <c r="Z458" s="2">
        <f t="shared" si="264"/>
        <v>3</v>
      </c>
      <c r="AA458" s="4">
        <f t="shared" si="265"/>
        <v>600000</v>
      </c>
      <c r="AB458" s="4">
        <f t="shared" si="266"/>
        <v>240000</v>
      </c>
      <c r="AC458" s="4" t="s">
        <v>29</v>
      </c>
      <c r="AD458" s="16">
        <f>IFERROR(VLOOKUP(AC458,'Kode Diskon'!$C$2:$D$9,2,0),0)</f>
        <v>0.1</v>
      </c>
      <c r="AE458" s="31">
        <f t="shared" si="267"/>
        <v>60000</v>
      </c>
      <c r="AF458" s="31">
        <f t="shared" si="268"/>
        <v>540000</v>
      </c>
      <c r="AG458" s="31">
        <f t="shared" si="269"/>
        <v>360000</v>
      </c>
      <c r="AH458" s="31">
        <f t="shared" si="270"/>
        <v>300000</v>
      </c>
      <c r="AI458" s="4" t="s">
        <v>28</v>
      </c>
      <c r="AJ458" s="4" t="s">
        <v>9</v>
      </c>
      <c r="AK458" s="4" t="str">
        <f>IFERROR(VLOOKUP(AJ458,'Guide '!$A$13:$B$16,2,0),"-")</f>
        <v>TK</v>
      </c>
      <c r="AL458" s="4" t="s">
        <v>921</v>
      </c>
      <c r="AM458" s="40">
        <v>45463</v>
      </c>
      <c r="AN458">
        <f t="shared" si="271"/>
        <v>29</v>
      </c>
      <c r="AO458">
        <f t="shared" si="272"/>
        <v>32</v>
      </c>
      <c r="AP458">
        <f t="shared" si="273"/>
        <v>40</v>
      </c>
      <c r="AQ458">
        <f t="shared" si="274"/>
        <v>43</v>
      </c>
      <c r="AR458" s="26">
        <f t="shared" si="275"/>
        <v>56</v>
      </c>
      <c r="AS458" s="26">
        <f t="shared" si="276"/>
        <v>63</v>
      </c>
      <c r="AT458" s="21">
        <f t="shared" si="277"/>
        <v>12</v>
      </c>
      <c r="AU458" s="21">
        <f t="shared" si="278"/>
        <v>19</v>
      </c>
      <c r="AV458">
        <f t="shared" si="279"/>
        <v>73</v>
      </c>
      <c r="AW458">
        <f t="shared" si="280"/>
        <v>76</v>
      </c>
      <c r="AX458">
        <f t="shared" si="281"/>
        <v>84</v>
      </c>
      <c r="AY458">
        <f t="shared" si="282"/>
        <v>87</v>
      </c>
      <c r="AZ458">
        <f t="shared" si="283"/>
        <v>100</v>
      </c>
      <c r="BA458">
        <f t="shared" si="284"/>
        <v>107</v>
      </c>
      <c r="BB458">
        <f t="shared" si="285"/>
        <v>117</v>
      </c>
      <c r="BC458">
        <f t="shared" si="286"/>
        <v>120</v>
      </c>
      <c r="BD458" s="29">
        <f t="shared" si="287"/>
        <v>128</v>
      </c>
      <c r="BE458" s="29">
        <f t="shared" si="288"/>
        <v>131</v>
      </c>
    </row>
    <row r="459" spans="1:57" ht="15" x14ac:dyDescent="0.2">
      <c r="A459" s="2">
        <v>159</v>
      </c>
      <c r="B459" s="2" t="str">
        <f t="shared" si="253"/>
        <v>0159</v>
      </c>
      <c r="C459" t="str">
        <f t="shared" si="254"/>
        <v>ORD-SP-0159-20/06/24</v>
      </c>
      <c r="D459" s="3" t="s">
        <v>103</v>
      </c>
      <c r="E459" t="str">
        <f t="shared" si="255"/>
        <v>PW003</v>
      </c>
      <c r="F459" t="str">
        <f>INDEX(Katalog!$B$4:$B$13,MATCH('Main Data'!E459,Katalog!$C$4:$C$13,0))</f>
        <v>Kaftan</v>
      </c>
      <c r="G459" t="str">
        <f>VLOOKUP(E459,Katalog!$A$15:$B$25,2,0)</f>
        <v>Pakaian Wanita</v>
      </c>
      <c r="H459" t="str">
        <f t="shared" si="256"/>
        <v>1</v>
      </c>
      <c r="I459" t="str">
        <f t="shared" si="257"/>
        <v>1</v>
      </c>
      <c r="J459" s="18">
        <f>VLOOKUP(E459,Katalog!$C$3:$F$13,2,0)</f>
        <v>200000</v>
      </c>
      <c r="K459" s="18">
        <f>VLOOKUP(E459,Katalog!$C$3:$F$13,3,0)</f>
        <v>100000</v>
      </c>
      <c r="L459" t="str">
        <f t="shared" si="258"/>
        <v>-</v>
      </c>
      <c r="M459" t="str">
        <f>IFERROR(INDEX(Katalog!$B$4:$B$13,MATCH('Main Data'!L459,Katalog!$C$4:$C$13,0)), "-")</f>
        <v>-</v>
      </c>
      <c r="N459" t="str">
        <f>IFERROR(VLOOKUP(L459,Katalog!$A$15:$B$25,2,0),"-")</f>
        <v>-</v>
      </c>
      <c r="O459">
        <f t="shared" si="259"/>
        <v>0</v>
      </c>
      <c r="P459" t="str">
        <f t="shared" si="260"/>
        <v>-</v>
      </c>
      <c r="Q459" s="18">
        <f>IFERROR(VLOOKUP(L459,Katalog!$C$3:$F$13,2,0),0)</f>
        <v>0</v>
      </c>
      <c r="R459" s="18">
        <f>IFERROR(VLOOKUP(L459,Katalog!$C$3:$F$13,3,0),0)</f>
        <v>0</v>
      </c>
      <c r="S459" t="str">
        <f t="shared" si="261"/>
        <v>-</v>
      </c>
      <c r="T459" t="str">
        <f>IFERROR(INDEX(Katalog!$B$4:$B$13,MATCH('Main Data'!S459,Katalog!$C$4:$C$13,0)),"-")</f>
        <v>-</v>
      </c>
      <c r="U459" t="str">
        <f>IFERROR(VLOOKUP(S459,Katalog!$A$15:$B$25,2,0),"-")</f>
        <v>-</v>
      </c>
      <c r="V459">
        <f t="shared" si="262"/>
        <v>0</v>
      </c>
      <c r="W459" s="28" t="str">
        <f t="shared" si="263"/>
        <v>-</v>
      </c>
      <c r="X459" s="18">
        <f>IFERROR(VLOOKUP(S459,Katalog!$C$3:$F$13,2,0),0)</f>
        <v>0</v>
      </c>
      <c r="Y459" s="30">
        <f>IFERROR(VLOOKUP(S459,Katalog!$C$3:$F$13,3,0),0)</f>
        <v>0</v>
      </c>
      <c r="Z459" s="2">
        <f t="shared" si="264"/>
        <v>1</v>
      </c>
      <c r="AA459" s="4">
        <f t="shared" si="265"/>
        <v>200000</v>
      </c>
      <c r="AB459" s="4">
        <f t="shared" si="266"/>
        <v>100000</v>
      </c>
      <c r="AC459" s="4" t="s">
        <v>10</v>
      </c>
      <c r="AD459" s="16">
        <f>IFERROR(VLOOKUP(AC459,'Kode Diskon'!$C$2:$D$9,2,0),0)</f>
        <v>0</v>
      </c>
      <c r="AE459" s="31">
        <f t="shared" si="267"/>
        <v>0</v>
      </c>
      <c r="AF459" s="31">
        <f t="shared" si="268"/>
        <v>200000</v>
      </c>
      <c r="AG459" s="31">
        <f t="shared" si="269"/>
        <v>100000</v>
      </c>
      <c r="AH459" s="31">
        <f t="shared" si="270"/>
        <v>100000</v>
      </c>
      <c r="AI459" s="4" t="s">
        <v>10</v>
      </c>
      <c r="AJ459" s="4" t="s">
        <v>6</v>
      </c>
      <c r="AK459" s="4" t="str">
        <f>IFERROR(VLOOKUP(AJ459,'Guide '!$A$13:$B$16,2,0),"-")</f>
        <v>SP</v>
      </c>
      <c r="AL459" s="4" t="s">
        <v>925</v>
      </c>
      <c r="AM459" s="40">
        <v>45463</v>
      </c>
      <c r="AN459">
        <f t="shared" si="271"/>
        <v>29</v>
      </c>
      <c r="AO459">
        <f t="shared" si="272"/>
        <v>32</v>
      </c>
      <c r="AP459">
        <f t="shared" si="273"/>
        <v>40</v>
      </c>
      <c r="AQ459">
        <f t="shared" si="274"/>
        <v>43</v>
      </c>
      <c r="AR459" s="26" t="str">
        <f t="shared" si="275"/>
        <v>-</v>
      </c>
      <c r="AS459" s="26" t="str">
        <f t="shared" si="276"/>
        <v>-</v>
      </c>
      <c r="AT459" s="21">
        <f t="shared" si="277"/>
        <v>12</v>
      </c>
      <c r="AU459" s="21">
        <f t="shared" si="278"/>
        <v>19</v>
      </c>
      <c r="AV459" t="str">
        <f t="shared" si="279"/>
        <v>-</v>
      </c>
      <c r="AW459" t="str">
        <f t="shared" si="280"/>
        <v>-</v>
      </c>
      <c r="AX459" t="str">
        <f t="shared" si="281"/>
        <v>-</v>
      </c>
      <c r="AY459" t="str">
        <f t="shared" si="282"/>
        <v>-</v>
      </c>
      <c r="AZ459" t="str">
        <f t="shared" si="283"/>
        <v>-</v>
      </c>
      <c r="BA459" t="str">
        <f t="shared" si="284"/>
        <v>-</v>
      </c>
      <c r="BB459" t="str">
        <f t="shared" si="285"/>
        <v>-</v>
      </c>
      <c r="BC459" t="str">
        <f t="shared" si="286"/>
        <v>-</v>
      </c>
      <c r="BD459" s="29" t="str">
        <f t="shared" si="287"/>
        <v>-</v>
      </c>
      <c r="BE459" s="29" t="str">
        <f t="shared" si="288"/>
        <v>-</v>
      </c>
    </row>
    <row r="460" spans="1:57" ht="15" x14ac:dyDescent="0.2">
      <c r="A460" s="2">
        <v>459</v>
      </c>
      <c r="B460" s="2" t="str">
        <f t="shared" si="253"/>
        <v>0459</v>
      </c>
      <c r="C460" t="str">
        <f t="shared" si="254"/>
        <v>ORD-BL-0459-20/06/24</v>
      </c>
      <c r="D460" s="3" t="s">
        <v>497</v>
      </c>
      <c r="E460" t="str">
        <f t="shared" si="255"/>
        <v>SP002</v>
      </c>
      <c r="F460" t="str">
        <f>INDEX(Katalog!$B$4:$B$13,MATCH('Main Data'!E460,Katalog!$C$4:$C$13,0))</f>
        <v>Sandal Slip On</v>
      </c>
      <c r="G460" t="str">
        <f>VLOOKUP(E460,Katalog!$A$15:$B$25,2,0)</f>
        <v>Sepatu Pria</v>
      </c>
      <c r="H460" t="str">
        <f t="shared" si="256"/>
        <v>1</v>
      </c>
      <c r="I460" t="str">
        <f t="shared" si="257"/>
        <v>4</v>
      </c>
      <c r="J460" s="18">
        <f>VLOOKUP(E460,Katalog!$C$3:$F$13,2,0)</f>
        <v>120000</v>
      </c>
      <c r="K460" s="18">
        <f>VLOOKUP(E460,Katalog!$C$3:$F$13,3,0)</f>
        <v>60000</v>
      </c>
      <c r="L460" t="str">
        <f t="shared" si="258"/>
        <v>PW001</v>
      </c>
      <c r="M460" t="str">
        <f>IFERROR(INDEX(Katalog!$B$4:$B$13,MATCH('Main Data'!L460,Katalog!$C$4:$C$13,0)), "-")</f>
        <v>Dress</v>
      </c>
      <c r="N460" t="str">
        <f>IFERROR(VLOOKUP(L460,Katalog!$A$15:$B$25,2,0),"-")</f>
        <v>Pakaian Wanita</v>
      </c>
      <c r="O460" t="str">
        <f t="shared" si="259"/>
        <v>4</v>
      </c>
      <c r="P460" t="str">
        <f t="shared" si="260"/>
        <v>3</v>
      </c>
      <c r="Q460" s="18">
        <f>IFERROR(VLOOKUP(L460,Katalog!$C$3:$F$13,2,0),0)</f>
        <v>150000</v>
      </c>
      <c r="R460" s="18">
        <f>IFERROR(VLOOKUP(L460,Katalog!$C$3:$F$13,3,0),0)</f>
        <v>55000</v>
      </c>
      <c r="S460" t="str">
        <f t="shared" si="261"/>
        <v>PU001</v>
      </c>
      <c r="T460" t="str">
        <f>IFERROR(INDEX(Katalog!$B$4:$B$13,MATCH('Main Data'!S460,Katalog!$C$4:$C$13,0)),"-")</f>
        <v>Jaket Hoodie</v>
      </c>
      <c r="U460" t="str">
        <f>IFERROR(VLOOKUP(S460,Katalog!$A$15:$B$25,2,0),"-")</f>
        <v>Pakaian Unisex</v>
      </c>
      <c r="V460" t="str">
        <f t="shared" si="262"/>
        <v>1</v>
      </c>
      <c r="W460" s="28" t="str">
        <f t="shared" si="263"/>
        <v>5</v>
      </c>
      <c r="X460" s="18">
        <f>IFERROR(VLOOKUP(S460,Katalog!$C$3:$F$13,2,0),0)</f>
        <v>160000</v>
      </c>
      <c r="Y460" s="30">
        <f>IFERROR(VLOOKUP(S460,Katalog!$C$3:$F$13,3,0),0)</f>
        <v>60000</v>
      </c>
      <c r="Z460" s="2">
        <f t="shared" si="264"/>
        <v>6</v>
      </c>
      <c r="AA460" s="4">
        <f t="shared" si="265"/>
        <v>880000</v>
      </c>
      <c r="AB460" s="4">
        <f t="shared" si="266"/>
        <v>340000</v>
      </c>
      <c r="AC460" s="4" t="s">
        <v>31</v>
      </c>
      <c r="AD460" s="16">
        <f>IFERROR(VLOOKUP(AC460,'Kode Diskon'!$C$2:$D$9,2,0),0)</f>
        <v>0.15</v>
      </c>
      <c r="AE460" s="31">
        <f t="shared" si="267"/>
        <v>132000</v>
      </c>
      <c r="AF460" s="31">
        <f t="shared" si="268"/>
        <v>748000</v>
      </c>
      <c r="AG460" s="31">
        <f t="shared" si="269"/>
        <v>540000</v>
      </c>
      <c r="AH460" s="31">
        <f t="shared" si="270"/>
        <v>408000</v>
      </c>
      <c r="AI460" s="4" t="s">
        <v>8</v>
      </c>
      <c r="AJ460" s="4" t="s">
        <v>11</v>
      </c>
      <c r="AK460" s="4" t="str">
        <f>IFERROR(VLOOKUP(AJ460,'Guide '!$A$13:$B$16,2,0),"-")</f>
        <v>BL</v>
      </c>
      <c r="AL460" s="4" t="s">
        <v>1006</v>
      </c>
      <c r="AM460" s="40">
        <v>45463</v>
      </c>
      <c r="AN460">
        <f t="shared" si="271"/>
        <v>29</v>
      </c>
      <c r="AO460">
        <f t="shared" si="272"/>
        <v>32</v>
      </c>
      <c r="AP460">
        <f t="shared" si="273"/>
        <v>40</v>
      </c>
      <c r="AQ460">
        <f t="shared" si="274"/>
        <v>43</v>
      </c>
      <c r="AR460" s="26">
        <f t="shared" si="275"/>
        <v>56</v>
      </c>
      <c r="AS460" s="26">
        <f t="shared" si="276"/>
        <v>63</v>
      </c>
      <c r="AT460" s="21">
        <f t="shared" si="277"/>
        <v>12</v>
      </c>
      <c r="AU460" s="21">
        <f t="shared" si="278"/>
        <v>19</v>
      </c>
      <c r="AV460">
        <f t="shared" si="279"/>
        <v>73</v>
      </c>
      <c r="AW460">
        <f t="shared" si="280"/>
        <v>76</v>
      </c>
      <c r="AX460">
        <f t="shared" si="281"/>
        <v>84</v>
      </c>
      <c r="AY460">
        <f t="shared" si="282"/>
        <v>87</v>
      </c>
      <c r="AZ460">
        <f t="shared" si="283"/>
        <v>100</v>
      </c>
      <c r="BA460">
        <f t="shared" si="284"/>
        <v>107</v>
      </c>
      <c r="BB460">
        <f t="shared" si="285"/>
        <v>117</v>
      </c>
      <c r="BC460">
        <f t="shared" si="286"/>
        <v>120</v>
      </c>
      <c r="BD460" s="29">
        <f t="shared" si="287"/>
        <v>128</v>
      </c>
      <c r="BE460" s="29">
        <f t="shared" si="288"/>
        <v>131</v>
      </c>
    </row>
    <row r="461" spans="1:57" ht="15" x14ac:dyDescent="0.2">
      <c r="A461" s="2">
        <v>992</v>
      </c>
      <c r="B461" s="2" t="str">
        <f t="shared" si="253"/>
        <v>0992</v>
      </c>
      <c r="C461" t="str">
        <f t="shared" si="254"/>
        <v>ORD-TK-0992-20/06/24</v>
      </c>
      <c r="D461" s="3" t="s">
        <v>610</v>
      </c>
      <c r="E461" t="str">
        <f t="shared" si="255"/>
        <v>PW002</v>
      </c>
      <c r="F461" t="str">
        <f>INDEX(Katalog!$B$4:$B$13,MATCH('Main Data'!E461,Katalog!$C$4:$C$13,0))</f>
        <v>Blouse</v>
      </c>
      <c r="G461" t="str">
        <f>VLOOKUP(E461,Katalog!$A$15:$B$25,2,0)</f>
        <v>Pakaian Wanita</v>
      </c>
      <c r="H461" t="str">
        <f t="shared" si="256"/>
        <v>1</v>
      </c>
      <c r="I461" t="str">
        <f t="shared" si="257"/>
        <v>5</v>
      </c>
      <c r="J461" s="18">
        <f>VLOOKUP(E461,Katalog!$C$3:$F$13,2,0)</f>
        <v>125000</v>
      </c>
      <c r="K461" s="18">
        <f>VLOOKUP(E461,Katalog!$C$3:$F$13,3,0)</f>
        <v>50000</v>
      </c>
      <c r="L461" t="str">
        <f t="shared" si="258"/>
        <v>-</v>
      </c>
      <c r="M461" t="str">
        <f>IFERROR(INDEX(Katalog!$B$4:$B$13,MATCH('Main Data'!L461,Katalog!$C$4:$C$13,0)), "-")</f>
        <v>-</v>
      </c>
      <c r="N461" t="str">
        <f>IFERROR(VLOOKUP(L461,Katalog!$A$15:$B$25,2,0),"-")</f>
        <v>-</v>
      </c>
      <c r="O461">
        <f t="shared" si="259"/>
        <v>0</v>
      </c>
      <c r="P461" t="str">
        <f t="shared" si="260"/>
        <v>-</v>
      </c>
      <c r="Q461" s="18">
        <f>IFERROR(VLOOKUP(L461,Katalog!$C$3:$F$13,2,0),0)</f>
        <v>0</v>
      </c>
      <c r="R461" s="18">
        <f>IFERROR(VLOOKUP(L461,Katalog!$C$3:$F$13,3,0),0)</f>
        <v>0</v>
      </c>
      <c r="S461" t="str">
        <f t="shared" si="261"/>
        <v>-</v>
      </c>
      <c r="T461" t="str">
        <f>IFERROR(INDEX(Katalog!$B$4:$B$13,MATCH('Main Data'!S461,Katalog!$C$4:$C$13,0)),"-")</f>
        <v>-</v>
      </c>
      <c r="U461" t="str">
        <f>IFERROR(VLOOKUP(S461,Katalog!$A$15:$B$25,2,0),"-")</f>
        <v>-</v>
      </c>
      <c r="V461">
        <f t="shared" si="262"/>
        <v>0</v>
      </c>
      <c r="W461" s="28" t="str">
        <f t="shared" si="263"/>
        <v>-</v>
      </c>
      <c r="X461" s="18">
        <f>IFERROR(VLOOKUP(S461,Katalog!$C$3:$F$13,2,0),0)</f>
        <v>0</v>
      </c>
      <c r="Y461" s="30">
        <f>IFERROR(VLOOKUP(S461,Katalog!$C$3:$F$13,3,0),0)</f>
        <v>0</v>
      </c>
      <c r="Z461" s="2">
        <f t="shared" si="264"/>
        <v>1</v>
      </c>
      <c r="AA461" s="4">
        <f t="shared" si="265"/>
        <v>125000</v>
      </c>
      <c r="AB461" s="4">
        <f t="shared" si="266"/>
        <v>50000</v>
      </c>
      <c r="AC461" s="4" t="s">
        <v>29</v>
      </c>
      <c r="AD461" s="16">
        <f>IFERROR(VLOOKUP(AC461,'Kode Diskon'!$C$2:$D$9,2,0),0)</f>
        <v>0.1</v>
      </c>
      <c r="AE461" s="31">
        <f t="shared" si="267"/>
        <v>12500</v>
      </c>
      <c r="AF461" s="31">
        <f t="shared" si="268"/>
        <v>112500</v>
      </c>
      <c r="AG461" s="31">
        <f t="shared" si="269"/>
        <v>75000</v>
      </c>
      <c r="AH461" s="31">
        <f t="shared" si="270"/>
        <v>62500</v>
      </c>
      <c r="AI461" s="4" t="s">
        <v>28</v>
      </c>
      <c r="AJ461" s="4" t="s">
        <v>9</v>
      </c>
      <c r="AK461" s="4" t="str">
        <f>IFERROR(VLOOKUP(AJ461,'Guide '!$A$13:$B$16,2,0),"-")</f>
        <v>TK</v>
      </c>
      <c r="AL461" s="4" t="s">
        <v>925</v>
      </c>
      <c r="AM461" s="40">
        <v>45463</v>
      </c>
      <c r="AN461">
        <f t="shared" si="271"/>
        <v>29</v>
      </c>
      <c r="AO461">
        <f t="shared" si="272"/>
        <v>32</v>
      </c>
      <c r="AP461">
        <f t="shared" si="273"/>
        <v>40</v>
      </c>
      <c r="AQ461">
        <f t="shared" si="274"/>
        <v>43</v>
      </c>
      <c r="AR461" s="26" t="str">
        <f t="shared" si="275"/>
        <v>-</v>
      </c>
      <c r="AS461" s="26" t="str">
        <f t="shared" si="276"/>
        <v>-</v>
      </c>
      <c r="AT461" s="21">
        <f t="shared" si="277"/>
        <v>12</v>
      </c>
      <c r="AU461" s="21">
        <f t="shared" si="278"/>
        <v>19</v>
      </c>
      <c r="AV461" t="str">
        <f t="shared" si="279"/>
        <v>-</v>
      </c>
      <c r="AW461" t="str">
        <f t="shared" si="280"/>
        <v>-</v>
      </c>
      <c r="AX461" t="str">
        <f t="shared" si="281"/>
        <v>-</v>
      </c>
      <c r="AY461" t="str">
        <f t="shared" si="282"/>
        <v>-</v>
      </c>
      <c r="AZ461" t="str">
        <f t="shared" si="283"/>
        <v>-</v>
      </c>
      <c r="BA461" t="str">
        <f t="shared" si="284"/>
        <v>-</v>
      </c>
      <c r="BB461" t="str">
        <f t="shared" si="285"/>
        <v>-</v>
      </c>
      <c r="BC461" t="str">
        <f t="shared" si="286"/>
        <v>-</v>
      </c>
      <c r="BD461" s="29" t="str">
        <f t="shared" si="287"/>
        <v>-</v>
      </c>
      <c r="BE461" s="29" t="str">
        <f t="shared" si="288"/>
        <v>-</v>
      </c>
    </row>
    <row r="462" spans="1:57" ht="15" x14ac:dyDescent="0.2">
      <c r="A462" s="2">
        <v>342</v>
      </c>
      <c r="B462" s="2" t="str">
        <f t="shared" si="253"/>
        <v>0342</v>
      </c>
      <c r="C462" t="str">
        <f t="shared" si="254"/>
        <v>ORD-TK-0342-21/06/24</v>
      </c>
      <c r="D462" s="3" t="s">
        <v>394</v>
      </c>
      <c r="E462" t="str">
        <f t="shared" si="255"/>
        <v>PW002</v>
      </c>
      <c r="F462" t="str">
        <f>INDEX(Katalog!$B$4:$B$13,MATCH('Main Data'!E462,Katalog!$C$4:$C$13,0))</f>
        <v>Blouse</v>
      </c>
      <c r="G462" t="str">
        <f>VLOOKUP(E462,Katalog!$A$15:$B$25,2,0)</f>
        <v>Pakaian Wanita</v>
      </c>
      <c r="H462" t="str">
        <f t="shared" si="256"/>
        <v>3</v>
      </c>
      <c r="I462" t="str">
        <f t="shared" si="257"/>
        <v>4</v>
      </c>
      <c r="J462" s="18">
        <f>VLOOKUP(E462,Katalog!$C$3:$F$13,2,0)</f>
        <v>125000</v>
      </c>
      <c r="K462" s="18">
        <f>VLOOKUP(E462,Katalog!$C$3:$F$13,3,0)</f>
        <v>50000</v>
      </c>
      <c r="L462" t="str">
        <f t="shared" si="258"/>
        <v>PW001</v>
      </c>
      <c r="M462" t="str">
        <f>IFERROR(INDEX(Katalog!$B$4:$B$13,MATCH('Main Data'!L462,Katalog!$C$4:$C$13,0)), "-")</f>
        <v>Dress</v>
      </c>
      <c r="N462" t="str">
        <f>IFERROR(VLOOKUP(L462,Katalog!$A$15:$B$25,2,0),"-")</f>
        <v>Pakaian Wanita</v>
      </c>
      <c r="O462" t="str">
        <f t="shared" si="259"/>
        <v>1</v>
      </c>
      <c r="P462" t="str">
        <f t="shared" si="260"/>
        <v>4</v>
      </c>
      <c r="Q462" s="18">
        <f>IFERROR(VLOOKUP(L462,Katalog!$C$3:$F$13,2,0),0)</f>
        <v>150000</v>
      </c>
      <c r="R462" s="18">
        <f>IFERROR(VLOOKUP(L462,Katalog!$C$3:$F$13,3,0),0)</f>
        <v>55000</v>
      </c>
      <c r="S462" t="str">
        <f t="shared" si="261"/>
        <v>-</v>
      </c>
      <c r="T462" t="str">
        <f>IFERROR(INDEX(Katalog!$B$4:$B$13,MATCH('Main Data'!S462,Katalog!$C$4:$C$13,0)),"-")</f>
        <v>-</v>
      </c>
      <c r="U462" t="str">
        <f>IFERROR(VLOOKUP(S462,Katalog!$A$15:$B$25,2,0),"-")</f>
        <v>-</v>
      </c>
      <c r="V462">
        <f t="shared" si="262"/>
        <v>0</v>
      </c>
      <c r="W462" s="28" t="str">
        <f t="shared" si="263"/>
        <v>-</v>
      </c>
      <c r="X462" s="18">
        <f>IFERROR(VLOOKUP(S462,Katalog!$C$3:$F$13,2,0),0)</f>
        <v>0</v>
      </c>
      <c r="Y462" s="30">
        <f>IFERROR(VLOOKUP(S462,Katalog!$C$3:$F$13,3,0),0)</f>
        <v>0</v>
      </c>
      <c r="Z462" s="2">
        <f t="shared" si="264"/>
        <v>4</v>
      </c>
      <c r="AA462" s="4">
        <f t="shared" si="265"/>
        <v>525000</v>
      </c>
      <c r="AB462" s="4">
        <f t="shared" si="266"/>
        <v>205000</v>
      </c>
      <c r="AC462" s="4" t="s">
        <v>29</v>
      </c>
      <c r="AD462" s="16">
        <f>IFERROR(VLOOKUP(AC462,'Kode Diskon'!$C$2:$D$9,2,0),0)</f>
        <v>0.1</v>
      </c>
      <c r="AE462" s="31">
        <f t="shared" si="267"/>
        <v>52500</v>
      </c>
      <c r="AF462" s="31">
        <f t="shared" si="268"/>
        <v>472500</v>
      </c>
      <c r="AG462" s="31">
        <f t="shared" si="269"/>
        <v>320000</v>
      </c>
      <c r="AH462" s="31">
        <f t="shared" si="270"/>
        <v>267500</v>
      </c>
      <c r="AI462" s="4" t="s">
        <v>28</v>
      </c>
      <c r="AJ462" s="4" t="s">
        <v>9</v>
      </c>
      <c r="AK462" s="4" t="str">
        <f>IFERROR(VLOOKUP(AJ462,'Guide '!$A$13:$B$16,2,0),"-")</f>
        <v>TK</v>
      </c>
      <c r="AL462" s="4" t="s">
        <v>925</v>
      </c>
      <c r="AM462" s="40">
        <v>45464</v>
      </c>
      <c r="AN462">
        <f t="shared" si="271"/>
        <v>29</v>
      </c>
      <c r="AO462">
        <f t="shared" si="272"/>
        <v>32</v>
      </c>
      <c r="AP462">
        <f t="shared" si="273"/>
        <v>40</v>
      </c>
      <c r="AQ462">
        <f t="shared" si="274"/>
        <v>43</v>
      </c>
      <c r="AR462" s="26">
        <f t="shared" si="275"/>
        <v>56</v>
      </c>
      <c r="AS462" s="26">
        <f t="shared" si="276"/>
        <v>63</v>
      </c>
      <c r="AT462" s="21">
        <f t="shared" si="277"/>
        <v>12</v>
      </c>
      <c r="AU462" s="21">
        <f t="shared" si="278"/>
        <v>19</v>
      </c>
      <c r="AV462">
        <f t="shared" si="279"/>
        <v>73</v>
      </c>
      <c r="AW462">
        <f t="shared" si="280"/>
        <v>76</v>
      </c>
      <c r="AX462">
        <f t="shared" si="281"/>
        <v>84</v>
      </c>
      <c r="AY462">
        <f t="shared" si="282"/>
        <v>87</v>
      </c>
      <c r="AZ462" t="str">
        <f t="shared" si="283"/>
        <v>-</v>
      </c>
      <c r="BA462" t="str">
        <f t="shared" si="284"/>
        <v>-</v>
      </c>
      <c r="BB462" t="str">
        <f t="shared" si="285"/>
        <v>-</v>
      </c>
      <c r="BC462" t="str">
        <f t="shared" si="286"/>
        <v>-</v>
      </c>
      <c r="BD462" s="29" t="str">
        <f t="shared" si="287"/>
        <v>-</v>
      </c>
      <c r="BE462" s="29" t="str">
        <f t="shared" si="288"/>
        <v>-</v>
      </c>
    </row>
    <row r="463" spans="1:57" ht="15" x14ac:dyDescent="0.2">
      <c r="A463" s="2">
        <v>819</v>
      </c>
      <c r="B463" s="2" t="str">
        <f t="shared" si="253"/>
        <v>0819</v>
      </c>
      <c r="C463" t="str">
        <f t="shared" si="254"/>
        <v>ORD-TK-0819-21/06/24</v>
      </c>
      <c r="D463" s="3" t="s">
        <v>780</v>
      </c>
      <c r="E463" t="str">
        <f t="shared" si="255"/>
        <v>PP001</v>
      </c>
      <c r="F463" t="str">
        <f>INDEX(Katalog!$B$4:$B$13,MATCH('Main Data'!E463,Katalog!$C$4:$C$13,0))</f>
        <v>Kaos Polo</v>
      </c>
      <c r="G463" t="str">
        <f>VLOOKUP(E463,Katalog!$A$15:$B$25,2,0)</f>
        <v>Pakaian Pria</v>
      </c>
      <c r="H463" t="str">
        <f t="shared" si="256"/>
        <v>1</v>
      </c>
      <c r="I463" t="str">
        <f t="shared" si="257"/>
        <v>3</v>
      </c>
      <c r="J463" s="18">
        <f>VLOOKUP(E463,Katalog!$C$3:$F$13,2,0)</f>
        <v>80000</v>
      </c>
      <c r="K463" s="18">
        <f>VLOOKUP(E463,Katalog!$C$3:$F$13,3,0)</f>
        <v>30000</v>
      </c>
      <c r="L463" t="str">
        <f t="shared" si="258"/>
        <v>PU001</v>
      </c>
      <c r="M463" t="str">
        <f>IFERROR(INDEX(Katalog!$B$4:$B$13,MATCH('Main Data'!L463,Katalog!$C$4:$C$13,0)), "-")</f>
        <v>Jaket Hoodie</v>
      </c>
      <c r="N463" t="str">
        <f>IFERROR(VLOOKUP(L463,Katalog!$A$15:$B$25,2,0),"-")</f>
        <v>Pakaian Unisex</v>
      </c>
      <c r="O463" t="str">
        <f t="shared" si="259"/>
        <v>6</v>
      </c>
      <c r="P463" t="str">
        <f t="shared" si="260"/>
        <v>4</v>
      </c>
      <c r="Q463" s="18">
        <f>IFERROR(VLOOKUP(L463,Katalog!$C$3:$F$13,2,0),0)</f>
        <v>160000</v>
      </c>
      <c r="R463" s="18">
        <f>IFERROR(VLOOKUP(L463,Katalog!$C$3:$F$13,3,0),0)</f>
        <v>60000</v>
      </c>
      <c r="S463" t="str">
        <f t="shared" si="261"/>
        <v>-</v>
      </c>
      <c r="T463" t="str">
        <f>IFERROR(INDEX(Katalog!$B$4:$B$13,MATCH('Main Data'!S463,Katalog!$C$4:$C$13,0)),"-")</f>
        <v>-</v>
      </c>
      <c r="U463" t="str">
        <f>IFERROR(VLOOKUP(S463,Katalog!$A$15:$B$25,2,0),"-")</f>
        <v>-</v>
      </c>
      <c r="V463">
        <f t="shared" si="262"/>
        <v>0</v>
      </c>
      <c r="W463" s="28" t="str">
        <f t="shared" si="263"/>
        <v>-</v>
      </c>
      <c r="X463" s="18">
        <f>IFERROR(VLOOKUP(S463,Katalog!$C$3:$F$13,2,0),0)</f>
        <v>0</v>
      </c>
      <c r="Y463" s="30">
        <f>IFERROR(VLOOKUP(S463,Katalog!$C$3:$F$13,3,0),0)</f>
        <v>0</v>
      </c>
      <c r="Z463" s="2">
        <f t="shared" si="264"/>
        <v>7</v>
      </c>
      <c r="AA463" s="4">
        <f t="shared" si="265"/>
        <v>1040000</v>
      </c>
      <c r="AB463" s="4">
        <f t="shared" si="266"/>
        <v>390000</v>
      </c>
      <c r="AC463" s="4" t="s">
        <v>29</v>
      </c>
      <c r="AD463" s="16">
        <f>IFERROR(VLOOKUP(AC463,'Kode Diskon'!$C$2:$D$9,2,0),0)</f>
        <v>0.1</v>
      </c>
      <c r="AE463" s="31">
        <f t="shared" si="267"/>
        <v>104000</v>
      </c>
      <c r="AF463" s="31">
        <f t="shared" si="268"/>
        <v>936000</v>
      </c>
      <c r="AG463" s="31">
        <f t="shared" si="269"/>
        <v>650000</v>
      </c>
      <c r="AH463" s="31">
        <f t="shared" si="270"/>
        <v>546000</v>
      </c>
      <c r="AI463" s="4" t="s">
        <v>28</v>
      </c>
      <c r="AJ463" s="4" t="s">
        <v>9</v>
      </c>
      <c r="AK463" s="4" t="str">
        <f>IFERROR(VLOOKUP(AJ463,'Guide '!$A$13:$B$16,2,0),"-")</f>
        <v>TK</v>
      </c>
      <c r="AL463" s="4" t="s">
        <v>925</v>
      </c>
      <c r="AM463" s="40">
        <v>45464</v>
      </c>
      <c r="AN463">
        <f t="shared" si="271"/>
        <v>29</v>
      </c>
      <c r="AO463">
        <f t="shared" si="272"/>
        <v>32</v>
      </c>
      <c r="AP463">
        <f t="shared" si="273"/>
        <v>40</v>
      </c>
      <c r="AQ463">
        <f t="shared" si="274"/>
        <v>43</v>
      </c>
      <c r="AR463" s="26">
        <f t="shared" si="275"/>
        <v>56</v>
      </c>
      <c r="AS463" s="26">
        <f t="shared" si="276"/>
        <v>63</v>
      </c>
      <c r="AT463" s="21">
        <f t="shared" si="277"/>
        <v>12</v>
      </c>
      <c r="AU463" s="21">
        <f t="shared" si="278"/>
        <v>19</v>
      </c>
      <c r="AV463">
        <f t="shared" si="279"/>
        <v>73</v>
      </c>
      <c r="AW463">
        <f t="shared" si="280"/>
        <v>76</v>
      </c>
      <c r="AX463">
        <f t="shared" si="281"/>
        <v>84</v>
      </c>
      <c r="AY463">
        <f t="shared" si="282"/>
        <v>87</v>
      </c>
      <c r="AZ463" t="str">
        <f t="shared" si="283"/>
        <v>-</v>
      </c>
      <c r="BA463" t="str">
        <f t="shared" si="284"/>
        <v>-</v>
      </c>
      <c r="BB463" t="str">
        <f t="shared" si="285"/>
        <v>-</v>
      </c>
      <c r="BC463" t="str">
        <f t="shared" si="286"/>
        <v>-</v>
      </c>
      <c r="BD463" s="29" t="str">
        <f t="shared" si="287"/>
        <v>-</v>
      </c>
      <c r="BE463" s="29" t="str">
        <f t="shared" si="288"/>
        <v>-</v>
      </c>
    </row>
    <row r="464" spans="1:57" ht="15" x14ac:dyDescent="0.2">
      <c r="A464" s="2">
        <v>675</v>
      </c>
      <c r="B464" s="2" t="str">
        <f t="shared" si="253"/>
        <v>0675</v>
      </c>
      <c r="C464" t="str">
        <f t="shared" si="254"/>
        <v>ORD-TK-0675-22/06/24</v>
      </c>
      <c r="D464" s="3" t="s">
        <v>673</v>
      </c>
      <c r="E464" t="str">
        <f t="shared" si="255"/>
        <v>PW002</v>
      </c>
      <c r="F464" t="str">
        <f>INDEX(Katalog!$B$4:$B$13,MATCH('Main Data'!E464,Katalog!$C$4:$C$13,0))</f>
        <v>Blouse</v>
      </c>
      <c r="G464" t="str">
        <f>VLOOKUP(E464,Katalog!$A$15:$B$25,2,0)</f>
        <v>Pakaian Wanita</v>
      </c>
      <c r="H464" t="str">
        <f t="shared" si="256"/>
        <v>1</v>
      </c>
      <c r="I464" t="str">
        <f t="shared" si="257"/>
        <v>2</v>
      </c>
      <c r="J464" s="18">
        <f>VLOOKUP(E464,Katalog!$C$3:$F$13,2,0)</f>
        <v>125000</v>
      </c>
      <c r="K464" s="18">
        <f>VLOOKUP(E464,Katalog!$C$3:$F$13,3,0)</f>
        <v>50000</v>
      </c>
      <c r="L464" t="str">
        <f t="shared" si="258"/>
        <v>SW001</v>
      </c>
      <c r="M464" t="str">
        <f>IFERROR(INDEX(Katalog!$B$4:$B$13,MATCH('Main Data'!L464,Katalog!$C$4:$C$13,0)), "-")</f>
        <v>Flat Shoes</v>
      </c>
      <c r="N464" t="str">
        <f>IFERROR(VLOOKUP(L464,Katalog!$A$15:$B$25,2,0),"-")</f>
        <v>Sepatu Wanita</v>
      </c>
      <c r="O464" t="str">
        <f t="shared" si="259"/>
        <v>4</v>
      </c>
      <c r="P464" t="str">
        <f t="shared" si="260"/>
        <v>5</v>
      </c>
      <c r="Q464" s="18">
        <f>IFERROR(VLOOKUP(L464,Katalog!$C$3:$F$13,2,0),0)</f>
        <v>150000</v>
      </c>
      <c r="R464" s="18">
        <f>IFERROR(VLOOKUP(L464,Katalog!$C$3:$F$13,3,0),0)</f>
        <v>70000</v>
      </c>
      <c r="S464" t="str">
        <f t="shared" si="261"/>
        <v>SP002</v>
      </c>
      <c r="T464" t="str">
        <f>IFERROR(INDEX(Katalog!$B$4:$B$13,MATCH('Main Data'!S464,Katalog!$C$4:$C$13,0)),"-")</f>
        <v>Sandal Slip On</v>
      </c>
      <c r="U464" t="str">
        <f>IFERROR(VLOOKUP(S464,Katalog!$A$15:$B$25,2,0),"-")</f>
        <v>Sepatu Pria</v>
      </c>
      <c r="V464" t="str">
        <f t="shared" si="262"/>
        <v>1</v>
      </c>
      <c r="W464" s="28" t="str">
        <f t="shared" si="263"/>
        <v>4</v>
      </c>
      <c r="X464" s="18">
        <f>IFERROR(VLOOKUP(S464,Katalog!$C$3:$F$13,2,0),0)</f>
        <v>120000</v>
      </c>
      <c r="Y464" s="30">
        <f>IFERROR(VLOOKUP(S464,Katalog!$C$3:$F$13,3,0),0)</f>
        <v>60000</v>
      </c>
      <c r="Z464" s="2">
        <f t="shared" si="264"/>
        <v>6</v>
      </c>
      <c r="AA464" s="4">
        <f t="shared" si="265"/>
        <v>845000</v>
      </c>
      <c r="AB464" s="4">
        <f t="shared" si="266"/>
        <v>390000</v>
      </c>
      <c r="AC464" s="4" t="s">
        <v>29</v>
      </c>
      <c r="AD464" s="16">
        <f>IFERROR(VLOOKUP(AC464,'Kode Diskon'!$C$2:$D$9,2,0),0)</f>
        <v>0.1</v>
      </c>
      <c r="AE464" s="31">
        <f t="shared" si="267"/>
        <v>84500</v>
      </c>
      <c r="AF464" s="31">
        <f t="shared" si="268"/>
        <v>760500</v>
      </c>
      <c r="AG464" s="31">
        <f t="shared" si="269"/>
        <v>455000</v>
      </c>
      <c r="AH464" s="31">
        <f t="shared" si="270"/>
        <v>370500</v>
      </c>
      <c r="AI464" s="4" t="s">
        <v>28</v>
      </c>
      <c r="AJ464" s="4" t="s">
        <v>9</v>
      </c>
      <c r="AK464" s="4" t="str">
        <f>IFERROR(VLOOKUP(AJ464,'Guide '!$A$13:$B$16,2,0),"-")</f>
        <v>TK</v>
      </c>
      <c r="AL464" s="4" t="s">
        <v>925</v>
      </c>
      <c r="AM464" s="40">
        <v>45465</v>
      </c>
      <c r="AN464">
        <f t="shared" si="271"/>
        <v>29</v>
      </c>
      <c r="AO464">
        <f t="shared" si="272"/>
        <v>32</v>
      </c>
      <c r="AP464">
        <f t="shared" si="273"/>
        <v>40</v>
      </c>
      <c r="AQ464">
        <f t="shared" si="274"/>
        <v>43</v>
      </c>
      <c r="AR464" s="26">
        <f t="shared" si="275"/>
        <v>56</v>
      </c>
      <c r="AS464" s="26">
        <f t="shared" si="276"/>
        <v>63</v>
      </c>
      <c r="AT464" s="21">
        <f t="shared" si="277"/>
        <v>12</v>
      </c>
      <c r="AU464" s="21">
        <f t="shared" si="278"/>
        <v>19</v>
      </c>
      <c r="AV464">
        <f t="shared" si="279"/>
        <v>73</v>
      </c>
      <c r="AW464">
        <f t="shared" si="280"/>
        <v>76</v>
      </c>
      <c r="AX464">
        <f t="shared" si="281"/>
        <v>84</v>
      </c>
      <c r="AY464">
        <f t="shared" si="282"/>
        <v>87</v>
      </c>
      <c r="AZ464">
        <f t="shared" si="283"/>
        <v>100</v>
      </c>
      <c r="BA464">
        <f t="shared" si="284"/>
        <v>107</v>
      </c>
      <c r="BB464">
        <f t="shared" si="285"/>
        <v>117</v>
      </c>
      <c r="BC464">
        <f t="shared" si="286"/>
        <v>120</v>
      </c>
      <c r="BD464" s="29">
        <f t="shared" si="287"/>
        <v>128</v>
      </c>
      <c r="BE464" s="29">
        <f t="shared" si="288"/>
        <v>131</v>
      </c>
    </row>
    <row r="465" spans="1:57" ht="15" x14ac:dyDescent="0.2">
      <c r="A465" s="2">
        <v>780</v>
      </c>
      <c r="B465" s="2" t="str">
        <f t="shared" si="253"/>
        <v>0780</v>
      </c>
      <c r="C465" t="str">
        <f t="shared" si="254"/>
        <v>ORD-SP-0780-22/06/24</v>
      </c>
      <c r="D465" s="3" t="s">
        <v>753</v>
      </c>
      <c r="E465" t="str">
        <f t="shared" si="255"/>
        <v>SP001</v>
      </c>
      <c r="F465" t="str">
        <f>INDEX(Katalog!$B$4:$B$13,MATCH('Main Data'!E465,Katalog!$C$4:$C$13,0))</f>
        <v>Sneakers</v>
      </c>
      <c r="G465" t="str">
        <f>VLOOKUP(E465,Katalog!$A$15:$B$25,2,0)</f>
        <v>Sepatu Pria</v>
      </c>
      <c r="H465" t="str">
        <f t="shared" si="256"/>
        <v>2</v>
      </c>
      <c r="I465" t="str">
        <f t="shared" si="257"/>
        <v>4</v>
      </c>
      <c r="J465" s="18">
        <f>VLOOKUP(E465,Katalog!$C$3:$F$13,2,0)</f>
        <v>300000</v>
      </c>
      <c r="K465" s="18">
        <f>VLOOKUP(E465,Katalog!$C$3:$F$13,3,0)</f>
        <v>100000</v>
      </c>
      <c r="L465" t="str">
        <f t="shared" si="258"/>
        <v>PW001</v>
      </c>
      <c r="M465" t="str">
        <f>IFERROR(INDEX(Katalog!$B$4:$B$13,MATCH('Main Data'!L465,Katalog!$C$4:$C$13,0)), "-")</f>
        <v>Dress</v>
      </c>
      <c r="N465" t="str">
        <f>IFERROR(VLOOKUP(L465,Katalog!$A$15:$B$25,2,0),"-")</f>
        <v>Pakaian Wanita</v>
      </c>
      <c r="O465" t="str">
        <f t="shared" si="259"/>
        <v>2</v>
      </c>
      <c r="P465" t="str">
        <f t="shared" si="260"/>
        <v>2</v>
      </c>
      <c r="Q465" s="18">
        <f>IFERROR(VLOOKUP(L465,Katalog!$C$3:$F$13,2,0),0)</f>
        <v>150000</v>
      </c>
      <c r="R465" s="18">
        <f>IFERROR(VLOOKUP(L465,Katalog!$C$3:$F$13,3,0),0)</f>
        <v>55000</v>
      </c>
      <c r="S465" t="str">
        <f t="shared" si="261"/>
        <v>-</v>
      </c>
      <c r="T465" t="str">
        <f>IFERROR(INDEX(Katalog!$B$4:$B$13,MATCH('Main Data'!S465,Katalog!$C$4:$C$13,0)),"-")</f>
        <v>-</v>
      </c>
      <c r="U465" t="str">
        <f>IFERROR(VLOOKUP(S465,Katalog!$A$15:$B$25,2,0),"-")</f>
        <v>-</v>
      </c>
      <c r="V465">
        <f t="shared" si="262"/>
        <v>0</v>
      </c>
      <c r="W465" s="28" t="str">
        <f t="shared" si="263"/>
        <v>-</v>
      </c>
      <c r="X465" s="18">
        <f>IFERROR(VLOOKUP(S465,Katalog!$C$3:$F$13,2,0),0)</f>
        <v>0</v>
      </c>
      <c r="Y465" s="30">
        <f>IFERROR(VLOOKUP(S465,Katalog!$C$3:$F$13,3,0),0)</f>
        <v>0</v>
      </c>
      <c r="Z465" s="2">
        <f t="shared" si="264"/>
        <v>4</v>
      </c>
      <c r="AA465" s="4">
        <f t="shared" si="265"/>
        <v>900000</v>
      </c>
      <c r="AB465" s="4">
        <f t="shared" si="266"/>
        <v>310000</v>
      </c>
      <c r="AC465" s="4" t="s">
        <v>12</v>
      </c>
      <c r="AD465" s="16">
        <f>IFERROR(VLOOKUP(AC465,'Kode Diskon'!$C$2:$D$9,2,0),0)</f>
        <v>0.15</v>
      </c>
      <c r="AE465" s="31">
        <f t="shared" si="267"/>
        <v>135000</v>
      </c>
      <c r="AF465" s="31">
        <f t="shared" si="268"/>
        <v>765000</v>
      </c>
      <c r="AG465" s="31">
        <f t="shared" si="269"/>
        <v>590000</v>
      </c>
      <c r="AH465" s="31">
        <f t="shared" si="270"/>
        <v>455000</v>
      </c>
      <c r="AI465" s="4" t="s">
        <v>28</v>
      </c>
      <c r="AJ465" s="4" t="s">
        <v>6</v>
      </c>
      <c r="AK465" s="4" t="str">
        <f>IFERROR(VLOOKUP(AJ465,'Guide '!$A$13:$B$16,2,0),"-")</f>
        <v>SP</v>
      </c>
      <c r="AL465" s="4" t="s">
        <v>921</v>
      </c>
      <c r="AM465" s="40">
        <v>45465</v>
      </c>
      <c r="AN465">
        <f t="shared" si="271"/>
        <v>29</v>
      </c>
      <c r="AO465">
        <f t="shared" si="272"/>
        <v>32</v>
      </c>
      <c r="AP465">
        <f t="shared" si="273"/>
        <v>40</v>
      </c>
      <c r="AQ465">
        <f t="shared" si="274"/>
        <v>43</v>
      </c>
      <c r="AR465" s="26">
        <f t="shared" si="275"/>
        <v>56</v>
      </c>
      <c r="AS465" s="26">
        <f t="shared" si="276"/>
        <v>63</v>
      </c>
      <c r="AT465" s="21">
        <f t="shared" si="277"/>
        <v>12</v>
      </c>
      <c r="AU465" s="21">
        <f t="shared" si="278"/>
        <v>19</v>
      </c>
      <c r="AV465">
        <f t="shared" si="279"/>
        <v>73</v>
      </c>
      <c r="AW465">
        <f t="shared" si="280"/>
        <v>76</v>
      </c>
      <c r="AX465">
        <f t="shared" si="281"/>
        <v>84</v>
      </c>
      <c r="AY465">
        <f t="shared" si="282"/>
        <v>87</v>
      </c>
      <c r="AZ465" t="str">
        <f t="shared" si="283"/>
        <v>-</v>
      </c>
      <c r="BA465" t="str">
        <f t="shared" si="284"/>
        <v>-</v>
      </c>
      <c r="BB465" t="str">
        <f t="shared" si="285"/>
        <v>-</v>
      </c>
      <c r="BC465" t="str">
        <f t="shared" si="286"/>
        <v>-</v>
      </c>
      <c r="BD465" s="29" t="str">
        <f t="shared" si="287"/>
        <v>-</v>
      </c>
      <c r="BE465" s="29" t="str">
        <f t="shared" si="288"/>
        <v>-</v>
      </c>
    </row>
    <row r="466" spans="1:57" ht="15" x14ac:dyDescent="0.2">
      <c r="A466" s="2">
        <v>871</v>
      </c>
      <c r="B466" s="2" t="str">
        <f t="shared" si="253"/>
        <v>0871</v>
      </c>
      <c r="C466" t="str">
        <f t="shared" si="254"/>
        <v>ORD-BL-0871-22/06/24</v>
      </c>
      <c r="D466" s="3" t="s">
        <v>653</v>
      </c>
      <c r="E466" t="str">
        <f t="shared" si="255"/>
        <v>PP003</v>
      </c>
      <c r="F466" t="str">
        <f>INDEX(Katalog!$B$4:$B$13,MATCH('Main Data'!E466,Katalog!$C$4:$C$13,0))</f>
        <v>Jaket Jeans</v>
      </c>
      <c r="G466" t="str">
        <f>VLOOKUP(E466,Katalog!$A$15:$B$25,2,0)</f>
        <v>Pakaian Pria</v>
      </c>
      <c r="H466" t="str">
        <f t="shared" si="256"/>
        <v>3</v>
      </c>
      <c r="I466" t="str">
        <f t="shared" si="257"/>
        <v>1</v>
      </c>
      <c r="J466" s="18">
        <f>VLOOKUP(E466,Katalog!$C$3:$F$13,2,0)</f>
        <v>150000</v>
      </c>
      <c r="K466" s="18">
        <f>VLOOKUP(E466,Katalog!$C$3:$F$13,3,0)</f>
        <v>70000</v>
      </c>
      <c r="L466" t="str">
        <f t="shared" si="258"/>
        <v>-</v>
      </c>
      <c r="M466" t="str">
        <f>IFERROR(INDEX(Katalog!$B$4:$B$13,MATCH('Main Data'!L466,Katalog!$C$4:$C$13,0)), "-")</f>
        <v>-</v>
      </c>
      <c r="N466" t="str">
        <f>IFERROR(VLOOKUP(L466,Katalog!$A$15:$B$25,2,0),"-")</f>
        <v>-</v>
      </c>
      <c r="O466">
        <f t="shared" si="259"/>
        <v>0</v>
      </c>
      <c r="P466" t="str">
        <f t="shared" si="260"/>
        <v>-</v>
      </c>
      <c r="Q466" s="18">
        <f>IFERROR(VLOOKUP(L466,Katalog!$C$3:$F$13,2,0),0)</f>
        <v>0</v>
      </c>
      <c r="R466" s="18">
        <f>IFERROR(VLOOKUP(L466,Katalog!$C$3:$F$13,3,0),0)</f>
        <v>0</v>
      </c>
      <c r="S466" t="str">
        <f t="shared" si="261"/>
        <v>-</v>
      </c>
      <c r="T466" t="str">
        <f>IFERROR(INDEX(Katalog!$B$4:$B$13,MATCH('Main Data'!S466,Katalog!$C$4:$C$13,0)),"-")</f>
        <v>-</v>
      </c>
      <c r="U466" t="str">
        <f>IFERROR(VLOOKUP(S466,Katalog!$A$15:$B$25,2,0),"-")</f>
        <v>-</v>
      </c>
      <c r="V466">
        <f t="shared" si="262"/>
        <v>0</v>
      </c>
      <c r="W466" s="28" t="str">
        <f t="shared" si="263"/>
        <v>-</v>
      </c>
      <c r="X466" s="18">
        <f>IFERROR(VLOOKUP(S466,Katalog!$C$3:$F$13,2,0),0)</f>
        <v>0</v>
      </c>
      <c r="Y466" s="30">
        <f>IFERROR(VLOOKUP(S466,Katalog!$C$3:$F$13,3,0),0)</f>
        <v>0</v>
      </c>
      <c r="Z466" s="2">
        <f t="shared" si="264"/>
        <v>3</v>
      </c>
      <c r="AA466" s="4">
        <f t="shared" si="265"/>
        <v>450000</v>
      </c>
      <c r="AB466" s="4">
        <f t="shared" si="266"/>
        <v>210000</v>
      </c>
      <c r="AC466" s="4" t="s">
        <v>31</v>
      </c>
      <c r="AD466" s="16">
        <f>IFERROR(VLOOKUP(AC466,'Kode Diskon'!$C$2:$D$9,2,0),0)</f>
        <v>0.15</v>
      </c>
      <c r="AE466" s="31">
        <f t="shared" si="267"/>
        <v>67500</v>
      </c>
      <c r="AF466" s="31">
        <f t="shared" si="268"/>
        <v>382500</v>
      </c>
      <c r="AG466" s="31">
        <f t="shared" si="269"/>
        <v>240000</v>
      </c>
      <c r="AH466" s="31">
        <f t="shared" si="270"/>
        <v>172500</v>
      </c>
      <c r="AI466" s="4" t="s">
        <v>8</v>
      </c>
      <c r="AJ466" s="4" t="s">
        <v>11</v>
      </c>
      <c r="AK466" s="4" t="str">
        <f>IFERROR(VLOOKUP(AJ466,'Guide '!$A$13:$B$16,2,0),"-")</f>
        <v>BL</v>
      </c>
      <c r="AL466" s="4" t="s">
        <v>923</v>
      </c>
      <c r="AM466" s="40">
        <v>45465</v>
      </c>
      <c r="AN466">
        <f t="shared" si="271"/>
        <v>29</v>
      </c>
      <c r="AO466">
        <f t="shared" si="272"/>
        <v>32</v>
      </c>
      <c r="AP466">
        <f t="shared" si="273"/>
        <v>40</v>
      </c>
      <c r="AQ466">
        <f t="shared" si="274"/>
        <v>43</v>
      </c>
      <c r="AR466" s="26" t="str">
        <f t="shared" si="275"/>
        <v>-</v>
      </c>
      <c r="AS466" s="26" t="str">
        <f t="shared" si="276"/>
        <v>-</v>
      </c>
      <c r="AT466" s="21">
        <f t="shared" si="277"/>
        <v>12</v>
      </c>
      <c r="AU466" s="21">
        <f t="shared" si="278"/>
        <v>19</v>
      </c>
      <c r="AV466" t="str">
        <f t="shared" si="279"/>
        <v>-</v>
      </c>
      <c r="AW466" t="str">
        <f t="shared" si="280"/>
        <v>-</v>
      </c>
      <c r="AX466" t="str">
        <f t="shared" si="281"/>
        <v>-</v>
      </c>
      <c r="AY466" t="str">
        <f t="shared" si="282"/>
        <v>-</v>
      </c>
      <c r="AZ466" t="str">
        <f t="shared" si="283"/>
        <v>-</v>
      </c>
      <c r="BA466" t="str">
        <f t="shared" si="284"/>
        <v>-</v>
      </c>
      <c r="BB466" t="str">
        <f t="shared" si="285"/>
        <v>-</v>
      </c>
      <c r="BC466" t="str">
        <f t="shared" si="286"/>
        <v>-</v>
      </c>
      <c r="BD466" s="29" t="str">
        <f t="shared" si="287"/>
        <v>-</v>
      </c>
      <c r="BE466" s="29" t="str">
        <f t="shared" si="288"/>
        <v>-</v>
      </c>
    </row>
    <row r="467" spans="1:57" ht="15" x14ac:dyDescent="0.2">
      <c r="A467" s="2">
        <v>457</v>
      </c>
      <c r="B467" s="2" t="str">
        <f t="shared" si="253"/>
        <v>0457</v>
      </c>
      <c r="C467" t="str">
        <f t="shared" si="254"/>
        <v>ORD-TK-0457-23/06/24</v>
      </c>
      <c r="D467" s="3" t="s">
        <v>495</v>
      </c>
      <c r="E467" t="str">
        <f t="shared" si="255"/>
        <v>PW003</v>
      </c>
      <c r="F467" t="str">
        <f>INDEX(Katalog!$B$4:$B$13,MATCH('Main Data'!E467,Katalog!$C$4:$C$13,0))</f>
        <v>Kaftan</v>
      </c>
      <c r="G467" t="str">
        <f>VLOOKUP(E467,Katalog!$A$15:$B$25,2,0)</f>
        <v>Pakaian Wanita</v>
      </c>
      <c r="H467" t="str">
        <f t="shared" si="256"/>
        <v>1</v>
      </c>
      <c r="I467" t="str">
        <f t="shared" si="257"/>
        <v>5</v>
      </c>
      <c r="J467" s="18">
        <f>VLOOKUP(E467,Katalog!$C$3:$F$13,2,0)</f>
        <v>200000</v>
      </c>
      <c r="K467" s="18">
        <f>VLOOKUP(E467,Katalog!$C$3:$F$13,3,0)</f>
        <v>100000</v>
      </c>
      <c r="L467" t="str">
        <f t="shared" si="258"/>
        <v>PP002</v>
      </c>
      <c r="M467" t="str">
        <f>IFERROR(INDEX(Katalog!$B$4:$B$13,MATCH('Main Data'!L467,Katalog!$C$4:$C$13,0)), "-")</f>
        <v>Celana Pendek</v>
      </c>
      <c r="N467" t="str">
        <f>IFERROR(VLOOKUP(L467,Katalog!$A$15:$B$25,2,0),"-")</f>
        <v>Pakaian Pria</v>
      </c>
      <c r="O467" t="str">
        <f t="shared" si="259"/>
        <v>2</v>
      </c>
      <c r="P467" t="str">
        <f t="shared" si="260"/>
        <v>1</v>
      </c>
      <c r="Q467" s="18">
        <f>IFERROR(VLOOKUP(L467,Katalog!$C$3:$F$13,2,0),0)</f>
        <v>60000</v>
      </c>
      <c r="R467" s="18">
        <f>IFERROR(VLOOKUP(L467,Katalog!$C$3:$F$13,3,0),0)</f>
        <v>25000</v>
      </c>
      <c r="S467" t="str">
        <f t="shared" si="261"/>
        <v>-</v>
      </c>
      <c r="T467" t="str">
        <f>IFERROR(INDEX(Katalog!$B$4:$B$13,MATCH('Main Data'!S467,Katalog!$C$4:$C$13,0)),"-")</f>
        <v>-</v>
      </c>
      <c r="U467" t="str">
        <f>IFERROR(VLOOKUP(S467,Katalog!$A$15:$B$25,2,0),"-")</f>
        <v>-</v>
      </c>
      <c r="V467">
        <f t="shared" si="262"/>
        <v>0</v>
      </c>
      <c r="W467" s="28" t="str">
        <f t="shared" si="263"/>
        <v>-</v>
      </c>
      <c r="X467" s="18">
        <f>IFERROR(VLOOKUP(S467,Katalog!$C$3:$F$13,2,0),0)</f>
        <v>0</v>
      </c>
      <c r="Y467" s="30">
        <f>IFERROR(VLOOKUP(S467,Katalog!$C$3:$F$13,3,0),0)</f>
        <v>0</v>
      </c>
      <c r="Z467" s="2">
        <f t="shared" si="264"/>
        <v>3</v>
      </c>
      <c r="AA467" s="4">
        <f t="shared" si="265"/>
        <v>320000</v>
      </c>
      <c r="AB467" s="4">
        <f t="shared" si="266"/>
        <v>150000</v>
      </c>
      <c r="AC467" s="4" t="s">
        <v>29</v>
      </c>
      <c r="AD467" s="16">
        <f>IFERROR(VLOOKUP(AC467,'Kode Diskon'!$C$2:$D$9,2,0),0)</f>
        <v>0.1</v>
      </c>
      <c r="AE467" s="31">
        <f t="shared" si="267"/>
        <v>32000</v>
      </c>
      <c r="AF467" s="31">
        <f t="shared" si="268"/>
        <v>288000</v>
      </c>
      <c r="AG467" s="31">
        <f t="shared" si="269"/>
        <v>170000</v>
      </c>
      <c r="AH467" s="31">
        <f t="shared" si="270"/>
        <v>138000</v>
      </c>
      <c r="AI467" s="4" t="s">
        <v>28</v>
      </c>
      <c r="AJ467" s="4" t="s">
        <v>9</v>
      </c>
      <c r="AK467" s="4" t="str">
        <f>IFERROR(VLOOKUP(AJ467,'Guide '!$A$13:$B$16,2,0),"-")</f>
        <v>TK</v>
      </c>
      <c r="AL467" s="4" t="s">
        <v>921</v>
      </c>
      <c r="AM467" s="40">
        <v>45466</v>
      </c>
      <c r="AN467">
        <f t="shared" si="271"/>
        <v>29</v>
      </c>
      <c r="AO467">
        <f t="shared" si="272"/>
        <v>32</v>
      </c>
      <c r="AP467">
        <f t="shared" si="273"/>
        <v>40</v>
      </c>
      <c r="AQ467">
        <f t="shared" si="274"/>
        <v>43</v>
      </c>
      <c r="AR467" s="26">
        <f t="shared" si="275"/>
        <v>56</v>
      </c>
      <c r="AS467" s="26">
        <f t="shared" si="276"/>
        <v>63</v>
      </c>
      <c r="AT467" s="21">
        <f t="shared" si="277"/>
        <v>12</v>
      </c>
      <c r="AU467" s="21">
        <f t="shared" si="278"/>
        <v>19</v>
      </c>
      <c r="AV467">
        <f t="shared" si="279"/>
        <v>73</v>
      </c>
      <c r="AW467">
        <f t="shared" si="280"/>
        <v>76</v>
      </c>
      <c r="AX467">
        <f t="shared" si="281"/>
        <v>84</v>
      </c>
      <c r="AY467">
        <f t="shared" si="282"/>
        <v>87</v>
      </c>
      <c r="AZ467" t="str">
        <f t="shared" si="283"/>
        <v>-</v>
      </c>
      <c r="BA467" t="str">
        <f t="shared" si="284"/>
        <v>-</v>
      </c>
      <c r="BB467" t="str">
        <f t="shared" si="285"/>
        <v>-</v>
      </c>
      <c r="BC467" t="str">
        <f t="shared" si="286"/>
        <v>-</v>
      </c>
      <c r="BD467" s="29" t="str">
        <f t="shared" si="287"/>
        <v>-</v>
      </c>
      <c r="BE467" s="29" t="str">
        <f t="shared" si="288"/>
        <v>-</v>
      </c>
    </row>
    <row r="468" spans="1:57" ht="15" x14ac:dyDescent="0.2">
      <c r="A468" s="2">
        <v>504</v>
      </c>
      <c r="B468" s="2" t="str">
        <f t="shared" si="253"/>
        <v>0504</v>
      </c>
      <c r="C468" t="str">
        <f t="shared" si="254"/>
        <v>ORD-SP-0504-23/06/24</v>
      </c>
      <c r="D468" s="3" t="s">
        <v>533</v>
      </c>
      <c r="E468" t="str">
        <f t="shared" si="255"/>
        <v>PP002</v>
      </c>
      <c r="F468" t="str">
        <f>INDEX(Katalog!$B$4:$B$13,MATCH('Main Data'!E468,Katalog!$C$4:$C$13,0))</f>
        <v>Celana Pendek</v>
      </c>
      <c r="G468" t="str">
        <f>VLOOKUP(E468,Katalog!$A$15:$B$25,2,0)</f>
        <v>Pakaian Pria</v>
      </c>
      <c r="H468" t="str">
        <f t="shared" si="256"/>
        <v>5</v>
      </c>
      <c r="I468" t="str">
        <f t="shared" si="257"/>
        <v>5</v>
      </c>
      <c r="J468" s="18">
        <f>VLOOKUP(E468,Katalog!$C$3:$F$13,2,0)</f>
        <v>60000</v>
      </c>
      <c r="K468" s="18">
        <f>VLOOKUP(E468,Katalog!$C$3:$F$13,3,0)</f>
        <v>25000</v>
      </c>
      <c r="L468" t="str">
        <f t="shared" si="258"/>
        <v>PP003</v>
      </c>
      <c r="M468" t="str">
        <f>IFERROR(INDEX(Katalog!$B$4:$B$13,MATCH('Main Data'!L468,Katalog!$C$4:$C$13,0)), "-")</f>
        <v>Jaket Jeans</v>
      </c>
      <c r="N468" t="str">
        <f>IFERROR(VLOOKUP(L468,Katalog!$A$15:$B$25,2,0),"-")</f>
        <v>Pakaian Pria</v>
      </c>
      <c r="O468" t="str">
        <f t="shared" si="259"/>
        <v>1</v>
      </c>
      <c r="P468" t="str">
        <f t="shared" si="260"/>
        <v>1</v>
      </c>
      <c r="Q468" s="18">
        <f>IFERROR(VLOOKUP(L468,Katalog!$C$3:$F$13,2,0),0)</f>
        <v>150000</v>
      </c>
      <c r="R468" s="18">
        <f>IFERROR(VLOOKUP(L468,Katalog!$C$3:$F$13,3,0),0)</f>
        <v>70000</v>
      </c>
      <c r="S468" t="str">
        <f t="shared" si="261"/>
        <v>SP001</v>
      </c>
      <c r="T468" t="str">
        <f>IFERROR(INDEX(Katalog!$B$4:$B$13,MATCH('Main Data'!S468,Katalog!$C$4:$C$13,0)),"-")</f>
        <v>Sneakers</v>
      </c>
      <c r="U468" t="str">
        <f>IFERROR(VLOOKUP(S468,Katalog!$A$15:$B$25,2,0),"-")</f>
        <v>Sepatu Pria</v>
      </c>
      <c r="V468" t="str">
        <f t="shared" si="262"/>
        <v>1</v>
      </c>
      <c r="W468" s="28" t="str">
        <f t="shared" si="263"/>
        <v>5</v>
      </c>
      <c r="X468" s="18">
        <f>IFERROR(VLOOKUP(S468,Katalog!$C$3:$F$13,2,0),0)</f>
        <v>300000</v>
      </c>
      <c r="Y468" s="30">
        <f>IFERROR(VLOOKUP(S468,Katalog!$C$3:$F$13,3,0),0)</f>
        <v>100000</v>
      </c>
      <c r="Z468" s="2">
        <f t="shared" si="264"/>
        <v>7</v>
      </c>
      <c r="AA468" s="4">
        <f t="shared" si="265"/>
        <v>750000</v>
      </c>
      <c r="AB468" s="4">
        <f t="shared" si="266"/>
        <v>295000</v>
      </c>
      <c r="AC468" s="4" t="s">
        <v>7</v>
      </c>
      <c r="AD468" s="16">
        <f>IFERROR(VLOOKUP(AC468,'Kode Diskon'!$C$2:$D$9,2,0),0)</f>
        <v>0.2</v>
      </c>
      <c r="AE468" s="31">
        <f t="shared" si="267"/>
        <v>150000</v>
      </c>
      <c r="AF468" s="31">
        <f t="shared" si="268"/>
        <v>600000</v>
      </c>
      <c r="AG468" s="31">
        <f t="shared" si="269"/>
        <v>455000</v>
      </c>
      <c r="AH468" s="31">
        <f t="shared" si="270"/>
        <v>305000</v>
      </c>
      <c r="AI468" s="4" t="s">
        <v>8</v>
      </c>
      <c r="AJ468" s="4" t="s">
        <v>6</v>
      </c>
      <c r="AK468" s="4" t="str">
        <f>IFERROR(VLOOKUP(AJ468,'Guide '!$A$13:$B$16,2,0),"-")</f>
        <v>SP</v>
      </c>
      <c r="AL468" s="4" t="s">
        <v>925</v>
      </c>
      <c r="AM468" s="40">
        <v>45466</v>
      </c>
      <c r="AN468">
        <f t="shared" si="271"/>
        <v>29</v>
      </c>
      <c r="AO468">
        <f t="shared" si="272"/>
        <v>32</v>
      </c>
      <c r="AP468">
        <f t="shared" si="273"/>
        <v>40</v>
      </c>
      <c r="AQ468">
        <f t="shared" si="274"/>
        <v>43</v>
      </c>
      <c r="AR468" s="26">
        <f t="shared" si="275"/>
        <v>56</v>
      </c>
      <c r="AS468" s="26">
        <f t="shared" si="276"/>
        <v>63</v>
      </c>
      <c r="AT468" s="21">
        <f t="shared" si="277"/>
        <v>12</v>
      </c>
      <c r="AU468" s="21">
        <f t="shared" si="278"/>
        <v>19</v>
      </c>
      <c r="AV468">
        <f t="shared" si="279"/>
        <v>73</v>
      </c>
      <c r="AW468">
        <f t="shared" si="280"/>
        <v>76</v>
      </c>
      <c r="AX468">
        <f t="shared" si="281"/>
        <v>84</v>
      </c>
      <c r="AY468">
        <f t="shared" si="282"/>
        <v>87</v>
      </c>
      <c r="AZ468">
        <f t="shared" si="283"/>
        <v>100</v>
      </c>
      <c r="BA468">
        <f t="shared" si="284"/>
        <v>107</v>
      </c>
      <c r="BB468">
        <f t="shared" si="285"/>
        <v>117</v>
      </c>
      <c r="BC468">
        <f t="shared" si="286"/>
        <v>120</v>
      </c>
      <c r="BD468" s="29">
        <f t="shared" si="287"/>
        <v>128</v>
      </c>
      <c r="BE468" s="29">
        <f t="shared" si="288"/>
        <v>131</v>
      </c>
    </row>
    <row r="469" spans="1:57" ht="15" x14ac:dyDescent="0.2">
      <c r="A469" s="2">
        <v>696</v>
      </c>
      <c r="B469" s="2" t="str">
        <f t="shared" si="253"/>
        <v>0696</v>
      </c>
      <c r="C469" t="str">
        <f t="shared" si="254"/>
        <v>ORD-SP-0696-23/06/24</v>
      </c>
      <c r="D469" s="3" t="s">
        <v>92</v>
      </c>
      <c r="E469" t="str">
        <f t="shared" si="255"/>
        <v>PW001</v>
      </c>
      <c r="F469" t="str">
        <f>INDEX(Katalog!$B$4:$B$13,MATCH('Main Data'!E469,Katalog!$C$4:$C$13,0))</f>
        <v>Dress</v>
      </c>
      <c r="G469" t="str">
        <f>VLOOKUP(E469,Katalog!$A$15:$B$25,2,0)</f>
        <v>Pakaian Wanita</v>
      </c>
      <c r="H469" t="str">
        <f t="shared" si="256"/>
        <v>1</v>
      </c>
      <c r="I469" t="str">
        <f t="shared" si="257"/>
        <v>4</v>
      </c>
      <c r="J469" s="18">
        <f>VLOOKUP(E469,Katalog!$C$3:$F$13,2,0)</f>
        <v>150000</v>
      </c>
      <c r="K469" s="18">
        <f>VLOOKUP(E469,Katalog!$C$3:$F$13,3,0)</f>
        <v>55000</v>
      </c>
      <c r="L469" t="str">
        <f t="shared" si="258"/>
        <v>-</v>
      </c>
      <c r="M469" t="str">
        <f>IFERROR(INDEX(Katalog!$B$4:$B$13,MATCH('Main Data'!L469,Katalog!$C$4:$C$13,0)), "-")</f>
        <v>-</v>
      </c>
      <c r="N469" t="str">
        <f>IFERROR(VLOOKUP(L469,Katalog!$A$15:$B$25,2,0),"-")</f>
        <v>-</v>
      </c>
      <c r="O469">
        <f t="shared" si="259"/>
        <v>0</v>
      </c>
      <c r="P469" t="str">
        <f t="shared" si="260"/>
        <v>-</v>
      </c>
      <c r="Q469" s="18">
        <f>IFERROR(VLOOKUP(L469,Katalog!$C$3:$F$13,2,0),0)</f>
        <v>0</v>
      </c>
      <c r="R469" s="18">
        <f>IFERROR(VLOOKUP(L469,Katalog!$C$3:$F$13,3,0),0)</f>
        <v>0</v>
      </c>
      <c r="S469" t="str">
        <f t="shared" si="261"/>
        <v>-</v>
      </c>
      <c r="T469" t="str">
        <f>IFERROR(INDEX(Katalog!$B$4:$B$13,MATCH('Main Data'!S469,Katalog!$C$4:$C$13,0)),"-")</f>
        <v>-</v>
      </c>
      <c r="U469" t="str">
        <f>IFERROR(VLOOKUP(S469,Katalog!$A$15:$B$25,2,0),"-")</f>
        <v>-</v>
      </c>
      <c r="V469">
        <f t="shared" si="262"/>
        <v>0</v>
      </c>
      <c r="W469" s="28" t="str">
        <f t="shared" si="263"/>
        <v>-</v>
      </c>
      <c r="X469" s="18">
        <f>IFERROR(VLOOKUP(S469,Katalog!$C$3:$F$13,2,0),0)</f>
        <v>0</v>
      </c>
      <c r="Y469" s="30">
        <f>IFERROR(VLOOKUP(S469,Katalog!$C$3:$F$13,3,0),0)</f>
        <v>0</v>
      </c>
      <c r="Z469" s="2">
        <f t="shared" si="264"/>
        <v>1</v>
      </c>
      <c r="AA469" s="4">
        <f t="shared" si="265"/>
        <v>150000</v>
      </c>
      <c r="AB469" s="4">
        <f t="shared" si="266"/>
        <v>55000</v>
      </c>
      <c r="AC469" s="4" t="s">
        <v>12</v>
      </c>
      <c r="AD469" s="16">
        <f>IFERROR(VLOOKUP(AC469,'Kode Diskon'!$C$2:$D$9,2,0),0)</f>
        <v>0.15</v>
      </c>
      <c r="AE469" s="31">
        <f t="shared" si="267"/>
        <v>22500</v>
      </c>
      <c r="AF469" s="31">
        <f t="shared" si="268"/>
        <v>127500</v>
      </c>
      <c r="AG469" s="31">
        <f t="shared" si="269"/>
        <v>95000</v>
      </c>
      <c r="AH469" s="31">
        <f t="shared" si="270"/>
        <v>72500</v>
      </c>
      <c r="AI469" s="4" t="s">
        <v>28</v>
      </c>
      <c r="AJ469" s="4" t="s">
        <v>6</v>
      </c>
      <c r="AK469" s="4" t="str">
        <f>IFERROR(VLOOKUP(AJ469,'Guide '!$A$13:$B$16,2,0),"-")</f>
        <v>SP</v>
      </c>
      <c r="AL469" s="4" t="s">
        <v>922</v>
      </c>
      <c r="AM469" s="40">
        <v>45466</v>
      </c>
      <c r="AN469">
        <f t="shared" si="271"/>
        <v>29</v>
      </c>
      <c r="AO469">
        <f t="shared" si="272"/>
        <v>32</v>
      </c>
      <c r="AP469">
        <f t="shared" si="273"/>
        <v>40</v>
      </c>
      <c r="AQ469">
        <f t="shared" si="274"/>
        <v>43</v>
      </c>
      <c r="AR469" s="26" t="str">
        <f t="shared" si="275"/>
        <v>-</v>
      </c>
      <c r="AS469" s="26" t="str">
        <f t="shared" si="276"/>
        <v>-</v>
      </c>
      <c r="AT469" s="21">
        <f t="shared" si="277"/>
        <v>12</v>
      </c>
      <c r="AU469" s="21">
        <f t="shared" si="278"/>
        <v>19</v>
      </c>
      <c r="AV469" t="str">
        <f t="shared" si="279"/>
        <v>-</v>
      </c>
      <c r="AW469" t="str">
        <f t="shared" si="280"/>
        <v>-</v>
      </c>
      <c r="AX469" t="str">
        <f t="shared" si="281"/>
        <v>-</v>
      </c>
      <c r="AY469" t="str">
        <f t="shared" si="282"/>
        <v>-</v>
      </c>
      <c r="AZ469" t="str">
        <f t="shared" si="283"/>
        <v>-</v>
      </c>
      <c r="BA469" t="str">
        <f t="shared" si="284"/>
        <v>-</v>
      </c>
      <c r="BB469" t="str">
        <f t="shared" si="285"/>
        <v>-</v>
      </c>
      <c r="BC469" t="str">
        <f t="shared" si="286"/>
        <v>-</v>
      </c>
      <c r="BD469" s="29" t="str">
        <f t="shared" si="287"/>
        <v>-</v>
      </c>
      <c r="BE469" s="29" t="str">
        <f t="shared" si="288"/>
        <v>-</v>
      </c>
    </row>
    <row r="470" spans="1:57" ht="15" x14ac:dyDescent="0.2">
      <c r="A470" s="2">
        <v>975</v>
      </c>
      <c r="B470" s="2" t="str">
        <f t="shared" si="253"/>
        <v>0975</v>
      </c>
      <c r="C470" t="str">
        <f t="shared" si="254"/>
        <v>ORD-TK-0975-23/06/24</v>
      </c>
      <c r="D470" s="3" t="s">
        <v>532</v>
      </c>
      <c r="E470" t="str">
        <f t="shared" si="255"/>
        <v>SP001</v>
      </c>
      <c r="F470" t="str">
        <f>INDEX(Katalog!$B$4:$B$13,MATCH('Main Data'!E470,Katalog!$C$4:$C$13,0))</f>
        <v>Sneakers</v>
      </c>
      <c r="G470" t="str">
        <f>VLOOKUP(E470,Katalog!$A$15:$B$25,2,0)</f>
        <v>Sepatu Pria</v>
      </c>
      <c r="H470" t="str">
        <f t="shared" si="256"/>
        <v>3</v>
      </c>
      <c r="I470" t="str">
        <f t="shared" si="257"/>
        <v>1</v>
      </c>
      <c r="J470" s="18">
        <f>VLOOKUP(E470,Katalog!$C$3:$F$13,2,0)</f>
        <v>300000</v>
      </c>
      <c r="K470" s="18">
        <f>VLOOKUP(E470,Katalog!$C$3:$F$13,3,0)</f>
        <v>100000</v>
      </c>
      <c r="L470" t="str">
        <f t="shared" si="258"/>
        <v>-</v>
      </c>
      <c r="M470" t="str">
        <f>IFERROR(INDEX(Katalog!$B$4:$B$13,MATCH('Main Data'!L470,Katalog!$C$4:$C$13,0)), "-")</f>
        <v>-</v>
      </c>
      <c r="N470" t="str">
        <f>IFERROR(VLOOKUP(L470,Katalog!$A$15:$B$25,2,0),"-")</f>
        <v>-</v>
      </c>
      <c r="O470">
        <f t="shared" si="259"/>
        <v>0</v>
      </c>
      <c r="P470" t="str">
        <f t="shared" si="260"/>
        <v>-</v>
      </c>
      <c r="Q470" s="18">
        <f>IFERROR(VLOOKUP(L470,Katalog!$C$3:$F$13,2,0),0)</f>
        <v>0</v>
      </c>
      <c r="R470" s="18">
        <f>IFERROR(VLOOKUP(L470,Katalog!$C$3:$F$13,3,0),0)</f>
        <v>0</v>
      </c>
      <c r="S470" t="str">
        <f t="shared" si="261"/>
        <v>-</v>
      </c>
      <c r="T470" t="str">
        <f>IFERROR(INDEX(Katalog!$B$4:$B$13,MATCH('Main Data'!S470,Katalog!$C$4:$C$13,0)),"-")</f>
        <v>-</v>
      </c>
      <c r="U470" t="str">
        <f>IFERROR(VLOOKUP(S470,Katalog!$A$15:$B$25,2,0),"-")</f>
        <v>-</v>
      </c>
      <c r="V470">
        <f t="shared" si="262"/>
        <v>0</v>
      </c>
      <c r="W470" s="28" t="str">
        <f t="shared" si="263"/>
        <v>-</v>
      </c>
      <c r="X470" s="18">
        <f>IFERROR(VLOOKUP(S470,Katalog!$C$3:$F$13,2,0),0)</f>
        <v>0</v>
      </c>
      <c r="Y470" s="30">
        <f>IFERROR(VLOOKUP(S470,Katalog!$C$3:$F$13,3,0),0)</f>
        <v>0</v>
      </c>
      <c r="Z470" s="2">
        <f t="shared" si="264"/>
        <v>3</v>
      </c>
      <c r="AA470" s="4">
        <f t="shared" si="265"/>
        <v>900000</v>
      </c>
      <c r="AB470" s="4">
        <f t="shared" si="266"/>
        <v>300000</v>
      </c>
      <c r="AC470" s="4" t="s">
        <v>30</v>
      </c>
      <c r="AD470" s="16">
        <f>IFERROR(VLOOKUP(AC470,'Kode Diskon'!$C$2:$D$9,2,0),0)</f>
        <v>0.1</v>
      </c>
      <c r="AE470" s="31">
        <f t="shared" si="267"/>
        <v>90000</v>
      </c>
      <c r="AF470" s="31">
        <f t="shared" si="268"/>
        <v>810000</v>
      </c>
      <c r="AG470" s="31">
        <f t="shared" si="269"/>
        <v>600000</v>
      </c>
      <c r="AH470" s="31">
        <f t="shared" si="270"/>
        <v>510000</v>
      </c>
      <c r="AI470" s="4" t="s">
        <v>8</v>
      </c>
      <c r="AJ470" s="4" t="s">
        <v>9</v>
      </c>
      <c r="AK470" s="4" t="str">
        <f>IFERROR(VLOOKUP(AJ470,'Guide '!$A$13:$B$16,2,0),"-")</f>
        <v>TK</v>
      </c>
      <c r="AL470" s="4" t="s">
        <v>925</v>
      </c>
      <c r="AM470" s="40">
        <v>45466</v>
      </c>
      <c r="AN470">
        <f t="shared" si="271"/>
        <v>29</v>
      </c>
      <c r="AO470">
        <f t="shared" si="272"/>
        <v>32</v>
      </c>
      <c r="AP470">
        <f t="shared" si="273"/>
        <v>40</v>
      </c>
      <c r="AQ470">
        <f t="shared" si="274"/>
        <v>43</v>
      </c>
      <c r="AR470" s="26" t="str">
        <f t="shared" si="275"/>
        <v>-</v>
      </c>
      <c r="AS470" s="26" t="str">
        <f t="shared" si="276"/>
        <v>-</v>
      </c>
      <c r="AT470" s="21">
        <f t="shared" si="277"/>
        <v>12</v>
      </c>
      <c r="AU470" s="21">
        <f t="shared" si="278"/>
        <v>19</v>
      </c>
      <c r="AV470" t="str">
        <f t="shared" si="279"/>
        <v>-</v>
      </c>
      <c r="AW470" t="str">
        <f t="shared" si="280"/>
        <v>-</v>
      </c>
      <c r="AX470" t="str">
        <f t="shared" si="281"/>
        <v>-</v>
      </c>
      <c r="AY470" t="str">
        <f t="shared" si="282"/>
        <v>-</v>
      </c>
      <c r="AZ470" t="str">
        <f t="shared" si="283"/>
        <v>-</v>
      </c>
      <c r="BA470" t="str">
        <f t="shared" si="284"/>
        <v>-</v>
      </c>
      <c r="BB470" t="str">
        <f t="shared" si="285"/>
        <v>-</v>
      </c>
      <c r="BC470" t="str">
        <f t="shared" si="286"/>
        <v>-</v>
      </c>
      <c r="BD470" s="29" t="str">
        <f t="shared" si="287"/>
        <v>-</v>
      </c>
      <c r="BE470" s="29" t="str">
        <f t="shared" si="288"/>
        <v>-</v>
      </c>
    </row>
    <row r="471" spans="1:57" ht="15" x14ac:dyDescent="0.2">
      <c r="A471" s="2">
        <v>169</v>
      </c>
      <c r="B471" s="2" t="str">
        <f t="shared" si="253"/>
        <v>0169</v>
      </c>
      <c r="C471" t="str">
        <f t="shared" si="254"/>
        <v>ORD-TK-0169-24/06/24</v>
      </c>
      <c r="D471" s="3" t="s">
        <v>238</v>
      </c>
      <c r="E471" t="str">
        <f t="shared" si="255"/>
        <v>PW001</v>
      </c>
      <c r="F471" t="str">
        <f>INDEX(Katalog!$B$4:$B$13,MATCH('Main Data'!E471,Katalog!$C$4:$C$13,0))</f>
        <v>Dress</v>
      </c>
      <c r="G471" t="str">
        <f>VLOOKUP(E471,Katalog!$A$15:$B$25,2,0)</f>
        <v>Pakaian Wanita</v>
      </c>
      <c r="H471" t="str">
        <f t="shared" si="256"/>
        <v>1</v>
      </c>
      <c r="I471" t="str">
        <f t="shared" si="257"/>
        <v>5</v>
      </c>
      <c r="J471" s="18">
        <f>VLOOKUP(E471,Katalog!$C$3:$F$13,2,0)</f>
        <v>150000</v>
      </c>
      <c r="K471" s="18">
        <f>VLOOKUP(E471,Katalog!$C$3:$F$13,3,0)</f>
        <v>55000</v>
      </c>
      <c r="L471" t="str">
        <f t="shared" si="258"/>
        <v>SP002</v>
      </c>
      <c r="M471" t="str">
        <f>IFERROR(INDEX(Katalog!$B$4:$B$13,MATCH('Main Data'!L471,Katalog!$C$4:$C$13,0)), "-")</f>
        <v>Sandal Slip On</v>
      </c>
      <c r="N471" t="str">
        <f>IFERROR(VLOOKUP(L471,Katalog!$A$15:$B$25,2,0),"-")</f>
        <v>Sepatu Pria</v>
      </c>
      <c r="O471" t="str">
        <f t="shared" si="259"/>
        <v>2</v>
      </c>
      <c r="P471" t="str">
        <f t="shared" si="260"/>
        <v>5</v>
      </c>
      <c r="Q471" s="18">
        <f>IFERROR(VLOOKUP(L471,Katalog!$C$3:$F$13,2,0),0)</f>
        <v>120000</v>
      </c>
      <c r="R471" s="18">
        <f>IFERROR(VLOOKUP(L471,Katalog!$C$3:$F$13,3,0),0)</f>
        <v>60000</v>
      </c>
      <c r="S471" t="str">
        <f t="shared" si="261"/>
        <v>-</v>
      </c>
      <c r="T471" t="str">
        <f>IFERROR(INDEX(Katalog!$B$4:$B$13,MATCH('Main Data'!S471,Katalog!$C$4:$C$13,0)),"-")</f>
        <v>-</v>
      </c>
      <c r="U471" t="str">
        <f>IFERROR(VLOOKUP(S471,Katalog!$A$15:$B$25,2,0),"-")</f>
        <v>-</v>
      </c>
      <c r="V471">
        <f t="shared" si="262"/>
        <v>0</v>
      </c>
      <c r="W471" s="28" t="str">
        <f t="shared" si="263"/>
        <v>-</v>
      </c>
      <c r="X471" s="18">
        <f>IFERROR(VLOOKUP(S471,Katalog!$C$3:$F$13,2,0),0)</f>
        <v>0</v>
      </c>
      <c r="Y471" s="30">
        <f>IFERROR(VLOOKUP(S471,Katalog!$C$3:$F$13,3,0),0)</f>
        <v>0</v>
      </c>
      <c r="Z471" s="2">
        <f t="shared" si="264"/>
        <v>3</v>
      </c>
      <c r="AA471" s="4">
        <f t="shared" si="265"/>
        <v>390000</v>
      </c>
      <c r="AB471" s="4">
        <f t="shared" si="266"/>
        <v>175000</v>
      </c>
      <c r="AC471" s="4" t="s">
        <v>30</v>
      </c>
      <c r="AD471" s="16">
        <f>IFERROR(VLOOKUP(AC471,'Kode Diskon'!$C$2:$D$9,2,0),0)</f>
        <v>0.1</v>
      </c>
      <c r="AE471" s="31">
        <f t="shared" si="267"/>
        <v>39000</v>
      </c>
      <c r="AF471" s="31">
        <f t="shared" si="268"/>
        <v>351000</v>
      </c>
      <c r="AG471" s="31">
        <f t="shared" si="269"/>
        <v>215000</v>
      </c>
      <c r="AH471" s="31">
        <f t="shared" si="270"/>
        <v>176000</v>
      </c>
      <c r="AI471" s="4" t="s">
        <v>8</v>
      </c>
      <c r="AJ471" s="4" t="s">
        <v>9</v>
      </c>
      <c r="AK471" s="4" t="str">
        <f>IFERROR(VLOOKUP(AJ471,'Guide '!$A$13:$B$16,2,0),"-")</f>
        <v>TK</v>
      </c>
      <c r="AL471" s="4" t="s">
        <v>925</v>
      </c>
      <c r="AM471" s="40">
        <v>45467</v>
      </c>
      <c r="AN471">
        <f t="shared" si="271"/>
        <v>29</v>
      </c>
      <c r="AO471">
        <f t="shared" si="272"/>
        <v>32</v>
      </c>
      <c r="AP471">
        <f t="shared" si="273"/>
        <v>40</v>
      </c>
      <c r="AQ471">
        <f t="shared" si="274"/>
        <v>43</v>
      </c>
      <c r="AR471" s="26">
        <f t="shared" si="275"/>
        <v>56</v>
      </c>
      <c r="AS471" s="26">
        <f t="shared" si="276"/>
        <v>63</v>
      </c>
      <c r="AT471" s="21">
        <f t="shared" si="277"/>
        <v>12</v>
      </c>
      <c r="AU471" s="21">
        <f t="shared" si="278"/>
        <v>19</v>
      </c>
      <c r="AV471">
        <f t="shared" si="279"/>
        <v>73</v>
      </c>
      <c r="AW471">
        <f t="shared" si="280"/>
        <v>76</v>
      </c>
      <c r="AX471">
        <f t="shared" si="281"/>
        <v>84</v>
      </c>
      <c r="AY471">
        <f t="shared" si="282"/>
        <v>87</v>
      </c>
      <c r="AZ471" t="str">
        <f t="shared" si="283"/>
        <v>-</v>
      </c>
      <c r="BA471" t="str">
        <f t="shared" si="284"/>
        <v>-</v>
      </c>
      <c r="BB471" t="str">
        <f t="shared" si="285"/>
        <v>-</v>
      </c>
      <c r="BC471" t="str">
        <f t="shared" si="286"/>
        <v>-</v>
      </c>
      <c r="BD471" s="29" t="str">
        <f t="shared" si="287"/>
        <v>-</v>
      </c>
      <c r="BE471" s="29" t="str">
        <f t="shared" si="288"/>
        <v>-</v>
      </c>
    </row>
    <row r="472" spans="1:57" ht="15" x14ac:dyDescent="0.2">
      <c r="A472" s="2">
        <v>444</v>
      </c>
      <c r="B472" s="2" t="str">
        <f t="shared" si="253"/>
        <v>0444</v>
      </c>
      <c r="C472" t="str">
        <f t="shared" si="254"/>
        <v>ORD-TK-0444-24/06/24</v>
      </c>
      <c r="D472" s="3" t="s">
        <v>484</v>
      </c>
      <c r="E472" t="str">
        <f t="shared" si="255"/>
        <v>SP001</v>
      </c>
      <c r="F472" t="str">
        <f>INDEX(Katalog!$B$4:$B$13,MATCH('Main Data'!E472,Katalog!$C$4:$C$13,0))</f>
        <v>Sneakers</v>
      </c>
      <c r="G472" t="str">
        <f>VLOOKUP(E472,Katalog!$A$15:$B$25,2,0)</f>
        <v>Sepatu Pria</v>
      </c>
      <c r="H472" t="str">
        <f t="shared" si="256"/>
        <v>1</v>
      </c>
      <c r="I472" t="str">
        <f t="shared" si="257"/>
        <v>4</v>
      </c>
      <c r="J472" s="18">
        <f>VLOOKUP(E472,Katalog!$C$3:$F$13,2,0)</f>
        <v>300000</v>
      </c>
      <c r="K472" s="18">
        <f>VLOOKUP(E472,Katalog!$C$3:$F$13,3,0)</f>
        <v>100000</v>
      </c>
      <c r="L472" t="str">
        <f t="shared" si="258"/>
        <v>PW001</v>
      </c>
      <c r="M472" t="str">
        <f>IFERROR(INDEX(Katalog!$B$4:$B$13,MATCH('Main Data'!L472,Katalog!$C$4:$C$13,0)), "-")</f>
        <v>Dress</v>
      </c>
      <c r="N472" t="str">
        <f>IFERROR(VLOOKUP(L472,Katalog!$A$15:$B$25,2,0),"-")</f>
        <v>Pakaian Wanita</v>
      </c>
      <c r="O472" t="str">
        <f t="shared" si="259"/>
        <v>1</v>
      </c>
      <c r="P472" t="str">
        <f t="shared" si="260"/>
        <v>1</v>
      </c>
      <c r="Q472" s="18">
        <f>IFERROR(VLOOKUP(L472,Katalog!$C$3:$F$13,2,0),0)</f>
        <v>150000</v>
      </c>
      <c r="R472" s="18">
        <f>IFERROR(VLOOKUP(L472,Katalog!$C$3:$F$13,3,0),0)</f>
        <v>55000</v>
      </c>
      <c r="S472" t="str">
        <f t="shared" si="261"/>
        <v>-</v>
      </c>
      <c r="T472" t="str">
        <f>IFERROR(INDEX(Katalog!$B$4:$B$13,MATCH('Main Data'!S472,Katalog!$C$4:$C$13,0)),"-")</f>
        <v>-</v>
      </c>
      <c r="U472" t="str">
        <f>IFERROR(VLOOKUP(S472,Katalog!$A$15:$B$25,2,0),"-")</f>
        <v>-</v>
      </c>
      <c r="V472">
        <f t="shared" si="262"/>
        <v>0</v>
      </c>
      <c r="W472" s="28" t="str">
        <f t="shared" si="263"/>
        <v>-</v>
      </c>
      <c r="X472" s="18">
        <f>IFERROR(VLOOKUP(S472,Katalog!$C$3:$F$13,2,0),0)</f>
        <v>0</v>
      </c>
      <c r="Y472" s="30">
        <f>IFERROR(VLOOKUP(S472,Katalog!$C$3:$F$13,3,0),0)</f>
        <v>0</v>
      </c>
      <c r="Z472" s="2">
        <f t="shared" si="264"/>
        <v>2</v>
      </c>
      <c r="AA472" s="4">
        <f t="shared" si="265"/>
        <v>450000</v>
      </c>
      <c r="AB472" s="4">
        <f t="shared" si="266"/>
        <v>155000</v>
      </c>
      <c r="AC472" s="4" t="s">
        <v>10</v>
      </c>
      <c r="AD472" s="16">
        <f>IFERROR(VLOOKUP(AC472,'Kode Diskon'!$C$2:$D$9,2,0),0)</f>
        <v>0</v>
      </c>
      <c r="AE472" s="31">
        <f t="shared" si="267"/>
        <v>0</v>
      </c>
      <c r="AF472" s="31">
        <f t="shared" si="268"/>
        <v>450000</v>
      </c>
      <c r="AG472" s="31">
        <f t="shared" si="269"/>
        <v>295000</v>
      </c>
      <c r="AH472" s="31">
        <f t="shared" si="270"/>
        <v>295000</v>
      </c>
      <c r="AI472" s="4" t="s">
        <v>10</v>
      </c>
      <c r="AJ472" s="4" t="s">
        <v>9</v>
      </c>
      <c r="AK472" s="4" t="str">
        <f>IFERROR(VLOOKUP(AJ472,'Guide '!$A$13:$B$16,2,0),"-")</f>
        <v>TK</v>
      </c>
      <c r="AL472" s="4" t="s">
        <v>925</v>
      </c>
      <c r="AM472" s="40">
        <v>45467</v>
      </c>
      <c r="AN472">
        <f t="shared" si="271"/>
        <v>29</v>
      </c>
      <c r="AO472">
        <f t="shared" si="272"/>
        <v>32</v>
      </c>
      <c r="AP472">
        <f t="shared" si="273"/>
        <v>40</v>
      </c>
      <c r="AQ472">
        <f t="shared" si="274"/>
        <v>43</v>
      </c>
      <c r="AR472" s="26">
        <f t="shared" si="275"/>
        <v>56</v>
      </c>
      <c r="AS472" s="26">
        <f t="shared" si="276"/>
        <v>63</v>
      </c>
      <c r="AT472" s="21">
        <f t="shared" si="277"/>
        <v>12</v>
      </c>
      <c r="AU472" s="21">
        <f t="shared" si="278"/>
        <v>19</v>
      </c>
      <c r="AV472">
        <f t="shared" si="279"/>
        <v>73</v>
      </c>
      <c r="AW472">
        <f t="shared" si="280"/>
        <v>76</v>
      </c>
      <c r="AX472">
        <f t="shared" si="281"/>
        <v>84</v>
      </c>
      <c r="AY472">
        <f t="shared" si="282"/>
        <v>87</v>
      </c>
      <c r="AZ472" t="str">
        <f t="shared" si="283"/>
        <v>-</v>
      </c>
      <c r="BA472" t="str">
        <f t="shared" si="284"/>
        <v>-</v>
      </c>
      <c r="BB472" t="str">
        <f t="shared" si="285"/>
        <v>-</v>
      </c>
      <c r="BC472" t="str">
        <f t="shared" si="286"/>
        <v>-</v>
      </c>
      <c r="BD472" s="29" t="str">
        <f t="shared" si="287"/>
        <v>-</v>
      </c>
      <c r="BE472" s="29" t="str">
        <f t="shared" si="288"/>
        <v>-</v>
      </c>
    </row>
    <row r="473" spans="1:57" ht="15" x14ac:dyDescent="0.2">
      <c r="A473" s="2">
        <v>926</v>
      </c>
      <c r="B473" s="2" t="str">
        <f t="shared" si="253"/>
        <v>0926</v>
      </c>
      <c r="C473" t="str">
        <f t="shared" si="254"/>
        <v>ORD-TK-0926-24/06/24</v>
      </c>
      <c r="D473" s="3" t="s">
        <v>859</v>
      </c>
      <c r="E473" t="str">
        <f t="shared" si="255"/>
        <v>PP003</v>
      </c>
      <c r="F473" t="str">
        <f>INDEX(Katalog!$B$4:$B$13,MATCH('Main Data'!E473,Katalog!$C$4:$C$13,0))</f>
        <v>Jaket Jeans</v>
      </c>
      <c r="G473" t="str">
        <f>VLOOKUP(E473,Katalog!$A$15:$B$25,2,0)</f>
        <v>Pakaian Pria</v>
      </c>
      <c r="H473" t="str">
        <f t="shared" si="256"/>
        <v>2</v>
      </c>
      <c r="I473" t="str">
        <f t="shared" si="257"/>
        <v>2</v>
      </c>
      <c r="J473" s="18">
        <f>VLOOKUP(E473,Katalog!$C$3:$F$13,2,0)</f>
        <v>150000</v>
      </c>
      <c r="K473" s="18">
        <f>VLOOKUP(E473,Katalog!$C$3:$F$13,3,0)</f>
        <v>70000</v>
      </c>
      <c r="L473" t="str">
        <f t="shared" si="258"/>
        <v>SW001</v>
      </c>
      <c r="M473" t="str">
        <f>IFERROR(INDEX(Katalog!$B$4:$B$13,MATCH('Main Data'!L473,Katalog!$C$4:$C$13,0)), "-")</f>
        <v>Flat Shoes</v>
      </c>
      <c r="N473" t="str">
        <f>IFERROR(VLOOKUP(L473,Katalog!$A$15:$B$25,2,0),"-")</f>
        <v>Sepatu Wanita</v>
      </c>
      <c r="O473" t="str">
        <f t="shared" si="259"/>
        <v>3</v>
      </c>
      <c r="P473" t="str">
        <f t="shared" si="260"/>
        <v>3</v>
      </c>
      <c r="Q473" s="18">
        <f>IFERROR(VLOOKUP(L473,Katalog!$C$3:$F$13,2,0),0)</f>
        <v>150000</v>
      </c>
      <c r="R473" s="18">
        <f>IFERROR(VLOOKUP(L473,Katalog!$C$3:$F$13,3,0),0)</f>
        <v>70000</v>
      </c>
      <c r="S473" t="str">
        <f t="shared" si="261"/>
        <v>PU001</v>
      </c>
      <c r="T473" t="str">
        <f>IFERROR(INDEX(Katalog!$B$4:$B$13,MATCH('Main Data'!S473,Katalog!$C$4:$C$13,0)),"-")</f>
        <v>Jaket Hoodie</v>
      </c>
      <c r="U473" t="str">
        <f>IFERROR(VLOOKUP(S473,Katalog!$A$15:$B$25,2,0),"-")</f>
        <v>Pakaian Unisex</v>
      </c>
      <c r="V473" t="str">
        <f t="shared" si="262"/>
        <v>2</v>
      </c>
      <c r="W473" s="28" t="str">
        <f t="shared" si="263"/>
        <v>5</v>
      </c>
      <c r="X473" s="18">
        <f>IFERROR(VLOOKUP(S473,Katalog!$C$3:$F$13,2,0),0)</f>
        <v>160000</v>
      </c>
      <c r="Y473" s="30">
        <f>IFERROR(VLOOKUP(S473,Katalog!$C$3:$F$13,3,0),0)</f>
        <v>60000</v>
      </c>
      <c r="Z473" s="2">
        <f t="shared" si="264"/>
        <v>7</v>
      </c>
      <c r="AA473" s="4">
        <f t="shared" si="265"/>
        <v>1070000</v>
      </c>
      <c r="AB473" s="4">
        <f t="shared" si="266"/>
        <v>470000</v>
      </c>
      <c r="AC473" s="4" t="s">
        <v>29</v>
      </c>
      <c r="AD473" s="16">
        <f>IFERROR(VLOOKUP(AC473,'Kode Diskon'!$C$2:$D$9,2,0),0)</f>
        <v>0.1</v>
      </c>
      <c r="AE473" s="31">
        <f t="shared" si="267"/>
        <v>107000</v>
      </c>
      <c r="AF473" s="31">
        <f t="shared" si="268"/>
        <v>963000</v>
      </c>
      <c r="AG473" s="31">
        <f t="shared" si="269"/>
        <v>600000</v>
      </c>
      <c r="AH473" s="31">
        <f t="shared" si="270"/>
        <v>493000</v>
      </c>
      <c r="AI473" s="4" t="s">
        <v>28</v>
      </c>
      <c r="AJ473" s="4" t="s">
        <v>9</v>
      </c>
      <c r="AK473" s="4" t="str">
        <f>IFERROR(VLOOKUP(AJ473,'Guide '!$A$13:$B$16,2,0),"-")</f>
        <v>TK</v>
      </c>
      <c r="AL473" s="4" t="s">
        <v>924</v>
      </c>
      <c r="AM473" s="40">
        <v>45467</v>
      </c>
      <c r="AN473">
        <f t="shared" si="271"/>
        <v>29</v>
      </c>
      <c r="AO473">
        <f t="shared" si="272"/>
        <v>32</v>
      </c>
      <c r="AP473">
        <f t="shared" si="273"/>
        <v>40</v>
      </c>
      <c r="AQ473">
        <f t="shared" si="274"/>
        <v>43</v>
      </c>
      <c r="AR473" s="26">
        <f t="shared" si="275"/>
        <v>56</v>
      </c>
      <c r="AS473" s="26">
        <f t="shared" si="276"/>
        <v>63</v>
      </c>
      <c r="AT473" s="21">
        <f t="shared" si="277"/>
        <v>12</v>
      </c>
      <c r="AU473" s="21">
        <f t="shared" si="278"/>
        <v>19</v>
      </c>
      <c r="AV473">
        <f t="shared" si="279"/>
        <v>73</v>
      </c>
      <c r="AW473">
        <f t="shared" si="280"/>
        <v>76</v>
      </c>
      <c r="AX473">
        <f t="shared" si="281"/>
        <v>84</v>
      </c>
      <c r="AY473">
        <f t="shared" si="282"/>
        <v>87</v>
      </c>
      <c r="AZ473">
        <f t="shared" si="283"/>
        <v>100</v>
      </c>
      <c r="BA473">
        <f t="shared" si="284"/>
        <v>107</v>
      </c>
      <c r="BB473">
        <f t="shared" si="285"/>
        <v>117</v>
      </c>
      <c r="BC473">
        <f t="shared" si="286"/>
        <v>120</v>
      </c>
      <c r="BD473" s="29">
        <f t="shared" si="287"/>
        <v>128</v>
      </c>
      <c r="BE473" s="29">
        <f t="shared" si="288"/>
        <v>131</v>
      </c>
    </row>
    <row r="474" spans="1:57" ht="15" x14ac:dyDescent="0.2">
      <c r="A474" s="2">
        <v>950</v>
      </c>
      <c r="B474" s="2" t="str">
        <f t="shared" si="253"/>
        <v>0950</v>
      </c>
      <c r="C474" t="str">
        <f t="shared" si="254"/>
        <v>ORD-TK-0950-24/06/24</v>
      </c>
      <c r="D474" s="3" t="s">
        <v>509</v>
      </c>
      <c r="E474" t="str">
        <f t="shared" si="255"/>
        <v>PW001</v>
      </c>
      <c r="F474" t="str">
        <f>INDEX(Katalog!$B$4:$B$13,MATCH('Main Data'!E474,Katalog!$C$4:$C$13,0))</f>
        <v>Dress</v>
      </c>
      <c r="G474" t="str">
        <f>VLOOKUP(E474,Katalog!$A$15:$B$25,2,0)</f>
        <v>Pakaian Wanita</v>
      </c>
      <c r="H474" t="str">
        <f t="shared" si="256"/>
        <v>2</v>
      </c>
      <c r="I474" t="str">
        <f t="shared" si="257"/>
        <v>3</v>
      </c>
      <c r="J474" s="18">
        <f>VLOOKUP(E474,Katalog!$C$3:$F$13,2,0)</f>
        <v>150000</v>
      </c>
      <c r="K474" s="18">
        <f>VLOOKUP(E474,Katalog!$C$3:$F$13,3,0)</f>
        <v>55000</v>
      </c>
      <c r="L474" t="str">
        <f t="shared" si="258"/>
        <v>-</v>
      </c>
      <c r="M474" t="str">
        <f>IFERROR(INDEX(Katalog!$B$4:$B$13,MATCH('Main Data'!L474,Katalog!$C$4:$C$13,0)), "-")</f>
        <v>-</v>
      </c>
      <c r="N474" t="str">
        <f>IFERROR(VLOOKUP(L474,Katalog!$A$15:$B$25,2,0),"-")</f>
        <v>-</v>
      </c>
      <c r="O474">
        <f t="shared" si="259"/>
        <v>0</v>
      </c>
      <c r="P474" t="str">
        <f t="shared" si="260"/>
        <v>-</v>
      </c>
      <c r="Q474" s="18">
        <f>IFERROR(VLOOKUP(L474,Katalog!$C$3:$F$13,2,0),0)</f>
        <v>0</v>
      </c>
      <c r="R474" s="18">
        <f>IFERROR(VLOOKUP(L474,Katalog!$C$3:$F$13,3,0),0)</f>
        <v>0</v>
      </c>
      <c r="S474" t="str">
        <f t="shared" si="261"/>
        <v>-</v>
      </c>
      <c r="T474" t="str">
        <f>IFERROR(INDEX(Katalog!$B$4:$B$13,MATCH('Main Data'!S474,Katalog!$C$4:$C$13,0)),"-")</f>
        <v>-</v>
      </c>
      <c r="U474" t="str">
        <f>IFERROR(VLOOKUP(S474,Katalog!$A$15:$B$25,2,0),"-")</f>
        <v>-</v>
      </c>
      <c r="V474">
        <f t="shared" si="262"/>
        <v>0</v>
      </c>
      <c r="W474" s="28" t="str">
        <f t="shared" si="263"/>
        <v>-</v>
      </c>
      <c r="X474" s="18">
        <f>IFERROR(VLOOKUP(S474,Katalog!$C$3:$F$13,2,0),0)</f>
        <v>0</v>
      </c>
      <c r="Y474" s="30">
        <f>IFERROR(VLOOKUP(S474,Katalog!$C$3:$F$13,3,0),0)</f>
        <v>0</v>
      </c>
      <c r="Z474" s="2">
        <f t="shared" si="264"/>
        <v>2</v>
      </c>
      <c r="AA474" s="4">
        <f t="shared" si="265"/>
        <v>300000</v>
      </c>
      <c r="AB474" s="4">
        <f t="shared" si="266"/>
        <v>110000</v>
      </c>
      <c r="AC474" s="4" t="s">
        <v>30</v>
      </c>
      <c r="AD474" s="16">
        <f>IFERROR(VLOOKUP(AC474,'Kode Diskon'!$C$2:$D$9,2,0),0)</f>
        <v>0.1</v>
      </c>
      <c r="AE474" s="31">
        <f t="shared" si="267"/>
        <v>30000</v>
      </c>
      <c r="AF474" s="31">
        <f t="shared" si="268"/>
        <v>270000</v>
      </c>
      <c r="AG474" s="31">
        <f t="shared" si="269"/>
        <v>190000</v>
      </c>
      <c r="AH474" s="31">
        <f t="shared" si="270"/>
        <v>160000</v>
      </c>
      <c r="AI474" s="4" t="s">
        <v>8</v>
      </c>
      <c r="AJ474" s="4" t="s">
        <v>9</v>
      </c>
      <c r="AK474" s="4" t="str">
        <f>IFERROR(VLOOKUP(AJ474,'Guide '!$A$13:$B$16,2,0),"-")</f>
        <v>TK</v>
      </c>
      <c r="AL474" s="4" t="s">
        <v>921</v>
      </c>
      <c r="AM474" s="40">
        <v>45467</v>
      </c>
      <c r="AN474">
        <f t="shared" si="271"/>
        <v>29</v>
      </c>
      <c r="AO474">
        <f t="shared" si="272"/>
        <v>32</v>
      </c>
      <c r="AP474">
        <f t="shared" si="273"/>
        <v>40</v>
      </c>
      <c r="AQ474">
        <f t="shared" si="274"/>
        <v>43</v>
      </c>
      <c r="AR474" s="26" t="str">
        <f t="shared" si="275"/>
        <v>-</v>
      </c>
      <c r="AS474" s="26" t="str">
        <f t="shared" si="276"/>
        <v>-</v>
      </c>
      <c r="AT474" s="21">
        <f t="shared" si="277"/>
        <v>12</v>
      </c>
      <c r="AU474" s="21">
        <f t="shared" si="278"/>
        <v>19</v>
      </c>
      <c r="AV474" t="str">
        <f t="shared" si="279"/>
        <v>-</v>
      </c>
      <c r="AW474" t="str">
        <f t="shared" si="280"/>
        <v>-</v>
      </c>
      <c r="AX474" t="str">
        <f t="shared" si="281"/>
        <v>-</v>
      </c>
      <c r="AY474" t="str">
        <f t="shared" si="282"/>
        <v>-</v>
      </c>
      <c r="AZ474" t="str">
        <f t="shared" si="283"/>
        <v>-</v>
      </c>
      <c r="BA474" t="str">
        <f t="shared" si="284"/>
        <v>-</v>
      </c>
      <c r="BB474" t="str">
        <f t="shared" si="285"/>
        <v>-</v>
      </c>
      <c r="BC474" t="str">
        <f t="shared" si="286"/>
        <v>-</v>
      </c>
      <c r="BD474" s="29" t="str">
        <f t="shared" si="287"/>
        <v>-</v>
      </c>
      <c r="BE474" s="29" t="str">
        <f t="shared" si="288"/>
        <v>-</v>
      </c>
    </row>
    <row r="475" spans="1:57" ht="15" x14ac:dyDescent="0.2">
      <c r="A475" s="2">
        <v>170</v>
      </c>
      <c r="B475" s="2" t="str">
        <f t="shared" si="253"/>
        <v>0170</v>
      </c>
      <c r="C475" t="str">
        <f t="shared" si="254"/>
        <v>ORD-SP-0170-25/06/24</v>
      </c>
      <c r="D475" s="3" t="s">
        <v>239</v>
      </c>
      <c r="E475" t="str">
        <f t="shared" si="255"/>
        <v>PP003</v>
      </c>
      <c r="F475" t="str">
        <f>INDEX(Katalog!$B$4:$B$13,MATCH('Main Data'!E475,Katalog!$C$4:$C$13,0))</f>
        <v>Jaket Jeans</v>
      </c>
      <c r="G475" t="str">
        <f>VLOOKUP(E475,Katalog!$A$15:$B$25,2,0)</f>
        <v>Pakaian Pria</v>
      </c>
      <c r="H475" t="str">
        <f t="shared" si="256"/>
        <v>1</v>
      </c>
      <c r="I475" t="str">
        <f t="shared" si="257"/>
        <v>3</v>
      </c>
      <c r="J475" s="18">
        <f>VLOOKUP(E475,Katalog!$C$3:$F$13,2,0)</f>
        <v>150000</v>
      </c>
      <c r="K475" s="18">
        <f>VLOOKUP(E475,Katalog!$C$3:$F$13,3,0)</f>
        <v>70000</v>
      </c>
      <c r="L475" t="str">
        <f t="shared" si="258"/>
        <v>-</v>
      </c>
      <c r="M475" t="str">
        <f>IFERROR(INDEX(Katalog!$B$4:$B$13,MATCH('Main Data'!L475,Katalog!$C$4:$C$13,0)), "-")</f>
        <v>-</v>
      </c>
      <c r="N475" t="str">
        <f>IFERROR(VLOOKUP(L475,Katalog!$A$15:$B$25,2,0),"-")</f>
        <v>-</v>
      </c>
      <c r="O475">
        <f t="shared" si="259"/>
        <v>0</v>
      </c>
      <c r="P475" t="str">
        <f t="shared" si="260"/>
        <v>-</v>
      </c>
      <c r="Q475" s="18">
        <f>IFERROR(VLOOKUP(L475,Katalog!$C$3:$F$13,2,0),0)</f>
        <v>0</v>
      </c>
      <c r="R475" s="18">
        <f>IFERROR(VLOOKUP(L475,Katalog!$C$3:$F$13,3,0),0)</f>
        <v>0</v>
      </c>
      <c r="S475" t="str">
        <f t="shared" si="261"/>
        <v>-</v>
      </c>
      <c r="T475" t="str">
        <f>IFERROR(INDEX(Katalog!$B$4:$B$13,MATCH('Main Data'!S475,Katalog!$C$4:$C$13,0)),"-")</f>
        <v>-</v>
      </c>
      <c r="U475" t="str">
        <f>IFERROR(VLOOKUP(S475,Katalog!$A$15:$B$25,2,0),"-")</f>
        <v>-</v>
      </c>
      <c r="V475">
        <f t="shared" si="262"/>
        <v>0</v>
      </c>
      <c r="W475" s="28" t="str">
        <f t="shared" si="263"/>
        <v>-</v>
      </c>
      <c r="X475" s="18">
        <f>IFERROR(VLOOKUP(S475,Katalog!$C$3:$F$13,2,0),0)</f>
        <v>0</v>
      </c>
      <c r="Y475" s="30">
        <f>IFERROR(VLOOKUP(S475,Katalog!$C$3:$F$13,3,0),0)</f>
        <v>0</v>
      </c>
      <c r="Z475" s="2">
        <f t="shared" si="264"/>
        <v>1</v>
      </c>
      <c r="AA475" s="4">
        <f t="shared" si="265"/>
        <v>150000</v>
      </c>
      <c r="AB475" s="4">
        <f t="shared" si="266"/>
        <v>70000</v>
      </c>
      <c r="AC475" s="4" t="s">
        <v>7</v>
      </c>
      <c r="AD475" s="16">
        <f>IFERROR(VLOOKUP(AC475,'Kode Diskon'!$C$2:$D$9,2,0),0)</f>
        <v>0.2</v>
      </c>
      <c r="AE475" s="31">
        <f t="shared" si="267"/>
        <v>30000</v>
      </c>
      <c r="AF475" s="31">
        <f t="shared" si="268"/>
        <v>120000</v>
      </c>
      <c r="AG475" s="31">
        <f t="shared" si="269"/>
        <v>80000</v>
      </c>
      <c r="AH475" s="31">
        <f t="shared" si="270"/>
        <v>50000</v>
      </c>
      <c r="AI475" s="4" t="s">
        <v>8</v>
      </c>
      <c r="AJ475" s="4" t="s">
        <v>6</v>
      </c>
      <c r="AK475" s="4" t="str">
        <f>IFERROR(VLOOKUP(AJ475,'Guide '!$A$13:$B$16,2,0),"-")</f>
        <v>SP</v>
      </c>
      <c r="AL475" s="4" t="s">
        <v>924</v>
      </c>
      <c r="AM475" s="40">
        <v>45468</v>
      </c>
      <c r="AN475">
        <f t="shared" si="271"/>
        <v>29</v>
      </c>
      <c r="AO475">
        <f t="shared" si="272"/>
        <v>32</v>
      </c>
      <c r="AP475">
        <f t="shared" si="273"/>
        <v>40</v>
      </c>
      <c r="AQ475">
        <f t="shared" si="274"/>
        <v>43</v>
      </c>
      <c r="AR475" s="26" t="str">
        <f t="shared" si="275"/>
        <v>-</v>
      </c>
      <c r="AS475" s="26" t="str">
        <f t="shared" si="276"/>
        <v>-</v>
      </c>
      <c r="AT475" s="21">
        <f t="shared" si="277"/>
        <v>12</v>
      </c>
      <c r="AU475" s="21">
        <f t="shared" si="278"/>
        <v>19</v>
      </c>
      <c r="AV475" t="str">
        <f t="shared" si="279"/>
        <v>-</v>
      </c>
      <c r="AW475" t="str">
        <f t="shared" si="280"/>
        <v>-</v>
      </c>
      <c r="AX475" t="str">
        <f t="shared" si="281"/>
        <v>-</v>
      </c>
      <c r="AY475" t="str">
        <f t="shared" si="282"/>
        <v>-</v>
      </c>
      <c r="AZ475" t="str">
        <f t="shared" si="283"/>
        <v>-</v>
      </c>
      <c r="BA475" t="str">
        <f t="shared" si="284"/>
        <v>-</v>
      </c>
      <c r="BB475" t="str">
        <f t="shared" si="285"/>
        <v>-</v>
      </c>
      <c r="BC475" t="str">
        <f t="shared" si="286"/>
        <v>-</v>
      </c>
      <c r="BD475" s="29" t="str">
        <f t="shared" si="287"/>
        <v>-</v>
      </c>
      <c r="BE475" s="29" t="str">
        <f t="shared" si="288"/>
        <v>-</v>
      </c>
    </row>
    <row r="476" spans="1:57" ht="15" x14ac:dyDescent="0.2">
      <c r="A476" s="2">
        <v>650</v>
      </c>
      <c r="B476" s="2" t="str">
        <f t="shared" si="253"/>
        <v>0650</v>
      </c>
      <c r="C476" t="str">
        <f t="shared" si="254"/>
        <v>ORD-SP-0650-25/06/24</v>
      </c>
      <c r="D476" s="3" t="s">
        <v>653</v>
      </c>
      <c r="E476" t="str">
        <f t="shared" si="255"/>
        <v>PP003</v>
      </c>
      <c r="F476" t="str">
        <f>INDEX(Katalog!$B$4:$B$13,MATCH('Main Data'!E476,Katalog!$C$4:$C$13,0))</f>
        <v>Jaket Jeans</v>
      </c>
      <c r="G476" t="str">
        <f>VLOOKUP(E476,Katalog!$A$15:$B$25,2,0)</f>
        <v>Pakaian Pria</v>
      </c>
      <c r="H476" t="str">
        <f t="shared" si="256"/>
        <v>3</v>
      </c>
      <c r="I476" t="str">
        <f t="shared" si="257"/>
        <v>1</v>
      </c>
      <c r="J476" s="18">
        <f>VLOOKUP(E476,Katalog!$C$3:$F$13,2,0)</f>
        <v>150000</v>
      </c>
      <c r="K476" s="18">
        <f>VLOOKUP(E476,Katalog!$C$3:$F$13,3,0)</f>
        <v>70000</v>
      </c>
      <c r="L476" t="str">
        <f t="shared" si="258"/>
        <v>-</v>
      </c>
      <c r="M476" t="str">
        <f>IFERROR(INDEX(Katalog!$B$4:$B$13,MATCH('Main Data'!L476,Katalog!$C$4:$C$13,0)), "-")</f>
        <v>-</v>
      </c>
      <c r="N476" t="str">
        <f>IFERROR(VLOOKUP(L476,Katalog!$A$15:$B$25,2,0),"-")</f>
        <v>-</v>
      </c>
      <c r="O476">
        <f t="shared" si="259"/>
        <v>0</v>
      </c>
      <c r="P476" t="str">
        <f t="shared" si="260"/>
        <v>-</v>
      </c>
      <c r="Q476" s="18">
        <f>IFERROR(VLOOKUP(L476,Katalog!$C$3:$F$13,2,0),0)</f>
        <v>0</v>
      </c>
      <c r="R476" s="18">
        <f>IFERROR(VLOOKUP(L476,Katalog!$C$3:$F$13,3,0),0)</f>
        <v>0</v>
      </c>
      <c r="S476" t="str">
        <f t="shared" si="261"/>
        <v>-</v>
      </c>
      <c r="T476" t="str">
        <f>IFERROR(INDEX(Katalog!$B$4:$B$13,MATCH('Main Data'!S476,Katalog!$C$4:$C$13,0)),"-")</f>
        <v>-</v>
      </c>
      <c r="U476" t="str">
        <f>IFERROR(VLOOKUP(S476,Katalog!$A$15:$B$25,2,0),"-")</f>
        <v>-</v>
      </c>
      <c r="V476">
        <f t="shared" si="262"/>
        <v>0</v>
      </c>
      <c r="W476" s="28" t="str">
        <f t="shared" si="263"/>
        <v>-</v>
      </c>
      <c r="X476" s="18">
        <f>IFERROR(VLOOKUP(S476,Katalog!$C$3:$F$13,2,0),0)</f>
        <v>0</v>
      </c>
      <c r="Y476" s="30">
        <f>IFERROR(VLOOKUP(S476,Katalog!$C$3:$F$13,3,0),0)</f>
        <v>0</v>
      </c>
      <c r="Z476" s="2">
        <f t="shared" si="264"/>
        <v>3</v>
      </c>
      <c r="AA476" s="4">
        <f t="shared" si="265"/>
        <v>450000</v>
      </c>
      <c r="AB476" s="4">
        <f t="shared" si="266"/>
        <v>210000</v>
      </c>
      <c r="AC476" s="4" t="s">
        <v>5</v>
      </c>
      <c r="AD476" s="16">
        <f>IFERROR(VLOOKUP(AC476,'Kode Diskon'!$C$2:$D$9,2,0),0)</f>
        <v>0.1</v>
      </c>
      <c r="AE476" s="31">
        <f t="shared" si="267"/>
        <v>45000</v>
      </c>
      <c r="AF476" s="31">
        <f t="shared" si="268"/>
        <v>405000</v>
      </c>
      <c r="AG476" s="31">
        <f t="shared" si="269"/>
        <v>240000</v>
      </c>
      <c r="AH476" s="31">
        <f t="shared" si="270"/>
        <v>195000</v>
      </c>
      <c r="AI476" s="4" t="s">
        <v>28</v>
      </c>
      <c r="AJ476" s="4" t="s">
        <v>6</v>
      </c>
      <c r="AK476" s="4" t="str">
        <f>IFERROR(VLOOKUP(AJ476,'Guide '!$A$13:$B$16,2,0),"-")</f>
        <v>SP</v>
      </c>
      <c r="AL476" s="4" t="s">
        <v>924</v>
      </c>
      <c r="AM476" s="40">
        <v>45468</v>
      </c>
      <c r="AN476">
        <f t="shared" si="271"/>
        <v>29</v>
      </c>
      <c r="AO476">
        <f t="shared" si="272"/>
        <v>32</v>
      </c>
      <c r="AP476">
        <f t="shared" si="273"/>
        <v>40</v>
      </c>
      <c r="AQ476">
        <f t="shared" si="274"/>
        <v>43</v>
      </c>
      <c r="AR476" s="26" t="str">
        <f t="shared" si="275"/>
        <v>-</v>
      </c>
      <c r="AS476" s="26" t="str">
        <f t="shared" si="276"/>
        <v>-</v>
      </c>
      <c r="AT476" s="21">
        <f t="shared" si="277"/>
        <v>12</v>
      </c>
      <c r="AU476" s="21">
        <f t="shared" si="278"/>
        <v>19</v>
      </c>
      <c r="AV476" t="str">
        <f t="shared" si="279"/>
        <v>-</v>
      </c>
      <c r="AW476" t="str">
        <f t="shared" si="280"/>
        <v>-</v>
      </c>
      <c r="AX476" t="str">
        <f t="shared" si="281"/>
        <v>-</v>
      </c>
      <c r="AY476" t="str">
        <f t="shared" si="282"/>
        <v>-</v>
      </c>
      <c r="AZ476" t="str">
        <f t="shared" si="283"/>
        <v>-</v>
      </c>
      <c r="BA476" t="str">
        <f t="shared" si="284"/>
        <v>-</v>
      </c>
      <c r="BB476" t="str">
        <f t="shared" si="285"/>
        <v>-</v>
      </c>
      <c r="BC476" t="str">
        <f t="shared" si="286"/>
        <v>-</v>
      </c>
      <c r="BD476" s="29" t="str">
        <f t="shared" si="287"/>
        <v>-</v>
      </c>
      <c r="BE476" s="29" t="str">
        <f t="shared" si="288"/>
        <v>-</v>
      </c>
    </row>
    <row r="477" spans="1:57" ht="15" x14ac:dyDescent="0.2">
      <c r="A477" s="2">
        <v>890</v>
      </c>
      <c r="B477" s="2" t="str">
        <f t="shared" si="253"/>
        <v>0890</v>
      </c>
      <c r="C477" t="str">
        <f t="shared" si="254"/>
        <v>ORD-BL-0890-25/06/24</v>
      </c>
      <c r="D477" s="3" t="s">
        <v>830</v>
      </c>
      <c r="E477" t="str">
        <f t="shared" si="255"/>
        <v>PP003</v>
      </c>
      <c r="F477" t="str">
        <f>INDEX(Katalog!$B$4:$B$13,MATCH('Main Data'!E477,Katalog!$C$4:$C$13,0))</f>
        <v>Jaket Jeans</v>
      </c>
      <c r="G477" t="str">
        <f>VLOOKUP(E477,Katalog!$A$15:$B$25,2,0)</f>
        <v>Pakaian Pria</v>
      </c>
      <c r="H477" t="str">
        <f t="shared" si="256"/>
        <v>4</v>
      </c>
      <c r="I477" t="str">
        <f t="shared" si="257"/>
        <v>2</v>
      </c>
      <c r="J477" s="18">
        <f>VLOOKUP(E477,Katalog!$C$3:$F$13,2,0)</f>
        <v>150000</v>
      </c>
      <c r="K477" s="18">
        <f>VLOOKUP(E477,Katalog!$C$3:$F$13,3,0)</f>
        <v>70000</v>
      </c>
      <c r="L477" t="str">
        <f t="shared" si="258"/>
        <v>PW003</v>
      </c>
      <c r="M477" t="str">
        <f>IFERROR(INDEX(Katalog!$B$4:$B$13,MATCH('Main Data'!L477,Katalog!$C$4:$C$13,0)), "-")</f>
        <v>Kaftan</v>
      </c>
      <c r="N477" t="str">
        <f>IFERROR(VLOOKUP(L477,Katalog!$A$15:$B$25,2,0),"-")</f>
        <v>Pakaian Wanita</v>
      </c>
      <c r="O477" t="str">
        <f t="shared" si="259"/>
        <v>1</v>
      </c>
      <c r="P477" t="str">
        <f t="shared" si="260"/>
        <v>5</v>
      </c>
      <c r="Q477" s="18">
        <f>IFERROR(VLOOKUP(L477,Katalog!$C$3:$F$13,2,0),0)</f>
        <v>200000</v>
      </c>
      <c r="R477" s="18">
        <f>IFERROR(VLOOKUP(L477,Katalog!$C$3:$F$13,3,0),0)</f>
        <v>100000</v>
      </c>
      <c r="S477" t="str">
        <f t="shared" si="261"/>
        <v>SP002</v>
      </c>
      <c r="T477" t="str">
        <f>IFERROR(INDEX(Katalog!$B$4:$B$13,MATCH('Main Data'!S477,Katalog!$C$4:$C$13,0)),"-")</f>
        <v>Sandal Slip On</v>
      </c>
      <c r="U477" t="str">
        <f>IFERROR(VLOOKUP(S477,Katalog!$A$15:$B$25,2,0),"-")</f>
        <v>Sepatu Pria</v>
      </c>
      <c r="V477" t="str">
        <f t="shared" si="262"/>
        <v>1</v>
      </c>
      <c r="W477" s="28" t="str">
        <f t="shared" si="263"/>
        <v>5</v>
      </c>
      <c r="X477" s="18">
        <f>IFERROR(VLOOKUP(S477,Katalog!$C$3:$F$13,2,0),0)</f>
        <v>120000</v>
      </c>
      <c r="Y477" s="30">
        <f>IFERROR(VLOOKUP(S477,Katalog!$C$3:$F$13,3,0),0)</f>
        <v>60000</v>
      </c>
      <c r="Z477" s="2">
        <f t="shared" si="264"/>
        <v>6</v>
      </c>
      <c r="AA477" s="4">
        <f t="shared" si="265"/>
        <v>920000</v>
      </c>
      <c r="AB477" s="4">
        <f t="shared" si="266"/>
        <v>440000</v>
      </c>
      <c r="AC477" s="4" t="s">
        <v>31</v>
      </c>
      <c r="AD477" s="16">
        <f>IFERROR(VLOOKUP(AC477,'Kode Diskon'!$C$2:$D$9,2,0),0)</f>
        <v>0.15</v>
      </c>
      <c r="AE477" s="31">
        <f t="shared" si="267"/>
        <v>138000</v>
      </c>
      <c r="AF477" s="31">
        <f t="shared" si="268"/>
        <v>782000</v>
      </c>
      <c r="AG477" s="31">
        <f t="shared" si="269"/>
        <v>480000</v>
      </c>
      <c r="AH477" s="31">
        <f t="shared" si="270"/>
        <v>342000</v>
      </c>
      <c r="AI477" s="4" t="s">
        <v>8</v>
      </c>
      <c r="AJ477" s="4" t="s">
        <v>11</v>
      </c>
      <c r="AK477" s="4" t="str">
        <f>IFERROR(VLOOKUP(AJ477,'Guide '!$A$13:$B$16,2,0),"-")</f>
        <v>BL</v>
      </c>
      <c r="AL477" s="4" t="s">
        <v>923</v>
      </c>
      <c r="AM477" s="40">
        <v>45468</v>
      </c>
      <c r="AN477">
        <f t="shared" si="271"/>
        <v>29</v>
      </c>
      <c r="AO477">
        <f t="shared" si="272"/>
        <v>32</v>
      </c>
      <c r="AP477">
        <f t="shared" si="273"/>
        <v>40</v>
      </c>
      <c r="AQ477">
        <f t="shared" si="274"/>
        <v>43</v>
      </c>
      <c r="AR477" s="26">
        <f t="shared" si="275"/>
        <v>56</v>
      </c>
      <c r="AS477" s="26">
        <f t="shared" si="276"/>
        <v>63</v>
      </c>
      <c r="AT477" s="21">
        <f t="shared" si="277"/>
        <v>12</v>
      </c>
      <c r="AU477" s="21">
        <f t="shared" si="278"/>
        <v>19</v>
      </c>
      <c r="AV477">
        <f t="shared" si="279"/>
        <v>73</v>
      </c>
      <c r="AW477">
        <f t="shared" si="280"/>
        <v>76</v>
      </c>
      <c r="AX477">
        <f t="shared" si="281"/>
        <v>84</v>
      </c>
      <c r="AY477">
        <f t="shared" si="282"/>
        <v>87</v>
      </c>
      <c r="AZ477">
        <f t="shared" si="283"/>
        <v>100</v>
      </c>
      <c r="BA477">
        <f t="shared" si="284"/>
        <v>107</v>
      </c>
      <c r="BB477">
        <f t="shared" si="285"/>
        <v>117</v>
      </c>
      <c r="BC477">
        <f t="shared" si="286"/>
        <v>120</v>
      </c>
      <c r="BD477" s="29">
        <f t="shared" si="287"/>
        <v>128</v>
      </c>
      <c r="BE477" s="29">
        <f t="shared" si="288"/>
        <v>131</v>
      </c>
    </row>
    <row r="478" spans="1:57" ht="15" x14ac:dyDescent="0.2">
      <c r="A478" s="2">
        <v>570</v>
      </c>
      <c r="B478" s="2" t="str">
        <f t="shared" si="253"/>
        <v>0570</v>
      </c>
      <c r="C478" t="str">
        <f t="shared" si="254"/>
        <v>ORD-BB-0570-26/06/24</v>
      </c>
      <c r="D478" s="3" t="s">
        <v>590</v>
      </c>
      <c r="E478" t="str">
        <f t="shared" si="255"/>
        <v>SP002</v>
      </c>
      <c r="F478" t="str">
        <f>INDEX(Katalog!$B$4:$B$13,MATCH('Main Data'!E478,Katalog!$C$4:$C$13,0))</f>
        <v>Sandal Slip On</v>
      </c>
      <c r="G478" t="str">
        <f>VLOOKUP(E478,Katalog!$A$15:$B$25,2,0)</f>
        <v>Sepatu Pria</v>
      </c>
      <c r="H478" t="str">
        <f t="shared" si="256"/>
        <v>5</v>
      </c>
      <c r="I478" t="str">
        <f t="shared" si="257"/>
        <v>3</v>
      </c>
      <c r="J478" s="18">
        <f>VLOOKUP(E478,Katalog!$C$3:$F$13,2,0)</f>
        <v>120000</v>
      </c>
      <c r="K478" s="18">
        <f>VLOOKUP(E478,Katalog!$C$3:$F$13,3,0)</f>
        <v>60000</v>
      </c>
      <c r="L478" t="str">
        <f t="shared" si="258"/>
        <v>PW001</v>
      </c>
      <c r="M478" t="str">
        <f>IFERROR(INDEX(Katalog!$B$4:$B$13,MATCH('Main Data'!L478,Katalog!$C$4:$C$13,0)), "-")</f>
        <v>Dress</v>
      </c>
      <c r="N478" t="str">
        <f>IFERROR(VLOOKUP(L478,Katalog!$A$15:$B$25,2,0),"-")</f>
        <v>Pakaian Wanita</v>
      </c>
      <c r="O478" t="str">
        <f t="shared" si="259"/>
        <v>1</v>
      </c>
      <c r="P478" t="str">
        <f t="shared" si="260"/>
        <v>1</v>
      </c>
      <c r="Q478" s="18">
        <f>IFERROR(VLOOKUP(L478,Katalog!$C$3:$F$13,2,0),0)</f>
        <v>150000</v>
      </c>
      <c r="R478" s="18">
        <f>IFERROR(VLOOKUP(L478,Katalog!$C$3:$F$13,3,0),0)</f>
        <v>55000</v>
      </c>
      <c r="S478" t="str">
        <f t="shared" si="261"/>
        <v>SP001</v>
      </c>
      <c r="T478" t="str">
        <f>IFERROR(INDEX(Katalog!$B$4:$B$13,MATCH('Main Data'!S478,Katalog!$C$4:$C$13,0)),"-")</f>
        <v>Sneakers</v>
      </c>
      <c r="U478" t="str">
        <f>IFERROR(VLOOKUP(S478,Katalog!$A$15:$B$25,2,0),"-")</f>
        <v>Sepatu Pria</v>
      </c>
      <c r="V478" t="str">
        <f t="shared" si="262"/>
        <v>1</v>
      </c>
      <c r="W478" s="28" t="str">
        <f t="shared" si="263"/>
        <v>5</v>
      </c>
      <c r="X478" s="18">
        <f>IFERROR(VLOOKUP(S478,Katalog!$C$3:$F$13,2,0),0)</f>
        <v>300000</v>
      </c>
      <c r="Y478" s="30">
        <f>IFERROR(VLOOKUP(S478,Katalog!$C$3:$F$13,3,0),0)</f>
        <v>100000</v>
      </c>
      <c r="Z478" s="2">
        <f t="shared" si="264"/>
        <v>7</v>
      </c>
      <c r="AA478" s="4">
        <f t="shared" si="265"/>
        <v>1050000</v>
      </c>
      <c r="AB478" s="4">
        <f t="shared" si="266"/>
        <v>455000</v>
      </c>
      <c r="AC478" s="4" t="s">
        <v>27</v>
      </c>
      <c r="AD478" s="16">
        <f>IFERROR(VLOOKUP(AC478,'Kode Diskon'!$C$2:$D$9,2,0),0)</f>
        <v>0.15</v>
      </c>
      <c r="AE478" s="31">
        <f t="shared" si="267"/>
        <v>157500</v>
      </c>
      <c r="AF478" s="31">
        <f t="shared" si="268"/>
        <v>892500</v>
      </c>
      <c r="AG478" s="31">
        <f t="shared" si="269"/>
        <v>595000</v>
      </c>
      <c r="AH478" s="31">
        <f t="shared" si="270"/>
        <v>437500</v>
      </c>
      <c r="AI478" s="4" t="s">
        <v>28</v>
      </c>
      <c r="AJ478" s="4" t="s">
        <v>13</v>
      </c>
      <c r="AK478" s="4" t="str">
        <f>IFERROR(VLOOKUP(AJ478,'Guide '!$A$13:$B$16,2,0),"-")</f>
        <v>BB</v>
      </c>
      <c r="AL478" s="4" t="s">
        <v>925</v>
      </c>
      <c r="AM478" s="40">
        <v>45469</v>
      </c>
      <c r="AN478">
        <f t="shared" si="271"/>
        <v>29</v>
      </c>
      <c r="AO478">
        <f t="shared" si="272"/>
        <v>32</v>
      </c>
      <c r="AP478">
        <f t="shared" si="273"/>
        <v>40</v>
      </c>
      <c r="AQ478">
        <f t="shared" si="274"/>
        <v>43</v>
      </c>
      <c r="AR478" s="26">
        <f t="shared" si="275"/>
        <v>56</v>
      </c>
      <c r="AS478" s="26">
        <f t="shared" si="276"/>
        <v>63</v>
      </c>
      <c r="AT478" s="21">
        <f t="shared" si="277"/>
        <v>12</v>
      </c>
      <c r="AU478" s="21">
        <f t="shared" si="278"/>
        <v>19</v>
      </c>
      <c r="AV478">
        <f t="shared" si="279"/>
        <v>73</v>
      </c>
      <c r="AW478">
        <f t="shared" si="280"/>
        <v>76</v>
      </c>
      <c r="AX478">
        <f t="shared" si="281"/>
        <v>84</v>
      </c>
      <c r="AY478">
        <f t="shared" si="282"/>
        <v>87</v>
      </c>
      <c r="AZ478">
        <f t="shared" si="283"/>
        <v>100</v>
      </c>
      <c r="BA478">
        <f t="shared" si="284"/>
        <v>107</v>
      </c>
      <c r="BB478">
        <f t="shared" si="285"/>
        <v>117</v>
      </c>
      <c r="BC478">
        <f t="shared" si="286"/>
        <v>120</v>
      </c>
      <c r="BD478" s="29">
        <f t="shared" si="287"/>
        <v>128</v>
      </c>
      <c r="BE478" s="29">
        <f t="shared" si="288"/>
        <v>131</v>
      </c>
    </row>
    <row r="479" spans="1:57" ht="15" x14ac:dyDescent="0.2">
      <c r="A479" s="2">
        <v>281</v>
      </c>
      <c r="B479" s="2" t="str">
        <f t="shared" si="253"/>
        <v>0281</v>
      </c>
      <c r="C479" t="str">
        <f t="shared" si="254"/>
        <v>ORD-SP-0281-27/06/24</v>
      </c>
      <c r="D479" s="3" t="s">
        <v>116</v>
      </c>
      <c r="E479" t="str">
        <f t="shared" si="255"/>
        <v>PP003</v>
      </c>
      <c r="F479" t="str">
        <f>INDEX(Katalog!$B$4:$B$13,MATCH('Main Data'!E479,Katalog!$C$4:$C$13,0))</f>
        <v>Jaket Jeans</v>
      </c>
      <c r="G479" t="str">
        <f>VLOOKUP(E479,Katalog!$A$15:$B$25,2,0)</f>
        <v>Pakaian Pria</v>
      </c>
      <c r="H479" t="str">
        <f t="shared" si="256"/>
        <v>1</v>
      </c>
      <c r="I479" t="str">
        <f t="shared" si="257"/>
        <v>5</v>
      </c>
      <c r="J479" s="18">
        <f>VLOOKUP(E479,Katalog!$C$3:$F$13,2,0)</f>
        <v>150000</v>
      </c>
      <c r="K479" s="18">
        <f>VLOOKUP(E479,Katalog!$C$3:$F$13,3,0)</f>
        <v>70000</v>
      </c>
      <c r="L479" t="str">
        <f t="shared" si="258"/>
        <v>-</v>
      </c>
      <c r="M479" t="str">
        <f>IFERROR(INDEX(Katalog!$B$4:$B$13,MATCH('Main Data'!L479,Katalog!$C$4:$C$13,0)), "-")</f>
        <v>-</v>
      </c>
      <c r="N479" t="str">
        <f>IFERROR(VLOOKUP(L479,Katalog!$A$15:$B$25,2,0),"-")</f>
        <v>-</v>
      </c>
      <c r="O479">
        <f t="shared" si="259"/>
        <v>0</v>
      </c>
      <c r="P479" t="str">
        <f t="shared" si="260"/>
        <v>-</v>
      </c>
      <c r="Q479" s="18">
        <f>IFERROR(VLOOKUP(L479,Katalog!$C$3:$F$13,2,0),0)</f>
        <v>0</v>
      </c>
      <c r="R479" s="18">
        <f>IFERROR(VLOOKUP(L479,Katalog!$C$3:$F$13,3,0),0)</f>
        <v>0</v>
      </c>
      <c r="S479" t="str">
        <f t="shared" si="261"/>
        <v>-</v>
      </c>
      <c r="T479" t="str">
        <f>IFERROR(INDEX(Katalog!$B$4:$B$13,MATCH('Main Data'!S479,Katalog!$C$4:$C$13,0)),"-")</f>
        <v>-</v>
      </c>
      <c r="U479" t="str">
        <f>IFERROR(VLOOKUP(S479,Katalog!$A$15:$B$25,2,0),"-")</f>
        <v>-</v>
      </c>
      <c r="V479">
        <f t="shared" si="262"/>
        <v>0</v>
      </c>
      <c r="W479" s="28" t="str">
        <f t="shared" si="263"/>
        <v>-</v>
      </c>
      <c r="X479" s="18">
        <f>IFERROR(VLOOKUP(S479,Katalog!$C$3:$F$13,2,0),0)</f>
        <v>0</v>
      </c>
      <c r="Y479" s="30">
        <f>IFERROR(VLOOKUP(S479,Katalog!$C$3:$F$13,3,0),0)</f>
        <v>0</v>
      </c>
      <c r="Z479" s="2">
        <f t="shared" si="264"/>
        <v>1</v>
      </c>
      <c r="AA479" s="4">
        <f t="shared" si="265"/>
        <v>150000</v>
      </c>
      <c r="AB479" s="4">
        <f t="shared" si="266"/>
        <v>70000</v>
      </c>
      <c r="AC479" s="4" t="s">
        <v>7</v>
      </c>
      <c r="AD479" s="16">
        <f>IFERROR(VLOOKUP(AC479,'Kode Diskon'!$C$2:$D$9,2,0),0)</f>
        <v>0.2</v>
      </c>
      <c r="AE479" s="31">
        <f t="shared" si="267"/>
        <v>30000</v>
      </c>
      <c r="AF479" s="31">
        <f t="shared" si="268"/>
        <v>120000</v>
      </c>
      <c r="AG479" s="31">
        <f t="shared" si="269"/>
        <v>80000</v>
      </c>
      <c r="AH479" s="31">
        <f t="shared" si="270"/>
        <v>50000</v>
      </c>
      <c r="AI479" s="4" t="s">
        <v>8</v>
      </c>
      <c r="AJ479" s="4" t="s">
        <v>6</v>
      </c>
      <c r="AK479" s="4" t="str">
        <f>IFERROR(VLOOKUP(AJ479,'Guide '!$A$13:$B$16,2,0),"-")</f>
        <v>SP</v>
      </c>
      <c r="AL479" s="4" t="s">
        <v>925</v>
      </c>
      <c r="AM479" s="40">
        <v>45470</v>
      </c>
      <c r="AN479">
        <f t="shared" si="271"/>
        <v>29</v>
      </c>
      <c r="AO479">
        <f t="shared" si="272"/>
        <v>32</v>
      </c>
      <c r="AP479">
        <f t="shared" si="273"/>
        <v>40</v>
      </c>
      <c r="AQ479">
        <f t="shared" si="274"/>
        <v>43</v>
      </c>
      <c r="AR479" s="26" t="str">
        <f t="shared" si="275"/>
        <v>-</v>
      </c>
      <c r="AS479" s="26" t="str">
        <f t="shared" si="276"/>
        <v>-</v>
      </c>
      <c r="AT479" s="21">
        <f t="shared" si="277"/>
        <v>12</v>
      </c>
      <c r="AU479" s="21">
        <f t="shared" si="278"/>
        <v>19</v>
      </c>
      <c r="AV479" t="str">
        <f t="shared" si="279"/>
        <v>-</v>
      </c>
      <c r="AW479" t="str">
        <f t="shared" si="280"/>
        <v>-</v>
      </c>
      <c r="AX479" t="str">
        <f t="shared" si="281"/>
        <v>-</v>
      </c>
      <c r="AY479" t="str">
        <f t="shared" si="282"/>
        <v>-</v>
      </c>
      <c r="AZ479" t="str">
        <f t="shared" si="283"/>
        <v>-</v>
      </c>
      <c r="BA479" t="str">
        <f t="shared" si="284"/>
        <v>-</v>
      </c>
      <c r="BB479" t="str">
        <f t="shared" si="285"/>
        <v>-</v>
      </c>
      <c r="BC479" t="str">
        <f t="shared" si="286"/>
        <v>-</v>
      </c>
      <c r="BD479" s="29" t="str">
        <f t="shared" si="287"/>
        <v>-</v>
      </c>
      <c r="BE479" s="29" t="str">
        <f t="shared" si="288"/>
        <v>-</v>
      </c>
    </row>
    <row r="480" spans="1:57" ht="15" x14ac:dyDescent="0.2">
      <c r="A480" s="2">
        <v>347</v>
      </c>
      <c r="B480" s="2" t="str">
        <f t="shared" si="253"/>
        <v>0347</v>
      </c>
      <c r="C480" t="str">
        <f t="shared" si="254"/>
        <v>ORD-TK-0347-27/06/24</v>
      </c>
      <c r="D480" s="3" t="s">
        <v>399</v>
      </c>
      <c r="E480" t="str">
        <f t="shared" si="255"/>
        <v>PW002</v>
      </c>
      <c r="F480" t="str">
        <f>INDEX(Katalog!$B$4:$B$13,MATCH('Main Data'!E480,Katalog!$C$4:$C$13,0))</f>
        <v>Blouse</v>
      </c>
      <c r="G480" t="str">
        <f>VLOOKUP(E480,Katalog!$A$15:$B$25,2,0)</f>
        <v>Pakaian Wanita</v>
      </c>
      <c r="H480" t="str">
        <f t="shared" si="256"/>
        <v>1</v>
      </c>
      <c r="I480" t="str">
        <f t="shared" si="257"/>
        <v>2</v>
      </c>
      <c r="J480" s="18">
        <f>VLOOKUP(E480,Katalog!$C$3:$F$13,2,0)</f>
        <v>125000</v>
      </c>
      <c r="K480" s="18">
        <f>VLOOKUP(E480,Katalog!$C$3:$F$13,3,0)</f>
        <v>50000</v>
      </c>
      <c r="L480" t="str">
        <f t="shared" si="258"/>
        <v>-</v>
      </c>
      <c r="M480" t="str">
        <f>IFERROR(INDEX(Katalog!$B$4:$B$13,MATCH('Main Data'!L480,Katalog!$C$4:$C$13,0)), "-")</f>
        <v>-</v>
      </c>
      <c r="N480" t="str">
        <f>IFERROR(VLOOKUP(L480,Katalog!$A$15:$B$25,2,0),"-")</f>
        <v>-</v>
      </c>
      <c r="O480">
        <f t="shared" si="259"/>
        <v>0</v>
      </c>
      <c r="P480" t="str">
        <f t="shared" si="260"/>
        <v>-</v>
      </c>
      <c r="Q480" s="18">
        <f>IFERROR(VLOOKUP(L480,Katalog!$C$3:$F$13,2,0),0)</f>
        <v>0</v>
      </c>
      <c r="R480" s="18">
        <f>IFERROR(VLOOKUP(L480,Katalog!$C$3:$F$13,3,0),0)</f>
        <v>0</v>
      </c>
      <c r="S480" t="str">
        <f t="shared" si="261"/>
        <v>-</v>
      </c>
      <c r="T480" t="str">
        <f>IFERROR(INDEX(Katalog!$B$4:$B$13,MATCH('Main Data'!S480,Katalog!$C$4:$C$13,0)),"-")</f>
        <v>-</v>
      </c>
      <c r="U480" t="str">
        <f>IFERROR(VLOOKUP(S480,Katalog!$A$15:$B$25,2,0),"-")</f>
        <v>-</v>
      </c>
      <c r="V480">
        <f t="shared" si="262"/>
        <v>0</v>
      </c>
      <c r="W480" s="28" t="str">
        <f t="shared" si="263"/>
        <v>-</v>
      </c>
      <c r="X480" s="18">
        <f>IFERROR(VLOOKUP(S480,Katalog!$C$3:$F$13,2,0),0)</f>
        <v>0</v>
      </c>
      <c r="Y480" s="30">
        <f>IFERROR(VLOOKUP(S480,Katalog!$C$3:$F$13,3,0),0)</f>
        <v>0</v>
      </c>
      <c r="Z480" s="2">
        <f t="shared" si="264"/>
        <v>1</v>
      </c>
      <c r="AA480" s="4">
        <f t="shared" si="265"/>
        <v>125000</v>
      </c>
      <c r="AB480" s="4">
        <f t="shared" si="266"/>
        <v>50000</v>
      </c>
      <c r="AC480" s="4" t="s">
        <v>29</v>
      </c>
      <c r="AD480" s="16">
        <f>IFERROR(VLOOKUP(AC480,'Kode Diskon'!$C$2:$D$9,2,0),0)</f>
        <v>0.1</v>
      </c>
      <c r="AE480" s="31">
        <f t="shared" si="267"/>
        <v>12500</v>
      </c>
      <c r="AF480" s="31">
        <f t="shared" si="268"/>
        <v>112500</v>
      </c>
      <c r="AG480" s="31">
        <f t="shared" si="269"/>
        <v>75000</v>
      </c>
      <c r="AH480" s="31">
        <f t="shared" si="270"/>
        <v>62500</v>
      </c>
      <c r="AI480" s="4" t="s">
        <v>28</v>
      </c>
      <c r="AJ480" s="4" t="s">
        <v>9</v>
      </c>
      <c r="AK480" s="4" t="str">
        <f>IFERROR(VLOOKUP(AJ480,'Guide '!$A$13:$B$16,2,0),"-")</f>
        <v>TK</v>
      </c>
      <c r="AL480" s="4" t="s">
        <v>925</v>
      </c>
      <c r="AM480" s="40">
        <v>45470</v>
      </c>
      <c r="AN480">
        <f t="shared" si="271"/>
        <v>29</v>
      </c>
      <c r="AO480">
        <f t="shared" si="272"/>
        <v>32</v>
      </c>
      <c r="AP480">
        <f t="shared" si="273"/>
        <v>40</v>
      </c>
      <c r="AQ480">
        <f t="shared" si="274"/>
        <v>43</v>
      </c>
      <c r="AR480" s="26" t="str">
        <f t="shared" si="275"/>
        <v>-</v>
      </c>
      <c r="AS480" s="26" t="str">
        <f t="shared" si="276"/>
        <v>-</v>
      </c>
      <c r="AT480" s="21">
        <f t="shared" si="277"/>
        <v>12</v>
      </c>
      <c r="AU480" s="21">
        <f t="shared" si="278"/>
        <v>19</v>
      </c>
      <c r="AV480" t="str">
        <f t="shared" si="279"/>
        <v>-</v>
      </c>
      <c r="AW480" t="str">
        <f t="shared" si="280"/>
        <v>-</v>
      </c>
      <c r="AX480" t="str">
        <f t="shared" si="281"/>
        <v>-</v>
      </c>
      <c r="AY480" t="str">
        <f t="shared" si="282"/>
        <v>-</v>
      </c>
      <c r="AZ480" t="str">
        <f t="shared" si="283"/>
        <v>-</v>
      </c>
      <c r="BA480" t="str">
        <f t="shared" si="284"/>
        <v>-</v>
      </c>
      <c r="BB480" t="str">
        <f t="shared" si="285"/>
        <v>-</v>
      </c>
      <c r="BC480" t="str">
        <f t="shared" si="286"/>
        <v>-</v>
      </c>
      <c r="BD480" s="29" t="str">
        <f t="shared" si="287"/>
        <v>-</v>
      </c>
      <c r="BE480" s="29" t="str">
        <f t="shared" si="288"/>
        <v>-</v>
      </c>
    </row>
    <row r="481" spans="1:57" ht="15" x14ac:dyDescent="0.2">
      <c r="A481" s="2">
        <v>283</v>
      </c>
      <c r="B481" s="2" t="str">
        <f t="shared" si="253"/>
        <v>0283</v>
      </c>
      <c r="C481" t="str">
        <f t="shared" si="254"/>
        <v>ORD-BL-0283-28/06/24</v>
      </c>
      <c r="D481" s="3" t="s">
        <v>339</v>
      </c>
      <c r="E481" t="str">
        <f t="shared" si="255"/>
        <v>SP002</v>
      </c>
      <c r="F481" t="str">
        <f>INDEX(Katalog!$B$4:$B$13,MATCH('Main Data'!E481,Katalog!$C$4:$C$13,0))</f>
        <v>Sandal Slip On</v>
      </c>
      <c r="G481" t="str">
        <f>VLOOKUP(E481,Katalog!$A$15:$B$25,2,0)</f>
        <v>Sepatu Pria</v>
      </c>
      <c r="H481" t="str">
        <f t="shared" si="256"/>
        <v>1</v>
      </c>
      <c r="I481" t="str">
        <f t="shared" si="257"/>
        <v>2</v>
      </c>
      <c r="J481" s="18">
        <f>VLOOKUP(E481,Katalog!$C$3:$F$13,2,0)</f>
        <v>120000</v>
      </c>
      <c r="K481" s="18">
        <f>VLOOKUP(E481,Katalog!$C$3:$F$13,3,0)</f>
        <v>60000</v>
      </c>
      <c r="L481" t="str">
        <f t="shared" si="258"/>
        <v>-</v>
      </c>
      <c r="M481" t="str">
        <f>IFERROR(INDEX(Katalog!$B$4:$B$13,MATCH('Main Data'!L481,Katalog!$C$4:$C$13,0)), "-")</f>
        <v>-</v>
      </c>
      <c r="N481" t="str">
        <f>IFERROR(VLOOKUP(L481,Katalog!$A$15:$B$25,2,0),"-")</f>
        <v>-</v>
      </c>
      <c r="O481">
        <f t="shared" si="259"/>
        <v>0</v>
      </c>
      <c r="P481" t="str">
        <f t="shared" si="260"/>
        <v>-</v>
      </c>
      <c r="Q481" s="18">
        <f>IFERROR(VLOOKUP(L481,Katalog!$C$3:$F$13,2,0),0)</f>
        <v>0</v>
      </c>
      <c r="R481" s="18">
        <f>IFERROR(VLOOKUP(L481,Katalog!$C$3:$F$13,3,0),0)</f>
        <v>0</v>
      </c>
      <c r="S481" t="str">
        <f t="shared" si="261"/>
        <v>-</v>
      </c>
      <c r="T481" t="str">
        <f>IFERROR(INDEX(Katalog!$B$4:$B$13,MATCH('Main Data'!S481,Katalog!$C$4:$C$13,0)),"-")</f>
        <v>-</v>
      </c>
      <c r="U481" t="str">
        <f>IFERROR(VLOOKUP(S481,Katalog!$A$15:$B$25,2,0),"-")</f>
        <v>-</v>
      </c>
      <c r="V481">
        <f t="shared" si="262"/>
        <v>0</v>
      </c>
      <c r="W481" s="28" t="str">
        <f t="shared" si="263"/>
        <v>-</v>
      </c>
      <c r="X481" s="18">
        <f>IFERROR(VLOOKUP(S481,Katalog!$C$3:$F$13,2,0),0)</f>
        <v>0</v>
      </c>
      <c r="Y481" s="30">
        <f>IFERROR(VLOOKUP(S481,Katalog!$C$3:$F$13,3,0),0)</f>
        <v>0</v>
      </c>
      <c r="Z481" s="2">
        <f t="shared" si="264"/>
        <v>1</v>
      </c>
      <c r="AA481" s="4">
        <f t="shared" si="265"/>
        <v>120000</v>
      </c>
      <c r="AB481" s="4">
        <f t="shared" si="266"/>
        <v>60000</v>
      </c>
      <c r="AC481" s="4" t="s">
        <v>31</v>
      </c>
      <c r="AD481" s="16">
        <f>IFERROR(VLOOKUP(AC481,'Kode Diskon'!$C$2:$D$9,2,0),0)</f>
        <v>0.15</v>
      </c>
      <c r="AE481" s="31">
        <f t="shared" si="267"/>
        <v>18000</v>
      </c>
      <c r="AF481" s="31">
        <f t="shared" si="268"/>
        <v>102000</v>
      </c>
      <c r="AG481" s="31">
        <f t="shared" si="269"/>
        <v>60000</v>
      </c>
      <c r="AH481" s="31">
        <f t="shared" si="270"/>
        <v>42000</v>
      </c>
      <c r="AI481" s="4" t="s">
        <v>8</v>
      </c>
      <c r="AJ481" s="4" t="s">
        <v>11</v>
      </c>
      <c r="AK481" s="4" t="str">
        <f>IFERROR(VLOOKUP(AJ481,'Guide '!$A$13:$B$16,2,0),"-")</f>
        <v>BL</v>
      </c>
      <c r="AL481" s="4" t="s">
        <v>925</v>
      </c>
      <c r="AM481" s="40">
        <v>45471</v>
      </c>
      <c r="AN481">
        <f t="shared" si="271"/>
        <v>29</v>
      </c>
      <c r="AO481">
        <f t="shared" si="272"/>
        <v>32</v>
      </c>
      <c r="AP481">
        <f t="shared" si="273"/>
        <v>40</v>
      </c>
      <c r="AQ481">
        <f t="shared" si="274"/>
        <v>43</v>
      </c>
      <c r="AR481" s="26" t="str">
        <f t="shared" si="275"/>
        <v>-</v>
      </c>
      <c r="AS481" s="26" t="str">
        <f t="shared" si="276"/>
        <v>-</v>
      </c>
      <c r="AT481" s="21">
        <f t="shared" si="277"/>
        <v>12</v>
      </c>
      <c r="AU481" s="21">
        <f t="shared" si="278"/>
        <v>19</v>
      </c>
      <c r="AV481" t="str">
        <f t="shared" si="279"/>
        <v>-</v>
      </c>
      <c r="AW481" t="str">
        <f t="shared" si="280"/>
        <v>-</v>
      </c>
      <c r="AX481" t="str">
        <f t="shared" si="281"/>
        <v>-</v>
      </c>
      <c r="AY481" t="str">
        <f t="shared" si="282"/>
        <v>-</v>
      </c>
      <c r="AZ481" t="str">
        <f t="shared" si="283"/>
        <v>-</v>
      </c>
      <c r="BA481" t="str">
        <f t="shared" si="284"/>
        <v>-</v>
      </c>
      <c r="BB481" t="str">
        <f t="shared" si="285"/>
        <v>-</v>
      </c>
      <c r="BC481" t="str">
        <f t="shared" si="286"/>
        <v>-</v>
      </c>
      <c r="BD481" s="29" t="str">
        <f t="shared" si="287"/>
        <v>-</v>
      </c>
      <c r="BE481" s="29" t="str">
        <f t="shared" si="288"/>
        <v>-</v>
      </c>
    </row>
    <row r="482" spans="1:57" ht="15" x14ac:dyDescent="0.2">
      <c r="A482" s="2">
        <v>406</v>
      </c>
      <c r="B482" s="2" t="str">
        <f t="shared" si="253"/>
        <v>0406</v>
      </c>
      <c r="C482" t="str">
        <f t="shared" si="254"/>
        <v>ORD-SP-0406-28/06/24</v>
      </c>
      <c r="D482" s="3" t="s">
        <v>452</v>
      </c>
      <c r="E482" t="str">
        <f t="shared" si="255"/>
        <v>SP002</v>
      </c>
      <c r="F482" t="str">
        <f>INDEX(Katalog!$B$4:$B$13,MATCH('Main Data'!E482,Katalog!$C$4:$C$13,0))</f>
        <v>Sandal Slip On</v>
      </c>
      <c r="G482" t="str">
        <f>VLOOKUP(E482,Katalog!$A$15:$B$25,2,0)</f>
        <v>Sepatu Pria</v>
      </c>
      <c r="H482" t="str">
        <f t="shared" si="256"/>
        <v>1</v>
      </c>
      <c r="I482" t="str">
        <f t="shared" si="257"/>
        <v>4</v>
      </c>
      <c r="J482" s="18">
        <f>VLOOKUP(E482,Katalog!$C$3:$F$13,2,0)</f>
        <v>120000</v>
      </c>
      <c r="K482" s="18">
        <f>VLOOKUP(E482,Katalog!$C$3:$F$13,3,0)</f>
        <v>60000</v>
      </c>
      <c r="L482" t="str">
        <f t="shared" si="258"/>
        <v>PP002</v>
      </c>
      <c r="M482" t="str">
        <f>IFERROR(INDEX(Katalog!$B$4:$B$13,MATCH('Main Data'!L482,Katalog!$C$4:$C$13,0)), "-")</f>
        <v>Celana Pendek</v>
      </c>
      <c r="N482" t="str">
        <f>IFERROR(VLOOKUP(L482,Katalog!$A$15:$B$25,2,0),"-")</f>
        <v>Pakaian Pria</v>
      </c>
      <c r="O482" t="str">
        <f t="shared" si="259"/>
        <v>1</v>
      </c>
      <c r="P482" t="str">
        <f t="shared" si="260"/>
        <v>5</v>
      </c>
      <c r="Q482" s="18">
        <f>IFERROR(VLOOKUP(L482,Katalog!$C$3:$F$13,2,0),0)</f>
        <v>60000</v>
      </c>
      <c r="R482" s="18">
        <f>IFERROR(VLOOKUP(L482,Katalog!$C$3:$F$13,3,0),0)</f>
        <v>25000</v>
      </c>
      <c r="S482" t="str">
        <f t="shared" si="261"/>
        <v>-</v>
      </c>
      <c r="T482" t="str">
        <f>IFERROR(INDEX(Katalog!$B$4:$B$13,MATCH('Main Data'!S482,Katalog!$C$4:$C$13,0)),"-")</f>
        <v>-</v>
      </c>
      <c r="U482" t="str">
        <f>IFERROR(VLOOKUP(S482,Katalog!$A$15:$B$25,2,0),"-")</f>
        <v>-</v>
      </c>
      <c r="V482">
        <f t="shared" si="262"/>
        <v>0</v>
      </c>
      <c r="W482" s="28" t="str">
        <f t="shared" si="263"/>
        <v>-</v>
      </c>
      <c r="X482" s="18">
        <f>IFERROR(VLOOKUP(S482,Katalog!$C$3:$F$13,2,0),0)</f>
        <v>0</v>
      </c>
      <c r="Y482" s="30">
        <f>IFERROR(VLOOKUP(S482,Katalog!$C$3:$F$13,3,0),0)</f>
        <v>0</v>
      </c>
      <c r="Z482" s="2">
        <f t="shared" si="264"/>
        <v>2</v>
      </c>
      <c r="AA482" s="4">
        <f t="shared" si="265"/>
        <v>180000</v>
      </c>
      <c r="AB482" s="4">
        <f t="shared" si="266"/>
        <v>85000</v>
      </c>
      <c r="AC482" s="4" t="s">
        <v>12</v>
      </c>
      <c r="AD482" s="16">
        <f>IFERROR(VLOOKUP(AC482,'Kode Diskon'!$C$2:$D$9,2,0),0)</f>
        <v>0.15</v>
      </c>
      <c r="AE482" s="31">
        <f t="shared" si="267"/>
        <v>27000</v>
      </c>
      <c r="AF482" s="31">
        <f t="shared" si="268"/>
        <v>153000</v>
      </c>
      <c r="AG482" s="31">
        <f t="shared" si="269"/>
        <v>95000</v>
      </c>
      <c r="AH482" s="31">
        <f t="shared" si="270"/>
        <v>68000</v>
      </c>
      <c r="AI482" s="4" t="s">
        <v>28</v>
      </c>
      <c r="AJ482" s="4" t="s">
        <v>6</v>
      </c>
      <c r="AK482" s="4" t="str">
        <f>IFERROR(VLOOKUP(AJ482,'Guide '!$A$13:$B$16,2,0),"-")</f>
        <v>SP</v>
      </c>
      <c r="AL482" s="4" t="s">
        <v>925</v>
      </c>
      <c r="AM482" s="40">
        <v>45471</v>
      </c>
      <c r="AN482">
        <f t="shared" si="271"/>
        <v>29</v>
      </c>
      <c r="AO482">
        <f t="shared" si="272"/>
        <v>32</v>
      </c>
      <c r="AP482">
        <f t="shared" si="273"/>
        <v>40</v>
      </c>
      <c r="AQ482">
        <f t="shared" si="274"/>
        <v>43</v>
      </c>
      <c r="AR482" s="26">
        <f t="shared" si="275"/>
        <v>56</v>
      </c>
      <c r="AS482" s="26">
        <f t="shared" si="276"/>
        <v>63</v>
      </c>
      <c r="AT482" s="21">
        <f t="shared" si="277"/>
        <v>12</v>
      </c>
      <c r="AU482" s="21">
        <f t="shared" si="278"/>
        <v>19</v>
      </c>
      <c r="AV482">
        <f t="shared" si="279"/>
        <v>73</v>
      </c>
      <c r="AW482">
        <f t="shared" si="280"/>
        <v>76</v>
      </c>
      <c r="AX482">
        <f t="shared" si="281"/>
        <v>84</v>
      </c>
      <c r="AY482">
        <f t="shared" si="282"/>
        <v>87</v>
      </c>
      <c r="AZ482" t="str">
        <f t="shared" si="283"/>
        <v>-</v>
      </c>
      <c r="BA482" t="str">
        <f t="shared" si="284"/>
        <v>-</v>
      </c>
      <c r="BB482" t="str">
        <f t="shared" si="285"/>
        <v>-</v>
      </c>
      <c r="BC482" t="str">
        <f t="shared" si="286"/>
        <v>-</v>
      </c>
      <c r="BD482" s="29" t="str">
        <f t="shared" si="287"/>
        <v>-</v>
      </c>
      <c r="BE482" s="29" t="str">
        <f t="shared" si="288"/>
        <v>-</v>
      </c>
    </row>
    <row r="483" spans="1:57" ht="15" x14ac:dyDescent="0.2">
      <c r="A483" s="2">
        <v>548</v>
      </c>
      <c r="B483" s="2" t="str">
        <f t="shared" si="253"/>
        <v>0548</v>
      </c>
      <c r="C483" t="str">
        <f t="shared" si="254"/>
        <v>ORD-TK-0548-28/06/24</v>
      </c>
      <c r="D483" s="3" t="s">
        <v>572</v>
      </c>
      <c r="E483" t="str">
        <f t="shared" si="255"/>
        <v>PU001</v>
      </c>
      <c r="F483" t="str">
        <f>INDEX(Katalog!$B$4:$B$13,MATCH('Main Data'!E483,Katalog!$C$4:$C$13,0))</f>
        <v>Jaket Hoodie</v>
      </c>
      <c r="G483" t="str">
        <f>VLOOKUP(E483,Katalog!$A$15:$B$25,2,0)</f>
        <v>Pakaian Unisex</v>
      </c>
      <c r="H483" t="str">
        <f t="shared" si="256"/>
        <v>6</v>
      </c>
      <c r="I483" t="str">
        <f t="shared" si="257"/>
        <v>3</v>
      </c>
      <c r="J483" s="18">
        <f>VLOOKUP(E483,Katalog!$C$3:$F$13,2,0)</f>
        <v>160000</v>
      </c>
      <c r="K483" s="18">
        <f>VLOOKUP(E483,Katalog!$C$3:$F$13,3,0)</f>
        <v>60000</v>
      </c>
      <c r="L483" t="str">
        <f t="shared" si="258"/>
        <v>-</v>
      </c>
      <c r="M483" t="str">
        <f>IFERROR(INDEX(Katalog!$B$4:$B$13,MATCH('Main Data'!L483,Katalog!$C$4:$C$13,0)), "-")</f>
        <v>-</v>
      </c>
      <c r="N483" t="str">
        <f>IFERROR(VLOOKUP(L483,Katalog!$A$15:$B$25,2,0),"-")</f>
        <v>-</v>
      </c>
      <c r="O483">
        <f t="shared" si="259"/>
        <v>0</v>
      </c>
      <c r="P483" t="str">
        <f t="shared" si="260"/>
        <v>-</v>
      </c>
      <c r="Q483" s="18">
        <f>IFERROR(VLOOKUP(L483,Katalog!$C$3:$F$13,2,0),0)</f>
        <v>0</v>
      </c>
      <c r="R483" s="18">
        <f>IFERROR(VLOOKUP(L483,Katalog!$C$3:$F$13,3,0),0)</f>
        <v>0</v>
      </c>
      <c r="S483" t="str">
        <f t="shared" si="261"/>
        <v>-</v>
      </c>
      <c r="T483" t="str">
        <f>IFERROR(INDEX(Katalog!$B$4:$B$13,MATCH('Main Data'!S483,Katalog!$C$4:$C$13,0)),"-")</f>
        <v>-</v>
      </c>
      <c r="U483" t="str">
        <f>IFERROR(VLOOKUP(S483,Katalog!$A$15:$B$25,2,0),"-")</f>
        <v>-</v>
      </c>
      <c r="V483">
        <f t="shared" si="262"/>
        <v>0</v>
      </c>
      <c r="W483" s="28" t="str">
        <f t="shared" si="263"/>
        <v>-</v>
      </c>
      <c r="X483" s="18">
        <f>IFERROR(VLOOKUP(S483,Katalog!$C$3:$F$13,2,0),0)</f>
        <v>0</v>
      </c>
      <c r="Y483" s="30">
        <f>IFERROR(VLOOKUP(S483,Katalog!$C$3:$F$13,3,0),0)</f>
        <v>0</v>
      </c>
      <c r="Z483" s="2">
        <f t="shared" si="264"/>
        <v>6</v>
      </c>
      <c r="AA483" s="4">
        <f t="shared" si="265"/>
        <v>960000</v>
      </c>
      <c r="AB483" s="4">
        <f t="shared" si="266"/>
        <v>360000</v>
      </c>
      <c r="AC483" s="4" t="s">
        <v>29</v>
      </c>
      <c r="AD483" s="16">
        <f>IFERROR(VLOOKUP(AC483,'Kode Diskon'!$C$2:$D$9,2,0),0)</f>
        <v>0.1</v>
      </c>
      <c r="AE483" s="31">
        <f t="shared" si="267"/>
        <v>96000</v>
      </c>
      <c r="AF483" s="31">
        <f t="shared" si="268"/>
        <v>864000</v>
      </c>
      <c r="AG483" s="31">
        <f t="shared" si="269"/>
        <v>600000</v>
      </c>
      <c r="AH483" s="31">
        <f t="shared" si="270"/>
        <v>504000</v>
      </c>
      <c r="AI483" s="4" t="s">
        <v>28</v>
      </c>
      <c r="AJ483" s="4" t="s">
        <v>9</v>
      </c>
      <c r="AK483" s="4" t="str">
        <f>IFERROR(VLOOKUP(AJ483,'Guide '!$A$13:$B$16,2,0),"-")</f>
        <v>TK</v>
      </c>
      <c r="AL483" s="4" t="s">
        <v>1006</v>
      </c>
      <c r="AM483" s="40">
        <v>45471</v>
      </c>
      <c r="AN483">
        <f t="shared" si="271"/>
        <v>29</v>
      </c>
      <c r="AO483">
        <f t="shared" si="272"/>
        <v>32</v>
      </c>
      <c r="AP483">
        <f t="shared" si="273"/>
        <v>40</v>
      </c>
      <c r="AQ483">
        <f t="shared" si="274"/>
        <v>43</v>
      </c>
      <c r="AR483" s="26" t="str">
        <f t="shared" si="275"/>
        <v>-</v>
      </c>
      <c r="AS483" s="26" t="str">
        <f t="shared" si="276"/>
        <v>-</v>
      </c>
      <c r="AT483" s="21">
        <f t="shared" si="277"/>
        <v>12</v>
      </c>
      <c r="AU483" s="21">
        <f t="shared" si="278"/>
        <v>19</v>
      </c>
      <c r="AV483" t="str">
        <f t="shared" si="279"/>
        <v>-</v>
      </c>
      <c r="AW483" t="str">
        <f t="shared" si="280"/>
        <v>-</v>
      </c>
      <c r="AX483" t="str">
        <f t="shared" si="281"/>
        <v>-</v>
      </c>
      <c r="AY483" t="str">
        <f t="shared" si="282"/>
        <v>-</v>
      </c>
      <c r="AZ483" t="str">
        <f t="shared" si="283"/>
        <v>-</v>
      </c>
      <c r="BA483" t="str">
        <f t="shared" si="284"/>
        <v>-</v>
      </c>
      <c r="BB483" t="str">
        <f t="shared" si="285"/>
        <v>-</v>
      </c>
      <c r="BC483" t="str">
        <f t="shared" si="286"/>
        <v>-</v>
      </c>
      <c r="BD483" s="29" t="str">
        <f t="shared" si="287"/>
        <v>-</v>
      </c>
      <c r="BE483" s="29" t="str">
        <f t="shared" si="288"/>
        <v>-</v>
      </c>
    </row>
    <row r="484" spans="1:57" ht="15" x14ac:dyDescent="0.2">
      <c r="A484" s="2">
        <v>226</v>
      </c>
      <c r="B484" s="2" t="str">
        <f t="shared" si="253"/>
        <v>0226</v>
      </c>
      <c r="C484" t="str">
        <f t="shared" si="254"/>
        <v>ORD-SP-0226-29/06/24</v>
      </c>
      <c r="D484" s="3" t="s">
        <v>292</v>
      </c>
      <c r="E484" t="str">
        <f t="shared" si="255"/>
        <v>PP001</v>
      </c>
      <c r="F484" t="str">
        <f>INDEX(Katalog!$B$4:$B$13,MATCH('Main Data'!E484,Katalog!$C$4:$C$13,0))</f>
        <v>Kaos Polo</v>
      </c>
      <c r="G484" t="str">
        <f>VLOOKUP(E484,Katalog!$A$15:$B$25,2,0)</f>
        <v>Pakaian Pria</v>
      </c>
      <c r="H484" t="str">
        <f t="shared" si="256"/>
        <v>4</v>
      </c>
      <c r="I484" t="str">
        <f t="shared" si="257"/>
        <v>2</v>
      </c>
      <c r="J484" s="18">
        <f>VLOOKUP(E484,Katalog!$C$3:$F$13,2,0)</f>
        <v>80000</v>
      </c>
      <c r="K484" s="18">
        <f>VLOOKUP(E484,Katalog!$C$3:$F$13,3,0)</f>
        <v>30000</v>
      </c>
      <c r="L484" t="str">
        <f t="shared" si="258"/>
        <v>SP001</v>
      </c>
      <c r="M484" t="str">
        <f>IFERROR(INDEX(Katalog!$B$4:$B$13,MATCH('Main Data'!L484,Katalog!$C$4:$C$13,0)), "-")</f>
        <v>Sneakers</v>
      </c>
      <c r="N484" t="str">
        <f>IFERROR(VLOOKUP(L484,Katalog!$A$15:$B$25,2,0),"-")</f>
        <v>Sepatu Pria</v>
      </c>
      <c r="O484" t="str">
        <f t="shared" si="259"/>
        <v>1</v>
      </c>
      <c r="P484" t="str">
        <f t="shared" si="260"/>
        <v>1</v>
      </c>
      <c r="Q484" s="18">
        <f>IFERROR(VLOOKUP(L484,Katalog!$C$3:$F$13,2,0),0)</f>
        <v>300000</v>
      </c>
      <c r="R484" s="18">
        <f>IFERROR(VLOOKUP(L484,Katalog!$C$3:$F$13,3,0),0)</f>
        <v>100000</v>
      </c>
      <c r="S484" t="str">
        <f t="shared" si="261"/>
        <v>-</v>
      </c>
      <c r="T484" t="str">
        <f>IFERROR(INDEX(Katalog!$B$4:$B$13,MATCH('Main Data'!S484,Katalog!$C$4:$C$13,0)),"-")</f>
        <v>-</v>
      </c>
      <c r="U484" t="str">
        <f>IFERROR(VLOOKUP(S484,Katalog!$A$15:$B$25,2,0),"-")</f>
        <v>-</v>
      </c>
      <c r="V484">
        <f t="shared" si="262"/>
        <v>0</v>
      </c>
      <c r="W484" s="28" t="str">
        <f t="shared" si="263"/>
        <v>-</v>
      </c>
      <c r="X484" s="18">
        <f>IFERROR(VLOOKUP(S484,Katalog!$C$3:$F$13,2,0),0)</f>
        <v>0</v>
      </c>
      <c r="Y484" s="30">
        <f>IFERROR(VLOOKUP(S484,Katalog!$C$3:$F$13,3,0),0)</f>
        <v>0</v>
      </c>
      <c r="Z484" s="2">
        <f t="shared" si="264"/>
        <v>5</v>
      </c>
      <c r="AA484" s="4">
        <f t="shared" si="265"/>
        <v>620000</v>
      </c>
      <c r="AB484" s="4">
        <f t="shared" si="266"/>
        <v>220000</v>
      </c>
      <c r="AC484" s="4" t="s">
        <v>12</v>
      </c>
      <c r="AD484" s="16">
        <f>IFERROR(VLOOKUP(AC484,'Kode Diskon'!$C$2:$D$9,2,0),0)</f>
        <v>0.15</v>
      </c>
      <c r="AE484" s="31">
        <f t="shared" si="267"/>
        <v>93000</v>
      </c>
      <c r="AF484" s="31">
        <f t="shared" si="268"/>
        <v>527000</v>
      </c>
      <c r="AG484" s="31">
        <f t="shared" si="269"/>
        <v>400000</v>
      </c>
      <c r="AH484" s="31">
        <f t="shared" si="270"/>
        <v>307000</v>
      </c>
      <c r="AI484" s="4" t="s">
        <v>28</v>
      </c>
      <c r="AJ484" s="4" t="s">
        <v>6</v>
      </c>
      <c r="AK484" s="4" t="str">
        <f>IFERROR(VLOOKUP(AJ484,'Guide '!$A$13:$B$16,2,0),"-")</f>
        <v>SP</v>
      </c>
      <c r="AL484" s="4" t="s">
        <v>921</v>
      </c>
      <c r="AM484" s="40">
        <v>45472</v>
      </c>
      <c r="AN484">
        <f t="shared" si="271"/>
        <v>29</v>
      </c>
      <c r="AO484">
        <f t="shared" si="272"/>
        <v>32</v>
      </c>
      <c r="AP484">
        <f t="shared" si="273"/>
        <v>40</v>
      </c>
      <c r="AQ484">
        <f t="shared" si="274"/>
        <v>43</v>
      </c>
      <c r="AR484" s="26">
        <f t="shared" si="275"/>
        <v>56</v>
      </c>
      <c r="AS484" s="26">
        <f t="shared" si="276"/>
        <v>63</v>
      </c>
      <c r="AT484" s="21">
        <f t="shared" si="277"/>
        <v>12</v>
      </c>
      <c r="AU484" s="21">
        <f t="shared" si="278"/>
        <v>19</v>
      </c>
      <c r="AV484">
        <f t="shared" si="279"/>
        <v>73</v>
      </c>
      <c r="AW484">
        <f t="shared" si="280"/>
        <v>76</v>
      </c>
      <c r="AX484">
        <f t="shared" si="281"/>
        <v>84</v>
      </c>
      <c r="AY484">
        <f t="shared" si="282"/>
        <v>87</v>
      </c>
      <c r="AZ484" t="str">
        <f t="shared" si="283"/>
        <v>-</v>
      </c>
      <c r="BA484" t="str">
        <f t="shared" si="284"/>
        <v>-</v>
      </c>
      <c r="BB484" t="str">
        <f t="shared" si="285"/>
        <v>-</v>
      </c>
      <c r="BC484" t="str">
        <f t="shared" si="286"/>
        <v>-</v>
      </c>
      <c r="BD484" s="29" t="str">
        <f t="shared" si="287"/>
        <v>-</v>
      </c>
      <c r="BE484" s="29" t="str">
        <f t="shared" si="288"/>
        <v>-</v>
      </c>
    </row>
    <row r="485" spans="1:57" ht="15" x14ac:dyDescent="0.2">
      <c r="A485" s="2">
        <v>454</v>
      </c>
      <c r="B485" s="2" t="str">
        <f t="shared" si="253"/>
        <v>0454</v>
      </c>
      <c r="C485" t="str">
        <f t="shared" si="254"/>
        <v>ORD-TK-0454-29/06/24</v>
      </c>
      <c r="D485" s="3" t="s">
        <v>492</v>
      </c>
      <c r="E485" t="str">
        <f t="shared" si="255"/>
        <v>PW003</v>
      </c>
      <c r="F485" t="str">
        <f>INDEX(Katalog!$B$4:$B$13,MATCH('Main Data'!E485,Katalog!$C$4:$C$13,0))</f>
        <v>Kaftan</v>
      </c>
      <c r="G485" t="str">
        <f>VLOOKUP(E485,Katalog!$A$15:$B$25,2,0)</f>
        <v>Pakaian Wanita</v>
      </c>
      <c r="H485" t="str">
        <f t="shared" si="256"/>
        <v>2</v>
      </c>
      <c r="I485" t="str">
        <f t="shared" si="257"/>
        <v>2</v>
      </c>
      <c r="J485" s="18">
        <f>VLOOKUP(E485,Katalog!$C$3:$F$13,2,0)</f>
        <v>200000</v>
      </c>
      <c r="K485" s="18">
        <f>VLOOKUP(E485,Katalog!$C$3:$F$13,3,0)</f>
        <v>100000</v>
      </c>
      <c r="L485" t="str">
        <f t="shared" si="258"/>
        <v>PW002</v>
      </c>
      <c r="M485" t="str">
        <f>IFERROR(INDEX(Katalog!$B$4:$B$13,MATCH('Main Data'!L485,Katalog!$C$4:$C$13,0)), "-")</f>
        <v>Blouse</v>
      </c>
      <c r="N485" t="str">
        <f>IFERROR(VLOOKUP(L485,Katalog!$A$15:$B$25,2,0),"-")</f>
        <v>Pakaian Wanita</v>
      </c>
      <c r="O485" t="str">
        <f t="shared" si="259"/>
        <v>3</v>
      </c>
      <c r="P485" t="str">
        <f t="shared" si="260"/>
        <v>1</v>
      </c>
      <c r="Q485" s="18">
        <f>IFERROR(VLOOKUP(L485,Katalog!$C$3:$F$13,2,0),0)</f>
        <v>125000</v>
      </c>
      <c r="R485" s="18">
        <f>IFERROR(VLOOKUP(L485,Katalog!$C$3:$F$13,3,0),0)</f>
        <v>50000</v>
      </c>
      <c r="S485" t="str">
        <f t="shared" si="261"/>
        <v>-</v>
      </c>
      <c r="T485" t="str">
        <f>IFERROR(INDEX(Katalog!$B$4:$B$13,MATCH('Main Data'!S485,Katalog!$C$4:$C$13,0)),"-")</f>
        <v>-</v>
      </c>
      <c r="U485" t="str">
        <f>IFERROR(VLOOKUP(S485,Katalog!$A$15:$B$25,2,0),"-")</f>
        <v>-</v>
      </c>
      <c r="V485">
        <f t="shared" si="262"/>
        <v>0</v>
      </c>
      <c r="W485" s="28" t="str">
        <f t="shared" si="263"/>
        <v>-</v>
      </c>
      <c r="X485" s="18">
        <f>IFERROR(VLOOKUP(S485,Katalog!$C$3:$F$13,2,0),0)</f>
        <v>0</v>
      </c>
      <c r="Y485" s="30">
        <f>IFERROR(VLOOKUP(S485,Katalog!$C$3:$F$13,3,0),0)</f>
        <v>0</v>
      </c>
      <c r="Z485" s="2">
        <f t="shared" si="264"/>
        <v>5</v>
      </c>
      <c r="AA485" s="4">
        <f t="shared" si="265"/>
        <v>775000</v>
      </c>
      <c r="AB485" s="4">
        <f t="shared" si="266"/>
        <v>350000</v>
      </c>
      <c r="AC485" s="4" t="s">
        <v>30</v>
      </c>
      <c r="AD485" s="16">
        <f>IFERROR(VLOOKUP(AC485,'Kode Diskon'!$C$2:$D$9,2,0),0)</f>
        <v>0.1</v>
      </c>
      <c r="AE485" s="31">
        <f t="shared" si="267"/>
        <v>77500</v>
      </c>
      <c r="AF485" s="31">
        <f t="shared" si="268"/>
        <v>697500</v>
      </c>
      <c r="AG485" s="31">
        <f t="shared" si="269"/>
        <v>425000</v>
      </c>
      <c r="AH485" s="31">
        <f t="shared" si="270"/>
        <v>347500</v>
      </c>
      <c r="AI485" s="4" t="s">
        <v>8</v>
      </c>
      <c r="AJ485" s="4" t="s">
        <v>9</v>
      </c>
      <c r="AK485" s="4" t="str">
        <f>IFERROR(VLOOKUP(AJ485,'Guide '!$A$13:$B$16,2,0),"-")</f>
        <v>TK</v>
      </c>
      <c r="AL485" s="4" t="s">
        <v>925</v>
      </c>
      <c r="AM485" s="40">
        <v>45472</v>
      </c>
      <c r="AN485">
        <f t="shared" si="271"/>
        <v>29</v>
      </c>
      <c r="AO485">
        <f t="shared" si="272"/>
        <v>32</v>
      </c>
      <c r="AP485">
        <f t="shared" si="273"/>
        <v>40</v>
      </c>
      <c r="AQ485">
        <f t="shared" si="274"/>
        <v>43</v>
      </c>
      <c r="AR485" s="26">
        <f t="shared" si="275"/>
        <v>56</v>
      </c>
      <c r="AS485" s="26">
        <f t="shared" si="276"/>
        <v>63</v>
      </c>
      <c r="AT485" s="21">
        <f t="shared" si="277"/>
        <v>12</v>
      </c>
      <c r="AU485" s="21">
        <f t="shared" si="278"/>
        <v>19</v>
      </c>
      <c r="AV485">
        <f t="shared" si="279"/>
        <v>73</v>
      </c>
      <c r="AW485">
        <f t="shared" si="280"/>
        <v>76</v>
      </c>
      <c r="AX485">
        <f t="shared" si="281"/>
        <v>84</v>
      </c>
      <c r="AY485">
        <f t="shared" si="282"/>
        <v>87</v>
      </c>
      <c r="AZ485" t="str">
        <f t="shared" si="283"/>
        <v>-</v>
      </c>
      <c r="BA485" t="str">
        <f t="shared" si="284"/>
        <v>-</v>
      </c>
      <c r="BB485" t="str">
        <f t="shared" si="285"/>
        <v>-</v>
      </c>
      <c r="BC485" t="str">
        <f t="shared" si="286"/>
        <v>-</v>
      </c>
      <c r="BD485" s="29" t="str">
        <f t="shared" si="287"/>
        <v>-</v>
      </c>
      <c r="BE485" s="29" t="str">
        <f t="shared" si="288"/>
        <v>-</v>
      </c>
    </row>
    <row r="486" spans="1:57" ht="15" x14ac:dyDescent="0.2">
      <c r="A486" s="2">
        <v>956</v>
      </c>
      <c r="B486" s="2" t="str">
        <f t="shared" si="253"/>
        <v>0956</v>
      </c>
      <c r="C486" t="str">
        <f t="shared" si="254"/>
        <v>ORD-TK-0956-29/06/24</v>
      </c>
      <c r="D486" s="3" t="s">
        <v>886</v>
      </c>
      <c r="E486" t="str">
        <f t="shared" si="255"/>
        <v>SP002</v>
      </c>
      <c r="F486" t="str">
        <f>INDEX(Katalog!$B$4:$B$13,MATCH('Main Data'!E486,Katalog!$C$4:$C$13,0))</f>
        <v>Sandal Slip On</v>
      </c>
      <c r="G486" t="str">
        <f>VLOOKUP(E486,Katalog!$A$15:$B$25,2,0)</f>
        <v>Sepatu Pria</v>
      </c>
      <c r="H486" t="str">
        <f t="shared" si="256"/>
        <v>2</v>
      </c>
      <c r="I486" t="str">
        <f t="shared" si="257"/>
        <v>5</v>
      </c>
      <c r="J486" s="18">
        <f>VLOOKUP(E486,Katalog!$C$3:$F$13,2,0)</f>
        <v>120000</v>
      </c>
      <c r="K486" s="18">
        <f>VLOOKUP(E486,Katalog!$C$3:$F$13,3,0)</f>
        <v>60000</v>
      </c>
      <c r="L486" t="str">
        <f t="shared" si="258"/>
        <v>PP002</v>
      </c>
      <c r="M486" t="str">
        <f>IFERROR(INDEX(Katalog!$B$4:$B$13,MATCH('Main Data'!L486,Katalog!$C$4:$C$13,0)), "-")</f>
        <v>Celana Pendek</v>
      </c>
      <c r="N486" t="str">
        <f>IFERROR(VLOOKUP(L486,Katalog!$A$15:$B$25,2,0),"-")</f>
        <v>Pakaian Pria</v>
      </c>
      <c r="O486" t="str">
        <f t="shared" si="259"/>
        <v>1</v>
      </c>
      <c r="P486" t="str">
        <f t="shared" si="260"/>
        <v>4</v>
      </c>
      <c r="Q486" s="18">
        <f>IFERROR(VLOOKUP(L486,Katalog!$C$3:$F$13,2,0),0)</f>
        <v>60000</v>
      </c>
      <c r="R486" s="18">
        <f>IFERROR(VLOOKUP(L486,Katalog!$C$3:$F$13,3,0),0)</f>
        <v>25000</v>
      </c>
      <c r="S486" t="str">
        <f t="shared" si="261"/>
        <v>PP003</v>
      </c>
      <c r="T486" t="str">
        <f>IFERROR(INDEX(Katalog!$B$4:$B$13,MATCH('Main Data'!S486,Katalog!$C$4:$C$13,0)),"-")</f>
        <v>Jaket Jeans</v>
      </c>
      <c r="U486" t="str">
        <f>IFERROR(VLOOKUP(S486,Katalog!$A$15:$B$25,2,0),"-")</f>
        <v>Pakaian Pria</v>
      </c>
      <c r="V486" t="str">
        <f t="shared" si="262"/>
        <v>2</v>
      </c>
      <c r="W486" s="28" t="str">
        <f t="shared" si="263"/>
        <v>4</v>
      </c>
      <c r="X486" s="18">
        <f>IFERROR(VLOOKUP(S486,Katalog!$C$3:$F$13,2,0),0)</f>
        <v>150000</v>
      </c>
      <c r="Y486" s="30">
        <f>IFERROR(VLOOKUP(S486,Katalog!$C$3:$F$13,3,0),0)</f>
        <v>70000</v>
      </c>
      <c r="Z486" s="2">
        <f t="shared" si="264"/>
        <v>5</v>
      </c>
      <c r="AA486" s="4">
        <f t="shared" si="265"/>
        <v>600000</v>
      </c>
      <c r="AB486" s="4">
        <f t="shared" si="266"/>
        <v>285000</v>
      </c>
      <c r="AC486" s="4" t="s">
        <v>30</v>
      </c>
      <c r="AD486" s="16">
        <f>IFERROR(VLOOKUP(AC486,'Kode Diskon'!$C$2:$D$9,2,0),0)</f>
        <v>0.1</v>
      </c>
      <c r="AE486" s="31">
        <f t="shared" si="267"/>
        <v>60000</v>
      </c>
      <c r="AF486" s="31">
        <f t="shared" si="268"/>
        <v>540000</v>
      </c>
      <c r="AG486" s="31">
        <f t="shared" si="269"/>
        <v>315000</v>
      </c>
      <c r="AH486" s="31">
        <f t="shared" si="270"/>
        <v>255000</v>
      </c>
      <c r="AI486" s="4" t="s">
        <v>8</v>
      </c>
      <c r="AJ486" s="4" t="s">
        <v>9</v>
      </c>
      <c r="AK486" s="4" t="str">
        <f>IFERROR(VLOOKUP(AJ486,'Guide '!$A$13:$B$16,2,0),"-")</f>
        <v>TK</v>
      </c>
      <c r="AL486" s="4" t="s">
        <v>924</v>
      </c>
      <c r="AM486" s="40">
        <v>45472</v>
      </c>
      <c r="AN486">
        <f t="shared" si="271"/>
        <v>29</v>
      </c>
      <c r="AO486">
        <f t="shared" si="272"/>
        <v>32</v>
      </c>
      <c r="AP486">
        <f t="shared" si="273"/>
        <v>40</v>
      </c>
      <c r="AQ486">
        <f t="shared" si="274"/>
        <v>43</v>
      </c>
      <c r="AR486" s="26">
        <f t="shared" si="275"/>
        <v>56</v>
      </c>
      <c r="AS486" s="26">
        <f t="shared" si="276"/>
        <v>63</v>
      </c>
      <c r="AT486" s="21">
        <f t="shared" si="277"/>
        <v>12</v>
      </c>
      <c r="AU486" s="21">
        <f t="shared" si="278"/>
        <v>19</v>
      </c>
      <c r="AV486">
        <f t="shared" si="279"/>
        <v>73</v>
      </c>
      <c r="AW486">
        <f t="shared" si="280"/>
        <v>76</v>
      </c>
      <c r="AX486">
        <f t="shared" si="281"/>
        <v>84</v>
      </c>
      <c r="AY486">
        <f t="shared" si="282"/>
        <v>87</v>
      </c>
      <c r="AZ486">
        <f t="shared" si="283"/>
        <v>100</v>
      </c>
      <c r="BA486">
        <f t="shared" si="284"/>
        <v>107</v>
      </c>
      <c r="BB486">
        <f t="shared" si="285"/>
        <v>117</v>
      </c>
      <c r="BC486">
        <f t="shared" si="286"/>
        <v>120</v>
      </c>
      <c r="BD486" s="29">
        <f t="shared" si="287"/>
        <v>128</v>
      </c>
      <c r="BE486" s="29">
        <f t="shared" si="288"/>
        <v>131</v>
      </c>
    </row>
    <row r="487" spans="1:57" ht="15" x14ac:dyDescent="0.2">
      <c r="A487" s="2">
        <v>389</v>
      </c>
      <c r="B487" s="2" t="str">
        <f t="shared" si="253"/>
        <v>0389</v>
      </c>
      <c r="C487" t="str">
        <f t="shared" si="254"/>
        <v>ORD-BL-0389-30/06/24</v>
      </c>
      <c r="D487" s="3" t="s">
        <v>438</v>
      </c>
      <c r="E487" t="str">
        <f t="shared" si="255"/>
        <v>SP002</v>
      </c>
      <c r="F487" t="str">
        <f>INDEX(Katalog!$B$4:$B$13,MATCH('Main Data'!E487,Katalog!$C$4:$C$13,0))</f>
        <v>Sandal Slip On</v>
      </c>
      <c r="G487" t="str">
        <f>VLOOKUP(E487,Katalog!$A$15:$B$25,2,0)</f>
        <v>Sepatu Pria</v>
      </c>
      <c r="H487" t="str">
        <f t="shared" si="256"/>
        <v>3</v>
      </c>
      <c r="I487" t="str">
        <f t="shared" si="257"/>
        <v>2</v>
      </c>
      <c r="J487" s="18">
        <f>VLOOKUP(E487,Katalog!$C$3:$F$13,2,0)</f>
        <v>120000</v>
      </c>
      <c r="K487" s="18">
        <f>VLOOKUP(E487,Katalog!$C$3:$F$13,3,0)</f>
        <v>60000</v>
      </c>
      <c r="L487" t="str">
        <f t="shared" si="258"/>
        <v>-</v>
      </c>
      <c r="M487" t="str">
        <f>IFERROR(INDEX(Katalog!$B$4:$B$13,MATCH('Main Data'!L487,Katalog!$C$4:$C$13,0)), "-")</f>
        <v>-</v>
      </c>
      <c r="N487" t="str">
        <f>IFERROR(VLOOKUP(L487,Katalog!$A$15:$B$25,2,0),"-")</f>
        <v>-</v>
      </c>
      <c r="O487">
        <f t="shared" si="259"/>
        <v>0</v>
      </c>
      <c r="P487" t="str">
        <f t="shared" si="260"/>
        <v>-</v>
      </c>
      <c r="Q487" s="18">
        <f>IFERROR(VLOOKUP(L487,Katalog!$C$3:$F$13,2,0),0)</f>
        <v>0</v>
      </c>
      <c r="R487" s="18">
        <f>IFERROR(VLOOKUP(L487,Katalog!$C$3:$F$13,3,0),0)</f>
        <v>0</v>
      </c>
      <c r="S487" t="str">
        <f t="shared" si="261"/>
        <v>-</v>
      </c>
      <c r="T487" t="str">
        <f>IFERROR(INDEX(Katalog!$B$4:$B$13,MATCH('Main Data'!S487,Katalog!$C$4:$C$13,0)),"-")</f>
        <v>-</v>
      </c>
      <c r="U487" t="str">
        <f>IFERROR(VLOOKUP(S487,Katalog!$A$15:$B$25,2,0),"-")</f>
        <v>-</v>
      </c>
      <c r="V487">
        <f t="shared" si="262"/>
        <v>0</v>
      </c>
      <c r="W487" s="28" t="str">
        <f t="shared" si="263"/>
        <v>-</v>
      </c>
      <c r="X487" s="18">
        <f>IFERROR(VLOOKUP(S487,Katalog!$C$3:$F$13,2,0),0)</f>
        <v>0</v>
      </c>
      <c r="Y487" s="30">
        <f>IFERROR(VLOOKUP(S487,Katalog!$C$3:$F$13,3,0),0)</f>
        <v>0</v>
      </c>
      <c r="Z487" s="2">
        <f t="shared" si="264"/>
        <v>3</v>
      </c>
      <c r="AA487" s="4">
        <f t="shared" si="265"/>
        <v>360000</v>
      </c>
      <c r="AB487" s="4">
        <f t="shared" si="266"/>
        <v>180000</v>
      </c>
      <c r="AC487" s="4" t="s">
        <v>10</v>
      </c>
      <c r="AD487" s="16">
        <f>IFERROR(VLOOKUP(AC487,'Kode Diskon'!$C$2:$D$9,2,0),0)</f>
        <v>0</v>
      </c>
      <c r="AE487" s="31">
        <f t="shared" si="267"/>
        <v>0</v>
      </c>
      <c r="AF487" s="31">
        <f t="shared" si="268"/>
        <v>360000</v>
      </c>
      <c r="AG487" s="31">
        <f t="shared" si="269"/>
        <v>180000</v>
      </c>
      <c r="AH487" s="31">
        <f t="shared" si="270"/>
        <v>180000</v>
      </c>
      <c r="AI487" s="4" t="s">
        <v>10</v>
      </c>
      <c r="AJ487" s="4" t="s">
        <v>11</v>
      </c>
      <c r="AK487" s="4" t="str">
        <f>IFERROR(VLOOKUP(AJ487,'Guide '!$A$13:$B$16,2,0),"-")</f>
        <v>BL</v>
      </c>
      <c r="AL487" s="4" t="s">
        <v>925</v>
      </c>
      <c r="AM487" s="40">
        <v>45473</v>
      </c>
      <c r="AN487">
        <f t="shared" si="271"/>
        <v>29</v>
      </c>
      <c r="AO487">
        <f t="shared" si="272"/>
        <v>32</v>
      </c>
      <c r="AP487">
        <f t="shared" si="273"/>
        <v>40</v>
      </c>
      <c r="AQ487">
        <f t="shared" si="274"/>
        <v>43</v>
      </c>
      <c r="AR487" s="26" t="str">
        <f t="shared" si="275"/>
        <v>-</v>
      </c>
      <c r="AS487" s="26" t="str">
        <f t="shared" si="276"/>
        <v>-</v>
      </c>
      <c r="AT487" s="21">
        <f t="shared" si="277"/>
        <v>12</v>
      </c>
      <c r="AU487" s="21">
        <f t="shared" si="278"/>
        <v>19</v>
      </c>
      <c r="AV487" t="str">
        <f t="shared" si="279"/>
        <v>-</v>
      </c>
      <c r="AW487" t="str">
        <f t="shared" si="280"/>
        <v>-</v>
      </c>
      <c r="AX487" t="str">
        <f t="shared" si="281"/>
        <v>-</v>
      </c>
      <c r="AY487" t="str">
        <f t="shared" si="282"/>
        <v>-</v>
      </c>
      <c r="AZ487" t="str">
        <f t="shared" si="283"/>
        <v>-</v>
      </c>
      <c r="BA487" t="str">
        <f t="shared" si="284"/>
        <v>-</v>
      </c>
      <c r="BB487" t="str">
        <f t="shared" si="285"/>
        <v>-</v>
      </c>
      <c r="BC487" t="str">
        <f t="shared" si="286"/>
        <v>-</v>
      </c>
      <c r="BD487" s="29" t="str">
        <f t="shared" si="287"/>
        <v>-</v>
      </c>
      <c r="BE487" s="29" t="str">
        <f t="shared" si="288"/>
        <v>-</v>
      </c>
    </row>
    <row r="488" spans="1:57" ht="15" x14ac:dyDescent="0.2">
      <c r="A488" s="2">
        <v>887</v>
      </c>
      <c r="B488" s="2" t="str">
        <f t="shared" si="253"/>
        <v>0887</v>
      </c>
      <c r="C488" t="str">
        <f t="shared" si="254"/>
        <v>ORD-TK-0887-30/06/24</v>
      </c>
      <c r="D488" s="3" t="s">
        <v>383</v>
      </c>
      <c r="E488" t="str">
        <f t="shared" si="255"/>
        <v>PW002</v>
      </c>
      <c r="F488" t="str">
        <f>INDEX(Katalog!$B$4:$B$13,MATCH('Main Data'!E488,Katalog!$C$4:$C$13,0))</f>
        <v>Blouse</v>
      </c>
      <c r="G488" t="str">
        <f>VLOOKUP(E488,Katalog!$A$15:$B$25,2,0)</f>
        <v>Pakaian Wanita</v>
      </c>
      <c r="H488" t="str">
        <f t="shared" si="256"/>
        <v>1</v>
      </c>
      <c r="I488" t="str">
        <f t="shared" si="257"/>
        <v>1</v>
      </c>
      <c r="J488" s="18">
        <f>VLOOKUP(E488,Katalog!$C$3:$F$13,2,0)</f>
        <v>125000</v>
      </c>
      <c r="K488" s="18">
        <f>VLOOKUP(E488,Katalog!$C$3:$F$13,3,0)</f>
        <v>50000</v>
      </c>
      <c r="L488" t="str">
        <f t="shared" si="258"/>
        <v>-</v>
      </c>
      <c r="M488" t="str">
        <f>IFERROR(INDEX(Katalog!$B$4:$B$13,MATCH('Main Data'!L488,Katalog!$C$4:$C$13,0)), "-")</f>
        <v>-</v>
      </c>
      <c r="N488" t="str">
        <f>IFERROR(VLOOKUP(L488,Katalog!$A$15:$B$25,2,0),"-")</f>
        <v>-</v>
      </c>
      <c r="O488">
        <f t="shared" si="259"/>
        <v>0</v>
      </c>
      <c r="P488" t="str">
        <f t="shared" si="260"/>
        <v>-</v>
      </c>
      <c r="Q488" s="18">
        <f>IFERROR(VLOOKUP(L488,Katalog!$C$3:$F$13,2,0),0)</f>
        <v>0</v>
      </c>
      <c r="R488" s="18">
        <f>IFERROR(VLOOKUP(L488,Katalog!$C$3:$F$13,3,0),0)</f>
        <v>0</v>
      </c>
      <c r="S488" t="str">
        <f t="shared" si="261"/>
        <v>-</v>
      </c>
      <c r="T488" t="str">
        <f>IFERROR(INDEX(Katalog!$B$4:$B$13,MATCH('Main Data'!S488,Katalog!$C$4:$C$13,0)),"-")</f>
        <v>-</v>
      </c>
      <c r="U488" t="str">
        <f>IFERROR(VLOOKUP(S488,Katalog!$A$15:$B$25,2,0),"-")</f>
        <v>-</v>
      </c>
      <c r="V488">
        <f t="shared" si="262"/>
        <v>0</v>
      </c>
      <c r="W488" s="28" t="str">
        <f t="shared" si="263"/>
        <v>-</v>
      </c>
      <c r="X488" s="18">
        <f>IFERROR(VLOOKUP(S488,Katalog!$C$3:$F$13,2,0),0)</f>
        <v>0</v>
      </c>
      <c r="Y488" s="30">
        <f>IFERROR(VLOOKUP(S488,Katalog!$C$3:$F$13,3,0),0)</f>
        <v>0</v>
      </c>
      <c r="Z488" s="2">
        <f t="shared" si="264"/>
        <v>1</v>
      </c>
      <c r="AA488" s="4">
        <f t="shared" si="265"/>
        <v>125000</v>
      </c>
      <c r="AB488" s="4">
        <f t="shared" si="266"/>
        <v>50000</v>
      </c>
      <c r="AC488" s="4" t="s">
        <v>30</v>
      </c>
      <c r="AD488" s="16">
        <f>IFERROR(VLOOKUP(AC488,'Kode Diskon'!$C$2:$D$9,2,0),0)</f>
        <v>0.1</v>
      </c>
      <c r="AE488" s="31">
        <f t="shared" si="267"/>
        <v>12500</v>
      </c>
      <c r="AF488" s="31">
        <f t="shared" si="268"/>
        <v>112500</v>
      </c>
      <c r="AG488" s="31">
        <f t="shared" si="269"/>
        <v>75000</v>
      </c>
      <c r="AH488" s="31">
        <f t="shared" si="270"/>
        <v>62500</v>
      </c>
      <c r="AI488" s="4" t="s">
        <v>8</v>
      </c>
      <c r="AJ488" s="4" t="s">
        <v>9</v>
      </c>
      <c r="AK488" s="4" t="str">
        <f>IFERROR(VLOOKUP(AJ488,'Guide '!$A$13:$B$16,2,0),"-")</f>
        <v>TK</v>
      </c>
      <c r="AL488" s="4" t="s">
        <v>921</v>
      </c>
      <c r="AM488" s="40">
        <v>45473</v>
      </c>
      <c r="AN488">
        <f t="shared" si="271"/>
        <v>29</v>
      </c>
      <c r="AO488">
        <f t="shared" si="272"/>
        <v>32</v>
      </c>
      <c r="AP488">
        <f t="shared" si="273"/>
        <v>40</v>
      </c>
      <c r="AQ488">
        <f t="shared" si="274"/>
        <v>43</v>
      </c>
      <c r="AR488" s="26" t="str">
        <f t="shared" si="275"/>
        <v>-</v>
      </c>
      <c r="AS488" s="26" t="str">
        <f t="shared" si="276"/>
        <v>-</v>
      </c>
      <c r="AT488" s="21">
        <f t="shared" si="277"/>
        <v>12</v>
      </c>
      <c r="AU488" s="21">
        <f t="shared" si="278"/>
        <v>19</v>
      </c>
      <c r="AV488" t="str">
        <f t="shared" si="279"/>
        <v>-</v>
      </c>
      <c r="AW488" t="str">
        <f t="shared" si="280"/>
        <v>-</v>
      </c>
      <c r="AX488" t="str">
        <f t="shared" si="281"/>
        <v>-</v>
      </c>
      <c r="AY488" t="str">
        <f t="shared" si="282"/>
        <v>-</v>
      </c>
      <c r="AZ488" t="str">
        <f t="shared" si="283"/>
        <v>-</v>
      </c>
      <c r="BA488" t="str">
        <f t="shared" si="284"/>
        <v>-</v>
      </c>
      <c r="BB488" t="str">
        <f t="shared" si="285"/>
        <v>-</v>
      </c>
      <c r="BC488" t="str">
        <f t="shared" si="286"/>
        <v>-</v>
      </c>
      <c r="BD488" s="29" t="str">
        <f t="shared" si="287"/>
        <v>-</v>
      </c>
      <c r="BE488" s="29" t="str">
        <f t="shared" si="288"/>
        <v>-</v>
      </c>
    </row>
    <row r="489" spans="1:57" ht="15" x14ac:dyDescent="0.2">
      <c r="A489" s="2">
        <v>947</v>
      </c>
      <c r="B489" s="2" t="str">
        <f t="shared" si="253"/>
        <v>0947</v>
      </c>
      <c r="C489" t="str">
        <f t="shared" si="254"/>
        <v>ORD-TK-0947-30/06/24</v>
      </c>
      <c r="D489" s="3" t="s">
        <v>878</v>
      </c>
      <c r="E489" t="str">
        <f t="shared" si="255"/>
        <v>PP003</v>
      </c>
      <c r="F489" t="str">
        <f>INDEX(Katalog!$B$4:$B$13,MATCH('Main Data'!E489,Katalog!$C$4:$C$13,0))</f>
        <v>Jaket Jeans</v>
      </c>
      <c r="G489" t="str">
        <f>VLOOKUP(E489,Katalog!$A$15:$B$25,2,0)</f>
        <v>Pakaian Pria</v>
      </c>
      <c r="H489" t="str">
        <f t="shared" si="256"/>
        <v>3</v>
      </c>
      <c r="I489" t="str">
        <f t="shared" si="257"/>
        <v>5</v>
      </c>
      <c r="J489" s="18">
        <f>VLOOKUP(E489,Katalog!$C$3:$F$13,2,0)</f>
        <v>150000</v>
      </c>
      <c r="K489" s="18">
        <f>VLOOKUP(E489,Katalog!$C$3:$F$13,3,0)</f>
        <v>70000</v>
      </c>
      <c r="L489" t="str">
        <f t="shared" si="258"/>
        <v>PP002</v>
      </c>
      <c r="M489" t="str">
        <f>IFERROR(INDEX(Katalog!$B$4:$B$13,MATCH('Main Data'!L489,Katalog!$C$4:$C$13,0)), "-")</f>
        <v>Celana Pendek</v>
      </c>
      <c r="N489" t="str">
        <f>IFERROR(VLOOKUP(L489,Katalog!$A$15:$B$25,2,0),"-")</f>
        <v>Pakaian Pria</v>
      </c>
      <c r="O489" t="str">
        <f t="shared" si="259"/>
        <v>3</v>
      </c>
      <c r="P489" t="str">
        <f t="shared" si="260"/>
        <v>3</v>
      </c>
      <c r="Q489" s="18">
        <f>IFERROR(VLOOKUP(L489,Katalog!$C$3:$F$13,2,0),0)</f>
        <v>60000</v>
      </c>
      <c r="R489" s="18">
        <f>IFERROR(VLOOKUP(L489,Katalog!$C$3:$F$13,3,0),0)</f>
        <v>25000</v>
      </c>
      <c r="S489" t="str">
        <f t="shared" si="261"/>
        <v>-</v>
      </c>
      <c r="T489" t="str">
        <f>IFERROR(INDEX(Katalog!$B$4:$B$13,MATCH('Main Data'!S489,Katalog!$C$4:$C$13,0)),"-")</f>
        <v>-</v>
      </c>
      <c r="U489" t="str">
        <f>IFERROR(VLOOKUP(S489,Katalog!$A$15:$B$25,2,0),"-")</f>
        <v>-</v>
      </c>
      <c r="V489">
        <f t="shared" si="262"/>
        <v>0</v>
      </c>
      <c r="W489" s="28" t="str">
        <f t="shared" si="263"/>
        <v>-</v>
      </c>
      <c r="X489" s="18">
        <f>IFERROR(VLOOKUP(S489,Katalog!$C$3:$F$13,2,0),0)</f>
        <v>0</v>
      </c>
      <c r="Y489" s="30">
        <f>IFERROR(VLOOKUP(S489,Katalog!$C$3:$F$13,3,0),0)</f>
        <v>0</v>
      </c>
      <c r="Z489" s="2">
        <f t="shared" si="264"/>
        <v>6</v>
      </c>
      <c r="AA489" s="4">
        <f t="shared" si="265"/>
        <v>630000</v>
      </c>
      <c r="AB489" s="4">
        <f t="shared" si="266"/>
        <v>285000</v>
      </c>
      <c r="AC489" s="4" t="s">
        <v>30</v>
      </c>
      <c r="AD489" s="16">
        <f>IFERROR(VLOOKUP(AC489,'Kode Diskon'!$C$2:$D$9,2,0),0)</f>
        <v>0.1</v>
      </c>
      <c r="AE489" s="31">
        <f t="shared" si="267"/>
        <v>63000</v>
      </c>
      <c r="AF489" s="31">
        <f t="shared" si="268"/>
        <v>567000</v>
      </c>
      <c r="AG489" s="31">
        <f t="shared" si="269"/>
        <v>345000</v>
      </c>
      <c r="AH489" s="31">
        <f t="shared" si="270"/>
        <v>282000</v>
      </c>
      <c r="AI489" s="4" t="s">
        <v>8</v>
      </c>
      <c r="AJ489" s="4" t="s">
        <v>9</v>
      </c>
      <c r="AK489" s="4" t="str">
        <f>IFERROR(VLOOKUP(AJ489,'Guide '!$A$13:$B$16,2,0),"-")</f>
        <v>TK</v>
      </c>
      <c r="AL489" s="4" t="s">
        <v>1006</v>
      </c>
      <c r="AM489" s="40">
        <v>45473</v>
      </c>
      <c r="AN489">
        <f t="shared" si="271"/>
        <v>29</v>
      </c>
      <c r="AO489">
        <f t="shared" si="272"/>
        <v>32</v>
      </c>
      <c r="AP489">
        <f t="shared" si="273"/>
        <v>40</v>
      </c>
      <c r="AQ489">
        <f t="shared" si="274"/>
        <v>43</v>
      </c>
      <c r="AR489" s="26">
        <f t="shared" si="275"/>
        <v>56</v>
      </c>
      <c r="AS489" s="26">
        <f t="shared" si="276"/>
        <v>63</v>
      </c>
      <c r="AT489" s="21">
        <f t="shared" si="277"/>
        <v>12</v>
      </c>
      <c r="AU489" s="21">
        <f t="shared" si="278"/>
        <v>19</v>
      </c>
      <c r="AV489">
        <f t="shared" si="279"/>
        <v>73</v>
      </c>
      <c r="AW489">
        <f t="shared" si="280"/>
        <v>76</v>
      </c>
      <c r="AX489">
        <f t="shared" si="281"/>
        <v>84</v>
      </c>
      <c r="AY489">
        <f t="shared" si="282"/>
        <v>87</v>
      </c>
      <c r="AZ489" t="str">
        <f t="shared" si="283"/>
        <v>-</v>
      </c>
      <c r="BA489" t="str">
        <f t="shared" si="284"/>
        <v>-</v>
      </c>
      <c r="BB489" t="str">
        <f t="shared" si="285"/>
        <v>-</v>
      </c>
      <c r="BC489" t="str">
        <f t="shared" si="286"/>
        <v>-</v>
      </c>
      <c r="BD489" s="29" t="str">
        <f t="shared" si="287"/>
        <v>-</v>
      </c>
      <c r="BE489" s="29" t="str">
        <f t="shared" si="288"/>
        <v>-</v>
      </c>
    </row>
    <row r="490" spans="1:57" ht="15" x14ac:dyDescent="0.2">
      <c r="A490" s="2">
        <v>103</v>
      </c>
      <c r="B490" s="2" t="str">
        <f t="shared" si="253"/>
        <v>0103</v>
      </c>
      <c r="C490" t="str">
        <f t="shared" si="254"/>
        <v>ORD-TK-0103-01/07/24</v>
      </c>
      <c r="D490" s="3" t="s">
        <v>175</v>
      </c>
      <c r="E490" t="str">
        <f t="shared" si="255"/>
        <v>PU001</v>
      </c>
      <c r="F490" t="str">
        <f>INDEX(Katalog!$B$4:$B$13,MATCH('Main Data'!E490,Katalog!$C$4:$C$13,0))</f>
        <v>Jaket Hoodie</v>
      </c>
      <c r="G490" t="str">
        <f>VLOOKUP(E490,Katalog!$A$15:$B$25,2,0)</f>
        <v>Pakaian Unisex</v>
      </c>
      <c r="H490" t="str">
        <f t="shared" si="256"/>
        <v>1</v>
      </c>
      <c r="I490" t="str">
        <f t="shared" si="257"/>
        <v>5</v>
      </c>
      <c r="J490" s="18">
        <f>VLOOKUP(E490,Katalog!$C$3:$F$13,2,0)</f>
        <v>160000</v>
      </c>
      <c r="K490" s="18">
        <f>VLOOKUP(E490,Katalog!$C$3:$F$13,3,0)</f>
        <v>60000</v>
      </c>
      <c r="L490" t="str">
        <f t="shared" si="258"/>
        <v>SW001</v>
      </c>
      <c r="M490" t="str">
        <f>IFERROR(INDEX(Katalog!$B$4:$B$13,MATCH('Main Data'!L490,Katalog!$C$4:$C$13,0)), "-")</f>
        <v>Flat Shoes</v>
      </c>
      <c r="N490" t="str">
        <f>IFERROR(VLOOKUP(L490,Katalog!$A$15:$B$25,2,0),"-")</f>
        <v>Sepatu Wanita</v>
      </c>
      <c r="O490" t="str">
        <f t="shared" si="259"/>
        <v>1</v>
      </c>
      <c r="P490" t="str">
        <f t="shared" si="260"/>
        <v>5</v>
      </c>
      <c r="Q490" s="18">
        <f>IFERROR(VLOOKUP(L490,Katalog!$C$3:$F$13,2,0),0)</f>
        <v>150000</v>
      </c>
      <c r="R490" s="18">
        <f>IFERROR(VLOOKUP(L490,Katalog!$C$3:$F$13,3,0),0)</f>
        <v>70000</v>
      </c>
      <c r="S490" t="str">
        <f t="shared" si="261"/>
        <v>-</v>
      </c>
      <c r="T490" t="str">
        <f>IFERROR(INDEX(Katalog!$B$4:$B$13,MATCH('Main Data'!S490,Katalog!$C$4:$C$13,0)),"-")</f>
        <v>-</v>
      </c>
      <c r="U490" t="str">
        <f>IFERROR(VLOOKUP(S490,Katalog!$A$15:$B$25,2,0),"-")</f>
        <v>-</v>
      </c>
      <c r="V490">
        <f t="shared" si="262"/>
        <v>0</v>
      </c>
      <c r="W490" s="28" t="str">
        <f t="shared" si="263"/>
        <v>-</v>
      </c>
      <c r="X490" s="18">
        <f>IFERROR(VLOOKUP(S490,Katalog!$C$3:$F$13,2,0),0)</f>
        <v>0</v>
      </c>
      <c r="Y490" s="30">
        <f>IFERROR(VLOOKUP(S490,Katalog!$C$3:$F$13,3,0),0)</f>
        <v>0</v>
      </c>
      <c r="Z490" s="2">
        <f t="shared" si="264"/>
        <v>2</v>
      </c>
      <c r="AA490" s="4">
        <f t="shared" si="265"/>
        <v>310000</v>
      </c>
      <c r="AB490" s="4">
        <f t="shared" si="266"/>
        <v>130000</v>
      </c>
      <c r="AC490" s="4" t="s">
        <v>30</v>
      </c>
      <c r="AD490" s="16">
        <f>IFERROR(VLOOKUP(AC490,'Kode Diskon'!$C$2:$D$9,2,0),0)</f>
        <v>0.1</v>
      </c>
      <c r="AE490" s="31">
        <f t="shared" si="267"/>
        <v>31000</v>
      </c>
      <c r="AF490" s="31">
        <f t="shared" si="268"/>
        <v>279000</v>
      </c>
      <c r="AG490" s="31">
        <f t="shared" si="269"/>
        <v>180000</v>
      </c>
      <c r="AH490" s="31">
        <f t="shared" si="270"/>
        <v>149000</v>
      </c>
      <c r="AI490" s="4" t="s">
        <v>8</v>
      </c>
      <c r="AJ490" s="4" t="s">
        <v>9</v>
      </c>
      <c r="AK490" s="4" t="str">
        <f>IFERROR(VLOOKUP(AJ490,'Guide '!$A$13:$B$16,2,0),"-")</f>
        <v>TK</v>
      </c>
      <c r="AL490" s="4" t="s">
        <v>922</v>
      </c>
      <c r="AM490" s="40">
        <v>45474</v>
      </c>
      <c r="AN490">
        <f t="shared" si="271"/>
        <v>29</v>
      </c>
      <c r="AO490">
        <f t="shared" si="272"/>
        <v>32</v>
      </c>
      <c r="AP490">
        <f t="shared" si="273"/>
        <v>40</v>
      </c>
      <c r="AQ490">
        <f t="shared" si="274"/>
        <v>43</v>
      </c>
      <c r="AR490" s="26">
        <f t="shared" si="275"/>
        <v>56</v>
      </c>
      <c r="AS490" s="26">
        <f t="shared" si="276"/>
        <v>63</v>
      </c>
      <c r="AT490" s="21">
        <f t="shared" si="277"/>
        <v>12</v>
      </c>
      <c r="AU490" s="21">
        <f t="shared" si="278"/>
        <v>19</v>
      </c>
      <c r="AV490">
        <f t="shared" si="279"/>
        <v>73</v>
      </c>
      <c r="AW490">
        <f t="shared" si="280"/>
        <v>76</v>
      </c>
      <c r="AX490">
        <f t="shared" si="281"/>
        <v>84</v>
      </c>
      <c r="AY490">
        <f t="shared" si="282"/>
        <v>87</v>
      </c>
      <c r="AZ490" t="str">
        <f t="shared" si="283"/>
        <v>-</v>
      </c>
      <c r="BA490" t="str">
        <f t="shared" si="284"/>
        <v>-</v>
      </c>
      <c r="BB490" t="str">
        <f t="shared" si="285"/>
        <v>-</v>
      </c>
      <c r="BC490" t="str">
        <f t="shared" si="286"/>
        <v>-</v>
      </c>
      <c r="BD490" s="29" t="str">
        <f t="shared" si="287"/>
        <v>-</v>
      </c>
      <c r="BE490" s="29" t="str">
        <f t="shared" si="288"/>
        <v>-</v>
      </c>
    </row>
    <row r="491" spans="1:57" ht="15" x14ac:dyDescent="0.2">
      <c r="A491" s="2">
        <v>611</v>
      </c>
      <c r="B491" s="2" t="str">
        <f t="shared" si="253"/>
        <v>0611</v>
      </c>
      <c r="C491" t="str">
        <f t="shared" si="254"/>
        <v>ORD-TK-0611-01/07/24</v>
      </c>
      <c r="D491" s="3" t="s">
        <v>623</v>
      </c>
      <c r="E491" t="str">
        <f t="shared" si="255"/>
        <v>PU001</v>
      </c>
      <c r="F491" t="str">
        <f>INDEX(Katalog!$B$4:$B$13,MATCH('Main Data'!E491,Katalog!$C$4:$C$13,0))</f>
        <v>Jaket Hoodie</v>
      </c>
      <c r="G491" t="str">
        <f>VLOOKUP(E491,Katalog!$A$15:$B$25,2,0)</f>
        <v>Pakaian Unisex</v>
      </c>
      <c r="H491" t="str">
        <f t="shared" si="256"/>
        <v>2</v>
      </c>
      <c r="I491" t="str">
        <f t="shared" si="257"/>
        <v>1</v>
      </c>
      <c r="J491" s="18">
        <f>VLOOKUP(E491,Katalog!$C$3:$F$13,2,0)</f>
        <v>160000</v>
      </c>
      <c r="K491" s="18">
        <f>VLOOKUP(E491,Katalog!$C$3:$F$13,3,0)</f>
        <v>60000</v>
      </c>
      <c r="L491" t="str">
        <f t="shared" si="258"/>
        <v>PW002</v>
      </c>
      <c r="M491" t="str">
        <f>IFERROR(INDEX(Katalog!$B$4:$B$13,MATCH('Main Data'!L491,Katalog!$C$4:$C$13,0)), "-")</f>
        <v>Blouse</v>
      </c>
      <c r="N491" t="str">
        <f>IFERROR(VLOOKUP(L491,Katalog!$A$15:$B$25,2,0),"-")</f>
        <v>Pakaian Wanita</v>
      </c>
      <c r="O491" t="str">
        <f t="shared" si="259"/>
        <v>3</v>
      </c>
      <c r="P491" t="str">
        <f t="shared" si="260"/>
        <v>4</v>
      </c>
      <c r="Q491" s="18">
        <f>IFERROR(VLOOKUP(L491,Katalog!$C$3:$F$13,2,0),0)</f>
        <v>125000</v>
      </c>
      <c r="R491" s="18">
        <f>IFERROR(VLOOKUP(L491,Katalog!$C$3:$F$13,3,0),0)</f>
        <v>50000</v>
      </c>
      <c r="S491" t="str">
        <f t="shared" si="261"/>
        <v>-</v>
      </c>
      <c r="T491" t="str">
        <f>IFERROR(INDEX(Katalog!$B$4:$B$13,MATCH('Main Data'!S491,Katalog!$C$4:$C$13,0)),"-")</f>
        <v>-</v>
      </c>
      <c r="U491" t="str">
        <f>IFERROR(VLOOKUP(S491,Katalog!$A$15:$B$25,2,0),"-")</f>
        <v>-</v>
      </c>
      <c r="V491">
        <f t="shared" si="262"/>
        <v>0</v>
      </c>
      <c r="W491" s="28" t="str">
        <f t="shared" si="263"/>
        <v>-</v>
      </c>
      <c r="X491" s="18">
        <f>IFERROR(VLOOKUP(S491,Katalog!$C$3:$F$13,2,0),0)</f>
        <v>0</v>
      </c>
      <c r="Y491" s="30">
        <f>IFERROR(VLOOKUP(S491,Katalog!$C$3:$F$13,3,0),0)</f>
        <v>0</v>
      </c>
      <c r="Z491" s="2">
        <f t="shared" si="264"/>
        <v>5</v>
      </c>
      <c r="AA491" s="4">
        <f t="shared" si="265"/>
        <v>695000</v>
      </c>
      <c r="AB491" s="4">
        <f t="shared" si="266"/>
        <v>270000</v>
      </c>
      <c r="AC491" s="4" t="s">
        <v>29</v>
      </c>
      <c r="AD491" s="16">
        <f>IFERROR(VLOOKUP(AC491,'Kode Diskon'!$C$2:$D$9,2,0),0)</f>
        <v>0.1</v>
      </c>
      <c r="AE491" s="31">
        <f t="shared" si="267"/>
        <v>69500</v>
      </c>
      <c r="AF491" s="31">
        <f t="shared" si="268"/>
        <v>625500</v>
      </c>
      <c r="AG491" s="31">
        <f t="shared" si="269"/>
        <v>425000</v>
      </c>
      <c r="AH491" s="31">
        <f t="shared" si="270"/>
        <v>355500</v>
      </c>
      <c r="AI491" s="4" t="s">
        <v>28</v>
      </c>
      <c r="AJ491" s="4" t="s">
        <v>9</v>
      </c>
      <c r="AK491" s="4" t="str">
        <f>IFERROR(VLOOKUP(AJ491,'Guide '!$A$13:$B$16,2,0),"-")</f>
        <v>TK</v>
      </c>
      <c r="AL491" s="4" t="s">
        <v>1006</v>
      </c>
      <c r="AM491" s="40">
        <v>45474</v>
      </c>
      <c r="AN491">
        <f t="shared" si="271"/>
        <v>29</v>
      </c>
      <c r="AO491">
        <f t="shared" si="272"/>
        <v>32</v>
      </c>
      <c r="AP491">
        <f t="shared" si="273"/>
        <v>40</v>
      </c>
      <c r="AQ491">
        <f t="shared" si="274"/>
        <v>43</v>
      </c>
      <c r="AR491" s="26">
        <f t="shared" si="275"/>
        <v>56</v>
      </c>
      <c r="AS491" s="26">
        <f t="shared" si="276"/>
        <v>63</v>
      </c>
      <c r="AT491" s="21">
        <f t="shared" si="277"/>
        <v>12</v>
      </c>
      <c r="AU491" s="21">
        <f t="shared" si="278"/>
        <v>19</v>
      </c>
      <c r="AV491">
        <f t="shared" si="279"/>
        <v>73</v>
      </c>
      <c r="AW491">
        <f t="shared" si="280"/>
        <v>76</v>
      </c>
      <c r="AX491">
        <f t="shared" si="281"/>
        <v>84</v>
      </c>
      <c r="AY491">
        <f t="shared" si="282"/>
        <v>87</v>
      </c>
      <c r="AZ491" t="str">
        <f t="shared" si="283"/>
        <v>-</v>
      </c>
      <c r="BA491" t="str">
        <f t="shared" si="284"/>
        <v>-</v>
      </c>
      <c r="BB491" t="str">
        <f t="shared" si="285"/>
        <v>-</v>
      </c>
      <c r="BC491" t="str">
        <f t="shared" si="286"/>
        <v>-</v>
      </c>
      <c r="BD491" s="29" t="str">
        <f t="shared" si="287"/>
        <v>-</v>
      </c>
      <c r="BE491" s="29" t="str">
        <f t="shared" si="288"/>
        <v>-</v>
      </c>
    </row>
    <row r="492" spans="1:57" ht="15" x14ac:dyDescent="0.2">
      <c r="A492" s="2">
        <v>647</v>
      </c>
      <c r="B492" s="2" t="str">
        <f t="shared" si="253"/>
        <v>0647</v>
      </c>
      <c r="C492" t="str">
        <f t="shared" si="254"/>
        <v>ORD-BL-0647-01/07/24</v>
      </c>
      <c r="D492" s="3" t="s">
        <v>650</v>
      </c>
      <c r="E492" t="str">
        <f t="shared" si="255"/>
        <v>PW002</v>
      </c>
      <c r="F492" t="str">
        <f>INDEX(Katalog!$B$4:$B$13,MATCH('Main Data'!E492,Katalog!$C$4:$C$13,0))</f>
        <v>Blouse</v>
      </c>
      <c r="G492" t="str">
        <f>VLOOKUP(E492,Katalog!$A$15:$B$25,2,0)</f>
        <v>Pakaian Wanita</v>
      </c>
      <c r="H492" t="str">
        <f t="shared" si="256"/>
        <v>1</v>
      </c>
      <c r="I492" t="str">
        <f t="shared" si="257"/>
        <v>1</v>
      </c>
      <c r="J492" s="18">
        <f>VLOOKUP(E492,Katalog!$C$3:$F$13,2,0)</f>
        <v>125000</v>
      </c>
      <c r="K492" s="18">
        <f>VLOOKUP(E492,Katalog!$C$3:$F$13,3,0)</f>
        <v>50000</v>
      </c>
      <c r="L492" t="str">
        <f t="shared" si="258"/>
        <v>SP002</v>
      </c>
      <c r="M492" t="str">
        <f>IFERROR(INDEX(Katalog!$B$4:$B$13,MATCH('Main Data'!L492,Katalog!$C$4:$C$13,0)), "-")</f>
        <v>Sandal Slip On</v>
      </c>
      <c r="N492" t="str">
        <f>IFERROR(VLOOKUP(L492,Katalog!$A$15:$B$25,2,0),"-")</f>
        <v>Sepatu Pria</v>
      </c>
      <c r="O492" t="str">
        <f t="shared" si="259"/>
        <v>1</v>
      </c>
      <c r="P492" t="str">
        <f t="shared" si="260"/>
        <v>1</v>
      </c>
      <c r="Q492" s="18">
        <f>IFERROR(VLOOKUP(L492,Katalog!$C$3:$F$13,2,0),0)</f>
        <v>120000</v>
      </c>
      <c r="R492" s="18">
        <f>IFERROR(VLOOKUP(L492,Katalog!$C$3:$F$13,3,0),0)</f>
        <v>60000</v>
      </c>
      <c r="S492" t="str">
        <f t="shared" si="261"/>
        <v>-</v>
      </c>
      <c r="T492" t="str">
        <f>IFERROR(INDEX(Katalog!$B$4:$B$13,MATCH('Main Data'!S492,Katalog!$C$4:$C$13,0)),"-")</f>
        <v>-</v>
      </c>
      <c r="U492" t="str">
        <f>IFERROR(VLOOKUP(S492,Katalog!$A$15:$B$25,2,0),"-")</f>
        <v>-</v>
      </c>
      <c r="V492">
        <f t="shared" si="262"/>
        <v>0</v>
      </c>
      <c r="W492" s="28" t="str">
        <f t="shared" si="263"/>
        <v>-</v>
      </c>
      <c r="X492" s="18">
        <f>IFERROR(VLOOKUP(S492,Katalog!$C$3:$F$13,2,0),0)</f>
        <v>0</v>
      </c>
      <c r="Y492" s="30">
        <f>IFERROR(VLOOKUP(S492,Katalog!$C$3:$F$13,3,0),0)</f>
        <v>0</v>
      </c>
      <c r="Z492" s="2">
        <f t="shared" si="264"/>
        <v>2</v>
      </c>
      <c r="AA492" s="4">
        <f t="shared" si="265"/>
        <v>245000</v>
      </c>
      <c r="AB492" s="4">
        <f t="shared" si="266"/>
        <v>110000</v>
      </c>
      <c r="AC492" s="4" t="s">
        <v>31</v>
      </c>
      <c r="AD492" s="16">
        <f>IFERROR(VLOOKUP(AC492,'Kode Diskon'!$C$2:$D$9,2,0),0)</f>
        <v>0.15</v>
      </c>
      <c r="AE492" s="31">
        <f t="shared" si="267"/>
        <v>36750</v>
      </c>
      <c r="AF492" s="31">
        <f t="shared" si="268"/>
        <v>208250</v>
      </c>
      <c r="AG492" s="31">
        <f t="shared" si="269"/>
        <v>135000</v>
      </c>
      <c r="AH492" s="31">
        <f t="shared" si="270"/>
        <v>98250</v>
      </c>
      <c r="AI492" s="4" t="s">
        <v>8</v>
      </c>
      <c r="AJ492" s="4" t="s">
        <v>11</v>
      </c>
      <c r="AK492" s="4" t="str">
        <f>IFERROR(VLOOKUP(AJ492,'Guide '!$A$13:$B$16,2,0),"-")</f>
        <v>BL</v>
      </c>
      <c r="AL492" s="4" t="s">
        <v>921</v>
      </c>
      <c r="AM492" s="40">
        <v>45474</v>
      </c>
      <c r="AN492">
        <f t="shared" si="271"/>
        <v>29</v>
      </c>
      <c r="AO492">
        <f t="shared" si="272"/>
        <v>32</v>
      </c>
      <c r="AP492">
        <f t="shared" si="273"/>
        <v>40</v>
      </c>
      <c r="AQ492">
        <f t="shared" si="274"/>
        <v>43</v>
      </c>
      <c r="AR492" s="26">
        <f t="shared" si="275"/>
        <v>56</v>
      </c>
      <c r="AS492" s="26">
        <f t="shared" si="276"/>
        <v>63</v>
      </c>
      <c r="AT492" s="21">
        <f t="shared" si="277"/>
        <v>12</v>
      </c>
      <c r="AU492" s="21">
        <f t="shared" si="278"/>
        <v>19</v>
      </c>
      <c r="AV492">
        <f t="shared" si="279"/>
        <v>73</v>
      </c>
      <c r="AW492">
        <f t="shared" si="280"/>
        <v>76</v>
      </c>
      <c r="AX492">
        <f t="shared" si="281"/>
        <v>84</v>
      </c>
      <c r="AY492">
        <f t="shared" si="282"/>
        <v>87</v>
      </c>
      <c r="AZ492" t="str">
        <f t="shared" si="283"/>
        <v>-</v>
      </c>
      <c r="BA492" t="str">
        <f t="shared" si="284"/>
        <v>-</v>
      </c>
      <c r="BB492" t="str">
        <f t="shared" si="285"/>
        <v>-</v>
      </c>
      <c r="BC492" t="str">
        <f t="shared" si="286"/>
        <v>-</v>
      </c>
      <c r="BD492" s="29" t="str">
        <f t="shared" si="287"/>
        <v>-</v>
      </c>
      <c r="BE492" s="29" t="str">
        <f t="shared" si="288"/>
        <v>-</v>
      </c>
    </row>
    <row r="493" spans="1:57" ht="15" x14ac:dyDescent="0.2">
      <c r="A493" s="2">
        <v>661</v>
      </c>
      <c r="B493" s="2" t="str">
        <f t="shared" si="253"/>
        <v>0661</v>
      </c>
      <c r="C493" t="str">
        <f t="shared" si="254"/>
        <v>ORD-SP-0661-01/07/24</v>
      </c>
      <c r="D493" s="3" t="s">
        <v>662</v>
      </c>
      <c r="E493" t="str">
        <f t="shared" si="255"/>
        <v>SP002</v>
      </c>
      <c r="F493" t="str">
        <f>INDEX(Katalog!$B$4:$B$13,MATCH('Main Data'!E493,Katalog!$C$4:$C$13,0))</f>
        <v>Sandal Slip On</v>
      </c>
      <c r="G493" t="str">
        <f>VLOOKUP(E493,Katalog!$A$15:$B$25,2,0)</f>
        <v>Sepatu Pria</v>
      </c>
      <c r="H493" t="str">
        <f t="shared" si="256"/>
        <v>1</v>
      </c>
      <c r="I493" t="str">
        <f t="shared" si="257"/>
        <v>4</v>
      </c>
      <c r="J493" s="18">
        <f>VLOOKUP(E493,Katalog!$C$3:$F$13,2,0)</f>
        <v>120000</v>
      </c>
      <c r="K493" s="18">
        <f>VLOOKUP(E493,Katalog!$C$3:$F$13,3,0)</f>
        <v>60000</v>
      </c>
      <c r="L493" t="str">
        <f t="shared" si="258"/>
        <v>PP003</v>
      </c>
      <c r="M493" t="str">
        <f>IFERROR(INDEX(Katalog!$B$4:$B$13,MATCH('Main Data'!L493,Katalog!$C$4:$C$13,0)), "-")</f>
        <v>Jaket Jeans</v>
      </c>
      <c r="N493" t="str">
        <f>IFERROR(VLOOKUP(L493,Katalog!$A$15:$B$25,2,0),"-")</f>
        <v>Pakaian Pria</v>
      </c>
      <c r="O493" t="str">
        <f t="shared" si="259"/>
        <v>2</v>
      </c>
      <c r="P493" t="str">
        <f t="shared" si="260"/>
        <v>3</v>
      </c>
      <c r="Q493" s="18">
        <f>IFERROR(VLOOKUP(L493,Katalog!$C$3:$F$13,2,0),0)</f>
        <v>150000</v>
      </c>
      <c r="R493" s="18">
        <f>IFERROR(VLOOKUP(L493,Katalog!$C$3:$F$13,3,0),0)</f>
        <v>70000</v>
      </c>
      <c r="S493" t="str">
        <f t="shared" si="261"/>
        <v>SP001</v>
      </c>
      <c r="T493" t="str">
        <f>IFERROR(INDEX(Katalog!$B$4:$B$13,MATCH('Main Data'!S493,Katalog!$C$4:$C$13,0)),"-")</f>
        <v>Sneakers</v>
      </c>
      <c r="U493" t="str">
        <f>IFERROR(VLOOKUP(S493,Katalog!$A$15:$B$25,2,0),"-")</f>
        <v>Sepatu Pria</v>
      </c>
      <c r="V493" t="str">
        <f t="shared" si="262"/>
        <v>2</v>
      </c>
      <c r="W493" s="28" t="str">
        <f t="shared" si="263"/>
        <v>3</v>
      </c>
      <c r="X493" s="18">
        <f>IFERROR(VLOOKUP(S493,Katalog!$C$3:$F$13,2,0),0)</f>
        <v>300000</v>
      </c>
      <c r="Y493" s="30">
        <f>IFERROR(VLOOKUP(S493,Katalog!$C$3:$F$13,3,0),0)</f>
        <v>100000</v>
      </c>
      <c r="Z493" s="2">
        <f t="shared" si="264"/>
        <v>5</v>
      </c>
      <c r="AA493" s="4">
        <f t="shared" si="265"/>
        <v>1020000</v>
      </c>
      <c r="AB493" s="4">
        <f t="shared" si="266"/>
        <v>400000</v>
      </c>
      <c r="AC493" s="4" t="s">
        <v>5</v>
      </c>
      <c r="AD493" s="16">
        <f>IFERROR(VLOOKUP(AC493,'Kode Diskon'!$C$2:$D$9,2,0),0)</f>
        <v>0.1</v>
      </c>
      <c r="AE493" s="31">
        <f t="shared" si="267"/>
        <v>102000</v>
      </c>
      <c r="AF493" s="31">
        <f t="shared" si="268"/>
        <v>918000</v>
      </c>
      <c r="AG493" s="31">
        <f t="shared" si="269"/>
        <v>620000</v>
      </c>
      <c r="AH493" s="31">
        <f t="shared" si="270"/>
        <v>518000</v>
      </c>
      <c r="AI493" s="4" t="s">
        <v>28</v>
      </c>
      <c r="AJ493" s="4" t="s">
        <v>6</v>
      </c>
      <c r="AK493" s="4" t="str">
        <f>IFERROR(VLOOKUP(AJ493,'Guide '!$A$13:$B$16,2,0),"-")</f>
        <v>SP</v>
      </c>
      <c r="AL493" s="4" t="s">
        <v>923</v>
      </c>
      <c r="AM493" s="40">
        <v>45474</v>
      </c>
      <c r="AN493">
        <f t="shared" si="271"/>
        <v>29</v>
      </c>
      <c r="AO493">
        <f t="shared" si="272"/>
        <v>32</v>
      </c>
      <c r="AP493">
        <f t="shared" si="273"/>
        <v>40</v>
      </c>
      <c r="AQ493">
        <f t="shared" si="274"/>
        <v>43</v>
      </c>
      <c r="AR493" s="26">
        <f t="shared" si="275"/>
        <v>56</v>
      </c>
      <c r="AS493" s="26">
        <f t="shared" si="276"/>
        <v>63</v>
      </c>
      <c r="AT493" s="21">
        <f t="shared" si="277"/>
        <v>12</v>
      </c>
      <c r="AU493" s="21">
        <f t="shared" si="278"/>
        <v>19</v>
      </c>
      <c r="AV493">
        <f t="shared" si="279"/>
        <v>73</v>
      </c>
      <c r="AW493">
        <f t="shared" si="280"/>
        <v>76</v>
      </c>
      <c r="AX493">
        <f t="shared" si="281"/>
        <v>84</v>
      </c>
      <c r="AY493">
        <f t="shared" si="282"/>
        <v>87</v>
      </c>
      <c r="AZ493">
        <f t="shared" si="283"/>
        <v>100</v>
      </c>
      <c r="BA493">
        <f t="shared" si="284"/>
        <v>107</v>
      </c>
      <c r="BB493">
        <f t="shared" si="285"/>
        <v>117</v>
      </c>
      <c r="BC493">
        <f t="shared" si="286"/>
        <v>120</v>
      </c>
      <c r="BD493" s="29">
        <f t="shared" si="287"/>
        <v>128</v>
      </c>
      <c r="BE493" s="29">
        <f t="shared" si="288"/>
        <v>131</v>
      </c>
    </row>
    <row r="494" spans="1:57" ht="15" x14ac:dyDescent="0.2">
      <c r="A494" s="2">
        <v>774</v>
      </c>
      <c r="B494" s="2" t="str">
        <f t="shared" si="253"/>
        <v>0774</v>
      </c>
      <c r="C494" t="str">
        <f t="shared" si="254"/>
        <v>ORD-SP-0774-01/07/24</v>
      </c>
      <c r="D494" s="3" t="s">
        <v>390</v>
      </c>
      <c r="E494" t="str">
        <f t="shared" si="255"/>
        <v>SW001</v>
      </c>
      <c r="F494" t="str">
        <f>INDEX(Katalog!$B$4:$B$13,MATCH('Main Data'!E494,Katalog!$C$4:$C$13,0))</f>
        <v>Flat Shoes</v>
      </c>
      <c r="G494" t="str">
        <f>VLOOKUP(E494,Katalog!$A$15:$B$25,2,0)</f>
        <v>Sepatu Wanita</v>
      </c>
      <c r="H494" t="str">
        <f t="shared" si="256"/>
        <v>1</v>
      </c>
      <c r="I494" t="str">
        <f t="shared" si="257"/>
        <v>3</v>
      </c>
      <c r="J494" s="18">
        <f>VLOOKUP(E494,Katalog!$C$3:$F$13,2,0)</f>
        <v>150000</v>
      </c>
      <c r="K494" s="18">
        <f>VLOOKUP(E494,Katalog!$C$3:$F$13,3,0)</f>
        <v>70000</v>
      </c>
      <c r="L494" t="str">
        <f t="shared" si="258"/>
        <v>-</v>
      </c>
      <c r="M494" t="str">
        <f>IFERROR(INDEX(Katalog!$B$4:$B$13,MATCH('Main Data'!L494,Katalog!$C$4:$C$13,0)), "-")</f>
        <v>-</v>
      </c>
      <c r="N494" t="str">
        <f>IFERROR(VLOOKUP(L494,Katalog!$A$15:$B$25,2,0),"-")</f>
        <v>-</v>
      </c>
      <c r="O494">
        <f t="shared" si="259"/>
        <v>0</v>
      </c>
      <c r="P494" t="str">
        <f t="shared" si="260"/>
        <v>-</v>
      </c>
      <c r="Q494" s="18">
        <f>IFERROR(VLOOKUP(L494,Katalog!$C$3:$F$13,2,0),0)</f>
        <v>0</v>
      </c>
      <c r="R494" s="18">
        <f>IFERROR(VLOOKUP(L494,Katalog!$C$3:$F$13,3,0),0)</f>
        <v>0</v>
      </c>
      <c r="S494" t="str">
        <f t="shared" si="261"/>
        <v>-</v>
      </c>
      <c r="T494" t="str">
        <f>IFERROR(INDEX(Katalog!$B$4:$B$13,MATCH('Main Data'!S494,Katalog!$C$4:$C$13,0)),"-")</f>
        <v>-</v>
      </c>
      <c r="U494" t="str">
        <f>IFERROR(VLOOKUP(S494,Katalog!$A$15:$B$25,2,0),"-")</f>
        <v>-</v>
      </c>
      <c r="V494">
        <f t="shared" si="262"/>
        <v>0</v>
      </c>
      <c r="W494" s="28" t="str">
        <f t="shared" si="263"/>
        <v>-</v>
      </c>
      <c r="X494" s="18">
        <f>IFERROR(VLOOKUP(S494,Katalog!$C$3:$F$13,2,0),0)</f>
        <v>0</v>
      </c>
      <c r="Y494" s="30">
        <f>IFERROR(VLOOKUP(S494,Katalog!$C$3:$F$13,3,0),0)</f>
        <v>0</v>
      </c>
      <c r="Z494" s="2">
        <f t="shared" si="264"/>
        <v>1</v>
      </c>
      <c r="AA494" s="4">
        <f t="shared" si="265"/>
        <v>150000</v>
      </c>
      <c r="AB494" s="4">
        <f t="shared" si="266"/>
        <v>70000</v>
      </c>
      <c r="AC494" s="4" t="s">
        <v>7</v>
      </c>
      <c r="AD494" s="16">
        <f>IFERROR(VLOOKUP(AC494,'Kode Diskon'!$C$2:$D$9,2,0),0)</f>
        <v>0.2</v>
      </c>
      <c r="AE494" s="31">
        <f t="shared" si="267"/>
        <v>30000</v>
      </c>
      <c r="AF494" s="31">
        <f t="shared" si="268"/>
        <v>120000</v>
      </c>
      <c r="AG494" s="31">
        <f t="shared" si="269"/>
        <v>80000</v>
      </c>
      <c r="AH494" s="31">
        <f t="shared" si="270"/>
        <v>50000</v>
      </c>
      <c r="AI494" s="4" t="s">
        <v>8</v>
      </c>
      <c r="AJ494" s="4" t="s">
        <v>6</v>
      </c>
      <c r="AK494" s="4" t="str">
        <f>IFERROR(VLOOKUP(AJ494,'Guide '!$A$13:$B$16,2,0),"-")</f>
        <v>SP</v>
      </c>
      <c r="AL494" s="4" t="s">
        <v>921</v>
      </c>
      <c r="AM494" s="40">
        <v>45474</v>
      </c>
      <c r="AN494">
        <f t="shared" si="271"/>
        <v>29</v>
      </c>
      <c r="AO494">
        <f t="shared" si="272"/>
        <v>32</v>
      </c>
      <c r="AP494">
        <f t="shared" si="273"/>
        <v>40</v>
      </c>
      <c r="AQ494">
        <f t="shared" si="274"/>
        <v>43</v>
      </c>
      <c r="AR494" s="26" t="str">
        <f t="shared" si="275"/>
        <v>-</v>
      </c>
      <c r="AS494" s="26" t="str">
        <f t="shared" si="276"/>
        <v>-</v>
      </c>
      <c r="AT494" s="21">
        <f t="shared" si="277"/>
        <v>12</v>
      </c>
      <c r="AU494" s="21">
        <f t="shared" si="278"/>
        <v>19</v>
      </c>
      <c r="AV494" t="str">
        <f t="shared" si="279"/>
        <v>-</v>
      </c>
      <c r="AW494" t="str">
        <f t="shared" si="280"/>
        <v>-</v>
      </c>
      <c r="AX494" t="str">
        <f t="shared" si="281"/>
        <v>-</v>
      </c>
      <c r="AY494" t="str">
        <f t="shared" si="282"/>
        <v>-</v>
      </c>
      <c r="AZ494" t="str">
        <f t="shared" si="283"/>
        <v>-</v>
      </c>
      <c r="BA494" t="str">
        <f t="shared" si="284"/>
        <v>-</v>
      </c>
      <c r="BB494" t="str">
        <f t="shared" si="285"/>
        <v>-</v>
      </c>
      <c r="BC494" t="str">
        <f t="shared" si="286"/>
        <v>-</v>
      </c>
      <c r="BD494" s="29" t="str">
        <f t="shared" si="287"/>
        <v>-</v>
      </c>
      <c r="BE494" s="29" t="str">
        <f t="shared" si="288"/>
        <v>-</v>
      </c>
    </row>
    <row r="495" spans="1:57" ht="15" x14ac:dyDescent="0.2">
      <c r="A495" s="2">
        <v>874</v>
      </c>
      <c r="B495" s="2" t="str">
        <f t="shared" si="253"/>
        <v>0874</v>
      </c>
      <c r="C495" t="str">
        <f t="shared" si="254"/>
        <v>ORD-TK-0874-01/07/24</v>
      </c>
      <c r="D495" s="3" t="s">
        <v>818</v>
      </c>
      <c r="E495" t="str">
        <f t="shared" si="255"/>
        <v>SP001</v>
      </c>
      <c r="F495" t="str">
        <f>INDEX(Katalog!$B$4:$B$13,MATCH('Main Data'!E495,Katalog!$C$4:$C$13,0))</f>
        <v>Sneakers</v>
      </c>
      <c r="G495" t="str">
        <f>VLOOKUP(E495,Katalog!$A$15:$B$25,2,0)</f>
        <v>Sepatu Pria</v>
      </c>
      <c r="H495" t="str">
        <f t="shared" si="256"/>
        <v>2</v>
      </c>
      <c r="I495" t="str">
        <f t="shared" si="257"/>
        <v>4</v>
      </c>
      <c r="J495" s="18">
        <f>VLOOKUP(E495,Katalog!$C$3:$F$13,2,0)</f>
        <v>300000</v>
      </c>
      <c r="K495" s="18">
        <f>VLOOKUP(E495,Katalog!$C$3:$F$13,3,0)</f>
        <v>100000</v>
      </c>
      <c r="L495" t="str">
        <f t="shared" si="258"/>
        <v>PP003</v>
      </c>
      <c r="M495" t="str">
        <f>IFERROR(INDEX(Katalog!$B$4:$B$13,MATCH('Main Data'!L495,Katalog!$C$4:$C$13,0)), "-")</f>
        <v>Jaket Jeans</v>
      </c>
      <c r="N495" t="str">
        <f>IFERROR(VLOOKUP(L495,Katalog!$A$15:$B$25,2,0),"-")</f>
        <v>Pakaian Pria</v>
      </c>
      <c r="O495" t="str">
        <f t="shared" si="259"/>
        <v>1</v>
      </c>
      <c r="P495" t="str">
        <f t="shared" si="260"/>
        <v>3</v>
      </c>
      <c r="Q495" s="18">
        <f>IFERROR(VLOOKUP(L495,Katalog!$C$3:$F$13,2,0),0)</f>
        <v>150000</v>
      </c>
      <c r="R495" s="18">
        <f>IFERROR(VLOOKUP(L495,Katalog!$C$3:$F$13,3,0),0)</f>
        <v>70000</v>
      </c>
      <c r="S495" t="str">
        <f t="shared" si="261"/>
        <v>SW001</v>
      </c>
      <c r="T495" t="str">
        <f>IFERROR(INDEX(Katalog!$B$4:$B$13,MATCH('Main Data'!S495,Katalog!$C$4:$C$13,0)),"-")</f>
        <v>Flat Shoes</v>
      </c>
      <c r="U495" t="str">
        <f>IFERROR(VLOOKUP(S495,Katalog!$A$15:$B$25,2,0),"-")</f>
        <v>Sepatu Wanita</v>
      </c>
      <c r="V495" t="str">
        <f t="shared" si="262"/>
        <v>4</v>
      </c>
      <c r="W495" s="28" t="str">
        <f t="shared" si="263"/>
        <v>2</v>
      </c>
      <c r="X495" s="18">
        <f>IFERROR(VLOOKUP(S495,Katalog!$C$3:$F$13,2,0),0)</f>
        <v>150000</v>
      </c>
      <c r="Y495" s="30">
        <f>IFERROR(VLOOKUP(S495,Katalog!$C$3:$F$13,3,0),0)</f>
        <v>70000</v>
      </c>
      <c r="Z495" s="2">
        <f t="shared" si="264"/>
        <v>7</v>
      </c>
      <c r="AA495" s="4">
        <f t="shared" si="265"/>
        <v>1350000</v>
      </c>
      <c r="AB495" s="4">
        <f t="shared" si="266"/>
        <v>550000</v>
      </c>
      <c r="AC495" s="4" t="s">
        <v>30</v>
      </c>
      <c r="AD495" s="16">
        <f>IFERROR(VLOOKUP(AC495,'Kode Diskon'!$C$2:$D$9,2,0),0)</f>
        <v>0.1</v>
      </c>
      <c r="AE495" s="31">
        <f t="shared" si="267"/>
        <v>135000</v>
      </c>
      <c r="AF495" s="31">
        <f t="shared" si="268"/>
        <v>1215000</v>
      </c>
      <c r="AG495" s="31">
        <f t="shared" si="269"/>
        <v>800000</v>
      </c>
      <c r="AH495" s="31">
        <f t="shared" si="270"/>
        <v>665000</v>
      </c>
      <c r="AI495" s="4" t="s">
        <v>8</v>
      </c>
      <c r="AJ495" s="4" t="s">
        <v>9</v>
      </c>
      <c r="AK495" s="4" t="str">
        <f>IFERROR(VLOOKUP(AJ495,'Guide '!$A$13:$B$16,2,0),"-")</f>
        <v>TK</v>
      </c>
      <c r="AL495" s="4" t="s">
        <v>925</v>
      </c>
      <c r="AM495" s="40">
        <v>45474</v>
      </c>
      <c r="AN495">
        <f t="shared" si="271"/>
        <v>29</v>
      </c>
      <c r="AO495">
        <f t="shared" si="272"/>
        <v>32</v>
      </c>
      <c r="AP495">
        <f t="shared" si="273"/>
        <v>40</v>
      </c>
      <c r="AQ495">
        <f t="shared" si="274"/>
        <v>43</v>
      </c>
      <c r="AR495" s="26">
        <f t="shared" si="275"/>
        <v>56</v>
      </c>
      <c r="AS495" s="26">
        <f t="shared" si="276"/>
        <v>63</v>
      </c>
      <c r="AT495" s="21">
        <f t="shared" si="277"/>
        <v>12</v>
      </c>
      <c r="AU495" s="21">
        <f t="shared" si="278"/>
        <v>19</v>
      </c>
      <c r="AV495">
        <f t="shared" si="279"/>
        <v>73</v>
      </c>
      <c r="AW495">
        <f t="shared" si="280"/>
        <v>76</v>
      </c>
      <c r="AX495">
        <f t="shared" si="281"/>
        <v>84</v>
      </c>
      <c r="AY495">
        <f t="shared" si="282"/>
        <v>87</v>
      </c>
      <c r="AZ495">
        <f t="shared" si="283"/>
        <v>100</v>
      </c>
      <c r="BA495">
        <f t="shared" si="284"/>
        <v>107</v>
      </c>
      <c r="BB495">
        <f t="shared" si="285"/>
        <v>117</v>
      </c>
      <c r="BC495">
        <f t="shared" si="286"/>
        <v>120</v>
      </c>
      <c r="BD495" s="29">
        <f t="shared" si="287"/>
        <v>128</v>
      </c>
      <c r="BE495" s="29">
        <f t="shared" si="288"/>
        <v>131</v>
      </c>
    </row>
    <row r="496" spans="1:57" ht="15" x14ac:dyDescent="0.2">
      <c r="A496" s="2">
        <v>931</v>
      </c>
      <c r="B496" s="2" t="str">
        <f t="shared" si="253"/>
        <v>0931</v>
      </c>
      <c r="C496" t="str">
        <f t="shared" si="254"/>
        <v>ORD-BB-0931-01/07/24</v>
      </c>
      <c r="D496" s="3" t="s">
        <v>863</v>
      </c>
      <c r="E496" t="str">
        <f t="shared" si="255"/>
        <v>SP002</v>
      </c>
      <c r="F496" t="str">
        <f>INDEX(Katalog!$B$4:$B$13,MATCH('Main Data'!E496,Katalog!$C$4:$C$13,0))</f>
        <v>Sandal Slip On</v>
      </c>
      <c r="G496" t="str">
        <f>VLOOKUP(E496,Katalog!$A$15:$B$25,2,0)</f>
        <v>Sepatu Pria</v>
      </c>
      <c r="H496" t="str">
        <f t="shared" si="256"/>
        <v>2</v>
      </c>
      <c r="I496" t="str">
        <f t="shared" si="257"/>
        <v>2</v>
      </c>
      <c r="J496" s="18">
        <f>VLOOKUP(E496,Katalog!$C$3:$F$13,2,0)</f>
        <v>120000</v>
      </c>
      <c r="K496" s="18">
        <f>VLOOKUP(E496,Katalog!$C$3:$F$13,3,0)</f>
        <v>60000</v>
      </c>
      <c r="L496" t="str">
        <f t="shared" si="258"/>
        <v>SP001</v>
      </c>
      <c r="M496" t="str">
        <f>IFERROR(INDEX(Katalog!$B$4:$B$13,MATCH('Main Data'!L496,Katalog!$C$4:$C$13,0)), "-")</f>
        <v>Sneakers</v>
      </c>
      <c r="N496" t="str">
        <f>IFERROR(VLOOKUP(L496,Katalog!$A$15:$B$25,2,0),"-")</f>
        <v>Sepatu Pria</v>
      </c>
      <c r="O496" t="str">
        <f t="shared" si="259"/>
        <v>1</v>
      </c>
      <c r="P496" t="str">
        <f t="shared" si="260"/>
        <v>5</v>
      </c>
      <c r="Q496" s="18">
        <f>IFERROR(VLOOKUP(L496,Katalog!$C$3:$F$13,2,0),0)</f>
        <v>300000</v>
      </c>
      <c r="R496" s="18">
        <f>IFERROR(VLOOKUP(L496,Katalog!$C$3:$F$13,3,0),0)</f>
        <v>100000</v>
      </c>
      <c r="S496" t="str">
        <f t="shared" si="261"/>
        <v>SW001</v>
      </c>
      <c r="T496" t="str">
        <f>IFERROR(INDEX(Katalog!$B$4:$B$13,MATCH('Main Data'!S496,Katalog!$C$4:$C$13,0)),"-")</f>
        <v>Flat Shoes</v>
      </c>
      <c r="U496" t="str">
        <f>IFERROR(VLOOKUP(S496,Katalog!$A$15:$B$25,2,0),"-")</f>
        <v>Sepatu Wanita</v>
      </c>
      <c r="V496" t="str">
        <f t="shared" si="262"/>
        <v>2</v>
      </c>
      <c r="W496" s="28" t="str">
        <f t="shared" si="263"/>
        <v>5</v>
      </c>
      <c r="X496" s="18">
        <f>IFERROR(VLOOKUP(S496,Katalog!$C$3:$F$13,2,0),0)</f>
        <v>150000</v>
      </c>
      <c r="Y496" s="30">
        <f>IFERROR(VLOOKUP(S496,Katalog!$C$3:$F$13,3,0),0)</f>
        <v>70000</v>
      </c>
      <c r="Z496" s="2">
        <f t="shared" si="264"/>
        <v>5</v>
      </c>
      <c r="AA496" s="4">
        <f t="shared" si="265"/>
        <v>840000</v>
      </c>
      <c r="AB496" s="4">
        <f t="shared" si="266"/>
        <v>360000</v>
      </c>
      <c r="AC496" s="4" t="s">
        <v>27</v>
      </c>
      <c r="AD496" s="16">
        <f>IFERROR(VLOOKUP(AC496,'Kode Diskon'!$C$2:$D$9,2,0),0)</f>
        <v>0.15</v>
      </c>
      <c r="AE496" s="31">
        <f t="shared" si="267"/>
        <v>126000</v>
      </c>
      <c r="AF496" s="31">
        <f t="shared" si="268"/>
        <v>714000</v>
      </c>
      <c r="AG496" s="31">
        <f t="shared" si="269"/>
        <v>480000</v>
      </c>
      <c r="AH496" s="31">
        <f t="shared" si="270"/>
        <v>354000</v>
      </c>
      <c r="AI496" s="4" t="s">
        <v>28</v>
      </c>
      <c r="AJ496" s="4" t="s">
        <v>13</v>
      </c>
      <c r="AK496" s="4" t="str">
        <f>IFERROR(VLOOKUP(AJ496,'Guide '!$A$13:$B$16,2,0),"-")</f>
        <v>BB</v>
      </c>
      <c r="AL496" s="4" t="s">
        <v>923</v>
      </c>
      <c r="AM496" s="40">
        <v>45474</v>
      </c>
      <c r="AN496">
        <f t="shared" si="271"/>
        <v>29</v>
      </c>
      <c r="AO496">
        <f t="shared" si="272"/>
        <v>32</v>
      </c>
      <c r="AP496">
        <f t="shared" si="273"/>
        <v>40</v>
      </c>
      <c r="AQ496">
        <f t="shared" si="274"/>
        <v>43</v>
      </c>
      <c r="AR496" s="26">
        <f t="shared" si="275"/>
        <v>56</v>
      </c>
      <c r="AS496" s="26">
        <f t="shared" si="276"/>
        <v>63</v>
      </c>
      <c r="AT496" s="21">
        <f t="shared" si="277"/>
        <v>12</v>
      </c>
      <c r="AU496" s="21">
        <f t="shared" si="278"/>
        <v>19</v>
      </c>
      <c r="AV496">
        <f t="shared" si="279"/>
        <v>73</v>
      </c>
      <c r="AW496">
        <f t="shared" si="280"/>
        <v>76</v>
      </c>
      <c r="AX496">
        <f t="shared" si="281"/>
        <v>84</v>
      </c>
      <c r="AY496">
        <f t="shared" si="282"/>
        <v>87</v>
      </c>
      <c r="AZ496">
        <f t="shared" si="283"/>
        <v>100</v>
      </c>
      <c r="BA496">
        <f t="shared" si="284"/>
        <v>107</v>
      </c>
      <c r="BB496">
        <f t="shared" si="285"/>
        <v>117</v>
      </c>
      <c r="BC496">
        <f t="shared" si="286"/>
        <v>120</v>
      </c>
      <c r="BD496" s="29">
        <f t="shared" si="287"/>
        <v>128</v>
      </c>
      <c r="BE496" s="29">
        <f t="shared" si="288"/>
        <v>131</v>
      </c>
    </row>
    <row r="497" spans="1:57" ht="15" x14ac:dyDescent="0.2">
      <c r="A497" s="2">
        <v>549</v>
      </c>
      <c r="B497" s="2" t="str">
        <f t="shared" si="253"/>
        <v>0549</v>
      </c>
      <c r="C497" t="str">
        <f t="shared" si="254"/>
        <v>ORD-SP-0549-02/07/24</v>
      </c>
      <c r="D497" s="3" t="s">
        <v>573</v>
      </c>
      <c r="E497" t="str">
        <f t="shared" si="255"/>
        <v>PW002</v>
      </c>
      <c r="F497" t="str">
        <f>INDEX(Katalog!$B$4:$B$13,MATCH('Main Data'!E497,Katalog!$C$4:$C$13,0))</f>
        <v>Blouse</v>
      </c>
      <c r="G497" t="str">
        <f>VLOOKUP(E497,Katalog!$A$15:$B$25,2,0)</f>
        <v>Pakaian Wanita</v>
      </c>
      <c r="H497" t="str">
        <f t="shared" si="256"/>
        <v>3</v>
      </c>
      <c r="I497" t="str">
        <f t="shared" si="257"/>
        <v>1</v>
      </c>
      <c r="J497" s="18">
        <f>VLOOKUP(E497,Katalog!$C$3:$F$13,2,0)</f>
        <v>125000</v>
      </c>
      <c r="K497" s="18">
        <f>VLOOKUP(E497,Katalog!$C$3:$F$13,3,0)</f>
        <v>50000</v>
      </c>
      <c r="L497" t="str">
        <f t="shared" si="258"/>
        <v>PP003</v>
      </c>
      <c r="M497" t="str">
        <f>IFERROR(INDEX(Katalog!$B$4:$B$13,MATCH('Main Data'!L497,Katalog!$C$4:$C$13,0)), "-")</f>
        <v>Jaket Jeans</v>
      </c>
      <c r="N497" t="str">
        <f>IFERROR(VLOOKUP(L497,Katalog!$A$15:$B$25,2,0),"-")</f>
        <v>Pakaian Pria</v>
      </c>
      <c r="O497" t="str">
        <f t="shared" si="259"/>
        <v>2</v>
      </c>
      <c r="P497" t="str">
        <f t="shared" si="260"/>
        <v>5</v>
      </c>
      <c r="Q497" s="18">
        <f>IFERROR(VLOOKUP(L497,Katalog!$C$3:$F$13,2,0),0)</f>
        <v>150000</v>
      </c>
      <c r="R497" s="18">
        <f>IFERROR(VLOOKUP(L497,Katalog!$C$3:$F$13,3,0),0)</f>
        <v>70000</v>
      </c>
      <c r="S497" t="str">
        <f t="shared" si="261"/>
        <v>-</v>
      </c>
      <c r="T497" t="str">
        <f>IFERROR(INDEX(Katalog!$B$4:$B$13,MATCH('Main Data'!S497,Katalog!$C$4:$C$13,0)),"-")</f>
        <v>-</v>
      </c>
      <c r="U497" t="str">
        <f>IFERROR(VLOOKUP(S497,Katalog!$A$15:$B$25,2,0),"-")</f>
        <v>-</v>
      </c>
      <c r="V497">
        <f t="shared" si="262"/>
        <v>0</v>
      </c>
      <c r="W497" s="28" t="str">
        <f t="shared" si="263"/>
        <v>-</v>
      </c>
      <c r="X497" s="18">
        <f>IFERROR(VLOOKUP(S497,Katalog!$C$3:$F$13,2,0),0)</f>
        <v>0</v>
      </c>
      <c r="Y497" s="30">
        <f>IFERROR(VLOOKUP(S497,Katalog!$C$3:$F$13,3,0),0)</f>
        <v>0</v>
      </c>
      <c r="Z497" s="2">
        <f t="shared" si="264"/>
        <v>5</v>
      </c>
      <c r="AA497" s="4">
        <f t="shared" si="265"/>
        <v>675000</v>
      </c>
      <c r="AB497" s="4">
        <f t="shared" si="266"/>
        <v>290000</v>
      </c>
      <c r="AC497" s="4" t="s">
        <v>12</v>
      </c>
      <c r="AD497" s="16">
        <f>IFERROR(VLOOKUP(AC497,'Kode Diskon'!$C$2:$D$9,2,0),0)</f>
        <v>0.15</v>
      </c>
      <c r="AE497" s="31">
        <f t="shared" si="267"/>
        <v>101250</v>
      </c>
      <c r="AF497" s="31">
        <f t="shared" si="268"/>
        <v>573750</v>
      </c>
      <c r="AG497" s="31">
        <f t="shared" si="269"/>
        <v>385000</v>
      </c>
      <c r="AH497" s="31">
        <f t="shared" si="270"/>
        <v>283750</v>
      </c>
      <c r="AI497" s="4" t="s">
        <v>28</v>
      </c>
      <c r="AJ497" s="4" t="s">
        <v>6</v>
      </c>
      <c r="AK497" s="4" t="str">
        <f>IFERROR(VLOOKUP(AJ497,'Guide '!$A$13:$B$16,2,0),"-")</f>
        <v>SP</v>
      </c>
      <c r="AL497" s="4" t="s">
        <v>925</v>
      </c>
      <c r="AM497" s="40">
        <v>45475</v>
      </c>
      <c r="AN497">
        <f t="shared" si="271"/>
        <v>29</v>
      </c>
      <c r="AO497">
        <f t="shared" si="272"/>
        <v>32</v>
      </c>
      <c r="AP497">
        <f t="shared" si="273"/>
        <v>40</v>
      </c>
      <c r="AQ497">
        <f t="shared" si="274"/>
        <v>43</v>
      </c>
      <c r="AR497" s="26">
        <f t="shared" si="275"/>
        <v>56</v>
      </c>
      <c r="AS497" s="26">
        <f t="shared" si="276"/>
        <v>63</v>
      </c>
      <c r="AT497" s="21">
        <f t="shared" si="277"/>
        <v>12</v>
      </c>
      <c r="AU497" s="21">
        <f t="shared" si="278"/>
        <v>19</v>
      </c>
      <c r="AV497">
        <f t="shared" si="279"/>
        <v>73</v>
      </c>
      <c r="AW497">
        <f t="shared" si="280"/>
        <v>76</v>
      </c>
      <c r="AX497">
        <f t="shared" si="281"/>
        <v>84</v>
      </c>
      <c r="AY497">
        <f t="shared" si="282"/>
        <v>87</v>
      </c>
      <c r="AZ497" t="str">
        <f t="shared" si="283"/>
        <v>-</v>
      </c>
      <c r="BA497" t="str">
        <f t="shared" si="284"/>
        <v>-</v>
      </c>
      <c r="BB497" t="str">
        <f t="shared" si="285"/>
        <v>-</v>
      </c>
      <c r="BC497" t="str">
        <f t="shared" si="286"/>
        <v>-</v>
      </c>
      <c r="BD497" s="29" t="str">
        <f t="shared" si="287"/>
        <v>-</v>
      </c>
      <c r="BE497" s="29" t="str">
        <f t="shared" si="288"/>
        <v>-</v>
      </c>
    </row>
    <row r="498" spans="1:57" ht="15" x14ac:dyDescent="0.2">
      <c r="A498" s="2">
        <v>605</v>
      </c>
      <c r="B498" s="2" t="str">
        <f t="shared" si="253"/>
        <v>0605</v>
      </c>
      <c r="C498" t="str">
        <f t="shared" si="254"/>
        <v>ORD-BL-0605-02/07/24</v>
      </c>
      <c r="D498" s="3" t="s">
        <v>617</v>
      </c>
      <c r="E498" t="str">
        <f t="shared" si="255"/>
        <v>PW002</v>
      </c>
      <c r="F498" t="str">
        <f>INDEX(Katalog!$B$4:$B$13,MATCH('Main Data'!E498,Katalog!$C$4:$C$13,0))</f>
        <v>Blouse</v>
      </c>
      <c r="G498" t="str">
        <f>VLOOKUP(E498,Katalog!$A$15:$B$25,2,0)</f>
        <v>Pakaian Wanita</v>
      </c>
      <c r="H498" t="str">
        <f t="shared" si="256"/>
        <v>7</v>
      </c>
      <c r="I498" t="str">
        <f t="shared" si="257"/>
        <v>3</v>
      </c>
      <c r="J498" s="18">
        <f>VLOOKUP(E498,Katalog!$C$3:$F$13,2,0)</f>
        <v>125000</v>
      </c>
      <c r="K498" s="18">
        <f>VLOOKUP(E498,Katalog!$C$3:$F$13,3,0)</f>
        <v>50000</v>
      </c>
      <c r="L498" t="str">
        <f t="shared" si="258"/>
        <v>-</v>
      </c>
      <c r="M498" t="str">
        <f>IFERROR(INDEX(Katalog!$B$4:$B$13,MATCH('Main Data'!L498,Katalog!$C$4:$C$13,0)), "-")</f>
        <v>-</v>
      </c>
      <c r="N498" t="str">
        <f>IFERROR(VLOOKUP(L498,Katalog!$A$15:$B$25,2,0),"-")</f>
        <v>-</v>
      </c>
      <c r="O498">
        <f t="shared" si="259"/>
        <v>0</v>
      </c>
      <c r="P498" t="str">
        <f t="shared" si="260"/>
        <v>-</v>
      </c>
      <c r="Q498" s="18">
        <f>IFERROR(VLOOKUP(L498,Katalog!$C$3:$F$13,2,0),0)</f>
        <v>0</v>
      </c>
      <c r="R498" s="18">
        <f>IFERROR(VLOOKUP(L498,Katalog!$C$3:$F$13,3,0),0)</f>
        <v>0</v>
      </c>
      <c r="S498" t="str">
        <f t="shared" si="261"/>
        <v>-</v>
      </c>
      <c r="T498" t="str">
        <f>IFERROR(INDEX(Katalog!$B$4:$B$13,MATCH('Main Data'!S498,Katalog!$C$4:$C$13,0)),"-")</f>
        <v>-</v>
      </c>
      <c r="U498" t="str">
        <f>IFERROR(VLOOKUP(S498,Katalog!$A$15:$B$25,2,0),"-")</f>
        <v>-</v>
      </c>
      <c r="V498">
        <f t="shared" si="262"/>
        <v>0</v>
      </c>
      <c r="W498" s="28" t="str">
        <f t="shared" si="263"/>
        <v>-</v>
      </c>
      <c r="X498" s="18">
        <f>IFERROR(VLOOKUP(S498,Katalog!$C$3:$F$13,2,0),0)</f>
        <v>0</v>
      </c>
      <c r="Y498" s="30">
        <f>IFERROR(VLOOKUP(S498,Katalog!$C$3:$F$13,3,0),0)</f>
        <v>0</v>
      </c>
      <c r="Z498" s="2">
        <f t="shared" si="264"/>
        <v>7</v>
      </c>
      <c r="AA498" s="4">
        <f t="shared" si="265"/>
        <v>875000</v>
      </c>
      <c r="AB498" s="4">
        <f t="shared" si="266"/>
        <v>350000</v>
      </c>
      <c r="AC498" s="4" t="s">
        <v>31</v>
      </c>
      <c r="AD498" s="16">
        <f>IFERROR(VLOOKUP(AC498,'Kode Diskon'!$C$2:$D$9,2,0),0)</f>
        <v>0.15</v>
      </c>
      <c r="AE498" s="31">
        <f t="shared" si="267"/>
        <v>131250</v>
      </c>
      <c r="AF498" s="31">
        <f t="shared" si="268"/>
        <v>743750</v>
      </c>
      <c r="AG498" s="31">
        <f t="shared" si="269"/>
        <v>525000</v>
      </c>
      <c r="AH498" s="31">
        <f t="shared" si="270"/>
        <v>393750</v>
      </c>
      <c r="AI498" s="4" t="s">
        <v>8</v>
      </c>
      <c r="AJ498" s="4" t="s">
        <v>11</v>
      </c>
      <c r="AK498" s="4" t="str">
        <f>IFERROR(VLOOKUP(AJ498,'Guide '!$A$13:$B$16,2,0),"-")</f>
        <v>BL</v>
      </c>
      <c r="AL498" s="4" t="s">
        <v>924</v>
      </c>
      <c r="AM498" s="40">
        <v>45475</v>
      </c>
      <c r="AN498">
        <f t="shared" si="271"/>
        <v>29</v>
      </c>
      <c r="AO498">
        <f t="shared" si="272"/>
        <v>32</v>
      </c>
      <c r="AP498">
        <f t="shared" si="273"/>
        <v>40</v>
      </c>
      <c r="AQ498">
        <f t="shared" si="274"/>
        <v>43</v>
      </c>
      <c r="AR498" s="26" t="str">
        <f t="shared" si="275"/>
        <v>-</v>
      </c>
      <c r="AS498" s="26" t="str">
        <f t="shared" si="276"/>
        <v>-</v>
      </c>
      <c r="AT498" s="21">
        <f t="shared" si="277"/>
        <v>12</v>
      </c>
      <c r="AU498" s="21">
        <f t="shared" si="278"/>
        <v>19</v>
      </c>
      <c r="AV498" t="str">
        <f t="shared" si="279"/>
        <v>-</v>
      </c>
      <c r="AW498" t="str">
        <f t="shared" si="280"/>
        <v>-</v>
      </c>
      <c r="AX498" t="str">
        <f t="shared" si="281"/>
        <v>-</v>
      </c>
      <c r="AY498" t="str">
        <f t="shared" si="282"/>
        <v>-</v>
      </c>
      <c r="AZ498" t="str">
        <f t="shared" si="283"/>
        <v>-</v>
      </c>
      <c r="BA498" t="str">
        <f t="shared" si="284"/>
        <v>-</v>
      </c>
      <c r="BB498" t="str">
        <f t="shared" si="285"/>
        <v>-</v>
      </c>
      <c r="BC498" t="str">
        <f t="shared" si="286"/>
        <v>-</v>
      </c>
      <c r="BD498" s="29" t="str">
        <f t="shared" si="287"/>
        <v>-</v>
      </c>
      <c r="BE498" s="29" t="str">
        <f t="shared" si="288"/>
        <v>-</v>
      </c>
    </row>
    <row r="499" spans="1:57" ht="15" x14ac:dyDescent="0.2">
      <c r="A499" s="2">
        <v>652</v>
      </c>
      <c r="B499" s="2" t="str">
        <f t="shared" si="253"/>
        <v>0652</v>
      </c>
      <c r="C499" t="str">
        <f t="shared" si="254"/>
        <v>ORD-BL-0652-03/07/24</v>
      </c>
      <c r="D499" s="3" t="s">
        <v>655</v>
      </c>
      <c r="E499" t="str">
        <f t="shared" si="255"/>
        <v>PW002</v>
      </c>
      <c r="F499" t="str">
        <f>INDEX(Katalog!$B$4:$B$13,MATCH('Main Data'!E499,Katalog!$C$4:$C$13,0))</f>
        <v>Blouse</v>
      </c>
      <c r="G499" t="str">
        <f>VLOOKUP(E499,Katalog!$A$15:$B$25,2,0)</f>
        <v>Pakaian Wanita</v>
      </c>
      <c r="H499" t="str">
        <f t="shared" si="256"/>
        <v>2</v>
      </c>
      <c r="I499" t="str">
        <f t="shared" si="257"/>
        <v>1</v>
      </c>
      <c r="J499" s="18">
        <f>VLOOKUP(E499,Katalog!$C$3:$F$13,2,0)</f>
        <v>125000</v>
      </c>
      <c r="K499" s="18">
        <f>VLOOKUP(E499,Katalog!$C$3:$F$13,3,0)</f>
        <v>50000</v>
      </c>
      <c r="L499" t="str">
        <f t="shared" si="258"/>
        <v>PP003</v>
      </c>
      <c r="M499" t="str">
        <f>IFERROR(INDEX(Katalog!$B$4:$B$13,MATCH('Main Data'!L499,Katalog!$C$4:$C$13,0)), "-")</f>
        <v>Jaket Jeans</v>
      </c>
      <c r="N499" t="str">
        <f>IFERROR(VLOOKUP(L499,Katalog!$A$15:$B$25,2,0),"-")</f>
        <v>Pakaian Pria</v>
      </c>
      <c r="O499" t="str">
        <f t="shared" si="259"/>
        <v>3</v>
      </c>
      <c r="P499" t="str">
        <f t="shared" si="260"/>
        <v>3</v>
      </c>
      <c r="Q499" s="18">
        <f>IFERROR(VLOOKUP(L499,Katalog!$C$3:$F$13,2,0),0)</f>
        <v>150000</v>
      </c>
      <c r="R499" s="18">
        <f>IFERROR(VLOOKUP(L499,Katalog!$C$3:$F$13,3,0),0)</f>
        <v>70000</v>
      </c>
      <c r="S499" t="str">
        <f t="shared" si="261"/>
        <v>PW001</v>
      </c>
      <c r="T499" t="str">
        <f>IFERROR(INDEX(Katalog!$B$4:$B$13,MATCH('Main Data'!S499,Katalog!$C$4:$C$13,0)),"-")</f>
        <v>Dress</v>
      </c>
      <c r="U499" t="str">
        <f>IFERROR(VLOOKUP(S499,Katalog!$A$15:$B$25,2,0),"-")</f>
        <v>Pakaian Wanita</v>
      </c>
      <c r="V499" t="str">
        <f t="shared" si="262"/>
        <v>1</v>
      </c>
      <c r="W499" s="28" t="str">
        <f t="shared" si="263"/>
        <v>3</v>
      </c>
      <c r="X499" s="18">
        <f>IFERROR(VLOOKUP(S499,Katalog!$C$3:$F$13,2,0),0)</f>
        <v>150000</v>
      </c>
      <c r="Y499" s="30">
        <f>IFERROR(VLOOKUP(S499,Katalog!$C$3:$F$13,3,0),0)</f>
        <v>55000</v>
      </c>
      <c r="Z499" s="2">
        <f t="shared" si="264"/>
        <v>6</v>
      </c>
      <c r="AA499" s="4">
        <f t="shared" si="265"/>
        <v>850000</v>
      </c>
      <c r="AB499" s="4">
        <f t="shared" si="266"/>
        <v>365000</v>
      </c>
      <c r="AC499" s="4" t="s">
        <v>10</v>
      </c>
      <c r="AD499" s="16">
        <f>IFERROR(VLOOKUP(AC499,'Kode Diskon'!$C$2:$D$9,2,0),0)</f>
        <v>0</v>
      </c>
      <c r="AE499" s="31">
        <f t="shared" si="267"/>
        <v>0</v>
      </c>
      <c r="AF499" s="31">
        <f t="shared" si="268"/>
        <v>850000</v>
      </c>
      <c r="AG499" s="31">
        <f t="shared" si="269"/>
        <v>485000</v>
      </c>
      <c r="AH499" s="31">
        <f t="shared" si="270"/>
        <v>485000</v>
      </c>
      <c r="AI499" s="4" t="s">
        <v>10</v>
      </c>
      <c r="AJ499" s="4" t="s">
        <v>11</v>
      </c>
      <c r="AK499" s="4" t="str">
        <f>IFERROR(VLOOKUP(AJ499,'Guide '!$A$13:$B$16,2,0),"-")</f>
        <v>BL</v>
      </c>
      <c r="AL499" s="4" t="s">
        <v>923</v>
      </c>
      <c r="AM499" s="40">
        <v>45476</v>
      </c>
      <c r="AN499">
        <f t="shared" si="271"/>
        <v>29</v>
      </c>
      <c r="AO499">
        <f t="shared" si="272"/>
        <v>32</v>
      </c>
      <c r="AP499">
        <f t="shared" si="273"/>
        <v>40</v>
      </c>
      <c r="AQ499">
        <f t="shared" si="274"/>
        <v>43</v>
      </c>
      <c r="AR499" s="26">
        <f t="shared" si="275"/>
        <v>56</v>
      </c>
      <c r="AS499" s="26">
        <f t="shared" si="276"/>
        <v>63</v>
      </c>
      <c r="AT499" s="21">
        <f t="shared" si="277"/>
        <v>12</v>
      </c>
      <c r="AU499" s="21">
        <f t="shared" si="278"/>
        <v>19</v>
      </c>
      <c r="AV499">
        <f t="shared" si="279"/>
        <v>73</v>
      </c>
      <c r="AW499">
        <f t="shared" si="280"/>
        <v>76</v>
      </c>
      <c r="AX499">
        <f t="shared" si="281"/>
        <v>84</v>
      </c>
      <c r="AY499">
        <f t="shared" si="282"/>
        <v>87</v>
      </c>
      <c r="AZ499">
        <f t="shared" si="283"/>
        <v>100</v>
      </c>
      <c r="BA499">
        <f t="shared" si="284"/>
        <v>107</v>
      </c>
      <c r="BB499">
        <f t="shared" si="285"/>
        <v>117</v>
      </c>
      <c r="BC499">
        <f t="shared" si="286"/>
        <v>120</v>
      </c>
      <c r="BD499" s="29">
        <f t="shared" si="287"/>
        <v>128</v>
      </c>
      <c r="BE499" s="29">
        <f t="shared" si="288"/>
        <v>131</v>
      </c>
    </row>
    <row r="500" spans="1:57" ht="15" x14ac:dyDescent="0.2">
      <c r="A500" s="2">
        <v>954</v>
      </c>
      <c r="B500" s="2" t="str">
        <f t="shared" si="253"/>
        <v>0954</v>
      </c>
      <c r="C500" t="str">
        <f t="shared" si="254"/>
        <v>ORD-TK-0954-03/07/24</v>
      </c>
      <c r="D500" s="3" t="s">
        <v>884</v>
      </c>
      <c r="E500" t="str">
        <f t="shared" si="255"/>
        <v>PP003</v>
      </c>
      <c r="F500" t="str">
        <f>INDEX(Katalog!$B$4:$B$13,MATCH('Main Data'!E500,Katalog!$C$4:$C$13,0))</f>
        <v>Jaket Jeans</v>
      </c>
      <c r="G500" t="str">
        <f>VLOOKUP(E500,Katalog!$A$15:$B$25,2,0)</f>
        <v>Pakaian Pria</v>
      </c>
      <c r="H500" t="str">
        <f t="shared" si="256"/>
        <v>2</v>
      </c>
      <c r="I500" t="str">
        <f t="shared" si="257"/>
        <v>3</v>
      </c>
      <c r="J500" s="18">
        <f>VLOOKUP(E500,Katalog!$C$3:$F$13,2,0)</f>
        <v>150000</v>
      </c>
      <c r="K500" s="18">
        <f>VLOOKUP(E500,Katalog!$C$3:$F$13,3,0)</f>
        <v>70000</v>
      </c>
      <c r="L500" t="str">
        <f t="shared" si="258"/>
        <v>PU001</v>
      </c>
      <c r="M500" t="str">
        <f>IFERROR(INDEX(Katalog!$B$4:$B$13,MATCH('Main Data'!L500,Katalog!$C$4:$C$13,0)), "-")</f>
        <v>Jaket Hoodie</v>
      </c>
      <c r="N500" t="str">
        <f>IFERROR(VLOOKUP(L500,Katalog!$A$15:$B$25,2,0),"-")</f>
        <v>Pakaian Unisex</v>
      </c>
      <c r="O500" t="str">
        <f t="shared" si="259"/>
        <v>1</v>
      </c>
      <c r="P500" t="str">
        <f t="shared" si="260"/>
        <v>1</v>
      </c>
      <c r="Q500" s="18">
        <f>IFERROR(VLOOKUP(L500,Katalog!$C$3:$F$13,2,0),0)</f>
        <v>160000</v>
      </c>
      <c r="R500" s="18">
        <f>IFERROR(VLOOKUP(L500,Katalog!$C$3:$F$13,3,0),0)</f>
        <v>60000</v>
      </c>
      <c r="S500" t="str">
        <f t="shared" si="261"/>
        <v>-</v>
      </c>
      <c r="T500" t="str">
        <f>IFERROR(INDEX(Katalog!$B$4:$B$13,MATCH('Main Data'!S500,Katalog!$C$4:$C$13,0)),"-")</f>
        <v>-</v>
      </c>
      <c r="U500" t="str">
        <f>IFERROR(VLOOKUP(S500,Katalog!$A$15:$B$25,2,0),"-")</f>
        <v>-</v>
      </c>
      <c r="V500">
        <f t="shared" si="262"/>
        <v>0</v>
      </c>
      <c r="W500" s="28" t="str">
        <f t="shared" si="263"/>
        <v>-</v>
      </c>
      <c r="X500" s="18">
        <f>IFERROR(VLOOKUP(S500,Katalog!$C$3:$F$13,2,0),0)</f>
        <v>0</v>
      </c>
      <c r="Y500" s="30">
        <f>IFERROR(VLOOKUP(S500,Katalog!$C$3:$F$13,3,0),0)</f>
        <v>0</v>
      </c>
      <c r="Z500" s="2">
        <f t="shared" si="264"/>
        <v>3</v>
      </c>
      <c r="AA500" s="4">
        <f t="shared" si="265"/>
        <v>460000</v>
      </c>
      <c r="AB500" s="4">
        <f t="shared" si="266"/>
        <v>200000</v>
      </c>
      <c r="AC500" s="4" t="s">
        <v>30</v>
      </c>
      <c r="AD500" s="16">
        <f>IFERROR(VLOOKUP(AC500,'Kode Diskon'!$C$2:$D$9,2,0),0)</f>
        <v>0.1</v>
      </c>
      <c r="AE500" s="31">
        <f t="shared" si="267"/>
        <v>46000</v>
      </c>
      <c r="AF500" s="31">
        <f t="shared" si="268"/>
        <v>414000</v>
      </c>
      <c r="AG500" s="31">
        <f t="shared" si="269"/>
        <v>260000</v>
      </c>
      <c r="AH500" s="31">
        <f t="shared" si="270"/>
        <v>214000</v>
      </c>
      <c r="AI500" s="4" t="s">
        <v>8</v>
      </c>
      <c r="AJ500" s="4" t="s">
        <v>9</v>
      </c>
      <c r="AK500" s="4" t="str">
        <f>IFERROR(VLOOKUP(AJ500,'Guide '!$A$13:$B$16,2,0),"-")</f>
        <v>TK</v>
      </c>
      <c r="AL500" s="4" t="s">
        <v>1006</v>
      </c>
      <c r="AM500" s="40">
        <v>45476</v>
      </c>
      <c r="AN500">
        <f t="shared" si="271"/>
        <v>29</v>
      </c>
      <c r="AO500">
        <f t="shared" si="272"/>
        <v>32</v>
      </c>
      <c r="AP500">
        <f t="shared" si="273"/>
        <v>40</v>
      </c>
      <c r="AQ500">
        <f t="shared" si="274"/>
        <v>43</v>
      </c>
      <c r="AR500" s="26">
        <f t="shared" si="275"/>
        <v>56</v>
      </c>
      <c r="AS500" s="26">
        <f t="shared" si="276"/>
        <v>63</v>
      </c>
      <c r="AT500" s="21">
        <f t="shared" si="277"/>
        <v>12</v>
      </c>
      <c r="AU500" s="21">
        <f t="shared" si="278"/>
        <v>19</v>
      </c>
      <c r="AV500">
        <f t="shared" si="279"/>
        <v>73</v>
      </c>
      <c r="AW500">
        <f t="shared" si="280"/>
        <v>76</v>
      </c>
      <c r="AX500">
        <f t="shared" si="281"/>
        <v>84</v>
      </c>
      <c r="AY500">
        <f t="shared" si="282"/>
        <v>87</v>
      </c>
      <c r="AZ500" t="str">
        <f t="shared" si="283"/>
        <v>-</v>
      </c>
      <c r="BA500" t="str">
        <f t="shared" si="284"/>
        <v>-</v>
      </c>
      <c r="BB500" t="str">
        <f t="shared" si="285"/>
        <v>-</v>
      </c>
      <c r="BC500" t="str">
        <f t="shared" si="286"/>
        <v>-</v>
      </c>
      <c r="BD500" s="29" t="str">
        <f t="shared" si="287"/>
        <v>-</v>
      </c>
      <c r="BE500" s="29" t="str">
        <f t="shared" si="288"/>
        <v>-</v>
      </c>
    </row>
    <row r="501" spans="1:57" ht="15" x14ac:dyDescent="0.2">
      <c r="A501" s="2">
        <v>30</v>
      </c>
      <c r="B501" s="2" t="str">
        <f t="shared" si="253"/>
        <v>0030</v>
      </c>
      <c r="C501" t="str">
        <f t="shared" si="254"/>
        <v>ORD-BB-0030-04/07/24</v>
      </c>
      <c r="D501" s="3" t="s">
        <v>104</v>
      </c>
      <c r="E501" t="str">
        <f t="shared" si="255"/>
        <v>PP002</v>
      </c>
      <c r="F501" t="str">
        <f>INDEX(Katalog!$B$4:$B$13,MATCH('Main Data'!E501,Katalog!$C$4:$C$13,0))</f>
        <v>Celana Pendek</v>
      </c>
      <c r="G501" t="str">
        <f>VLOOKUP(E501,Katalog!$A$15:$B$25,2,0)</f>
        <v>Pakaian Pria</v>
      </c>
      <c r="H501" t="str">
        <f t="shared" si="256"/>
        <v>2</v>
      </c>
      <c r="I501" t="str">
        <f t="shared" si="257"/>
        <v>2</v>
      </c>
      <c r="J501" s="18">
        <f>VLOOKUP(E501,Katalog!$C$3:$F$13,2,0)</f>
        <v>60000</v>
      </c>
      <c r="K501" s="18">
        <f>VLOOKUP(E501,Katalog!$C$3:$F$13,3,0)</f>
        <v>25000</v>
      </c>
      <c r="L501" t="str">
        <f t="shared" si="258"/>
        <v>SW001</v>
      </c>
      <c r="M501" t="str">
        <f>IFERROR(INDEX(Katalog!$B$4:$B$13,MATCH('Main Data'!L501,Katalog!$C$4:$C$13,0)), "-")</f>
        <v>Flat Shoes</v>
      </c>
      <c r="N501" t="str">
        <f>IFERROR(VLOOKUP(L501,Katalog!$A$15:$B$25,2,0),"-")</f>
        <v>Sepatu Wanita</v>
      </c>
      <c r="O501" t="str">
        <f t="shared" si="259"/>
        <v>1</v>
      </c>
      <c r="P501" t="str">
        <f t="shared" si="260"/>
        <v>1</v>
      </c>
      <c r="Q501" s="18">
        <f>IFERROR(VLOOKUP(L501,Katalog!$C$3:$F$13,2,0),0)</f>
        <v>150000</v>
      </c>
      <c r="R501" s="18">
        <f>IFERROR(VLOOKUP(L501,Katalog!$C$3:$F$13,3,0),0)</f>
        <v>70000</v>
      </c>
      <c r="S501" t="str">
        <f t="shared" si="261"/>
        <v>PW002</v>
      </c>
      <c r="T501" t="str">
        <f>IFERROR(INDEX(Katalog!$B$4:$B$13,MATCH('Main Data'!S501,Katalog!$C$4:$C$13,0)),"-")</f>
        <v>Blouse</v>
      </c>
      <c r="U501" t="str">
        <f>IFERROR(VLOOKUP(S501,Katalog!$A$15:$B$25,2,0),"-")</f>
        <v>Pakaian Wanita</v>
      </c>
      <c r="V501" t="str">
        <f t="shared" si="262"/>
        <v>3</v>
      </c>
      <c r="W501" s="28" t="str">
        <f t="shared" si="263"/>
        <v>1</v>
      </c>
      <c r="X501" s="18">
        <f>IFERROR(VLOOKUP(S501,Katalog!$C$3:$F$13,2,0),0)</f>
        <v>125000</v>
      </c>
      <c r="Y501" s="30">
        <f>IFERROR(VLOOKUP(S501,Katalog!$C$3:$F$13,3,0),0)</f>
        <v>50000</v>
      </c>
      <c r="Z501" s="2">
        <f t="shared" si="264"/>
        <v>6</v>
      </c>
      <c r="AA501" s="4">
        <f t="shared" si="265"/>
        <v>645000</v>
      </c>
      <c r="AB501" s="4">
        <f t="shared" si="266"/>
        <v>270000</v>
      </c>
      <c r="AC501" s="4" t="s">
        <v>27</v>
      </c>
      <c r="AD501" s="16">
        <f>IFERROR(VLOOKUP(AC501,'Kode Diskon'!$C$2:$D$9,2,0),0)</f>
        <v>0.15</v>
      </c>
      <c r="AE501" s="31">
        <f t="shared" si="267"/>
        <v>96750</v>
      </c>
      <c r="AF501" s="31">
        <f t="shared" si="268"/>
        <v>548250</v>
      </c>
      <c r="AG501" s="31">
        <f t="shared" si="269"/>
        <v>375000</v>
      </c>
      <c r="AH501" s="31">
        <f t="shared" si="270"/>
        <v>278250</v>
      </c>
      <c r="AI501" s="4" t="s">
        <v>28</v>
      </c>
      <c r="AJ501" s="4" t="s">
        <v>13</v>
      </c>
      <c r="AK501" s="4" t="str">
        <f>IFERROR(VLOOKUP(AJ501,'Guide '!$A$13:$B$16,2,0),"-")</f>
        <v>BB</v>
      </c>
      <c r="AL501" s="4" t="s">
        <v>925</v>
      </c>
      <c r="AM501" s="40">
        <v>45477</v>
      </c>
      <c r="AN501">
        <f t="shared" si="271"/>
        <v>29</v>
      </c>
      <c r="AO501">
        <f t="shared" si="272"/>
        <v>32</v>
      </c>
      <c r="AP501">
        <f t="shared" si="273"/>
        <v>40</v>
      </c>
      <c r="AQ501">
        <f t="shared" si="274"/>
        <v>43</v>
      </c>
      <c r="AR501" s="26">
        <f t="shared" si="275"/>
        <v>56</v>
      </c>
      <c r="AS501" s="26">
        <f t="shared" si="276"/>
        <v>63</v>
      </c>
      <c r="AT501" s="21">
        <f t="shared" si="277"/>
        <v>12</v>
      </c>
      <c r="AU501" s="21">
        <f t="shared" si="278"/>
        <v>19</v>
      </c>
      <c r="AV501">
        <f t="shared" si="279"/>
        <v>73</v>
      </c>
      <c r="AW501">
        <f t="shared" si="280"/>
        <v>76</v>
      </c>
      <c r="AX501">
        <f t="shared" si="281"/>
        <v>84</v>
      </c>
      <c r="AY501">
        <f t="shared" si="282"/>
        <v>87</v>
      </c>
      <c r="AZ501">
        <f t="shared" si="283"/>
        <v>100</v>
      </c>
      <c r="BA501">
        <f t="shared" si="284"/>
        <v>107</v>
      </c>
      <c r="BB501">
        <f t="shared" si="285"/>
        <v>117</v>
      </c>
      <c r="BC501">
        <f t="shared" si="286"/>
        <v>120</v>
      </c>
      <c r="BD501" s="29">
        <f t="shared" si="287"/>
        <v>128</v>
      </c>
      <c r="BE501" s="29">
        <f t="shared" si="288"/>
        <v>131</v>
      </c>
    </row>
    <row r="502" spans="1:57" ht="15" x14ac:dyDescent="0.2">
      <c r="A502" s="2">
        <v>44</v>
      </c>
      <c r="B502" s="2" t="str">
        <f t="shared" si="253"/>
        <v>0044</v>
      </c>
      <c r="C502" t="str">
        <f t="shared" si="254"/>
        <v>ORD-SP-0044-04/07/24</v>
      </c>
      <c r="D502" s="3" t="s">
        <v>118</v>
      </c>
      <c r="E502" t="str">
        <f t="shared" si="255"/>
        <v>PW001</v>
      </c>
      <c r="F502" t="str">
        <f>INDEX(Katalog!$B$4:$B$13,MATCH('Main Data'!E502,Katalog!$C$4:$C$13,0))</f>
        <v>Dress</v>
      </c>
      <c r="G502" t="str">
        <f>VLOOKUP(E502,Katalog!$A$15:$B$25,2,0)</f>
        <v>Pakaian Wanita</v>
      </c>
      <c r="H502" t="str">
        <f t="shared" si="256"/>
        <v>4</v>
      </c>
      <c r="I502" t="str">
        <f t="shared" si="257"/>
        <v>3</v>
      </c>
      <c r="J502" s="18">
        <f>VLOOKUP(E502,Katalog!$C$3:$F$13,2,0)</f>
        <v>150000</v>
      </c>
      <c r="K502" s="18">
        <f>VLOOKUP(E502,Katalog!$C$3:$F$13,3,0)</f>
        <v>55000</v>
      </c>
      <c r="L502" t="str">
        <f t="shared" si="258"/>
        <v>PP003</v>
      </c>
      <c r="M502" t="str">
        <f>IFERROR(INDEX(Katalog!$B$4:$B$13,MATCH('Main Data'!L502,Katalog!$C$4:$C$13,0)), "-")</f>
        <v>Jaket Jeans</v>
      </c>
      <c r="N502" t="str">
        <f>IFERROR(VLOOKUP(L502,Katalog!$A$15:$B$25,2,0),"-")</f>
        <v>Pakaian Pria</v>
      </c>
      <c r="O502" t="str">
        <f t="shared" si="259"/>
        <v>1</v>
      </c>
      <c r="P502" t="str">
        <f t="shared" si="260"/>
        <v>5</v>
      </c>
      <c r="Q502" s="18">
        <f>IFERROR(VLOOKUP(L502,Katalog!$C$3:$F$13,2,0),0)</f>
        <v>150000</v>
      </c>
      <c r="R502" s="18">
        <f>IFERROR(VLOOKUP(L502,Katalog!$C$3:$F$13,3,0),0)</f>
        <v>70000</v>
      </c>
      <c r="S502" t="str">
        <f t="shared" si="261"/>
        <v>PW003</v>
      </c>
      <c r="T502" t="str">
        <f>IFERROR(INDEX(Katalog!$B$4:$B$13,MATCH('Main Data'!S502,Katalog!$C$4:$C$13,0)),"-")</f>
        <v>Kaftan</v>
      </c>
      <c r="U502" t="str">
        <f>IFERROR(VLOOKUP(S502,Katalog!$A$15:$B$25,2,0),"-")</f>
        <v>Pakaian Wanita</v>
      </c>
      <c r="V502" t="str">
        <f t="shared" si="262"/>
        <v>2</v>
      </c>
      <c r="W502" s="28" t="str">
        <f t="shared" si="263"/>
        <v>1</v>
      </c>
      <c r="X502" s="18">
        <f>IFERROR(VLOOKUP(S502,Katalog!$C$3:$F$13,2,0),0)</f>
        <v>200000</v>
      </c>
      <c r="Y502" s="30">
        <f>IFERROR(VLOOKUP(S502,Katalog!$C$3:$F$13,3,0),0)</f>
        <v>100000</v>
      </c>
      <c r="Z502" s="2">
        <f t="shared" si="264"/>
        <v>7</v>
      </c>
      <c r="AA502" s="4">
        <f t="shared" si="265"/>
        <v>1150000</v>
      </c>
      <c r="AB502" s="4">
        <f t="shared" si="266"/>
        <v>490000</v>
      </c>
      <c r="AC502" s="4" t="s">
        <v>12</v>
      </c>
      <c r="AD502" s="16">
        <f>IFERROR(VLOOKUP(AC502,'Kode Diskon'!$C$2:$D$9,2,0),0)</f>
        <v>0.15</v>
      </c>
      <c r="AE502" s="31">
        <f t="shared" si="267"/>
        <v>172500</v>
      </c>
      <c r="AF502" s="31">
        <f t="shared" si="268"/>
        <v>977500</v>
      </c>
      <c r="AG502" s="31">
        <f t="shared" si="269"/>
        <v>660000</v>
      </c>
      <c r="AH502" s="31">
        <f t="shared" si="270"/>
        <v>487500</v>
      </c>
      <c r="AI502" s="4" t="s">
        <v>28</v>
      </c>
      <c r="AJ502" s="4" t="s">
        <v>6</v>
      </c>
      <c r="AK502" s="4" t="str">
        <f>IFERROR(VLOOKUP(AJ502,'Guide '!$A$13:$B$16,2,0),"-")</f>
        <v>SP</v>
      </c>
      <c r="AL502" s="4" t="s">
        <v>925</v>
      </c>
      <c r="AM502" s="40">
        <v>45477</v>
      </c>
      <c r="AN502">
        <f t="shared" si="271"/>
        <v>29</v>
      </c>
      <c r="AO502">
        <f t="shared" si="272"/>
        <v>32</v>
      </c>
      <c r="AP502">
        <f t="shared" si="273"/>
        <v>40</v>
      </c>
      <c r="AQ502">
        <f t="shared" si="274"/>
        <v>43</v>
      </c>
      <c r="AR502" s="26">
        <f t="shared" si="275"/>
        <v>56</v>
      </c>
      <c r="AS502" s="26">
        <f t="shared" si="276"/>
        <v>63</v>
      </c>
      <c r="AT502" s="21">
        <f t="shared" si="277"/>
        <v>12</v>
      </c>
      <c r="AU502" s="21">
        <f t="shared" si="278"/>
        <v>19</v>
      </c>
      <c r="AV502">
        <f t="shared" si="279"/>
        <v>73</v>
      </c>
      <c r="AW502">
        <f t="shared" si="280"/>
        <v>76</v>
      </c>
      <c r="AX502">
        <f t="shared" si="281"/>
        <v>84</v>
      </c>
      <c r="AY502">
        <f t="shared" si="282"/>
        <v>87</v>
      </c>
      <c r="AZ502">
        <f t="shared" si="283"/>
        <v>100</v>
      </c>
      <c r="BA502">
        <f t="shared" si="284"/>
        <v>107</v>
      </c>
      <c r="BB502">
        <f t="shared" si="285"/>
        <v>117</v>
      </c>
      <c r="BC502">
        <f t="shared" si="286"/>
        <v>120</v>
      </c>
      <c r="BD502" s="29">
        <f t="shared" si="287"/>
        <v>128</v>
      </c>
      <c r="BE502" s="29">
        <f t="shared" si="288"/>
        <v>131</v>
      </c>
    </row>
    <row r="503" spans="1:57" ht="15" x14ac:dyDescent="0.2">
      <c r="A503" s="2">
        <v>80</v>
      </c>
      <c r="B503" s="2" t="str">
        <f t="shared" si="253"/>
        <v>0080</v>
      </c>
      <c r="C503" t="str">
        <f t="shared" si="254"/>
        <v>ORD-BB-0080-04/07/24</v>
      </c>
      <c r="D503" s="3" t="s">
        <v>153</v>
      </c>
      <c r="E503" t="str">
        <f t="shared" si="255"/>
        <v>SW001</v>
      </c>
      <c r="F503" t="str">
        <f>INDEX(Katalog!$B$4:$B$13,MATCH('Main Data'!E503,Katalog!$C$4:$C$13,0))</f>
        <v>Flat Shoes</v>
      </c>
      <c r="G503" t="str">
        <f>VLOOKUP(E503,Katalog!$A$15:$B$25,2,0)</f>
        <v>Sepatu Wanita</v>
      </c>
      <c r="H503" t="str">
        <f t="shared" si="256"/>
        <v>4</v>
      </c>
      <c r="I503" t="str">
        <f t="shared" si="257"/>
        <v>1</v>
      </c>
      <c r="J503" s="18">
        <f>VLOOKUP(E503,Katalog!$C$3:$F$13,2,0)</f>
        <v>150000</v>
      </c>
      <c r="K503" s="18">
        <f>VLOOKUP(E503,Katalog!$C$3:$F$13,3,0)</f>
        <v>70000</v>
      </c>
      <c r="L503" t="str">
        <f t="shared" si="258"/>
        <v>PP001</v>
      </c>
      <c r="M503" t="str">
        <f>IFERROR(INDEX(Katalog!$B$4:$B$13,MATCH('Main Data'!L503,Katalog!$C$4:$C$13,0)), "-")</f>
        <v>Kaos Polo</v>
      </c>
      <c r="N503" t="str">
        <f>IFERROR(VLOOKUP(L503,Katalog!$A$15:$B$25,2,0),"-")</f>
        <v>Pakaian Pria</v>
      </c>
      <c r="O503" t="str">
        <f t="shared" si="259"/>
        <v>1</v>
      </c>
      <c r="P503" t="str">
        <f t="shared" si="260"/>
        <v>2</v>
      </c>
      <c r="Q503" s="18">
        <f>IFERROR(VLOOKUP(L503,Katalog!$C$3:$F$13,2,0),0)</f>
        <v>80000</v>
      </c>
      <c r="R503" s="18">
        <f>IFERROR(VLOOKUP(L503,Katalog!$C$3:$F$13,3,0),0)</f>
        <v>30000</v>
      </c>
      <c r="S503" t="str">
        <f t="shared" si="261"/>
        <v>SP001</v>
      </c>
      <c r="T503" t="str">
        <f>IFERROR(INDEX(Katalog!$B$4:$B$13,MATCH('Main Data'!S503,Katalog!$C$4:$C$13,0)),"-")</f>
        <v>Sneakers</v>
      </c>
      <c r="U503" t="str">
        <f>IFERROR(VLOOKUP(S503,Katalog!$A$15:$B$25,2,0),"-")</f>
        <v>Sepatu Pria</v>
      </c>
      <c r="V503" t="str">
        <f t="shared" si="262"/>
        <v>2</v>
      </c>
      <c r="W503" s="28" t="str">
        <f t="shared" si="263"/>
        <v>1</v>
      </c>
      <c r="X503" s="18">
        <f>IFERROR(VLOOKUP(S503,Katalog!$C$3:$F$13,2,0),0)</f>
        <v>300000</v>
      </c>
      <c r="Y503" s="30">
        <f>IFERROR(VLOOKUP(S503,Katalog!$C$3:$F$13,3,0),0)</f>
        <v>100000</v>
      </c>
      <c r="Z503" s="2">
        <f t="shared" si="264"/>
        <v>7</v>
      </c>
      <c r="AA503" s="4">
        <f t="shared" si="265"/>
        <v>1280000</v>
      </c>
      <c r="AB503" s="4">
        <f t="shared" si="266"/>
        <v>510000</v>
      </c>
      <c r="AC503" s="4" t="s">
        <v>27</v>
      </c>
      <c r="AD503" s="16">
        <f>IFERROR(VLOOKUP(AC503,'Kode Diskon'!$C$2:$D$9,2,0),0)</f>
        <v>0.15</v>
      </c>
      <c r="AE503" s="31">
        <f t="shared" si="267"/>
        <v>192000</v>
      </c>
      <c r="AF503" s="31">
        <f t="shared" si="268"/>
        <v>1088000</v>
      </c>
      <c r="AG503" s="31">
        <f t="shared" si="269"/>
        <v>770000</v>
      </c>
      <c r="AH503" s="31">
        <f t="shared" si="270"/>
        <v>578000</v>
      </c>
      <c r="AI503" s="4" t="s">
        <v>28</v>
      </c>
      <c r="AJ503" s="4" t="s">
        <v>13</v>
      </c>
      <c r="AK503" s="4" t="str">
        <f>IFERROR(VLOOKUP(AJ503,'Guide '!$A$13:$B$16,2,0),"-")</f>
        <v>BB</v>
      </c>
      <c r="AL503" s="4" t="s">
        <v>923</v>
      </c>
      <c r="AM503" s="40">
        <v>45477</v>
      </c>
      <c r="AN503">
        <f t="shared" si="271"/>
        <v>29</v>
      </c>
      <c r="AO503">
        <f t="shared" si="272"/>
        <v>32</v>
      </c>
      <c r="AP503">
        <f t="shared" si="273"/>
        <v>40</v>
      </c>
      <c r="AQ503">
        <f t="shared" si="274"/>
        <v>43</v>
      </c>
      <c r="AR503" s="26">
        <f t="shared" si="275"/>
        <v>56</v>
      </c>
      <c r="AS503" s="26">
        <f t="shared" si="276"/>
        <v>63</v>
      </c>
      <c r="AT503" s="21">
        <f t="shared" si="277"/>
        <v>12</v>
      </c>
      <c r="AU503" s="21">
        <f t="shared" si="278"/>
        <v>19</v>
      </c>
      <c r="AV503">
        <f t="shared" si="279"/>
        <v>73</v>
      </c>
      <c r="AW503">
        <f t="shared" si="280"/>
        <v>76</v>
      </c>
      <c r="AX503">
        <f t="shared" si="281"/>
        <v>84</v>
      </c>
      <c r="AY503">
        <f t="shared" si="282"/>
        <v>87</v>
      </c>
      <c r="AZ503">
        <f t="shared" si="283"/>
        <v>100</v>
      </c>
      <c r="BA503">
        <f t="shared" si="284"/>
        <v>107</v>
      </c>
      <c r="BB503">
        <f t="shared" si="285"/>
        <v>117</v>
      </c>
      <c r="BC503">
        <f t="shared" si="286"/>
        <v>120</v>
      </c>
      <c r="BD503" s="29">
        <f t="shared" si="287"/>
        <v>128</v>
      </c>
      <c r="BE503" s="29">
        <f t="shared" si="288"/>
        <v>131</v>
      </c>
    </row>
    <row r="504" spans="1:57" ht="15" x14ac:dyDescent="0.2">
      <c r="A504" s="2">
        <v>195</v>
      </c>
      <c r="B504" s="2" t="str">
        <f t="shared" si="253"/>
        <v>0195</v>
      </c>
      <c r="C504" t="str">
        <f t="shared" si="254"/>
        <v>ORD-SP-0195-04/07/24</v>
      </c>
      <c r="D504" s="3" t="s">
        <v>264</v>
      </c>
      <c r="E504" t="str">
        <f t="shared" si="255"/>
        <v>SW001</v>
      </c>
      <c r="F504" t="str">
        <f>INDEX(Katalog!$B$4:$B$13,MATCH('Main Data'!E504,Katalog!$C$4:$C$13,0))</f>
        <v>Flat Shoes</v>
      </c>
      <c r="G504" t="str">
        <f>VLOOKUP(E504,Katalog!$A$15:$B$25,2,0)</f>
        <v>Sepatu Wanita</v>
      </c>
      <c r="H504" t="str">
        <f t="shared" si="256"/>
        <v>2</v>
      </c>
      <c r="I504" t="str">
        <f t="shared" si="257"/>
        <v>5</v>
      </c>
      <c r="J504" s="18">
        <f>VLOOKUP(E504,Katalog!$C$3:$F$13,2,0)</f>
        <v>150000</v>
      </c>
      <c r="K504" s="18">
        <f>VLOOKUP(E504,Katalog!$C$3:$F$13,3,0)</f>
        <v>70000</v>
      </c>
      <c r="L504" t="str">
        <f t="shared" si="258"/>
        <v>PW001</v>
      </c>
      <c r="M504" t="str">
        <f>IFERROR(INDEX(Katalog!$B$4:$B$13,MATCH('Main Data'!L504,Katalog!$C$4:$C$13,0)), "-")</f>
        <v>Dress</v>
      </c>
      <c r="N504" t="str">
        <f>IFERROR(VLOOKUP(L504,Katalog!$A$15:$B$25,2,0),"-")</f>
        <v>Pakaian Wanita</v>
      </c>
      <c r="O504" t="str">
        <f t="shared" si="259"/>
        <v>2</v>
      </c>
      <c r="P504" t="str">
        <f t="shared" si="260"/>
        <v>1</v>
      </c>
      <c r="Q504" s="18">
        <f>IFERROR(VLOOKUP(L504,Katalog!$C$3:$F$13,2,0),0)</f>
        <v>150000</v>
      </c>
      <c r="R504" s="18">
        <f>IFERROR(VLOOKUP(L504,Katalog!$C$3:$F$13,3,0),0)</f>
        <v>55000</v>
      </c>
      <c r="S504" t="str">
        <f t="shared" si="261"/>
        <v>PP003</v>
      </c>
      <c r="T504" t="str">
        <f>IFERROR(INDEX(Katalog!$B$4:$B$13,MATCH('Main Data'!S504,Katalog!$C$4:$C$13,0)),"-")</f>
        <v>Jaket Jeans</v>
      </c>
      <c r="U504" t="str">
        <f>IFERROR(VLOOKUP(S504,Katalog!$A$15:$B$25,2,0),"-")</f>
        <v>Pakaian Pria</v>
      </c>
      <c r="V504" t="str">
        <f t="shared" si="262"/>
        <v>2</v>
      </c>
      <c r="W504" s="28" t="str">
        <f t="shared" si="263"/>
        <v>2</v>
      </c>
      <c r="X504" s="18">
        <f>IFERROR(VLOOKUP(S504,Katalog!$C$3:$F$13,2,0),0)</f>
        <v>150000</v>
      </c>
      <c r="Y504" s="30">
        <f>IFERROR(VLOOKUP(S504,Katalog!$C$3:$F$13,3,0),0)</f>
        <v>70000</v>
      </c>
      <c r="Z504" s="2">
        <f t="shared" si="264"/>
        <v>6</v>
      </c>
      <c r="AA504" s="4">
        <f t="shared" si="265"/>
        <v>900000</v>
      </c>
      <c r="AB504" s="4">
        <f t="shared" si="266"/>
        <v>390000</v>
      </c>
      <c r="AC504" s="4" t="s">
        <v>12</v>
      </c>
      <c r="AD504" s="16">
        <f>IFERROR(VLOOKUP(AC504,'Kode Diskon'!$C$2:$D$9,2,0),0)</f>
        <v>0.15</v>
      </c>
      <c r="AE504" s="31">
        <f t="shared" si="267"/>
        <v>135000</v>
      </c>
      <c r="AF504" s="31">
        <f t="shared" si="268"/>
        <v>765000</v>
      </c>
      <c r="AG504" s="31">
        <f t="shared" si="269"/>
        <v>510000</v>
      </c>
      <c r="AH504" s="31">
        <f t="shared" si="270"/>
        <v>375000</v>
      </c>
      <c r="AI504" s="4" t="s">
        <v>28</v>
      </c>
      <c r="AJ504" s="4" t="s">
        <v>6</v>
      </c>
      <c r="AK504" s="4" t="str">
        <f>IFERROR(VLOOKUP(AJ504,'Guide '!$A$13:$B$16,2,0),"-")</f>
        <v>SP</v>
      </c>
      <c r="AL504" s="4" t="s">
        <v>1006</v>
      </c>
      <c r="AM504" s="40">
        <v>45477</v>
      </c>
      <c r="AN504">
        <f t="shared" si="271"/>
        <v>29</v>
      </c>
      <c r="AO504">
        <f t="shared" si="272"/>
        <v>32</v>
      </c>
      <c r="AP504">
        <f t="shared" si="273"/>
        <v>40</v>
      </c>
      <c r="AQ504">
        <f t="shared" si="274"/>
        <v>43</v>
      </c>
      <c r="AR504" s="26">
        <f t="shared" si="275"/>
        <v>56</v>
      </c>
      <c r="AS504" s="26">
        <f t="shared" si="276"/>
        <v>63</v>
      </c>
      <c r="AT504" s="21">
        <f t="shared" si="277"/>
        <v>12</v>
      </c>
      <c r="AU504" s="21">
        <f t="shared" si="278"/>
        <v>19</v>
      </c>
      <c r="AV504">
        <f t="shared" si="279"/>
        <v>73</v>
      </c>
      <c r="AW504">
        <f t="shared" si="280"/>
        <v>76</v>
      </c>
      <c r="AX504">
        <f t="shared" si="281"/>
        <v>84</v>
      </c>
      <c r="AY504">
        <f t="shared" si="282"/>
        <v>87</v>
      </c>
      <c r="AZ504">
        <f t="shared" si="283"/>
        <v>100</v>
      </c>
      <c r="BA504">
        <f t="shared" si="284"/>
        <v>107</v>
      </c>
      <c r="BB504">
        <f t="shared" si="285"/>
        <v>117</v>
      </c>
      <c r="BC504">
        <f t="shared" si="286"/>
        <v>120</v>
      </c>
      <c r="BD504" s="29">
        <f t="shared" si="287"/>
        <v>128</v>
      </c>
      <c r="BE504" s="29">
        <f t="shared" si="288"/>
        <v>131</v>
      </c>
    </row>
    <row r="505" spans="1:57" ht="15" x14ac:dyDescent="0.2">
      <c r="A505" s="2">
        <v>134</v>
      </c>
      <c r="B505" s="2" t="str">
        <f t="shared" si="253"/>
        <v>0134</v>
      </c>
      <c r="C505" t="str">
        <f t="shared" si="254"/>
        <v>ORD-TK-0134-05/07/24</v>
      </c>
      <c r="D505" s="3" t="s">
        <v>204</v>
      </c>
      <c r="E505" t="str">
        <f t="shared" si="255"/>
        <v>PW002</v>
      </c>
      <c r="F505" t="str">
        <f>INDEX(Katalog!$B$4:$B$13,MATCH('Main Data'!E505,Katalog!$C$4:$C$13,0))</f>
        <v>Blouse</v>
      </c>
      <c r="G505" t="str">
        <f>VLOOKUP(E505,Katalog!$A$15:$B$25,2,0)</f>
        <v>Pakaian Wanita</v>
      </c>
      <c r="H505" t="str">
        <f t="shared" si="256"/>
        <v>5</v>
      </c>
      <c r="I505" t="str">
        <f t="shared" si="257"/>
        <v>5</v>
      </c>
      <c r="J505" s="18">
        <f>VLOOKUP(E505,Katalog!$C$3:$F$13,2,0)</f>
        <v>125000</v>
      </c>
      <c r="K505" s="18">
        <f>VLOOKUP(E505,Katalog!$C$3:$F$13,3,0)</f>
        <v>50000</v>
      </c>
      <c r="L505" t="str">
        <f t="shared" si="258"/>
        <v>PP003</v>
      </c>
      <c r="M505" t="str">
        <f>IFERROR(INDEX(Katalog!$B$4:$B$13,MATCH('Main Data'!L505,Katalog!$C$4:$C$13,0)), "-")</f>
        <v>Jaket Jeans</v>
      </c>
      <c r="N505" t="str">
        <f>IFERROR(VLOOKUP(L505,Katalog!$A$15:$B$25,2,0),"-")</f>
        <v>Pakaian Pria</v>
      </c>
      <c r="O505" t="str">
        <f t="shared" si="259"/>
        <v>1</v>
      </c>
      <c r="P505" t="str">
        <f t="shared" si="260"/>
        <v>1</v>
      </c>
      <c r="Q505" s="18">
        <f>IFERROR(VLOOKUP(L505,Katalog!$C$3:$F$13,2,0),0)</f>
        <v>150000</v>
      </c>
      <c r="R505" s="18">
        <f>IFERROR(VLOOKUP(L505,Katalog!$C$3:$F$13,3,0),0)</f>
        <v>70000</v>
      </c>
      <c r="S505" t="str">
        <f t="shared" si="261"/>
        <v>PP001</v>
      </c>
      <c r="T505" t="str">
        <f>IFERROR(INDEX(Katalog!$B$4:$B$13,MATCH('Main Data'!S505,Katalog!$C$4:$C$13,0)),"-")</f>
        <v>Kaos Polo</v>
      </c>
      <c r="U505" t="str">
        <f>IFERROR(VLOOKUP(S505,Katalog!$A$15:$B$25,2,0),"-")</f>
        <v>Pakaian Pria</v>
      </c>
      <c r="V505" t="str">
        <f t="shared" si="262"/>
        <v>1</v>
      </c>
      <c r="W505" s="28" t="str">
        <f t="shared" si="263"/>
        <v>5</v>
      </c>
      <c r="X505" s="18">
        <f>IFERROR(VLOOKUP(S505,Katalog!$C$3:$F$13,2,0),0)</f>
        <v>80000</v>
      </c>
      <c r="Y505" s="30">
        <f>IFERROR(VLOOKUP(S505,Katalog!$C$3:$F$13,3,0),0)</f>
        <v>30000</v>
      </c>
      <c r="Z505" s="2">
        <f t="shared" si="264"/>
        <v>7</v>
      </c>
      <c r="AA505" s="4">
        <f t="shared" si="265"/>
        <v>855000</v>
      </c>
      <c r="AB505" s="4">
        <f t="shared" si="266"/>
        <v>350000</v>
      </c>
      <c r="AC505" s="4" t="s">
        <v>29</v>
      </c>
      <c r="AD505" s="16">
        <f>IFERROR(VLOOKUP(AC505,'Kode Diskon'!$C$2:$D$9,2,0),0)</f>
        <v>0.1</v>
      </c>
      <c r="AE505" s="31">
        <f t="shared" si="267"/>
        <v>85500</v>
      </c>
      <c r="AF505" s="31">
        <f t="shared" si="268"/>
        <v>769500</v>
      </c>
      <c r="AG505" s="31">
        <f t="shared" si="269"/>
        <v>505000</v>
      </c>
      <c r="AH505" s="31">
        <f t="shared" si="270"/>
        <v>419500</v>
      </c>
      <c r="AI505" s="4" t="s">
        <v>28</v>
      </c>
      <c r="AJ505" s="4" t="s">
        <v>9</v>
      </c>
      <c r="AK505" s="4" t="str">
        <f>IFERROR(VLOOKUP(AJ505,'Guide '!$A$13:$B$16,2,0),"-")</f>
        <v>TK</v>
      </c>
      <c r="AL505" s="4" t="s">
        <v>925</v>
      </c>
      <c r="AM505" s="40">
        <v>45478</v>
      </c>
      <c r="AN505">
        <f t="shared" si="271"/>
        <v>29</v>
      </c>
      <c r="AO505">
        <f t="shared" si="272"/>
        <v>32</v>
      </c>
      <c r="AP505">
        <f t="shared" si="273"/>
        <v>40</v>
      </c>
      <c r="AQ505">
        <f t="shared" si="274"/>
        <v>43</v>
      </c>
      <c r="AR505" s="26">
        <f t="shared" si="275"/>
        <v>56</v>
      </c>
      <c r="AS505" s="26">
        <f t="shared" si="276"/>
        <v>63</v>
      </c>
      <c r="AT505" s="21">
        <f t="shared" si="277"/>
        <v>12</v>
      </c>
      <c r="AU505" s="21">
        <f t="shared" si="278"/>
        <v>19</v>
      </c>
      <c r="AV505">
        <f t="shared" si="279"/>
        <v>73</v>
      </c>
      <c r="AW505">
        <f t="shared" si="280"/>
        <v>76</v>
      </c>
      <c r="AX505">
        <f t="shared" si="281"/>
        <v>84</v>
      </c>
      <c r="AY505">
        <f t="shared" si="282"/>
        <v>87</v>
      </c>
      <c r="AZ505">
        <f t="shared" si="283"/>
        <v>100</v>
      </c>
      <c r="BA505">
        <f t="shared" si="284"/>
        <v>107</v>
      </c>
      <c r="BB505">
        <f t="shared" si="285"/>
        <v>117</v>
      </c>
      <c r="BC505">
        <f t="shared" si="286"/>
        <v>120</v>
      </c>
      <c r="BD505" s="29">
        <f t="shared" si="287"/>
        <v>128</v>
      </c>
      <c r="BE505" s="29">
        <f t="shared" si="288"/>
        <v>131</v>
      </c>
    </row>
    <row r="506" spans="1:57" ht="15" x14ac:dyDescent="0.2">
      <c r="A506" s="2">
        <v>603</v>
      </c>
      <c r="B506" s="2" t="str">
        <f t="shared" si="253"/>
        <v>0603</v>
      </c>
      <c r="C506" t="str">
        <f t="shared" si="254"/>
        <v>ORD-BB-0603-05/07/24</v>
      </c>
      <c r="D506" s="3" t="s">
        <v>615</v>
      </c>
      <c r="E506" t="str">
        <f t="shared" si="255"/>
        <v>PP001</v>
      </c>
      <c r="F506" t="str">
        <f>INDEX(Katalog!$B$4:$B$13,MATCH('Main Data'!E506,Katalog!$C$4:$C$13,0))</f>
        <v>Kaos Polo</v>
      </c>
      <c r="G506" t="str">
        <f>VLOOKUP(E506,Katalog!$A$15:$B$25,2,0)</f>
        <v>Pakaian Pria</v>
      </c>
      <c r="H506" t="str">
        <f t="shared" si="256"/>
        <v>4</v>
      </c>
      <c r="I506" t="str">
        <f t="shared" si="257"/>
        <v>2</v>
      </c>
      <c r="J506" s="18">
        <f>VLOOKUP(E506,Katalog!$C$3:$F$13,2,0)</f>
        <v>80000</v>
      </c>
      <c r="K506" s="18">
        <f>VLOOKUP(E506,Katalog!$C$3:$F$13,3,0)</f>
        <v>30000</v>
      </c>
      <c r="L506" t="str">
        <f t="shared" si="258"/>
        <v>SP002</v>
      </c>
      <c r="M506" t="str">
        <f>IFERROR(INDEX(Katalog!$B$4:$B$13,MATCH('Main Data'!L506,Katalog!$C$4:$C$13,0)), "-")</f>
        <v>Sandal Slip On</v>
      </c>
      <c r="N506" t="str">
        <f>IFERROR(VLOOKUP(L506,Katalog!$A$15:$B$25,2,0),"-")</f>
        <v>Sepatu Pria</v>
      </c>
      <c r="O506" t="str">
        <f t="shared" si="259"/>
        <v>1</v>
      </c>
      <c r="P506" t="str">
        <f t="shared" si="260"/>
        <v>1</v>
      </c>
      <c r="Q506" s="18">
        <f>IFERROR(VLOOKUP(L506,Katalog!$C$3:$F$13,2,0),0)</f>
        <v>120000</v>
      </c>
      <c r="R506" s="18">
        <f>IFERROR(VLOOKUP(L506,Katalog!$C$3:$F$13,3,0),0)</f>
        <v>60000</v>
      </c>
      <c r="S506" t="str">
        <f t="shared" si="261"/>
        <v>SW001</v>
      </c>
      <c r="T506" t="str">
        <f>IFERROR(INDEX(Katalog!$B$4:$B$13,MATCH('Main Data'!S506,Katalog!$C$4:$C$13,0)),"-")</f>
        <v>Flat Shoes</v>
      </c>
      <c r="U506" t="str">
        <f>IFERROR(VLOOKUP(S506,Katalog!$A$15:$B$25,2,0),"-")</f>
        <v>Sepatu Wanita</v>
      </c>
      <c r="V506" t="str">
        <f t="shared" si="262"/>
        <v>2</v>
      </c>
      <c r="W506" s="28" t="str">
        <f t="shared" si="263"/>
        <v>2</v>
      </c>
      <c r="X506" s="18">
        <f>IFERROR(VLOOKUP(S506,Katalog!$C$3:$F$13,2,0),0)</f>
        <v>150000</v>
      </c>
      <c r="Y506" s="30">
        <f>IFERROR(VLOOKUP(S506,Katalog!$C$3:$F$13,3,0),0)</f>
        <v>70000</v>
      </c>
      <c r="Z506" s="2">
        <f t="shared" si="264"/>
        <v>7</v>
      </c>
      <c r="AA506" s="4">
        <f t="shared" si="265"/>
        <v>740000</v>
      </c>
      <c r="AB506" s="4">
        <f t="shared" si="266"/>
        <v>320000</v>
      </c>
      <c r="AC506" s="4" t="s">
        <v>27</v>
      </c>
      <c r="AD506" s="16">
        <f>IFERROR(VLOOKUP(AC506,'Kode Diskon'!$C$2:$D$9,2,0),0)</f>
        <v>0.15</v>
      </c>
      <c r="AE506" s="31">
        <f t="shared" si="267"/>
        <v>111000</v>
      </c>
      <c r="AF506" s="31">
        <f t="shared" si="268"/>
        <v>629000</v>
      </c>
      <c r="AG506" s="31">
        <f t="shared" si="269"/>
        <v>420000</v>
      </c>
      <c r="AH506" s="31">
        <f t="shared" si="270"/>
        <v>309000</v>
      </c>
      <c r="AI506" s="4" t="s">
        <v>28</v>
      </c>
      <c r="AJ506" s="4" t="s">
        <v>13</v>
      </c>
      <c r="AK506" s="4" t="str">
        <f>IFERROR(VLOOKUP(AJ506,'Guide '!$A$13:$B$16,2,0),"-")</f>
        <v>BB</v>
      </c>
      <c r="AL506" s="4" t="s">
        <v>1006</v>
      </c>
      <c r="AM506" s="40">
        <v>45478</v>
      </c>
      <c r="AN506">
        <f t="shared" si="271"/>
        <v>29</v>
      </c>
      <c r="AO506">
        <f t="shared" si="272"/>
        <v>32</v>
      </c>
      <c r="AP506">
        <f t="shared" si="273"/>
        <v>40</v>
      </c>
      <c r="AQ506">
        <f t="shared" si="274"/>
        <v>43</v>
      </c>
      <c r="AR506" s="26">
        <f t="shared" si="275"/>
        <v>56</v>
      </c>
      <c r="AS506" s="26">
        <f t="shared" si="276"/>
        <v>63</v>
      </c>
      <c r="AT506" s="21">
        <f t="shared" si="277"/>
        <v>12</v>
      </c>
      <c r="AU506" s="21">
        <f t="shared" si="278"/>
        <v>19</v>
      </c>
      <c r="AV506">
        <f t="shared" si="279"/>
        <v>73</v>
      </c>
      <c r="AW506">
        <f t="shared" si="280"/>
        <v>76</v>
      </c>
      <c r="AX506">
        <f t="shared" si="281"/>
        <v>84</v>
      </c>
      <c r="AY506">
        <f t="shared" si="282"/>
        <v>87</v>
      </c>
      <c r="AZ506">
        <f t="shared" si="283"/>
        <v>100</v>
      </c>
      <c r="BA506">
        <f t="shared" si="284"/>
        <v>107</v>
      </c>
      <c r="BB506">
        <f t="shared" si="285"/>
        <v>117</v>
      </c>
      <c r="BC506">
        <f t="shared" si="286"/>
        <v>120</v>
      </c>
      <c r="BD506" s="29">
        <f t="shared" si="287"/>
        <v>128</v>
      </c>
      <c r="BE506" s="29">
        <f t="shared" si="288"/>
        <v>131</v>
      </c>
    </row>
    <row r="507" spans="1:57" ht="15" x14ac:dyDescent="0.2">
      <c r="A507" s="2">
        <v>640</v>
      </c>
      <c r="B507" s="2" t="str">
        <f t="shared" si="253"/>
        <v>0640</v>
      </c>
      <c r="C507" t="str">
        <f t="shared" si="254"/>
        <v>ORD-SP-0640-05/07/24</v>
      </c>
      <c r="D507" s="3" t="s">
        <v>646</v>
      </c>
      <c r="E507" t="str">
        <f t="shared" si="255"/>
        <v>PP003</v>
      </c>
      <c r="F507" t="str">
        <f>INDEX(Katalog!$B$4:$B$13,MATCH('Main Data'!E507,Katalog!$C$4:$C$13,0))</f>
        <v>Jaket Jeans</v>
      </c>
      <c r="G507" t="str">
        <f>VLOOKUP(E507,Katalog!$A$15:$B$25,2,0)</f>
        <v>Pakaian Pria</v>
      </c>
      <c r="H507" t="str">
        <f t="shared" si="256"/>
        <v>6</v>
      </c>
      <c r="I507" t="str">
        <f t="shared" si="257"/>
        <v>3</v>
      </c>
      <c r="J507" s="18">
        <f>VLOOKUP(E507,Katalog!$C$3:$F$13,2,0)</f>
        <v>150000</v>
      </c>
      <c r="K507" s="18">
        <f>VLOOKUP(E507,Katalog!$C$3:$F$13,3,0)</f>
        <v>70000</v>
      </c>
      <c r="L507" t="str">
        <f t="shared" si="258"/>
        <v>-</v>
      </c>
      <c r="M507" t="str">
        <f>IFERROR(INDEX(Katalog!$B$4:$B$13,MATCH('Main Data'!L507,Katalog!$C$4:$C$13,0)), "-")</f>
        <v>-</v>
      </c>
      <c r="N507" t="str">
        <f>IFERROR(VLOOKUP(L507,Katalog!$A$15:$B$25,2,0),"-")</f>
        <v>-</v>
      </c>
      <c r="O507">
        <f t="shared" si="259"/>
        <v>0</v>
      </c>
      <c r="P507" t="str">
        <f t="shared" si="260"/>
        <v>-</v>
      </c>
      <c r="Q507" s="18">
        <f>IFERROR(VLOOKUP(L507,Katalog!$C$3:$F$13,2,0),0)</f>
        <v>0</v>
      </c>
      <c r="R507" s="18">
        <f>IFERROR(VLOOKUP(L507,Katalog!$C$3:$F$13,3,0),0)</f>
        <v>0</v>
      </c>
      <c r="S507" t="str">
        <f t="shared" si="261"/>
        <v>-</v>
      </c>
      <c r="T507" t="str">
        <f>IFERROR(INDEX(Katalog!$B$4:$B$13,MATCH('Main Data'!S507,Katalog!$C$4:$C$13,0)),"-")</f>
        <v>-</v>
      </c>
      <c r="U507" t="str">
        <f>IFERROR(VLOOKUP(S507,Katalog!$A$15:$B$25,2,0),"-")</f>
        <v>-</v>
      </c>
      <c r="V507">
        <f t="shared" si="262"/>
        <v>0</v>
      </c>
      <c r="W507" s="28" t="str">
        <f t="shared" si="263"/>
        <v>-</v>
      </c>
      <c r="X507" s="18">
        <f>IFERROR(VLOOKUP(S507,Katalog!$C$3:$F$13,2,0),0)</f>
        <v>0</v>
      </c>
      <c r="Y507" s="30">
        <f>IFERROR(VLOOKUP(S507,Katalog!$C$3:$F$13,3,0),0)</f>
        <v>0</v>
      </c>
      <c r="Z507" s="2">
        <f t="shared" si="264"/>
        <v>6</v>
      </c>
      <c r="AA507" s="4">
        <f t="shared" si="265"/>
        <v>900000</v>
      </c>
      <c r="AB507" s="4">
        <f t="shared" si="266"/>
        <v>420000</v>
      </c>
      <c r="AC507" s="4" t="s">
        <v>12</v>
      </c>
      <c r="AD507" s="16">
        <f>IFERROR(VLOOKUP(AC507,'Kode Diskon'!$C$2:$D$9,2,0),0)</f>
        <v>0.15</v>
      </c>
      <c r="AE507" s="31">
        <f t="shared" si="267"/>
        <v>135000</v>
      </c>
      <c r="AF507" s="31">
        <f t="shared" si="268"/>
        <v>765000</v>
      </c>
      <c r="AG507" s="31">
        <f t="shared" si="269"/>
        <v>480000</v>
      </c>
      <c r="AH507" s="31">
        <f t="shared" si="270"/>
        <v>345000</v>
      </c>
      <c r="AI507" s="4" t="s">
        <v>28</v>
      </c>
      <c r="AJ507" s="4" t="s">
        <v>6</v>
      </c>
      <c r="AK507" s="4" t="str">
        <f>IFERROR(VLOOKUP(AJ507,'Guide '!$A$13:$B$16,2,0),"-")</f>
        <v>SP</v>
      </c>
      <c r="AL507" s="4" t="s">
        <v>921</v>
      </c>
      <c r="AM507" s="40">
        <v>45478</v>
      </c>
      <c r="AN507">
        <f t="shared" si="271"/>
        <v>29</v>
      </c>
      <c r="AO507">
        <f t="shared" si="272"/>
        <v>32</v>
      </c>
      <c r="AP507">
        <f t="shared" si="273"/>
        <v>40</v>
      </c>
      <c r="AQ507">
        <f t="shared" si="274"/>
        <v>43</v>
      </c>
      <c r="AR507" s="26" t="str">
        <f t="shared" si="275"/>
        <v>-</v>
      </c>
      <c r="AS507" s="26" t="str">
        <f t="shared" si="276"/>
        <v>-</v>
      </c>
      <c r="AT507" s="21">
        <f t="shared" si="277"/>
        <v>12</v>
      </c>
      <c r="AU507" s="21">
        <f t="shared" si="278"/>
        <v>19</v>
      </c>
      <c r="AV507" t="str">
        <f t="shared" si="279"/>
        <v>-</v>
      </c>
      <c r="AW507" t="str">
        <f t="shared" si="280"/>
        <v>-</v>
      </c>
      <c r="AX507" t="str">
        <f t="shared" si="281"/>
        <v>-</v>
      </c>
      <c r="AY507" t="str">
        <f t="shared" si="282"/>
        <v>-</v>
      </c>
      <c r="AZ507" t="str">
        <f t="shared" si="283"/>
        <v>-</v>
      </c>
      <c r="BA507" t="str">
        <f t="shared" si="284"/>
        <v>-</v>
      </c>
      <c r="BB507" t="str">
        <f t="shared" si="285"/>
        <v>-</v>
      </c>
      <c r="BC507" t="str">
        <f t="shared" si="286"/>
        <v>-</v>
      </c>
      <c r="BD507" s="29" t="str">
        <f t="shared" si="287"/>
        <v>-</v>
      </c>
      <c r="BE507" s="29" t="str">
        <f t="shared" si="288"/>
        <v>-</v>
      </c>
    </row>
    <row r="508" spans="1:57" ht="15" x14ac:dyDescent="0.2">
      <c r="A508" s="2">
        <v>824</v>
      </c>
      <c r="B508" s="2" t="str">
        <f t="shared" si="253"/>
        <v>0824</v>
      </c>
      <c r="C508" t="str">
        <f t="shared" si="254"/>
        <v>ORD-TK-0824-05/07/24</v>
      </c>
      <c r="D508" s="3" t="s">
        <v>92</v>
      </c>
      <c r="E508" t="str">
        <f t="shared" si="255"/>
        <v>PW001</v>
      </c>
      <c r="F508" t="str">
        <f>INDEX(Katalog!$B$4:$B$13,MATCH('Main Data'!E508,Katalog!$C$4:$C$13,0))</f>
        <v>Dress</v>
      </c>
      <c r="G508" t="str">
        <f>VLOOKUP(E508,Katalog!$A$15:$B$25,2,0)</f>
        <v>Pakaian Wanita</v>
      </c>
      <c r="H508" t="str">
        <f t="shared" si="256"/>
        <v>1</v>
      </c>
      <c r="I508" t="str">
        <f t="shared" si="257"/>
        <v>4</v>
      </c>
      <c r="J508" s="18">
        <f>VLOOKUP(E508,Katalog!$C$3:$F$13,2,0)</f>
        <v>150000</v>
      </c>
      <c r="K508" s="18">
        <f>VLOOKUP(E508,Katalog!$C$3:$F$13,3,0)</f>
        <v>55000</v>
      </c>
      <c r="L508" t="str">
        <f t="shared" si="258"/>
        <v>-</v>
      </c>
      <c r="M508" t="str">
        <f>IFERROR(INDEX(Katalog!$B$4:$B$13,MATCH('Main Data'!L508,Katalog!$C$4:$C$13,0)), "-")</f>
        <v>-</v>
      </c>
      <c r="N508" t="str">
        <f>IFERROR(VLOOKUP(L508,Katalog!$A$15:$B$25,2,0),"-")</f>
        <v>-</v>
      </c>
      <c r="O508">
        <f t="shared" si="259"/>
        <v>0</v>
      </c>
      <c r="P508" t="str">
        <f t="shared" si="260"/>
        <v>-</v>
      </c>
      <c r="Q508" s="18">
        <f>IFERROR(VLOOKUP(L508,Katalog!$C$3:$F$13,2,0),0)</f>
        <v>0</v>
      </c>
      <c r="R508" s="18">
        <f>IFERROR(VLOOKUP(L508,Katalog!$C$3:$F$13,3,0),0)</f>
        <v>0</v>
      </c>
      <c r="S508" t="str">
        <f t="shared" si="261"/>
        <v>-</v>
      </c>
      <c r="T508" t="str">
        <f>IFERROR(INDEX(Katalog!$B$4:$B$13,MATCH('Main Data'!S508,Katalog!$C$4:$C$13,0)),"-")</f>
        <v>-</v>
      </c>
      <c r="U508" t="str">
        <f>IFERROR(VLOOKUP(S508,Katalog!$A$15:$B$25,2,0),"-")</f>
        <v>-</v>
      </c>
      <c r="V508">
        <f t="shared" si="262"/>
        <v>0</v>
      </c>
      <c r="W508" s="28" t="str">
        <f t="shared" si="263"/>
        <v>-</v>
      </c>
      <c r="X508" s="18">
        <f>IFERROR(VLOOKUP(S508,Katalog!$C$3:$F$13,2,0),0)</f>
        <v>0</v>
      </c>
      <c r="Y508" s="30">
        <f>IFERROR(VLOOKUP(S508,Katalog!$C$3:$F$13,3,0),0)</f>
        <v>0</v>
      </c>
      <c r="Z508" s="2">
        <f t="shared" si="264"/>
        <v>1</v>
      </c>
      <c r="AA508" s="4">
        <f t="shared" si="265"/>
        <v>150000</v>
      </c>
      <c r="AB508" s="4">
        <f t="shared" si="266"/>
        <v>55000</v>
      </c>
      <c r="AC508" s="4" t="s">
        <v>30</v>
      </c>
      <c r="AD508" s="16">
        <f>IFERROR(VLOOKUP(AC508,'Kode Diskon'!$C$2:$D$9,2,0),0)</f>
        <v>0.1</v>
      </c>
      <c r="AE508" s="31">
        <f t="shared" si="267"/>
        <v>15000</v>
      </c>
      <c r="AF508" s="31">
        <f t="shared" si="268"/>
        <v>135000</v>
      </c>
      <c r="AG508" s="31">
        <f t="shared" si="269"/>
        <v>95000</v>
      </c>
      <c r="AH508" s="31">
        <f t="shared" si="270"/>
        <v>80000</v>
      </c>
      <c r="AI508" s="4" t="s">
        <v>8</v>
      </c>
      <c r="AJ508" s="4" t="s">
        <v>9</v>
      </c>
      <c r="AK508" s="4" t="str">
        <f>IFERROR(VLOOKUP(AJ508,'Guide '!$A$13:$B$16,2,0),"-")</f>
        <v>TK</v>
      </c>
      <c r="AL508" s="4" t="s">
        <v>925</v>
      </c>
      <c r="AM508" s="40">
        <v>45478</v>
      </c>
      <c r="AN508">
        <f t="shared" si="271"/>
        <v>29</v>
      </c>
      <c r="AO508">
        <f t="shared" si="272"/>
        <v>32</v>
      </c>
      <c r="AP508">
        <f t="shared" si="273"/>
        <v>40</v>
      </c>
      <c r="AQ508">
        <f t="shared" si="274"/>
        <v>43</v>
      </c>
      <c r="AR508" s="26" t="str">
        <f t="shared" si="275"/>
        <v>-</v>
      </c>
      <c r="AS508" s="26" t="str">
        <f t="shared" si="276"/>
        <v>-</v>
      </c>
      <c r="AT508" s="21">
        <f t="shared" si="277"/>
        <v>12</v>
      </c>
      <c r="AU508" s="21">
        <f t="shared" si="278"/>
        <v>19</v>
      </c>
      <c r="AV508" t="str">
        <f t="shared" si="279"/>
        <v>-</v>
      </c>
      <c r="AW508" t="str">
        <f t="shared" si="280"/>
        <v>-</v>
      </c>
      <c r="AX508" t="str">
        <f t="shared" si="281"/>
        <v>-</v>
      </c>
      <c r="AY508" t="str">
        <f t="shared" si="282"/>
        <v>-</v>
      </c>
      <c r="AZ508" t="str">
        <f t="shared" si="283"/>
        <v>-</v>
      </c>
      <c r="BA508" t="str">
        <f t="shared" si="284"/>
        <v>-</v>
      </c>
      <c r="BB508" t="str">
        <f t="shared" si="285"/>
        <v>-</v>
      </c>
      <c r="BC508" t="str">
        <f t="shared" si="286"/>
        <v>-</v>
      </c>
      <c r="BD508" s="29" t="str">
        <f t="shared" si="287"/>
        <v>-</v>
      </c>
      <c r="BE508" s="29" t="str">
        <f t="shared" si="288"/>
        <v>-</v>
      </c>
    </row>
    <row r="509" spans="1:57" ht="15" x14ac:dyDescent="0.2">
      <c r="A509" s="2">
        <v>737</v>
      </c>
      <c r="B509" s="2" t="str">
        <f t="shared" si="253"/>
        <v>0737</v>
      </c>
      <c r="C509" t="str">
        <f t="shared" si="254"/>
        <v>ORD-BB-0737-07/07/24</v>
      </c>
      <c r="D509" s="3" t="s">
        <v>721</v>
      </c>
      <c r="E509" t="str">
        <f t="shared" si="255"/>
        <v>PP002</v>
      </c>
      <c r="F509" t="str">
        <f>INDEX(Katalog!$B$4:$B$13,MATCH('Main Data'!E509,Katalog!$C$4:$C$13,0))</f>
        <v>Celana Pendek</v>
      </c>
      <c r="G509" t="str">
        <f>VLOOKUP(E509,Katalog!$A$15:$B$25,2,0)</f>
        <v>Pakaian Pria</v>
      </c>
      <c r="H509" t="str">
        <f t="shared" si="256"/>
        <v>2</v>
      </c>
      <c r="I509" t="str">
        <f t="shared" si="257"/>
        <v>1</v>
      </c>
      <c r="J509" s="18">
        <f>VLOOKUP(E509,Katalog!$C$3:$F$13,2,0)</f>
        <v>60000</v>
      </c>
      <c r="K509" s="18">
        <f>VLOOKUP(E509,Katalog!$C$3:$F$13,3,0)</f>
        <v>25000</v>
      </c>
      <c r="L509" t="str">
        <f t="shared" si="258"/>
        <v>PP001</v>
      </c>
      <c r="M509" t="str">
        <f>IFERROR(INDEX(Katalog!$B$4:$B$13,MATCH('Main Data'!L509,Katalog!$C$4:$C$13,0)), "-")</f>
        <v>Kaos Polo</v>
      </c>
      <c r="N509" t="str">
        <f>IFERROR(VLOOKUP(L509,Katalog!$A$15:$B$25,2,0),"-")</f>
        <v>Pakaian Pria</v>
      </c>
      <c r="O509" t="str">
        <f t="shared" si="259"/>
        <v>1</v>
      </c>
      <c r="P509" t="str">
        <f t="shared" si="260"/>
        <v>5</v>
      </c>
      <c r="Q509" s="18">
        <f>IFERROR(VLOOKUP(L509,Katalog!$C$3:$F$13,2,0),0)</f>
        <v>80000</v>
      </c>
      <c r="R509" s="18">
        <f>IFERROR(VLOOKUP(L509,Katalog!$C$3:$F$13,3,0),0)</f>
        <v>30000</v>
      </c>
      <c r="S509" t="str">
        <f t="shared" si="261"/>
        <v>-</v>
      </c>
      <c r="T509" t="str">
        <f>IFERROR(INDEX(Katalog!$B$4:$B$13,MATCH('Main Data'!S509,Katalog!$C$4:$C$13,0)),"-")</f>
        <v>-</v>
      </c>
      <c r="U509" t="str">
        <f>IFERROR(VLOOKUP(S509,Katalog!$A$15:$B$25,2,0),"-")</f>
        <v>-</v>
      </c>
      <c r="V509">
        <f t="shared" si="262"/>
        <v>0</v>
      </c>
      <c r="W509" s="28" t="str">
        <f t="shared" si="263"/>
        <v>-</v>
      </c>
      <c r="X509" s="18">
        <f>IFERROR(VLOOKUP(S509,Katalog!$C$3:$F$13,2,0),0)</f>
        <v>0</v>
      </c>
      <c r="Y509" s="30">
        <f>IFERROR(VLOOKUP(S509,Katalog!$C$3:$F$13,3,0),0)</f>
        <v>0</v>
      </c>
      <c r="Z509" s="2">
        <f t="shared" si="264"/>
        <v>3</v>
      </c>
      <c r="AA509" s="4">
        <f t="shared" si="265"/>
        <v>200000</v>
      </c>
      <c r="AB509" s="4">
        <f t="shared" si="266"/>
        <v>80000</v>
      </c>
      <c r="AC509" s="4" t="s">
        <v>27</v>
      </c>
      <c r="AD509" s="16">
        <f>IFERROR(VLOOKUP(AC509,'Kode Diskon'!$C$2:$D$9,2,0),0)</f>
        <v>0.15</v>
      </c>
      <c r="AE509" s="31">
        <f t="shared" si="267"/>
        <v>30000</v>
      </c>
      <c r="AF509" s="31">
        <f t="shared" si="268"/>
        <v>170000</v>
      </c>
      <c r="AG509" s="31">
        <f t="shared" si="269"/>
        <v>120000</v>
      </c>
      <c r="AH509" s="31">
        <f t="shared" si="270"/>
        <v>90000</v>
      </c>
      <c r="AI509" s="4" t="s">
        <v>28</v>
      </c>
      <c r="AJ509" s="4" t="s">
        <v>13</v>
      </c>
      <c r="AK509" s="4" t="str">
        <f>IFERROR(VLOOKUP(AJ509,'Guide '!$A$13:$B$16,2,0),"-")</f>
        <v>BB</v>
      </c>
      <c r="AL509" s="4" t="s">
        <v>921</v>
      </c>
      <c r="AM509" s="40">
        <v>45480</v>
      </c>
      <c r="AN509">
        <f t="shared" si="271"/>
        <v>29</v>
      </c>
      <c r="AO509">
        <f t="shared" si="272"/>
        <v>32</v>
      </c>
      <c r="AP509">
        <f t="shared" si="273"/>
        <v>40</v>
      </c>
      <c r="AQ509">
        <f t="shared" si="274"/>
        <v>43</v>
      </c>
      <c r="AR509" s="26">
        <f t="shared" si="275"/>
        <v>56</v>
      </c>
      <c r="AS509" s="26">
        <f t="shared" si="276"/>
        <v>63</v>
      </c>
      <c r="AT509" s="21">
        <f t="shared" si="277"/>
        <v>12</v>
      </c>
      <c r="AU509" s="21">
        <f t="shared" si="278"/>
        <v>19</v>
      </c>
      <c r="AV509">
        <f t="shared" si="279"/>
        <v>73</v>
      </c>
      <c r="AW509">
        <f t="shared" si="280"/>
        <v>76</v>
      </c>
      <c r="AX509">
        <f t="shared" si="281"/>
        <v>84</v>
      </c>
      <c r="AY509">
        <f t="shared" si="282"/>
        <v>87</v>
      </c>
      <c r="AZ509" t="str">
        <f t="shared" si="283"/>
        <v>-</v>
      </c>
      <c r="BA509" t="str">
        <f t="shared" si="284"/>
        <v>-</v>
      </c>
      <c r="BB509" t="str">
        <f t="shared" si="285"/>
        <v>-</v>
      </c>
      <c r="BC509" t="str">
        <f t="shared" si="286"/>
        <v>-</v>
      </c>
      <c r="BD509" s="29" t="str">
        <f t="shared" si="287"/>
        <v>-</v>
      </c>
      <c r="BE509" s="29" t="str">
        <f t="shared" si="288"/>
        <v>-</v>
      </c>
    </row>
    <row r="510" spans="1:57" ht="15" x14ac:dyDescent="0.2">
      <c r="A510" s="2">
        <v>889</v>
      </c>
      <c r="B510" s="2" t="str">
        <f t="shared" si="253"/>
        <v>0889</v>
      </c>
      <c r="C510" t="str">
        <f t="shared" si="254"/>
        <v>ORD-SP-0889-07/07/24</v>
      </c>
      <c r="D510" s="3" t="s">
        <v>829</v>
      </c>
      <c r="E510" t="str">
        <f t="shared" si="255"/>
        <v>SP001</v>
      </c>
      <c r="F510" t="str">
        <f>INDEX(Katalog!$B$4:$B$13,MATCH('Main Data'!E510,Katalog!$C$4:$C$13,0))</f>
        <v>Sneakers</v>
      </c>
      <c r="G510" t="str">
        <f>VLOOKUP(E510,Katalog!$A$15:$B$25,2,0)</f>
        <v>Sepatu Pria</v>
      </c>
      <c r="H510" t="str">
        <f t="shared" si="256"/>
        <v>2</v>
      </c>
      <c r="I510" t="str">
        <f t="shared" si="257"/>
        <v>4</v>
      </c>
      <c r="J510" s="18">
        <f>VLOOKUP(E510,Katalog!$C$3:$F$13,2,0)</f>
        <v>300000</v>
      </c>
      <c r="K510" s="18">
        <f>VLOOKUP(E510,Katalog!$C$3:$F$13,3,0)</f>
        <v>100000</v>
      </c>
      <c r="L510" t="str">
        <f t="shared" si="258"/>
        <v>PP002</v>
      </c>
      <c r="M510" t="str">
        <f>IFERROR(INDEX(Katalog!$B$4:$B$13,MATCH('Main Data'!L510,Katalog!$C$4:$C$13,0)), "-")</f>
        <v>Celana Pendek</v>
      </c>
      <c r="N510" t="str">
        <f>IFERROR(VLOOKUP(L510,Katalog!$A$15:$B$25,2,0),"-")</f>
        <v>Pakaian Pria</v>
      </c>
      <c r="O510" t="str">
        <f t="shared" si="259"/>
        <v>1</v>
      </c>
      <c r="P510" t="str">
        <f t="shared" si="260"/>
        <v>4</v>
      </c>
      <c r="Q510" s="18">
        <f>IFERROR(VLOOKUP(L510,Katalog!$C$3:$F$13,2,0),0)</f>
        <v>60000</v>
      </c>
      <c r="R510" s="18">
        <f>IFERROR(VLOOKUP(L510,Katalog!$C$3:$F$13,3,0),0)</f>
        <v>25000</v>
      </c>
      <c r="S510" t="str">
        <f t="shared" si="261"/>
        <v>-</v>
      </c>
      <c r="T510" t="str">
        <f>IFERROR(INDEX(Katalog!$B$4:$B$13,MATCH('Main Data'!S510,Katalog!$C$4:$C$13,0)),"-")</f>
        <v>-</v>
      </c>
      <c r="U510" t="str">
        <f>IFERROR(VLOOKUP(S510,Katalog!$A$15:$B$25,2,0),"-")</f>
        <v>-</v>
      </c>
      <c r="V510">
        <f t="shared" si="262"/>
        <v>0</v>
      </c>
      <c r="W510" s="28" t="str">
        <f t="shared" si="263"/>
        <v>-</v>
      </c>
      <c r="X510" s="18">
        <f>IFERROR(VLOOKUP(S510,Katalog!$C$3:$F$13,2,0),0)</f>
        <v>0</v>
      </c>
      <c r="Y510" s="30">
        <f>IFERROR(VLOOKUP(S510,Katalog!$C$3:$F$13,3,0),0)</f>
        <v>0</v>
      </c>
      <c r="Z510" s="2">
        <f t="shared" si="264"/>
        <v>3</v>
      </c>
      <c r="AA510" s="4">
        <f t="shared" si="265"/>
        <v>660000</v>
      </c>
      <c r="AB510" s="4">
        <f t="shared" si="266"/>
        <v>225000</v>
      </c>
      <c r="AC510" s="4" t="s">
        <v>7</v>
      </c>
      <c r="AD510" s="16">
        <f>IFERROR(VLOOKUP(AC510,'Kode Diskon'!$C$2:$D$9,2,0),0)</f>
        <v>0.2</v>
      </c>
      <c r="AE510" s="31">
        <f t="shared" si="267"/>
        <v>132000</v>
      </c>
      <c r="AF510" s="31">
        <f t="shared" si="268"/>
        <v>528000</v>
      </c>
      <c r="AG510" s="31">
        <f t="shared" si="269"/>
        <v>435000</v>
      </c>
      <c r="AH510" s="31">
        <f t="shared" si="270"/>
        <v>303000</v>
      </c>
      <c r="AI510" s="4" t="s">
        <v>8</v>
      </c>
      <c r="AJ510" s="4" t="s">
        <v>6</v>
      </c>
      <c r="AK510" s="4" t="str">
        <f>IFERROR(VLOOKUP(AJ510,'Guide '!$A$13:$B$16,2,0),"-")</f>
        <v>SP</v>
      </c>
      <c r="AL510" s="4" t="s">
        <v>925</v>
      </c>
      <c r="AM510" s="40">
        <v>45480</v>
      </c>
      <c r="AN510">
        <f t="shared" si="271"/>
        <v>29</v>
      </c>
      <c r="AO510">
        <f t="shared" si="272"/>
        <v>32</v>
      </c>
      <c r="AP510">
        <f t="shared" si="273"/>
        <v>40</v>
      </c>
      <c r="AQ510">
        <f t="shared" si="274"/>
        <v>43</v>
      </c>
      <c r="AR510" s="26">
        <f t="shared" si="275"/>
        <v>56</v>
      </c>
      <c r="AS510" s="26">
        <f t="shared" si="276"/>
        <v>63</v>
      </c>
      <c r="AT510" s="21">
        <f t="shared" si="277"/>
        <v>12</v>
      </c>
      <c r="AU510" s="21">
        <f t="shared" si="278"/>
        <v>19</v>
      </c>
      <c r="AV510">
        <f t="shared" si="279"/>
        <v>73</v>
      </c>
      <c r="AW510">
        <f t="shared" si="280"/>
        <v>76</v>
      </c>
      <c r="AX510">
        <f t="shared" si="281"/>
        <v>84</v>
      </c>
      <c r="AY510">
        <f t="shared" si="282"/>
        <v>87</v>
      </c>
      <c r="AZ510" t="str">
        <f t="shared" si="283"/>
        <v>-</v>
      </c>
      <c r="BA510" t="str">
        <f t="shared" si="284"/>
        <v>-</v>
      </c>
      <c r="BB510" t="str">
        <f t="shared" si="285"/>
        <v>-</v>
      </c>
      <c r="BC510" t="str">
        <f t="shared" si="286"/>
        <v>-</v>
      </c>
      <c r="BD510" s="29" t="str">
        <f t="shared" si="287"/>
        <v>-</v>
      </c>
      <c r="BE510" s="29" t="str">
        <f t="shared" si="288"/>
        <v>-</v>
      </c>
    </row>
    <row r="511" spans="1:57" ht="15" x14ac:dyDescent="0.2">
      <c r="A511" s="2">
        <v>359</v>
      </c>
      <c r="B511" s="2" t="str">
        <f t="shared" si="253"/>
        <v>0359</v>
      </c>
      <c r="C511" t="str">
        <f t="shared" si="254"/>
        <v>ORD-BB-0359-08/07/24</v>
      </c>
      <c r="D511" s="3" t="s">
        <v>410</v>
      </c>
      <c r="E511" t="str">
        <f t="shared" si="255"/>
        <v>PP001</v>
      </c>
      <c r="F511" t="str">
        <f>INDEX(Katalog!$B$4:$B$13,MATCH('Main Data'!E511,Katalog!$C$4:$C$13,0))</f>
        <v>Kaos Polo</v>
      </c>
      <c r="G511" t="str">
        <f>VLOOKUP(E511,Katalog!$A$15:$B$25,2,0)</f>
        <v>Pakaian Pria</v>
      </c>
      <c r="H511" t="str">
        <f t="shared" si="256"/>
        <v>1</v>
      </c>
      <c r="I511" t="str">
        <f t="shared" si="257"/>
        <v>3</v>
      </c>
      <c r="J511" s="18">
        <f>VLOOKUP(E511,Katalog!$C$3:$F$13,2,0)</f>
        <v>80000</v>
      </c>
      <c r="K511" s="18">
        <f>VLOOKUP(E511,Katalog!$C$3:$F$13,3,0)</f>
        <v>30000</v>
      </c>
      <c r="L511" t="str">
        <f t="shared" si="258"/>
        <v>-</v>
      </c>
      <c r="M511" t="str">
        <f>IFERROR(INDEX(Katalog!$B$4:$B$13,MATCH('Main Data'!L511,Katalog!$C$4:$C$13,0)), "-")</f>
        <v>-</v>
      </c>
      <c r="N511" t="str">
        <f>IFERROR(VLOOKUP(L511,Katalog!$A$15:$B$25,2,0),"-")</f>
        <v>-</v>
      </c>
      <c r="O511">
        <f t="shared" si="259"/>
        <v>0</v>
      </c>
      <c r="P511" t="str">
        <f t="shared" si="260"/>
        <v>-</v>
      </c>
      <c r="Q511" s="18">
        <f>IFERROR(VLOOKUP(L511,Katalog!$C$3:$F$13,2,0),0)</f>
        <v>0</v>
      </c>
      <c r="R511" s="18">
        <f>IFERROR(VLOOKUP(L511,Katalog!$C$3:$F$13,3,0),0)</f>
        <v>0</v>
      </c>
      <c r="S511" t="str">
        <f t="shared" si="261"/>
        <v>-</v>
      </c>
      <c r="T511" t="str">
        <f>IFERROR(INDEX(Katalog!$B$4:$B$13,MATCH('Main Data'!S511,Katalog!$C$4:$C$13,0)),"-")</f>
        <v>-</v>
      </c>
      <c r="U511" t="str">
        <f>IFERROR(VLOOKUP(S511,Katalog!$A$15:$B$25,2,0),"-")</f>
        <v>-</v>
      </c>
      <c r="V511">
        <f t="shared" si="262"/>
        <v>0</v>
      </c>
      <c r="W511" s="28" t="str">
        <f t="shared" si="263"/>
        <v>-</v>
      </c>
      <c r="X511" s="18">
        <f>IFERROR(VLOOKUP(S511,Katalog!$C$3:$F$13,2,0),0)</f>
        <v>0</v>
      </c>
      <c r="Y511" s="30">
        <f>IFERROR(VLOOKUP(S511,Katalog!$C$3:$F$13,3,0),0)</f>
        <v>0</v>
      </c>
      <c r="Z511" s="2">
        <f t="shared" si="264"/>
        <v>1</v>
      </c>
      <c r="AA511" s="4">
        <f t="shared" si="265"/>
        <v>80000</v>
      </c>
      <c r="AB511" s="4">
        <f t="shared" si="266"/>
        <v>30000</v>
      </c>
      <c r="AC511" s="4" t="s">
        <v>27</v>
      </c>
      <c r="AD511" s="16">
        <f>IFERROR(VLOOKUP(AC511,'Kode Diskon'!$C$2:$D$9,2,0),0)</f>
        <v>0.15</v>
      </c>
      <c r="AE511" s="31">
        <f t="shared" si="267"/>
        <v>12000</v>
      </c>
      <c r="AF511" s="31">
        <f t="shared" si="268"/>
        <v>68000</v>
      </c>
      <c r="AG511" s="31">
        <f t="shared" si="269"/>
        <v>50000</v>
      </c>
      <c r="AH511" s="31">
        <f t="shared" si="270"/>
        <v>38000</v>
      </c>
      <c r="AI511" s="4" t="s">
        <v>28</v>
      </c>
      <c r="AJ511" s="4" t="s">
        <v>13</v>
      </c>
      <c r="AK511" s="4" t="str">
        <f>IFERROR(VLOOKUP(AJ511,'Guide '!$A$13:$B$16,2,0),"-")</f>
        <v>BB</v>
      </c>
      <c r="AL511" s="4" t="s">
        <v>923</v>
      </c>
      <c r="AM511" s="40">
        <v>45481</v>
      </c>
      <c r="AN511">
        <f t="shared" si="271"/>
        <v>29</v>
      </c>
      <c r="AO511">
        <f t="shared" si="272"/>
        <v>32</v>
      </c>
      <c r="AP511">
        <f t="shared" si="273"/>
        <v>40</v>
      </c>
      <c r="AQ511">
        <f t="shared" si="274"/>
        <v>43</v>
      </c>
      <c r="AR511" s="26" t="str">
        <f t="shared" si="275"/>
        <v>-</v>
      </c>
      <c r="AS511" s="26" t="str">
        <f t="shared" si="276"/>
        <v>-</v>
      </c>
      <c r="AT511" s="21">
        <f t="shared" si="277"/>
        <v>12</v>
      </c>
      <c r="AU511" s="21">
        <f t="shared" si="278"/>
        <v>19</v>
      </c>
      <c r="AV511" t="str">
        <f t="shared" si="279"/>
        <v>-</v>
      </c>
      <c r="AW511" t="str">
        <f t="shared" si="280"/>
        <v>-</v>
      </c>
      <c r="AX511" t="str">
        <f t="shared" si="281"/>
        <v>-</v>
      </c>
      <c r="AY511" t="str">
        <f t="shared" si="282"/>
        <v>-</v>
      </c>
      <c r="AZ511" t="str">
        <f t="shared" si="283"/>
        <v>-</v>
      </c>
      <c r="BA511" t="str">
        <f t="shared" si="284"/>
        <v>-</v>
      </c>
      <c r="BB511" t="str">
        <f t="shared" si="285"/>
        <v>-</v>
      </c>
      <c r="BC511" t="str">
        <f t="shared" si="286"/>
        <v>-</v>
      </c>
      <c r="BD511" s="29" t="str">
        <f t="shared" si="287"/>
        <v>-</v>
      </c>
      <c r="BE511" s="29" t="str">
        <f t="shared" si="288"/>
        <v>-</v>
      </c>
    </row>
    <row r="512" spans="1:57" ht="15" x14ac:dyDescent="0.2">
      <c r="A512" s="2">
        <v>104</v>
      </c>
      <c r="B512" s="2" t="str">
        <f t="shared" si="253"/>
        <v>0104</v>
      </c>
      <c r="C512" t="str">
        <f t="shared" si="254"/>
        <v>ORD-SP-0104-09/07/24</v>
      </c>
      <c r="D512" s="3" t="s">
        <v>176</v>
      </c>
      <c r="E512" t="str">
        <f t="shared" si="255"/>
        <v>PW001</v>
      </c>
      <c r="F512" t="str">
        <f>INDEX(Katalog!$B$4:$B$13,MATCH('Main Data'!E512,Katalog!$C$4:$C$13,0))</f>
        <v>Dress</v>
      </c>
      <c r="G512" t="str">
        <f>VLOOKUP(E512,Katalog!$A$15:$B$25,2,0)</f>
        <v>Pakaian Wanita</v>
      </c>
      <c r="H512" t="str">
        <f t="shared" si="256"/>
        <v>2</v>
      </c>
      <c r="I512" t="str">
        <f t="shared" si="257"/>
        <v>2</v>
      </c>
      <c r="J512" s="18">
        <f>VLOOKUP(E512,Katalog!$C$3:$F$13,2,0)</f>
        <v>150000</v>
      </c>
      <c r="K512" s="18">
        <f>VLOOKUP(E512,Katalog!$C$3:$F$13,3,0)</f>
        <v>55000</v>
      </c>
      <c r="L512" t="str">
        <f t="shared" si="258"/>
        <v>PW003</v>
      </c>
      <c r="M512" t="str">
        <f>IFERROR(INDEX(Katalog!$B$4:$B$13,MATCH('Main Data'!L512,Katalog!$C$4:$C$13,0)), "-")</f>
        <v>Kaftan</v>
      </c>
      <c r="N512" t="str">
        <f>IFERROR(VLOOKUP(L512,Katalog!$A$15:$B$25,2,0),"-")</f>
        <v>Pakaian Wanita</v>
      </c>
      <c r="O512" t="str">
        <f t="shared" si="259"/>
        <v>1</v>
      </c>
      <c r="P512" t="str">
        <f t="shared" si="260"/>
        <v>1</v>
      </c>
      <c r="Q512" s="18">
        <f>IFERROR(VLOOKUP(L512,Katalog!$C$3:$F$13,2,0),0)</f>
        <v>200000</v>
      </c>
      <c r="R512" s="18">
        <f>IFERROR(VLOOKUP(L512,Katalog!$C$3:$F$13,3,0),0)</f>
        <v>100000</v>
      </c>
      <c r="S512" t="str">
        <f t="shared" si="261"/>
        <v>-</v>
      </c>
      <c r="T512" t="str">
        <f>IFERROR(INDEX(Katalog!$B$4:$B$13,MATCH('Main Data'!S512,Katalog!$C$4:$C$13,0)),"-")</f>
        <v>-</v>
      </c>
      <c r="U512" t="str">
        <f>IFERROR(VLOOKUP(S512,Katalog!$A$15:$B$25,2,0),"-")</f>
        <v>-</v>
      </c>
      <c r="V512">
        <f t="shared" si="262"/>
        <v>0</v>
      </c>
      <c r="W512" s="28" t="str">
        <f t="shared" si="263"/>
        <v>-</v>
      </c>
      <c r="X512" s="18">
        <f>IFERROR(VLOOKUP(S512,Katalog!$C$3:$F$13,2,0),0)</f>
        <v>0</v>
      </c>
      <c r="Y512" s="30">
        <f>IFERROR(VLOOKUP(S512,Katalog!$C$3:$F$13,3,0),0)</f>
        <v>0</v>
      </c>
      <c r="Z512" s="2">
        <f t="shared" si="264"/>
        <v>3</v>
      </c>
      <c r="AA512" s="4">
        <f t="shared" si="265"/>
        <v>500000</v>
      </c>
      <c r="AB512" s="4">
        <f t="shared" si="266"/>
        <v>210000</v>
      </c>
      <c r="AC512" s="4" t="s">
        <v>12</v>
      </c>
      <c r="AD512" s="16">
        <f>IFERROR(VLOOKUP(AC512,'Kode Diskon'!$C$2:$D$9,2,0),0)</f>
        <v>0.15</v>
      </c>
      <c r="AE512" s="31">
        <f t="shared" si="267"/>
        <v>75000</v>
      </c>
      <c r="AF512" s="31">
        <f t="shared" si="268"/>
        <v>425000</v>
      </c>
      <c r="AG512" s="31">
        <f t="shared" si="269"/>
        <v>290000</v>
      </c>
      <c r="AH512" s="31">
        <f t="shared" si="270"/>
        <v>215000</v>
      </c>
      <c r="AI512" s="4" t="s">
        <v>28</v>
      </c>
      <c r="AJ512" s="4" t="s">
        <v>6</v>
      </c>
      <c r="AK512" s="4" t="str">
        <f>IFERROR(VLOOKUP(AJ512,'Guide '!$A$13:$B$16,2,0),"-")</f>
        <v>SP</v>
      </c>
      <c r="AL512" s="4" t="s">
        <v>1006</v>
      </c>
      <c r="AM512" s="40">
        <v>45482</v>
      </c>
      <c r="AN512">
        <f t="shared" si="271"/>
        <v>29</v>
      </c>
      <c r="AO512">
        <f t="shared" si="272"/>
        <v>32</v>
      </c>
      <c r="AP512">
        <f t="shared" si="273"/>
        <v>40</v>
      </c>
      <c r="AQ512">
        <f t="shared" si="274"/>
        <v>43</v>
      </c>
      <c r="AR512" s="26">
        <f t="shared" si="275"/>
        <v>56</v>
      </c>
      <c r="AS512" s="26">
        <f t="shared" si="276"/>
        <v>63</v>
      </c>
      <c r="AT512" s="21">
        <f t="shared" si="277"/>
        <v>12</v>
      </c>
      <c r="AU512" s="21">
        <f t="shared" si="278"/>
        <v>19</v>
      </c>
      <c r="AV512">
        <f t="shared" si="279"/>
        <v>73</v>
      </c>
      <c r="AW512">
        <f t="shared" si="280"/>
        <v>76</v>
      </c>
      <c r="AX512">
        <f t="shared" si="281"/>
        <v>84</v>
      </c>
      <c r="AY512">
        <f t="shared" si="282"/>
        <v>87</v>
      </c>
      <c r="AZ512" t="str">
        <f t="shared" si="283"/>
        <v>-</v>
      </c>
      <c r="BA512" t="str">
        <f t="shared" si="284"/>
        <v>-</v>
      </c>
      <c r="BB512" t="str">
        <f t="shared" si="285"/>
        <v>-</v>
      </c>
      <c r="BC512" t="str">
        <f t="shared" si="286"/>
        <v>-</v>
      </c>
      <c r="BD512" s="29" t="str">
        <f t="shared" si="287"/>
        <v>-</v>
      </c>
      <c r="BE512" s="29" t="str">
        <f t="shared" si="288"/>
        <v>-</v>
      </c>
    </row>
    <row r="513" spans="1:57" ht="15" x14ac:dyDescent="0.2">
      <c r="A513" s="2">
        <v>91</v>
      </c>
      <c r="B513" s="2" t="str">
        <f t="shared" si="253"/>
        <v>0091</v>
      </c>
      <c r="C513" t="str">
        <f t="shared" si="254"/>
        <v>ORD-TK-0091-10/07/24</v>
      </c>
      <c r="D513" s="3" t="s">
        <v>116</v>
      </c>
      <c r="E513" t="str">
        <f t="shared" si="255"/>
        <v>PP003</v>
      </c>
      <c r="F513" t="str">
        <f>INDEX(Katalog!$B$4:$B$13,MATCH('Main Data'!E513,Katalog!$C$4:$C$13,0))</f>
        <v>Jaket Jeans</v>
      </c>
      <c r="G513" t="str">
        <f>VLOOKUP(E513,Katalog!$A$15:$B$25,2,0)</f>
        <v>Pakaian Pria</v>
      </c>
      <c r="H513" t="str">
        <f t="shared" si="256"/>
        <v>1</v>
      </c>
      <c r="I513" t="str">
        <f t="shared" si="257"/>
        <v>5</v>
      </c>
      <c r="J513" s="18">
        <f>VLOOKUP(E513,Katalog!$C$3:$F$13,2,0)</f>
        <v>150000</v>
      </c>
      <c r="K513" s="18">
        <f>VLOOKUP(E513,Katalog!$C$3:$F$13,3,0)</f>
        <v>70000</v>
      </c>
      <c r="L513" t="str">
        <f t="shared" si="258"/>
        <v>-</v>
      </c>
      <c r="M513" t="str">
        <f>IFERROR(INDEX(Katalog!$B$4:$B$13,MATCH('Main Data'!L513,Katalog!$C$4:$C$13,0)), "-")</f>
        <v>-</v>
      </c>
      <c r="N513" t="str">
        <f>IFERROR(VLOOKUP(L513,Katalog!$A$15:$B$25,2,0),"-")</f>
        <v>-</v>
      </c>
      <c r="O513">
        <f t="shared" si="259"/>
        <v>0</v>
      </c>
      <c r="P513" t="str">
        <f t="shared" si="260"/>
        <v>-</v>
      </c>
      <c r="Q513" s="18">
        <f>IFERROR(VLOOKUP(L513,Katalog!$C$3:$F$13,2,0),0)</f>
        <v>0</v>
      </c>
      <c r="R513" s="18">
        <f>IFERROR(VLOOKUP(L513,Katalog!$C$3:$F$13,3,0),0)</f>
        <v>0</v>
      </c>
      <c r="S513" t="str">
        <f t="shared" si="261"/>
        <v>-</v>
      </c>
      <c r="T513" t="str">
        <f>IFERROR(INDEX(Katalog!$B$4:$B$13,MATCH('Main Data'!S513,Katalog!$C$4:$C$13,0)),"-")</f>
        <v>-</v>
      </c>
      <c r="U513" t="str">
        <f>IFERROR(VLOOKUP(S513,Katalog!$A$15:$B$25,2,0),"-")</f>
        <v>-</v>
      </c>
      <c r="V513">
        <f t="shared" si="262"/>
        <v>0</v>
      </c>
      <c r="W513" s="28" t="str">
        <f t="shared" si="263"/>
        <v>-</v>
      </c>
      <c r="X513" s="18">
        <f>IFERROR(VLOOKUP(S513,Katalog!$C$3:$F$13,2,0),0)</f>
        <v>0</v>
      </c>
      <c r="Y513" s="30">
        <f>IFERROR(VLOOKUP(S513,Katalog!$C$3:$F$13,3,0),0)</f>
        <v>0</v>
      </c>
      <c r="Z513" s="2">
        <f t="shared" si="264"/>
        <v>1</v>
      </c>
      <c r="AA513" s="4">
        <f t="shared" si="265"/>
        <v>150000</v>
      </c>
      <c r="AB513" s="4">
        <f t="shared" si="266"/>
        <v>70000</v>
      </c>
      <c r="AC513" s="4" t="s">
        <v>30</v>
      </c>
      <c r="AD513" s="16">
        <f>IFERROR(VLOOKUP(AC513,'Kode Diskon'!$C$2:$D$9,2,0),0)</f>
        <v>0.1</v>
      </c>
      <c r="AE513" s="31">
        <f t="shared" si="267"/>
        <v>15000</v>
      </c>
      <c r="AF513" s="31">
        <f t="shared" si="268"/>
        <v>135000</v>
      </c>
      <c r="AG513" s="31">
        <f t="shared" si="269"/>
        <v>80000</v>
      </c>
      <c r="AH513" s="31">
        <f t="shared" si="270"/>
        <v>65000</v>
      </c>
      <c r="AI513" s="4" t="s">
        <v>8</v>
      </c>
      <c r="AJ513" s="4" t="s">
        <v>9</v>
      </c>
      <c r="AK513" s="4" t="str">
        <f>IFERROR(VLOOKUP(AJ513,'Guide '!$A$13:$B$16,2,0),"-")</f>
        <v>TK</v>
      </c>
      <c r="AL513" s="4" t="s">
        <v>921</v>
      </c>
      <c r="AM513" s="40">
        <v>45483</v>
      </c>
      <c r="AN513">
        <f t="shared" si="271"/>
        <v>29</v>
      </c>
      <c r="AO513">
        <f t="shared" si="272"/>
        <v>32</v>
      </c>
      <c r="AP513">
        <f t="shared" si="273"/>
        <v>40</v>
      </c>
      <c r="AQ513">
        <f t="shared" si="274"/>
        <v>43</v>
      </c>
      <c r="AR513" s="26" t="str">
        <f t="shared" si="275"/>
        <v>-</v>
      </c>
      <c r="AS513" s="26" t="str">
        <f t="shared" si="276"/>
        <v>-</v>
      </c>
      <c r="AT513" s="21">
        <f t="shared" si="277"/>
        <v>12</v>
      </c>
      <c r="AU513" s="21">
        <f t="shared" si="278"/>
        <v>19</v>
      </c>
      <c r="AV513" t="str">
        <f t="shared" si="279"/>
        <v>-</v>
      </c>
      <c r="AW513" t="str">
        <f t="shared" si="280"/>
        <v>-</v>
      </c>
      <c r="AX513" t="str">
        <f t="shared" si="281"/>
        <v>-</v>
      </c>
      <c r="AY513" t="str">
        <f t="shared" si="282"/>
        <v>-</v>
      </c>
      <c r="AZ513" t="str">
        <f t="shared" si="283"/>
        <v>-</v>
      </c>
      <c r="BA513" t="str">
        <f t="shared" si="284"/>
        <v>-</v>
      </c>
      <c r="BB513" t="str">
        <f t="shared" si="285"/>
        <v>-</v>
      </c>
      <c r="BC513" t="str">
        <f t="shared" si="286"/>
        <v>-</v>
      </c>
      <c r="BD513" s="29" t="str">
        <f t="shared" si="287"/>
        <v>-</v>
      </c>
      <c r="BE513" s="29" t="str">
        <f t="shared" si="288"/>
        <v>-</v>
      </c>
    </row>
    <row r="514" spans="1:57" ht="15" x14ac:dyDescent="0.2">
      <c r="A514" s="2">
        <v>779</v>
      </c>
      <c r="B514" s="2" t="str">
        <f t="shared" si="253"/>
        <v>0779</v>
      </c>
      <c r="C514" t="str">
        <f t="shared" si="254"/>
        <v>ORD-TK-0779-10/07/24</v>
      </c>
      <c r="D514" s="3" t="s">
        <v>464</v>
      </c>
      <c r="E514" t="str">
        <f t="shared" si="255"/>
        <v>PW003</v>
      </c>
      <c r="F514" t="str">
        <f>INDEX(Katalog!$B$4:$B$13,MATCH('Main Data'!E514,Katalog!$C$4:$C$13,0))</f>
        <v>Kaftan</v>
      </c>
      <c r="G514" t="str">
        <f>VLOOKUP(E514,Katalog!$A$15:$B$25,2,0)</f>
        <v>Pakaian Wanita</v>
      </c>
      <c r="H514" t="str">
        <f t="shared" si="256"/>
        <v>1</v>
      </c>
      <c r="I514" t="str">
        <f t="shared" si="257"/>
        <v>4</v>
      </c>
      <c r="J514" s="18">
        <f>VLOOKUP(E514,Katalog!$C$3:$F$13,2,0)</f>
        <v>200000</v>
      </c>
      <c r="K514" s="18">
        <f>VLOOKUP(E514,Katalog!$C$3:$F$13,3,0)</f>
        <v>100000</v>
      </c>
      <c r="L514" t="str">
        <f t="shared" si="258"/>
        <v>-</v>
      </c>
      <c r="M514" t="str">
        <f>IFERROR(INDEX(Katalog!$B$4:$B$13,MATCH('Main Data'!L514,Katalog!$C$4:$C$13,0)), "-")</f>
        <v>-</v>
      </c>
      <c r="N514" t="str">
        <f>IFERROR(VLOOKUP(L514,Katalog!$A$15:$B$25,2,0),"-")</f>
        <v>-</v>
      </c>
      <c r="O514">
        <f t="shared" si="259"/>
        <v>0</v>
      </c>
      <c r="P514" t="str">
        <f t="shared" si="260"/>
        <v>-</v>
      </c>
      <c r="Q514" s="18">
        <f>IFERROR(VLOOKUP(L514,Katalog!$C$3:$F$13,2,0),0)</f>
        <v>0</v>
      </c>
      <c r="R514" s="18">
        <f>IFERROR(VLOOKUP(L514,Katalog!$C$3:$F$13,3,0),0)</f>
        <v>0</v>
      </c>
      <c r="S514" t="str">
        <f t="shared" si="261"/>
        <v>-</v>
      </c>
      <c r="T514" t="str">
        <f>IFERROR(INDEX(Katalog!$B$4:$B$13,MATCH('Main Data'!S514,Katalog!$C$4:$C$13,0)),"-")</f>
        <v>-</v>
      </c>
      <c r="U514" t="str">
        <f>IFERROR(VLOOKUP(S514,Katalog!$A$15:$B$25,2,0),"-")</f>
        <v>-</v>
      </c>
      <c r="V514">
        <f t="shared" si="262"/>
        <v>0</v>
      </c>
      <c r="W514" s="28" t="str">
        <f t="shared" si="263"/>
        <v>-</v>
      </c>
      <c r="X514" s="18">
        <f>IFERROR(VLOOKUP(S514,Katalog!$C$3:$F$13,2,0),0)</f>
        <v>0</v>
      </c>
      <c r="Y514" s="30">
        <f>IFERROR(VLOOKUP(S514,Katalog!$C$3:$F$13,3,0),0)</f>
        <v>0</v>
      </c>
      <c r="Z514" s="2">
        <f t="shared" si="264"/>
        <v>1</v>
      </c>
      <c r="AA514" s="4">
        <f t="shared" si="265"/>
        <v>200000</v>
      </c>
      <c r="AB514" s="4">
        <f t="shared" si="266"/>
        <v>100000</v>
      </c>
      <c r="AC514" s="4" t="s">
        <v>29</v>
      </c>
      <c r="AD514" s="16">
        <f>IFERROR(VLOOKUP(AC514,'Kode Diskon'!$C$2:$D$9,2,0),0)</f>
        <v>0.1</v>
      </c>
      <c r="AE514" s="31">
        <f t="shared" si="267"/>
        <v>20000</v>
      </c>
      <c r="AF514" s="31">
        <f t="shared" si="268"/>
        <v>180000</v>
      </c>
      <c r="AG514" s="31">
        <f t="shared" si="269"/>
        <v>100000</v>
      </c>
      <c r="AH514" s="31">
        <f t="shared" si="270"/>
        <v>80000</v>
      </c>
      <c r="AI514" s="4" t="s">
        <v>28</v>
      </c>
      <c r="AJ514" s="4" t="s">
        <v>9</v>
      </c>
      <c r="AK514" s="4" t="str">
        <f>IFERROR(VLOOKUP(AJ514,'Guide '!$A$13:$B$16,2,0),"-")</f>
        <v>TK</v>
      </c>
      <c r="AL514" s="4" t="s">
        <v>924</v>
      </c>
      <c r="AM514" s="40">
        <v>45483</v>
      </c>
      <c r="AN514">
        <f t="shared" si="271"/>
        <v>29</v>
      </c>
      <c r="AO514">
        <f t="shared" si="272"/>
        <v>32</v>
      </c>
      <c r="AP514">
        <f t="shared" si="273"/>
        <v>40</v>
      </c>
      <c r="AQ514">
        <f t="shared" si="274"/>
        <v>43</v>
      </c>
      <c r="AR514" s="26" t="str">
        <f t="shared" si="275"/>
        <v>-</v>
      </c>
      <c r="AS514" s="26" t="str">
        <f t="shared" si="276"/>
        <v>-</v>
      </c>
      <c r="AT514" s="21">
        <f t="shared" si="277"/>
        <v>12</v>
      </c>
      <c r="AU514" s="21">
        <f t="shared" si="278"/>
        <v>19</v>
      </c>
      <c r="AV514" t="str">
        <f t="shared" si="279"/>
        <v>-</v>
      </c>
      <c r="AW514" t="str">
        <f t="shared" si="280"/>
        <v>-</v>
      </c>
      <c r="AX514" t="str">
        <f t="shared" si="281"/>
        <v>-</v>
      </c>
      <c r="AY514" t="str">
        <f t="shared" si="282"/>
        <v>-</v>
      </c>
      <c r="AZ514" t="str">
        <f t="shared" si="283"/>
        <v>-</v>
      </c>
      <c r="BA514" t="str">
        <f t="shared" si="284"/>
        <v>-</v>
      </c>
      <c r="BB514" t="str">
        <f t="shared" si="285"/>
        <v>-</v>
      </c>
      <c r="BC514" t="str">
        <f t="shared" si="286"/>
        <v>-</v>
      </c>
      <c r="BD514" s="29" t="str">
        <f t="shared" si="287"/>
        <v>-</v>
      </c>
      <c r="BE514" s="29" t="str">
        <f t="shared" si="288"/>
        <v>-</v>
      </c>
    </row>
    <row r="515" spans="1:57" ht="15" x14ac:dyDescent="0.2">
      <c r="A515" s="2">
        <v>946</v>
      </c>
      <c r="B515" s="2" t="str">
        <f t="shared" ref="B515:B578" si="289">TEXT(A515,"0000")</f>
        <v>0946</v>
      </c>
      <c r="C515" t="str">
        <f t="shared" ref="C515:C578" si="290">CONCATENATE("ORD","-",AK515,"-",B515,"-",TEXT(AM515,"dd/mm/yy"))</f>
        <v>ORD-SP-0946-10/07/24</v>
      </c>
      <c r="D515" s="3" t="s">
        <v>500</v>
      </c>
      <c r="E515" t="str">
        <f t="shared" ref="E515:E578" si="291">MID(D515,AT515+2,AU515-AT515-2)</f>
        <v>PW003</v>
      </c>
      <c r="F515" t="str">
        <f>INDEX(Katalog!$B$4:$B$13,MATCH('Main Data'!E515,Katalog!$C$4:$C$13,0))</f>
        <v>Kaftan</v>
      </c>
      <c r="G515" t="str">
        <f>VLOOKUP(E515,Katalog!$A$15:$B$25,2,0)</f>
        <v>Pakaian Wanita</v>
      </c>
      <c r="H515" t="str">
        <f t="shared" ref="H515:H578" si="292">MID(D515,AN515+2,AO515-AN515-2)</f>
        <v>2</v>
      </c>
      <c r="I515" t="str">
        <f t="shared" ref="I515:I578" si="293">MID(D515,AP515+2,AQ515-AP515-2)</f>
        <v>4</v>
      </c>
      <c r="J515" s="18">
        <f>VLOOKUP(E515,Katalog!$C$3:$F$13,2,0)</f>
        <v>200000</v>
      </c>
      <c r="K515" s="18">
        <f>VLOOKUP(E515,Katalog!$C$3:$F$13,3,0)</f>
        <v>100000</v>
      </c>
      <c r="L515" t="str">
        <f t="shared" ref="L515:L578" si="294">IFERROR(MID(D515,AR515+2,AS515-AR515-2),"-")</f>
        <v>-</v>
      </c>
      <c r="M515" t="str">
        <f>IFERROR(INDEX(Katalog!$B$4:$B$13,MATCH('Main Data'!L515,Katalog!$C$4:$C$13,0)), "-")</f>
        <v>-</v>
      </c>
      <c r="N515" t="str">
        <f>IFERROR(VLOOKUP(L515,Katalog!$A$15:$B$25,2,0),"-")</f>
        <v>-</v>
      </c>
      <c r="O515">
        <f t="shared" ref="O515:O578" si="295">IFERROR(MID(D515,AV515+2,AW515-AV515-2),0)</f>
        <v>0</v>
      </c>
      <c r="P515" t="str">
        <f t="shared" ref="P515:P578" si="296">IFERROR(MID(D515,AX515+2,AY515-AX515-2),"-")</f>
        <v>-</v>
      </c>
      <c r="Q515" s="18">
        <f>IFERROR(VLOOKUP(L515,Katalog!$C$3:$F$13,2,0),0)</f>
        <v>0</v>
      </c>
      <c r="R515" s="18">
        <f>IFERROR(VLOOKUP(L515,Katalog!$C$3:$F$13,3,0),0)</f>
        <v>0</v>
      </c>
      <c r="S515" t="str">
        <f t="shared" ref="S515:S578" si="297">IFERROR(MID(D515,AZ515+2,BA515-AZ515-2),"-")</f>
        <v>-</v>
      </c>
      <c r="T515" t="str">
        <f>IFERROR(INDEX(Katalog!$B$4:$B$13,MATCH('Main Data'!S515,Katalog!$C$4:$C$13,0)),"-")</f>
        <v>-</v>
      </c>
      <c r="U515" t="str">
        <f>IFERROR(VLOOKUP(S515,Katalog!$A$15:$B$25,2,0),"-")</f>
        <v>-</v>
      </c>
      <c r="V515">
        <f t="shared" ref="V515:V578" si="298">IFERROR(MID(D515,BB515+2,BC515-BB515-2),0)</f>
        <v>0</v>
      </c>
      <c r="W515" s="28" t="str">
        <f t="shared" ref="W515:W578" si="299">IFERROR(MID(D515,BD515+2,BE515-BD515-2),"-")</f>
        <v>-</v>
      </c>
      <c r="X515" s="18">
        <f>IFERROR(VLOOKUP(S515,Katalog!$C$3:$F$13,2,0),0)</f>
        <v>0</v>
      </c>
      <c r="Y515" s="30">
        <f>IFERROR(VLOOKUP(S515,Katalog!$C$3:$F$13,3,0),0)</f>
        <v>0</v>
      </c>
      <c r="Z515" s="2">
        <f t="shared" ref="Z515:Z578" si="300">H515+O515+V515</f>
        <v>2</v>
      </c>
      <c r="AA515" s="4">
        <f t="shared" ref="AA515:AA578" si="301">J515*H515+Q515*O515+X515*V515</f>
        <v>400000</v>
      </c>
      <c r="AB515" s="4">
        <f t="shared" ref="AB515:AB578" si="302">K515*H515+R515*O515+Y515*V515</f>
        <v>200000</v>
      </c>
      <c r="AC515" s="4" t="s">
        <v>10</v>
      </c>
      <c r="AD515" s="16">
        <f>IFERROR(VLOOKUP(AC515,'Kode Diskon'!$C$2:$D$9,2,0),0)</f>
        <v>0</v>
      </c>
      <c r="AE515" s="31">
        <f t="shared" ref="AE515:AE578" si="303">AA515*AD515</f>
        <v>0</v>
      </c>
      <c r="AF515" s="31">
        <f t="shared" ref="AF515:AF578" si="304">AA515-AE515</f>
        <v>400000</v>
      </c>
      <c r="AG515" s="31">
        <f t="shared" ref="AG515:AG578" si="305">AA515-AB515</f>
        <v>200000</v>
      </c>
      <c r="AH515" s="31">
        <f t="shared" ref="AH515:AH578" si="306">AF515-AB515</f>
        <v>200000</v>
      </c>
      <c r="AI515" s="4" t="s">
        <v>10</v>
      </c>
      <c r="AJ515" s="4" t="s">
        <v>6</v>
      </c>
      <c r="AK515" s="4" t="str">
        <f>IFERROR(VLOOKUP(AJ515,'Guide '!$A$13:$B$16,2,0),"-")</f>
        <v>SP</v>
      </c>
      <c r="AL515" s="4" t="s">
        <v>925</v>
      </c>
      <c r="AM515" s="40">
        <v>45483</v>
      </c>
      <c r="AN515">
        <f t="shared" ref="AN515:AN578" si="307">FIND(":",D515,AT515+1)</f>
        <v>29</v>
      </c>
      <c r="AO515">
        <f t="shared" ref="AO515:AO578" si="308">FIND(",",D515,AU515+1)</f>
        <v>32</v>
      </c>
      <c r="AP515">
        <f t="shared" ref="AP515:AP578" si="309">FIND(":",D515,AN515+1)</f>
        <v>40</v>
      </c>
      <c r="AQ515">
        <f t="shared" ref="AQ515:AQ578" si="310">FIND("}",D515,AO515+1)</f>
        <v>43</v>
      </c>
      <c r="AR515" s="26" t="str">
        <f t="shared" ref="AR515:AR578" si="311">IFERROR(FIND(":",D515,AP515+1),"-")</f>
        <v>-</v>
      </c>
      <c r="AS515" s="26" t="str">
        <f t="shared" ref="AS515:AS578" si="312">IFERROR(FIND(",",D515,AQ515+2),"-")</f>
        <v>-</v>
      </c>
      <c r="AT515" s="21">
        <f t="shared" ref="AT515:AT578" si="313">FIND(":",D515)</f>
        <v>12</v>
      </c>
      <c r="AU515" s="21">
        <f t="shared" ref="AU515:AU578" si="314">FIND(",",D515)</f>
        <v>19</v>
      </c>
      <c r="AV515" t="str">
        <f t="shared" ref="AV515:AV578" si="315">IFERROR(FIND(":",D515,AR515+1),"-")</f>
        <v>-</v>
      </c>
      <c r="AW515" t="str">
        <f t="shared" ref="AW515:AW578" si="316">IFERROR(FIND(",",D515,AS515+1),"-")</f>
        <v>-</v>
      </c>
      <c r="AX515" t="str">
        <f t="shared" ref="AX515:AX578" si="317">IFERROR(FIND(":",D515,AV515+1),"-")</f>
        <v>-</v>
      </c>
      <c r="AY515" t="str">
        <f t="shared" ref="AY515:AY578" si="318">IFERROR(FIND("}",D515,AW515+1),"-")</f>
        <v>-</v>
      </c>
      <c r="AZ515" t="str">
        <f t="shared" ref="AZ515:AZ578" si="319">IFERROR(FIND(":",D515,AX515+1),"-")</f>
        <v>-</v>
      </c>
      <c r="BA515" t="str">
        <f t="shared" ref="BA515:BA578" si="320">IFERROR(FIND(",",D515,AY515+2),"-")</f>
        <v>-</v>
      </c>
      <c r="BB515" t="str">
        <f t="shared" ref="BB515:BB578" si="321">IFERROR(FIND(":",D515,AZ515+1),"-")</f>
        <v>-</v>
      </c>
      <c r="BC515" t="str">
        <f t="shared" ref="BC515:BC578" si="322">IFERROR(FIND(",",D515,BA515+1),"-")</f>
        <v>-</v>
      </c>
      <c r="BD515" s="29" t="str">
        <f t="shared" ref="BD515:BD578" si="323">IFERROR(FIND(":",D515,BB515+1),"-")</f>
        <v>-</v>
      </c>
      <c r="BE515" s="29" t="str">
        <f t="shared" ref="BE515:BE578" si="324">IFERROR(FIND("}",D515,BC515+1),"-")</f>
        <v>-</v>
      </c>
    </row>
    <row r="516" spans="1:57" ht="15" x14ac:dyDescent="0.2">
      <c r="A516" s="2">
        <v>207</v>
      </c>
      <c r="B516" s="2" t="str">
        <f t="shared" si="289"/>
        <v>0207</v>
      </c>
      <c r="C516" t="str">
        <f t="shared" si="290"/>
        <v>ORD-SP-0207-11/07/24</v>
      </c>
      <c r="D516" s="3" t="s">
        <v>276</v>
      </c>
      <c r="E516" t="str">
        <f t="shared" si="291"/>
        <v>SP001</v>
      </c>
      <c r="F516" t="str">
        <f>INDEX(Katalog!$B$4:$B$13,MATCH('Main Data'!E516,Katalog!$C$4:$C$13,0))</f>
        <v>Sneakers</v>
      </c>
      <c r="G516" t="str">
        <f>VLOOKUP(E516,Katalog!$A$15:$B$25,2,0)</f>
        <v>Sepatu Pria</v>
      </c>
      <c r="H516" t="str">
        <f t="shared" si="292"/>
        <v>2</v>
      </c>
      <c r="I516" t="str">
        <f t="shared" si="293"/>
        <v>2</v>
      </c>
      <c r="J516" s="18">
        <f>VLOOKUP(E516,Katalog!$C$3:$F$13,2,0)</f>
        <v>300000</v>
      </c>
      <c r="K516" s="18">
        <f>VLOOKUP(E516,Katalog!$C$3:$F$13,3,0)</f>
        <v>100000</v>
      </c>
      <c r="L516" t="str">
        <f t="shared" si="294"/>
        <v>SW001</v>
      </c>
      <c r="M516" t="str">
        <f>IFERROR(INDEX(Katalog!$B$4:$B$13,MATCH('Main Data'!L516,Katalog!$C$4:$C$13,0)), "-")</f>
        <v>Flat Shoes</v>
      </c>
      <c r="N516" t="str">
        <f>IFERROR(VLOOKUP(L516,Katalog!$A$15:$B$25,2,0),"-")</f>
        <v>Sepatu Wanita</v>
      </c>
      <c r="O516" t="str">
        <f t="shared" si="295"/>
        <v>1</v>
      </c>
      <c r="P516" t="str">
        <f t="shared" si="296"/>
        <v>4</v>
      </c>
      <c r="Q516" s="18">
        <f>IFERROR(VLOOKUP(L516,Katalog!$C$3:$F$13,2,0),0)</f>
        <v>150000</v>
      </c>
      <c r="R516" s="18">
        <f>IFERROR(VLOOKUP(L516,Katalog!$C$3:$F$13,3,0),0)</f>
        <v>70000</v>
      </c>
      <c r="S516" t="str">
        <f t="shared" si="297"/>
        <v>PW002</v>
      </c>
      <c r="T516" t="str">
        <f>IFERROR(INDEX(Katalog!$B$4:$B$13,MATCH('Main Data'!S516,Katalog!$C$4:$C$13,0)),"-")</f>
        <v>Blouse</v>
      </c>
      <c r="U516" t="str">
        <f>IFERROR(VLOOKUP(S516,Katalog!$A$15:$B$25,2,0),"-")</f>
        <v>Pakaian Wanita</v>
      </c>
      <c r="V516" t="str">
        <f t="shared" si="298"/>
        <v>1</v>
      </c>
      <c r="W516" s="28" t="str">
        <f t="shared" si="299"/>
        <v>2</v>
      </c>
      <c r="X516" s="18">
        <f>IFERROR(VLOOKUP(S516,Katalog!$C$3:$F$13,2,0),0)</f>
        <v>125000</v>
      </c>
      <c r="Y516" s="30">
        <f>IFERROR(VLOOKUP(S516,Katalog!$C$3:$F$13,3,0),0)</f>
        <v>50000</v>
      </c>
      <c r="Z516" s="2">
        <f t="shared" si="300"/>
        <v>4</v>
      </c>
      <c r="AA516" s="4">
        <f t="shared" si="301"/>
        <v>875000</v>
      </c>
      <c r="AB516" s="4">
        <f t="shared" si="302"/>
        <v>320000</v>
      </c>
      <c r="AC516" s="4" t="s">
        <v>7</v>
      </c>
      <c r="AD516" s="16">
        <f>IFERROR(VLOOKUP(AC516,'Kode Diskon'!$C$2:$D$9,2,0),0)</f>
        <v>0.2</v>
      </c>
      <c r="AE516" s="31">
        <f t="shared" si="303"/>
        <v>175000</v>
      </c>
      <c r="AF516" s="31">
        <f t="shared" si="304"/>
        <v>700000</v>
      </c>
      <c r="AG516" s="31">
        <f t="shared" si="305"/>
        <v>555000</v>
      </c>
      <c r="AH516" s="31">
        <f t="shared" si="306"/>
        <v>380000</v>
      </c>
      <c r="AI516" s="4" t="s">
        <v>8</v>
      </c>
      <c r="AJ516" s="4" t="s">
        <v>6</v>
      </c>
      <c r="AK516" s="4" t="str">
        <f>IFERROR(VLOOKUP(AJ516,'Guide '!$A$13:$B$16,2,0),"-")</f>
        <v>SP</v>
      </c>
      <c r="AL516" s="4" t="s">
        <v>925</v>
      </c>
      <c r="AM516" s="40">
        <v>45484</v>
      </c>
      <c r="AN516">
        <f t="shared" si="307"/>
        <v>29</v>
      </c>
      <c r="AO516">
        <f t="shared" si="308"/>
        <v>32</v>
      </c>
      <c r="AP516">
        <f t="shared" si="309"/>
        <v>40</v>
      </c>
      <c r="AQ516">
        <f t="shared" si="310"/>
        <v>43</v>
      </c>
      <c r="AR516" s="26">
        <f t="shared" si="311"/>
        <v>56</v>
      </c>
      <c r="AS516" s="26">
        <f t="shared" si="312"/>
        <v>63</v>
      </c>
      <c r="AT516" s="21">
        <f t="shared" si="313"/>
        <v>12</v>
      </c>
      <c r="AU516" s="21">
        <f t="shared" si="314"/>
        <v>19</v>
      </c>
      <c r="AV516">
        <f t="shared" si="315"/>
        <v>73</v>
      </c>
      <c r="AW516">
        <f t="shared" si="316"/>
        <v>76</v>
      </c>
      <c r="AX516">
        <f t="shared" si="317"/>
        <v>84</v>
      </c>
      <c r="AY516">
        <f t="shared" si="318"/>
        <v>87</v>
      </c>
      <c r="AZ516">
        <f t="shared" si="319"/>
        <v>100</v>
      </c>
      <c r="BA516">
        <f t="shared" si="320"/>
        <v>107</v>
      </c>
      <c r="BB516">
        <f t="shared" si="321"/>
        <v>117</v>
      </c>
      <c r="BC516">
        <f t="shared" si="322"/>
        <v>120</v>
      </c>
      <c r="BD516" s="29">
        <f t="shared" si="323"/>
        <v>128</v>
      </c>
      <c r="BE516" s="29">
        <f t="shared" si="324"/>
        <v>131</v>
      </c>
    </row>
    <row r="517" spans="1:57" ht="15" x14ac:dyDescent="0.2">
      <c r="A517" s="2">
        <v>843</v>
      </c>
      <c r="B517" s="2" t="str">
        <f t="shared" si="289"/>
        <v>0843</v>
      </c>
      <c r="C517" t="str">
        <f t="shared" si="290"/>
        <v>ORD-TK-0843-11/07/24</v>
      </c>
      <c r="D517" s="3" t="s">
        <v>798</v>
      </c>
      <c r="E517" t="str">
        <f t="shared" si="291"/>
        <v>PW001</v>
      </c>
      <c r="F517" t="str">
        <f>INDEX(Katalog!$B$4:$B$13,MATCH('Main Data'!E517,Katalog!$C$4:$C$13,0))</f>
        <v>Dress</v>
      </c>
      <c r="G517" t="str">
        <f>VLOOKUP(E517,Katalog!$A$15:$B$25,2,0)</f>
        <v>Pakaian Wanita</v>
      </c>
      <c r="H517" t="str">
        <f t="shared" si="292"/>
        <v>1</v>
      </c>
      <c r="I517" t="str">
        <f t="shared" si="293"/>
        <v>3</v>
      </c>
      <c r="J517" s="18">
        <f>VLOOKUP(E517,Katalog!$C$3:$F$13,2,0)</f>
        <v>150000</v>
      </c>
      <c r="K517" s="18">
        <f>VLOOKUP(E517,Katalog!$C$3:$F$13,3,0)</f>
        <v>55000</v>
      </c>
      <c r="L517" t="str">
        <f t="shared" si="294"/>
        <v>PP001</v>
      </c>
      <c r="M517" t="str">
        <f>IFERROR(INDEX(Katalog!$B$4:$B$13,MATCH('Main Data'!L517,Katalog!$C$4:$C$13,0)), "-")</f>
        <v>Kaos Polo</v>
      </c>
      <c r="N517" t="str">
        <f>IFERROR(VLOOKUP(L517,Katalog!$A$15:$B$25,2,0),"-")</f>
        <v>Pakaian Pria</v>
      </c>
      <c r="O517" t="str">
        <f t="shared" si="295"/>
        <v>3</v>
      </c>
      <c r="P517" t="str">
        <f t="shared" si="296"/>
        <v>1</v>
      </c>
      <c r="Q517" s="18">
        <f>IFERROR(VLOOKUP(L517,Katalog!$C$3:$F$13,2,0),0)</f>
        <v>80000</v>
      </c>
      <c r="R517" s="18">
        <f>IFERROR(VLOOKUP(L517,Katalog!$C$3:$F$13,3,0),0)</f>
        <v>30000</v>
      </c>
      <c r="S517" t="str">
        <f t="shared" si="297"/>
        <v>SP001</v>
      </c>
      <c r="T517" t="str">
        <f>IFERROR(INDEX(Katalog!$B$4:$B$13,MATCH('Main Data'!S517,Katalog!$C$4:$C$13,0)),"-")</f>
        <v>Sneakers</v>
      </c>
      <c r="U517" t="str">
        <f>IFERROR(VLOOKUP(S517,Katalog!$A$15:$B$25,2,0),"-")</f>
        <v>Sepatu Pria</v>
      </c>
      <c r="V517" t="str">
        <f t="shared" si="298"/>
        <v>1</v>
      </c>
      <c r="W517" s="28" t="str">
        <f t="shared" si="299"/>
        <v>2</v>
      </c>
      <c r="X517" s="18">
        <f>IFERROR(VLOOKUP(S517,Katalog!$C$3:$F$13,2,0),0)</f>
        <v>300000</v>
      </c>
      <c r="Y517" s="30">
        <f>IFERROR(VLOOKUP(S517,Katalog!$C$3:$F$13,3,0),0)</f>
        <v>100000</v>
      </c>
      <c r="Z517" s="2">
        <f t="shared" si="300"/>
        <v>5</v>
      </c>
      <c r="AA517" s="4">
        <f t="shared" si="301"/>
        <v>690000</v>
      </c>
      <c r="AB517" s="4">
        <f t="shared" si="302"/>
        <v>245000</v>
      </c>
      <c r="AC517" s="4" t="s">
        <v>29</v>
      </c>
      <c r="AD517" s="16">
        <f>IFERROR(VLOOKUP(AC517,'Kode Diskon'!$C$2:$D$9,2,0),0)</f>
        <v>0.1</v>
      </c>
      <c r="AE517" s="31">
        <f t="shared" si="303"/>
        <v>69000</v>
      </c>
      <c r="AF517" s="31">
        <f t="shared" si="304"/>
        <v>621000</v>
      </c>
      <c r="AG517" s="31">
        <f t="shared" si="305"/>
        <v>445000</v>
      </c>
      <c r="AH517" s="31">
        <f t="shared" si="306"/>
        <v>376000</v>
      </c>
      <c r="AI517" s="4" t="s">
        <v>28</v>
      </c>
      <c r="AJ517" s="4" t="s">
        <v>9</v>
      </c>
      <c r="AK517" s="4" t="str">
        <f>IFERROR(VLOOKUP(AJ517,'Guide '!$A$13:$B$16,2,0),"-")</f>
        <v>TK</v>
      </c>
      <c r="AL517" s="4" t="s">
        <v>924</v>
      </c>
      <c r="AM517" s="40">
        <v>45484</v>
      </c>
      <c r="AN517">
        <f t="shared" si="307"/>
        <v>29</v>
      </c>
      <c r="AO517">
        <f t="shared" si="308"/>
        <v>32</v>
      </c>
      <c r="AP517">
        <f t="shared" si="309"/>
        <v>40</v>
      </c>
      <c r="AQ517">
        <f t="shared" si="310"/>
        <v>43</v>
      </c>
      <c r="AR517" s="26">
        <f t="shared" si="311"/>
        <v>56</v>
      </c>
      <c r="AS517" s="26">
        <f t="shared" si="312"/>
        <v>63</v>
      </c>
      <c r="AT517" s="21">
        <f t="shared" si="313"/>
        <v>12</v>
      </c>
      <c r="AU517" s="21">
        <f t="shared" si="314"/>
        <v>19</v>
      </c>
      <c r="AV517">
        <f t="shared" si="315"/>
        <v>73</v>
      </c>
      <c r="AW517">
        <f t="shared" si="316"/>
        <v>76</v>
      </c>
      <c r="AX517">
        <f t="shared" si="317"/>
        <v>84</v>
      </c>
      <c r="AY517">
        <f t="shared" si="318"/>
        <v>87</v>
      </c>
      <c r="AZ517">
        <f t="shared" si="319"/>
        <v>100</v>
      </c>
      <c r="BA517">
        <f t="shared" si="320"/>
        <v>107</v>
      </c>
      <c r="BB517">
        <f t="shared" si="321"/>
        <v>117</v>
      </c>
      <c r="BC517">
        <f t="shared" si="322"/>
        <v>120</v>
      </c>
      <c r="BD517" s="29">
        <f t="shared" si="323"/>
        <v>128</v>
      </c>
      <c r="BE517" s="29">
        <f t="shared" si="324"/>
        <v>131</v>
      </c>
    </row>
    <row r="518" spans="1:57" ht="15" x14ac:dyDescent="0.2">
      <c r="A518" s="2">
        <v>880</v>
      </c>
      <c r="B518" s="2" t="str">
        <f t="shared" si="289"/>
        <v>0880</v>
      </c>
      <c r="C518" t="str">
        <f t="shared" si="290"/>
        <v>ORD-SP-0880-11/07/24</v>
      </c>
      <c r="D518" s="3" t="s">
        <v>822</v>
      </c>
      <c r="E518" t="str">
        <f t="shared" si="291"/>
        <v>SW001</v>
      </c>
      <c r="F518" t="str">
        <f>INDEX(Katalog!$B$4:$B$13,MATCH('Main Data'!E518,Katalog!$C$4:$C$13,0))</f>
        <v>Flat Shoes</v>
      </c>
      <c r="G518" t="str">
        <f>VLOOKUP(E518,Katalog!$A$15:$B$25,2,0)</f>
        <v>Sepatu Wanita</v>
      </c>
      <c r="H518" t="str">
        <f t="shared" si="292"/>
        <v>1</v>
      </c>
      <c r="I518" t="str">
        <f t="shared" si="293"/>
        <v>1</v>
      </c>
      <c r="J518" s="18">
        <f>VLOOKUP(E518,Katalog!$C$3:$F$13,2,0)</f>
        <v>150000</v>
      </c>
      <c r="K518" s="18">
        <f>VLOOKUP(E518,Katalog!$C$3:$F$13,3,0)</f>
        <v>70000</v>
      </c>
      <c r="L518" t="str">
        <f t="shared" si="294"/>
        <v>PW003</v>
      </c>
      <c r="M518" t="str">
        <f>IFERROR(INDEX(Katalog!$B$4:$B$13,MATCH('Main Data'!L518,Katalog!$C$4:$C$13,0)), "-")</f>
        <v>Kaftan</v>
      </c>
      <c r="N518" t="str">
        <f>IFERROR(VLOOKUP(L518,Katalog!$A$15:$B$25,2,0),"-")</f>
        <v>Pakaian Wanita</v>
      </c>
      <c r="O518" t="str">
        <f t="shared" si="295"/>
        <v>2</v>
      </c>
      <c r="P518" t="str">
        <f t="shared" si="296"/>
        <v>4</v>
      </c>
      <c r="Q518" s="18">
        <f>IFERROR(VLOOKUP(L518,Katalog!$C$3:$F$13,2,0),0)</f>
        <v>200000</v>
      </c>
      <c r="R518" s="18">
        <f>IFERROR(VLOOKUP(L518,Katalog!$C$3:$F$13,3,0),0)</f>
        <v>100000</v>
      </c>
      <c r="S518" t="str">
        <f t="shared" si="297"/>
        <v>-</v>
      </c>
      <c r="T518" t="str">
        <f>IFERROR(INDEX(Katalog!$B$4:$B$13,MATCH('Main Data'!S518,Katalog!$C$4:$C$13,0)),"-")</f>
        <v>-</v>
      </c>
      <c r="U518" t="str">
        <f>IFERROR(VLOOKUP(S518,Katalog!$A$15:$B$25,2,0),"-")</f>
        <v>-</v>
      </c>
      <c r="V518">
        <f t="shared" si="298"/>
        <v>0</v>
      </c>
      <c r="W518" s="28" t="str">
        <f t="shared" si="299"/>
        <v>-</v>
      </c>
      <c r="X518" s="18">
        <f>IFERROR(VLOOKUP(S518,Katalog!$C$3:$F$13,2,0),0)</f>
        <v>0</v>
      </c>
      <c r="Y518" s="30">
        <f>IFERROR(VLOOKUP(S518,Katalog!$C$3:$F$13,3,0),0)</f>
        <v>0</v>
      </c>
      <c r="Z518" s="2">
        <f t="shared" si="300"/>
        <v>3</v>
      </c>
      <c r="AA518" s="4">
        <f t="shared" si="301"/>
        <v>550000</v>
      </c>
      <c r="AB518" s="4">
        <f t="shared" si="302"/>
        <v>270000</v>
      </c>
      <c r="AC518" s="4" t="s">
        <v>5</v>
      </c>
      <c r="AD518" s="16">
        <f>IFERROR(VLOOKUP(AC518,'Kode Diskon'!$C$2:$D$9,2,0),0)</f>
        <v>0.1</v>
      </c>
      <c r="AE518" s="31">
        <f t="shared" si="303"/>
        <v>55000</v>
      </c>
      <c r="AF518" s="31">
        <f t="shared" si="304"/>
        <v>495000</v>
      </c>
      <c r="AG518" s="31">
        <f t="shared" si="305"/>
        <v>280000</v>
      </c>
      <c r="AH518" s="31">
        <f t="shared" si="306"/>
        <v>225000</v>
      </c>
      <c r="AI518" s="4" t="s">
        <v>28</v>
      </c>
      <c r="AJ518" s="4" t="s">
        <v>6</v>
      </c>
      <c r="AK518" s="4" t="str">
        <f>IFERROR(VLOOKUP(AJ518,'Guide '!$A$13:$B$16,2,0),"-")</f>
        <v>SP</v>
      </c>
      <c r="AL518" s="4" t="s">
        <v>925</v>
      </c>
      <c r="AM518" s="40">
        <v>45484</v>
      </c>
      <c r="AN518">
        <f t="shared" si="307"/>
        <v>29</v>
      </c>
      <c r="AO518">
        <f t="shared" si="308"/>
        <v>32</v>
      </c>
      <c r="AP518">
        <f t="shared" si="309"/>
        <v>40</v>
      </c>
      <c r="AQ518">
        <f t="shared" si="310"/>
        <v>43</v>
      </c>
      <c r="AR518" s="26">
        <f t="shared" si="311"/>
        <v>56</v>
      </c>
      <c r="AS518" s="26">
        <f t="shared" si="312"/>
        <v>63</v>
      </c>
      <c r="AT518" s="21">
        <f t="shared" si="313"/>
        <v>12</v>
      </c>
      <c r="AU518" s="21">
        <f t="shared" si="314"/>
        <v>19</v>
      </c>
      <c r="AV518">
        <f t="shared" si="315"/>
        <v>73</v>
      </c>
      <c r="AW518">
        <f t="shared" si="316"/>
        <v>76</v>
      </c>
      <c r="AX518">
        <f t="shared" si="317"/>
        <v>84</v>
      </c>
      <c r="AY518">
        <f t="shared" si="318"/>
        <v>87</v>
      </c>
      <c r="AZ518" t="str">
        <f t="shared" si="319"/>
        <v>-</v>
      </c>
      <c r="BA518" t="str">
        <f t="shared" si="320"/>
        <v>-</v>
      </c>
      <c r="BB518" t="str">
        <f t="shared" si="321"/>
        <v>-</v>
      </c>
      <c r="BC518" t="str">
        <f t="shared" si="322"/>
        <v>-</v>
      </c>
      <c r="BD518" s="29" t="str">
        <f t="shared" si="323"/>
        <v>-</v>
      </c>
      <c r="BE518" s="29" t="str">
        <f t="shared" si="324"/>
        <v>-</v>
      </c>
    </row>
    <row r="519" spans="1:57" ht="15" x14ac:dyDescent="0.2">
      <c r="A519" s="2">
        <v>928</v>
      </c>
      <c r="B519" s="2" t="str">
        <f t="shared" si="289"/>
        <v>0928</v>
      </c>
      <c r="C519" t="str">
        <f t="shared" si="290"/>
        <v>ORD-TK-0928-11/07/24</v>
      </c>
      <c r="D519" s="3" t="s">
        <v>200</v>
      </c>
      <c r="E519" t="str">
        <f t="shared" si="291"/>
        <v>SP002</v>
      </c>
      <c r="F519" t="str">
        <f>INDEX(Katalog!$B$4:$B$13,MATCH('Main Data'!E519,Katalog!$C$4:$C$13,0))</f>
        <v>Sandal Slip On</v>
      </c>
      <c r="G519" t="str">
        <f>VLOOKUP(E519,Katalog!$A$15:$B$25,2,0)</f>
        <v>Sepatu Pria</v>
      </c>
      <c r="H519" t="str">
        <f t="shared" si="292"/>
        <v>2</v>
      </c>
      <c r="I519" t="str">
        <f t="shared" si="293"/>
        <v>2</v>
      </c>
      <c r="J519" s="18">
        <f>VLOOKUP(E519,Katalog!$C$3:$F$13,2,0)</f>
        <v>120000</v>
      </c>
      <c r="K519" s="18">
        <f>VLOOKUP(E519,Katalog!$C$3:$F$13,3,0)</f>
        <v>60000</v>
      </c>
      <c r="L519" t="str">
        <f t="shared" si="294"/>
        <v>-</v>
      </c>
      <c r="M519" t="str">
        <f>IFERROR(INDEX(Katalog!$B$4:$B$13,MATCH('Main Data'!L519,Katalog!$C$4:$C$13,0)), "-")</f>
        <v>-</v>
      </c>
      <c r="N519" t="str">
        <f>IFERROR(VLOOKUP(L519,Katalog!$A$15:$B$25,2,0),"-")</f>
        <v>-</v>
      </c>
      <c r="O519">
        <f t="shared" si="295"/>
        <v>0</v>
      </c>
      <c r="P519" t="str">
        <f t="shared" si="296"/>
        <v>-</v>
      </c>
      <c r="Q519" s="18">
        <f>IFERROR(VLOOKUP(L519,Katalog!$C$3:$F$13,2,0),0)</f>
        <v>0</v>
      </c>
      <c r="R519" s="18">
        <f>IFERROR(VLOOKUP(L519,Katalog!$C$3:$F$13,3,0),0)</f>
        <v>0</v>
      </c>
      <c r="S519" t="str">
        <f t="shared" si="297"/>
        <v>-</v>
      </c>
      <c r="T519" t="str">
        <f>IFERROR(INDEX(Katalog!$B$4:$B$13,MATCH('Main Data'!S519,Katalog!$C$4:$C$13,0)),"-")</f>
        <v>-</v>
      </c>
      <c r="U519" t="str">
        <f>IFERROR(VLOOKUP(S519,Katalog!$A$15:$B$25,2,0),"-")</f>
        <v>-</v>
      </c>
      <c r="V519">
        <f t="shared" si="298"/>
        <v>0</v>
      </c>
      <c r="W519" s="28" t="str">
        <f t="shared" si="299"/>
        <v>-</v>
      </c>
      <c r="X519" s="18">
        <f>IFERROR(VLOOKUP(S519,Katalog!$C$3:$F$13,2,0),0)</f>
        <v>0</v>
      </c>
      <c r="Y519" s="30">
        <f>IFERROR(VLOOKUP(S519,Katalog!$C$3:$F$13,3,0),0)</f>
        <v>0</v>
      </c>
      <c r="Z519" s="2">
        <f t="shared" si="300"/>
        <v>2</v>
      </c>
      <c r="AA519" s="4">
        <f t="shared" si="301"/>
        <v>240000</v>
      </c>
      <c r="AB519" s="4">
        <f t="shared" si="302"/>
        <v>120000</v>
      </c>
      <c r="AC519" s="4" t="s">
        <v>30</v>
      </c>
      <c r="AD519" s="16">
        <f>IFERROR(VLOOKUP(AC519,'Kode Diskon'!$C$2:$D$9,2,0),0)</f>
        <v>0.1</v>
      </c>
      <c r="AE519" s="31">
        <f t="shared" si="303"/>
        <v>24000</v>
      </c>
      <c r="AF519" s="31">
        <f t="shared" si="304"/>
        <v>216000</v>
      </c>
      <c r="AG519" s="31">
        <f t="shared" si="305"/>
        <v>120000</v>
      </c>
      <c r="AH519" s="31">
        <f t="shared" si="306"/>
        <v>96000</v>
      </c>
      <c r="AI519" s="4" t="s">
        <v>8</v>
      </c>
      <c r="AJ519" s="4" t="s">
        <v>9</v>
      </c>
      <c r="AK519" s="4" t="str">
        <f>IFERROR(VLOOKUP(AJ519,'Guide '!$A$13:$B$16,2,0),"-")</f>
        <v>TK</v>
      </c>
      <c r="AL519" s="4" t="s">
        <v>921</v>
      </c>
      <c r="AM519" s="40">
        <v>45484</v>
      </c>
      <c r="AN519">
        <f t="shared" si="307"/>
        <v>29</v>
      </c>
      <c r="AO519">
        <f t="shared" si="308"/>
        <v>32</v>
      </c>
      <c r="AP519">
        <f t="shared" si="309"/>
        <v>40</v>
      </c>
      <c r="AQ519">
        <f t="shared" si="310"/>
        <v>43</v>
      </c>
      <c r="AR519" s="26" t="str">
        <f t="shared" si="311"/>
        <v>-</v>
      </c>
      <c r="AS519" s="26" t="str">
        <f t="shared" si="312"/>
        <v>-</v>
      </c>
      <c r="AT519" s="21">
        <f t="shared" si="313"/>
        <v>12</v>
      </c>
      <c r="AU519" s="21">
        <f t="shared" si="314"/>
        <v>19</v>
      </c>
      <c r="AV519" t="str">
        <f t="shared" si="315"/>
        <v>-</v>
      </c>
      <c r="AW519" t="str">
        <f t="shared" si="316"/>
        <v>-</v>
      </c>
      <c r="AX519" t="str">
        <f t="shared" si="317"/>
        <v>-</v>
      </c>
      <c r="AY519" t="str">
        <f t="shared" si="318"/>
        <v>-</v>
      </c>
      <c r="AZ519" t="str">
        <f t="shared" si="319"/>
        <v>-</v>
      </c>
      <c r="BA519" t="str">
        <f t="shared" si="320"/>
        <v>-</v>
      </c>
      <c r="BB519" t="str">
        <f t="shared" si="321"/>
        <v>-</v>
      </c>
      <c r="BC519" t="str">
        <f t="shared" si="322"/>
        <v>-</v>
      </c>
      <c r="BD519" s="29" t="str">
        <f t="shared" si="323"/>
        <v>-</v>
      </c>
      <c r="BE519" s="29" t="str">
        <f t="shared" si="324"/>
        <v>-</v>
      </c>
    </row>
    <row r="520" spans="1:57" ht="15" x14ac:dyDescent="0.2">
      <c r="A520" s="2">
        <v>210</v>
      </c>
      <c r="B520" s="2" t="str">
        <f t="shared" si="289"/>
        <v>0210</v>
      </c>
      <c r="C520" t="str">
        <f t="shared" si="290"/>
        <v>ORD-TK-0210-12/07/24</v>
      </c>
      <c r="D520" s="3" t="s">
        <v>279</v>
      </c>
      <c r="E520" t="str">
        <f t="shared" si="291"/>
        <v>PP003</v>
      </c>
      <c r="F520" t="str">
        <f>INDEX(Katalog!$B$4:$B$13,MATCH('Main Data'!E520,Katalog!$C$4:$C$13,0))</f>
        <v>Jaket Jeans</v>
      </c>
      <c r="G520" t="str">
        <f>VLOOKUP(E520,Katalog!$A$15:$B$25,2,0)</f>
        <v>Pakaian Pria</v>
      </c>
      <c r="H520" t="str">
        <f t="shared" si="292"/>
        <v>2</v>
      </c>
      <c r="I520" t="str">
        <f t="shared" si="293"/>
        <v>5</v>
      </c>
      <c r="J520" s="18">
        <f>VLOOKUP(E520,Katalog!$C$3:$F$13,2,0)</f>
        <v>150000</v>
      </c>
      <c r="K520" s="18">
        <f>VLOOKUP(E520,Katalog!$C$3:$F$13,3,0)</f>
        <v>70000</v>
      </c>
      <c r="L520" t="str">
        <f t="shared" si="294"/>
        <v>PW001</v>
      </c>
      <c r="M520" t="str">
        <f>IFERROR(INDEX(Katalog!$B$4:$B$13,MATCH('Main Data'!L520,Katalog!$C$4:$C$13,0)), "-")</f>
        <v>Dress</v>
      </c>
      <c r="N520" t="str">
        <f>IFERROR(VLOOKUP(L520,Katalog!$A$15:$B$25,2,0),"-")</f>
        <v>Pakaian Wanita</v>
      </c>
      <c r="O520" t="str">
        <f t="shared" si="295"/>
        <v>1</v>
      </c>
      <c r="P520" t="str">
        <f t="shared" si="296"/>
        <v>1</v>
      </c>
      <c r="Q520" s="18">
        <f>IFERROR(VLOOKUP(L520,Katalog!$C$3:$F$13,2,0),0)</f>
        <v>150000</v>
      </c>
      <c r="R520" s="18">
        <f>IFERROR(VLOOKUP(L520,Katalog!$C$3:$F$13,3,0),0)</f>
        <v>55000</v>
      </c>
      <c r="S520" t="str">
        <f t="shared" si="297"/>
        <v>PW002</v>
      </c>
      <c r="T520" t="str">
        <f>IFERROR(INDEX(Katalog!$B$4:$B$13,MATCH('Main Data'!S520,Katalog!$C$4:$C$13,0)),"-")</f>
        <v>Blouse</v>
      </c>
      <c r="U520" t="str">
        <f>IFERROR(VLOOKUP(S520,Katalog!$A$15:$B$25,2,0),"-")</f>
        <v>Pakaian Wanita</v>
      </c>
      <c r="V520" t="str">
        <f t="shared" si="298"/>
        <v>2</v>
      </c>
      <c r="W520" s="28" t="str">
        <f t="shared" si="299"/>
        <v>2</v>
      </c>
      <c r="X520" s="18">
        <f>IFERROR(VLOOKUP(S520,Katalog!$C$3:$F$13,2,0),0)</f>
        <v>125000</v>
      </c>
      <c r="Y520" s="30">
        <f>IFERROR(VLOOKUP(S520,Katalog!$C$3:$F$13,3,0),0)</f>
        <v>50000</v>
      </c>
      <c r="Z520" s="2">
        <f t="shared" si="300"/>
        <v>5</v>
      </c>
      <c r="AA520" s="4">
        <f t="shared" si="301"/>
        <v>700000</v>
      </c>
      <c r="AB520" s="4">
        <f t="shared" si="302"/>
        <v>295000</v>
      </c>
      <c r="AC520" s="4" t="s">
        <v>30</v>
      </c>
      <c r="AD520" s="16">
        <f>IFERROR(VLOOKUP(AC520,'Kode Diskon'!$C$2:$D$9,2,0),0)</f>
        <v>0.1</v>
      </c>
      <c r="AE520" s="31">
        <f t="shared" si="303"/>
        <v>70000</v>
      </c>
      <c r="AF520" s="31">
        <f t="shared" si="304"/>
        <v>630000</v>
      </c>
      <c r="AG520" s="31">
        <f t="shared" si="305"/>
        <v>405000</v>
      </c>
      <c r="AH520" s="31">
        <f t="shared" si="306"/>
        <v>335000</v>
      </c>
      <c r="AI520" s="4" t="s">
        <v>8</v>
      </c>
      <c r="AJ520" s="4" t="s">
        <v>9</v>
      </c>
      <c r="AK520" s="4" t="str">
        <f>IFERROR(VLOOKUP(AJ520,'Guide '!$A$13:$B$16,2,0),"-")</f>
        <v>TK</v>
      </c>
      <c r="AL520" s="4" t="s">
        <v>925</v>
      </c>
      <c r="AM520" s="40">
        <v>45485</v>
      </c>
      <c r="AN520">
        <f t="shared" si="307"/>
        <v>29</v>
      </c>
      <c r="AO520">
        <f t="shared" si="308"/>
        <v>32</v>
      </c>
      <c r="AP520">
        <f t="shared" si="309"/>
        <v>40</v>
      </c>
      <c r="AQ520">
        <f t="shared" si="310"/>
        <v>43</v>
      </c>
      <c r="AR520" s="26">
        <f t="shared" si="311"/>
        <v>56</v>
      </c>
      <c r="AS520" s="26">
        <f t="shared" si="312"/>
        <v>63</v>
      </c>
      <c r="AT520" s="21">
        <f t="shared" si="313"/>
        <v>12</v>
      </c>
      <c r="AU520" s="21">
        <f t="shared" si="314"/>
        <v>19</v>
      </c>
      <c r="AV520">
        <f t="shared" si="315"/>
        <v>73</v>
      </c>
      <c r="AW520">
        <f t="shared" si="316"/>
        <v>76</v>
      </c>
      <c r="AX520">
        <f t="shared" si="317"/>
        <v>84</v>
      </c>
      <c r="AY520">
        <f t="shared" si="318"/>
        <v>87</v>
      </c>
      <c r="AZ520">
        <f t="shared" si="319"/>
        <v>100</v>
      </c>
      <c r="BA520">
        <f t="shared" si="320"/>
        <v>107</v>
      </c>
      <c r="BB520">
        <f t="shared" si="321"/>
        <v>117</v>
      </c>
      <c r="BC520">
        <f t="shared" si="322"/>
        <v>120</v>
      </c>
      <c r="BD520" s="29">
        <f t="shared" si="323"/>
        <v>128</v>
      </c>
      <c r="BE520" s="29">
        <f t="shared" si="324"/>
        <v>131</v>
      </c>
    </row>
    <row r="521" spans="1:57" ht="15" x14ac:dyDescent="0.2">
      <c r="A521" s="2">
        <v>390</v>
      </c>
      <c r="B521" s="2" t="str">
        <f t="shared" si="289"/>
        <v>0390</v>
      </c>
      <c r="C521" t="str">
        <f t="shared" si="290"/>
        <v>ORD-SP-0390-12/07/24</v>
      </c>
      <c r="D521" s="3" t="s">
        <v>439</v>
      </c>
      <c r="E521" t="str">
        <f t="shared" si="291"/>
        <v>PW003</v>
      </c>
      <c r="F521" t="str">
        <f>INDEX(Katalog!$B$4:$B$13,MATCH('Main Data'!E521,Katalog!$C$4:$C$13,0))</f>
        <v>Kaftan</v>
      </c>
      <c r="G521" t="str">
        <f>VLOOKUP(E521,Katalog!$A$15:$B$25,2,0)</f>
        <v>Pakaian Wanita</v>
      </c>
      <c r="H521" t="str">
        <f t="shared" si="292"/>
        <v>2</v>
      </c>
      <c r="I521" t="str">
        <f t="shared" si="293"/>
        <v>1</v>
      </c>
      <c r="J521" s="18">
        <f>VLOOKUP(E521,Katalog!$C$3:$F$13,2,0)</f>
        <v>200000</v>
      </c>
      <c r="K521" s="18">
        <f>VLOOKUP(E521,Katalog!$C$3:$F$13,3,0)</f>
        <v>100000</v>
      </c>
      <c r="L521" t="str">
        <f t="shared" si="294"/>
        <v>-</v>
      </c>
      <c r="M521" t="str">
        <f>IFERROR(INDEX(Katalog!$B$4:$B$13,MATCH('Main Data'!L521,Katalog!$C$4:$C$13,0)), "-")</f>
        <v>-</v>
      </c>
      <c r="N521" t="str">
        <f>IFERROR(VLOOKUP(L521,Katalog!$A$15:$B$25,2,0),"-")</f>
        <v>-</v>
      </c>
      <c r="O521">
        <f t="shared" si="295"/>
        <v>0</v>
      </c>
      <c r="P521" t="str">
        <f t="shared" si="296"/>
        <v>-</v>
      </c>
      <c r="Q521" s="18">
        <f>IFERROR(VLOOKUP(L521,Katalog!$C$3:$F$13,2,0),0)</f>
        <v>0</v>
      </c>
      <c r="R521" s="18">
        <f>IFERROR(VLOOKUP(L521,Katalog!$C$3:$F$13,3,0),0)</f>
        <v>0</v>
      </c>
      <c r="S521" t="str">
        <f t="shared" si="297"/>
        <v>-</v>
      </c>
      <c r="T521" t="str">
        <f>IFERROR(INDEX(Katalog!$B$4:$B$13,MATCH('Main Data'!S521,Katalog!$C$4:$C$13,0)),"-")</f>
        <v>-</v>
      </c>
      <c r="U521" t="str">
        <f>IFERROR(VLOOKUP(S521,Katalog!$A$15:$B$25,2,0),"-")</f>
        <v>-</v>
      </c>
      <c r="V521">
        <f t="shared" si="298"/>
        <v>0</v>
      </c>
      <c r="W521" s="28" t="str">
        <f t="shared" si="299"/>
        <v>-</v>
      </c>
      <c r="X521" s="18">
        <f>IFERROR(VLOOKUP(S521,Katalog!$C$3:$F$13,2,0),0)</f>
        <v>0</v>
      </c>
      <c r="Y521" s="30">
        <f>IFERROR(VLOOKUP(S521,Katalog!$C$3:$F$13,3,0),0)</f>
        <v>0</v>
      </c>
      <c r="Z521" s="2">
        <f t="shared" si="300"/>
        <v>2</v>
      </c>
      <c r="AA521" s="4">
        <f t="shared" si="301"/>
        <v>400000</v>
      </c>
      <c r="AB521" s="4">
        <f t="shared" si="302"/>
        <v>200000</v>
      </c>
      <c r="AC521" s="4" t="s">
        <v>12</v>
      </c>
      <c r="AD521" s="16">
        <f>IFERROR(VLOOKUP(AC521,'Kode Diskon'!$C$2:$D$9,2,0),0)</f>
        <v>0.15</v>
      </c>
      <c r="AE521" s="31">
        <f t="shared" si="303"/>
        <v>60000</v>
      </c>
      <c r="AF521" s="31">
        <f t="shared" si="304"/>
        <v>340000</v>
      </c>
      <c r="AG521" s="31">
        <f t="shared" si="305"/>
        <v>200000</v>
      </c>
      <c r="AH521" s="31">
        <f t="shared" si="306"/>
        <v>140000</v>
      </c>
      <c r="AI521" s="4" t="s">
        <v>28</v>
      </c>
      <c r="AJ521" s="4" t="s">
        <v>6</v>
      </c>
      <c r="AK521" s="4" t="str">
        <f>IFERROR(VLOOKUP(AJ521,'Guide '!$A$13:$B$16,2,0),"-")</f>
        <v>SP</v>
      </c>
      <c r="AL521" s="4" t="s">
        <v>925</v>
      </c>
      <c r="AM521" s="40">
        <v>45485</v>
      </c>
      <c r="AN521">
        <f t="shared" si="307"/>
        <v>29</v>
      </c>
      <c r="AO521">
        <f t="shared" si="308"/>
        <v>32</v>
      </c>
      <c r="AP521">
        <f t="shared" si="309"/>
        <v>40</v>
      </c>
      <c r="AQ521">
        <f t="shared" si="310"/>
        <v>43</v>
      </c>
      <c r="AR521" s="26" t="str">
        <f t="shared" si="311"/>
        <v>-</v>
      </c>
      <c r="AS521" s="26" t="str">
        <f t="shared" si="312"/>
        <v>-</v>
      </c>
      <c r="AT521" s="21">
        <f t="shared" si="313"/>
        <v>12</v>
      </c>
      <c r="AU521" s="21">
        <f t="shared" si="314"/>
        <v>19</v>
      </c>
      <c r="AV521" t="str">
        <f t="shared" si="315"/>
        <v>-</v>
      </c>
      <c r="AW521" t="str">
        <f t="shared" si="316"/>
        <v>-</v>
      </c>
      <c r="AX521" t="str">
        <f t="shared" si="317"/>
        <v>-</v>
      </c>
      <c r="AY521" t="str">
        <f t="shared" si="318"/>
        <v>-</v>
      </c>
      <c r="AZ521" t="str">
        <f t="shared" si="319"/>
        <v>-</v>
      </c>
      <c r="BA521" t="str">
        <f t="shared" si="320"/>
        <v>-</v>
      </c>
      <c r="BB521" t="str">
        <f t="shared" si="321"/>
        <v>-</v>
      </c>
      <c r="BC521" t="str">
        <f t="shared" si="322"/>
        <v>-</v>
      </c>
      <c r="BD521" s="29" t="str">
        <f t="shared" si="323"/>
        <v>-</v>
      </c>
      <c r="BE521" s="29" t="str">
        <f t="shared" si="324"/>
        <v>-</v>
      </c>
    </row>
    <row r="522" spans="1:57" ht="15" x14ac:dyDescent="0.2">
      <c r="A522" s="2">
        <v>619</v>
      </c>
      <c r="B522" s="2" t="str">
        <f t="shared" si="289"/>
        <v>0619</v>
      </c>
      <c r="C522" t="str">
        <f t="shared" si="290"/>
        <v>ORD-TK-0619-12/07/24</v>
      </c>
      <c r="D522" s="3" t="s">
        <v>628</v>
      </c>
      <c r="E522" t="str">
        <f t="shared" si="291"/>
        <v>PW002</v>
      </c>
      <c r="F522" t="str">
        <f>INDEX(Katalog!$B$4:$B$13,MATCH('Main Data'!E522,Katalog!$C$4:$C$13,0))</f>
        <v>Blouse</v>
      </c>
      <c r="G522" t="str">
        <f>VLOOKUP(E522,Katalog!$A$15:$B$25,2,0)</f>
        <v>Pakaian Wanita</v>
      </c>
      <c r="H522" t="str">
        <f t="shared" si="292"/>
        <v>5</v>
      </c>
      <c r="I522" t="str">
        <f t="shared" si="293"/>
        <v>4</v>
      </c>
      <c r="J522" s="18">
        <f>VLOOKUP(E522,Katalog!$C$3:$F$13,2,0)</f>
        <v>125000</v>
      </c>
      <c r="K522" s="18">
        <f>VLOOKUP(E522,Katalog!$C$3:$F$13,3,0)</f>
        <v>50000</v>
      </c>
      <c r="L522" t="str">
        <f t="shared" si="294"/>
        <v>PP003</v>
      </c>
      <c r="M522" t="str">
        <f>IFERROR(INDEX(Katalog!$B$4:$B$13,MATCH('Main Data'!L522,Katalog!$C$4:$C$13,0)), "-")</f>
        <v>Jaket Jeans</v>
      </c>
      <c r="N522" t="str">
        <f>IFERROR(VLOOKUP(L522,Katalog!$A$15:$B$25,2,0),"-")</f>
        <v>Pakaian Pria</v>
      </c>
      <c r="O522" t="str">
        <f t="shared" si="295"/>
        <v>1</v>
      </c>
      <c r="P522" t="str">
        <f t="shared" si="296"/>
        <v>1</v>
      </c>
      <c r="Q522" s="18">
        <f>IFERROR(VLOOKUP(L522,Katalog!$C$3:$F$13,2,0),0)</f>
        <v>150000</v>
      </c>
      <c r="R522" s="18">
        <f>IFERROR(VLOOKUP(L522,Katalog!$C$3:$F$13,3,0),0)</f>
        <v>70000</v>
      </c>
      <c r="S522" t="str">
        <f t="shared" si="297"/>
        <v>-</v>
      </c>
      <c r="T522" t="str">
        <f>IFERROR(INDEX(Katalog!$B$4:$B$13,MATCH('Main Data'!S522,Katalog!$C$4:$C$13,0)),"-")</f>
        <v>-</v>
      </c>
      <c r="U522" t="str">
        <f>IFERROR(VLOOKUP(S522,Katalog!$A$15:$B$25,2,0),"-")</f>
        <v>-</v>
      </c>
      <c r="V522">
        <f t="shared" si="298"/>
        <v>0</v>
      </c>
      <c r="W522" s="28" t="str">
        <f t="shared" si="299"/>
        <v>-</v>
      </c>
      <c r="X522" s="18">
        <f>IFERROR(VLOOKUP(S522,Katalog!$C$3:$F$13,2,0),0)</f>
        <v>0</v>
      </c>
      <c r="Y522" s="30">
        <f>IFERROR(VLOOKUP(S522,Katalog!$C$3:$F$13,3,0),0)</f>
        <v>0</v>
      </c>
      <c r="Z522" s="2">
        <f t="shared" si="300"/>
        <v>6</v>
      </c>
      <c r="AA522" s="4">
        <f t="shared" si="301"/>
        <v>775000</v>
      </c>
      <c r="AB522" s="4">
        <f t="shared" si="302"/>
        <v>320000</v>
      </c>
      <c r="AC522" s="4" t="s">
        <v>10</v>
      </c>
      <c r="AD522" s="16">
        <f>IFERROR(VLOOKUP(AC522,'Kode Diskon'!$C$2:$D$9,2,0),0)</f>
        <v>0</v>
      </c>
      <c r="AE522" s="31">
        <f t="shared" si="303"/>
        <v>0</v>
      </c>
      <c r="AF522" s="31">
        <f t="shared" si="304"/>
        <v>775000</v>
      </c>
      <c r="AG522" s="31">
        <f t="shared" si="305"/>
        <v>455000</v>
      </c>
      <c r="AH522" s="31">
        <f t="shared" si="306"/>
        <v>455000</v>
      </c>
      <c r="AI522" s="4" t="s">
        <v>10</v>
      </c>
      <c r="AJ522" s="4" t="s">
        <v>9</v>
      </c>
      <c r="AK522" s="4" t="str">
        <f>IFERROR(VLOOKUP(AJ522,'Guide '!$A$13:$B$16,2,0),"-")</f>
        <v>TK</v>
      </c>
      <c r="AL522" s="4" t="s">
        <v>925</v>
      </c>
      <c r="AM522" s="40">
        <v>45485</v>
      </c>
      <c r="AN522">
        <f t="shared" si="307"/>
        <v>29</v>
      </c>
      <c r="AO522">
        <f t="shared" si="308"/>
        <v>32</v>
      </c>
      <c r="AP522">
        <f t="shared" si="309"/>
        <v>40</v>
      </c>
      <c r="AQ522">
        <f t="shared" si="310"/>
        <v>43</v>
      </c>
      <c r="AR522" s="26">
        <f t="shared" si="311"/>
        <v>56</v>
      </c>
      <c r="AS522" s="26">
        <f t="shared" si="312"/>
        <v>63</v>
      </c>
      <c r="AT522" s="21">
        <f t="shared" si="313"/>
        <v>12</v>
      </c>
      <c r="AU522" s="21">
        <f t="shared" si="314"/>
        <v>19</v>
      </c>
      <c r="AV522">
        <f t="shared" si="315"/>
        <v>73</v>
      </c>
      <c r="AW522">
        <f t="shared" si="316"/>
        <v>76</v>
      </c>
      <c r="AX522">
        <f t="shared" si="317"/>
        <v>84</v>
      </c>
      <c r="AY522">
        <f t="shared" si="318"/>
        <v>87</v>
      </c>
      <c r="AZ522" t="str">
        <f t="shared" si="319"/>
        <v>-</v>
      </c>
      <c r="BA522" t="str">
        <f t="shared" si="320"/>
        <v>-</v>
      </c>
      <c r="BB522" t="str">
        <f t="shared" si="321"/>
        <v>-</v>
      </c>
      <c r="BC522" t="str">
        <f t="shared" si="322"/>
        <v>-</v>
      </c>
      <c r="BD522" s="29" t="str">
        <f t="shared" si="323"/>
        <v>-</v>
      </c>
      <c r="BE522" s="29" t="str">
        <f t="shared" si="324"/>
        <v>-</v>
      </c>
    </row>
    <row r="523" spans="1:57" ht="15" x14ac:dyDescent="0.2">
      <c r="A523" s="2">
        <v>841</v>
      </c>
      <c r="B523" s="2" t="str">
        <f t="shared" si="289"/>
        <v>0841</v>
      </c>
      <c r="C523" t="str">
        <f t="shared" si="290"/>
        <v>ORD-BL-0841-12/07/24</v>
      </c>
      <c r="D523" s="3" t="s">
        <v>796</v>
      </c>
      <c r="E523" t="str">
        <f t="shared" si="291"/>
        <v>PP003</v>
      </c>
      <c r="F523" t="str">
        <f>INDEX(Katalog!$B$4:$B$13,MATCH('Main Data'!E523,Katalog!$C$4:$C$13,0))</f>
        <v>Jaket Jeans</v>
      </c>
      <c r="G523" t="str">
        <f>VLOOKUP(E523,Katalog!$A$15:$B$25,2,0)</f>
        <v>Pakaian Pria</v>
      </c>
      <c r="H523" t="str">
        <f t="shared" si="292"/>
        <v>1</v>
      </c>
      <c r="I523" t="str">
        <f t="shared" si="293"/>
        <v>1</v>
      </c>
      <c r="J523" s="18">
        <f>VLOOKUP(E523,Katalog!$C$3:$F$13,2,0)</f>
        <v>150000</v>
      </c>
      <c r="K523" s="18">
        <f>VLOOKUP(E523,Katalog!$C$3:$F$13,3,0)</f>
        <v>70000</v>
      </c>
      <c r="L523" t="str">
        <f t="shared" si="294"/>
        <v>PP001</v>
      </c>
      <c r="M523" t="str">
        <f>IFERROR(INDEX(Katalog!$B$4:$B$13,MATCH('Main Data'!L523,Katalog!$C$4:$C$13,0)), "-")</f>
        <v>Kaos Polo</v>
      </c>
      <c r="N523" t="str">
        <f>IFERROR(VLOOKUP(L523,Katalog!$A$15:$B$25,2,0),"-")</f>
        <v>Pakaian Pria</v>
      </c>
      <c r="O523" t="str">
        <f t="shared" si="295"/>
        <v>4</v>
      </c>
      <c r="P523" t="str">
        <f t="shared" si="296"/>
        <v>1</v>
      </c>
      <c r="Q523" s="18">
        <f>IFERROR(VLOOKUP(L523,Katalog!$C$3:$F$13,2,0),0)</f>
        <v>80000</v>
      </c>
      <c r="R523" s="18">
        <f>IFERROR(VLOOKUP(L523,Katalog!$C$3:$F$13,3,0),0)</f>
        <v>30000</v>
      </c>
      <c r="S523" t="str">
        <f t="shared" si="297"/>
        <v>-</v>
      </c>
      <c r="T523" t="str">
        <f>IFERROR(INDEX(Katalog!$B$4:$B$13,MATCH('Main Data'!S523,Katalog!$C$4:$C$13,0)),"-")</f>
        <v>-</v>
      </c>
      <c r="U523" t="str">
        <f>IFERROR(VLOOKUP(S523,Katalog!$A$15:$B$25,2,0),"-")</f>
        <v>-</v>
      </c>
      <c r="V523">
        <f t="shared" si="298"/>
        <v>0</v>
      </c>
      <c r="W523" s="28" t="str">
        <f t="shared" si="299"/>
        <v>-</v>
      </c>
      <c r="X523" s="18">
        <f>IFERROR(VLOOKUP(S523,Katalog!$C$3:$F$13,2,0),0)</f>
        <v>0</v>
      </c>
      <c r="Y523" s="30">
        <f>IFERROR(VLOOKUP(S523,Katalog!$C$3:$F$13,3,0),0)</f>
        <v>0</v>
      </c>
      <c r="Z523" s="2">
        <f t="shared" si="300"/>
        <v>5</v>
      </c>
      <c r="AA523" s="4">
        <f t="shared" si="301"/>
        <v>470000</v>
      </c>
      <c r="AB523" s="4">
        <f t="shared" si="302"/>
        <v>190000</v>
      </c>
      <c r="AC523" s="4" t="s">
        <v>10</v>
      </c>
      <c r="AD523" s="16">
        <f>IFERROR(VLOOKUP(AC523,'Kode Diskon'!$C$2:$D$9,2,0),0)</f>
        <v>0</v>
      </c>
      <c r="AE523" s="31">
        <f t="shared" si="303"/>
        <v>0</v>
      </c>
      <c r="AF523" s="31">
        <f t="shared" si="304"/>
        <v>470000</v>
      </c>
      <c r="AG523" s="31">
        <f t="shared" si="305"/>
        <v>280000</v>
      </c>
      <c r="AH523" s="31">
        <f t="shared" si="306"/>
        <v>280000</v>
      </c>
      <c r="AI523" s="4" t="s">
        <v>10</v>
      </c>
      <c r="AJ523" s="4" t="s">
        <v>11</v>
      </c>
      <c r="AK523" s="4" t="str">
        <f>IFERROR(VLOOKUP(AJ523,'Guide '!$A$13:$B$16,2,0),"-")</f>
        <v>BL</v>
      </c>
      <c r="AL523" s="4" t="s">
        <v>925</v>
      </c>
      <c r="AM523" s="40">
        <v>45485</v>
      </c>
      <c r="AN523">
        <f t="shared" si="307"/>
        <v>29</v>
      </c>
      <c r="AO523">
        <f t="shared" si="308"/>
        <v>32</v>
      </c>
      <c r="AP523">
        <f t="shared" si="309"/>
        <v>40</v>
      </c>
      <c r="AQ523">
        <f t="shared" si="310"/>
        <v>43</v>
      </c>
      <c r="AR523" s="26">
        <f t="shared" si="311"/>
        <v>56</v>
      </c>
      <c r="AS523" s="26">
        <f t="shared" si="312"/>
        <v>63</v>
      </c>
      <c r="AT523" s="21">
        <f t="shared" si="313"/>
        <v>12</v>
      </c>
      <c r="AU523" s="21">
        <f t="shared" si="314"/>
        <v>19</v>
      </c>
      <c r="AV523">
        <f t="shared" si="315"/>
        <v>73</v>
      </c>
      <c r="AW523">
        <f t="shared" si="316"/>
        <v>76</v>
      </c>
      <c r="AX523">
        <f t="shared" si="317"/>
        <v>84</v>
      </c>
      <c r="AY523">
        <f t="shared" si="318"/>
        <v>87</v>
      </c>
      <c r="AZ523" t="str">
        <f t="shared" si="319"/>
        <v>-</v>
      </c>
      <c r="BA523" t="str">
        <f t="shared" si="320"/>
        <v>-</v>
      </c>
      <c r="BB523" t="str">
        <f t="shared" si="321"/>
        <v>-</v>
      </c>
      <c r="BC523" t="str">
        <f t="shared" si="322"/>
        <v>-</v>
      </c>
      <c r="BD523" s="29" t="str">
        <f t="shared" si="323"/>
        <v>-</v>
      </c>
      <c r="BE523" s="29" t="str">
        <f t="shared" si="324"/>
        <v>-</v>
      </c>
    </row>
    <row r="524" spans="1:57" ht="15" x14ac:dyDescent="0.2">
      <c r="A524" s="2">
        <v>370</v>
      </c>
      <c r="B524" s="2" t="str">
        <f t="shared" si="289"/>
        <v>0370</v>
      </c>
      <c r="C524" t="str">
        <f t="shared" si="290"/>
        <v>ORD-BL-0370-13/07/24</v>
      </c>
      <c r="D524" s="3" t="s">
        <v>420</v>
      </c>
      <c r="E524" t="str">
        <f t="shared" si="291"/>
        <v>PP002</v>
      </c>
      <c r="F524" t="str">
        <f>INDEX(Katalog!$B$4:$B$13,MATCH('Main Data'!E524,Katalog!$C$4:$C$13,0))</f>
        <v>Celana Pendek</v>
      </c>
      <c r="G524" t="str">
        <f>VLOOKUP(E524,Katalog!$A$15:$B$25,2,0)</f>
        <v>Pakaian Pria</v>
      </c>
      <c r="H524" t="str">
        <f t="shared" si="292"/>
        <v>1</v>
      </c>
      <c r="I524" t="str">
        <f t="shared" si="293"/>
        <v>5</v>
      </c>
      <c r="J524" s="18">
        <f>VLOOKUP(E524,Katalog!$C$3:$F$13,2,0)</f>
        <v>60000</v>
      </c>
      <c r="K524" s="18">
        <f>VLOOKUP(E524,Katalog!$C$3:$F$13,3,0)</f>
        <v>25000</v>
      </c>
      <c r="L524" t="str">
        <f t="shared" si="294"/>
        <v>SP001</v>
      </c>
      <c r="M524" t="str">
        <f>IFERROR(INDEX(Katalog!$B$4:$B$13,MATCH('Main Data'!L524,Katalog!$C$4:$C$13,0)), "-")</f>
        <v>Sneakers</v>
      </c>
      <c r="N524" t="str">
        <f>IFERROR(VLOOKUP(L524,Katalog!$A$15:$B$25,2,0),"-")</f>
        <v>Sepatu Pria</v>
      </c>
      <c r="O524" t="str">
        <f t="shared" si="295"/>
        <v>1</v>
      </c>
      <c r="P524" t="str">
        <f t="shared" si="296"/>
        <v>3</v>
      </c>
      <c r="Q524" s="18">
        <f>IFERROR(VLOOKUP(L524,Katalog!$C$3:$F$13,2,0),0)</f>
        <v>300000</v>
      </c>
      <c r="R524" s="18">
        <f>IFERROR(VLOOKUP(L524,Katalog!$C$3:$F$13,3,0),0)</f>
        <v>100000</v>
      </c>
      <c r="S524" t="str">
        <f t="shared" si="297"/>
        <v>-</v>
      </c>
      <c r="T524" t="str">
        <f>IFERROR(INDEX(Katalog!$B$4:$B$13,MATCH('Main Data'!S524,Katalog!$C$4:$C$13,0)),"-")</f>
        <v>-</v>
      </c>
      <c r="U524" t="str">
        <f>IFERROR(VLOOKUP(S524,Katalog!$A$15:$B$25,2,0),"-")</f>
        <v>-</v>
      </c>
      <c r="V524">
        <f t="shared" si="298"/>
        <v>0</v>
      </c>
      <c r="W524" s="28" t="str">
        <f t="shared" si="299"/>
        <v>-</v>
      </c>
      <c r="X524" s="18">
        <f>IFERROR(VLOOKUP(S524,Katalog!$C$3:$F$13,2,0),0)</f>
        <v>0</v>
      </c>
      <c r="Y524" s="30">
        <f>IFERROR(VLOOKUP(S524,Katalog!$C$3:$F$13,3,0),0)</f>
        <v>0</v>
      </c>
      <c r="Z524" s="2">
        <f t="shared" si="300"/>
        <v>2</v>
      </c>
      <c r="AA524" s="4">
        <f t="shared" si="301"/>
        <v>360000</v>
      </c>
      <c r="AB524" s="4">
        <f t="shared" si="302"/>
        <v>125000</v>
      </c>
      <c r="AC524" s="4" t="s">
        <v>31</v>
      </c>
      <c r="AD524" s="16">
        <f>IFERROR(VLOOKUP(AC524,'Kode Diskon'!$C$2:$D$9,2,0),0)</f>
        <v>0.15</v>
      </c>
      <c r="AE524" s="31">
        <f t="shared" si="303"/>
        <v>54000</v>
      </c>
      <c r="AF524" s="31">
        <f t="shared" si="304"/>
        <v>306000</v>
      </c>
      <c r="AG524" s="31">
        <f t="shared" si="305"/>
        <v>235000</v>
      </c>
      <c r="AH524" s="31">
        <f t="shared" si="306"/>
        <v>181000</v>
      </c>
      <c r="AI524" s="4" t="s">
        <v>8</v>
      </c>
      <c r="AJ524" s="4" t="s">
        <v>11</v>
      </c>
      <c r="AK524" s="4" t="str">
        <f>IFERROR(VLOOKUP(AJ524,'Guide '!$A$13:$B$16,2,0),"-")</f>
        <v>BL</v>
      </c>
      <c r="AL524" s="4" t="s">
        <v>925</v>
      </c>
      <c r="AM524" s="40">
        <v>45486</v>
      </c>
      <c r="AN524">
        <f t="shared" si="307"/>
        <v>29</v>
      </c>
      <c r="AO524">
        <f t="shared" si="308"/>
        <v>32</v>
      </c>
      <c r="AP524">
        <f t="shared" si="309"/>
        <v>40</v>
      </c>
      <c r="AQ524">
        <f t="shared" si="310"/>
        <v>43</v>
      </c>
      <c r="AR524" s="26">
        <f t="shared" si="311"/>
        <v>56</v>
      </c>
      <c r="AS524" s="26">
        <f t="shared" si="312"/>
        <v>63</v>
      </c>
      <c r="AT524" s="21">
        <f t="shared" si="313"/>
        <v>12</v>
      </c>
      <c r="AU524" s="21">
        <f t="shared" si="314"/>
        <v>19</v>
      </c>
      <c r="AV524">
        <f t="shared" si="315"/>
        <v>73</v>
      </c>
      <c r="AW524">
        <f t="shared" si="316"/>
        <v>76</v>
      </c>
      <c r="AX524">
        <f t="shared" si="317"/>
        <v>84</v>
      </c>
      <c r="AY524">
        <f t="shared" si="318"/>
        <v>87</v>
      </c>
      <c r="AZ524" t="str">
        <f t="shared" si="319"/>
        <v>-</v>
      </c>
      <c r="BA524" t="str">
        <f t="shared" si="320"/>
        <v>-</v>
      </c>
      <c r="BB524" t="str">
        <f t="shared" si="321"/>
        <v>-</v>
      </c>
      <c r="BC524" t="str">
        <f t="shared" si="322"/>
        <v>-</v>
      </c>
      <c r="BD524" s="29" t="str">
        <f t="shared" si="323"/>
        <v>-</v>
      </c>
      <c r="BE524" s="29" t="str">
        <f t="shared" si="324"/>
        <v>-</v>
      </c>
    </row>
    <row r="525" spans="1:57" ht="15" x14ac:dyDescent="0.2">
      <c r="A525" s="2">
        <v>822</v>
      </c>
      <c r="B525" s="2" t="str">
        <f t="shared" si="289"/>
        <v>0822</v>
      </c>
      <c r="C525" t="str">
        <f t="shared" si="290"/>
        <v>ORD-TK-0822-13/07/24</v>
      </c>
      <c r="D525" s="3" t="s">
        <v>783</v>
      </c>
      <c r="E525" t="str">
        <f t="shared" si="291"/>
        <v>PP003</v>
      </c>
      <c r="F525" t="str">
        <f>INDEX(Katalog!$B$4:$B$13,MATCH('Main Data'!E525,Katalog!$C$4:$C$13,0))</f>
        <v>Jaket Jeans</v>
      </c>
      <c r="G525" t="str">
        <f>VLOOKUP(E525,Katalog!$A$15:$B$25,2,0)</f>
        <v>Pakaian Pria</v>
      </c>
      <c r="H525" t="str">
        <f t="shared" si="292"/>
        <v>3</v>
      </c>
      <c r="I525" t="str">
        <f t="shared" si="293"/>
        <v>4</v>
      </c>
      <c r="J525" s="18">
        <f>VLOOKUP(E525,Katalog!$C$3:$F$13,2,0)</f>
        <v>150000</v>
      </c>
      <c r="K525" s="18">
        <f>VLOOKUP(E525,Katalog!$C$3:$F$13,3,0)</f>
        <v>70000</v>
      </c>
      <c r="L525" t="str">
        <f t="shared" si="294"/>
        <v>PP001</v>
      </c>
      <c r="M525" t="str">
        <f>IFERROR(INDEX(Katalog!$B$4:$B$13,MATCH('Main Data'!L525,Katalog!$C$4:$C$13,0)), "-")</f>
        <v>Kaos Polo</v>
      </c>
      <c r="N525" t="str">
        <f>IFERROR(VLOOKUP(L525,Katalog!$A$15:$B$25,2,0),"-")</f>
        <v>Pakaian Pria</v>
      </c>
      <c r="O525" t="str">
        <f t="shared" si="295"/>
        <v>1</v>
      </c>
      <c r="P525" t="str">
        <f t="shared" si="296"/>
        <v>4</v>
      </c>
      <c r="Q525" s="18">
        <f>IFERROR(VLOOKUP(L525,Katalog!$C$3:$F$13,2,0),0)</f>
        <v>80000</v>
      </c>
      <c r="R525" s="18">
        <f>IFERROR(VLOOKUP(L525,Katalog!$C$3:$F$13,3,0),0)</f>
        <v>30000</v>
      </c>
      <c r="S525" t="str">
        <f t="shared" si="297"/>
        <v>PP001</v>
      </c>
      <c r="T525" t="str">
        <f>IFERROR(INDEX(Katalog!$B$4:$B$13,MATCH('Main Data'!S525,Katalog!$C$4:$C$13,0)),"-")</f>
        <v>Kaos Polo</v>
      </c>
      <c r="U525" t="str">
        <f>IFERROR(VLOOKUP(S525,Katalog!$A$15:$B$25,2,0),"-")</f>
        <v>Pakaian Pria</v>
      </c>
      <c r="V525" t="str">
        <f t="shared" si="298"/>
        <v>1</v>
      </c>
      <c r="W525" s="28" t="str">
        <f t="shared" si="299"/>
        <v>2</v>
      </c>
      <c r="X525" s="18">
        <f>IFERROR(VLOOKUP(S525,Katalog!$C$3:$F$13,2,0),0)</f>
        <v>80000</v>
      </c>
      <c r="Y525" s="30">
        <f>IFERROR(VLOOKUP(S525,Katalog!$C$3:$F$13,3,0),0)</f>
        <v>30000</v>
      </c>
      <c r="Z525" s="2">
        <f t="shared" si="300"/>
        <v>5</v>
      </c>
      <c r="AA525" s="4">
        <f t="shared" si="301"/>
        <v>610000</v>
      </c>
      <c r="AB525" s="4">
        <f t="shared" si="302"/>
        <v>270000</v>
      </c>
      <c r="AC525" s="4" t="s">
        <v>29</v>
      </c>
      <c r="AD525" s="16">
        <f>IFERROR(VLOOKUP(AC525,'Kode Diskon'!$C$2:$D$9,2,0),0)</f>
        <v>0.1</v>
      </c>
      <c r="AE525" s="31">
        <f t="shared" si="303"/>
        <v>61000</v>
      </c>
      <c r="AF525" s="31">
        <f t="shared" si="304"/>
        <v>549000</v>
      </c>
      <c r="AG525" s="31">
        <f t="shared" si="305"/>
        <v>340000</v>
      </c>
      <c r="AH525" s="31">
        <f t="shared" si="306"/>
        <v>279000</v>
      </c>
      <c r="AI525" s="4" t="s">
        <v>28</v>
      </c>
      <c r="AJ525" s="4" t="s">
        <v>9</v>
      </c>
      <c r="AK525" s="4" t="str">
        <f>IFERROR(VLOOKUP(AJ525,'Guide '!$A$13:$B$16,2,0),"-")</f>
        <v>TK</v>
      </c>
      <c r="AL525" s="4" t="s">
        <v>925</v>
      </c>
      <c r="AM525" s="40">
        <v>45486</v>
      </c>
      <c r="AN525">
        <f t="shared" si="307"/>
        <v>29</v>
      </c>
      <c r="AO525">
        <f t="shared" si="308"/>
        <v>32</v>
      </c>
      <c r="AP525">
        <f t="shared" si="309"/>
        <v>40</v>
      </c>
      <c r="AQ525">
        <f t="shared" si="310"/>
        <v>43</v>
      </c>
      <c r="AR525" s="26">
        <f t="shared" si="311"/>
        <v>56</v>
      </c>
      <c r="AS525" s="26">
        <f t="shared" si="312"/>
        <v>63</v>
      </c>
      <c r="AT525" s="21">
        <f t="shared" si="313"/>
        <v>12</v>
      </c>
      <c r="AU525" s="21">
        <f t="shared" si="314"/>
        <v>19</v>
      </c>
      <c r="AV525">
        <f t="shared" si="315"/>
        <v>73</v>
      </c>
      <c r="AW525">
        <f t="shared" si="316"/>
        <v>76</v>
      </c>
      <c r="AX525">
        <f t="shared" si="317"/>
        <v>84</v>
      </c>
      <c r="AY525">
        <f t="shared" si="318"/>
        <v>87</v>
      </c>
      <c r="AZ525">
        <f t="shared" si="319"/>
        <v>100</v>
      </c>
      <c r="BA525">
        <f t="shared" si="320"/>
        <v>107</v>
      </c>
      <c r="BB525">
        <f t="shared" si="321"/>
        <v>117</v>
      </c>
      <c r="BC525">
        <f t="shared" si="322"/>
        <v>120</v>
      </c>
      <c r="BD525" s="29">
        <f t="shared" si="323"/>
        <v>128</v>
      </c>
      <c r="BE525" s="29">
        <f t="shared" si="324"/>
        <v>131</v>
      </c>
    </row>
    <row r="526" spans="1:57" ht="15" x14ac:dyDescent="0.2">
      <c r="A526" s="2">
        <v>492</v>
      </c>
      <c r="B526" s="2" t="str">
        <f t="shared" si="289"/>
        <v>0492</v>
      </c>
      <c r="C526" t="str">
        <f t="shared" si="290"/>
        <v>ORD-TK-0492-15/07/24</v>
      </c>
      <c r="D526" s="3" t="s">
        <v>523</v>
      </c>
      <c r="E526" t="str">
        <f t="shared" si="291"/>
        <v>PP002</v>
      </c>
      <c r="F526" t="str">
        <f>INDEX(Katalog!$B$4:$B$13,MATCH('Main Data'!E526,Katalog!$C$4:$C$13,0))</f>
        <v>Celana Pendek</v>
      </c>
      <c r="G526" t="str">
        <f>VLOOKUP(E526,Katalog!$A$15:$B$25,2,0)</f>
        <v>Pakaian Pria</v>
      </c>
      <c r="H526" t="str">
        <f t="shared" si="292"/>
        <v>3</v>
      </c>
      <c r="I526" t="str">
        <f t="shared" si="293"/>
        <v>5</v>
      </c>
      <c r="J526" s="18">
        <f>VLOOKUP(E526,Katalog!$C$3:$F$13,2,0)</f>
        <v>60000</v>
      </c>
      <c r="K526" s="18">
        <f>VLOOKUP(E526,Katalog!$C$3:$F$13,3,0)</f>
        <v>25000</v>
      </c>
      <c r="L526" t="str">
        <f t="shared" si="294"/>
        <v>PP003</v>
      </c>
      <c r="M526" t="str">
        <f>IFERROR(INDEX(Katalog!$B$4:$B$13,MATCH('Main Data'!L526,Katalog!$C$4:$C$13,0)), "-")</f>
        <v>Jaket Jeans</v>
      </c>
      <c r="N526" t="str">
        <f>IFERROR(VLOOKUP(L526,Katalog!$A$15:$B$25,2,0),"-")</f>
        <v>Pakaian Pria</v>
      </c>
      <c r="O526" t="str">
        <f t="shared" si="295"/>
        <v>1</v>
      </c>
      <c r="P526" t="str">
        <f t="shared" si="296"/>
        <v>4</v>
      </c>
      <c r="Q526" s="18">
        <f>IFERROR(VLOOKUP(L526,Katalog!$C$3:$F$13,2,0),0)</f>
        <v>150000</v>
      </c>
      <c r="R526" s="18">
        <f>IFERROR(VLOOKUP(L526,Katalog!$C$3:$F$13,3,0),0)</f>
        <v>70000</v>
      </c>
      <c r="S526" t="str">
        <f t="shared" si="297"/>
        <v>PU001</v>
      </c>
      <c r="T526" t="str">
        <f>IFERROR(INDEX(Katalog!$B$4:$B$13,MATCH('Main Data'!S526,Katalog!$C$4:$C$13,0)),"-")</f>
        <v>Jaket Hoodie</v>
      </c>
      <c r="U526" t="str">
        <f>IFERROR(VLOOKUP(S526,Katalog!$A$15:$B$25,2,0),"-")</f>
        <v>Pakaian Unisex</v>
      </c>
      <c r="V526" t="str">
        <f t="shared" si="298"/>
        <v>1</v>
      </c>
      <c r="W526" s="28" t="str">
        <f t="shared" si="299"/>
        <v>3</v>
      </c>
      <c r="X526" s="18">
        <f>IFERROR(VLOOKUP(S526,Katalog!$C$3:$F$13,2,0),0)</f>
        <v>160000</v>
      </c>
      <c r="Y526" s="30">
        <f>IFERROR(VLOOKUP(S526,Katalog!$C$3:$F$13,3,0),0)</f>
        <v>60000</v>
      </c>
      <c r="Z526" s="2">
        <f t="shared" si="300"/>
        <v>5</v>
      </c>
      <c r="AA526" s="4">
        <f t="shared" si="301"/>
        <v>490000</v>
      </c>
      <c r="AB526" s="4">
        <f t="shared" si="302"/>
        <v>205000</v>
      </c>
      <c r="AC526" s="4" t="s">
        <v>29</v>
      </c>
      <c r="AD526" s="16">
        <f>IFERROR(VLOOKUP(AC526,'Kode Diskon'!$C$2:$D$9,2,0),0)</f>
        <v>0.1</v>
      </c>
      <c r="AE526" s="31">
        <f t="shared" si="303"/>
        <v>49000</v>
      </c>
      <c r="AF526" s="31">
        <f t="shared" si="304"/>
        <v>441000</v>
      </c>
      <c r="AG526" s="31">
        <f t="shared" si="305"/>
        <v>285000</v>
      </c>
      <c r="AH526" s="31">
        <f t="shared" si="306"/>
        <v>236000</v>
      </c>
      <c r="AI526" s="4" t="s">
        <v>28</v>
      </c>
      <c r="AJ526" s="4" t="s">
        <v>9</v>
      </c>
      <c r="AK526" s="4" t="str">
        <f>IFERROR(VLOOKUP(AJ526,'Guide '!$A$13:$B$16,2,0),"-")</f>
        <v>TK</v>
      </c>
      <c r="AL526" s="4" t="s">
        <v>924</v>
      </c>
      <c r="AM526" s="40">
        <v>45488</v>
      </c>
      <c r="AN526">
        <f t="shared" si="307"/>
        <v>29</v>
      </c>
      <c r="AO526">
        <f t="shared" si="308"/>
        <v>32</v>
      </c>
      <c r="AP526">
        <f t="shared" si="309"/>
        <v>40</v>
      </c>
      <c r="AQ526">
        <f t="shared" si="310"/>
        <v>43</v>
      </c>
      <c r="AR526" s="26">
        <f t="shared" si="311"/>
        <v>56</v>
      </c>
      <c r="AS526" s="26">
        <f t="shared" si="312"/>
        <v>63</v>
      </c>
      <c r="AT526" s="21">
        <f t="shared" si="313"/>
        <v>12</v>
      </c>
      <c r="AU526" s="21">
        <f t="shared" si="314"/>
        <v>19</v>
      </c>
      <c r="AV526">
        <f t="shared" si="315"/>
        <v>73</v>
      </c>
      <c r="AW526">
        <f t="shared" si="316"/>
        <v>76</v>
      </c>
      <c r="AX526">
        <f t="shared" si="317"/>
        <v>84</v>
      </c>
      <c r="AY526">
        <f t="shared" si="318"/>
        <v>87</v>
      </c>
      <c r="AZ526">
        <f t="shared" si="319"/>
        <v>100</v>
      </c>
      <c r="BA526">
        <f t="shared" si="320"/>
        <v>107</v>
      </c>
      <c r="BB526">
        <f t="shared" si="321"/>
        <v>117</v>
      </c>
      <c r="BC526">
        <f t="shared" si="322"/>
        <v>120</v>
      </c>
      <c r="BD526" s="29">
        <f t="shared" si="323"/>
        <v>128</v>
      </c>
      <c r="BE526" s="29">
        <f t="shared" si="324"/>
        <v>131</v>
      </c>
    </row>
    <row r="527" spans="1:57" ht="15" x14ac:dyDescent="0.2">
      <c r="A527" s="2">
        <v>709</v>
      </c>
      <c r="B527" s="2" t="str">
        <f t="shared" si="289"/>
        <v>0709</v>
      </c>
      <c r="C527" t="str">
        <f t="shared" si="290"/>
        <v>ORD-BB-0709-15/07/24</v>
      </c>
      <c r="D527" s="3" t="s">
        <v>699</v>
      </c>
      <c r="E527" t="str">
        <f t="shared" si="291"/>
        <v>SP002</v>
      </c>
      <c r="F527" t="str">
        <f>INDEX(Katalog!$B$4:$B$13,MATCH('Main Data'!E527,Katalog!$C$4:$C$13,0))</f>
        <v>Sandal Slip On</v>
      </c>
      <c r="G527" t="str">
        <f>VLOOKUP(E527,Katalog!$A$15:$B$25,2,0)</f>
        <v>Sepatu Pria</v>
      </c>
      <c r="H527" t="str">
        <f t="shared" si="292"/>
        <v>1</v>
      </c>
      <c r="I527" t="str">
        <f t="shared" si="293"/>
        <v>2</v>
      </c>
      <c r="J527" s="18">
        <f>VLOOKUP(E527,Katalog!$C$3:$F$13,2,0)</f>
        <v>120000</v>
      </c>
      <c r="K527" s="18">
        <f>VLOOKUP(E527,Katalog!$C$3:$F$13,3,0)</f>
        <v>60000</v>
      </c>
      <c r="L527" t="str">
        <f t="shared" si="294"/>
        <v>PW003</v>
      </c>
      <c r="M527" t="str">
        <f>IFERROR(INDEX(Katalog!$B$4:$B$13,MATCH('Main Data'!L527,Katalog!$C$4:$C$13,0)), "-")</f>
        <v>Kaftan</v>
      </c>
      <c r="N527" t="str">
        <f>IFERROR(VLOOKUP(L527,Katalog!$A$15:$B$25,2,0),"-")</f>
        <v>Pakaian Wanita</v>
      </c>
      <c r="O527" t="str">
        <f t="shared" si="295"/>
        <v>1</v>
      </c>
      <c r="P527" t="str">
        <f t="shared" si="296"/>
        <v>5</v>
      </c>
      <c r="Q527" s="18">
        <f>IFERROR(VLOOKUP(L527,Katalog!$C$3:$F$13,2,0),0)</f>
        <v>200000</v>
      </c>
      <c r="R527" s="18">
        <f>IFERROR(VLOOKUP(L527,Katalog!$C$3:$F$13,3,0),0)</f>
        <v>100000</v>
      </c>
      <c r="S527" t="str">
        <f t="shared" si="297"/>
        <v>-</v>
      </c>
      <c r="T527" t="str">
        <f>IFERROR(INDEX(Katalog!$B$4:$B$13,MATCH('Main Data'!S527,Katalog!$C$4:$C$13,0)),"-")</f>
        <v>-</v>
      </c>
      <c r="U527" t="str">
        <f>IFERROR(VLOOKUP(S527,Katalog!$A$15:$B$25,2,0),"-")</f>
        <v>-</v>
      </c>
      <c r="V527">
        <f t="shared" si="298"/>
        <v>0</v>
      </c>
      <c r="W527" s="28" t="str">
        <f t="shared" si="299"/>
        <v>-</v>
      </c>
      <c r="X527" s="18">
        <f>IFERROR(VLOOKUP(S527,Katalog!$C$3:$F$13,2,0),0)</f>
        <v>0</v>
      </c>
      <c r="Y527" s="30">
        <f>IFERROR(VLOOKUP(S527,Katalog!$C$3:$F$13,3,0),0)</f>
        <v>0</v>
      </c>
      <c r="Z527" s="2">
        <f t="shared" si="300"/>
        <v>2</v>
      </c>
      <c r="AA527" s="4">
        <f t="shared" si="301"/>
        <v>320000</v>
      </c>
      <c r="AB527" s="4">
        <f t="shared" si="302"/>
        <v>160000</v>
      </c>
      <c r="AC527" s="4" t="s">
        <v>27</v>
      </c>
      <c r="AD527" s="16">
        <f>IFERROR(VLOOKUP(AC527,'Kode Diskon'!$C$2:$D$9,2,0),0)</f>
        <v>0.15</v>
      </c>
      <c r="AE527" s="31">
        <f t="shared" si="303"/>
        <v>48000</v>
      </c>
      <c r="AF527" s="31">
        <f t="shared" si="304"/>
        <v>272000</v>
      </c>
      <c r="AG527" s="31">
        <f t="shared" si="305"/>
        <v>160000</v>
      </c>
      <c r="AH527" s="31">
        <f t="shared" si="306"/>
        <v>112000</v>
      </c>
      <c r="AI527" s="4" t="s">
        <v>28</v>
      </c>
      <c r="AJ527" s="4" t="s">
        <v>13</v>
      </c>
      <c r="AK527" s="4" t="str">
        <f>IFERROR(VLOOKUP(AJ527,'Guide '!$A$13:$B$16,2,0),"-")</f>
        <v>BB</v>
      </c>
      <c r="AL527" s="4" t="s">
        <v>925</v>
      </c>
      <c r="AM527" s="40">
        <v>45488</v>
      </c>
      <c r="AN527">
        <f t="shared" si="307"/>
        <v>29</v>
      </c>
      <c r="AO527">
        <f t="shared" si="308"/>
        <v>32</v>
      </c>
      <c r="AP527">
        <f t="shared" si="309"/>
        <v>40</v>
      </c>
      <c r="AQ527">
        <f t="shared" si="310"/>
        <v>43</v>
      </c>
      <c r="AR527" s="26">
        <f t="shared" si="311"/>
        <v>56</v>
      </c>
      <c r="AS527" s="26">
        <f t="shared" si="312"/>
        <v>63</v>
      </c>
      <c r="AT527" s="21">
        <f t="shared" si="313"/>
        <v>12</v>
      </c>
      <c r="AU527" s="21">
        <f t="shared" si="314"/>
        <v>19</v>
      </c>
      <c r="AV527">
        <f t="shared" si="315"/>
        <v>73</v>
      </c>
      <c r="AW527">
        <f t="shared" si="316"/>
        <v>76</v>
      </c>
      <c r="AX527">
        <f t="shared" si="317"/>
        <v>84</v>
      </c>
      <c r="AY527">
        <f t="shared" si="318"/>
        <v>87</v>
      </c>
      <c r="AZ527" t="str">
        <f t="shared" si="319"/>
        <v>-</v>
      </c>
      <c r="BA527" t="str">
        <f t="shared" si="320"/>
        <v>-</v>
      </c>
      <c r="BB527" t="str">
        <f t="shared" si="321"/>
        <v>-</v>
      </c>
      <c r="BC527" t="str">
        <f t="shared" si="322"/>
        <v>-</v>
      </c>
      <c r="BD527" s="29" t="str">
        <f t="shared" si="323"/>
        <v>-</v>
      </c>
      <c r="BE527" s="29" t="str">
        <f t="shared" si="324"/>
        <v>-</v>
      </c>
    </row>
    <row r="528" spans="1:57" ht="15" x14ac:dyDescent="0.2">
      <c r="A528" s="2">
        <v>924</v>
      </c>
      <c r="B528" s="2" t="str">
        <f t="shared" si="289"/>
        <v>0924</v>
      </c>
      <c r="C528" t="str">
        <f t="shared" si="290"/>
        <v>ORD-SP-0924-15/07/24</v>
      </c>
      <c r="D528" s="3" t="s">
        <v>857</v>
      </c>
      <c r="E528" t="str">
        <f t="shared" si="291"/>
        <v>PU001</v>
      </c>
      <c r="F528" t="str">
        <f>INDEX(Katalog!$B$4:$B$13,MATCH('Main Data'!E528,Katalog!$C$4:$C$13,0))</f>
        <v>Jaket Hoodie</v>
      </c>
      <c r="G528" t="str">
        <f>VLOOKUP(E528,Katalog!$A$15:$B$25,2,0)</f>
        <v>Pakaian Unisex</v>
      </c>
      <c r="H528" t="str">
        <f t="shared" si="292"/>
        <v>1</v>
      </c>
      <c r="I528" t="str">
        <f t="shared" si="293"/>
        <v>4</v>
      </c>
      <c r="J528" s="18">
        <f>VLOOKUP(E528,Katalog!$C$3:$F$13,2,0)</f>
        <v>160000</v>
      </c>
      <c r="K528" s="18">
        <f>VLOOKUP(E528,Katalog!$C$3:$F$13,3,0)</f>
        <v>60000</v>
      </c>
      <c r="L528" t="str">
        <f t="shared" si="294"/>
        <v>SP001</v>
      </c>
      <c r="M528" t="str">
        <f>IFERROR(INDEX(Katalog!$B$4:$B$13,MATCH('Main Data'!L528,Katalog!$C$4:$C$13,0)), "-")</f>
        <v>Sneakers</v>
      </c>
      <c r="N528" t="str">
        <f>IFERROR(VLOOKUP(L528,Katalog!$A$15:$B$25,2,0),"-")</f>
        <v>Sepatu Pria</v>
      </c>
      <c r="O528" t="str">
        <f t="shared" si="295"/>
        <v>2</v>
      </c>
      <c r="P528" t="str">
        <f t="shared" si="296"/>
        <v>1</v>
      </c>
      <c r="Q528" s="18">
        <f>IFERROR(VLOOKUP(L528,Katalog!$C$3:$F$13,2,0),0)</f>
        <v>300000</v>
      </c>
      <c r="R528" s="18">
        <f>IFERROR(VLOOKUP(L528,Katalog!$C$3:$F$13,3,0),0)</f>
        <v>100000</v>
      </c>
      <c r="S528" t="str">
        <f t="shared" si="297"/>
        <v>-</v>
      </c>
      <c r="T528" t="str">
        <f>IFERROR(INDEX(Katalog!$B$4:$B$13,MATCH('Main Data'!S528,Katalog!$C$4:$C$13,0)),"-")</f>
        <v>-</v>
      </c>
      <c r="U528" t="str">
        <f>IFERROR(VLOOKUP(S528,Katalog!$A$15:$B$25,2,0),"-")</f>
        <v>-</v>
      </c>
      <c r="V528">
        <f t="shared" si="298"/>
        <v>0</v>
      </c>
      <c r="W528" s="28" t="str">
        <f t="shared" si="299"/>
        <v>-</v>
      </c>
      <c r="X528" s="18">
        <f>IFERROR(VLOOKUP(S528,Katalog!$C$3:$F$13,2,0),0)</f>
        <v>0</v>
      </c>
      <c r="Y528" s="30">
        <f>IFERROR(VLOOKUP(S528,Katalog!$C$3:$F$13,3,0),0)</f>
        <v>0</v>
      </c>
      <c r="Z528" s="2">
        <f t="shared" si="300"/>
        <v>3</v>
      </c>
      <c r="AA528" s="4">
        <f t="shared" si="301"/>
        <v>760000</v>
      </c>
      <c r="AB528" s="4">
        <f t="shared" si="302"/>
        <v>260000</v>
      </c>
      <c r="AC528" s="4" t="s">
        <v>12</v>
      </c>
      <c r="AD528" s="16">
        <f>IFERROR(VLOOKUP(AC528,'Kode Diskon'!$C$2:$D$9,2,0),0)</f>
        <v>0.15</v>
      </c>
      <c r="AE528" s="31">
        <f t="shared" si="303"/>
        <v>114000</v>
      </c>
      <c r="AF528" s="31">
        <f t="shared" si="304"/>
        <v>646000</v>
      </c>
      <c r="AG528" s="31">
        <f t="shared" si="305"/>
        <v>500000</v>
      </c>
      <c r="AH528" s="31">
        <f t="shared" si="306"/>
        <v>386000</v>
      </c>
      <c r="AI528" s="4" t="s">
        <v>28</v>
      </c>
      <c r="AJ528" s="4" t="s">
        <v>6</v>
      </c>
      <c r="AK528" s="4" t="str">
        <f>IFERROR(VLOOKUP(AJ528,'Guide '!$A$13:$B$16,2,0),"-")</f>
        <v>SP</v>
      </c>
      <c r="AL528" s="4" t="s">
        <v>921</v>
      </c>
      <c r="AM528" s="40">
        <v>45488</v>
      </c>
      <c r="AN528">
        <f t="shared" si="307"/>
        <v>29</v>
      </c>
      <c r="AO528">
        <f t="shared" si="308"/>
        <v>32</v>
      </c>
      <c r="AP528">
        <f t="shared" si="309"/>
        <v>40</v>
      </c>
      <c r="AQ528">
        <f t="shared" si="310"/>
        <v>43</v>
      </c>
      <c r="AR528" s="26">
        <f t="shared" si="311"/>
        <v>56</v>
      </c>
      <c r="AS528" s="26">
        <f t="shared" si="312"/>
        <v>63</v>
      </c>
      <c r="AT528" s="21">
        <f t="shared" si="313"/>
        <v>12</v>
      </c>
      <c r="AU528" s="21">
        <f t="shared" si="314"/>
        <v>19</v>
      </c>
      <c r="AV528">
        <f t="shared" si="315"/>
        <v>73</v>
      </c>
      <c r="AW528">
        <f t="shared" si="316"/>
        <v>76</v>
      </c>
      <c r="AX528">
        <f t="shared" si="317"/>
        <v>84</v>
      </c>
      <c r="AY528">
        <f t="shared" si="318"/>
        <v>87</v>
      </c>
      <c r="AZ528" t="str">
        <f t="shared" si="319"/>
        <v>-</v>
      </c>
      <c r="BA528" t="str">
        <f t="shared" si="320"/>
        <v>-</v>
      </c>
      <c r="BB528" t="str">
        <f t="shared" si="321"/>
        <v>-</v>
      </c>
      <c r="BC528" t="str">
        <f t="shared" si="322"/>
        <v>-</v>
      </c>
      <c r="BD528" s="29" t="str">
        <f t="shared" si="323"/>
        <v>-</v>
      </c>
      <c r="BE528" s="29" t="str">
        <f t="shared" si="324"/>
        <v>-</v>
      </c>
    </row>
    <row r="529" spans="1:57" ht="15" x14ac:dyDescent="0.2">
      <c r="A529" s="2">
        <v>310</v>
      </c>
      <c r="B529" s="2" t="str">
        <f t="shared" si="289"/>
        <v>0310</v>
      </c>
      <c r="C529" t="str">
        <f t="shared" si="290"/>
        <v>ORD-BL-0310-16/07/24</v>
      </c>
      <c r="D529" s="3" t="s">
        <v>365</v>
      </c>
      <c r="E529" t="str">
        <f t="shared" si="291"/>
        <v>PW002</v>
      </c>
      <c r="F529" t="str">
        <f>INDEX(Katalog!$B$4:$B$13,MATCH('Main Data'!E529,Katalog!$C$4:$C$13,0))</f>
        <v>Blouse</v>
      </c>
      <c r="G529" t="str">
        <f>VLOOKUP(E529,Katalog!$A$15:$B$25,2,0)</f>
        <v>Pakaian Wanita</v>
      </c>
      <c r="H529" t="str">
        <f t="shared" si="292"/>
        <v>3</v>
      </c>
      <c r="I529" t="str">
        <f t="shared" si="293"/>
        <v>1</v>
      </c>
      <c r="J529" s="18">
        <f>VLOOKUP(E529,Katalog!$C$3:$F$13,2,0)</f>
        <v>125000</v>
      </c>
      <c r="K529" s="18">
        <f>VLOOKUP(E529,Katalog!$C$3:$F$13,3,0)</f>
        <v>50000</v>
      </c>
      <c r="L529" t="str">
        <f t="shared" si="294"/>
        <v>PP002</v>
      </c>
      <c r="M529" t="str">
        <f>IFERROR(INDEX(Katalog!$B$4:$B$13,MATCH('Main Data'!L529,Katalog!$C$4:$C$13,0)), "-")</f>
        <v>Celana Pendek</v>
      </c>
      <c r="N529" t="str">
        <f>IFERROR(VLOOKUP(L529,Katalog!$A$15:$B$25,2,0),"-")</f>
        <v>Pakaian Pria</v>
      </c>
      <c r="O529" t="str">
        <f t="shared" si="295"/>
        <v>2</v>
      </c>
      <c r="P529" t="str">
        <f t="shared" si="296"/>
        <v>4</v>
      </c>
      <c r="Q529" s="18">
        <f>IFERROR(VLOOKUP(L529,Katalog!$C$3:$F$13,2,0),0)</f>
        <v>60000</v>
      </c>
      <c r="R529" s="18">
        <f>IFERROR(VLOOKUP(L529,Katalog!$C$3:$F$13,3,0),0)</f>
        <v>25000</v>
      </c>
      <c r="S529" t="str">
        <f t="shared" si="297"/>
        <v>-</v>
      </c>
      <c r="T529" t="str">
        <f>IFERROR(INDEX(Katalog!$B$4:$B$13,MATCH('Main Data'!S529,Katalog!$C$4:$C$13,0)),"-")</f>
        <v>-</v>
      </c>
      <c r="U529" t="str">
        <f>IFERROR(VLOOKUP(S529,Katalog!$A$15:$B$25,2,0),"-")</f>
        <v>-</v>
      </c>
      <c r="V529">
        <f t="shared" si="298"/>
        <v>0</v>
      </c>
      <c r="W529" s="28" t="str">
        <f t="shared" si="299"/>
        <v>-</v>
      </c>
      <c r="X529" s="18">
        <f>IFERROR(VLOOKUP(S529,Katalog!$C$3:$F$13,2,0),0)</f>
        <v>0</v>
      </c>
      <c r="Y529" s="30">
        <f>IFERROR(VLOOKUP(S529,Katalog!$C$3:$F$13,3,0),0)</f>
        <v>0</v>
      </c>
      <c r="Z529" s="2">
        <f t="shared" si="300"/>
        <v>5</v>
      </c>
      <c r="AA529" s="4">
        <f t="shared" si="301"/>
        <v>495000</v>
      </c>
      <c r="AB529" s="4">
        <f t="shared" si="302"/>
        <v>200000</v>
      </c>
      <c r="AC529" s="4" t="s">
        <v>31</v>
      </c>
      <c r="AD529" s="16">
        <f>IFERROR(VLOOKUP(AC529,'Kode Diskon'!$C$2:$D$9,2,0),0)</f>
        <v>0.15</v>
      </c>
      <c r="AE529" s="31">
        <f t="shared" si="303"/>
        <v>74250</v>
      </c>
      <c r="AF529" s="31">
        <f t="shared" si="304"/>
        <v>420750</v>
      </c>
      <c r="AG529" s="31">
        <f t="shared" si="305"/>
        <v>295000</v>
      </c>
      <c r="AH529" s="31">
        <f t="shared" si="306"/>
        <v>220750</v>
      </c>
      <c r="AI529" s="4" t="s">
        <v>8</v>
      </c>
      <c r="AJ529" s="4" t="s">
        <v>11</v>
      </c>
      <c r="AK529" s="4" t="str">
        <f>IFERROR(VLOOKUP(AJ529,'Guide '!$A$13:$B$16,2,0),"-")</f>
        <v>BL</v>
      </c>
      <c r="AL529" s="4" t="s">
        <v>925</v>
      </c>
      <c r="AM529" s="40">
        <v>45489</v>
      </c>
      <c r="AN529">
        <f t="shared" si="307"/>
        <v>29</v>
      </c>
      <c r="AO529">
        <f t="shared" si="308"/>
        <v>32</v>
      </c>
      <c r="AP529">
        <f t="shared" si="309"/>
        <v>40</v>
      </c>
      <c r="AQ529">
        <f t="shared" si="310"/>
        <v>43</v>
      </c>
      <c r="AR529" s="26">
        <f t="shared" si="311"/>
        <v>56</v>
      </c>
      <c r="AS529" s="26">
        <f t="shared" si="312"/>
        <v>63</v>
      </c>
      <c r="AT529" s="21">
        <f t="shared" si="313"/>
        <v>12</v>
      </c>
      <c r="AU529" s="21">
        <f t="shared" si="314"/>
        <v>19</v>
      </c>
      <c r="AV529">
        <f t="shared" si="315"/>
        <v>73</v>
      </c>
      <c r="AW529">
        <f t="shared" si="316"/>
        <v>76</v>
      </c>
      <c r="AX529">
        <f t="shared" si="317"/>
        <v>84</v>
      </c>
      <c r="AY529">
        <f t="shared" si="318"/>
        <v>87</v>
      </c>
      <c r="AZ529" t="str">
        <f t="shared" si="319"/>
        <v>-</v>
      </c>
      <c r="BA529" t="str">
        <f t="shared" si="320"/>
        <v>-</v>
      </c>
      <c r="BB529" t="str">
        <f t="shared" si="321"/>
        <v>-</v>
      </c>
      <c r="BC529" t="str">
        <f t="shared" si="322"/>
        <v>-</v>
      </c>
      <c r="BD529" s="29" t="str">
        <f t="shared" si="323"/>
        <v>-</v>
      </c>
      <c r="BE529" s="29" t="str">
        <f t="shared" si="324"/>
        <v>-</v>
      </c>
    </row>
    <row r="530" spans="1:57" ht="15" x14ac:dyDescent="0.2">
      <c r="A530" s="2">
        <v>477</v>
      </c>
      <c r="B530" s="2" t="str">
        <f t="shared" si="289"/>
        <v>0477</v>
      </c>
      <c r="C530" t="str">
        <f t="shared" si="290"/>
        <v>ORD-BL-0477-16/07/24</v>
      </c>
      <c r="D530" s="3" t="s">
        <v>513</v>
      </c>
      <c r="E530" t="str">
        <f t="shared" si="291"/>
        <v>PP003</v>
      </c>
      <c r="F530" t="str">
        <f>INDEX(Katalog!$B$4:$B$13,MATCH('Main Data'!E530,Katalog!$C$4:$C$13,0))</f>
        <v>Jaket Jeans</v>
      </c>
      <c r="G530" t="str">
        <f>VLOOKUP(E530,Katalog!$A$15:$B$25,2,0)</f>
        <v>Pakaian Pria</v>
      </c>
      <c r="H530" t="str">
        <f t="shared" si="292"/>
        <v>3</v>
      </c>
      <c r="I530" t="str">
        <f t="shared" si="293"/>
        <v>3</v>
      </c>
      <c r="J530" s="18">
        <f>VLOOKUP(E530,Katalog!$C$3:$F$13,2,0)</f>
        <v>150000</v>
      </c>
      <c r="K530" s="18">
        <f>VLOOKUP(E530,Katalog!$C$3:$F$13,3,0)</f>
        <v>70000</v>
      </c>
      <c r="L530" t="str">
        <f t="shared" si="294"/>
        <v>-</v>
      </c>
      <c r="M530" t="str">
        <f>IFERROR(INDEX(Katalog!$B$4:$B$13,MATCH('Main Data'!L530,Katalog!$C$4:$C$13,0)), "-")</f>
        <v>-</v>
      </c>
      <c r="N530" t="str">
        <f>IFERROR(VLOOKUP(L530,Katalog!$A$15:$B$25,2,0),"-")</f>
        <v>-</v>
      </c>
      <c r="O530">
        <f t="shared" si="295"/>
        <v>0</v>
      </c>
      <c r="P530" t="str">
        <f t="shared" si="296"/>
        <v>-</v>
      </c>
      <c r="Q530" s="18">
        <f>IFERROR(VLOOKUP(L530,Katalog!$C$3:$F$13,2,0),0)</f>
        <v>0</v>
      </c>
      <c r="R530" s="18">
        <f>IFERROR(VLOOKUP(L530,Katalog!$C$3:$F$13,3,0),0)</f>
        <v>0</v>
      </c>
      <c r="S530" t="str">
        <f t="shared" si="297"/>
        <v>-</v>
      </c>
      <c r="T530" t="str">
        <f>IFERROR(INDEX(Katalog!$B$4:$B$13,MATCH('Main Data'!S530,Katalog!$C$4:$C$13,0)),"-")</f>
        <v>-</v>
      </c>
      <c r="U530" t="str">
        <f>IFERROR(VLOOKUP(S530,Katalog!$A$15:$B$25,2,0),"-")</f>
        <v>-</v>
      </c>
      <c r="V530">
        <f t="shared" si="298"/>
        <v>0</v>
      </c>
      <c r="W530" s="28" t="str">
        <f t="shared" si="299"/>
        <v>-</v>
      </c>
      <c r="X530" s="18">
        <f>IFERROR(VLOOKUP(S530,Katalog!$C$3:$F$13,2,0),0)</f>
        <v>0</v>
      </c>
      <c r="Y530" s="30">
        <f>IFERROR(VLOOKUP(S530,Katalog!$C$3:$F$13,3,0),0)</f>
        <v>0</v>
      </c>
      <c r="Z530" s="2">
        <f t="shared" si="300"/>
        <v>3</v>
      </c>
      <c r="AA530" s="4">
        <f t="shared" si="301"/>
        <v>450000</v>
      </c>
      <c r="AB530" s="4">
        <f t="shared" si="302"/>
        <v>210000</v>
      </c>
      <c r="AC530" s="4" t="s">
        <v>31</v>
      </c>
      <c r="AD530" s="16">
        <f>IFERROR(VLOOKUP(AC530,'Kode Diskon'!$C$2:$D$9,2,0),0)</f>
        <v>0.15</v>
      </c>
      <c r="AE530" s="31">
        <f t="shared" si="303"/>
        <v>67500</v>
      </c>
      <c r="AF530" s="31">
        <f t="shared" si="304"/>
        <v>382500</v>
      </c>
      <c r="AG530" s="31">
        <f t="shared" si="305"/>
        <v>240000</v>
      </c>
      <c r="AH530" s="31">
        <f t="shared" si="306"/>
        <v>172500</v>
      </c>
      <c r="AI530" s="4" t="s">
        <v>8</v>
      </c>
      <c r="AJ530" s="4" t="s">
        <v>11</v>
      </c>
      <c r="AK530" s="4" t="str">
        <f>IFERROR(VLOOKUP(AJ530,'Guide '!$A$13:$B$16,2,0),"-")</f>
        <v>BL</v>
      </c>
      <c r="AL530" s="4" t="s">
        <v>1006</v>
      </c>
      <c r="AM530" s="40">
        <v>45489</v>
      </c>
      <c r="AN530">
        <f t="shared" si="307"/>
        <v>29</v>
      </c>
      <c r="AO530">
        <f t="shared" si="308"/>
        <v>32</v>
      </c>
      <c r="AP530">
        <f t="shared" si="309"/>
        <v>40</v>
      </c>
      <c r="AQ530">
        <f t="shared" si="310"/>
        <v>43</v>
      </c>
      <c r="AR530" s="26" t="str">
        <f t="shared" si="311"/>
        <v>-</v>
      </c>
      <c r="AS530" s="26" t="str">
        <f t="shared" si="312"/>
        <v>-</v>
      </c>
      <c r="AT530" s="21">
        <f t="shared" si="313"/>
        <v>12</v>
      </c>
      <c r="AU530" s="21">
        <f t="shared" si="314"/>
        <v>19</v>
      </c>
      <c r="AV530" t="str">
        <f t="shared" si="315"/>
        <v>-</v>
      </c>
      <c r="AW530" t="str">
        <f t="shared" si="316"/>
        <v>-</v>
      </c>
      <c r="AX530" t="str">
        <f t="shared" si="317"/>
        <v>-</v>
      </c>
      <c r="AY530" t="str">
        <f t="shared" si="318"/>
        <v>-</v>
      </c>
      <c r="AZ530" t="str">
        <f t="shared" si="319"/>
        <v>-</v>
      </c>
      <c r="BA530" t="str">
        <f t="shared" si="320"/>
        <v>-</v>
      </c>
      <c r="BB530" t="str">
        <f t="shared" si="321"/>
        <v>-</v>
      </c>
      <c r="BC530" t="str">
        <f t="shared" si="322"/>
        <v>-</v>
      </c>
      <c r="BD530" s="29" t="str">
        <f t="shared" si="323"/>
        <v>-</v>
      </c>
      <c r="BE530" s="29" t="str">
        <f t="shared" si="324"/>
        <v>-</v>
      </c>
    </row>
    <row r="531" spans="1:57" ht="15" x14ac:dyDescent="0.2">
      <c r="A531" s="2">
        <v>509</v>
      </c>
      <c r="B531" s="2" t="str">
        <f t="shared" si="289"/>
        <v>0509</v>
      </c>
      <c r="C531" t="str">
        <f t="shared" si="290"/>
        <v>ORD-SP-0509-16/07/24</v>
      </c>
      <c r="D531" s="3" t="s">
        <v>538</v>
      </c>
      <c r="E531" t="str">
        <f t="shared" si="291"/>
        <v>SP002</v>
      </c>
      <c r="F531" t="str">
        <f>INDEX(Katalog!$B$4:$B$13,MATCH('Main Data'!E531,Katalog!$C$4:$C$13,0))</f>
        <v>Sandal Slip On</v>
      </c>
      <c r="G531" t="str">
        <f>VLOOKUP(E531,Katalog!$A$15:$B$25,2,0)</f>
        <v>Sepatu Pria</v>
      </c>
      <c r="H531" t="str">
        <f t="shared" si="292"/>
        <v>3</v>
      </c>
      <c r="I531" t="str">
        <f t="shared" si="293"/>
        <v>5</v>
      </c>
      <c r="J531" s="18">
        <f>VLOOKUP(E531,Katalog!$C$3:$F$13,2,0)</f>
        <v>120000</v>
      </c>
      <c r="K531" s="18">
        <f>VLOOKUP(E531,Katalog!$C$3:$F$13,3,0)</f>
        <v>60000</v>
      </c>
      <c r="L531" t="str">
        <f t="shared" si="294"/>
        <v>PP001</v>
      </c>
      <c r="M531" t="str">
        <f>IFERROR(INDEX(Katalog!$B$4:$B$13,MATCH('Main Data'!L531,Katalog!$C$4:$C$13,0)), "-")</f>
        <v>Kaos Polo</v>
      </c>
      <c r="N531" t="str">
        <f>IFERROR(VLOOKUP(L531,Katalog!$A$15:$B$25,2,0),"-")</f>
        <v>Pakaian Pria</v>
      </c>
      <c r="O531" t="str">
        <f t="shared" si="295"/>
        <v>2</v>
      </c>
      <c r="P531" t="str">
        <f t="shared" si="296"/>
        <v>2</v>
      </c>
      <c r="Q531" s="18">
        <f>IFERROR(VLOOKUP(L531,Katalog!$C$3:$F$13,2,0),0)</f>
        <v>80000</v>
      </c>
      <c r="R531" s="18">
        <f>IFERROR(VLOOKUP(L531,Katalog!$C$3:$F$13,3,0),0)</f>
        <v>30000</v>
      </c>
      <c r="S531" t="str">
        <f t="shared" si="297"/>
        <v>PP003</v>
      </c>
      <c r="T531" t="str">
        <f>IFERROR(INDEX(Katalog!$B$4:$B$13,MATCH('Main Data'!S531,Katalog!$C$4:$C$13,0)),"-")</f>
        <v>Jaket Jeans</v>
      </c>
      <c r="U531" t="str">
        <f>IFERROR(VLOOKUP(S531,Katalog!$A$15:$B$25,2,0),"-")</f>
        <v>Pakaian Pria</v>
      </c>
      <c r="V531" t="str">
        <f t="shared" si="298"/>
        <v>1</v>
      </c>
      <c r="W531" s="28" t="str">
        <f t="shared" si="299"/>
        <v>2</v>
      </c>
      <c r="X531" s="18">
        <f>IFERROR(VLOOKUP(S531,Katalog!$C$3:$F$13,2,0),0)</f>
        <v>150000</v>
      </c>
      <c r="Y531" s="30">
        <f>IFERROR(VLOOKUP(S531,Katalog!$C$3:$F$13,3,0),0)</f>
        <v>70000</v>
      </c>
      <c r="Z531" s="2">
        <f t="shared" si="300"/>
        <v>6</v>
      </c>
      <c r="AA531" s="4">
        <f t="shared" si="301"/>
        <v>670000</v>
      </c>
      <c r="AB531" s="4">
        <f t="shared" si="302"/>
        <v>310000</v>
      </c>
      <c r="AC531" s="4" t="s">
        <v>12</v>
      </c>
      <c r="AD531" s="16">
        <f>IFERROR(VLOOKUP(AC531,'Kode Diskon'!$C$2:$D$9,2,0),0)</f>
        <v>0.15</v>
      </c>
      <c r="AE531" s="31">
        <f t="shared" si="303"/>
        <v>100500</v>
      </c>
      <c r="AF531" s="31">
        <f t="shared" si="304"/>
        <v>569500</v>
      </c>
      <c r="AG531" s="31">
        <f t="shared" si="305"/>
        <v>360000</v>
      </c>
      <c r="AH531" s="31">
        <f t="shared" si="306"/>
        <v>259500</v>
      </c>
      <c r="AI531" s="4" t="s">
        <v>28</v>
      </c>
      <c r="AJ531" s="4" t="s">
        <v>6</v>
      </c>
      <c r="AK531" s="4" t="str">
        <f>IFERROR(VLOOKUP(AJ531,'Guide '!$A$13:$B$16,2,0),"-")</f>
        <v>SP</v>
      </c>
      <c r="AL531" s="4" t="s">
        <v>922</v>
      </c>
      <c r="AM531" s="40">
        <v>45489</v>
      </c>
      <c r="AN531">
        <f t="shared" si="307"/>
        <v>29</v>
      </c>
      <c r="AO531">
        <f t="shared" si="308"/>
        <v>32</v>
      </c>
      <c r="AP531">
        <f t="shared" si="309"/>
        <v>40</v>
      </c>
      <c r="AQ531">
        <f t="shared" si="310"/>
        <v>43</v>
      </c>
      <c r="AR531" s="26">
        <f t="shared" si="311"/>
        <v>56</v>
      </c>
      <c r="AS531" s="26">
        <f t="shared" si="312"/>
        <v>63</v>
      </c>
      <c r="AT531" s="21">
        <f t="shared" si="313"/>
        <v>12</v>
      </c>
      <c r="AU531" s="21">
        <f t="shared" si="314"/>
        <v>19</v>
      </c>
      <c r="AV531">
        <f t="shared" si="315"/>
        <v>73</v>
      </c>
      <c r="AW531">
        <f t="shared" si="316"/>
        <v>76</v>
      </c>
      <c r="AX531">
        <f t="shared" si="317"/>
        <v>84</v>
      </c>
      <c r="AY531">
        <f t="shared" si="318"/>
        <v>87</v>
      </c>
      <c r="AZ531">
        <f t="shared" si="319"/>
        <v>100</v>
      </c>
      <c r="BA531">
        <f t="shared" si="320"/>
        <v>107</v>
      </c>
      <c r="BB531">
        <f t="shared" si="321"/>
        <v>117</v>
      </c>
      <c r="BC531">
        <f t="shared" si="322"/>
        <v>120</v>
      </c>
      <c r="BD531" s="29">
        <f t="shared" si="323"/>
        <v>128</v>
      </c>
      <c r="BE531" s="29">
        <f t="shared" si="324"/>
        <v>131</v>
      </c>
    </row>
    <row r="532" spans="1:57" ht="15" x14ac:dyDescent="0.2">
      <c r="A532" s="2">
        <v>655</v>
      </c>
      <c r="B532" s="2" t="str">
        <f t="shared" si="289"/>
        <v>0655</v>
      </c>
      <c r="C532" t="str">
        <f t="shared" si="290"/>
        <v>ORD-SP-0655-16/07/24</v>
      </c>
      <c r="D532" s="3" t="s">
        <v>657</v>
      </c>
      <c r="E532" t="str">
        <f t="shared" si="291"/>
        <v>PW001</v>
      </c>
      <c r="F532" t="str">
        <f>INDEX(Katalog!$B$4:$B$13,MATCH('Main Data'!E532,Katalog!$C$4:$C$13,0))</f>
        <v>Dress</v>
      </c>
      <c r="G532" t="str">
        <f>VLOOKUP(E532,Katalog!$A$15:$B$25,2,0)</f>
        <v>Pakaian Wanita</v>
      </c>
      <c r="H532" t="str">
        <f t="shared" si="292"/>
        <v>1</v>
      </c>
      <c r="I532" t="str">
        <f t="shared" si="293"/>
        <v>2</v>
      </c>
      <c r="J532" s="18">
        <f>VLOOKUP(E532,Katalog!$C$3:$F$13,2,0)</f>
        <v>150000</v>
      </c>
      <c r="K532" s="18">
        <f>VLOOKUP(E532,Katalog!$C$3:$F$13,3,0)</f>
        <v>55000</v>
      </c>
      <c r="L532" t="str">
        <f t="shared" si="294"/>
        <v>SP001</v>
      </c>
      <c r="M532" t="str">
        <f>IFERROR(INDEX(Katalog!$B$4:$B$13,MATCH('Main Data'!L532,Katalog!$C$4:$C$13,0)), "-")</f>
        <v>Sneakers</v>
      </c>
      <c r="N532" t="str">
        <f>IFERROR(VLOOKUP(L532,Katalog!$A$15:$B$25,2,0),"-")</f>
        <v>Sepatu Pria</v>
      </c>
      <c r="O532" t="str">
        <f t="shared" si="295"/>
        <v>2</v>
      </c>
      <c r="P532" t="str">
        <f t="shared" si="296"/>
        <v>1</v>
      </c>
      <c r="Q532" s="18">
        <f>IFERROR(VLOOKUP(L532,Katalog!$C$3:$F$13,2,0),0)</f>
        <v>300000</v>
      </c>
      <c r="R532" s="18">
        <f>IFERROR(VLOOKUP(L532,Katalog!$C$3:$F$13,3,0),0)</f>
        <v>100000</v>
      </c>
      <c r="S532" t="str">
        <f t="shared" si="297"/>
        <v>-</v>
      </c>
      <c r="T532" t="str">
        <f>IFERROR(INDEX(Katalog!$B$4:$B$13,MATCH('Main Data'!S532,Katalog!$C$4:$C$13,0)),"-")</f>
        <v>-</v>
      </c>
      <c r="U532" t="str">
        <f>IFERROR(VLOOKUP(S532,Katalog!$A$15:$B$25,2,0),"-")</f>
        <v>-</v>
      </c>
      <c r="V532">
        <f t="shared" si="298"/>
        <v>0</v>
      </c>
      <c r="W532" s="28" t="str">
        <f t="shared" si="299"/>
        <v>-</v>
      </c>
      <c r="X532" s="18">
        <f>IFERROR(VLOOKUP(S532,Katalog!$C$3:$F$13,2,0),0)</f>
        <v>0</v>
      </c>
      <c r="Y532" s="30">
        <f>IFERROR(VLOOKUP(S532,Katalog!$C$3:$F$13,3,0),0)</f>
        <v>0</v>
      </c>
      <c r="Z532" s="2">
        <f t="shared" si="300"/>
        <v>3</v>
      </c>
      <c r="AA532" s="4">
        <f t="shared" si="301"/>
        <v>750000</v>
      </c>
      <c r="AB532" s="4">
        <f t="shared" si="302"/>
        <v>255000</v>
      </c>
      <c r="AC532" s="4" t="s">
        <v>12</v>
      </c>
      <c r="AD532" s="16">
        <f>IFERROR(VLOOKUP(AC532,'Kode Diskon'!$C$2:$D$9,2,0),0)</f>
        <v>0.15</v>
      </c>
      <c r="AE532" s="31">
        <f t="shared" si="303"/>
        <v>112500</v>
      </c>
      <c r="AF532" s="31">
        <f t="shared" si="304"/>
        <v>637500</v>
      </c>
      <c r="AG532" s="31">
        <f t="shared" si="305"/>
        <v>495000</v>
      </c>
      <c r="AH532" s="31">
        <f t="shared" si="306"/>
        <v>382500</v>
      </c>
      <c r="AI532" s="4" t="s">
        <v>28</v>
      </c>
      <c r="AJ532" s="4" t="s">
        <v>6</v>
      </c>
      <c r="AK532" s="4" t="str">
        <f>IFERROR(VLOOKUP(AJ532,'Guide '!$A$13:$B$16,2,0),"-")</f>
        <v>SP</v>
      </c>
      <c r="AL532" s="4" t="s">
        <v>1006</v>
      </c>
      <c r="AM532" s="40">
        <v>45489</v>
      </c>
      <c r="AN532">
        <f t="shared" si="307"/>
        <v>29</v>
      </c>
      <c r="AO532">
        <f t="shared" si="308"/>
        <v>32</v>
      </c>
      <c r="AP532">
        <f t="shared" si="309"/>
        <v>40</v>
      </c>
      <c r="AQ532">
        <f t="shared" si="310"/>
        <v>43</v>
      </c>
      <c r="AR532" s="26">
        <f t="shared" si="311"/>
        <v>56</v>
      </c>
      <c r="AS532" s="26">
        <f t="shared" si="312"/>
        <v>63</v>
      </c>
      <c r="AT532" s="21">
        <f t="shared" si="313"/>
        <v>12</v>
      </c>
      <c r="AU532" s="21">
        <f t="shared" si="314"/>
        <v>19</v>
      </c>
      <c r="AV532">
        <f t="shared" si="315"/>
        <v>73</v>
      </c>
      <c r="AW532">
        <f t="shared" si="316"/>
        <v>76</v>
      </c>
      <c r="AX532">
        <f t="shared" si="317"/>
        <v>84</v>
      </c>
      <c r="AY532">
        <f t="shared" si="318"/>
        <v>87</v>
      </c>
      <c r="AZ532" t="str">
        <f t="shared" si="319"/>
        <v>-</v>
      </c>
      <c r="BA532" t="str">
        <f t="shared" si="320"/>
        <v>-</v>
      </c>
      <c r="BB532" t="str">
        <f t="shared" si="321"/>
        <v>-</v>
      </c>
      <c r="BC532" t="str">
        <f t="shared" si="322"/>
        <v>-</v>
      </c>
      <c r="BD532" s="29" t="str">
        <f t="shared" si="323"/>
        <v>-</v>
      </c>
      <c r="BE532" s="29" t="str">
        <f t="shared" si="324"/>
        <v>-</v>
      </c>
    </row>
    <row r="533" spans="1:57" ht="15" x14ac:dyDescent="0.2">
      <c r="A533" s="2">
        <v>786</v>
      </c>
      <c r="B533" s="2" t="str">
        <f t="shared" si="289"/>
        <v>0786</v>
      </c>
      <c r="C533" t="str">
        <f t="shared" si="290"/>
        <v>ORD-BL-0786-16/07/24</v>
      </c>
      <c r="D533" s="3" t="s">
        <v>328</v>
      </c>
      <c r="E533" t="str">
        <f t="shared" si="291"/>
        <v>PP002</v>
      </c>
      <c r="F533" t="str">
        <f>INDEX(Katalog!$B$4:$B$13,MATCH('Main Data'!E533,Katalog!$C$4:$C$13,0))</f>
        <v>Celana Pendek</v>
      </c>
      <c r="G533" t="str">
        <f>VLOOKUP(E533,Katalog!$A$15:$B$25,2,0)</f>
        <v>Pakaian Pria</v>
      </c>
      <c r="H533" t="str">
        <f t="shared" si="292"/>
        <v>1</v>
      </c>
      <c r="I533" t="str">
        <f t="shared" si="293"/>
        <v>2</v>
      </c>
      <c r="J533" s="18">
        <f>VLOOKUP(E533,Katalog!$C$3:$F$13,2,0)</f>
        <v>60000</v>
      </c>
      <c r="K533" s="18">
        <f>VLOOKUP(E533,Katalog!$C$3:$F$13,3,0)</f>
        <v>25000</v>
      </c>
      <c r="L533" t="str">
        <f t="shared" si="294"/>
        <v>-</v>
      </c>
      <c r="M533" t="str">
        <f>IFERROR(INDEX(Katalog!$B$4:$B$13,MATCH('Main Data'!L533,Katalog!$C$4:$C$13,0)), "-")</f>
        <v>-</v>
      </c>
      <c r="N533" t="str">
        <f>IFERROR(VLOOKUP(L533,Katalog!$A$15:$B$25,2,0),"-")</f>
        <v>-</v>
      </c>
      <c r="O533">
        <f t="shared" si="295"/>
        <v>0</v>
      </c>
      <c r="P533" t="str">
        <f t="shared" si="296"/>
        <v>-</v>
      </c>
      <c r="Q533" s="18">
        <f>IFERROR(VLOOKUP(L533,Katalog!$C$3:$F$13,2,0),0)</f>
        <v>0</v>
      </c>
      <c r="R533" s="18">
        <f>IFERROR(VLOOKUP(L533,Katalog!$C$3:$F$13,3,0),0)</f>
        <v>0</v>
      </c>
      <c r="S533" t="str">
        <f t="shared" si="297"/>
        <v>-</v>
      </c>
      <c r="T533" t="str">
        <f>IFERROR(INDEX(Katalog!$B$4:$B$13,MATCH('Main Data'!S533,Katalog!$C$4:$C$13,0)),"-")</f>
        <v>-</v>
      </c>
      <c r="U533" t="str">
        <f>IFERROR(VLOOKUP(S533,Katalog!$A$15:$B$25,2,0),"-")</f>
        <v>-</v>
      </c>
      <c r="V533">
        <f t="shared" si="298"/>
        <v>0</v>
      </c>
      <c r="W533" s="28" t="str">
        <f t="shared" si="299"/>
        <v>-</v>
      </c>
      <c r="X533" s="18">
        <f>IFERROR(VLOOKUP(S533,Katalog!$C$3:$F$13,2,0),0)</f>
        <v>0</v>
      </c>
      <c r="Y533" s="30">
        <f>IFERROR(VLOOKUP(S533,Katalog!$C$3:$F$13,3,0),0)</f>
        <v>0</v>
      </c>
      <c r="Z533" s="2">
        <f t="shared" si="300"/>
        <v>1</v>
      </c>
      <c r="AA533" s="4">
        <f t="shared" si="301"/>
        <v>60000</v>
      </c>
      <c r="AB533" s="4">
        <f t="shared" si="302"/>
        <v>25000</v>
      </c>
      <c r="AC533" s="4" t="s">
        <v>10</v>
      </c>
      <c r="AD533" s="16">
        <f>IFERROR(VLOOKUP(AC533,'Kode Diskon'!$C$2:$D$9,2,0),0)</f>
        <v>0</v>
      </c>
      <c r="AE533" s="31">
        <f t="shared" si="303"/>
        <v>0</v>
      </c>
      <c r="AF533" s="31">
        <f t="shared" si="304"/>
        <v>60000</v>
      </c>
      <c r="AG533" s="31">
        <f t="shared" si="305"/>
        <v>35000</v>
      </c>
      <c r="AH533" s="31">
        <f t="shared" si="306"/>
        <v>35000</v>
      </c>
      <c r="AI533" s="4" t="s">
        <v>10</v>
      </c>
      <c r="AJ533" s="4" t="s">
        <v>11</v>
      </c>
      <c r="AK533" s="4" t="str">
        <f>IFERROR(VLOOKUP(AJ533,'Guide '!$A$13:$B$16,2,0),"-")</f>
        <v>BL</v>
      </c>
      <c r="AL533" s="4" t="s">
        <v>924</v>
      </c>
      <c r="AM533" s="40">
        <v>45489</v>
      </c>
      <c r="AN533">
        <f t="shared" si="307"/>
        <v>29</v>
      </c>
      <c r="AO533">
        <f t="shared" si="308"/>
        <v>32</v>
      </c>
      <c r="AP533">
        <f t="shared" si="309"/>
        <v>40</v>
      </c>
      <c r="AQ533">
        <f t="shared" si="310"/>
        <v>43</v>
      </c>
      <c r="AR533" s="26" t="str">
        <f t="shared" si="311"/>
        <v>-</v>
      </c>
      <c r="AS533" s="26" t="str">
        <f t="shared" si="312"/>
        <v>-</v>
      </c>
      <c r="AT533" s="21">
        <f t="shared" si="313"/>
        <v>12</v>
      </c>
      <c r="AU533" s="21">
        <f t="shared" si="314"/>
        <v>19</v>
      </c>
      <c r="AV533" t="str">
        <f t="shared" si="315"/>
        <v>-</v>
      </c>
      <c r="AW533" t="str">
        <f t="shared" si="316"/>
        <v>-</v>
      </c>
      <c r="AX533" t="str">
        <f t="shared" si="317"/>
        <v>-</v>
      </c>
      <c r="AY533" t="str">
        <f t="shared" si="318"/>
        <v>-</v>
      </c>
      <c r="AZ533" t="str">
        <f t="shared" si="319"/>
        <v>-</v>
      </c>
      <c r="BA533" t="str">
        <f t="shared" si="320"/>
        <v>-</v>
      </c>
      <c r="BB533" t="str">
        <f t="shared" si="321"/>
        <v>-</v>
      </c>
      <c r="BC533" t="str">
        <f t="shared" si="322"/>
        <v>-</v>
      </c>
      <c r="BD533" s="29" t="str">
        <f t="shared" si="323"/>
        <v>-</v>
      </c>
      <c r="BE533" s="29" t="str">
        <f t="shared" si="324"/>
        <v>-</v>
      </c>
    </row>
    <row r="534" spans="1:57" ht="15" x14ac:dyDescent="0.2">
      <c r="A534" s="2">
        <v>269</v>
      </c>
      <c r="B534" s="2" t="str">
        <f t="shared" si="289"/>
        <v>0269</v>
      </c>
      <c r="C534" t="str">
        <f t="shared" si="290"/>
        <v>ORD-TK-0269-17/07/24</v>
      </c>
      <c r="D534" s="3" t="s">
        <v>331</v>
      </c>
      <c r="E534" t="str">
        <f t="shared" si="291"/>
        <v>SP002</v>
      </c>
      <c r="F534" t="str">
        <f>INDEX(Katalog!$B$4:$B$13,MATCH('Main Data'!E534,Katalog!$C$4:$C$13,0))</f>
        <v>Sandal Slip On</v>
      </c>
      <c r="G534" t="str">
        <f>VLOOKUP(E534,Katalog!$A$15:$B$25,2,0)</f>
        <v>Sepatu Pria</v>
      </c>
      <c r="H534" t="str">
        <f t="shared" si="292"/>
        <v>4</v>
      </c>
      <c r="I534" t="str">
        <f t="shared" si="293"/>
        <v>2</v>
      </c>
      <c r="J534" s="18">
        <f>VLOOKUP(E534,Katalog!$C$3:$F$13,2,0)</f>
        <v>120000</v>
      </c>
      <c r="K534" s="18">
        <f>VLOOKUP(E534,Katalog!$C$3:$F$13,3,0)</f>
        <v>60000</v>
      </c>
      <c r="L534" t="str">
        <f t="shared" si="294"/>
        <v>PW002</v>
      </c>
      <c r="M534" t="str">
        <f>IFERROR(INDEX(Katalog!$B$4:$B$13,MATCH('Main Data'!L534,Katalog!$C$4:$C$13,0)), "-")</f>
        <v>Blouse</v>
      </c>
      <c r="N534" t="str">
        <f>IFERROR(VLOOKUP(L534,Katalog!$A$15:$B$25,2,0),"-")</f>
        <v>Pakaian Wanita</v>
      </c>
      <c r="O534" t="str">
        <f t="shared" si="295"/>
        <v>3</v>
      </c>
      <c r="P534" t="str">
        <f t="shared" si="296"/>
        <v>4</v>
      </c>
      <c r="Q534" s="18">
        <f>IFERROR(VLOOKUP(L534,Katalog!$C$3:$F$13,2,0),0)</f>
        <v>125000</v>
      </c>
      <c r="R534" s="18">
        <f>IFERROR(VLOOKUP(L534,Katalog!$C$3:$F$13,3,0),0)</f>
        <v>50000</v>
      </c>
      <c r="S534" t="str">
        <f t="shared" si="297"/>
        <v>-</v>
      </c>
      <c r="T534" t="str">
        <f>IFERROR(INDEX(Katalog!$B$4:$B$13,MATCH('Main Data'!S534,Katalog!$C$4:$C$13,0)),"-")</f>
        <v>-</v>
      </c>
      <c r="U534" t="str">
        <f>IFERROR(VLOOKUP(S534,Katalog!$A$15:$B$25,2,0),"-")</f>
        <v>-</v>
      </c>
      <c r="V534">
        <f t="shared" si="298"/>
        <v>0</v>
      </c>
      <c r="W534" s="28" t="str">
        <f t="shared" si="299"/>
        <v>-</v>
      </c>
      <c r="X534" s="18">
        <f>IFERROR(VLOOKUP(S534,Katalog!$C$3:$F$13,2,0),0)</f>
        <v>0</v>
      </c>
      <c r="Y534" s="30">
        <f>IFERROR(VLOOKUP(S534,Katalog!$C$3:$F$13,3,0),0)</f>
        <v>0</v>
      </c>
      <c r="Z534" s="2">
        <f t="shared" si="300"/>
        <v>7</v>
      </c>
      <c r="AA534" s="4">
        <f t="shared" si="301"/>
        <v>855000</v>
      </c>
      <c r="AB534" s="4">
        <f t="shared" si="302"/>
        <v>390000</v>
      </c>
      <c r="AC534" s="4" t="s">
        <v>29</v>
      </c>
      <c r="AD534" s="16">
        <f>IFERROR(VLOOKUP(AC534,'Kode Diskon'!$C$2:$D$9,2,0),0)</f>
        <v>0.1</v>
      </c>
      <c r="AE534" s="31">
        <f t="shared" si="303"/>
        <v>85500</v>
      </c>
      <c r="AF534" s="31">
        <f t="shared" si="304"/>
        <v>769500</v>
      </c>
      <c r="AG534" s="31">
        <f t="shared" si="305"/>
        <v>465000</v>
      </c>
      <c r="AH534" s="31">
        <f t="shared" si="306"/>
        <v>379500</v>
      </c>
      <c r="AI534" s="4" t="s">
        <v>28</v>
      </c>
      <c r="AJ534" s="4" t="s">
        <v>9</v>
      </c>
      <c r="AK534" s="4" t="str">
        <f>IFERROR(VLOOKUP(AJ534,'Guide '!$A$13:$B$16,2,0),"-")</f>
        <v>TK</v>
      </c>
      <c r="AL534" s="4" t="s">
        <v>925</v>
      </c>
      <c r="AM534" s="40">
        <v>45490</v>
      </c>
      <c r="AN534">
        <f t="shared" si="307"/>
        <v>29</v>
      </c>
      <c r="AO534">
        <f t="shared" si="308"/>
        <v>32</v>
      </c>
      <c r="AP534">
        <f t="shared" si="309"/>
        <v>40</v>
      </c>
      <c r="AQ534">
        <f t="shared" si="310"/>
        <v>43</v>
      </c>
      <c r="AR534" s="26">
        <f t="shared" si="311"/>
        <v>56</v>
      </c>
      <c r="AS534" s="26">
        <f t="shared" si="312"/>
        <v>63</v>
      </c>
      <c r="AT534" s="21">
        <f t="shared" si="313"/>
        <v>12</v>
      </c>
      <c r="AU534" s="21">
        <f t="shared" si="314"/>
        <v>19</v>
      </c>
      <c r="AV534">
        <f t="shared" si="315"/>
        <v>73</v>
      </c>
      <c r="AW534">
        <f t="shared" si="316"/>
        <v>76</v>
      </c>
      <c r="AX534">
        <f t="shared" si="317"/>
        <v>84</v>
      </c>
      <c r="AY534">
        <f t="shared" si="318"/>
        <v>87</v>
      </c>
      <c r="AZ534" t="str">
        <f t="shared" si="319"/>
        <v>-</v>
      </c>
      <c r="BA534" t="str">
        <f t="shared" si="320"/>
        <v>-</v>
      </c>
      <c r="BB534" t="str">
        <f t="shared" si="321"/>
        <v>-</v>
      </c>
      <c r="BC534" t="str">
        <f t="shared" si="322"/>
        <v>-</v>
      </c>
      <c r="BD534" s="29" t="str">
        <f t="shared" si="323"/>
        <v>-</v>
      </c>
      <c r="BE534" s="29" t="str">
        <f t="shared" si="324"/>
        <v>-</v>
      </c>
    </row>
    <row r="535" spans="1:57" ht="15" x14ac:dyDescent="0.2">
      <c r="A535" s="2">
        <v>376</v>
      </c>
      <c r="B535" s="2" t="str">
        <f t="shared" si="289"/>
        <v>0376</v>
      </c>
      <c r="C535" t="str">
        <f t="shared" si="290"/>
        <v>ORD-BL-0376-17/07/24</v>
      </c>
      <c r="D535" s="3" t="s">
        <v>322</v>
      </c>
      <c r="E535" t="str">
        <f t="shared" si="291"/>
        <v>SW001</v>
      </c>
      <c r="F535" t="str">
        <f>INDEX(Katalog!$B$4:$B$13,MATCH('Main Data'!E535,Katalog!$C$4:$C$13,0))</f>
        <v>Flat Shoes</v>
      </c>
      <c r="G535" t="str">
        <f>VLOOKUP(E535,Katalog!$A$15:$B$25,2,0)</f>
        <v>Sepatu Wanita</v>
      </c>
      <c r="H535" t="str">
        <f t="shared" si="292"/>
        <v>1</v>
      </c>
      <c r="I535" t="str">
        <f t="shared" si="293"/>
        <v>1</v>
      </c>
      <c r="J535" s="18">
        <f>VLOOKUP(E535,Katalog!$C$3:$F$13,2,0)</f>
        <v>150000</v>
      </c>
      <c r="K535" s="18">
        <f>VLOOKUP(E535,Katalog!$C$3:$F$13,3,0)</f>
        <v>70000</v>
      </c>
      <c r="L535" t="str">
        <f t="shared" si="294"/>
        <v>-</v>
      </c>
      <c r="M535" t="str">
        <f>IFERROR(INDEX(Katalog!$B$4:$B$13,MATCH('Main Data'!L535,Katalog!$C$4:$C$13,0)), "-")</f>
        <v>-</v>
      </c>
      <c r="N535" t="str">
        <f>IFERROR(VLOOKUP(L535,Katalog!$A$15:$B$25,2,0),"-")</f>
        <v>-</v>
      </c>
      <c r="O535">
        <f t="shared" si="295"/>
        <v>0</v>
      </c>
      <c r="P535" t="str">
        <f t="shared" si="296"/>
        <v>-</v>
      </c>
      <c r="Q535" s="18">
        <f>IFERROR(VLOOKUP(L535,Katalog!$C$3:$F$13,2,0),0)</f>
        <v>0</v>
      </c>
      <c r="R535" s="18">
        <f>IFERROR(VLOOKUP(L535,Katalog!$C$3:$F$13,3,0),0)</f>
        <v>0</v>
      </c>
      <c r="S535" t="str">
        <f t="shared" si="297"/>
        <v>-</v>
      </c>
      <c r="T535" t="str">
        <f>IFERROR(INDEX(Katalog!$B$4:$B$13,MATCH('Main Data'!S535,Katalog!$C$4:$C$13,0)),"-")</f>
        <v>-</v>
      </c>
      <c r="U535" t="str">
        <f>IFERROR(VLOOKUP(S535,Katalog!$A$15:$B$25,2,0),"-")</f>
        <v>-</v>
      </c>
      <c r="V535">
        <f t="shared" si="298"/>
        <v>0</v>
      </c>
      <c r="W535" s="28" t="str">
        <f t="shared" si="299"/>
        <v>-</v>
      </c>
      <c r="X535" s="18">
        <f>IFERROR(VLOOKUP(S535,Katalog!$C$3:$F$13,2,0),0)</f>
        <v>0</v>
      </c>
      <c r="Y535" s="30">
        <f>IFERROR(VLOOKUP(S535,Katalog!$C$3:$F$13,3,0),0)</f>
        <v>0</v>
      </c>
      <c r="Z535" s="2">
        <f t="shared" si="300"/>
        <v>1</v>
      </c>
      <c r="AA535" s="4">
        <f t="shared" si="301"/>
        <v>150000</v>
      </c>
      <c r="AB535" s="4">
        <f t="shared" si="302"/>
        <v>70000</v>
      </c>
      <c r="AC535" s="4" t="s">
        <v>31</v>
      </c>
      <c r="AD535" s="16">
        <f>IFERROR(VLOOKUP(AC535,'Kode Diskon'!$C$2:$D$9,2,0),0)</f>
        <v>0.15</v>
      </c>
      <c r="AE535" s="31">
        <f t="shared" si="303"/>
        <v>22500</v>
      </c>
      <c r="AF535" s="31">
        <f t="shared" si="304"/>
        <v>127500</v>
      </c>
      <c r="AG535" s="31">
        <f t="shared" si="305"/>
        <v>80000</v>
      </c>
      <c r="AH535" s="31">
        <f t="shared" si="306"/>
        <v>57500</v>
      </c>
      <c r="AI535" s="4" t="s">
        <v>8</v>
      </c>
      <c r="AJ535" s="4" t="s">
        <v>11</v>
      </c>
      <c r="AK535" s="4" t="str">
        <f>IFERROR(VLOOKUP(AJ535,'Guide '!$A$13:$B$16,2,0),"-")</f>
        <v>BL</v>
      </c>
      <c r="AL535" s="4" t="s">
        <v>925</v>
      </c>
      <c r="AM535" s="40">
        <v>45490</v>
      </c>
      <c r="AN535">
        <f t="shared" si="307"/>
        <v>29</v>
      </c>
      <c r="AO535">
        <f t="shared" si="308"/>
        <v>32</v>
      </c>
      <c r="AP535">
        <f t="shared" si="309"/>
        <v>40</v>
      </c>
      <c r="AQ535">
        <f t="shared" si="310"/>
        <v>43</v>
      </c>
      <c r="AR535" s="26" t="str">
        <f t="shared" si="311"/>
        <v>-</v>
      </c>
      <c r="AS535" s="26" t="str">
        <f t="shared" si="312"/>
        <v>-</v>
      </c>
      <c r="AT535" s="21">
        <f t="shared" si="313"/>
        <v>12</v>
      </c>
      <c r="AU535" s="21">
        <f t="shared" si="314"/>
        <v>19</v>
      </c>
      <c r="AV535" t="str">
        <f t="shared" si="315"/>
        <v>-</v>
      </c>
      <c r="AW535" t="str">
        <f t="shared" si="316"/>
        <v>-</v>
      </c>
      <c r="AX535" t="str">
        <f t="shared" si="317"/>
        <v>-</v>
      </c>
      <c r="AY535" t="str">
        <f t="shared" si="318"/>
        <v>-</v>
      </c>
      <c r="AZ535" t="str">
        <f t="shared" si="319"/>
        <v>-</v>
      </c>
      <c r="BA535" t="str">
        <f t="shared" si="320"/>
        <v>-</v>
      </c>
      <c r="BB535" t="str">
        <f t="shared" si="321"/>
        <v>-</v>
      </c>
      <c r="BC535" t="str">
        <f t="shared" si="322"/>
        <v>-</v>
      </c>
      <c r="BD535" s="29" t="str">
        <f t="shared" si="323"/>
        <v>-</v>
      </c>
      <c r="BE535" s="29" t="str">
        <f t="shared" si="324"/>
        <v>-</v>
      </c>
    </row>
    <row r="536" spans="1:57" ht="15" x14ac:dyDescent="0.2">
      <c r="A536" s="2">
        <v>394</v>
      </c>
      <c r="B536" s="2" t="str">
        <f t="shared" si="289"/>
        <v>0394</v>
      </c>
      <c r="C536" t="str">
        <f t="shared" si="290"/>
        <v>ORD-TK-0394-17/07/24</v>
      </c>
      <c r="D536" s="3" t="s">
        <v>443</v>
      </c>
      <c r="E536" t="str">
        <f t="shared" si="291"/>
        <v>PP002</v>
      </c>
      <c r="F536" t="str">
        <f>INDEX(Katalog!$B$4:$B$13,MATCH('Main Data'!E536,Katalog!$C$4:$C$13,0))</f>
        <v>Celana Pendek</v>
      </c>
      <c r="G536" t="str">
        <f>VLOOKUP(E536,Katalog!$A$15:$B$25,2,0)</f>
        <v>Pakaian Pria</v>
      </c>
      <c r="H536" t="str">
        <f t="shared" si="292"/>
        <v>1</v>
      </c>
      <c r="I536" t="str">
        <f t="shared" si="293"/>
        <v>2</v>
      </c>
      <c r="J536" s="18">
        <f>VLOOKUP(E536,Katalog!$C$3:$F$13,2,0)</f>
        <v>60000</v>
      </c>
      <c r="K536" s="18">
        <f>VLOOKUP(E536,Katalog!$C$3:$F$13,3,0)</f>
        <v>25000</v>
      </c>
      <c r="L536" t="str">
        <f t="shared" si="294"/>
        <v>SP001</v>
      </c>
      <c r="M536" t="str">
        <f>IFERROR(INDEX(Katalog!$B$4:$B$13,MATCH('Main Data'!L536,Katalog!$C$4:$C$13,0)), "-")</f>
        <v>Sneakers</v>
      </c>
      <c r="N536" t="str">
        <f>IFERROR(VLOOKUP(L536,Katalog!$A$15:$B$25,2,0),"-")</f>
        <v>Sepatu Pria</v>
      </c>
      <c r="O536" t="str">
        <f t="shared" si="295"/>
        <v>1</v>
      </c>
      <c r="P536" t="str">
        <f t="shared" si="296"/>
        <v>1</v>
      </c>
      <c r="Q536" s="18">
        <f>IFERROR(VLOOKUP(L536,Katalog!$C$3:$F$13,2,0),0)</f>
        <v>300000</v>
      </c>
      <c r="R536" s="18">
        <f>IFERROR(VLOOKUP(L536,Katalog!$C$3:$F$13,3,0),0)</f>
        <v>100000</v>
      </c>
      <c r="S536" t="str">
        <f t="shared" si="297"/>
        <v>PU001</v>
      </c>
      <c r="T536" t="str">
        <f>IFERROR(INDEX(Katalog!$B$4:$B$13,MATCH('Main Data'!S536,Katalog!$C$4:$C$13,0)),"-")</f>
        <v>Jaket Hoodie</v>
      </c>
      <c r="U536" t="str">
        <f>IFERROR(VLOOKUP(S536,Katalog!$A$15:$B$25,2,0),"-")</f>
        <v>Pakaian Unisex</v>
      </c>
      <c r="V536" t="str">
        <f t="shared" si="298"/>
        <v>1</v>
      </c>
      <c r="W536" s="28" t="str">
        <f t="shared" si="299"/>
        <v>2</v>
      </c>
      <c r="X536" s="18">
        <f>IFERROR(VLOOKUP(S536,Katalog!$C$3:$F$13,2,0),0)</f>
        <v>160000</v>
      </c>
      <c r="Y536" s="30">
        <f>IFERROR(VLOOKUP(S536,Katalog!$C$3:$F$13,3,0),0)</f>
        <v>60000</v>
      </c>
      <c r="Z536" s="2">
        <f t="shared" si="300"/>
        <v>3</v>
      </c>
      <c r="AA536" s="4">
        <f t="shared" si="301"/>
        <v>520000</v>
      </c>
      <c r="AB536" s="4">
        <f t="shared" si="302"/>
        <v>185000</v>
      </c>
      <c r="AC536" s="4" t="s">
        <v>29</v>
      </c>
      <c r="AD536" s="16">
        <f>IFERROR(VLOOKUP(AC536,'Kode Diskon'!$C$2:$D$9,2,0),0)</f>
        <v>0.1</v>
      </c>
      <c r="AE536" s="31">
        <f t="shared" si="303"/>
        <v>52000</v>
      </c>
      <c r="AF536" s="31">
        <f t="shared" si="304"/>
        <v>468000</v>
      </c>
      <c r="AG536" s="31">
        <f t="shared" si="305"/>
        <v>335000</v>
      </c>
      <c r="AH536" s="31">
        <f t="shared" si="306"/>
        <v>283000</v>
      </c>
      <c r="AI536" s="4" t="s">
        <v>28</v>
      </c>
      <c r="AJ536" s="4" t="s">
        <v>9</v>
      </c>
      <c r="AK536" s="4" t="str">
        <f>IFERROR(VLOOKUP(AJ536,'Guide '!$A$13:$B$16,2,0),"-")</f>
        <v>TK</v>
      </c>
      <c r="AL536" s="4" t="s">
        <v>923</v>
      </c>
      <c r="AM536" s="40">
        <v>45490</v>
      </c>
      <c r="AN536">
        <f t="shared" si="307"/>
        <v>29</v>
      </c>
      <c r="AO536">
        <f t="shared" si="308"/>
        <v>32</v>
      </c>
      <c r="AP536">
        <f t="shared" si="309"/>
        <v>40</v>
      </c>
      <c r="AQ536">
        <f t="shared" si="310"/>
        <v>43</v>
      </c>
      <c r="AR536" s="26">
        <f t="shared" si="311"/>
        <v>56</v>
      </c>
      <c r="AS536" s="26">
        <f t="shared" si="312"/>
        <v>63</v>
      </c>
      <c r="AT536" s="21">
        <f t="shared" si="313"/>
        <v>12</v>
      </c>
      <c r="AU536" s="21">
        <f t="shared" si="314"/>
        <v>19</v>
      </c>
      <c r="AV536">
        <f t="shared" si="315"/>
        <v>73</v>
      </c>
      <c r="AW536">
        <f t="shared" si="316"/>
        <v>76</v>
      </c>
      <c r="AX536">
        <f t="shared" si="317"/>
        <v>84</v>
      </c>
      <c r="AY536">
        <f t="shared" si="318"/>
        <v>87</v>
      </c>
      <c r="AZ536">
        <f t="shared" si="319"/>
        <v>100</v>
      </c>
      <c r="BA536">
        <f t="shared" si="320"/>
        <v>107</v>
      </c>
      <c r="BB536">
        <f t="shared" si="321"/>
        <v>117</v>
      </c>
      <c r="BC536">
        <f t="shared" si="322"/>
        <v>120</v>
      </c>
      <c r="BD536" s="29">
        <f t="shared" si="323"/>
        <v>128</v>
      </c>
      <c r="BE536" s="29">
        <f t="shared" si="324"/>
        <v>131</v>
      </c>
    </row>
    <row r="537" spans="1:57" ht="15" x14ac:dyDescent="0.2">
      <c r="A537" s="2">
        <v>694</v>
      </c>
      <c r="B537" s="2" t="str">
        <f t="shared" si="289"/>
        <v>0694</v>
      </c>
      <c r="C537" t="str">
        <f t="shared" si="290"/>
        <v>ORD-SP-0694-17/07/24</v>
      </c>
      <c r="D537" s="3" t="s">
        <v>147</v>
      </c>
      <c r="E537" t="str">
        <f t="shared" si="291"/>
        <v>PW001</v>
      </c>
      <c r="F537" t="str">
        <f>INDEX(Katalog!$B$4:$B$13,MATCH('Main Data'!E537,Katalog!$C$4:$C$13,0))</f>
        <v>Dress</v>
      </c>
      <c r="G537" t="str">
        <f>VLOOKUP(E537,Katalog!$A$15:$B$25,2,0)</f>
        <v>Pakaian Wanita</v>
      </c>
      <c r="H537" t="str">
        <f t="shared" si="292"/>
        <v>3</v>
      </c>
      <c r="I537" t="str">
        <f t="shared" si="293"/>
        <v>4</v>
      </c>
      <c r="J537" s="18">
        <f>VLOOKUP(E537,Katalog!$C$3:$F$13,2,0)</f>
        <v>150000</v>
      </c>
      <c r="K537" s="18">
        <f>VLOOKUP(E537,Katalog!$C$3:$F$13,3,0)</f>
        <v>55000</v>
      </c>
      <c r="L537" t="str">
        <f t="shared" si="294"/>
        <v>-</v>
      </c>
      <c r="M537" t="str">
        <f>IFERROR(INDEX(Katalog!$B$4:$B$13,MATCH('Main Data'!L537,Katalog!$C$4:$C$13,0)), "-")</f>
        <v>-</v>
      </c>
      <c r="N537" t="str">
        <f>IFERROR(VLOOKUP(L537,Katalog!$A$15:$B$25,2,0),"-")</f>
        <v>-</v>
      </c>
      <c r="O537">
        <f t="shared" si="295"/>
        <v>0</v>
      </c>
      <c r="P537" t="str">
        <f t="shared" si="296"/>
        <v>-</v>
      </c>
      <c r="Q537" s="18">
        <f>IFERROR(VLOOKUP(L537,Katalog!$C$3:$F$13,2,0),0)</f>
        <v>0</v>
      </c>
      <c r="R537" s="18">
        <f>IFERROR(VLOOKUP(L537,Katalog!$C$3:$F$13,3,0),0)</f>
        <v>0</v>
      </c>
      <c r="S537" t="str">
        <f t="shared" si="297"/>
        <v>-</v>
      </c>
      <c r="T537" t="str">
        <f>IFERROR(INDEX(Katalog!$B$4:$B$13,MATCH('Main Data'!S537,Katalog!$C$4:$C$13,0)),"-")</f>
        <v>-</v>
      </c>
      <c r="U537" t="str">
        <f>IFERROR(VLOOKUP(S537,Katalog!$A$15:$B$25,2,0),"-")</f>
        <v>-</v>
      </c>
      <c r="V537">
        <f t="shared" si="298"/>
        <v>0</v>
      </c>
      <c r="W537" s="28" t="str">
        <f t="shared" si="299"/>
        <v>-</v>
      </c>
      <c r="X537" s="18">
        <f>IFERROR(VLOOKUP(S537,Katalog!$C$3:$F$13,2,0),0)</f>
        <v>0</v>
      </c>
      <c r="Y537" s="30">
        <f>IFERROR(VLOOKUP(S537,Katalog!$C$3:$F$13,3,0),0)</f>
        <v>0</v>
      </c>
      <c r="Z537" s="2">
        <f t="shared" si="300"/>
        <v>3</v>
      </c>
      <c r="AA537" s="4">
        <f t="shared" si="301"/>
        <v>450000</v>
      </c>
      <c r="AB537" s="4">
        <f t="shared" si="302"/>
        <v>165000</v>
      </c>
      <c r="AC537" s="4" t="s">
        <v>12</v>
      </c>
      <c r="AD537" s="16">
        <f>IFERROR(VLOOKUP(AC537,'Kode Diskon'!$C$2:$D$9,2,0),0)</f>
        <v>0.15</v>
      </c>
      <c r="AE537" s="31">
        <f t="shared" si="303"/>
        <v>67500</v>
      </c>
      <c r="AF537" s="31">
        <f t="shared" si="304"/>
        <v>382500</v>
      </c>
      <c r="AG537" s="31">
        <f t="shared" si="305"/>
        <v>285000</v>
      </c>
      <c r="AH537" s="31">
        <f t="shared" si="306"/>
        <v>217500</v>
      </c>
      <c r="AI537" s="4" t="s">
        <v>28</v>
      </c>
      <c r="AJ537" s="4" t="s">
        <v>6</v>
      </c>
      <c r="AK537" s="4" t="str">
        <f>IFERROR(VLOOKUP(AJ537,'Guide '!$A$13:$B$16,2,0),"-")</f>
        <v>SP</v>
      </c>
      <c r="AL537" s="4" t="s">
        <v>1006</v>
      </c>
      <c r="AM537" s="40">
        <v>45490</v>
      </c>
      <c r="AN537">
        <f t="shared" si="307"/>
        <v>29</v>
      </c>
      <c r="AO537">
        <f t="shared" si="308"/>
        <v>32</v>
      </c>
      <c r="AP537">
        <f t="shared" si="309"/>
        <v>40</v>
      </c>
      <c r="AQ537">
        <f t="shared" si="310"/>
        <v>43</v>
      </c>
      <c r="AR537" s="26" t="str">
        <f t="shared" si="311"/>
        <v>-</v>
      </c>
      <c r="AS537" s="26" t="str">
        <f t="shared" si="312"/>
        <v>-</v>
      </c>
      <c r="AT537" s="21">
        <f t="shared" si="313"/>
        <v>12</v>
      </c>
      <c r="AU537" s="21">
        <f t="shared" si="314"/>
        <v>19</v>
      </c>
      <c r="AV537" t="str">
        <f t="shared" si="315"/>
        <v>-</v>
      </c>
      <c r="AW537" t="str">
        <f t="shared" si="316"/>
        <v>-</v>
      </c>
      <c r="AX537" t="str">
        <f t="shared" si="317"/>
        <v>-</v>
      </c>
      <c r="AY537" t="str">
        <f t="shared" si="318"/>
        <v>-</v>
      </c>
      <c r="AZ537" t="str">
        <f t="shared" si="319"/>
        <v>-</v>
      </c>
      <c r="BA537" t="str">
        <f t="shared" si="320"/>
        <v>-</v>
      </c>
      <c r="BB537" t="str">
        <f t="shared" si="321"/>
        <v>-</v>
      </c>
      <c r="BC537" t="str">
        <f t="shared" si="322"/>
        <v>-</v>
      </c>
      <c r="BD537" s="29" t="str">
        <f t="shared" si="323"/>
        <v>-</v>
      </c>
      <c r="BE537" s="29" t="str">
        <f t="shared" si="324"/>
        <v>-</v>
      </c>
    </row>
    <row r="538" spans="1:57" ht="15" x14ac:dyDescent="0.2">
      <c r="A538" s="2">
        <v>833</v>
      </c>
      <c r="B538" s="2" t="str">
        <f t="shared" si="289"/>
        <v>0833</v>
      </c>
      <c r="C538" t="str">
        <f t="shared" si="290"/>
        <v>ORD-SP-0833-17/07/24</v>
      </c>
      <c r="D538" s="3" t="s">
        <v>792</v>
      </c>
      <c r="E538" t="str">
        <f t="shared" si="291"/>
        <v>PW003</v>
      </c>
      <c r="F538" t="str">
        <f>INDEX(Katalog!$B$4:$B$13,MATCH('Main Data'!E538,Katalog!$C$4:$C$13,0))</f>
        <v>Kaftan</v>
      </c>
      <c r="G538" t="str">
        <f>VLOOKUP(E538,Katalog!$A$15:$B$25,2,0)</f>
        <v>Pakaian Wanita</v>
      </c>
      <c r="H538" t="str">
        <f t="shared" si="292"/>
        <v>4</v>
      </c>
      <c r="I538" t="str">
        <f t="shared" si="293"/>
        <v>3</v>
      </c>
      <c r="J538" s="18">
        <f>VLOOKUP(E538,Katalog!$C$3:$F$13,2,0)</f>
        <v>200000</v>
      </c>
      <c r="K538" s="18">
        <f>VLOOKUP(E538,Katalog!$C$3:$F$13,3,0)</f>
        <v>100000</v>
      </c>
      <c r="L538" t="str">
        <f t="shared" si="294"/>
        <v>PU001</v>
      </c>
      <c r="M538" t="str">
        <f>IFERROR(INDEX(Katalog!$B$4:$B$13,MATCH('Main Data'!L538,Katalog!$C$4:$C$13,0)), "-")</f>
        <v>Jaket Hoodie</v>
      </c>
      <c r="N538" t="str">
        <f>IFERROR(VLOOKUP(L538,Katalog!$A$15:$B$25,2,0),"-")</f>
        <v>Pakaian Unisex</v>
      </c>
      <c r="O538" t="str">
        <f t="shared" si="295"/>
        <v>1</v>
      </c>
      <c r="P538" t="str">
        <f t="shared" si="296"/>
        <v>2</v>
      </c>
      <c r="Q538" s="18">
        <f>IFERROR(VLOOKUP(L538,Katalog!$C$3:$F$13,2,0),0)</f>
        <v>160000</v>
      </c>
      <c r="R538" s="18">
        <f>IFERROR(VLOOKUP(L538,Katalog!$C$3:$F$13,3,0),0)</f>
        <v>60000</v>
      </c>
      <c r="S538" t="str">
        <f t="shared" si="297"/>
        <v>PW001</v>
      </c>
      <c r="T538" t="str">
        <f>IFERROR(INDEX(Katalog!$B$4:$B$13,MATCH('Main Data'!S538,Katalog!$C$4:$C$13,0)),"-")</f>
        <v>Dress</v>
      </c>
      <c r="U538" t="str">
        <f>IFERROR(VLOOKUP(S538,Katalog!$A$15:$B$25,2,0),"-")</f>
        <v>Pakaian Wanita</v>
      </c>
      <c r="V538" t="str">
        <f t="shared" si="298"/>
        <v>2</v>
      </c>
      <c r="W538" s="28" t="str">
        <f t="shared" si="299"/>
        <v>5</v>
      </c>
      <c r="X538" s="18">
        <f>IFERROR(VLOOKUP(S538,Katalog!$C$3:$F$13,2,0),0)</f>
        <v>150000</v>
      </c>
      <c r="Y538" s="30">
        <f>IFERROR(VLOOKUP(S538,Katalog!$C$3:$F$13,3,0),0)</f>
        <v>55000</v>
      </c>
      <c r="Z538" s="2">
        <f t="shared" si="300"/>
        <v>7</v>
      </c>
      <c r="AA538" s="4">
        <f t="shared" si="301"/>
        <v>1260000</v>
      </c>
      <c r="AB538" s="4">
        <f t="shared" si="302"/>
        <v>570000</v>
      </c>
      <c r="AC538" s="4" t="s">
        <v>12</v>
      </c>
      <c r="AD538" s="16">
        <f>IFERROR(VLOOKUP(AC538,'Kode Diskon'!$C$2:$D$9,2,0),0)</f>
        <v>0.15</v>
      </c>
      <c r="AE538" s="31">
        <f t="shared" si="303"/>
        <v>189000</v>
      </c>
      <c r="AF538" s="31">
        <f t="shared" si="304"/>
        <v>1071000</v>
      </c>
      <c r="AG538" s="31">
        <f t="shared" si="305"/>
        <v>690000</v>
      </c>
      <c r="AH538" s="31">
        <f t="shared" si="306"/>
        <v>501000</v>
      </c>
      <c r="AI538" s="4" t="s">
        <v>28</v>
      </c>
      <c r="AJ538" s="4" t="s">
        <v>6</v>
      </c>
      <c r="AK538" s="4" t="str">
        <f>IFERROR(VLOOKUP(AJ538,'Guide '!$A$13:$B$16,2,0),"-")</f>
        <v>SP</v>
      </c>
      <c r="AL538" s="4" t="s">
        <v>1006</v>
      </c>
      <c r="AM538" s="40">
        <v>45490</v>
      </c>
      <c r="AN538">
        <f t="shared" si="307"/>
        <v>29</v>
      </c>
      <c r="AO538">
        <f t="shared" si="308"/>
        <v>32</v>
      </c>
      <c r="AP538">
        <f t="shared" si="309"/>
        <v>40</v>
      </c>
      <c r="AQ538">
        <f t="shared" si="310"/>
        <v>43</v>
      </c>
      <c r="AR538" s="26">
        <f t="shared" si="311"/>
        <v>56</v>
      </c>
      <c r="AS538" s="26">
        <f t="shared" si="312"/>
        <v>63</v>
      </c>
      <c r="AT538" s="21">
        <f t="shared" si="313"/>
        <v>12</v>
      </c>
      <c r="AU538" s="21">
        <f t="shared" si="314"/>
        <v>19</v>
      </c>
      <c r="AV538">
        <f t="shared" si="315"/>
        <v>73</v>
      </c>
      <c r="AW538">
        <f t="shared" si="316"/>
        <v>76</v>
      </c>
      <c r="AX538">
        <f t="shared" si="317"/>
        <v>84</v>
      </c>
      <c r="AY538">
        <f t="shared" si="318"/>
        <v>87</v>
      </c>
      <c r="AZ538">
        <f t="shared" si="319"/>
        <v>100</v>
      </c>
      <c r="BA538">
        <f t="shared" si="320"/>
        <v>107</v>
      </c>
      <c r="BB538">
        <f t="shared" si="321"/>
        <v>117</v>
      </c>
      <c r="BC538">
        <f t="shared" si="322"/>
        <v>120</v>
      </c>
      <c r="BD538" s="29">
        <f t="shared" si="323"/>
        <v>128</v>
      </c>
      <c r="BE538" s="29">
        <f t="shared" si="324"/>
        <v>131</v>
      </c>
    </row>
    <row r="539" spans="1:57" ht="15" x14ac:dyDescent="0.2">
      <c r="A539" s="2">
        <v>835</v>
      </c>
      <c r="B539" s="2" t="str">
        <f t="shared" si="289"/>
        <v>0835</v>
      </c>
      <c r="C539" t="str">
        <f t="shared" si="290"/>
        <v>ORD-SP-0835-17/07/24</v>
      </c>
      <c r="D539" s="3" t="s">
        <v>274</v>
      </c>
      <c r="E539" t="str">
        <f t="shared" si="291"/>
        <v>SP002</v>
      </c>
      <c r="F539" t="str">
        <f>INDEX(Katalog!$B$4:$B$13,MATCH('Main Data'!E539,Katalog!$C$4:$C$13,0))</f>
        <v>Sandal Slip On</v>
      </c>
      <c r="G539" t="str">
        <f>VLOOKUP(E539,Katalog!$A$15:$B$25,2,0)</f>
        <v>Sepatu Pria</v>
      </c>
      <c r="H539" t="str">
        <f t="shared" si="292"/>
        <v>1</v>
      </c>
      <c r="I539" t="str">
        <f t="shared" si="293"/>
        <v>5</v>
      </c>
      <c r="J539" s="18">
        <f>VLOOKUP(E539,Katalog!$C$3:$F$13,2,0)</f>
        <v>120000</v>
      </c>
      <c r="K539" s="18">
        <f>VLOOKUP(E539,Katalog!$C$3:$F$13,3,0)</f>
        <v>60000</v>
      </c>
      <c r="L539" t="str">
        <f t="shared" si="294"/>
        <v>-</v>
      </c>
      <c r="M539" t="str">
        <f>IFERROR(INDEX(Katalog!$B$4:$B$13,MATCH('Main Data'!L539,Katalog!$C$4:$C$13,0)), "-")</f>
        <v>-</v>
      </c>
      <c r="N539" t="str">
        <f>IFERROR(VLOOKUP(L539,Katalog!$A$15:$B$25,2,0),"-")</f>
        <v>-</v>
      </c>
      <c r="O539">
        <f t="shared" si="295"/>
        <v>0</v>
      </c>
      <c r="P539" t="str">
        <f t="shared" si="296"/>
        <v>-</v>
      </c>
      <c r="Q539" s="18">
        <f>IFERROR(VLOOKUP(L539,Katalog!$C$3:$F$13,2,0),0)</f>
        <v>0</v>
      </c>
      <c r="R539" s="18">
        <f>IFERROR(VLOOKUP(L539,Katalog!$C$3:$F$13,3,0),0)</f>
        <v>0</v>
      </c>
      <c r="S539" t="str">
        <f t="shared" si="297"/>
        <v>-</v>
      </c>
      <c r="T539" t="str">
        <f>IFERROR(INDEX(Katalog!$B$4:$B$13,MATCH('Main Data'!S539,Katalog!$C$4:$C$13,0)),"-")</f>
        <v>-</v>
      </c>
      <c r="U539" t="str">
        <f>IFERROR(VLOOKUP(S539,Katalog!$A$15:$B$25,2,0),"-")</f>
        <v>-</v>
      </c>
      <c r="V539">
        <f t="shared" si="298"/>
        <v>0</v>
      </c>
      <c r="W539" s="28" t="str">
        <f t="shared" si="299"/>
        <v>-</v>
      </c>
      <c r="X539" s="18">
        <f>IFERROR(VLOOKUP(S539,Katalog!$C$3:$F$13,2,0),0)</f>
        <v>0</v>
      </c>
      <c r="Y539" s="30">
        <f>IFERROR(VLOOKUP(S539,Katalog!$C$3:$F$13,3,0),0)</f>
        <v>0</v>
      </c>
      <c r="Z539" s="2">
        <f t="shared" si="300"/>
        <v>1</v>
      </c>
      <c r="AA539" s="4">
        <f t="shared" si="301"/>
        <v>120000</v>
      </c>
      <c r="AB539" s="4">
        <f t="shared" si="302"/>
        <v>60000</v>
      </c>
      <c r="AC539" s="4" t="s">
        <v>5</v>
      </c>
      <c r="AD539" s="16">
        <f>IFERROR(VLOOKUP(AC539,'Kode Diskon'!$C$2:$D$9,2,0),0)</f>
        <v>0.1</v>
      </c>
      <c r="AE539" s="31">
        <f t="shared" si="303"/>
        <v>12000</v>
      </c>
      <c r="AF539" s="31">
        <f t="shared" si="304"/>
        <v>108000</v>
      </c>
      <c r="AG539" s="31">
        <f t="shared" si="305"/>
        <v>60000</v>
      </c>
      <c r="AH539" s="31">
        <f t="shared" si="306"/>
        <v>48000</v>
      </c>
      <c r="AI539" s="4" t="s">
        <v>28</v>
      </c>
      <c r="AJ539" s="4" t="s">
        <v>6</v>
      </c>
      <c r="AK539" s="4" t="str">
        <f>IFERROR(VLOOKUP(AJ539,'Guide '!$A$13:$B$16,2,0),"-")</f>
        <v>SP</v>
      </c>
      <c r="AL539" s="4" t="s">
        <v>924</v>
      </c>
      <c r="AM539" s="40">
        <v>45490</v>
      </c>
      <c r="AN539">
        <f t="shared" si="307"/>
        <v>29</v>
      </c>
      <c r="AO539">
        <f t="shared" si="308"/>
        <v>32</v>
      </c>
      <c r="AP539">
        <f t="shared" si="309"/>
        <v>40</v>
      </c>
      <c r="AQ539">
        <f t="shared" si="310"/>
        <v>43</v>
      </c>
      <c r="AR539" s="26" t="str">
        <f t="shared" si="311"/>
        <v>-</v>
      </c>
      <c r="AS539" s="26" t="str">
        <f t="shared" si="312"/>
        <v>-</v>
      </c>
      <c r="AT539" s="21">
        <f t="shared" si="313"/>
        <v>12</v>
      </c>
      <c r="AU539" s="21">
        <f t="shared" si="314"/>
        <v>19</v>
      </c>
      <c r="AV539" t="str">
        <f t="shared" si="315"/>
        <v>-</v>
      </c>
      <c r="AW539" t="str">
        <f t="shared" si="316"/>
        <v>-</v>
      </c>
      <c r="AX539" t="str">
        <f t="shared" si="317"/>
        <v>-</v>
      </c>
      <c r="AY539" t="str">
        <f t="shared" si="318"/>
        <v>-</v>
      </c>
      <c r="AZ539" t="str">
        <f t="shared" si="319"/>
        <v>-</v>
      </c>
      <c r="BA539" t="str">
        <f t="shared" si="320"/>
        <v>-</v>
      </c>
      <c r="BB539" t="str">
        <f t="shared" si="321"/>
        <v>-</v>
      </c>
      <c r="BC539" t="str">
        <f t="shared" si="322"/>
        <v>-</v>
      </c>
      <c r="BD539" s="29" t="str">
        <f t="shared" si="323"/>
        <v>-</v>
      </c>
      <c r="BE539" s="29" t="str">
        <f t="shared" si="324"/>
        <v>-</v>
      </c>
    </row>
    <row r="540" spans="1:57" ht="15" x14ac:dyDescent="0.2">
      <c r="A540" s="2">
        <v>974</v>
      </c>
      <c r="B540" s="2" t="str">
        <f t="shared" si="289"/>
        <v>0974</v>
      </c>
      <c r="C540" t="str">
        <f t="shared" si="290"/>
        <v>ORD-SP-0974-17/07/24</v>
      </c>
      <c r="D540" s="3" t="s">
        <v>900</v>
      </c>
      <c r="E540" t="str">
        <f t="shared" si="291"/>
        <v>SP002</v>
      </c>
      <c r="F540" t="str">
        <f>INDEX(Katalog!$B$4:$B$13,MATCH('Main Data'!E540,Katalog!$C$4:$C$13,0))</f>
        <v>Sandal Slip On</v>
      </c>
      <c r="G540" t="str">
        <f>VLOOKUP(E540,Katalog!$A$15:$B$25,2,0)</f>
        <v>Sepatu Pria</v>
      </c>
      <c r="H540" t="str">
        <f t="shared" si="292"/>
        <v>5</v>
      </c>
      <c r="I540" t="str">
        <f t="shared" si="293"/>
        <v>2</v>
      </c>
      <c r="J540" s="18">
        <f>VLOOKUP(E540,Katalog!$C$3:$F$13,2,0)</f>
        <v>120000</v>
      </c>
      <c r="K540" s="18">
        <f>VLOOKUP(E540,Katalog!$C$3:$F$13,3,0)</f>
        <v>60000</v>
      </c>
      <c r="L540" t="str">
        <f t="shared" si="294"/>
        <v>PU001</v>
      </c>
      <c r="M540" t="str">
        <f>IFERROR(INDEX(Katalog!$B$4:$B$13,MATCH('Main Data'!L540,Katalog!$C$4:$C$13,0)), "-")</f>
        <v>Jaket Hoodie</v>
      </c>
      <c r="N540" t="str">
        <f>IFERROR(VLOOKUP(L540,Katalog!$A$15:$B$25,2,0),"-")</f>
        <v>Pakaian Unisex</v>
      </c>
      <c r="O540" t="str">
        <f t="shared" si="295"/>
        <v>1</v>
      </c>
      <c r="P540" t="str">
        <f t="shared" si="296"/>
        <v>1</v>
      </c>
      <c r="Q540" s="18">
        <f>IFERROR(VLOOKUP(L540,Katalog!$C$3:$F$13,2,0),0)</f>
        <v>160000</v>
      </c>
      <c r="R540" s="18">
        <f>IFERROR(VLOOKUP(L540,Katalog!$C$3:$F$13,3,0),0)</f>
        <v>60000</v>
      </c>
      <c r="S540" t="str">
        <f t="shared" si="297"/>
        <v>SW001</v>
      </c>
      <c r="T540" t="str">
        <f>IFERROR(INDEX(Katalog!$B$4:$B$13,MATCH('Main Data'!S540,Katalog!$C$4:$C$13,0)),"-")</f>
        <v>Flat Shoes</v>
      </c>
      <c r="U540" t="str">
        <f>IFERROR(VLOOKUP(S540,Katalog!$A$15:$B$25,2,0),"-")</f>
        <v>Sepatu Wanita</v>
      </c>
      <c r="V540" t="str">
        <f t="shared" si="298"/>
        <v>1</v>
      </c>
      <c r="W540" s="28" t="str">
        <f t="shared" si="299"/>
        <v>3</v>
      </c>
      <c r="X540" s="18">
        <f>IFERROR(VLOOKUP(S540,Katalog!$C$3:$F$13,2,0),0)</f>
        <v>150000</v>
      </c>
      <c r="Y540" s="30">
        <f>IFERROR(VLOOKUP(S540,Katalog!$C$3:$F$13,3,0),0)</f>
        <v>70000</v>
      </c>
      <c r="Z540" s="2">
        <f t="shared" si="300"/>
        <v>7</v>
      </c>
      <c r="AA540" s="4">
        <f t="shared" si="301"/>
        <v>910000</v>
      </c>
      <c r="AB540" s="4">
        <f t="shared" si="302"/>
        <v>430000</v>
      </c>
      <c r="AC540" s="4" t="s">
        <v>5</v>
      </c>
      <c r="AD540" s="16">
        <f>IFERROR(VLOOKUP(AC540,'Kode Diskon'!$C$2:$D$9,2,0),0)</f>
        <v>0.1</v>
      </c>
      <c r="AE540" s="31">
        <f t="shared" si="303"/>
        <v>91000</v>
      </c>
      <c r="AF540" s="31">
        <f t="shared" si="304"/>
        <v>819000</v>
      </c>
      <c r="AG540" s="31">
        <f t="shared" si="305"/>
        <v>480000</v>
      </c>
      <c r="AH540" s="31">
        <f t="shared" si="306"/>
        <v>389000</v>
      </c>
      <c r="AI540" s="4" t="s">
        <v>28</v>
      </c>
      <c r="AJ540" s="4" t="s">
        <v>6</v>
      </c>
      <c r="AK540" s="4" t="str">
        <f>IFERROR(VLOOKUP(AJ540,'Guide '!$A$13:$B$16,2,0),"-")</f>
        <v>SP</v>
      </c>
      <c r="AL540" s="4" t="s">
        <v>921</v>
      </c>
      <c r="AM540" s="40">
        <v>45490</v>
      </c>
      <c r="AN540">
        <f t="shared" si="307"/>
        <v>29</v>
      </c>
      <c r="AO540">
        <f t="shared" si="308"/>
        <v>32</v>
      </c>
      <c r="AP540">
        <f t="shared" si="309"/>
        <v>40</v>
      </c>
      <c r="AQ540">
        <f t="shared" si="310"/>
        <v>43</v>
      </c>
      <c r="AR540" s="26">
        <f t="shared" si="311"/>
        <v>56</v>
      </c>
      <c r="AS540" s="26">
        <f t="shared" si="312"/>
        <v>63</v>
      </c>
      <c r="AT540" s="21">
        <f t="shared" si="313"/>
        <v>12</v>
      </c>
      <c r="AU540" s="21">
        <f t="shared" si="314"/>
        <v>19</v>
      </c>
      <c r="AV540">
        <f t="shared" si="315"/>
        <v>73</v>
      </c>
      <c r="AW540">
        <f t="shared" si="316"/>
        <v>76</v>
      </c>
      <c r="AX540">
        <f t="shared" si="317"/>
        <v>84</v>
      </c>
      <c r="AY540">
        <f t="shared" si="318"/>
        <v>87</v>
      </c>
      <c r="AZ540">
        <f t="shared" si="319"/>
        <v>100</v>
      </c>
      <c r="BA540">
        <f t="shared" si="320"/>
        <v>107</v>
      </c>
      <c r="BB540">
        <f t="shared" si="321"/>
        <v>117</v>
      </c>
      <c r="BC540">
        <f t="shared" si="322"/>
        <v>120</v>
      </c>
      <c r="BD540" s="29">
        <f t="shared" si="323"/>
        <v>128</v>
      </c>
      <c r="BE540" s="29">
        <f t="shared" si="324"/>
        <v>131</v>
      </c>
    </row>
    <row r="541" spans="1:57" ht="15" x14ac:dyDescent="0.2">
      <c r="A541" s="2">
        <v>105</v>
      </c>
      <c r="B541" s="2" t="str">
        <f t="shared" si="289"/>
        <v>0105</v>
      </c>
      <c r="C541" t="str">
        <f t="shared" si="290"/>
        <v>ORD-SP-0105-18/07/24</v>
      </c>
      <c r="D541" s="3" t="s">
        <v>177</v>
      </c>
      <c r="E541" t="str">
        <f t="shared" si="291"/>
        <v>SP001</v>
      </c>
      <c r="F541" t="str">
        <f>INDEX(Katalog!$B$4:$B$13,MATCH('Main Data'!E541,Katalog!$C$4:$C$13,0))</f>
        <v>Sneakers</v>
      </c>
      <c r="G541" t="str">
        <f>VLOOKUP(E541,Katalog!$A$15:$B$25,2,0)</f>
        <v>Sepatu Pria</v>
      </c>
      <c r="H541" t="str">
        <f t="shared" si="292"/>
        <v>3</v>
      </c>
      <c r="I541" t="str">
        <f t="shared" si="293"/>
        <v>5</v>
      </c>
      <c r="J541" s="18">
        <f>VLOOKUP(E541,Katalog!$C$3:$F$13,2,0)</f>
        <v>300000</v>
      </c>
      <c r="K541" s="18">
        <f>VLOOKUP(E541,Katalog!$C$3:$F$13,3,0)</f>
        <v>100000</v>
      </c>
      <c r="L541" t="str">
        <f t="shared" si="294"/>
        <v>-</v>
      </c>
      <c r="M541" t="str">
        <f>IFERROR(INDEX(Katalog!$B$4:$B$13,MATCH('Main Data'!L541,Katalog!$C$4:$C$13,0)), "-")</f>
        <v>-</v>
      </c>
      <c r="N541" t="str">
        <f>IFERROR(VLOOKUP(L541,Katalog!$A$15:$B$25,2,0),"-")</f>
        <v>-</v>
      </c>
      <c r="O541">
        <f t="shared" si="295"/>
        <v>0</v>
      </c>
      <c r="P541" t="str">
        <f t="shared" si="296"/>
        <v>-</v>
      </c>
      <c r="Q541" s="18">
        <f>IFERROR(VLOOKUP(L541,Katalog!$C$3:$F$13,2,0),0)</f>
        <v>0</v>
      </c>
      <c r="R541" s="18">
        <f>IFERROR(VLOOKUP(L541,Katalog!$C$3:$F$13,3,0),0)</f>
        <v>0</v>
      </c>
      <c r="S541" t="str">
        <f t="shared" si="297"/>
        <v>-</v>
      </c>
      <c r="T541" t="str">
        <f>IFERROR(INDEX(Katalog!$B$4:$B$13,MATCH('Main Data'!S541,Katalog!$C$4:$C$13,0)),"-")</f>
        <v>-</v>
      </c>
      <c r="U541" t="str">
        <f>IFERROR(VLOOKUP(S541,Katalog!$A$15:$B$25,2,0),"-")</f>
        <v>-</v>
      </c>
      <c r="V541">
        <f t="shared" si="298"/>
        <v>0</v>
      </c>
      <c r="W541" s="28" t="str">
        <f t="shared" si="299"/>
        <v>-</v>
      </c>
      <c r="X541" s="18">
        <f>IFERROR(VLOOKUP(S541,Katalog!$C$3:$F$13,2,0),0)</f>
        <v>0</v>
      </c>
      <c r="Y541" s="30">
        <f>IFERROR(VLOOKUP(S541,Katalog!$C$3:$F$13,3,0),0)</f>
        <v>0</v>
      </c>
      <c r="Z541" s="2">
        <f t="shared" si="300"/>
        <v>3</v>
      </c>
      <c r="AA541" s="4">
        <f t="shared" si="301"/>
        <v>900000</v>
      </c>
      <c r="AB541" s="4">
        <f t="shared" si="302"/>
        <v>300000</v>
      </c>
      <c r="AC541" s="4" t="s">
        <v>10</v>
      </c>
      <c r="AD541" s="16">
        <f>IFERROR(VLOOKUP(AC541,'Kode Diskon'!$C$2:$D$9,2,0),0)</f>
        <v>0</v>
      </c>
      <c r="AE541" s="31">
        <f t="shared" si="303"/>
        <v>0</v>
      </c>
      <c r="AF541" s="31">
        <f t="shared" si="304"/>
        <v>900000</v>
      </c>
      <c r="AG541" s="31">
        <f t="shared" si="305"/>
        <v>600000</v>
      </c>
      <c r="AH541" s="31">
        <f t="shared" si="306"/>
        <v>600000</v>
      </c>
      <c r="AI541" s="4" t="s">
        <v>10</v>
      </c>
      <c r="AJ541" s="4" t="s">
        <v>6</v>
      </c>
      <c r="AK541" s="4" t="str">
        <f>IFERROR(VLOOKUP(AJ541,'Guide '!$A$13:$B$16,2,0),"-")</f>
        <v>SP</v>
      </c>
      <c r="AL541" s="4" t="s">
        <v>1006</v>
      </c>
      <c r="AM541" s="40">
        <v>45491</v>
      </c>
      <c r="AN541">
        <f t="shared" si="307"/>
        <v>29</v>
      </c>
      <c r="AO541">
        <f t="shared" si="308"/>
        <v>32</v>
      </c>
      <c r="AP541">
        <f t="shared" si="309"/>
        <v>40</v>
      </c>
      <c r="AQ541">
        <f t="shared" si="310"/>
        <v>43</v>
      </c>
      <c r="AR541" s="26" t="str">
        <f t="shared" si="311"/>
        <v>-</v>
      </c>
      <c r="AS541" s="26" t="str">
        <f t="shared" si="312"/>
        <v>-</v>
      </c>
      <c r="AT541" s="21">
        <f t="shared" si="313"/>
        <v>12</v>
      </c>
      <c r="AU541" s="21">
        <f t="shared" si="314"/>
        <v>19</v>
      </c>
      <c r="AV541" t="str">
        <f t="shared" si="315"/>
        <v>-</v>
      </c>
      <c r="AW541" t="str">
        <f t="shared" si="316"/>
        <v>-</v>
      </c>
      <c r="AX541" t="str">
        <f t="shared" si="317"/>
        <v>-</v>
      </c>
      <c r="AY541" t="str">
        <f t="shared" si="318"/>
        <v>-</v>
      </c>
      <c r="AZ541" t="str">
        <f t="shared" si="319"/>
        <v>-</v>
      </c>
      <c r="BA541" t="str">
        <f t="shared" si="320"/>
        <v>-</v>
      </c>
      <c r="BB541" t="str">
        <f t="shared" si="321"/>
        <v>-</v>
      </c>
      <c r="BC541" t="str">
        <f t="shared" si="322"/>
        <v>-</v>
      </c>
      <c r="BD541" s="29" t="str">
        <f t="shared" si="323"/>
        <v>-</v>
      </c>
      <c r="BE541" s="29" t="str">
        <f t="shared" si="324"/>
        <v>-</v>
      </c>
    </row>
    <row r="542" spans="1:57" ht="15" x14ac:dyDescent="0.2">
      <c r="A542" s="2">
        <v>167</v>
      </c>
      <c r="B542" s="2" t="str">
        <f t="shared" si="289"/>
        <v>0167</v>
      </c>
      <c r="C542" t="str">
        <f t="shared" si="290"/>
        <v>ORD-BB-0167-18/07/24</v>
      </c>
      <c r="D542" s="3" t="s">
        <v>236</v>
      </c>
      <c r="E542" t="str">
        <f t="shared" si="291"/>
        <v>PP003</v>
      </c>
      <c r="F542" t="str">
        <f>INDEX(Katalog!$B$4:$B$13,MATCH('Main Data'!E542,Katalog!$C$4:$C$13,0))</f>
        <v>Jaket Jeans</v>
      </c>
      <c r="G542" t="str">
        <f>VLOOKUP(E542,Katalog!$A$15:$B$25,2,0)</f>
        <v>Pakaian Pria</v>
      </c>
      <c r="H542" t="str">
        <f t="shared" si="292"/>
        <v>5</v>
      </c>
      <c r="I542" t="str">
        <f t="shared" si="293"/>
        <v>2</v>
      </c>
      <c r="J542" s="18">
        <f>VLOOKUP(E542,Katalog!$C$3:$F$13,2,0)</f>
        <v>150000</v>
      </c>
      <c r="K542" s="18">
        <f>VLOOKUP(E542,Katalog!$C$3:$F$13,3,0)</f>
        <v>70000</v>
      </c>
      <c r="L542" t="str">
        <f t="shared" si="294"/>
        <v>SP002</v>
      </c>
      <c r="M542" t="str">
        <f>IFERROR(INDEX(Katalog!$B$4:$B$13,MATCH('Main Data'!L542,Katalog!$C$4:$C$13,0)), "-")</f>
        <v>Sandal Slip On</v>
      </c>
      <c r="N542" t="str">
        <f>IFERROR(VLOOKUP(L542,Katalog!$A$15:$B$25,2,0),"-")</f>
        <v>Sepatu Pria</v>
      </c>
      <c r="O542" t="str">
        <f t="shared" si="295"/>
        <v>2</v>
      </c>
      <c r="P542" t="str">
        <f t="shared" si="296"/>
        <v>4</v>
      </c>
      <c r="Q542" s="18">
        <f>IFERROR(VLOOKUP(L542,Katalog!$C$3:$F$13,2,0),0)</f>
        <v>120000</v>
      </c>
      <c r="R542" s="18">
        <f>IFERROR(VLOOKUP(L542,Katalog!$C$3:$F$13,3,0),0)</f>
        <v>60000</v>
      </c>
      <c r="S542" t="str">
        <f t="shared" si="297"/>
        <v>-</v>
      </c>
      <c r="T542" t="str">
        <f>IFERROR(INDEX(Katalog!$B$4:$B$13,MATCH('Main Data'!S542,Katalog!$C$4:$C$13,0)),"-")</f>
        <v>-</v>
      </c>
      <c r="U542" t="str">
        <f>IFERROR(VLOOKUP(S542,Katalog!$A$15:$B$25,2,0),"-")</f>
        <v>-</v>
      </c>
      <c r="V542">
        <f t="shared" si="298"/>
        <v>0</v>
      </c>
      <c r="W542" s="28" t="str">
        <f t="shared" si="299"/>
        <v>-</v>
      </c>
      <c r="X542" s="18">
        <f>IFERROR(VLOOKUP(S542,Katalog!$C$3:$F$13,2,0),0)</f>
        <v>0</v>
      </c>
      <c r="Y542" s="30">
        <f>IFERROR(VLOOKUP(S542,Katalog!$C$3:$F$13,3,0),0)</f>
        <v>0</v>
      </c>
      <c r="Z542" s="2">
        <f t="shared" si="300"/>
        <v>7</v>
      </c>
      <c r="AA542" s="4">
        <f t="shared" si="301"/>
        <v>990000</v>
      </c>
      <c r="AB542" s="4">
        <f t="shared" si="302"/>
        <v>470000</v>
      </c>
      <c r="AC542" s="4" t="s">
        <v>10</v>
      </c>
      <c r="AD542" s="16">
        <f>IFERROR(VLOOKUP(AC542,'Kode Diskon'!$C$2:$D$9,2,0),0)</f>
        <v>0</v>
      </c>
      <c r="AE542" s="31">
        <f t="shared" si="303"/>
        <v>0</v>
      </c>
      <c r="AF542" s="31">
        <f t="shared" si="304"/>
        <v>990000</v>
      </c>
      <c r="AG542" s="31">
        <f t="shared" si="305"/>
        <v>520000</v>
      </c>
      <c r="AH542" s="31">
        <f t="shared" si="306"/>
        <v>520000</v>
      </c>
      <c r="AI542" s="4" t="s">
        <v>10</v>
      </c>
      <c r="AJ542" s="4" t="s">
        <v>13</v>
      </c>
      <c r="AK542" s="4" t="str">
        <f>IFERROR(VLOOKUP(AJ542,'Guide '!$A$13:$B$16,2,0),"-")</f>
        <v>BB</v>
      </c>
      <c r="AL542" s="4" t="s">
        <v>925</v>
      </c>
      <c r="AM542" s="40">
        <v>45491</v>
      </c>
      <c r="AN542">
        <f t="shared" si="307"/>
        <v>29</v>
      </c>
      <c r="AO542">
        <f t="shared" si="308"/>
        <v>32</v>
      </c>
      <c r="AP542">
        <f t="shared" si="309"/>
        <v>40</v>
      </c>
      <c r="AQ542">
        <f t="shared" si="310"/>
        <v>43</v>
      </c>
      <c r="AR542" s="26">
        <f t="shared" si="311"/>
        <v>56</v>
      </c>
      <c r="AS542" s="26">
        <f t="shared" si="312"/>
        <v>63</v>
      </c>
      <c r="AT542" s="21">
        <f t="shared" si="313"/>
        <v>12</v>
      </c>
      <c r="AU542" s="21">
        <f t="shared" si="314"/>
        <v>19</v>
      </c>
      <c r="AV542">
        <f t="shared" si="315"/>
        <v>73</v>
      </c>
      <c r="AW542">
        <f t="shared" si="316"/>
        <v>76</v>
      </c>
      <c r="AX542">
        <f t="shared" si="317"/>
        <v>84</v>
      </c>
      <c r="AY542">
        <f t="shared" si="318"/>
        <v>87</v>
      </c>
      <c r="AZ542" t="str">
        <f t="shared" si="319"/>
        <v>-</v>
      </c>
      <c r="BA542" t="str">
        <f t="shared" si="320"/>
        <v>-</v>
      </c>
      <c r="BB542" t="str">
        <f t="shared" si="321"/>
        <v>-</v>
      </c>
      <c r="BC542" t="str">
        <f t="shared" si="322"/>
        <v>-</v>
      </c>
      <c r="BD542" s="29" t="str">
        <f t="shared" si="323"/>
        <v>-</v>
      </c>
      <c r="BE542" s="29" t="str">
        <f t="shared" si="324"/>
        <v>-</v>
      </c>
    </row>
    <row r="543" spans="1:57" ht="15" x14ac:dyDescent="0.2">
      <c r="A543" s="2">
        <v>197</v>
      </c>
      <c r="B543" s="2" t="str">
        <f t="shared" si="289"/>
        <v>0197</v>
      </c>
      <c r="C543" t="str">
        <f t="shared" si="290"/>
        <v>ORD-SP-0197-18/07/24</v>
      </c>
      <c r="D543" s="3" t="s">
        <v>266</v>
      </c>
      <c r="E543" t="str">
        <f t="shared" si="291"/>
        <v>SP002</v>
      </c>
      <c r="F543" t="str">
        <f>INDEX(Katalog!$B$4:$B$13,MATCH('Main Data'!E543,Katalog!$C$4:$C$13,0))</f>
        <v>Sandal Slip On</v>
      </c>
      <c r="G543" t="str">
        <f>VLOOKUP(E543,Katalog!$A$15:$B$25,2,0)</f>
        <v>Sepatu Pria</v>
      </c>
      <c r="H543" t="str">
        <f t="shared" si="292"/>
        <v>4</v>
      </c>
      <c r="I543" t="str">
        <f t="shared" si="293"/>
        <v>2</v>
      </c>
      <c r="J543" s="18">
        <f>VLOOKUP(E543,Katalog!$C$3:$F$13,2,0)</f>
        <v>120000</v>
      </c>
      <c r="K543" s="18">
        <f>VLOOKUP(E543,Katalog!$C$3:$F$13,3,0)</f>
        <v>60000</v>
      </c>
      <c r="L543" t="str">
        <f t="shared" si="294"/>
        <v>PW003</v>
      </c>
      <c r="M543" t="str">
        <f>IFERROR(INDEX(Katalog!$B$4:$B$13,MATCH('Main Data'!L543,Katalog!$C$4:$C$13,0)), "-")</f>
        <v>Kaftan</v>
      </c>
      <c r="N543" t="str">
        <f>IFERROR(VLOOKUP(L543,Katalog!$A$15:$B$25,2,0),"-")</f>
        <v>Pakaian Wanita</v>
      </c>
      <c r="O543" t="str">
        <f t="shared" si="295"/>
        <v>1</v>
      </c>
      <c r="P543" t="str">
        <f t="shared" si="296"/>
        <v>5</v>
      </c>
      <c r="Q543" s="18">
        <f>IFERROR(VLOOKUP(L543,Katalog!$C$3:$F$13,2,0),0)</f>
        <v>200000</v>
      </c>
      <c r="R543" s="18">
        <f>IFERROR(VLOOKUP(L543,Katalog!$C$3:$F$13,3,0),0)</f>
        <v>100000</v>
      </c>
      <c r="S543" t="str">
        <f t="shared" si="297"/>
        <v>SP001</v>
      </c>
      <c r="T543" t="str">
        <f>IFERROR(INDEX(Katalog!$B$4:$B$13,MATCH('Main Data'!S543,Katalog!$C$4:$C$13,0)),"-")</f>
        <v>Sneakers</v>
      </c>
      <c r="U543" t="str">
        <f>IFERROR(VLOOKUP(S543,Katalog!$A$15:$B$25,2,0),"-")</f>
        <v>Sepatu Pria</v>
      </c>
      <c r="V543" t="str">
        <f t="shared" si="298"/>
        <v>1</v>
      </c>
      <c r="W543" s="28" t="str">
        <f t="shared" si="299"/>
        <v>5</v>
      </c>
      <c r="X543" s="18">
        <f>IFERROR(VLOOKUP(S543,Katalog!$C$3:$F$13,2,0),0)</f>
        <v>300000</v>
      </c>
      <c r="Y543" s="30">
        <f>IFERROR(VLOOKUP(S543,Katalog!$C$3:$F$13,3,0),0)</f>
        <v>100000</v>
      </c>
      <c r="Z543" s="2">
        <f t="shared" si="300"/>
        <v>6</v>
      </c>
      <c r="AA543" s="4">
        <f t="shared" si="301"/>
        <v>980000</v>
      </c>
      <c r="AB543" s="4">
        <f t="shared" si="302"/>
        <v>440000</v>
      </c>
      <c r="AC543" s="4" t="s">
        <v>12</v>
      </c>
      <c r="AD543" s="16">
        <f>IFERROR(VLOOKUP(AC543,'Kode Diskon'!$C$2:$D$9,2,0),0)</f>
        <v>0.15</v>
      </c>
      <c r="AE543" s="31">
        <f t="shared" si="303"/>
        <v>147000</v>
      </c>
      <c r="AF543" s="31">
        <f t="shared" si="304"/>
        <v>833000</v>
      </c>
      <c r="AG543" s="31">
        <f t="shared" si="305"/>
        <v>540000</v>
      </c>
      <c r="AH543" s="31">
        <f t="shared" si="306"/>
        <v>393000</v>
      </c>
      <c r="AI543" s="4" t="s">
        <v>28</v>
      </c>
      <c r="AJ543" s="4" t="s">
        <v>6</v>
      </c>
      <c r="AK543" s="4" t="str">
        <f>IFERROR(VLOOKUP(AJ543,'Guide '!$A$13:$B$16,2,0),"-")</f>
        <v>SP</v>
      </c>
      <c r="AL543" s="4" t="s">
        <v>921</v>
      </c>
      <c r="AM543" s="40">
        <v>45491</v>
      </c>
      <c r="AN543">
        <f t="shared" si="307"/>
        <v>29</v>
      </c>
      <c r="AO543">
        <f t="shared" si="308"/>
        <v>32</v>
      </c>
      <c r="AP543">
        <f t="shared" si="309"/>
        <v>40</v>
      </c>
      <c r="AQ543">
        <f t="shared" si="310"/>
        <v>43</v>
      </c>
      <c r="AR543" s="26">
        <f t="shared" si="311"/>
        <v>56</v>
      </c>
      <c r="AS543" s="26">
        <f t="shared" si="312"/>
        <v>63</v>
      </c>
      <c r="AT543" s="21">
        <f t="shared" si="313"/>
        <v>12</v>
      </c>
      <c r="AU543" s="21">
        <f t="shared" si="314"/>
        <v>19</v>
      </c>
      <c r="AV543">
        <f t="shared" si="315"/>
        <v>73</v>
      </c>
      <c r="AW543">
        <f t="shared" si="316"/>
        <v>76</v>
      </c>
      <c r="AX543">
        <f t="shared" si="317"/>
        <v>84</v>
      </c>
      <c r="AY543">
        <f t="shared" si="318"/>
        <v>87</v>
      </c>
      <c r="AZ543">
        <f t="shared" si="319"/>
        <v>100</v>
      </c>
      <c r="BA543">
        <f t="shared" si="320"/>
        <v>107</v>
      </c>
      <c r="BB543">
        <f t="shared" si="321"/>
        <v>117</v>
      </c>
      <c r="BC543">
        <f t="shared" si="322"/>
        <v>120</v>
      </c>
      <c r="BD543" s="29">
        <f t="shared" si="323"/>
        <v>128</v>
      </c>
      <c r="BE543" s="29">
        <f t="shared" si="324"/>
        <v>131</v>
      </c>
    </row>
    <row r="544" spans="1:57" ht="15" x14ac:dyDescent="0.2">
      <c r="A544" s="2">
        <v>500</v>
      </c>
      <c r="B544" s="2" t="str">
        <f t="shared" si="289"/>
        <v>0500</v>
      </c>
      <c r="C544" t="str">
        <f t="shared" si="290"/>
        <v>ORD-SP-0500-18/07/24</v>
      </c>
      <c r="D544" s="3" t="s">
        <v>316</v>
      </c>
      <c r="E544" t="str">
        <f t="shared" si="291"/>
        <v>SP002</v>
      </c>
      <c r="F544" t="str">
        <f>INDEX(Katalog!$B$4:$B$13,MATCH('Main Data'!E544,Katalog!$C$4:$C$13,0))</f>
        <v>Sandal Slip On</v>
      </c>
      <c r="G544" t="str">
        <f>VLOOKUP(E544,Katalog!$A$15:$B$25,2,0)</f>
        <v>Sepatu Pria</v>
      </c>
      <c r="H544" t="str">
        <f t="shared" si="292"/>
        <v>2</v>
      </c>
      <c r="I544" t="str">
        <f t="shared" si="293"/>
        <v>5</v>
      </c>
      <c r="J544" s="18">
        <f>VLOOKUP(E544,Katalog!$C$3:$F$13,2,0)</f>
        <v>120000</v>
      </c>
      <c r="K544" s="18">
        <f>VLOOKUP(E544,Katalog!$C$3:$F$13,3,0)</f>
        <v>60000</v>
      </c>
      <c r="L544" t="str">
        <f t="shared" si="294"/>
        <v>-</v>
      </c>
      <c r="M544" t="str">
        <f>IFERROR(INDEX(Katalog!$B$4:$B$13,MATCH('Main Data'!L544,Katalog!$C$4:$C$13,0)), "-")</f>
        <v>-</v>
      </c>
      <c r="N544" t="str">
        <f>IFERROR(VLOOKUP(L544,Katalog!$A$15:$B$25,2,0),"-")</f>
        <v>-</v>
      </c>
      <c r="O544">
        <f t="shared" si="295"/>
        <v>0</v>
      </c>
      <c r="P544" t="str">
        <f t="shared" si="296"/>
        <v>-</v>
      </c>
      <c r="Q544" s="18">
        <f>IFERROR(VLOOKUP(L544,Katalog!$C$3:$F$13,2,0),0)</f>
        <v>0</v>
      </c>
      <c r="R544" s="18">
        <f>IFERROR(VLOOKUP(L544,Katalog!$C$3:$F$13,3,0),0)</f>
        <v>0</v>
      </c>
      <c r="S544" t="str">
        <f t="shared" si="297"/>
        <v>-</v>
      </c>
      <c r="T544" t="str">
        <f>IFERROR(INDEX(Katalog!$B$4:$B$13,MATCH('Main Data'!S544,Katalog!$C$4:$C$13,0)),"-")</f>
        <v>-</v>
      </c>
      <c r="U544" t="str">
        <f>IFERROR(VLOOKUP(S544,Katalog!$A$15:$B$25,2,0),"-")</f>
        <v>-</v>
      </c>
      <c r="V544">
        <f t="shared" si="298"/>
        <v>0</v>
      </c>
      <c r="W544" s="28" t="str">
        <f t="shared" si="299"/>
        <v>-</v>
      </c>
      <c r="X544" s="18">
        <f>IFERROR(VLOOKUP(S544,Katalog!$C$3:$F$13,2,0),0)</f>
        <v>0</v>
      </c>
      <c r="Y544" s="30">
        <f>IFERROR(VLOOKUP(S544,Katalog!$C$3:$F$13,3,0),0)</f>
        <v>0</v>
      </c>
      <c r="Z544" s="2">
        <f t="shared" si="300"/>
        <v>2</v>
      </c>
      <c r="AA544" s="4">
        <f t="shared" si="301"/>
        <v>240000</v>
      </c>
      <c r="AB544" s="4">
        <f t="shared" si="302"/>
        <v>120000</v>
      </c>
      <c r="AC544" s="4" t="s">
        <v>7</v>
      </c>
      <c r="AD544" s="16">
        <f>IFERROR(VLOOKUP(AC544,'Kode Diskon'!$C$2:$D$9,2,0),0)</f>
        <v>0.2</v>
      </c>
      <c r="AE544" s="31">
        <f t="shared" si="303"/>
        <v>48000</v>
      </c>
      <c r="AF544" s="31">
        <f t="shared" si="304"/>
        <v>192000</v>
      </c>
      <c r="AG544" s="31">
        <f t="shared" si="305"/>
        <v>120000</v>
      </c>
      <c r="AH544" s="31">
        <f t="shared" si="306"/>
        <v>72000</v>
      </c>
      <c r="AI544" s="4" t="s">
        <v>8</v>
      </c>
      <c r="AJ544" s="4" t="s">
        <v>6</v>
      </c>
      <c r="AK544" s="4" t="str">
        <f>IFERROR(VLOOKUP(AJ544,'Guide '!$A$13:$B$16,2,0),"-")</f>
        <v>SP</v>
      </c>
      <c r="AL544" s="4" t="s">
        <v>925</v>
      </c>
      <c r="AM544" s="40">
        <v>45491</v>
      </c>
      <c r="AN544">
        <f t="shared" si="307"/>
        <v>29</v>
      </c>
      <c r="AO544">
        <f t="shared" si="308"/>
        <v>32</v>
      </c>
      <c r="AP544">
        <f t="shared" si="309"/>
        <v>40</v>
      </c>
      <c r="AQ544">
        <f t="shared" si="310"/>
        <v>43</v>
      </c>
      <c r="AR544" s="26" t="str">
        <f t="shared" si="311"/>
        <v>-</v>
      </c>
      <c r="AS544" s="26" t="str">
        <f t="shared" si="312"/>
        <v>-</v>
      </c>
      <c r="AT544" s="21">
        <f t="shared" si="313"/>
        <v>12</v>
      </c>
      <c r="AU544" s="21">
        <f t="shared" si="314"/>
        <v>19</v>
      </c>
      <c r="AV544" t="str">
        <f t="shared" si="315"/>
        <v>-</v>
      </c>
      <c r="AW544" t="str">
        <f t="shared" si="316"/>
        <v>-</v>
      </c>
      <c r="AX544" t="str">
        <f t="shared" si="317"/>
        <v>-</v>
      </c>
      <c r="AY544" t="str">
        <f t="shared" si="318"/>
        <v>-</v>
      </c>
      <c r="AZ544" t="str">
        <f t="shared" si="319"/>
        <v>-</v>
      </c>
      <c r="BA544" t="str">
        <f t="shared" si="320"/>
        <v>-</v>
      </c>
      <c r="BB544" t="str">
        <f t="shared" si="321"/>
        <v>-</v>
      </c>
      <c r="BC544" t="str">
        <f t="shared" si="322"/>
        <v>-</v>
      </c>
      <c r="BD544" s="29" t="str">
        <f t="shared" si="323"/>
        <v>-</v>
      </c>
      <c r="BE544" s="29" t="str">
        <f t="shared" si="324"/>
        <v>-</v>
      </c>
    </row>
    <row r="545" spans="1:57" ht="15" x14ac:dyDescent="0.2">
      <c r="A545" s="2">
        <v>725</v>
      </c>
      <c r="B545" s="2" t="str">
        <f t="shared" si="289"/>
        <v>0725</v>
      </c>
      <c r="C545" t="str">
        <f t="shared" si="290"/>
        <v>ORD-SP-0725-18/07/24</v>
      </c>
      <c r="D545" s="3" t="s">
        <v>712</v>
      </c>
      <c r="E545" t="str">
        <f t="shared" si="291"/>
        <v>PP002</v>
      </c>
      <c r="F545" t="str">
        <f>INDEX(Katalog!$B$4:$B$13,MATCH('Main Data'!E545,Katalog!$C$4:$C$13,0))</f>
        <v>Celana Pendek</v>
      </c>
      <c r="G545" t="str">
        <f>VLOOKUP(E545,Katalog!$A$15:$B$25,2,0)</f>
        <v>Pakaian Pria</v>
      </c>
      <c r="H545" t="str">
        <f t="shared" si="292"/>
        <v>1</v>
      </c>
      <c r="I545" t="str">
        <f t="shared" si="293"/>
        <v>1</v>
      </c>
      <c r="J545" s="18">
        <f>VLOOKUP(E545,Katalog!$C$3:$F$13,2,0)</f>
        <v>60000</v>
      </c>
      <c r="K545" s="18">
        <f>VLOOKUP(E545,Katalog!$C$3:$F$13,3,0)</f>
        <v>25000</v>
      </c>
      <c r="L545" t="str">
        <f t="shared" si="294"/>
        <v>PP001</v>
      </c>
      <c r="M545" t="str">
        <f>IFERROR(INDEX(Katalog!$B$4:$B$13,MATCH('Main Data'!L545,Katalog!$C$4:$C$13,0)), "-")</f>
        <v>Kaos Polo</v>
      </c>
      <c r="N545" t="str">
        <f>IFERROR(VLOOKUP(L545,Katalog!$A$15:$B$25,2,0),"-")</f>
        <v>Pakaian Pria</v>
      </c>
      <c r="O545" t="str">
        <f t="shared" si="295"/>
        <v>2</v>
      </c>
      <c r="P545" t="str">
        <f t="shared" si="296"/>
        <v>5</v>
      </c>
      <c r="Q545" s="18">
        <f>IFERROR(VLOOKUP(L545,Katalog!$C$3:$F$13,2,0),0)</f>
        <v>80000</v>
      </c>
      <c r="R545" s="18">
        <f>IFERROR(VLOOKUP(L545,Katalog!$C$3:$F$13,3,0),0)</f>
        <v>30000</v>
      </c>
      <c r="S545" t="str">
        <f t="shared" si="297"/>
        <v>PW003</v>
      </c>
      <c r="T545" t="str">
        <f>IFERROR(INDEX(Katalog!$B$4:$B$13,MATCH('Main Data'!S545,Katalog!$C$4:$C$13,0)),"-")</f>
        <v>Kaftan</v>
      </c>
      <c r="U545" t="str">
        <f>IFERROR(VLOOKUP(S545,Katalog!$A$15:$B$25,2,0),"-")</f>
        <v>Pakaian Wanita</v>
      </c>
      <c r="V545" t="str">
        <f t="shared" si="298"/>
        <v>3</v>
      </c>
      <c r="W545" s="28" t="str">
        <f t="shared" si="299"/>
        <v>5</v>
      </c>
      <c r="X545" s="18">
        <f>IFERROR(VLOOKUP(S545,Katalog!$C$3:$F$13,2,0),0)</f>
        <v>200000</v>
      </c>
      <c r="Y545" s="30">
        <f>IFERROR(VLOOKUP(S545,Katalog!$C$3:$F$13,3,0),0)</f>
        <v>100000</v>
      </c>
      <c r="Z545" s="2">
        <f t="shared" si="300"/>
        <v>6</v>
      </c>
      <c r="AA545" s="4">
        <f t="shared" si="301"/>
        <v>820000</v>
      </c>
      <c r="AB545" s="4">
        <f t="shared" si="302"/>
        <v>385000</v>
      </c>
      <c r="AC545" s="4" t="s">
        <v>10</v>
      </c>
      <c r="AD545" s="16">
        <f>IFERROR(VLOOKUP(AC545,'Kode Diskon'!$C$2:$D$9,2,0),0)</f>
        <v>0</v>
      </c>
      <c r="AE545" s="31">
        <f t="shared" si="303"/>
        <v>0</v>
      </c>
      <c r="AF545" s="31">
        <f t="shared" si="304"/>
        <v>820000</v>
      </c>
      <c r="AG545" s="31">
        <f t="shared" si="305"/>
        <v>435000</v>
      </c>
      <c r="AH545" s="31">
        <f t="shared" si="306"/>
        <v>435000</v>
      </c>
      <c r="AI545" s="4" t="s">
        <v>10</v>
      </c>
      <c r="AJ545" s="4" t="s">
        <v>6</v>
      </c>
      <c r="AK545" s="4" t="str">
        <f>IFERROR(VLOOKUP(AJ545,'Guide '!$A$13:$B$16,2,0),"-")</f>
        <v>SP</v>
      </c>
      <c r="AL545" s="4" t="s">
        <v>922</v>
      </c>
      <c r="AM545" s="40">
        <v>45491</v>
      </c>
      <c r="AN545">
        <f t="shared" si="307"/>
        <v>29</v>
      </c>
      <c r="AO545">
        <f t="shared" si="308"/>
        <v>32</v>
      </c>
      <c r="AP545">
        <f t="shared" si="309"/>
        <v>40</v>
      </c>
      <c r="AQ545">
        <f t="shared" si="310"/>
        <v>43</v>
      </c>
      <c r="AR545" s="26">
        <f t="shared" si="311"/>
        <v>56</v>
      </c>
      <c r="AS545" s="26">
        <f t="shared" si="312"/>
        <v>63</v>
      </c>
      <c r="AT545" s="21">
        <f t="shared" si="313"/>
        <v>12</v>
      </c>
      <c r="AU545" s="21">
        <f t="shared" si="314"/>
        <v>19</v>
      </c>
      <c r="AV545">
        <f t="shared" si="315"/>
        <v>73</v>
      </c>
      <c r="AW545">
        <f t="shared" si="316"/>
        <v>76</v>
      </c>
      <c r="AX545">
        <f t="shared" si="317"/>
        <v>84</v>
      </c>
      <c r="AY545">
        <f t="shared" si="318"/>
        <v>87</v>
      </c>
      <c r="AZ545">
        <f t="shared" si="319"/>
        <v>100</v>
      </c>
      <c r="BA545">
        <f t="shared" si="320"/>
        <v>107</v>
      </c>
      <c r="BB545">
        <f t="shared" si="321"/>
        <v>117</v>
      </c>
      <c r="BC545">
        <f t="shared" si="322"/>
        <v>120</v>
      </c>
      <c r="BD545" s="29">
        <f t="shared" si="323"/>
        <v>128</v>
      </c>
      <c r="BE545" s="29">
        <f t="shared" si="324"/>
        <v>131</v>
      </c>
    </row>
    <row r="546" spans="1:57" ht="15" x14ac:dyDescent="0.2">
      <c r="A546" s="2">
        <v>761</v>
      </c>
      <c r="B546" s="2" t="str">
        <f t="shared" si="289"/>
        <v>0761</v>
      </c>
      <c r="C546" t="str">
        <f t="shared" si="290"/>
        <v>ORD-BB-0761-18/07/24</v>
      </c>
      <c r="D546" s="3" t="s">
        <v>739</v>
      </c>
      <c r="E546" t="str">
        <f t="shared" si="291"/>
        <v>SW001</v>
      </c>
      <c r="F546" t="str">
        <f>INDEX(Katalog!$B$4:$B$13,MATCH('Main Data'!E546,Katalog!$C$4:$C$13,0))</f>
        <v>Flat Shoes</v>
      </c>
      <c r="G546" t="str">
        <f>VLOOKUP(E546,Katalog!$A$15:$B$25,2,0)</f>
        <v>Sepatu Wanita</v>
      </c>
      <c r="H546" t="str">
        <f t="shared" si="292"/>
        <v>1</v>
      </c>
      <c r="I546" t="str">
        <f t="shared" si="293"/>
        <v>5</v>
      </c>
      <c r="J546" s="18">
        <f>VLOOKUP(E546,Katalog!$C$3:$F$13,2,0)</f>
        <v>150000</v>
      </c>
      <c r="K546" s="18">
        <f>VLOOKUP(E546,Katalog!$C$3:$F$13,3,0)</f>
        <v>70000</v>
      </c>
      <c r="L546" t="str">
        <f t="shared" si="294"/>
        <v>SP001</v>
      </c>
      <c r="M546" t="str">
        <f>IFERROR(INDEX(Katalog!$B$4:$B$13,MATCH('Main Data'!L546,Katalog!$C$4:$C$13,0)), "-")</f>
        <v>Sneakers</v>
      </c>
      <c r="N546" t="str">
        <f>IFERROR(VLOOKUP(L546,Katalog!$A$15:$B$25,2,0),"-")</f>
        <v>Sepatu Pria</v>
      </c>
      <c r="O546" t="str">
        <f t="shared" si="295"/>
        <v>1</v>
      </c>
      <c r="P546" t="str">
        <f t="shared" si="296"/>
        <v>3</v>
      </c>
      <c r="Q546" s="18">
        <f>IFERROR(VLOOKUP(L546,Katalog!$C$3:$F$13,2,0),0)</f>
        <v>300000</v>
      </c>
      <c r="R546" s="18">
        <f>IFERROR(VLOOKUP(L546,Katalog!$C$3:$F$13,3,0),0)</f>
        <v>100000</v>
      </c>
      <c r="S546" t="str">
        <f t="shared" si="297"/>
        <v>-</v>
      </c>
      <c r="T546" t="str">
        <f>IFERROR(INDEX(Katalog!$B$4:$B$13,MATCH('Main Data'!S546,Katalog!$C$4:$C$13,0)),"-")</f>
        <v>-</v>
      </c>
      <c r="U546" t="str">
        <f>IFERROR(VLOOKUP(S546,Katalog!$A$15:$B$25,2,0),"-")</f>
        <v>-</v>
      </c>
      <c r="V546">
        <f t="shared" si="298"/>
        <v>0</v>
      </c>
      <c r="W546" s="28" t="str">
        <f t="shared" si="299"/>
        <v>-</v>
      </c>
      <c r="X546" s="18">
        <f>IFERROR(VLOOKUP(S546,Katalog!$C$3:$F$13,2,0),0)</f>
        <v>0</v>
      </c>
      <c r="Y546" s="30">
        <f>IFERROR(VLOOKUP(S546,Katalog!$C$3:$F$13,3,0),0)</f>
        <v>0</v>
      </c>
      <c r="Z546" s="2">
        <f t="shared" si="300"/>
        <v>2</v>
      </c>
      <c r="AA546" s="4">
        <f t="shared" si="301"/>
        <v>450000</v>
      </c>
      <c r="AB546" s="4">
        <f t="shared" si="302"/>
        <v>170000</v>
      </c>
      <c r="AC546" s="4" t="s">
        <v>27</v>
      </c>
      <c r="AD546" s="16">
        <f>IFERROR(VLOOKUP(AC546,'Kode Diskon'!$C$2:$D$9,2,0),0)</f>
        <v>0.15</v>
      </c>
      <c r="AE546" s="31">
        <f t="shared" si="303"/>
        <v>67500</v>
      </c>
      <c r="AF546" s="31">
        <f t="shared" si="304"/>
        <v>382500</v>
      </c>
      <c r="AG546" s="31">
        <f t="shared" si="305"/>
        <v>280000</v>
      </c>
      <c r="AH546" s="31">
        <f t="shared" si="306"/>
        <v>212500</v>
      </c>
      <c r="AI546" s="4" t="s">
        <v>28</v>
      </c>
      <c r="AJ546" s="4" t="s">
        <v>13</v>
      </c>
      <c r="AK546" s="4" t="str">
        <f>IFERROR(VLOOKUP(AJ546,'Guide '!$A$13:$B$16,2,0),"-")</f>
        <v>BB</v>
      </c>
      <c r="AL546" s="4" t="s">
        <v>923</v>
      </c>
      <c r="AM546" s="40">
        <v>45491</v>
      </c>
      <c r="AN546">
        <f t="shared" si="307"/>
        <v>29</v>
      </c>
      <c r="AO546">
        <f t="shared" si="308"/>
        <v>32</v>
      </c>
      <c r="AP546">
        <f t="shared" si="309"/>
        <v>40</v>
      </c>
      <c r="AQ546">
        <f t="shared" si="310"/>
        <v>43</v>
      </c>
      <c r="AR546" s="26">
        <f t="shared" si="311"/>
        <v>56</v>
      </c>
      <c r="AS546" s="26">
        <f t="shared" si="312"/>
        <v>63</v>
      </c>
      <c r="AT546" s="21">
        <f t="shared" si="313"/>
        <v>12</v>
      </c>
      <c r="AU546" s="21">
        <f t="shared" si="314"/>
        <v>19</v>
      </c>
      <c r="AV546">
        <f t="shared" si="315"/>
        <v>73</v>
      </c>
      <c r="AW546">
        <f t="shared" si="316"/>
        <v>76</v>
      </c>
      <c r="AX546">
        <f t="shared" si="317"/>
        <v>84</v>
      </c>
      <c r="AY546">
        <f t="shared" si="318"/>
        <v>87</v>
      </c>
      <c r="AZ546" t="str">
        <f t="shared" si="319"/>
        <v>-</v>
      </c>
      <c r="BA546" t="str">
        <f t="shared" si="320"/>
        <v>-</v>
      </c>
      <c r="BB546" t="str">
        <f t="shared" si="321"/>
        <v>-</v>
      </c>
      <c r="BC546" t="str">
        <f t="shared" si="322"/>
        <v>-</v>
      </c>
      <c r="BD546" s="29" t="str">
        <f t="shared" si="323"/>
        <v>-</v>
      </c>
      <c r="BE546" s="29" t="str">
        <f t="shared" si="324"/>
        <v>-</v>
      </c>
    </row>
    <row r="547" spans="1:57" ht="15" x14ac:dyDescent="0.2">
      <c r="A547" s="2">
        <v>932</v>
      </c>
      <c r="B547" s="2" t="str">
        <f t="shared" si="289"/>
        <v>0932</v>
      </c>
      <c r="C547" t="str">
        <f t="shared" si="290"/>
        <v>ORD-SP-0932-18/07/24</v>
      </c>
      <c r="D547" s="3" t="s">
        <v>864</v>
      </c>
      <c r="E547" t="str">
        <f t="shared" si="291"/>
        <v>PP002</v>
      </c>
      <c r="F547" t="str">
        <f>INDEX(Katalog!$B$4:$B$13,MATCH('Main Data'!E547,Katalog!$C$4:$C$13,0))</f>
        <v>Celana Pendek</v>
      </c>
      <c r="G547" t="str">
        <f>VLOOKUP(E547,Katalog!$A$15:$B$25,2,0)</f>
        <v>Pakaian Pria</v>
      </c>
      <c r="H547" t="str">
        <f t="shared" si="292"/>
        <v>3</v>
      </c>
      <c r="I547" t="str">
        <f t="shared" si="293"/>
        <v>2</v>
      </c>
      <c r="J547" s="18">
        <f>VLOOKUP(E547,Katalog!$C$3:$F$13,2,0)</f>
        <v>60000</v>
      </c>
      <c r="K547" s="18">
        <f>VLOOKUP(E547,Katalog!$C$3:$F$13,3,0)</f>
        <v>25000</v>
      </c>
      <c r="L547" t="str">
        <f t="shared" si="294"/>
        <v>-</v>
      </c>
      <c r="M547" t="str">
        <f>IFERROR(INDEX(Katalog!$B$4:$B$13,MATCH('Main Data'!L547,Katalog!$C$4:$C$13,0)), "-")</f>
        <v>-</v>
      </c>
      <c r="N547" t="str">
        <f>IFERROR(VLOOKUP(L547,Katalog!$A$15:$B$25,2,0),"-")</f>
        <v>-</v>
      </c>
      <c r="O547">
        <f t="shared" si="295"/>
        <v>0</v>
      </c>
      <c r="P547" t="str">
        <f t="shared" si="296"/>
        <v>-</v>
      </c>
      <c r="Q547" s="18">
        <f>IFERROR(VLOOKUP(L547,Katalog!$C$3:$F$13,2,0),0)</f>
        <v>0</v>
      </c>
      <c r="R547" s="18">
        <f>IFERROR(VLOOKUP(L547,Katalog!$C$3:$F$13,3,0),0)</f>
        <v>0</v>
      </c>
      <c r="S547" t="str">
        <f t="shared" si="297"/>
        <v>-</v>
      </c>
      <c r="T547" t="str">
        <f>IFERROR(INDEX(Katalog!$B$4:$B$13,MATCH('Main Data'!S547,Katalog!$C$4:$C$13,0)),"-")</f>
        <v>-</v>
      </c>
      <c r="U547" t="str">
        <f>IFERROR(VLOOKUP(S547,Katalog!$A$15:$B$25,2,0),"-")</f>
        <v>-</v>
      </c>
      <c r="V547">
        <f t="shared" si="298"/>
        <v>0</v>
      </c>
      <c r="W547" s="28" t="str">
        <f t="shared" si="299"/>
        <v>-</v>
      </c>
      <c r="X547" s="18">
        <f>IFERROR(VLOOKUP(S547,Katalog!$C$3:$F$13,2,0),0)</f>
        <v>0</v>
      </c>
      <c r="Y547" s="30">
        <f>IFERROR(VLOOKUP(S547,Katalog!$C$3:$F$13,3,0),0)</f>
        <v>0</v>
      </c>
      <c r="Z547" s="2">
        <f t="shared" si="300"/>
        <v>3</v>
      </c>
      <c r="AA547" s="4">
        <f t="shared" si="301"/>
        <v>180000</v>
      </c>
      <c r="AB547" s="4">
        <f t="shared" si="302"/>
        <v>75000</v>
      </c>
      <c r="AC547" s="4" t="s">
        <v>7</v>
      </c>
      <c r="AD547" s="16">
        <f>IFERROR(VLOOKUP(AC547,'Kode Diskon'!$C$2:$D$9,2,0),0)</f>
        <v>0.2</v>
      </c>
      <c r="AE547" s="31">
        <f t="shared" si="303"/>
        <v>36000</v>
      </c>
      <c r="AF547" s="31">
        <f t="shared" si="304"/>
        <v>144000</v>
      </c>
      <c r="AG547" s="31">
        <f t="shared" si="305"/>
        <v>105000</v>
      </c>
      <c r="AH547" s="31">
        <f t="shared" si="306"/>
        <v>69000</v>
      </c>
      <c r="AI547" s="4" t="s">
        <v>8</v>
      </c>
      <c r="AJ547" s="4" t="s">
        <v>6</v>
      </c>
      <c r="AK547" s="4" t="str">
        <f>IFERROR(VLOOKUP(AJ547,'Guide '!$A$13:$B$16,2,0),"-")</f>
        <v>SP</v>
      </c>
      <c r="AL547" s="4" t="s">
        <v>925</v>
      </c>
      <c r="AM547" s="40">
        <v>45491</v>
      </c>
      <c r="AN547">
        <f t="shared" si="307"/>
        <v>29</v>
      </c>
      <c r="AO547">
        <f t="shared" si="308"/>
        <v>32</v>
      </c>
      <c r="AP547">
        <f t="shared" si="309"/>
        <v>40</v>
      </c>
      <c r="AQ547">
        <f t="shared" si="310"/>
        <v>43</v>
      </c>
      <c r="AR547" s="26" t="str">
        <f t="shared" si="311"/>
        <v>-</v>
      </c>
      <c r="AS547" s="26" t="str">
        <f t="shared" si="312"/>
        <v>-</v>
      </c>
      <c r="AT547" s="21">
        <f t="shared" si="313"/>
        <v>12</v>
      </c>
      <c r="AU547" s="21">
        <f t="shared" si="314"/>
        <v>19</v>
      </c>
      <c r="AV547" t="str">
        <f t="shared" si="315"/>
        <v>-</v>
      </c>
      <c r="AW547" t="str">
        <f t="shared" si="316"/>
        <v>-</v>
      </c>
      <c r="AX547" t="str">
        <f t="shared" si="317"/>
        <v>-</v>
      </c>
      <c r="AY547" t="str">
        <f t="shared" si="318"/>
        <v>-</v>
      </c>
      <c r="AZ547" t="str">
        <f t="shared" si="319"/>
        <v>-</v>
      </c>
      <c r="BA547" t="str">
        <f t="shared" si="320"/>
        <v>-</v>
      </c>
      <c r="BB547" t="str">
        <f t="shared" si="321"/>
        <v>-</v>
      </c>
      <c r="BC547" t="str">
        <f t="shared" si="322"/>
        <v>-</v>
      </c>
      <c r="BD547" s="29" t="str">
        <f t="shared" si="323"/>
        <v>-</v>
      </c>
      <c r="BE547" s="29" t="str">
        <f t="shared" si="324"/>
        <v>-</v>
      </c>
    </row>
    <row r="548" spans="1:57" ht="15" x14ac:dyDescent="0.2">
      <c r="A548" s="2">
        <v>364</v>
      </c>
      <c r="B548" s="2" t="str">
        <f t="shared" si="289"/>
        <v>0364</v>
      </c>
      <c r="C548" t="str">
        <f t="shared" si="290"/>
        <v>ORD-SP-0364-19/07/24</v>
      </c>
      <c r="D548" s="3" t="s">
        <v>415</v>
      </c>
      <c r="E548" t="str">
        <f t="shared" si="291"/>
        <v>PP001</v>
      </c>
      <c r="F548" t="str">
        <f>INDEX(Katalog!$B$4:$B$13,MATCH('Main Data'!E548,Katalog!$C$4:$C$13,0))</f>
        <v>Kaos Polo</v>
      </c>
      <c r="G548" t="str">
        <f>VLOOKUP(E548,Katalog!$A$15:$B$25,2,0)</f>
        <v>Pakaian Pria</v>
      </c>
      <c r="H548" t="str">
        <f t="shared" si="292"/>
        <v>3</v>
      </c>
      <c r="I548" t="str">
        <f t="shared" si="293"/>
        <v>4</v>
      </c>
      <c r="J548" s="18">
        <f>VLOOKUP(E548,Katalog!$C$3:$F$13,2,0)</f>
        <v>80000</v>
      </c>
      <c r="K548" s="18">
        <f>VLOOKUP(E548,Katalog!$C$3:$F$13,3,0)</f>
        <v>30000</v>
      </c>
      <c r="L548" t="str">
        <f t="shared" si="294"/>
        <v>-</v>
      </c>
      <c r="M548" t="str">
        <f>IFERROR(INDEX(Katalog!$B$4:$B$13,MATCH('Main Data'!L548,Katalog!$C$4:$C$13,0)), "-")</f>
        <v>-</v>
      </c>
      <c r="N548" t="str">
        <f>IFERROR(VLOOKUP(L548,Katalog!$A$15:$B$25,2,0),"-")</f>
        <v>-</v>
      </c>
      <c r="O548">
        <f t="shared" si="295"/>
        <v>0</v>
      </c>
      <c r="P548" t="str">
        <f t="shared" si="296"/>
        <v>-</v>
      </c>
      <c r="Q548" s="18">
        <f>IFERROR(VLOOKUP(L548,Katalog!$C$3:$F$13,2,0),0)</f>
        <v>0</v>
      </c>
      <c r="R548" s="18">
        <f>IFERROR(VLOOKUP(L548,Katalog!$C$3:$F$13,3,0),0)</f>
        <v>0</v>
      </c>
      <c r="S548" t="str">
        <f t="shared" si="297"/>
        <v>-</v>
      </c>
      <c r="T548" t="str">
        <f>IFERROR(INDEX(Katalog!$B$4:$B$13,MATCH('Main Data'!S548,Katalog!$C$4:$C$13,0)),"-")</f>
        <v>-</v>
      </c>
      <c r="U548" t="str">
        <f>IFERROR(VLOOKUP(S548,Katalog!$A$15:$B$25,2,0),"-")</f>
        <v>-</v>
      </c>
      <c r="V548">
        <f t="shared" si="298"/>
        <v>0</v>
      </c>
      <c r="W548" s="28" t="str">
        <f t="shared" si="299"/>
        <v>-</v>
      </c>
      <c r="X548" s="18">
        <f>IFERROR(VLOOKUP(S548,Katalog!$C$3:$F$13,2,0),0)</f>
        <v>0</v>
      </c>
      <c r="Y548" s="30">
        <f>IFERROR(VLOOKUP(S548,Katalog!$C$3:$F$13,3,0),0)</f>
        <v>0</v>
      </c>
      <c r="Z548" s="2">
        <f t="shared" si="300"/>
        <v>3</v>
      </c>
      <c r="AA548" s="4">
        <f t="shared" si="301"/>
        <v>240000</v>
      </c>
      <c r="AB548" s="4">
        <f t="shared" si="302"/>
        <v>90000</v>
      </c>
      <c r="AC548" s="4" t="s">
        <v>7</v>
      </c>
      <c r="AD548" s="16">
        <f>IFERROR(VLOOKUP(AC548,'Kode Diskon'!$C$2:$D$9,2,0),0)</f>
        <v>0.2</v>
      </c>
      <c r="AE548" s="31">
        <f t="shared" si="303"/>
        <v>48000</v>
      </c>
      <c r="AF548" s="31">
        <f t="shared" si="304"/>
        <v>192000</v>
      </c>
      <c r="AG548" s="31">
        <f t="shared" si="305"/>
        <v>150000</v>
      </c>
      <c r="AH548" s="31">
        <f t="shared" si="306"/>
        <v>102000</v>
      </c>
      <c r="AI548" s="4" t="s">
        <v>8</v>
      </c>
      <c r="AJ548" s="4" t="s">
        <v>6</v>
      </c>
      <c r="AK548" s="4" t="str">
        <f>IFERROR(VLOOKUP(AJ548,'Guide '!$A$13:$B$16,2,0),"-")</f>
        <v>SP</v>
      </c>
      <c r="AL548" s="4" t="s">
        <v>921</v>
      </c>
      <c r="AM548" s="40">
        <v>45492</v>
      </c>
      <c r="AN548">
        <f t="shared" si="307"/>
        <v>29</v>
      </c>
      <c r="AO548">
        <f t="shared" si="308"/>
        <v>32</v>
      </c>
      <c r="AP548">
        <f t="shared" si="309"/>
        <v>40</v>
      </c>
      <c r="AQ548">
        <f t="shared" si="310"/>
        <v>43</v>
      </c>
      <c r="AR548" s="26" t="str">
        <f t="shared" si="311"/>
        <v>-</v>
      </c>
      <c r="AS548" s="26" t="str">
        <f t="shared" si="312"/>
        <v>-</v>
      </c>
      <c r="AT548" s="21">
        <f t="shared" si="313"/>
        <v>12</v>
      </c>
      <c r="AU548" s="21">
        <f t="shared" si="314"/>
        <v>19</v>
      </c>
      <c r="AV548" t="str">
        <f t="shared" si="315"/>
        <v>-</v>
      </c>
      <c r="AW548" t="str">
        <f t="shared" si="316"/>
        <v>-</v>
      </c>
      <c r="AX548" t="str">
        <f t="shared" si="317"/>
        <v>-</v>
      </c>
      <c r="AY548" t="str">
        <f t="shared" si="318"/>
        <v>-</v>
      </c>
      <c r="AZ548" t="str">
        <f t="shared" si="319"/>
        <v>-</v>
      </c>
      <c r="BA548" t="str">
        <f t="shared" si="320"/>
        <v>-</v>
      </c>
      <c r="BB548" t="str">
        <f t="shared" si="321"/>
        <v>-</v>
      </c>
      <c r="BC548" t="str">
        <f t="shared" si="322"/>
        <v>-</v>
      </c>
      <c r="BD548" s="29" t="str">
        <f t="shared" si="323"/>
        <v>-</v>
      </c>
      <c r="BE548" s="29" t="str">
        <f t="shared" si="324"/>
        <v>-</v>
      </c>
    </row>
    <row r="549" spans="1:57" ht="15" x14ac:dyDescent="0.2">
      <c r="A549" s="2">
        <v>907</v>
      </c>
      <c r="B549" s="2" t="str">
        <f t="shared" si="289"/>
        <v>0907</v>
      </c>
      <c r="C549" t="str">
        <f t="shared" si="290"/>
        <v>ORD-BL-0907-19/07/24</v>
      </c>
      <c r="D549" s="3" t="s">
        <v>521</v>
      </c>
      <c r="E549" t="str">
        <f t="shared" si="291"/>
        <v>SP001</v>
      </c>
      <c r="F549" t="str">
        <f>INDEX(Katalog!$B$4:$B$13,MATCH('Main Data'!E549,Katalog!$C$4:$C$13,0))</f>
        <v>Sneakers</v>
      </c>
      <c r="G549" t="str">
        <f>VLOOKUP(E549,Katalog!$A$15:$B$25,2,0)</f>
        <v>Sepatu Pria</v>
      </c>
      <c r="H549" t="str">
        <f t="shared" si="292"/>
        <v>1</v>
      </c>
      <c r="I549" t="str">
        <f t="shared" si="293"/>
        <v>2</v>
      </c>
      <c r="J549" s="18">
        <f>VLOOKUP(E549,Katalog!$C$3:$F$13,2,0)</f>
        <v>300000</v>
      </c>
      <c r="K549" s="18">
        <f>VLOOKUP(E549,Katalog!$C$3:$F$13,3,0)</f>
        <v>100000</v>
      </c>
      <c r="L549" t="str">
        <f t="shared" si="294"/>
        <v>-</v>
      </c>
      <c r="M549" t="str">
        <f>IFERROR(INDEX(Katalog!$B$4:$B$13,MATCH('Main Data'!L549,Katalog!$C$4:$C$13,0)), "-")</f>
        <v>-</v>
      </c>
      <c r="N549" t="str">
        <f>IFERROR(VLOOKUP(L549,Katalog!$A$15:$B$25,2,0),"-")</f>
        <v>-</v>
      </c>
      <c r="O549">
        <f t="shared" si="295"/>
        <v>0</v>
      </c>
      <c r="P549" t="str">
        <f t="shared" si="296"/>
        <v>-</v>
      </c>
      <c r="Q549" s="18">
        <f>IFERROR(VLOOKUP(L549,Katalog!$C$3:$F$13,2,0),0)</f>
        <v>0</v>
      </c>
      <c r="R549" s="18">
        <f>IFERROR(VLOOKUP(L549,Katalog!$C$3:$F$13,3,0),0)</f>
        <v>0</v>
      </c>
      <c r="S549" t="str">
        <f t="shared" si="297"/>
        <v>-</v>
      </c>
      <c r="T549" t="str">
        <f>IFERROR(INDEX(Katalog!$B$4:$B$13,MATCH('Main Data'!S549,Katalog!$C$4:$C$13,0)),"-")</f>
        <v>-</v>
      </c>
      <c r="U549" t="str">
        <f>IFERROR(VLOOKUP(S549,Katalog!$A$15:$B$25,2,0),"-")</f>
        <v>-</v>
      </c>
      <c r="V549">
        <f t="shared" si="298"/>
        <v>0</v>
      </c>
      <c r="W549" s="28" t="str">
        <f t="shared" si="299"/>
        <v>-</v>
      </c>
      <c r="X549" s="18">
        <f>IFERROR(VLOOKUP(S549,Katalog!$C$3:$F$13,2,0),0)</f>
        <v>0</v>
      </c>
      <c r="Y549" s="30">
        <f>IFERROR(VLOOKUP(S549,Katalog!$C$3:$F$13,3,0),0)</f>
        <v>0</v>
      </c>
      <c r="Z549" s="2">
        <f t="shared" si="300"/>
        <v>1</v>
      </c>
      <c r="AA549" s="4">
        <f t="shared" si="301"/>
        <v>300000</v>
      </c>
      <c r="AB549" s="4">
        <f t="shared" si="302"/>
        <v>100000</v>
      </c>
      <c r="AC549" s="4" t="s">
        <v>31</v>
      </c>
      <c r="AD549" s="16">
        <f>IFERROR(VLOOKUP(AC549,'Kode Diskon'!$C$2:$D$9,2,0),0)</f>
        <v>0.15</v>
      </c>
      <c r="AE549" s="31">
        <f t="shared" si="303"/>
        <v>45000</v>
      </c>
      <c r="AF549" s="31">
        <f t="shared" si="304"/>
        <v>255000</v>
      </c>
      <c r="AG549" s="31">
        <f t="shared" si="305"/>
        <v>200000</v>
      </c>
      <c r="AH549" s="31">
        <f t="shared" si="306"/>
        <v>155000</v>
      </c>
      <c r="AI549" s="4" t="s">
        <v>8</v>
      </c>
      <c r="AJ549" s="4" t="s">
        <v>11</v>
      </c>
      <c r="AK549" s="4" t="str">
        <f>IFERROR(VLOOKUP(AJ549,'Guide '!$A$13:$B$16,2,0),"-")</f>
        <v>BL</v>
      </c>
      <c r="AL549" s="4" t="s">
        <v>1006</v>
      </c>
      <c r="AM549" s="40">
        <v>45492</v>
      </c>
      <c r="AN549">
        <f t="shared" si="307"/>
        <v>29</v>
      </c>
      <c r="AO549">
        <f t="shared" si="308"/>
        <v>32</v>
      </c>
      <c r="AP549">
        <f t="shared" si="309"/>
        <v>40</v>
      </c>
      <c r="AQ549">
        <f t="shared" si="310"/>
        <v>43</v>
      </c>
      <c r="AR549" s="26" t="str">
        <f t="shared" si="311"/>
        <v>-</v>
      </c>
      <c r="AS549" s="26" t="str">
        <f t="shared" si="312"/>
        <v>-</v>
      </c>
      <c r="AT549" s="21">
        <f t="shared" si="313"/>
        <v>12</v>
      </c>
      <c r="AU549" s="21">
        <f t="shared" si="314"/>
        <v>19</v>
      </c>
      <c r="AV549" t="str">
        <f t="shared" si="315"/>
        <v>-</v>
      </c>
      <c r="AW549" t="str">
        <f t="shared" si="316"/>
        <v>-</v>
      </c>
      <c r="AX549" t="str">
        <f t="shared" si="317"/>
        <v>-</v>
      </c>
      <c r="AY549" t="str">
        <f t="shared" si="318"/>
        <v>-</v>
      </c>
      <c r="AZ549" t="str">
        <f t="shared" si="319"/>
        <v>-</v>
      </c>
      <c r="BA549" t="str">
        <f t="shared" si="320"/>
        <v>-</v>
      </c>
      <c r="BB549" t="str">
        <f t="shared" si="321"/>
        <v>-</v>
      </c>
      <c r="BC549" t="str">
        <f t="shared" si="322"/>
        <v>-</v>
      </c>
      <c r="BD549" s="29" t="str">
        <f t="shared" si="323"/>
        <v>-</v>
      </c>
      <c r="BE549" s="29" t="str">
        <f t="shared" si="324"/>
        <v>-</v>
      </c>
    </row>
    <row r="550" spans="1:57" ht="15" x14ac:dyDescent="0.2">
      <c r="A550" s="2">
        <v>59</v>
      </c>
      <c r="B550" s="2" t="str">
        <f t="shared" si="289"/>
        <v>0059</v>
      </c>
      <c r="C550" t="str">
        <f t="shared" si="290"/>
        <v>ORD-SP-0059-20/07/24</v>
      </c>
      <c r="D550" s="3" t="s">
        <v>133</v>
      </c>
      <c r="E550" t="str">
        <f t="shared" si="291"/>
        <v>SP002</v>
      </c>
      <c r="F550" t="str">
        <f>INDEX(Katalog!$B$4:$B$13,MATCH('Main Data'!E550,Katalog!$C$4:$C$13,0))</f>
        <v>Sandal Slip On</v>
      </c>
      <c r="G550" t="str">
        <f>VLOOKUP(E550,Katalog!$A$15:$B$25,2,0)</f>
        <v>Sepatu Pria</v>
      </c>
      <c r="H550" t="str">
        <f t="shared" si="292"/>
        <v>5</v>
      </c>
      <c r="I550" t="str">
        <f t="shared" si="293"/>
        <v>5</v>
      </c>
      <c r="J550" s="18">
        <f>VLOOKUP(E550,Katalog!$C$3:$F$13,2,0)</f>
        <v>120000</v>
      </c>
      <c r="K550" s="18">
        <f>VLOOKUP(E550,Katalog!$C$3:$F$13,3,0)</f>
        <v>60000</v>
      </c>
      <c r="L550" t="str">
        <f t="shared" si="294"/>
        <v>SW001</v>
      </c>
      <c r="M550" t="str">
        <f>IFERROR(INDEX(Katalog!$B$4:$B$13,MATCH('Main Data'!L550,Katalog!$C$4:$C$13,0)), "-")</f>
        <v>Flat Shoes</v>
      </c>
      <c r="N550" t="str">
        <f>IFERROR(VLOOKUP(L550,Katalog!$A$15:$B$25,2,0),"-")</f>
        <v>Sepatu Wanita</v>
      </c>
      <c r="O550" t="str">
        <f t="shared" si="295"/>
        <v>1</v>
      </c>
      <c r="P550" t="str">
        <f t="shared" si="296"/>
        <v>4</v>
      </c>
      <c r="Q550" s="18">
        <f>IFERROR(VLOOKUP(L550,Katalog!$C$3:$F$13,2,0),0)</f>
        <v>150000</v>
      </c>
      <c r="R550" s="18">
        <f>IFERROR(VLOOKUP(L550,Katalog!$C$3:$F$13,3,0),0)</f>
        <v>70000</v>
      </c>
      <c r="S550" t="str">
        <f t="shared" si="297"/>
        <v>-</v>
      </c>
      <c r="T550" t="str">
        <f>IFERROR(INDEX(Katalog!$B$4:$B$13,MATCH('Main Data'!S550,Katalog!$C$4:$C$13,0)),"-")</f>
        <v>-</v>
      </c>
      <c r="U550" t="str">
        <f>IFERROR(VLOOKUP(S550,Katalog!$A$15:$B$25,2,0),"-")</f>
        <v>-</v>
      </c>
      <c r="V550">
        <f t="shared" si="298"/>
        <v>0</v>
      </c>
      <c r="W550" s="28" t="str">
        <f t="shared" si="299"/>
        <v>-</v>
      </c>
      <c r="X550" s="18">
        <f>IFERROR(VLOOKUP(S550,Katalog!$C$3:$F$13,2,0),0)</f>
        <v>0</v>
      </c>
      <c r="Y550" s="30">
        <f>IFERROR(VLOOKUP(S550,Katalog!$C$3:$F$13,3,0),0)</f>
        <v>0</v>
      </c>
      <c r="Z550" s="2">
        <f t="shared" si="300"/>
        <v>6</v>
      </c>
      <c r="AA550" s="4">
        <f t="shared" si="301"/>
        <v>750000</v>
      </c>
      <c r="AB550" s="4">
        <f t="shared" si="302"/>
        <v>370000</v>
      </c>
      <c r="AC550" s="4" t="s">
        <v>12</v>
      </c>
      <c r="AD550" s="16">
        <f>IFERROR(VLOOKUP(AC550,'Kode Diskon'!$C$2:$D$9,2,0),0)</f>
        <v>0.15</v>
      </c>
      <c r="AE550" s="31">
        <f t="shared" si="303"/>
        <v>112500</v>
      </c>
      <c r="AF550" s="31">
        <f t="shared" si="304"/>
        <v>637500</v>
      </c>
      <c r="AG550" s="31">
        <f t="shared" si="305"/>
        <v>380000</v>
      </c>
      <c r="AH550" s="31">
        <f t="shared" si="306"/>
        <v>267500</v>
      </c>
      <c r="AI550" s="4" t="s">
        <v>28</v>
      </c>
      <c r="AJ550" s="4" t="s">
        <v>6</v>
      </c>
      <c r="AK550" s="4" t="str">
        <f>IFERROR(VLOOKUP(AJ550,'Guide '!$A$13:$B$16,2,0),"-")</f>
        <v>SP</v>
      </c>
      <c r="AL550" s="4" t="s">
        <v>925</v>
      </c>
      <c r="AM550" s="40">
        <v>45493</v>
      </c>
      <c r="AN550">
        <f t="shared" si="307"/>
        <v>29</v>
      </c>
      <c r="AO550">
        <f t="shared" si="308"/>
        <v>32</v>
      </c>
      <c r="AP550">
        <f t="shared" si="309"/>
        <v>40</v>
      </c>
      <c r="AQ550">
        <f t="shared" si="310"/>
        <v>43</v>
      </c>
      <c r="AR550" s="26">
        <f t="shared" si="311"/>
        <v>56</v>
      </c>
      <c r="AS550" s="26">
        <f t="shared" si="312"/>
        <v>63</v>
      </c>
      <c r="AT550" s="21">
        <f t="shared" si="313"/>
        <v>12</v>
      </c>
      <c r="AU550" s="21">
        <f t="shared" si="314"/>
        <v>19</v>
      </c>
      <c r="AV550">
        <f t="shared" si="315"/>
        <v>73</v>
      </c>
      <c r="AW550">
        <f t="shared" si="316"/>
        <v>76</v>
      </c>
      <c r="AX550">
        <f t="shared" si="317"/>
        <v>84</v>
      </c>
      <c r="AY550">
        <f t="shared" si="318"/>
        <v>87</v>
      </c>
      <c r="AZ550" t="str">
        <f t="shared" si="319"/>
        <v>-</v>
      </c>
      <c r="BA550" t="str">
        <f t="shared" si="320"/>
        <v>-</v>
      </c>
      <c r="BB550" t="str">
        <f t="shared" si="321"/>
        <v>-</v>
      </c>
      <c r="BC550" t="str">
        <f t="shared" si="322"/>
        <v>-</v>
      </c>
      <c r="BD550" s="29" t="str">
        <f t="shared" si="323"/>
        <v>-</v>
      </c>
      <c r="BE550" s="29" t="str">
        <f t="shared" si="324"/>
        <v>-</v>
      </c>
    </row>
    <row r="551" spans="1:57" ht="15" x14ac:dyDescent="0.2">
      <c r="A551" s="2">
        <v>602</v>
      </c>
      <c r="B551" s="2" t="str">
        <f t="shared" si="289"/>
        <v>0602</v>
      </c>
      <c r="C551" t="str">
        <f t="shared" si="290"/>
        <v>ORD-SP-0602-20/07/24</v>
      </c>
      <c r="D551" s="3" t="s">
        <v>614</v>
      </c>
      <c r="E551" t="str">
        <f t="shared" si="291"/>
        <v>PP003</v>
      </c>
      <c r="F551" t="str">
        <f>INDEX(Katalog!$B$4:$B$13,MATCH('Main Data'!E551,Katalog!$C$4:$C$13,0))</f>
        <v>Jaket Jeans</v>
      </c>
      <c r="G551" t="str">
        <f>VLOOKUP(E551,Katalog!$A$15:$B$25,2,0)</f>
        <v>Pakaian Pria</v>
      </c>
      <c r="H551" t="str">
        <f t="shared" si="292"/>
        <v>5</v>
      </c>
      <c r="I551" t="str">
        <f t="shared" si="293"/>
        <v>3</v>
      </c>
      <c r="J551" s="18">
        <f>VLOOKUP(E551,Katalog!$C$3:$F$13,2,0)</f>
        <v>150000</v>
      </c>
      <c r="K551" s="18">
        <f>VLOOKUP(E551,Katalog!$C$3:$F$13,3,0)</f>
        <v>70000</v>
      </c>
      <c r="L551" t="str">
        <f t="shared" si="294"/>
        <v>SW001</v>
      </c>
      <c r="M551" t="str">
        <f>IFERROR(INDEX(Katalog!$B$4:$B$13,MATCH('Main Data'!L551,Katalog!$C$4:$C$13,0)), "-")</f>
        <v>Flat Shoes</v>
      </c>
      <c r="N551" t="str">
        <f>IFERROR(VLOOKUP(L551,Katalog!$A$15:$B$25,2,0),"-")</f>
        <v>Sepatu Wanita</v>
      </c>
      <c r="O551" t="str">
        <f t="shared" si="295"/>
        <v>1</v>
      </c>
      <c r="P551" t="str">
        <f t="shared" si="296"/>
        <v>3</v>
      </c>
      <c r="Q551" s="18">
        <f>IFERROR(VLOOKUP(L551,Katalog!$C$3:$F$13,2,0),0)</f>
        <v>150000</v>
      </c>
      <c r="R551" s="18">
        <f>IFERROR(VLOOKUP(L551,Katalog!$C$3:$F$13,3,0),0)</f>
        <v>70000</v>
      </c>
      <c r="S551" t="str">
        <f t="shared" si="297"/>
        <v>-</v>
      </c>
      <c r="T551" t="str">
        <f>IFERROR(INDEX(Katalog!$B$4:$B$13,MATCH('Main Data'!S551,Katalog!$C$4:$C$13,0)),"-")</f>
        <v>-</v>
      </c>
      <c r="U551" t="str">
        <f>IFERROR(VLOOKUP(S551,Katalog!$A$15:$B$25,2,0),"-")</f>
        <v>-</v>
      </c>
      <c r="V551">
        <f t="shared" si="298"/>
        <v>0</v>
      </c>
      <c r="W551" s="28" t="str">
        <f t="shared" si="299"/>
        <v>-</v>
      </c>
      <c r="X551" s="18">
        <f>IFERROR(VLOOKUP(S551,Katalog!$C$3:$F$13,2,0),0)</f>
        <v>0</v>
      </c>
      <c r="Y551" s="30">
        <f>IFERROR(VLOOKUP(S551,Katalog!$C$3:$F$13,3,0),0)</f>
        <v>0</v>
      </c>
      <c r="Z551" s="2">
        <f t="shared" si="300"/>
        <v>6</v>
      </c>
      <c r="AA551" s="4">
        <f t="shared" si="301"/>
        <v>900000</v>
      </c>
      <c r="AB551" s="4">
        <f t="shared" si="302"/>
        <v>420000</v>
      </c>
      <c r="AC551" s="4" t="s">
        <v>10</v>
      </c>
      <c r="AD551" s="16">
        <f>IFERROR(VLOOKUP(AC551,'Kode Diskon'!$C$2:$D$9,2,0),0)</f>
        <v>0</v>
      </c>
      <c r="AE551" s="31">
        <f t="shared" si="303"/>
        <v>0</v>
      </c>
      <c r="AF551" s="31">
        <f t="shared" si="304"/>
        <v>900000</v>
      </c>
      <c r="AG551" s="31">
        <f t="shared" si="305"/>
        <v>480000</v>
      </c>
      <c r="AH551" s="31">
        <f t="shared" si="306"/>
        <v>480000</v>
      </c>
      <c r="AI551" s="4" t="s">
        <v>10</v>
      </c>
      <c r="AJ551" s="4" t="s">
        <v>6</v>
      </c>
      <c r="AK551" s="4" t="str">
        <f>IFERROR(VLOOKUP(AJ551,'Guide '!$A$13:$B$16,2,0),"-")</f>
        <v>SP</v>
      </c>
      <c r="AL551" s="4" t="s">
        <v>922</v>
      </c>
      <c r="AM551" s="40">
        <v>45493</v>
      </c>
      <c r="AN551">
        <f t="shared" si="307"/>
        <v>29</v>
      </c>
      <c r="AO551">
        <f t="shared" si="308"/>
        <v>32</v>
      </c>
      <c r="AP551">
        <f t="shared" si="309"/>
        <v>40</v>
      </c>
      <c r="AQ551">
        <f t="shared" si="310"/>
        <v>43</v>
      </c>
      <c r="AR551" s="26">
        <f t="shared" si="311"/>
        <v>56</v>
      </c>
      <c r="AS551" s="26">
        <f t="shared" si="312"/>
        <v>63</v>
      </c>
      <c r="AT551" s="21">
        <f t="shared" si="313"/>
        <v>12</v>
      </c>
      <c r="AU551" s="21">
        <f t="shared" si="314"/>
        <v>19</v>
      </c>
      <c r="AV551">
        <f t="shared" si="315"/>
        <v>73</v>
      </c>
      <c r="AW551">
        <f t="shared" si="316"/>
        <v>76</v>
      </c>
      <c r="AX551">
        <f t="shared" si="317"/>
        <v>84</v>
      </c>
      <c r="AY551">
        <f t="shared" si="318"/>
        <v>87</v>
      </c>
      <c r="AZ551" t="str">
        <f t="shared" si="319"/>
        <v>-</v>
      </c>
      <c r="BA551" t="str">
        <f t="shared" si="320"/>
        <v>-</v>
      </c>
      <c r="BB551" t="str">
        <f t="shared" si="321"/>
        <v>-</v>
      </c>
      <c r="BC551" t="str">
        <f t="shared" si="322"/>
        <v>-</v>
      </c>
      <c r="BD551" s="29" t="str">
        <f t="shared" si="323"/>
        <v>-</v>
      </c>
      <c r="BE551" s="29" t="str">
        <f t="shared" si="324"/>
        <v>-</v>
      </c>
    </row>
    <row r="552" spans="1:57" ht="15" x14ac:dyDescent="0.2">
      <c r="A552" s="2">
        <v>724</v>
      </c>
      <c r="B552" s="2" t="str">
        <f t="shared" si="289"/>
        <v>0724</v>
      </c>
      <c r="C552" t="str">
        <f t="shared" si="290"/>
        <v>ORD-SP-0724-20/07/24</v>
      </c>
      <c r="D552" s="3" t="s">
        <v>711</v>
      </c>
      <c r="E552" t="str">
        <f t="shared" si="291"/>
        <v>PP003</v>
      </c>
      <c r="F552" t="str">
        <f>INDEX(Katalog!$B$4:$B$13,MATCH('Main Data'!E552,Katalog!$C$4:$C$13,0))</f>
        <v>Jaket Jeans</v>
      </c>
      <c r="G552" t="str">
        <f>VLOOKUP(E552,Katalog!$A$15:$B$25,2,0)</f>
        <v>Pakaian Pria</v>
      </c>
      <c r="H552" t="str">
        <f t="shared" si="292"/>
        <v>4</v>
      </c>
      <c r="I552" t="str">
        <f t="shared" si="293"/>
        <v>3</v>
      </c>
      <c r="J552" s="18">
        <f>VLOOKUP(E552,Katalog!$C$3:$F$13,2,0)</f>
        <v>150000</v>
      </c>
      <c r="K552" s="18">
        <f>VLOOKUP(E552,Katalog!$C$3:$F$13,3,0)</f>
        <v>70000</v>
      </c>
      <c r="L552" t="str">
        <f t="shared" si="294"/>
        <v>SP002</v>
      </c>
      <c r="M552" t="str">
        <f>IFERROR(INDEX(Katalog!$B$4:$B$13,MATCH('Main Data'!L552,Katalog!$C$4:$C$13,0)), "-")</f>
        <v>Sandal Slip On</v>
      </c>
      <c r="N552" t="str">
        <f>IFERROR(VLOOKUP(L552,Katalog!$A$15:$B$25,2,0),"-")</f>
        <v>Sepatu Pria</v>
      </c>
      <c r="O552" t="str">
        <f t="shared" si="295"/>
        <v>1</v>
      </c>
      <c r="P552" t="str">
        <f t="shared" si="296"/>
        <v>4</v>
      </c>
      <c r="Q552" s="18">
        <f>IFERROR(VLOOKUP(L552,Katalog!$C$3:$F$13,2,0),0)</f>
        <v>120000</v>
      </c>
      <c r="R552" s="18">
        <f>IFERROR(VLOOKUP(L552,Katalog!$C$3:$F$13,3,0),0)</f>
        <v>60000</v>
      </c>
      <c r="S552" t="str">
        <f t="shared" si="297"/>
        <v>-</v>
      </c>
      <c r="T552" t="str">
        <f>IFERROR(INDEX(Katalog!$B$4:$B$13,MATCH('Main Data'!S552,Katalog!$C$4:$C$13,0)),"-")</f>
        <v>-</v>
      </c>
      <c r="U552" t="str">
        <f>IFERROR(VLOOKUP(S552,Katalog!$A$15:$B$25,2,0),"-")</f>
        <v>-</v>
      </c>
      <c r="V552">
        <f t="shared" si="298"/>
        <v>0</v>
      </c>
      <c r="W552" s="28" t="str">
        <f t="shared" si="299"/>
        <v>-</v>
      </c>
      <c r="X552" s="18">
        <f>IFERROR(VLOOKUP(S552,Katalog!$C$3:$F$13,2,0),0)</f>
        <v>0</v>
      </c>
      <c r="Y552" s="30">
        <f>IFERROR(VLOOKUP(S552,Katalog!$C$3:$F$13,3,0),0)</f>
        <v>0</v>
      </c>
      <c r="Z552" s="2">
        <f t="shared" si="300"/>
        <v>5</v>
      </c>
      <c r="AA552" s="4">
        <f t="shared" si="301"/>
        <v>720000</v>
      </c>
      <c r="AB552" s="4">
        <f t="shared" si="302"/>
        <v>340000</v>
      </c>
      <c r="AC552" s="4" t="s">
        <v>7</v>
      </c>
      <c r="AD552" s="16">
        <f>IFERROR(VLOOKUP(AC552,'Kode Diskon'!$C$2:$D$9,2,0),0)</f>
        <v>0.2</v>
      </c>
      <c r="AE552" s="31">
        <f t="shared" si="303"/>
        <v>144000</v>
      </c>
      <c r="AF552" s="31">
        <f t="shared" si="304"/>
        <v>576000</v>
      </c>
      <c r="AG552" s="31">
        <f t="shared" si="305"/>
        <v>380000</v>
      </c>
      <c r="AH552" s="31">
        <f t="shared" si="306"/>
        <v>236000</v>
      </c>
      <c r="AI552" s="4" t="s">
        <v>8</v>
      </c>
      <c r="AJ552" s="4" t="s">
        <v>6</v>
      </c>
      <c r="AK552" s="4" t="str">
        <f>IFERROR(VLOOKUP(AJ552,'Guide '!$A$13:$B$16,2,0),"-")</f>
        <v>SP</v>
      </c>
      <c r="AL552" s="4" t="s">
        <v>921</v>
      </c>
      <c r="AM552" s="40">
        <v>45493</v>
      </c>
      <c r="AN552">
        <f t="shared" si="307"/>
        <v>29</v>
      </c>
      <c r="AO552">
        <f t="shared" si="308"/>
        <v>32</v>
      </c>
      <c r="AP552">
        <f t="shared" si="309"/>
        <v>40</v>
      </c>
      <c r="AQ552">
        <f t="shared" si="310"/>
        <v>43</v>
      </c>
      <c r="AR552" s="26">
        <f t="shared" si="311"/>
        <v>56</v>
      </c>
      <c r="AS552" s="26">
        <f t="shared" si="312"/>
        <v>63</v>
      </c>
      <c r="AT552" s="21">
        <f t="shared" si="313"/>
        <v>12</v>
      </c>
      <c r="AU552" s="21">
        <f t="shared" si="314"/>
        <v>19</v>
      </c>
      <c r="AV552">
        <f t="shared" si="315"/>
        <v>73</v>
      </c>
      <c r="AW552">
        <f t="shared" si="316"/>
        <v>76</v>
      </c>
      <c r="AX552">
        <f t="shared" si="317"/>
        <v>84</v>
      </c>
      <c r="AY552">
        <f t="shared" si="318"/>
        <v>87</v>
      </c>
      <c r="AZ552" t="str">
        <f t="shared" si="319"/>
        <v>-</v>
      </c>
      <c r="BA552" t="str">
        <f t="shared" si="320"/>
        <v>-</v>
      </c>
      <c r="BB552" t="str">
        <f t="shared" si="321"/>
        <v>-</v>
      </c>
      <c r="BC552" t="str">
        <f t="shared" si="322"/>
        <v>-</v>
      </c>
      <c r="BD552" s="29" t="str">
        <f t="shared" si="323"/>
        <v>-</v>
      </c>
      <c r="BE552" s="29" t="str">
        <f t="shared" si="324"/>
        <v>-</v>
      </c>
    </row>
    <row r="553" spans="1:57" ht="15" x14ac:dyDescent="0.2">
      <c r="A553" s="2">
        <v>726</v>
      </c>
      <c r="B553" s="2" t="str">
        <f t="shared" si="289"/>
        <v>0726</v>
      </c>
      <c r="C553" t="str">
        <f t="shared" si="290"/>
        <v>ORD-BL-0726-20/07/24</v>
      </c>
      <c r="D553" s="3" t="s">
        <v>214</v>
      </c>
      <c r="E553" t="str">
        <f t="shared" si="291"/>
        <v>PU001</v>
      </c>
      <c r="F553" t="str">
        <f>INDEX(Katalog!$B$4:$B$13,MATCH('Main Data'!E553,Katalog!$C$4:$C$13,0))</f>
        <v>Jaket Hoodie</v>
      </c>
      <c r="G553" t="str">
        <f>VLOOKUP(E553,Katalog!$A$15:$B$25,2,0)</f>
        <v>Pakaian Unisex</v>
      </c>
      <c r="H553" t="str">
        <f t="shared" si="292"/>
        <v>1</v>
      </c>
      <c r="I553" t="str">
        <f t="shared" si="293"/>
        <v>1</v>
      </c>
      <c r="J553" s="18">
        <f>VLOOKUP(E553,Katalog!$C$3:$F$13,2,0)</f>
        <v>160000</v>
      </c>
      <c r="K553" s="18">
        <f>VLOOKUP(E553,Katalog!$C$3:$F$13,3,0)</f>
        <v>60000</v>
      </c>
      <c r="L553" t="str">
        <f t="shared" si="294"/>
        <v>-</v>
      </c>
      <c r="M553" t="str">
        <f>IFERROR(INDEX(Katalog!$B$4:$B$13,MATCH('Main Data'!L553,Katalog!$C$4:$C$13,0)), "-")</f>
        <v>-</v>
      </c>
      <c r="N553" t="str">
        <f>IFERROR(VLOOKUP(L553,Katalog!$A$15:$B$25,2,0),"-")</f>
        <v>-</v>
      </c>
      <c r="O553">
        <f t="shared" si="295"/>
        <v>0</v>
      </c>
      <c r="P553" t="str">
        <f t="shared" si="296"/>
        <v>-</v>
      </c>
      <c r="Q553" s="18">
        <f>IFERROR(VLOOKUP(L553,Katalog!$C$3:$F$13,2,0),0)</f>
        <v>0</v>
      </c>
      <c r="R553" s="18">
        <f>IFERROR(VLOOKUP(L553,Katalog!$C$3:$F$13,3,0),0)</f>
        <v>0</v>
      </c>
      <c r="S553" t="str">
        <f t="shared" si="297"/>
        <v>-</v>
      </c>
      <c r="T553" t="str">
        <f>IFERROR(INDEX(Katalog!$B$4:$B$13,MATCH('Main Data'!S553,Katalog!$C$4:$C$13,0)),"-")</f>
        <v>-</v>
      </c>
      <c r="U553" t="str">
        <f>IFERROR(VLOOKUP(S553,Katalog!$A$15:$B$25,2,0),"-")</f>
        <v>-</v>
      </c>
      <c r="V553">
        <f t="shared" si="298"/>
        <v>0</v>
      </c>
      <c r="W553" s="28" t="str">
        <f t="shared" si="299"/>
        <v>-</v>
      </c>
      <c r="X553" s="18">
        <f>IFERROR(VLOOKUP(S553,Katalog!$C$3:$F$13,2,0),0)</f>
        <v>0</v>
      </c>
      <c r="Y553" s="30">
        <f>IFERROR(VLOOKUP(S553,Katalog!$C$3:$F$13,3,0),0)</f>
        <v>0</v>
      </c>
      <c r="Z553" s="2">
        <f t="shared" si="300"/>
        <v>1</v>
      </c>
      <c r="AA553" s="4">
        <f t="shared" si="301"/>
        <v>160000</v>
      </c>
      <c r="AB553" s="4">
        <f t="shared" si="302"/>
        <v>60000</v>
      </c>
      <c r="AC553" s="4" t="s">
        <v>31</v>
      </c>
      <c r="AD553" s="16">
        <f>IFERROR(VLOOKUP(AC553,'Kode Diskon'!$C$2:$D$9,2,0),0)</f>
        <v>0.15</v>
      </c>
      <c r="AE553" s="31">
        <f t="shared" si="303"/>
        <v>24000</v>
      </c>
      <c r="AF553" s="31">
        <f t="shared" si="304"/>
        <v>136000</v>
      </c>
      <c r="AG553" s="31">
        <f t="shared" si="305"/>
        <v>100000</v>
      </c>
      <c r="AH553" s="31">
        <f t="shared" si="306"/>
        <v>76000</v>
      </c>
      <c r="AI553" s="4" t="s">
        <v>8</v>
      </c>
      <c r="AJ553" s="4" t="s">
        <v>11</v>
      </c>
      <c r="AK553" s="4" t="str">
        <f>IFERROR(VLOOKUP(AJ553,'Guide '!$A$13:$B$16,2,0),"-")</f>
        <v>BL</v>
      </c>
      <c r="AL553" s="4" t="s">
        <v>925</v>
      </c>
      <c r="AM553" s="40">
        <v>45493</v>
      </c>
      <c r="AN553">
        <f t="shared" si="307"/>
        <v>29</v>
      </c>
      <c r="AO553">
        <f t="shared" si="308"/>
        <v>32</v>
      </c>
      <c r="AP553">
        <f t="shared" si="309"/>
        <v>40</v>
      </c>
      <c r="AQ553">
        <f t="shared" si="310"/>
        <v>43</v>
      </c>
      <c r="AR553" s="26" t="str">
        <f t="shared" si="311"/>
        <v>-</v>
      </c>
      <c r="AS553" s="26" t="str">
        <f t="shared" si="312"/>
        <v>-</v>
      </c>
      <c r="AT553" s="21">
        <f t="shared" si="313"/>
        <v>12</v>
      </c>
      <c r="AU553" s="21">
        <f t="shared" si="314"/>
        <v>19</v>
      </c>
      <c r="AV553" t="str">
        <f t="shared" si="315"/>
        <v>-</v>
      </c>
      <c r="AW553" t="str">
        <f t="shared" si="316"/>
        <v>-</v>
      </c>
      <c r="AX553" t="str">
        <f t="shared" si="317"/>
        <v>-</v>
      </c>
      <c r="AY553" t="str">
        <f t="shared" si="318"/>
        <v>-</v>
      </c>
      <c r="AZ553" t="str">
        <f t="shared" si="319"/>
        <v>-</v>
      </c>
      <c r="BA553" t="str">
        <f t="shared" si="320"/>
        <v>-</v>
      </c>
      <c r="BB553" t="str">
        <f t="shared" si="321"/>
        <v>-</v>
      </c>
      <c r="BC553" t="str">
        <f t="shared" si="322"/>
        <v>-</v>
      </c>
      <c r="BD553" s="29" t="str">
        <f t="shared" si="323"/>
        <v>-</v>
      </c>
      <c r="BE553" s="29" t="str">
        <f t="shared" si="324"/>
        <v>-</v>
      </c>
    </row>
    <row r="554" spans="1:57" ht="15" x14ac:dyDescent="0.2">
      <c r="A554" s="2">
        <v>8</v>
      </c>
      <c r="B554" s="2" t="str">
        <f t="shared" si="289"/>
        <v>0008</v>
      </c>
      <c r="C554" t="str">
        <f t="shared" si="290"/>
        <v>ORD-BL-0008-21/07/24</v>
      </c>
      <c r="D554" s="3" t="s">
        <v>82</v>
      </c>
      <c r="E554" t="str">
        <f t="shared" si="291"/>
        <v>SP001</v>
      </c>
      <c r="F554" t="str">
        <f>INDEX(Katalog!$B$4:$B$13,MATCH('Main Data'!E554,Katalog!$C$4:$C$13,0))</f>
        <v>Sneakers</v>
      </c>
      <c r="G554" t="str">
        <f>VLOOKUP(E554,Katalog!$A$15:$B$25,2,0)</f>
        <v>Sepatu Pria</v>
      </c>
      <c r="H554" t="str">
        <f t="shared" si="292"/>
        <v>4</v>
      </c>
      <c r="I554" t="str">
        <f t="shared" si="293"/>
        <v>1</v>
      </c>
      <c r="J554" s="18">
        <f>VLOOKUP(E554,Katalog!$C$3:$F$13,2,0)</f>
        <v>300000</v>
      </c>
      <c r="K554" s="18">
        <f>VLOOKUP(E554,Katalog!$C$3:$F$13,3,0)</f>
        <v>100000</v>
      </c>
      <c r="L554" t="str">
        <f t="shared" si="294"/>
        <v>PP002</v>
      </c>
      <c r="M554" t="str">
        <f>IFERROR(INDEX(Katalog!$B$4:$B$13,MATCH('Main Data'!L554,Katalog!$C$4:$C$13,0)), "-")</f>
        <v>Celana Pendek</v>
      </c>
      <c r="N554" t="str">
        <f>IFERROR(VLOOKUP(L554,Katalog!$A$15:$B$25,2,0),"-")</f>
        <v>Pakaian Pria</v>
      </c>
      <c r="O554" t="str">
        <f t="shared" si="295"/>
        <v>1</v>
      </c>
      <c r="P554" t="str">
        <f t="shared" si="296"/>
        <v>3</v>
      </c>
      <c r="Q554" s="18">
        <f>IFERROR(VLOOKUP(L554,Katalog!$C$3:$F$13,2,0),0)</f>
        <v>60000</v>
      </c>
      <c r="R554" s="18">
        <f>IFERROR(VLOOKUP(L554,Katalog!$C$3:$F$13,3,0),0)</f>
        <v>25000</v>
      </c>
      <c r="S554" t="str">
        <f t="shared" si="297"/>
        <v>-</v>
      </c>
      <c r="T554" t="str">
        <f>IFERROR(INDEX(Katalog!$B$4:$B$13,MATCH('Main Data'!S554,Katalog!$C$4:$C$13,0)),"-")</f>
        <v>-</v>
      </c>
      <c r="U554" t="str">
        <f>IFERROR(VLOOKUP(S554,Katalog!$A$15:$B$25,2,0),"-")</f>
        <v>-</v>
      </c>
      <c r="V554">
        <f t="shared" si="298"/>
        <v>0</v>
      </c>
      <c r="W554" s="28" t="str">
        <f t="shared" si="299"/>
        <v>-</v>
      </c>
      <c r="X554" s="18">
        <f>IFERROR(VLOOKUP(S554,Katalog!$C$3:$F$13,2,0),0)</f>
        <v>0</v>
      </c>
      <c r="Y554" s="30">
        <f>IFERROR(VLOOKUP(S554,Katalog!$C$3:$F$13,3,0),0)</f>
        <v>0</v>
      </c>
      <c r="Z554" s="2">
        <f t="shared" si="300"/>
        <v>5</v>
      </c>
      <c r="AA554" s="4">
        <f t="shared" si="301"/>
        <v>1260000</v>
      </c>
      <c r="AB554" s="4">
        <f t="shared" si="302"/>
        <v>425000</v>
      </c>
      <c r="AC554" s="4" t="s">
        <v>31</v>
      </c>
      <c r="AD554" s="16">
        <f>IFERROR(VLOOKUP(AC554,'Kode Diskon'!$C$2:$D$9,2,0),0)</f>
        <v>0.15</v>
      </c>
      <c r="AE554" s="31">
        <f t="shared" si="303"/>
        <v>189000</v>
      </c>
      <c r="AF554" s="31">
        <f t="shared" si="304"/>
        <v>1071000</v>
      </c>
      <c r="AG554" s="31">
        <f t="shared" si="305"/>
        <v>835000</v>
      </c>
      <c r="AH554" s="31">
        <f t="shared" si="306"/>
        <v>646000</v>
      </c>
      <c r="AI554" s="4" t="s">
        <v>8</v>
      </c>
      <c r="AJ554" s="4" t="s">
        <v>11</v>
      </c>
      <c r="AK554" s="4" t="str">
        <f>IFERROR(VLOOKUP(AJ554,'Guide '!$A$13:$B$16,2,0),"-")</f>
        <v>BL</v>
      </c>
      <c r="AL554" s="4" t="s">
        <v>1006</v>
      </c>
      <c r="AM554" s="40">
        <v>45494</v>
      </c>
      <c r="AN554">
        <f t="shared" si="307"/>
        <v>29</v>
      </c>
      <c r="AO554">
        <f t="shared" si="308"/>
        <v>32</v>
      </c>
      <c r="AP554">
        <f t="shared" si="309"/>
        <v>40</v>
      </c>
      <c r="AQ554">
        <f t="shared" si="310"/>
        <v>43</v>
      </c>
      <c r="AR554" s="26">
        <f t="shared" si="311"/>
        <v>56</v>
      </c>
      <c r="AS554" s="26">
        <f t="shared" si="312"/>
        <v>63</v>
      </c>
      <c r="AT554" s="21">
        <f t="shared" si="313"/>
        <v>12</v>
      </c>
      <c r="AU554" s="21">
        <f t="shared" si="314"/>
        <v>19</v>
      </c>
      <c r="AV554">
        <f t="shared" si="315"/>
        <v>73</v>
      </c>
      <c r="AW554">
        <f t="shared" si="316"/>
        <v>76</v>
      </c>
      <c r="AX554">
        <f t="shared" si="317"/>
        <v>84</v>
      </c>
      <c r="AY554">
        <f t="shared" si="318"/>
        <v>87</v>
      </c>
      <c r="AZ554" t="str">
        <f t="shared" si="319"/>
        <v>-</v>
      </c>
      <c r="BA554" t="str">
        <f t="shared" si="320"/>
        <v>-</v>
      </c>
      <c r="BB554" t="str">
        <f t="shared" si="321"/>
        <v>-</v>
      </c>
      <c r="BC554" t="str">
        <f t="shared" si="322"/>
        <v>-</v>
      </c>
      <c r="BD554" s="29" t="str">
        <f t="shared" si="323"/>
        <v>-</v>
      </c>
      <c r="BE554" s="29" t="str">
        <f t="shared" si="324"/>
        <v>-</v>
      </c>
    </row>
    <row r="555" spans="1:57" ht="15" x14ac:dyDescent="0.2">
      <c r="A555" s="2">
        <v>19</v>
      </c>
      <c r="B555" s="2" t="str">
        <f t="shared" si="289"/>
        <v>0019</v>
      </c>
      <c r="C555" t="str">
        <f t="shared" si="290"/>
        <v>ORD-SP-0019-21/07/24</v>
      </c>
      <c r="D555" s="3" t="s">
        <v>93</v>
      </c>
      <c r="E555" t="str">
        <f t="shared" si="291"/>
        <v>SP002</v>
      </c>
      <c r="F555" t="str">
        <f>INDEX(Katalog!$B$4:$B$13,MATCH('Main Data'!E555,Katalog!$C$4:$C$13,0))</f>
        <v>Sandal Slip On</v>
      </c>
      <c r="G555" t="str">
        <f>VLOOKUP(E555,Katalog!$A$15:$B$25,2,0)</f>
        <v>Sepatu Pria</v>
      </c>
      <c r="H555" t="str">
        <f t="shared" si="292"/>
        <v>1</v>
      </c>
      <c r="I555" t="str">
        <f t="shared" si="293"/>
        <v>4</v>
      </c>
      <c r="J555" s="18">
        <f>VLOOKUP(E555,Katalog!$C$3:$F$13,2,0)</f>
        <v>120000</v>
      </c>
      <c r="K555" s="18">
        <f>VLOOKUP(E555,Katalog!$C$3:$F$13,3,0)</f>
        <v>60000</v>
      </c>
      <c r="L555" t="str">
        <f t="shared" si="294"/>
        <v>SW001</v>
      </c>
      <c r="M555" t="str">
        <f>IFERROR(INDEX(Katalog!$B$4:$B$13,MATCH('Main Data'!L555,Katalog!$C$4:$C$13,0)), "-")</f>
        <v>Flat Shoes</v>
      </c>
      <c r="N555" t="str">
        <f>IFERROR(VLOOKUP(L555,Katalog!$A$15:$B$25,2,0),"-")</f>
        <v>Sepatu Wanita</v>
      </c>
      <c r="O555" t="str">
        <f t="shared" si="295"/>
        <v>2</v>
      </c>
      <c r="P555" t="str">
        <f t="shared" si="296"/>
        <v>2</v>
      </c>
      <c r="Q555" s="18">
        <f>IFERROR(VLOOKUP(L555,Katalog!$C$3:$F$13,2,0),0)</f>
        <v>150000</v>
      </c>
      <c r="R555" s="18">
        <f>IFERROR(VLOOKUP(L555,Katalog!$C$3:$F$13,3,0),0)</f>
        <v>70000</v>
      </c>
      <c r="S555" t="str">
        <f t="shared" si="297"/>
        <v>PP001</v>
      </c>
      <c r="T555" t="str">
        <f>IFERROR(INDEX(Katalog!$B$4:$B$13,MATCH('Main Data'!S555,Katalog!$C$4:$C$13,0)),"-")</f>
        <v>Kaos Polo</v>
      </c>
      <c r="U555" t="str">
        <f>IFERROR(VLOOKUP(S555,Katalog!$A$15:$B$25,2,0),"-")</f>
        <v>Pakaian Pria</v>
      </c>
      <c r="V555" t="str">
        <f t="shared" si="298"/>
        <v>1</v>
      </c>
      <c r="W555" s="28" t="str">
        <f t="shared" si="299"/>
        <v>4</v>
      </c>
      <c r="X555" s="18">
        <f>IFERROR(VLOOKUP(S555,Katalog!$C$3:$F$13,2,0),0)</f>
        <v>80000</v>
      </c>
      <c r="Y555" s="30">
        <f>IFERROR(VLOOKUP(S555,Katalog!$C$3:$F$13,3,0),0)</f>
        <v>30000</v>
      </c>
      <c r="Z555" s="2">
        <f t="shared" si="300"/>
        <v>4</v>
      </c>
      <c r="AA555" s="4">
        <f t="shared" si="301"/>
        <v>500000</v>
      </c>
      <c r="AB555" s="4">
        <f t="shared" si="302"/>
        <v>230000</v>
      </c>
      <c r="AC555" s="4" t="s">
        <v>5</v>
      </c>
      <c r="AD555" s="16">
        <f>IFERROR(VLOOKUP(AC555,'Kode Diskon'!$C$2:$D$9,2,0),0)</f>
        <v>0.1</v>
      </c>
      <c r="AE555" s="31">
        <f t="shared" si="303"/>
        <v>50000</v>
      </c>
      <c r="AF555" s="31">
        <f t="shared" si="304"/>
        <v>450000</v>
      </c>
      <c r="AG555" s="31">
        <f t="shared" si="305"/>
        <v>270000</v>
      </c>
      <c r="AH555" s="31">
        <f t="shared" si="306"/>
        <v>220000</v>
      </c>
      <c r="AI555" s="4" t="s">
        <v>28</v>
      </c>
      <c r="AJ555" s="4" t="s">
        <v>6</v>
      </c>
      <c r="AK555" s="4" t="str">
        <f>IFERROR(VLOOKUP(AJ555,'Guide '!$A$13:$B$16,2,0),"-")</f>
        <v>SP</v>
      </c>
      <c r="AL555" s="4" t="s">
        <v>923</v>
      </c>
      <c r="AM555" s="40">
        <v>45494</v>
      </c>
      <c r="AN555">
        <f t="shared" si="307"/>
        <v>29</v>
      </c>
      <c r="AO555">
        <f t="shared" si="308"/>
        <v>32</v>
      </c>
      <c r="AP555">
        <f t="shared" si="309"/>
        <v>40</v>
      </c>
      <c r="AQ555">
        <f t="shared" si="310"/>
        <v>43</v>
      </c>
      <c r="AR555" s="26">
        <f t="shared" si="311"/>
        <v>56</v>
      </c>
      <c r="AS555" s="26">
        <f t="shared" si="312"/>
        <v>63</v>
      </c>
      <c r="AT555" s="21">
        <f t="shared" si="313"/>
        <v>12</v>
      </c>
      <c r="AU555" s="21">
        <f t="shared" si="314"/>
        <v>19</v>
      </c>
      <c r="AV555">
        <f t="shared" si="315"/>
        <v>73</v>
      </c>
      <c r="AW555">
        <f t="shared" si="316"/>
        <v>76</v>
      </c>
      <c r="AX555">
        <f t="shared" si="317"/>
        <v>84</v>
      </c>
      <c r="AY555">
        <f t="shared" si="318"/>
        <v>87</v>
      </c>
      <c r="AZ555">
        <f t="shared" si="319"/>
        <v>100</v>
      </c>
      <c r="BA555">
        <f t="shared" si="320"/>
        <v>107</v>
      </c>
      <c r="BB555">
        <f t="shared" si="321"/>
        <v>117</v>
      </c>
      <c r="BC555">
        <f t="shared" si="322"/>
        <v>120</v>
      </c>
      <c r="BD555" s="29">
        <f t="shared" si="323"/>
        <v>128</v>
      </c>
      <c r="BE555" s="29">
        <f t="shared" si="324"/>
        <v>131</v>
      </c>
    </row>
    <row r="556" spans="1:57" ht="15" x14ac:dyDescent="0.2">
      <c r="A556" s="2">
        <v>730</v>
      </c>
      <c r="B556" s="2" t="str">
        <f t="shared" si="289"/>
        <v>0730</v>
      </c>
      <c r="C556" t="str">
        <f t="shared" si="290"/>
        <v>ORD-SP-0730-21/07/24</v>
      </c>
      <c r="D556" s="3" t="s">
        <v>716</v>
      </c>
      <c r="E556" t="str">
        <f t="shared" si="291"/>
        <v>PP003</v>
      </c>
      <c r="F556" t="str">
        <f>INDEX(Katalog!$B$4:$B$13,MATCH('Main Data'!E556,Katalog!$C$4:$C$13,0))</f>
        <v>Jaket Jeans</v>
      </c>
      <c r="G556" t="str">
        <f>VLOOKUP(E556,Katalog!$A$15:$B$25,2,0)</f>
        <v>Pakaian Pria</v>
      </c>
      <c r="H556" t="str">
        <f t="shared" si="292"/>
        <v>5</v>
      </c>
      <c r="I556" t="str">
        <f t="shared" si="293"/>
        <v>2</v>
      </c>
      <c r="J556" s="18">
        <f>VLOOKUP(E556,Katalog!$C$3:$F$13,2,0)</f>
        <v>150000</v>
      </c>
      <c r="K556" s="18">
        <f>VLOOKUP(E556,Katalog!$C$3:$F$13,3,0)</f>
        <v>70000</v>
      </c>
      <c r="L556" t="str">
        <f t="shared" si="294"/>
        <v>SP002</v>
      </c>
      <c r="M556" t="str">
        <f>IFERROR(INDEX(Katalog!$B$4:$B$13,MATCH('Main Data'!L556,Katalog!$C$4:$C$13,0)), "-")</f>
        <v>Sandal Slip On</v>
      </c>
      <c r="N556" t="str">
        <f>IFERROR(VLOOKUP(L556,Katalog!$A$15:$B$25,2,0),"-")</f>
        <v>Sepatu Pria</v>
      </c>
      <c r="O556" t="str">
        <f t="shared" si="295"/>
        <v>1</v>
      </c>
      <c r="P556" t="str">
        <f t="shared" si="296"/>
        <v>4</v>
      </c>
      <c r="Q556" s="18">
        <f>IFERROR(VLOOKUP(L556,Katalog!$C$3:$F$13,2,0),0)</f>
        <v>120000</v>
      </c>
      <c r="R556" s="18">
        <f>IFERROR(VLOOKUP(L556,Katalog!$C$3:$F$13,3,0),0)</f>
        <v>60000</v>
      </c>
      <c r="S556" t="str">
        <f t="shared" si="297"/>
        <v>-</v>
      </c>
      <c r="T556" t="str">
        <f>IFERROR(INDEX(Katalog!$B$4:$B$13,MATCH('Main Data'!S556,Katalog!$C$4:$C$13,0)),"-")</f>
        <v>-</v>
      </c>
      <c r="U556" t="str">
        <f>IFERROR(VLOOKUP(S556,Katalog!$A$15:$B$25,2,0),"-")</f>
        <v>-</v>
      </c>
      <c r="V556">
        <f t="shared" si="298"/>
        <v>0</v>
      </c>
      <c r="W556" s="28" t="str">
        <f t="shared" si="299"/>
        <v>-</v>
      </c>
      <c r="X556" s="18">
        <f>IFERROR(VLOOKUP(S556,Katalog!$C$3:$F$13,2,0),0)</f>
        <v>0</v>
      </c>
      <c r="Y556" s="30">
        <f>IFERROR(VLOOKUP(S556,Katalog!$C$3:$F$13,3,0),0)</f>
        <v>0</v>
      </c>
      <c r="Z556" s="2">
        <f t="shared" si="300"/>
        <v>6</v>
      </c>
      <c r="AA556" s="4">
        <f t="shared" si="301"/>
        <v>870000</v>
      </c>
      <c r="AB556" s="4">
        <f t="shared" si="302"/>
        <v>410000</v>
      </c>
      <c r="AC556" s="4" t="s">
        <v>7</v>
      </c>
      <c r="AD556" s="16">
        <f>IFERROR(VLOOKUP(AC556,'Kode Diskon'!$C$2:$D$9,2,0),0)</f>
        <v>0.2</v>
      </c>
      <c r="AE556" s="31">
        <f t="shared" si="303"/>
        <v>174000</v>
      </c>
      <c r="AF556" s="31">
        <f t="shared" si="304"/>
        <v>696000</v>
      </c>
      <c r="AG556" s="31">
        <f t="shared" si="305"/>
        <v>460000</v>
      </c>
      <c r="AH556" s="31">
        <f t="shared" si="306"/>
        <v>286000</v>
      </c>
      <c r="AI556" s="4" t="s">
        <v>8</v>
      </c>
      <c r="AJ556" s="4" t="s">
        <v>6</v>
      </c>
      <c r="AK556" s="4" t="str">
        <f>IFERROR(VLOOKUP(AJ556,'Guide '!$A$13:$B$16,2,0),"-")</f>
        <v>SP</v>
      </c>
      <c r="AL556" s="4" t="s">
        <v>925</v>
      </c>
      <c r="AM556" s="40">
        <v>45494</v>
      </c>
      <c r="AN556">
        <f t="shared" si="307"/>
        <v>29</v>
      </c>
      <c r="AO556">
        <f t="shared" si="308"/>
        <v>32</v>
      </c>
      <c r="AP556">
        <f t="shared" si="309"/>
        <v>40</v>
      </c>
      <c r="AQ556">
        <f t="shared" si="310"/>
        <v>43</v>
      </c>
      <c r="AR556" s="26">
        <f t="shared" si="311"/>
        <v>56</v>
      </c>
      <c r="AS556" s="26">
        <f t="shared" si="312"/>
        <v>63</v>
      </c>
      <c r="AT556" s="21">
        <f t="shared" si="313"/>
        <v>12</v>
      </c>
      <c r="AU556" s="21">
        <f t="shared" si="314"/>
        <v>19</v>
      </c>
      <c r="AV556">
        <f t="shared" si="315"/>
        <v>73</v>
      </c>
      <c r="AW556">
        <f t="shared" si="316"/>
        <v>76</v>
      </c>
      <c r="AX556">
        <f t="shared" si="317"/>
        <v>84</v>
      </c>
      <c r="AY556">
        <f t="shared" si="318"/>
        <v>87</v>
      </c>
      <c r="AZ556" t="str">
        <f t="shared" si="319"/>
        <v>-</v>
      </c>
      <c r="BA556" t="str">
        <f t="shared" si="320"/>
        <v>-</v>
      </c>
      <c r="BB556" t="str">
        <f t="shared" si="321"/>
        <v>-</v>
      </c>
      <c r="BC556" t="str">
        <f t="shared" si="322"/>
        <v>-</v>
      </c>
      <c r="BD556" s="29" t="str">
        <f t="shared" si="323"/>
        <v>-</v>
      </c>
      <c r="BE556" s="29" t="str">
        <f t="shared" si="324"/>
        <v>-</v>
      </c>
    </row>
    <row r="557" spans="1:57" ht="15" x14ac:dyDescent="0.2">
      <c r="A557" s="2">
        <v>917</v>
      </c>
      <c r="B557" s="2" t="str">
        <f t="shared" si="289"/>
        <v>0917</v>
      </c>
      <c r="C557" t="str">
        <f t="shared" si="290"/>
        <v>ORD-BB-0917-21/07/24</v>
      </c>
      <c r="D557" s="3" t="s">
        <v>852</v>
      </c>
      <c r="E557" t="str">
        <f t="shared" si="291"/>
        <v>SP001</v>
      </c>
      <c r="F557" t="str">
        <f>INDEX(Katalog!$B$4:$B$13,MATCH('Main Data'!E557,Katalog!$C$4:$C$13,0))</f>
        <v>Sneakers</v>
      </c>
      <c r="G557" t="str">
        <f>VLOOKUP(E557,Katalog!$A$15:$B$25,2,0)</f>
        <v>Sepatu Pria</v>
      </c>
      <c r="H557" t="str">
        <f t="shared" si="292"/>
        <v>5</v>
      </c>
      <c r="I557" t="str">
        <f t="shared" si="293"/>
        <v>3</v>
      </c>
      <c r="J557" s="18">
        <f>VLOOKUP(E557,Katalog!$C$3:$F$13,2,0)</f>
        <v>300000</v>
      </c>
      <c r="K557" s="18">
        <f>VLOOKUP(E557,Katalog!$C$3:$F$13,3,0)</f>
        <v>100000</v>
      </c>
      <c r="L557" t="str">
        <f t="shared" si="294"/>
        <v>PP003</v>
      </c>
      <c r="M557" t="str">
        <f>IFERROR(INDEX(Katalog!$B$4:$B$13,MATCH('Main Data'!L557,Katalog!$C$4:$C$13,0)), "-")</f>
        <v>Jaket Jeans</v>
      </c>
      <c r="N557" t="str">
        <f>IFERROR(VLOOKUP(L557,Katalog!$A$15:$B$25,2,0),"-")</f>
        <v>Pakaian Pria</v>
      </c>
      <c r="O557" t="str">
        <f t="shared" si="295"/>
        <v>1</v>
      </c>
      <c r="P557" t="str">
        <f t="shared" si="296"/>
        <v>1</v>
      </c>
      <c r="Q557" s="18">
        <f>IFERROR(VLOOKUP(L557,Katalog!$C$3:$F$13,2,0),0)</f>
        <v>150000</v>
      </c>
      <c r="R557" s="18">
        <f>IFERROR(VLOOKUP(L557,Katalog!$C$3:$F$13,3,0),0)</f>
        <v>70000</v>
      </c>
      <c r="S557" t="str">
        <f t="shared" si="297"/>
        <v>SW001</v>
      </c>
      <c r="T557" t="str">
        <f>IFERROR(INDEX(Katalog!$B$4:$B$13,MATCH('Main Data'!S557,Katalog!$C$4:$C$13,0)),"-")</f>
        <v>Flat Shoes</v>
      </c>
      <c r="U557" t="str">
        <f>IFERROR(VLOOKUP(S557,Katalog!$A$15:$B$25,2,0),"-")</f>
        <v>Sepatu Wanita</v>
      </c>
      <c r="V557" t="str">
        <f t="shared" si="298"/>
        <v>1</v>
      </c>
      <c r="W557" s="28" t="str">
        <f t="shared" si="299"/>
        <v>3</v>
      </c>
      <c r="X557" s="18">
        <f>IFERROR(VLOOKUP(S557,Katalog!$C$3:$F$13,2,0),0)</f>
        <v>150000</v>
      </c>
      <c r="Y557" s="30">
        <f>IFERROR(VLOOKUP(S557,Katalog!$C$3:$F$13,3,0),0)</f>
        <v>70000</v>
      </c>
      <c r="Z557" s="2">
        <f t="shared" si="300"/>
        <v>7</v>
      </c>
      <c r="AA557" s="4">
        <f t="shared" si="301"/>
        <v>1800000</v>
      </c>
      <c r="AB557" s="4">
        <f t="shared" si="302"/>
        <v>640000</v>
      </c>
      <c r="AC557" s="4" t="s">
        <v>27</v>
      </c>
      <c r="AD557" s="16">
        <f>IFERROR(VLOOKUP(AC557,'Kode Diskon'!$C$2:$D$9,2,0),0)</f>
        <v>0.15</v>
      </c>
      <c r="AE557" s="31">
        <f t="shared" si="303"/>
        <v>270000</v>
      </c>
      <c r="AF557" s="31">
        <f t="shared" si="304"/>
        <v>1530000</v>
      </c>
      <c r="AG557" s="31">
        <f t="shared" si="305"/>
        <v>1160000</v>
      </c>
      <c r="AH557" s="31">
        <f t="shared" si="306"/>
        <v>890000</v>
      </c>
      <c r="AI557" s="4" t="s">
        <v>28</v>
      </c>
      <c r="AJ557" s="4" t="s">
        <v>13</v>
      </c>
      <c r="AK557" s="4" t="str">
        <f>IFERROR(VLOOKUP(AJ557,'Guide '!$A$13:$B$16,2,0),"-")</f>
        <v>BB</v>
      </c>
      <c r="AL557" s="4" t="s">
        <v>925</v>
      </c>
      <c r="AM557" s="40">
        <v>45494</v>
      </c>
      <c r="AN557">
        <f t="shared" si="307"/>
        <v>29</v>
      </c>
      <c r="AO557">
        <f t="shared" si="308"/>
        <v>32</v>
      </c>
      <c r="AP557">
        <f t="shared" si="309"/>
        <v>40</v>
      </c>
      <c r="AQ557">
        <f t="shared" si="310"/>
        <v>43</v>
      </c>
      <c r="AR557" s="26">
        <f t="shared" si="311"/>
        <v>56</v>
      </c>
      <c r="AS557" s="26">
        <f t="shared" si="312"/>
        <v>63</v>
      </c>
      <c r="AT557" s="21">
        <f t="shared" si="313"/>
        <v>12</v>
      </c>
      <c r="AU557" s="21">
        <f t="shared" si="314"/>
        <v>19</v>
      </c>
      <c r="AV557">
        <f t="shared" si="315"/>
        <v>73</v>
      </c>
      <c r="AW557">
        <f t="shared" si="316"/>
        <v>76</v>
      </c>
      <c r="AX557">
        <f t="shared" si="317"/>
        <v>84</v>
      </c>
      <c r="AY557">
        <f t="shared" si="318"/>
        <v>87</v>
      </c>
      <c r="AZ557">
        <f t="shared" si="319"/>
        <v>100</v>
      </c>
      <c r="BA557">
        <f t="shared" si="320"/>
        <v>107</v>
      </c>
      <c r="BB557">
        <f t="shared" si="321"/>
        <v>117</v>
      </c>
      <c r="BC557">
        <f t="shared" si="322"/>
        <v>120</v>
      </c>
      <c r="BD557" s="29">
        <f t="shared" si="323"/>
        <v>128</v>
      </c>
      <c r="BE557" s="29">
        <f t="shared" si="324"/>
        <v>131</v>
      </c>
    </row>
    <row r="558" spans="1:57" ht="15" x14ac:dyDescent="0.2">
      <c r="A558" s="2">
        <v>65</v>
      </c>
      <c r="B558" s="2" t="str">
        <f t="shared" si="289"/>
        <v>0065</v>
      </c>
      <c r="C558" t="str">
        <f t="shared" si="290"/>
        <v>ORD-SP-0065-22/07/24</v>
      </c>
      <c r="D558" s="3" t="s">
        <v>139</v>
      </c>
      <c r="E558" t="str">
        <f t="shared" si="291"/>
        <v>PW001</v>
      </c>
      <c r="F558" t="str">
        <f>INDEX(Katalog!$B$4:$B$13,MATCH('Main Data'!E558,Katalog!$C$4:$C$13,0))</f>
        <v>Dress</v>
      </c>
      <c r="G558" t="str">
        <f>VLOOKUP(E558,Katalog!$A$15:$B$25,2,0)</f>
        <v>Pakaian Wanita</v>
      </c>
      <c r="H558" t="str">
        <f t="shared" si="292"/>
        <v>1</v>
      </c>
      <c r="I558" t="str">
        <f t="shared" si="293"/>
        <v>5</v>
      </c>
      <c r="J558" s="18">
        <f>VLOOKUP(E558,Katalog!$C$3:$F$13,2,0)</f>
        <v>150000</v>
      </c>
      <c r="K558" s="18">
        <f>VLOOKUP(E558,Katalog!$C$3:$F$13,3,0)</f>
        <v>55000</v>
      </c>
      <c r="L558" t="str">
        <f t="shared" si="294"/>
        <v>-</v>
      </c>
      <c r="M558" t="str">
        <f>IFERROR(INDEX(Katalog!$B$4:$B$13,MATCH('Main Data'!L558,Katalog!$C$4:$C$13,0)), "-")</f>
        <v>-</v>
      </c>
      <c r="N558" t="str">
        <f>IFERROR(VLOOKUP(L558,Katalog!$A$15:$B$25,2,0),"-")</f>
        <v>-</v>
      </c>
      <c r="O558">
        <f t="shared" si="295"/>
        <v>0</v>
      </c>
      <c r="P558" t="str">
        <f t="shared" si="296"/>
        <v>-</v>
      </c>
      <c r="Q558" s="18">
        <f>IFERROR(VLOOKUP(L558,Katalog!$C$3:$F$13,2,0),0)</f>
        <v>0</v>
      </c>
      <c r="R558" s="18">
        <f>IFERROR(VLOOKUP(L558,Katalog!$C$3:$F$13,3,0),0)</f>
        <v>0</v>
      </c>
      <c r="S558" t="str">
        <f t="shared" si="297"/>
        <v>-</v>
      </c>
      <c r="T558" t="str">
        <f>IFERROR(INDEX(Katalog!$B$4:$B$13,MATCH('Main Data'!S558,Katalog!$C$4:$C$13,0)),"-")</f>
        <v>-</v>
      </c>
      <c r="U558" t="str">
        <f>IFERROR(VLOOKUP(S558,Katalog!$A$15:$B$25,2,0),"-")</f>
        <v>-</v>
      </c>
      <c r="V558">
        <f t="shared" si="298"/>
        <v>0</v>
      </c>
      <c r="W558" s="28" t="str">
        <f t="shared" si="299"/>
        <v>-</v>
      </c>
      <c r="X558" s="18">
        <f>IFERROR(VLOOKUP(S558,Katalog!$C$3:$F$13,2,0),0)</f>
        <v>0</v>
      </c>
      <c r="Y558" s="30">
        <f>IFERROR(VLOOKUP(S558,Katalog!$C$3:$F$13,3,0),0)</f>
        <v>0</v>
      </c>
      <c r="Z558" s="2">
        <f t="shared" si="300"/>
        <v>1</v>
      </c>
      <c r="AA558" s="4">
        <f t="shared" si="301"/>
        <v>150000</v>
      </c>
      <c r="AB558" s="4">
        <f t="shared" si="302"/>
        <v>55000</v>
      </c>
      <c r="AC558" s="4" t="s">
        <v>7</v>
      </c>
      <c r="AD558" s="16">
        <f>IFERROR(VLOOKUP(AC558,'Kode Diskon'!$C$2:$D$9,2,0),0)</f>
        <v>0.2</v>
      </c>
      <c r="AE558" s="31">
        <f t="shared" si="303"/>
        <v>30000</v>
      </c>
      <c r="AF558" s="31">
        <f t="shared" si="304"/>
        <v>120000</v>
      </c>
      <c r="AG558" s="31">
        <f t="shared" si="305"/>
        <v>95000</v>
      </c>
      <c r="AH558" s="31">
        <f t="shared" si="306"/>
        <v>65000</v>
      </c>
      <c r="AI558" s="4" t="s">
        <v>8</v>
      </c>
      <c r="AJ558" s="4" t="s">
        <v>6</v>
      </c>
      <c r="AK558" s="4" t="str">
        <f>IFERROR(VLOOKUP(AJ558,'Guide '!$A$13:$B$16,2,0),"-")</f>
        <v>SP</v>
      </c>
      <c r="AL558" s="4" t="s">
        <v>924</v>
      </c>
      <c r="AM558" s="40">
        <v>45495</v>
      </c>
      <c r="AN558">
        <f t="shared" si="307"/>
        <v>29</v>
      </c>
      <c r="AO558">
        <f t="shared" si="308"/>
        <v>32</v>
      </c>
      <c r="AP558">
        <f t="shared" si="309"/>
        <v>40</v>
      </c>
      <c r="AQ558">
        <f t="shared" si="310"/>
        <v>43</v>
      </c>
      <c r="AR558" s="26" t="str">
        <f t="shared" si="311"/>
        <v>-</v>
      </c>
      <c r="AS558" s="26" t="str">
        <f t="shared" si="312"/>
        <v>-</v>
      </c>
      <c r="AT558" s="21">
        <f t="shared" si="313"/>
        <v>12</v>
      </c>
      <c r="AU558" s="21">
        <f t="shared" si="314"/>
        <v>19</v>
      </c>
      <c r="AV558" t="str">
        <f t="shared" si="315"/>
        <v>-</v>
      </c>
      <c r="AW558" t="str">
        <f t="shared" si="316"/>
        <v>-</v>
      </c>
      <c r="AX558" t="str">
        <f t="shared" si="317"/>
        <v>-</v>
      </c>
      <c r="AY558" t="str">
        <f t="shared" si="318"/>
        <v>-</v>
      </c>
      <c r="AZ558" t="str">
        <f t="shared" si="319"/>
        <v>-</v>
      </c>
      <c r="BA558" t="str">
        <f t="shared" si="320"/>
        <v>-</v>
      </c>
      <c r="BB558" t="str">
        <f t="shared" si="321"/>
        <v>-</v>
      </c>
      <c r="BC558" t="str">
        <f t="shared" si="322"/>
        <v>-</v>
      </c>
      <c r="BD558" s="29" t="str">
        <f t="shared" si="323"/>
        <v>-</v>
      </c>
      <c r="BE558" s="29" t="str">
        <f t="shared" si="324"/>
        <v>-</v>
      </c>
    </row>
    <row r="559" spans="1:57" ht="15" x14ac:dyDescent="0.2">
      <c r="A559" s="2">
        <v>286</v>
      </c>
      <c r="B559" s="2" t="str">
        <f t="shared" si="289"/>
        <v>0286</v>
      </c>
      <c r="C559" t="str">
        <f t="shared" si="290"/>
        <v>ORD-SP-0286-22/07/24</v>
      </c>
      <c r="D559" s="3" t="s">
        <v>342</v>
      </c>
      <c r="E559" t="str">
        <f t="shared" si="291"/>
        <v>PW001</v>
      </c>
      <c r="F559" t="str">
        <f>INDEX(Katalog!$B$4:$B$13,MATCH('Main Data'!E559,Katalog!$C$4:$C$13,0))</f>
        <v>Dress</v>
      </c>
      <c r="G559" t="str">
        <f>VLOOKUP(E559,Katalog!$A$15:$B$25,2,0)</f>
        <v>Pakaian Wanita</v>
      </c>
      <c r="H559" t="str">
        <f t="shared" si="292"/>
        <v>2</v>
      </c>
      <c r="I559" t="str">
        <f t="shared" si="293"/>
        <v>4</v>
      </c>
      <c r="J559" s="18">
        <f>VLOOKUP(E559,Katalog!$C$3:$F$13,2,0)</f>
        <v>150000</v>
      </c>
      <c r="K559" s="18">
        <f>VLOOKUP(E559,Katalog!$C$3:$F$13,3,0)</f>
        <v>55000</v>
      </c>
      <c r="L559" t="str">
        <f t="shared" si="294"/>
        <v>-</v>
      </c>
      <c r="M559" t="str">
        <f>IFERROR(INDEX(Katalog!$B$4:$B$13,MATCH('Main Data'!L559,Katalog!$C$4:$C$13,0)), "-")</f>
        <v>-</v>
      </c>
      <c r="N559" t="str">
        <f>IFERROR(VLOOKUP(L559,Katalog!$A$15:$B$25,2,0),"-")</f>
        <v>-</v>
      </c>
      <c r="O559">
        <f t="shared" si="295"/>
        <v>0</v>
      </c>
      <c r="P559" t="str">
        <f t="shared" si="296"/>
        <v>-</v>
      </c>
      <c r="Q559" s="18">
        <f>IFERROR(VLOOKUP(L559,Katalog!$C$3:$F$13,2,0),0)</f>
        <v>0</v>
      </c>
      <c r="R559" s="18">
        <f>IFERROR(VLOOKUP(L559,Katalog!$C$3:$F$13,3,0),0)</f>
        <v>0</v>
      </c>
      <c r="S559" t="str">
        <f t="shared" si="297"/>
        <v>-</v>
      </c>
      <c r="T559" t="str">
        <f>IFERROR(INDEX(Katalog!$B$4:$B$13,MATCH('Main Data'!S559,Katalog!$C$4:$C$13,0)),"-")</f>
        <v>-</v>
      </c>
      <c r="U559" t="str">
        <f>IFERROR(VLOOKUP(S559,Katalog!$A$15:$B$25,2,0),"-")</f>
        <v>-</v>
      </c>
      <c r="V559">
        <f t="shared" si="298"/>
        <v>0</v>
      </c>
      <c r="W559" s="28" t="str">
        <f t="shared" si="299"/>
        <v>-</v>
      </c>
      <c r="X559" s="18">
        <f>IFERROR(VLOOKUP(S559,Katalog!$C$3:$F$13,2,0),0)</f>
        <v>0</v>
      </c>
      <c r="Y559" s="30">
        <f>IFERROR(VLOOKUP(S559,Katalog!$C$3:$F$13,3,0),0)</f>
        <v>0</v>
      </c>
      <c r="Z559" s="2">
        <f t="shared" si="300"/>
        <v>2</v>
      </c>
      <c r="AA559" s="4">
        <f t="shared" si="301"/>
        <v>300000</v>
      </c>
      <c r="AB559" s="4">
        <f t="shared" si="302"/>
        <v>110000</v>
      </c>
      <c r="AC559" s="4" t="s">
        <v>12</v>
      </c>
      <c r="AD559" s="16">
        <f>IFERROR(VLOOKUP(AC559,'Kode Diskon'!$C$2:$D$9,2,0),0)</f>
        <v>0.15</v>
      </c>
      <c r="AE559" s="31">
        <f t="shared" si="303"/>
        <v>45000</v>
      </c>
      <c r="AF559" s="31">
        <f t="shared" si="304"/>
        <v>255000</v>
      </c>
      <c r="AG559" s="31">
        <f t="shared" si="305"/>
        <v>190000</v>
      </c>
      <c r="AH559" s="31">
        <f t="shared" si="306"/>
        <v>145000</v>
      </c>
      <c r="AI559" s="4" t="s">
        <v>28</v>
      </c>
      <c r="AJ559" s="4" t="s">
        <v>6</v>
      </c>
      <c r="AK559" s="4" t="str">
        <f>IFERROR(VLOOKUP(AJ559,'Guide '!$A$13:$B$16,2,0),"-")</f>
        <v>SP</v>
      </c>
      <c r="AL559" s="4" t="s">
        <v>924</v>
      </c>
      <c r="AM559" s="40">
        <v>45495</v>
      </c>
      <c r="AN559">
        <f t="shared" si="307"/>
        <v>29</v>
      </c>
      <c r="AO559">
        <f t="shared" si="308"/>
        <v>32</v>
      </c>
      <c r="AP559">
        <f t="shared" si="309"/>
        <v>40</v>
      </c>
      <c r="AQ559">
        <f t="shared" si="310"/>
        <v>43</v>
      </c>
      <c r="AR559" s="26" t="str">
        <f t="shared" si="311"/>
        <v>-</v>
      </c>
      <c r="AS559" s="26" t="str">
        <f t="shared" si="312"/>
        <v>-</v>
      </c>
      <c r="AT559" s="21">
        <f t="shared" si="313"/>
        <v>12</v>
      </c>
      <c r="AU559" s="21">
        <f t="shared" si="314"/>
        <v>19</v>
      </c>
      <c r="AV559" t="str">
        <f t="shared" si="315"/>
        <v>-</v>
      </c>
      <c r="AW559" t="str">
        <f t="shared" si="316"/>
        <v>-</v>
      </c>
      <c r="AX559" t="str">
        <f t="shared" si="317"/>
        <v>-</v>
      </c>
      <c r="AY559" t="str">
        <f t="shared" si="318"/>
        <v>-</v>
      </c>
      <c r="AZ559" t="str">
        <f t="shared" si="319"/>
        <v>-</v>
      </c>
      <c r="BA559" t="str">
        <f t="shared" si="320"/>
        <v>-</v>
      </c>
      <c r="BB559" t="str">
        <f t="shared" si="321"/>
        <v>-</v>
      </c>
      <c r="BC559" t="str">
        <f t="shared" si="322"/>
        <v>-</v>
      </c>
      <c r="BD559" s="29" t="str">
        <f t="shared" si="323"/>
        <v>-</v>
      </c>
      <c r="BE559" s="29" t="str">
        <f t="shared" si="324"/>
        <v>-</v>
      </c>
    </row>
    <row r="560" spans="1:57" ht="15" x14ac:dyDescent="0.2">
      <c r="A560" s="2">
        <v>927</v>
      </c>
      <c r="B560" s="2" t="str">
        <f t="shared" si="289"/>
        <v>0927</v>
      </c>
      <c r="C560" t="str">
        <f t="shared" si="290"/>
        <v>ORD-BB-0927-22/07/24</v>
      </c>
      <c r="D560" s="3" t="s">
        <v>860</v>
      </c>
      <c r="E560" t="str">
        <f t="shared" si="291"/>
        <v>SW001</v>
      </c>
      <c r="F560" t="str">
        <f>INDEX(Katalog!$B$4:$B$13,MATCH('Main Data'!E560,Katalog!$C$4:$C$13,0))</f>
        <v>Flat Shoes</v>
      </c>
      <c r="G560" t="str">
        <f>VLOOKUP(E560,Katalog!$A$15:$B$25,2,0)</f>
        <v>Sepatu Wanita</v>
      </c>
      <c r="H560" t="str">
        <f t="shared" si="292"/>
        <v>6</v>
      </c>
      <c r="I560" t="str">
        <f t="shared" si="293"/>
        <v>1</v>
      </c>
      <c r="J560" s="18">
        <f>VLOOKUP(E560,Katalog!$C$3:$F$13,2,0)</f>
        <v>150000</v>
      </c>
      <c r="K560" s="18">
        <f>VLOOKUP(E560,Katalog!$C$3:$F$13,3,0)</f>
        <v>70000</v>
      </c>
      <c r="L560" t="str">
        <f t="shared" si="294"/>
        <v>PW002</v>
      </c>
      <c r="M560" t="str">
        <f>IFERROR(INDEX(Katalog!$B$4:$B$13,MATCH('Main Data'!L560,Katalog!$C$4:$C$13,0)), "-")</f>
        <v>Blouse</v>
      </c>
      <c r="N560" t="str">
        <f>IFERROR(VLOOKUP(L560,Katalog!$A$15:$B$25,2,0),"-")</f>
        <v>Pakaian Wanita</v>
      </c>
      <c r="O560" t="str">
        <f t="shared" si="295"/>
        <v>1</v>
      </c>
      <c r="P560" t="str">
        <f t="shared" si="296"/>
        <v>2</v>
      </c>
      <c r="Q560" s="18">
        <f>IFERROR(VLOOKUP(L560,Katalog!$C$3:$F$13,2,0),0)</f>
        <v>125000</v>
      </c>
      <c r="R560" s="18">
        <f>IFERROR(VLOOKUP(L560,Katalog!$C$3:$F$13,3,0),0)</f>
        <v>50000</v>
      </c>
      <c r="S560" t="str">
        <f t="shared" si="297"/>
        <v>-</v>
      </c>
      <c r="T560" t="str">
        <f>IFERROR(INDEX(Katalog!$B$4:$B$13,MATCH('Main Data'!S560,Katalog!$C$4:$C$13,0)),"-")</f>
        <v>-</v>
      </c>
      <c r="U560" t="str">
        <f>IFERROR(VLOOKUP(S560,Katalog!$A$15:$B$25,2,0),"-")</f>
        <v>-</v>
      </c>
      <c r="V560">
        <f t="shared" si="298"/>
        <v>0</v>
      </c>
      <c r="W560" s="28" t="str">
        <f t="shared" si="299"/>
        <v>-</v>
      </c>
      <c r="X560" s="18">
        <f>IFERROR(VLOOKUP(S560,Katalog!$C$3:$F$13,2,0),0)</f>
        <v>0</v>
      </c>
      <c r="Y560" s="30">
        <f>IFERROR(VLOOKUP(S560,Katalog!$C$3:$F$13,3,0),0)</f>
        <v>0</v>
      </c>
      <c r="Z560" s="2">
        <f t="shared" si="300"/>
        <v>7</v>
      </c>
      <c r="AA560" s="4">
        <f t="shared" si="301"/>
        <v>1025000</v>
      </c>
      <c r="AB560" s="4">
        <f t="shared" si="302"/>
        <v>470000</v>
      </c>
      <c r="AC560" s="4" t="s">
        <v>27</v>
      </c>
      <c r="AD560" s="16">
        <f>IFERROR(VLOOKUP(AC560,'Kode Diskon'!$C$2:$D$9,2,0),0)</f>
        <v>0.15</v>
      </c>
      <c r="AE560" s="31">
        <f t="shared" si="303"/>
        <v>153750</v>
      </c>
      <c r="AF560" s="31">
        <f t="shared" si="304"/>
        <v>871250</v>
      </c>
      <c r="AG560" s="31">
        <f t="shared" si="305"/>
        <v>555000</v>
      </c>
      <c r="AH560" s="31">
        <f t="shared" si="306"/>
        <v>401250</v>
      </c>
      <c r="AI560" s="4" t="s">
        <v>28</v>
      </c>
      <c r="AJ560" s="4" t="s">
        <v>13</v>
      </c>
      <c r="AK560" s="4" t="str">
        <f>IFERROR(VLOOKUP(AJ560,'Guide '!$A$13:$B$16,2,0),"-")</f>
        <v>BB</v>
      </c>
      <c r="AL560" s="4" t="s">
        <v>922</v>
      </c>
      <c r="AM560" s="40">
        <v>45495</v>
      </c>
      <c r="AN560">
        <f t="shared" si="307"/>
        <v>29</v>
      </c>
      <c r="AO560">
        <f t="shared" si="308"/>
        <v>32</v>
      </c>
      <c r="AP560">
        <f t="shared" si="309"/>
        <v>40</v>
      </c>
      <c r="AQ560">
        <f t="shared" si="310"/>
        <v>43</v>
      </c>
      <c r="AR560" s="26">
        <f t="shared" si="311"/>
        <v>56</v>
      </c>
      <c r="AS560" s="26">
        <f t="shared" si="312"/>
        <v>63</v>
      </c>
      <c r="AT560" s="21">
        <f t="shared" si="313"/>
        <v>12</v>
      </c>
      <c r="AU560" s="21">
        <f t="shared" si="314"/>
        <v>19</v>
      </c>
      <c r="AV560">
        <f t="shared" si="315"/>
        <v>73</v>
      </c>
      <c r="AW560">
        <f t="shared" si="316"/>
        <v>76</v>
      </c>
      <c r="AX560">
        <f t="shared" si="317"/>
        <v>84</v>
      </c>
      <c r="AY560">
        <f t="shared" si="318"/>
        <v>87</v>
      </c>
      <c r="AZ560" t="str">
        <f t="shared" si="319"/>
        <v>-</v>
      </c>
      <c r="BA560" t="str">
        <f t="shared" si="320"/>
        <v>-</v>
      </c>
      <c r="BB560" t="str">
        <f t="shared" si="321"/>
        <v>-</v>
      </c>
      <c r="BC560" t="str">
        <f t="shared" si="322"/>
        <v>-</v>
      </c>
      <c r="BD560" s="29" t="str">
        <f t="shared" si="323"/>
        <v>-</v>
      </c>
      <c r="BE560" s="29" t="str">
        <f t="shared" si="324"/>
        <v>-</v>
      </c>
    </row>
    <row r="561" spans="1:57" ht="15" x14ac:dyDescent="0.2">
      <c r="A561" s="2">
        <v>296</v>
      </c>
      <c r="B561" s="2" t="str">
        <f t="shared" si="289"/>
        <v>0296</v>
      </c>
      <c r="C561" t="str">
        <f t="shared" si="290"/>
        <v>ORD-BB-0296-23/07/24</v>
      </c>
      <c r="D561" s="3" t="s">
        <v>352</v>
      </c>
      <c r="E561" t="str">
        <f t="shared" si="291"/>
        <v>PP002</v>
      </c>
      <c r="F561" t="str">
        <f>INDEX(Katalog!$B$4:$B$13,MATCH('Main Data'!E561,Katalog!$C$4:$C$13,0))</f>
        <v>Celana Pendek</v>
      </c>
      <c r="G561" t="str">
        <f>VLOOKUP(E561,Katalog!$A$15:$B$25,2,0)</f>
        <v>Pakaian Pria</v>
      </c>
      <c r="H561" t="str">
        <f t="shared" si="292"/>
        <v>3</v>
      </c>
      <c r="I561" t="str">
        <f t="shared" si="293"/>
        <v>5</v>
      </c>
      <c r="J561" s="18">
        <f>VLOOKUP(E561,Katalog!$C$3:$F$13,2,0)</f>
        <v>60000</v>
      </c>
      <c r="K561" s="18">
        <f>VLOOKUP(E561,Katalog!$C$3:$F$13,3,0)</f>
        <v>25000</v>
      </c>
      <c r="L561" t="str">
        <f t="shared" si="294"/>
        <v>PP001</v>
      </c>
      <c r="M561" t="str">
        <f>IFERROR(INDEX(Katalog!$B$4:$B$13,MATCH('Main Data'!L561,Katalog!$C$4:$C$13,0)), "-")</f>
        <v>Kaos Polo</v>
      </c>
      <c r="N561" t="str">
        <f>IFERROR(VLOOKUP(L561,Katalog!$A$15:$B$25,2,0),"-")</f>
        <v>Pakaian Pria</v>
      </c>
      <c r="O561" t="str">
        <f t="shared" si="295"/>
        <v>1</v>
      </c>
      <c r="P561" t="str">
        <f t="shared" si="296"/>
        <v>3</v>
      </c>
      <c r="Q561" s="18">
        <f>IFERROR(VLOOKUP(L561,Katalog!$C$3:$F$13,2,0),0)</f>
        <v>80000</v>
      </c>
      <c r="R561" s="18">
        <f>IFERROR(VLOOKUP(L561,Katalog!$C$3:$F$13,3,0),0)</f>
        <v>30000</v>
      </c>
      <c r="S561" t="str">
        <f t="shared" si="297"/>
        <v>-</v>
      </c>
      <c r="T561" t="str">
        <f>IFERROR(INDEX(Katalog!$B$4:$B$13,MATCH('Main Data'!S561,Katalog!$C$4:$C$13,0)),"-")</f>
        <v>-</v>
      </c>
      <c r="U561" t="str">
        <f>IFERROR(VLOOKUP(S561,Katalog!$A$15:$B$25,2,0),"-")</f>
        <v>-</v>
      </c>
      <c r="V561">
        <f t="shared" si="298"/>
        <v>0</v>
      </c>
      <c r="W561" s="28" t="str">
        <f t="shared" si="299"/>
        <v>-</v>
      </c>
      <c r="X561" s="18">
        <f>IFERROR(VLOOKUP(S561,Katalog!$C$3:$F$13,2,0),0)</f>
        <v>0</v>
      </c>
      <c r="Y561" s="30">
        <f>IFERROR(VLOOKUP(S561,Katalog!$C$3:$F$13,3,0),0)</f>
        <v>0</v>
      </c>
      <c r="Z561" s="2">
        <f t="shared" si="300"/>
        <v>4</v>
      </c>
      <c r="AA561" s="4">
        <f t="shared" si="301"/>
        <v>260000</v>
      </c>
      <c r="AB561" s="4">
        <f t="shared" si="302"/>
        <v>105000</v>
      </c>
      <c r="AC561" s="4" t="s">
        <v>27</v>
      </c>
      <c r="AD561" s="16">
        <f>IFERROR(VLOOKUP(AC561,'Kode Diskon'!$C$2:$D$9,2,0),0)</f>
        <v>0.15</v>
      </c>
      <c r="AE561" s="31">
        <f t="shared" si="303"/>
        <v>39000</v>
      </c>
      <c r="AF561" s="31">
        <f t="shared" si="304"/>
        <v>221000</v>
      </c>
      <c r="AG561" s="31">
        <f t="shared" si="305"/>
        <v>155000</v>
      </c>
      <c r="AH561" s="31">
        <f t="shared" si="306"/>
        <v>116000</v>
      </c>
      <c r="AI561" s="4" t="s">
        <v>28</v>
      </c>
      <c r="AJ561" s="4" t="s">
        <v>13</v>
      </c>
      <c r="AK561" s="4" t="str">
        <f>IFERROR(VLOOKUP(AJ561,'Guide '!$A$13:$B$16,2,0),"-")</f>
        <v>BB</v>
      </c>
      <c r="AL561" s="4" t="s">
        <v>925</v>
      </c>
      <c r="AM561" s="40">
        <v>45496</v>
      </c>
      <c r="AN561">
        <f t="shared" si="307"/>
        <v>29</v>
      </c>
      <c r="AO561">
        <f t="shared" si="308"/>
        <v>32</v>
      </c>
      <c r="AP561">
        <f t="shared" si="309"/>
        <v>40</v>
      </c>
      <c r="AQ561">
        <f t="shared" si="310"/>
        <v>43</v>
      </c>
      <c r="AR561" s="26">
        <f t="shared" si="311"/>
        <v>56</v>
      </c>
      <c r="AS561" s="26">
        <f t="shared" si="312"/>
        <v>63</v>
      </c>
      <c r="AT561" s="21">
        <f t="shared" si="313"/>
        <v>12</v>
      </c>
      <c r="AU561" s="21">
        <f t="shared" si="314"/>
        <v>19</v>
      </c>
      <c r="AV561">
        <f t="shared" si="315"/>
        <v>73</v>
      </c>
      <c r="AW561">
        <f t="shared" si="316"/>
        <v>76</v>
      </c>
      <c r="AX561">
        <f t="shared" si="317"/>
        <v>84</v>
      </c>
      <c r="AY561">
        <f t="shared" si="318"/>
        <v>87</v>
      </c>
      <c r="AZ561" t="str">
        <f t="shared" si="319"/>
        <v>-</v>
      </c>
      <c r="BA561" t="str">
        <f t="shared" si="320"/>
        <v>-</v>
      </c>
      <c r="BB561" t="str">
        <f t="shared" si="321"/>
        <v>-</v>
      </c>
      <c r="BC561" t="str">
        <f t="shared" si="322"/>
        <v>-</v>
      </c>
      <c r="BD561" s="29" t="str">
        <f t="shared" si="323"/>
        <v>-</v>
      </c>
      <c r="BE561" s="29" t="str">
        <f t="shared" si="324"/>
        <v>-</v>
      </c>
    </row>
    <row r="562" spans="1:57" ht="15" x14ac:dyDescent="0.2">
      <c r="A562" s="2">
        <v>463</v>
      </c>
      <c r="B562" s="2" t="str">
        <f t="shared" si="289"/>
        <v>0463</v>
      </c>
      <c r="C562" t="str">
        <f t="shared" si="290"/>
        <v>ORD-TK-0463-23/07/24</v>
      </c>
      <c r="D562" s="3" t="s">
        <v>501</v>
      </c>
      <c r="E562" t="str">
        <f t="shared" si="291"/>
        <v>SW001</v>
      </c>
      <c r="F562" t="str">
        <f>INDEX(Katalog!$B$4:$B$13,MATCH('Main Data'!E562,Katalog!$C$4:$C$13,0))</f>
        <v>Flat Shoes</v>
      </c>
      <c r="G562" t="str">
        <f>VLOOKUP(E562,Katalog!$A$15:$B$25,2,0)</f>
        <v>Sepatu Wanita</v>
      </c>
      <c r="H562" t="str">
        <f t="shared" si="292"/>
        <v>4</v>
      </c>
      <c r="I562" t="str">
        <f t="shared" si="293"/>
        <v>2</v>
      </c>
      <c r="J562" s="18">
        <f>VLOOKUP(E562,Katalog!$C$3:$F$13,2,0)</f>
        <v>150000</v>
      </c>
      <c r="K562" s="18">
        <f>VLOOKUP(E562,Katalog!$C$3:$F$13,3,0)</f>
        <v>70000</v>
      </c>
      <c r="L562" t="str">
        <f t="shared" si="294"/>
        <v>PW003</v>
      </c>
      <c r="M562" t="str">
        <f>IFERROR(INDEX(Katalog!$B$4:$B$13,MATCH('Main Data'!L562,Katalog!$C$4:$C$13,0)), "-")</f>
        <v>Kaftan</v>
      </c>
      <c r="N562" t="str">
        <f>IFERROR(VLOOKUP(L562,Katalog!$A$15:$B$25,2,0),"-")</f>
        <v>Pakaian Wanita</v>
      </c>
      <c r="O562" t="str">
        <f t="shared" si="295"/>
        <v>3</v>
      </c>
      <c r="P562" t="str">
        <f t="shared" si="296"/>
        <v>1</v>
      </c>
      <c r="Q562" s="18">
        <f>IFERROR(VLOOKUP(L562,Katalog!$C$3:$F$13,2,0),0)</f>
        <v>200000</v>
      </c>
      <c r="R562" s="18">
        <f>IFERROR(VLOOKUP(L562,Katalog!$C$3:$F$13,3,0),0)</f>
        <v>100000</v>
      </c>
      <c r="S562" t="str">
        <f t="shared" si="297"/>
        <v>-</v>
      </c>
      <c r="T562" t="str">
        <f>IFERROR(INDEX(Katalog!$B$4:$B$13,MATCH('Main Data'!S562,Katalog!$C$4:$C$13,0)),"-")</f>
        <v>-</v>
      </c>
      <c r="U562" t="str">
        <f>IFERROR(VLOOKUP(S562,Katalog!$A$15:$B$25,2,0),"-")</f>
        <v>-</v>
      </c>
      <c r="V562">
        <f t="shared" si="298"/>
        <v>0</v>
      </c>
      <c r="W562" s="28" t="str">
        <f t="shared" si="299"/>
        <v>-</v>
      </c>
      <c r="X562" s="18">
        <f>IFERROR(VLOOKUP(S562,Katalog!$C$3:$F$13,2,0),0)</f>
        <v>0</v>
      </c>
      <c r="Y562" s="30">
        <f>IFERROR(VLOOKUP(S562,Katalog!$C$3:$F$13,3,0),0)</f>
        <v>0</v>
      </c>
      <c r="Z562" s="2">
        <f t="shared" si="300"/>
        <v>7</v>
      </c>
      <c r="AA562" s="4">
        <f t="shared" si="301"/>
        <v>1200000</v>
      </c>
      <c r="AB562" s="4">
        <f t="shared" si="302"/>
        <v>580000</v>
      </c>
      <c r="AC562" s="4" t="s">
        <v>30</v>
      </c>
      <c r="AD562" s="16">
        <f>IFERROR(VLOOKUP(AC562,'Kode Diskon'!$C$2:$D$9,2,0),0)</f>
        <v>0.1</v>
      </c>
      <c r="AE562" s="31">
        <f t="shared" si="303"/>
        <v>120000</v>
      </c>
      <c r="AF562" s="31">
        <f t="shared" si="304"/>
        <v>1080000</v>
      </c>
      <c r="AG562" s="31">
        <f t="shared" si="305"/>
        <v>620000</v>
      </c>
      <c r="AH562" s="31">
        <f t="shared" si="306"/>
        <v>500000</v>
      </c>
      <c r="AI562" s="4" t="s">
        <v>8</v>
      </c>
      <c r="AJ562" s="4" t="s">
        <v>9</v>
      </c>
      <c r="AK562" s="4" t="str">
        <f>IFERROR(VLOOKUP(AJ562,'Guide '!$A$13:$B$16,2,0),"-")</f>
        <v>TK</v>
      </c>
      <c r="AL562" s="4" t="s">
        <v>925</v>
      </c>
      <c r="AM562" s="40">
        <v>45496</v>
      </c>
      <c r="AN562">
        <f t="shared" si="307"/>
        <v>29</v>
      </c>
      <c r="AO562">
        <f t="shared" si="308"/>
        <v>32</v>
      </c>
      <c r="AP562">
        <f t="shared" si="309"/>
        <v>40</v>
      </c>
      <c r="AQ562">
        <f t="shared" si="310"/>
        <v>43</v>
      </c>
      <c r="AR562" s="26">
        <f t="shared" si="311"/>
        <v>56</v>
      </c>
      <c r="AS562" s="26">
        <f t="shared" si="312"/>
        <v>63</v>
      </c>
      <c r="AT562" s="21">
        <f t="shared" si="313"/>
        <v>12</v>
      </c>
      <c r="AU562" s="21">
        <f t="shared" si="314"/>
        <v>19</v>
      </c>
      <c r="AV562">
        <f t="shared" si="315"/>
        <v>73</v>
      </c>
      <c r="AW562">
        <f t="shared" si="316"/>
        <v>76</v>
      </c>
      <c r="AX562">
        <f t="shared" si="317"/>
        <v>84</v>
      </c>
      <c r="AY562">
        <f t="shared" si="318"/>
        <v>87</v>
      </c>
      <c r="AZ562" t="str">
        <f t="shared" si="319"/>
        <v>-</v>
      </c>
      <c r="BA562" t="str">
        <f t="shared" si="320"/>
        <v>-</v>
      </c>
      <c r="BB562" t="str">
        <f t="shared" si="321"/>
        <v>-</v>
      </c>
      <c r="BC562" t="str">
        <f t="shared" si="322"/>
        <v>-</v>
      </c>
      <c r="BD562" s="29" t="str">
        <f t="shared" si="323"/>
        <v>-</v>
      </c>
      <c r="BE562" s="29" t="str">
        <f t="shared" si="324"/>
        <v>-</v>
      </c>
    </row>
    <row r="563" spans="1:57" ht="15" x14ac:dyDescent="0.2">
      <c r="A563" s="2">
        <v>473</v>
      </c>
      <c r="B563" s="2" t="str">
        <f t="shared" si="289"/>
        <v>0473</v>
      </c>
      <c r="C563" t="str">
        <f t="shared" si="290"/>
        <v>ORD-SP-0473-23/07/24</v>
      </c>
      <c r="D563" s="3" t="s">
        <v>509</v>
      </c>
      <c r="E563" t="str">
        <f t="shared" si="291"/>
        <v>PW001</v>
      </c>
      <c r="F563" t="str">
        <f>INDEX(Katalog!$B$4:$B$13,MATCH('Main Data'!E563,Katalog!$C$4:$C$13,0))</f>
        <v>Dress</v>
      </c>
      <c r="G563" t="str">
        <f>VLOOKUP(E563,Katalog!$A$15:$B$25,2,0)</f>
        <v>Pakaian Wanita</v>
      </c>
      <c r="H563" t="str">
        <f t="shared" si="292"/>
        <v>2</v>
      </c>
      <c r="I563" t="str">
        <f t="shared" si="293"/>
        <v>3</v>
      </c>
      <c r="J563" s="18">
        <f>VLOOKUP(E563,Katalog!$C$3:$F$13,2,0)</f>
        <v>150000</v>
      </c>
      <c r="K563" s="18">
        <f>VLOOKUP(E563,Katalog!$C$3:$F$13,3,0)</f>
        <v>55000</v>
      </c>
      <c r="L563" t="str">
        <f t="shared" si="294"/>
        <v>-</v>
      </c>
      <c r="M563" t="str">
        <f>IFERROR(INDEX(Katalog!$B$4:$B$13,MATCH('Main Data'!L563,Katalog!$C$4:$C$13,0)), "-")</f>
        <v>-</v>
      </c>
      <c r="N563" t="str">
        <f>IFERROR(VLOOKUP(L563,Katalog!$A$15:$B$25,2,0),"-")</f>
        <v>-</v>
      </c>
      <c r="O563">
        <f t="shared" si="295"/>
        <v>0</v>
      </c>
      <c r="P563" t="str">
        <f t="shared" si="296"/>
        <v>-</v>
      </c>
      <c r="Q563" s="18">
        <f>IFERROR(VLOOKUP(L563,Katalog!$C$3:$F$13,2,0),0)</f>
        <v>0</v>
      </c>
      <c r="R563" s="18">
        <f>IFERROR(VLOOKUP(L563,Katalog!$C$3:$F$13,3,0),0)</f>
        <v>0</v>
      </c>
      <c r="S563" t="str">
        <f t="shared" si="297"/>
        <v>-</v>
      </c>
      <c r="T563" t="str">
        <f>IFERROR(INDEX(Katalog!$B$4:$B$13,MATCH('Main Data'!S563,Katalog!$C$4:$C$13,0)),"-")</f>
        <v>-</v>
      </c>
      <c r="U563" t="str">
        <f>IFERROR(VLOOKUP(S563,Katalog!$A$15:$B$25,2,0),"-")</f>
        <v>-</v>
      </c>
      <c r="V563">
        <f t="shared" si="298"/>
        <v>0</v>
      </c>
      <c r="W563" s="28" t="str">
        <f t="shared" si="299"/>
        <v>-</v>
      </c>
      <c r="X563" s="18">
        <f>IFERROR(VLOOKUP(S563,Katalog!$C$3:$F$13,2,0),0)</f>
        <v>0</v>
      </c>
      <c r="Y563" s="30">
        <f>IFERROR(VLOOKUP(S563,Katalog!$C$3:$F$13,3,0),0)</f>
        <v>0</v>
      </c>
      <c r="Z563" s="2">
        <f t="shared" si="300"/>
        <v>2</v>
      </c>
      <c r="AA563" s="4">
        <f t="shared" si="301"/>
        <v>300000</v>
      </c>
      <c r="AB563" s="4">
        <f t="shared" si="302"/>
        <v>110000</v>
      </c>
      <c r="AC563" s="4" t="s">
        <v>7</v>
      </c>
      <c r="AD563" s="16">
        <f>IFERROR(VLOOKUP(AC563,'Kode Diskon'!$C$2:$D$9,2,0),0)</f>
        <v>0.2</v>
      </c>
      <c r="AE563" s="31">
        <f t="shared" si="303"/>
        <v>60000</v>
      </c>
      <c r="AF563" s="31">
        <f t="shared" si="304"/>
        <v>240000</v>
      </c>
      <c r="AG563" s="31">
        <f t="shared" si="305"/>
        <v>190000</v>
      </c>
      <c r="AH563" s="31">
        <f t="shared" si="306"/>
        <v>130000</v>
      </c>
      <c r="AI563" s="4" t="s">
        <v>8</v>
      </c>
      <c r="AJ563" s="4" t="s">
        <v>6</v>
      </c>
      <c r="AK563" s="4" t="str">
        <f>IFERROR(VLOOKUP(AJ563,'Guide '!$A$13:$B$16,2,0),"-")</f>
        <v>SP</v>
      </c>
      <c r="AL563" s="4" t="s">
        <v>925</v>
      </c>
      <c r="AM563" s="40">
        <v>45496</v>
      </c>
      <c r="AN563">
        <f t="shared" si="307"/>
        <v>29</v>
      </c>
      <c r="AO563">
        <f t="shared" si="308"/>
        <v>32</v>
      </c>
      <c r="AP563">
        <f t="shared" si="309"/>
        <v>40</v>
      </c>
      <c r="AQ563">
        <f t="shared" si="310"/>
        <v>43</v>
      </c>
      <c r="AR563" s="26" t="str">
        <f t="shared" si="311"/>
        <v>-</v>
      </c>
      <c r="AS563" s="26" t="str">
        <f t="shared" si="312"/>
        <v>-</v>
      </c>
      <c r="AT563" s="21">
        <f t="shared" si="313"/>
        <v>12</v>
      </c>
      <c r="AU563" s="21">
        <f t="shared" si="314"/>
        <v>19</v>
      </c>
      <c r="AV563" t="str">
        <f t="shared" si="315"/>
        <v>-</v>
      </c>
      <c r="AW563" t="str">
        <f t="shared" si="316"/>
        <v>-</v>
      </c>
      <c r="AX563" t="str">
        <f t="shared" si="317"/>
        <v>-</v>
      </c>
      <c r="AY563" t="str">
        <f t="shared" si="318"/>
        <v>-</v>
      </c>
      <c r="AZ563" t="str">
        <f t="shared" si="319"/>
        <v>-</v>
      </c>
      <c r="BA563" t="str">
        <f t="shared" si="320"/>
        <v>-</v>
      </c>
      <c r="BB563" t="str">
        <f t="shared" si="321"/>
        <v>-</v>
      </c>
      <c r="BC563" t="str">
        <f t="shared" si="322"/>
        <v>-</v>
      </c>
      <c r="BD563" s="29" t="str">
        <f t="shared" si="323"/>
        <v>-</v>
      </c>
      <c r="BE563" s="29" t="str">
        <f t="shared" si="324"/>
        <v>-</v>
      </c>
    </row>
    <row r="564" spans="1:57" ht="15" x14ac:dyDescent="0.2">
      <c r="A564" s="2">
        <v>618</v>
      </c>
      <c r="B564" s="2" t="str">
        <f t="shared" si="289"/>
        <v>0618</v>
      </c>
      <c r="C564" t="str">
        <f t="shared" si="290"/>
        <v>ORD-BL-0618-23/07/24</v>
      </c>
      <c r="D564" s="3" t="s">
        <v>627</v>
      </c>
      <c r="E564" t="str">
        <f t="shared" si="291"/>
        <v>SP002</v>
      </c>
      <c r="F564" t="str">
        <f>INDEX(Katalog!$B$4:$B$13,MATCH('Main Data'!E564,Katalog!$C$4:$C$13,0))</f>
        <v>Sandal Slip On</v>
      </c>
      <c r="G564" t="str">
        <f>VLOOKUP(E564,Katalog!$A$15:$B$25,2,0)</f>
        <v>Sepatu Pria</v>
      </c>
      <c r="H564" t="str">
        <f t="shared" si="292"/>
        <v>1</v>
      </c>
      <c r="I564" t="str">
        <f t="shared" si="293"/>
        <v>5</v>
      </c>
      <c r="J564" s="18">
        <f>VLOOKUP(E564,Katalog!$C$3:$F$13,2,0)</f>
        <v>120000</v>
      </c>
      <c r="K564" s="18">
        <f>VLOOKUP(E564,Katalog!$C$3:$F$13,3,0)</f>
        <v>60000</v>
      </c>
      <c r="L564" t="str">
        <f t="shared" si="294"/>
        <v>PP003</v>
      </c>
      <c r="M564" t="str">
        <f>IFERROR(INDEX(Katalog!$B$4:$B$13,MATCH('Main Data'!L564,Katalog!$C$4:$C$13,0)), "-")</f>
        <v>Jaket Jeans</v>
      </c>
      <c r="N564" t="str">
        <f>IFERROR(VLOOKUP(L564,Katalog!$A$15:$B$25,2,0),"-")</f>
        <v>Pakaian Pria</v>
      </c>
      <c r="O564" t="str">
        <f t="shared" si="295"/>
        <v>1</v>
      </c>
      <c r="P564" t="str">
        <f t="shared" si="296"/>
        <v>2</v>
      </c>
      <c r="Q564" s="18">
        <f>IFERROR(VLOOKUP(L564,Katalog!$C$3:$F$13,2,0),0)</f>
        <v>150000</v>
      </c>
      <c r="R564" s="18">
        <f>IFERROR(VLOOKUP(L564,Katalog!$C$3:$F$13,3,0),0)</f>
        <v>70000</v>
      </c>
      <c r="S564" t="str">
        <f t="shared" si="297"/>
        <v>PW001</v>
      </c>
      <c r="T564" t="str">
        <f>IFERROR(INDEX(Katalog!$B$4:$B$13,MATCH('Main Data'!S564,Katalog!$C$4:$C$13,0)),"-")</f>
        <v>Dress</v>
      </c>
      <c r="U564" t="str">
        <f>IFERROR(VLOOKUP(S564,Katalog!$A$15:$B$25,2,0),"-")</f>
        <v>Pakaian Wanita</v>
      </c>
      <c r="V564" t="str">
        <f t="shared" si="298"/>
        <v>4</v>
      </c>
      <c r="W564" s="28" t="str">
        <f t="shared" si="299"/>
        <v>5</v>
      </c>
      <c r="X564" s="18">
        <f>IFERROR(VLOOKUP(S564,Katalog!$C$3:$F$13,2,0),0)</f>
        <v>150000</v>
      </c>
      <c r="Y564" s="30">
        <f>IFERROR(VLOOKUP(S564,Katalog!$C$3:$F$13,3,0),0)</f>
        <v>55000</v>
      </c>
      <c r="Z564" s="2">
        <f t="shared" si="300"/>
        <v>6</v>
      </c>
      <c r="AA564" s="4">
        <f t="shared" si="301"/>
        <v>870000</v>
      </c>
      <c r="AB564" s="4">
        <f t="shared" si="302"/>
        <v>350000</v>
      </c>
      <c r="AC564" s="4" t="s">
        <v>10</v>
      </c>
      <c r="AD564" s="16">
        <f>IFERROR(VLOOKUP(AC564,'Kode Diskon'!$C$2:$D$9,2,0),0)</f>
        <v>0</v>
      </c>
      <c r="AE564" s="31">
        <f t="shared" si="303"/>
        <v>0</v>
      </c>
      <c r="AF564" s="31">
        <f t="shared" si="304"/>
        <v>870000</v>
      </c>
      <c r="AG564" s="31">
        <f t="shared" si="305"/>
        <v>520000</v>
      </c>
      <c r="AH564" s="31">
        <f t="shared" si="306"/>
        <v>520000</v>
      </c>
      <c r="AI564" s="4" t="s">
        <v>10</v>
      </c>
      <c r="AJ564" s="4" t="s">
        <v>11</v>
      </c>
      <c r="AK564" s="4" t="str">
        <f>IFERROR(VLOOKUP(AJ564,'Guide '!$A$13:$B$16,2,0),"-")</f>
        <v>BL</v>
      </c>
      <c r="AL564" s="4" t="s">
        <v>925</v>
      </c>
      <c r="AM564" s="40">
        <v>45496</v>
      </c>
      <c r="AN564">
        <f t="shared" si="307"/>
        <v>29</v>
      </c>
      <c r="AO564">
        <f t="shared" si="308"/>
        <v>32</v>
      </c>
      <c r="AP564">
        <f t="shared" si="309"/>
        <v>40</v>
      </c>
      <c r="AQ564">
        <f t="shared" si="310"/>
        <v>43</v>
      </c>
      <c r="AR564" s="26">
        <f t="shared" si="311"/>
        <v>56</v>
      </c>
      <c r="AS564" s="26">
        <f t="shared" si="312"/>
        <v>63</v>
      </c>
      <c r="AT564" s="21">
        <f t="shared" si="313"/>
        <v>12</v>
      </c>
      <c r="AU564" s="21">
        <f t="shared" si="314"/>
        <v>19</v>
      </c>
      <c r="AV564">
        <f t="shared" si="315"/>
        <v>73</v>
      </c>
      <c r="AW564">
        <f t="shared" si="316"/>
        <v>76</v>
      </c>
      <c r="AX564">
        <f t="shared" si="317"/>
        <v>84</v>
      </c>
      <c r="AY564">
        <f t="shared" si="318"/>
        <v>87</v>
      </c>
      <c r="AZ564">
        <f t="shared" si="319"/>
        <v>100</v>
      </c>
      <c r="BA564">
        <f t="shared" si="320"/>
        <v>107</v>
      </c>
      <c r="BB564">
        <f t="shared" si="321"/>
        <v>117</v>
      </c>
      <c r="BC564">
        <f t="shared" si="322"/>
        <v>120</v>
      </c>
      <c r="BD564" s="29">
        <f t="shared" si="323"/>
        <v>128</v>
      </c>
      <c r="BE564" s="29">
        <f t="shared" si="324"/>
        <v>131</v>
      </c>
    </row>
    <row r="565" spans="1:57" ht="15" x14ac:dyDescent="0.2">
      <c r="A565" s="2">
        <v>721</v>
      </c>
      <c r="B565" s="2" t="str">
        <f t="shared" si="289"/>
        <v>0721</v>
      </c>
      <c r="C565" t="str">
        <f t="shared" si="290"/>
        <v>ORD-TK-0721-23/07/24</v>
      </c>
      <c r="D565" s="3" t="s">
        <v>322</v>
      </c>
      <c r="E565" t="str">
        <f t="shared" si="291"/>
        <v>SW001</v>
      </c>
      <c r="F565" t="str">
        <f>INDEX(Katalog!$B$4:$B$13,MATCH('Main Data'!E565,Katalog!$C$4:$C$13,0))</f>
        <v>Flat Shoes</v>
      </c>
      <c r="G565" t="str">
        <f>VLOOKUP(E565,Katalog!$A$15:$B$25,2,0)</f>
        <v>Sepatu Wanita</v>
      </c>
      <c r="H565" t="str">
        <f t="shared" si="292"/>
        <v>1</v>
      </c>
      <c r="I565" t="str">
        <f t="shared" si="293"/>
        <v>1</v>
      </c>
      <c r="J565" s="18">
        <f>VLOOKUP(E565,Katalog!$C$3:$F$13,2,0)</f>
        <v>150000</v>
      </c>
      <c r="K565" s="18">
        <f>VLOOKUP(E565,Katalog!$C$3:$F$13,3,0)</f>
        <v>70000</v>
      </c>
      <c r="L565" t="str">
        <f t="shared" si="294"/>
        <v>-</v>
      </c>
      <c r="M565" t="str">
        <f>IFERROR(INDEX(Katalog!$B$4:$B$13,MATCH('Main Data'!L565,Katalog!$C$4:$C$13,0)), "-")</f>
        <v>-</v>
      </c>
      <c r="N565" t="str">
        <f>IFERROR(VLOOKUP(L565,Katalog!$A$15:$B$25,2,0),"-")</f>
        <v>-</v>
      </c>
      <c r="O565">
        <f t="shared" si="295"/>
        <v>0</v>
      </c>
      <c r="P565" t="str">
        <f t="shared" si="296"/>
        <v>-</v>
      </c>
      <c r="Q565" s="18">
        <f>IFERROR(VLOOKUP(L565,Katalog!$C$3:$F$13,2,0),0)</f>
        <v>0</v>
      </c>
      <c r="R565" s="18">
        <f>IFERROR(VLOOKUP(L565,Katalog!$C$3:$F$13,3,0),0)</f>
        <v>0</v>
      </c>
      <c r="S565" t="str">
        <f t="shared" si="297"/>
        <v>-</v>
      </c>
      <c r="T565" t="str">
        <f>IFERROR(INDEX(Katalog!$B$4:$B$13,MATCH('Main Data'!S565,Katalog!$C$4:$C$13,0)),"-")</f>
        <v>-</v>
      </c>
      <c r="U565" t="str">
        <f>IFERROR(VLOOKUP(S565,Katalog!$A$15:$B$25,2,0),"-")</f>
        <v>-</v>
      </c>
      <c r="V565">
        <f t="shared" si="298"/>
        <v>0</v>
      </c>
      <c r="W565" s="28" t="str">
        <f t="shared" si="299"/>
        <v>-</v>
      </c>
      <c r="X565" s="18">
        <f>IFERROR(VLOOKUP(S565,Katalog!$C$3:$F$13,2,0),0)</f>
        <v>0</v>
      </c>
      <c r="Y565" s="30">
        <f>IFERROR(VLOOKUP(S565,Katalog!$C$3:$F$13,3,0),0)</f>
        <v>0</v>
      </c>
      <c r="Z565" s="2">
        <f t="shared" si="300"/>
        <v>1</v>
      </c>
      <c r="AA565" s="4">
        <f t="shared" si="301"/>
        <v>150000</v>
      </c>
      <c r="AB565" s="4">
        <f t="shared" si="302"/>
        <v>70000</v>
      </c>
      <c r="AC565" s="4" t="s">
        <v>29</v>
      </c>
      <c r="AD565" s="16">
        <f>IFERROR(VLOOKUP(AC565,'Kode Diskon'!$C$2:$D$9,2,0),0)</f>
        <v>0.1</v>
      </c>
      <c r="AE565" s="31">
        <f t="shared" si="303"/>
        <v>15000</v>
      </c>
      <c r="AF565" s="31">
        <f t="shared" si="304"/>
        <v>135000</v>
      </c>
      <c r="AG565" s="31">
        <f t="shared" si="305"/>
        <v>80000</v>
      </c>
      <c r="AH565" s="31">
        <f t="shared" si="306"/>
        <v>65000</v>
      </c>
      <c r="AI565" s="4" t="s">
        <v>28</v>
      </c>
      <c r="AJ565" s="4" t="s">
        <v>9</v>
      </c>
      <c r="AK565" s="4" t="str">
        <f>IFERROR(VLOOKUP(AJ565,'Guide '!$A$13:$B$16,2,0),"-")</f>
        <v>TK</v>
      </c>
      <c r="AL565" s="4" t="s">
        <v>925</v>
      </c>
      <c r="AM565" s="40">
        <v>45496</v>
      </c>
      <c r="AN565">
        <f t="shared" si="307"/>
        <v>29</v>
      </c>
      <c r="AO565">
        <f t="shared" si="308"/>
        <v>32</v>
      </c>
      <c r="AP565">
        <f t="shared" si="309"/>
        <v>40</v>
      </c>
      <c r="AQ565">
        <f t="shared" si="310"/>
        <v>43</v>
      </c>
      <c r="AR565" s="26" t="str">
        <f t="shared" si="311"/>
        <v>-</v>
      </c>
      <c r="AS565" s="26" t="str">
        <f t="shared" si="312"/>
        <v>-</v>
      </c>
      <c r="AT565" s="21">
        <f t="shared" si="313"/>
        <v>12</v>
      </c>
      <c r="AU565" s="21">
        <f t="shared" si="314"/>
        <v>19</v>
      </c>
      <c r="AV565" t="str">
        <f t="shared" si="315"/>
        <v>-</v>
      </c>
      <c r="AW565" t="str">
        <f t="shared" si="316"/>
        <v>-</v>
      </c>
      <c r="AX565" t="str">
        <f t="shared" si="317"/>
        <v>-</v>
      </c>
      <c r="AY565" t="str">
        <f t="shared" si="318"/>
        <v>-</v>
      </c>
      <c r="AZ565" t="str">
        <f t="shared" si="319"/>
        <v>-</v>
      </c>
      <c r="BA565" t="str">
        <f t="shared" si="320"/>
        <v>-</v>
      </c>
      <c r="BB565" t="str">
        <f t="shared" si="321"/>
        <v>-</v>
      </c>
      <c r="BC565" t="str">
        <f t="shared" si="322"/>
        <v>-</v>
      </c>
      <c r="BD565" s="29" t="str">
        <f t="shared" si="323"/>
        <v>-</v>
      </c>
      <c r="BE565" s="29" t="str">
        <f t="shared" si="324"/>
        <v>-</v>
      </c>
    </row>
    <row r="566" spans="1:57" ht="15" x14ac:dyDescent="0.2">
      <c r="A566" s="2">
        <v>864</v>
      </c>
      <c r="B566" s="2" t="str">
        <f t="shared" si="289"/>
        <v>0864</v>
      </c>
      <c r="C566" t="str">
        <f t="shared" si="290"/>
        <v>ORD-SP-0864-23/07/24</v>
      </c>
      <c r="D566" s="3" t="s">
        <v>244</v>
      </c>
      <c r="E566" t="str">
        <f t="shared" si="291"/>
        <v>PP002</v>
      </c>
      <c r="F566" t="str">
        <f>INDEX(Katalog!$B$4:$B$13,MATCH('Main Data'!E566,Katalog!$C$4:$C$13,0))</f>
        <v>Celana Pendek</v>
      </c>
      <c r="G566" t="str">
        <f>VLOOKUP(E566,Katalog!$A$15:$B$25,2,0)</f>
        <v>Pakaian Pria</v>
      </c>
      <c r="H566" t="str">
        <f t="shared" si="292"/>
        <v>2</v>
      </c>
      <c r="I566" t="str">
        <f t="shared" si="293"/>
        <v>4</v>
      </c>
      <c r="J566" s="18">
        <f>VLOOKUP(E566,Katalog!$C$3:$F$13,2,0)</f>
        <v>60000</v>
      </c>
      <c r="K566" s="18">
        <f>VLOOKUP(E566,Katalog!$C$3:$F$13,3,0)</f>
        <v>25000</v>
      </c>
      <c r="L566" t="str">
        <f t="shared" si="294"/>
        <v>-</v>
      </c>
      <c r="M566" t="str">
        <f>IFERROR(INDEX(Katalog!$B$4:$B$13,MATCH('Main Data'!L566,Katalog!$C$4:$C$13,0)), "-")</f>
        <v>-</v>
      </c>
      <c r="N566" t="str">
        <f>IFERROR(VLOOKUP(L566,Katalog!$A$15:$B$25,2,0),"-")</f>
        <v>-</v>
      </c>
      <c r="O566">
        <f t="shared" si="295"/>
        <v>0</v>
      </c>
      <c r="P566" t="str">
        <f t="shared" si="296"/>
        <v>-</v>
      </c>
      <c r="Q566" s="18">
        <f>IFERROR(VLOOKUP(L566,Katalog!$C$3:$F$13,2,0),0)</f>
        <v>0</v>
      </c>
      <c r="R566" s="18">
        <f>IFERROR(VLOOKUP(L566,Katalog!$C$3:$F$13,3,0),0)</f>
        <v>0</v>
      </c>
      <c r="S566" t="str">
        <f t="shared" si="297"/>
        <v>-</v>
      </c>
      <c r="T566" t="str">
        <f>IFERROR(INDEX(Katalog!$B$4:$B$13,MATCH('Main Data'!S566,Katalog!$C$4:$C$13,0)),"-")</f>
        <v>-</v>
      </c>
      <c r="U566" t="str">
        <f>IFERROR(VLOOKUP(S566,Katalog!$A$15:$B$25,2,0),"-")</f>
        <v>-</v>
      </c>
      <c r="V566">
        <f t="shared" si="298"/>
        <v>0</v>
      </c>
      <c r="W566" s="28" t="str">
        <f t="shared" si="299"/>
        <v>-</v>
      </c>
      <c r="X566" s="18">
        <f>IFERROR(VLOOKUP(S566,Katalog!$C$3:$F$13,2,0),0)</f>
        <v>0</v>
      </c>
      <c r="Y566" s="30">
        <f>IFERROR(VLOOKUP(S566,Katalog!$C$3:$F$13,3,0),0)</f>
        <v>0</v>
      </c>
      <c r="Z566" s="2">
        <f t="shared" si="300"/>
        <v>2</v>
      </c>
      <c r="AA566" s="4">
        <f t="shared" si="301"/>
        <v>120000</v>
      </c>
      <c r="AB566" s="4">
        <f t="shared" si="302"/>
        <v>50000</v>
      </c>
      <c r="AC566" s="4" t="s">
        <v>7</v>
      </c>
      <c r="AD566" s="16">
        <f>IFERROR(VLOOKUP(AC566,'Kode Diskon'!$C$2:$D$9,2,0),0)</f>
        <v>0.2</v>
      </c>
      <c r="AE566" s="31">
        <f t="shared" si="303"/>
        <v>24000</v>
      </c>
      <c r="AF566" s="31">
        <f t="shared" si="304"/>
        <v>96000</v>
      </c>
      <c r="AG566" s="31">
        <f t="shared" si="305"/>
        <v>70000</v>
      </c>
      <c r="AH566" s="31">
        <f t="shared" si="306"/>
        <v>46000</v>
      </c>
      <c r="AI566" s="4" t="s">
        <v>8</v>
      </c>
      <c r="AJ566" s="4" t="s">
        <v>6</v>
      </c>
      <c r="AK566" s="4" t="str">
        <f>IFERROR(VLOOKUP(AJ566,'Guide '!$A$13:$B$16,2,0),"-")</f>
        <v>SP</v>
      </c>
      <c r="AL566" s="4" t="s">
        <v>925</v>
      </c>
      <c r="AM566" s="40">
        <v>45496</v>
      </c>
      <c r="AN566">
        <f t="shared" si="307"/>
        <v>29</v>
      </c>
      <c r="AO566">
        <f t="shared" si="308"/>
        <v>32</v>
      </c>
      <c r="AP566">
        <f t="shared" si="309"/>
        <v>40</v>
      </c>
      <c r="AQ566">
        <f t="shared" si="310"/>
        <v>43</v>
      </c>
      <c r="AR566" s="26" t="str">
        <f t="shared" si="311"/>
        <v>-</v>
      </c>
      <c r="AS566" s="26" t="str">
        <f t="shared" si="312"/>
        <v>-</v>
      </c>
      <c r="AT566" s="21">
        <f t="shared" si="313"/>
        <v>12</v>
      </c>
      <c r="AU566" s="21">
        <f t="shared" si="314"/>
        <v>19</v>
      </c>
      <c r="AV566" t="str">
        <f t="shared" si="315"/>
        <v>-</v>
      </c>
      <c r="AW566" t="str">
        <f t="shared" si="316"/>
        <v>-</v>
      </c>
      <c r="AX566" t="str">
        <f t="shared" si="317"/>
        <v>-</v>
      </c>
      <c r="AY566" t="str">
        <f t="shared" si="318"/>
        <v>-</v>
      </c>
      <c r="AZ566" t="str">
        <f t="shared" si="319"/>
        <v>-</v>
      </c>
      <c r="BA566" t="str">
        <f t="shared" si="320"/>
        <v>-</v>
      </c>
      <c r="BB566" t="str">
        <f t="shared" si="321"/>
        <v>-</v>
      </c>
      <c r="BC566" t="str">
        <f t="shared" si="322"/>
        <v>-</v>
      </c>
      <c r="BD566" s="29" t="str">
        <f t="shared" si="323"/>
        <v>-</v>
      </c>
      <c r="BE566" s="29" t="str">
        <f t="shared" si="324"/>
        <v>-</v>
      </c>
    </row>
    <row r="567" spans="1:57" ht="15" x14ac:dyDescent="0.2">
      <c r="A567" s="2">
        <v>554</v>
      </c>
      <c r="B567" s="2" t="str">
        <f t="shared" si="289"/>
        <v>0554</v>
      </c>
      <c r="C567" t="str">
        <f t="shared" si="290"/>
        <v>ORD-SP-0554-24/07/24</v>
      </c>
      <c r="D567" s="3" t="s">
        <v>576</v>
      </c>
      <c r="E567" t="str">
        <f t="shared" si="291"/>
        <v>PP003</v>
      </c>
      <c r="F567" t="str">
        <f>INDEX(Katalog!$B$4:$B$13,MATCH('Main Data'!E567,Katalog!$C$4:$C$13,0))</f>
        <v>Jaket Jeans</v>
      </c>
      <c r="G567" t="str">
        <f>VLOOKUP(E567,Katalog!$A$15:$B$25,2,0)</f>
        <v>Pakaian Pria</v>
      </c>
      <c r="H567" t="str">
        <f t="shared" si="292"/>
        <v>2</v>
      </c>
      <c r="I567" t="str">
        <f t="shared" si="293"/>
        <v>1</v>
      </c>
      <c r="J567" s="18">
        <f>VLOOKUP(E567,Katalog!$C$3:$F$13,2,0)</f>
        <v>150000</v>
      </c>
      <c r="K567" s="18">
        <f>VLOOKUP(E567,Katalog!$C$3:$F$13,3,0)</f>
        <v>70000</v>
      </c>
      <c r="L567" t="str">
        <f t="shared" si="294"/>
        <v>PU001</v>
      </c>
      <c r="M567" t="str">
        <f>IFERROR(INDEX(Katalog!$B$4:$B$13,MATCH('Main Data'!L567,Katalog!$C$4:$C$13,0)), "-")</f>
        <v>Jaket Hoodie</v>
      </c>
      <c r="N567" t="str">
        <f>IFERROR(VLOOKUP(L567,Katalog!$A$15:$B$25,2,0),"-")</f>
        <v>Pakaian Unisex</v>
      </c>
      <c r="O567" t="str">
        <f t="shared" si="295"/>
        <v>4</v>
      </c>
      <c r="P567" t="str">
        <f t="shared" si="296"/>
        <v>4</v>
      </c>
      <c r="Q567" s="18">
        <f>IFERROR(VLOOKUP(L567,Katalog!$C$3:$F$13,2,0),0)</f>
        <v>160000</v>
      </c>
      <c r="R567" s="18">
        <f>IFERROR(VLOOKUP(L567,Katalog!$C$3:$F$13,3,0),0)</f>
        <v>60000</v>
      </c>
      <c r="S567" t="str">
        <f t="shared" si="297"/>
        <v>-</v>
      </c>
      <c r="T567" t="str">
        <f>IFERROR(INDEX(Katalog!$B$4:$B$13,MATCH('Main Data'!S567,Katalog!$C$4:$C$13,0)),"-")</f>
        <v>-</v>
      </c>
      <c r="U567" t="str">
        <f>IFERROR(VLOOKUP(S567,Katalog!$A$15:$B$25,2,0),"-")</f>
        <v>-</v>
      </c>
      <c r="V567">
        <f t="shared" si="298"/>
        <v>0</v>
      </c>
      <c r="W567" s="28" t="str">
        <f t="shared" si="299"/>
        <v>-</v>
      </c>
      <c r="X567" s="18">
        <f>IFERROR(VLOOKUP(S567,Katalog!$C$3:$F$13,2,0),0)</f>
        <v>0</v>
      </c>
      <c r="Y567" s="30">
        <f>IFERROR(VLOOKUP(S567,Katalog!$C$3:$F$13,3,0),0)</f>
        <v>0</v>
      </c>
      <c r="Z567" s="2">
        <f t="shared" si="300"/>
        <v>6</v>
      </c>
      <c r="AA567" s="4">
        <f t="shared" si="301"/>
        <v>940000</v>
      </c>
      <c r="AB567" s="4">
        <f t="shared" si="302"/>
        <v>380000</v>
      </c>
      <c r="AC567" s="4" t="s">
        <v>12</v>
      </c>
      <c r="AD567" s="16">
        <f>IFERROR(VLOOKUP(AC567,'Kode Diskon'!$C$2:$D$9,2,0),0)</f>
        <v>0.15</v>
      </c>
      <c r="AE567" s="31">
        <f t="shared" si="303"/>
        <v>141000</v>
      </c>
      <c r="AF567" s="31">
        <f t="shared" si="304"/>
        <v>799000</v>
      </c>
      <c r="AG567" s="31">
        <f t="shared" si="305"/>
        <v>560000</v>
      </c>
      <c r="AH567" s="31">
        <f t="shared" si="306"/>
        <v>419000</v>
      </c>
      <c r="AI567" s="4" t="s">
        <v>28</v>
      </c>
      <c r="AJ567" s="4" t="s">
        <v>6</v>
      </c>
      <c r="AK567" s="4" t="str">
        <f>IFERROR(VLOOKUP(AJ567,'Guide '!$A$13:$B$16,2,0),"-")</f>
        <v>SP</v>
      </c>
      <c r="AL567" s="4" t="s">
        <v>925</v>
      </c>
      <c r="AM567" s="40">
        <v>45497</v>
      </c>
      <c r="AN567">
        <f t="shared" si="307"/>
        <v>29</v>
      </c>
      <c r="AO567">
        <f t="shared" si="308"/>
        <v>32</v>
      </c>
      <c r="AP567">
        <f t="shared" si="309"/>
        <v>40</v>
      </c>
      <c r="AQ567">
        <f t="shared" si="310"/>
        <v>43</v>
      </c>
      <c r="AR567" s="26">
        <f t="shared" si="311"/>
        <v>56</v>
      </c>
      <c r="AS567" s="26">
        <f t="shared" si="312"/>
        <v>63</v>
      </c>
      <c r="AT567" s="21">
        <f t="shared" si="313"/>
        <v>12</v>
      </c>
      <c r="AU567" s="21">
        <f t="shared" si="314"/>
        <v>19</v>
      </c>
      <c r="AV567">
        <f t="shared" si="315"/>
        <v>73</v>
      </c>
      <c r="AW567">
        <f t="shared" si="316"/>
        <v>76</v>
      </c>
      <c r="AX567">
        <f t="shared" si="317"/>
        <v>84</v>
      </c>
      <c r="AY567">
        <f t="shared" si="318"/>
        <v>87</v>
      </c>
      <c r="AZ567" t="str">
        <f t="shared" si="319"/>
        <v>-</v>
      </c>
      <c r="BA567" t="str">
        <f t="shared" si="320"/>
        <v>-</v>
      </c>
      <c r="BB567" t="str">
        <f t="shared" si="321"/>
        <v>-</v>
      </c>
      <c r="BC567" t="str">
        <f t="shared" si="322"/>
        <v>-</v>
      </c>
      <c r="BD567" s="29" t="str">
        <f t="shared" si="323"/>
        <v>-</v>
      </c>
      <c r="BE567" s="29" t="str">
        <f t="shared" si="324"/>
        <v>-</v>
      </c>
    </row>
    <row r="568" spans="1:57" ht="15" x14ac:dyDescent="0.2">
      <c r="A568" s="2">
        <v>997</v>
      </c>
      <c r="B568" s="2" t="str">
        <f t="shared" si="289"/>
        <v>0997</v>
      </c>
      <c r="C568" t="str">
        <f t="shared" si="290"/>
        <v>ORD-TK-0997-24/07/24</v>
      </c>
      <c r="D568" s="3" t="s">
        <v>470</v>
      </c>
      <c r="E568" t="str">
        <f t="shared" si="291"/>
        <v>PP002</v>
      </c>
      <c r="F568" t="str">
        <f>INDEX(Katalog!$B$4:$B$13,MATCH('Main Data'!E568,Katalog!$C$4:$C$13,0))</f>
        <v>Celana Pendek</v>
      </c>
      <c r="G568" t="str">
        <f>VLOOKUP(E568,Katalog!$A$15:$B$25,2,0)</f>
        <v>Pakaian Pria</v>
      </c>
      <c r="H568" t="str">
        <f t="shared" si="292"/>
        <v>5</v>
      </c>
      <c r="I568" t="str">
        <f t="shared" si="293"/>
        <v>4</v>
      </c>
      <c r="J568" s="18">
        <f>VLOOKUP(E568,Katalog!$C$3:$F$13,2,0)</f>
        <v>60000</v>
      </c>
      <c r="K568" s="18">
        <f>VLOOKUP(E568,Katalog!$C$3:$F$13,3,0)</f>
        <v>25000</v>
      </c>
      <c r="L568" t="str">
        <f t="shared" si="294"/>
        <v>-</v>
      </c>
      <c r="M568" t="str">
        <f>IFERROR(INDEX(Katalog!$B$4:$B$13,MATCH('Main Data'!L568,Katalog!$C$4:$C$13,0)), "-")</f>
        <v>-</v>
      </c>
      <c r="N568" t="str">
        <f>IFERROR(VLOOKUP(L568,Katalog!$A$15:$B$25,2,0),"-")</f>
        <v>-</v>
      </c>
      <c r="O568">
        <f t="shared" si="295"/>
        <v>0</v>
      </c>
      <c r="P568" t="str">
        <f t="shared" si="296"/>
        <v>-</v>
      </c>
      <c r="Q568" s="18">
        <f>IFERROR(VLOOKUP(L568,Katalog!$C$3:$F$13,2,0),0)</f>
        <v>0</v>
      </c>
      <c r="R568" s="18">
        <f>IFERROR(VLOOKUP(L568,Katalog!$C$3:$F$13,3,0),0)</f>
        <v>0</v>
      </c>
      <c r="S568" t="str">
        <f t="shared" si="297"/>
        <v>-</v>
      </c>
      <c r="T568" t="str">
        <f>IFERROR(INDEX(Katalog!$B$4:$B$13,MATCH('Main Data'!S568,Katalog!$C$4:$C$13,0)),"-")</f>
        <v>-</v>
      </c>
      <c r="U568" t="str">
        <f>IFERROR(VLOOKUP(S568,Katalog!$A$15:$B$25,2,0),"-")</f>
        <v>-</v>
      </c>
      <c r="V568">
        <f t="shared" si="298"/>
        <v>0</v>
      </c>
      <c r="W568" s="28" t="str">
        <f t="shared" si="299"/>
        <v>-</v>
      </c>
      <c r="X568" s="18">
        <f>IFERROR(VLOOKUP(S568,Katalog!$C$3:$F$13,2,0),0)</f>
        <v>0</v>
      </c>
      <c r="Y568" s="30">
        <f>IFERROR(VLOOKUP(S568,Katalog!$C$3:$F$13,3,0),0)</f>
        <v>0</v>
      </c>
      <c r="Z568" s="2">
        <f t="shared" si="300"/>
        <v>5</v>
      </c>
      <c r="AA568" s="4">
        <f t="shared" si="301"/>
        <v>300000</v>
      </c>
      <c r="AB568" s="4">
        <f t="shared" si="302"/>
        <v>125000</v>
      </c>
      <c r="AC568" s="4" t="s">
        <v>30</v>
      </c>
      <c r="AD568" s="16">
        <f>IFERROR(VLOOKUP(AC568,'Kode Diskon'!$C$2:$D$9,2,0),0)</f>
        <v>0.1</v>
      </c>
      <c r="AE568" s="31">
        <f t="shared" si="303"/>
        <v>30000</v>
      </c>
      <c r="AF568" s="31">
        <f t="shared" si="304"/>
        <v>270000</v>
      </c>
      <c r="AG568" s="31">
        <f t="shared" si="305"/>
        <v>175000</v>
      </c>
      <c r="AH568" s="31">
        <f t="shared" si="306"/>
        <v>145000</v>
      </c>
      <c r="AI568" s="4" t="s">
        <v>8</v>
      </c>
      <c r="AJ568" s="4" t="s">
        <v>9</v>
      </c>
      <c r="AK568" s="4" t="str">
        <f>IFERROR(VLOOKUP(AJ568,'Guide '!$A$13:$B$16,2,0),"-")</f>
        <v>TK</v>
      </c>
      <c r="AL568" s="4" t="s">
        <v>921</v>
      </c>
      <c r="AM568" s="40">
        <v>45497</v>
      </c>
      <c r="AN568">
        <f t="shared" si="307"/>
        <v>29</v>
      </c>
      <c r="AO568">
        <f t="shared" si="308"/>
        <v>32</v>
      </c>
      <c r="AP568">
        <f t="shared" si="309"/>
        <v>40</v>
      </c>
      <c r="AQ568">
        <f t="shared" si="310"/>
        <v>43</v>
      </c>
      <c r="AR568" s="26" t="str">
        <f t="shared" si="311"/>
        <v>-</v>
      </c>
      <c r="AS568" s="26" t="str">
        <f t="shared" si="312"/>
        <v>-</v>
      </c>
      <c r="AT568" s="21">
        <f t="shared" si="313"/>
        <v>12</v>
      </c>
      <c r="AU568" s="21">
        <f t="shared" si="314"/>
        <v>19</v>
      </c>
      <c r="AV568" t="str">
        <f t="shared" si="315"/>
        <v>-</v>
      </c>
      <c r="AW568" t="str">
        <f t="shared" si="316"/>
        <v>-</v>
      </c>
      <c r="AX568" t="str">
        <f t="shared" si="317"/>
        <v>-</v>
      </c>
      <c r="AY568" t="str">
        <f t="shared" si="318"/>
        <v>-</v>
      </c>
      <c r="AZ568" t="str">
        <f t="shared" si="319"/>
        <v>-</v>
      </c>
      <c r="BA568" t="str">
        <f t="shared" si="320"/>
        <v>-</v>
      </c>
      <c r="BB568" t="str">
        <f t="shared" si="321"/>
        <v>-</v>
      </c>
      <c r="BC568" t="str">
        <f t="shared" si="322"/>
        <v>-</v>
      </c>
      <c r="BD568" s="29" t="str">
        <f t="shared" si="323"/>
        <v>-</v>
      </c>
      <c r="BE568" s="29" t="str">
        <f t="shared" si="324"/>
        <v>-</v>
      </c>
    </row>
    <row r="569" spans="1:57" ht="15" x14ac:dyDescent="0.2">
      <c r="A569" s="2">
        <v>6</v>
      </c>
      <c r="B569" s="2" t="str">
        <f t="shared" si="289"/>
        <v>0006</v>
      </c>
      <c r="C569" t="str">
        <f t="shared" si="290"/>
        <v>ORD-TK-0006-25/07/24</v>
      </c>
      <c r="D569" s="3" t="s">
        <v>80</v>
      </c>
      <c r="E569" t="str">
        <f t="shared" si="291"/>
        <v>PP003</v>
      </c>
      <c r="F569" t="str">
        <f>INDEX(Katalog!$B$4:$B$13,MATCH('Main Data'!E569,Katalog!$C$4:$C$13,0))</f>
        <v>Jaket Jeans</v>
      </c>
      <c r="G569" t="str">
        <f>VLOOKUP(E569,Katalog!$A$15:$B$25,2,0)</f>
        <v>Pakaian Pria</v>
      </c>
      <c r="H569" t="str">
        <f t="shared" si="292"/>
        <v>2</v>
      </c>
      <c r="I569" t="str">
        <f t="shared" si="293"/>
        <v>4</v>
      </c>
      <c r="J569" s="18">
        <f>VLOOKUP(E569,Katalog!$C$3:$F$13,2,0)</f>
        <v>150000</v>
      </c>
      <c r="K569" s="18">
        <f>VLOOKUP(E569,Katalog!$C$3:$F$13,3,0)</f>
        <v>70000</v>
      </c>
      <c r="L569" t="str">
        <f t="shared" si="294"/>
        <v>PP002</v>
      </c>
      <c r="M569" t="str">
        <f>IFERROR(INDEX(Katalog!$B$4:$B$13,MATCH('Main Data'!L569,Katalog!$C$4:$C$13,0)), "-")</f>
        <v>Celana Pendek</v>
      </c>
      <c r="N569" t="str">
        <f>IFERROR(VLOOKUP(L569,Katalog!$A$15:$B$25,2,0),"-")</f>
        <v>Pakaian Pria</v>
      </c>
      <c r="O569" t="str">
        <f t="shared" si="295"/>
        <v>2</v>
      </c>
      <c r="P569" t="str">
        <f t="shared" si="296"/>
        <v>3</v>
      </c>
      <c r="Q569" s="18">
        <f>IFERROR(VLOOKUP(L569,Katalog!$C$3:$F$13,2,0),0)</f>
        <v>60000</v>
      </c>
      <c r="R569" s="18">
        <f>IFERROR(VLOOKUP(L569,Katalog!$C$3:$F$13,3,0),0)</f>
        <v>25000</v>
      </c>
      <c r="S569" t="str">
        <f t="shared" si="297"/>
        <v>PU001</v>
      </c>
      <c r="T569" t="str">
        <f>IFERROR(INDEX(Katalog!$B$4:$B$13,MATCH('Main Data'!S569,Katalog!$C$4:$C$13,0)),"-")</f>
        <v>Jaket Hoodie</v>
      </c>
      <c r="U569" t="str">
        <f>IFERROR(VLOOKUP(S569,Katalog!$A$15:$B$25,2,0),"-")</f>
        <v>Pakaian Unisex</v>
      </c>
      <c r="V569" t="str">
        <f t="shared" si="298"/>
        <v>1</v>
      </c>
      <c r="W569" s="28" t="str">
        <f t="shared" si="299"/>
        <v>5</v>
      </c>
      <c r="X569" s="18">
        <f>IFERROR(VLOOKUP(S569,Katalog!$C$3:$F$13,2,0),0)</f>
        <v>160000</v>
      </c>
      <c r="Y569" s="30">
        <f>IFERROR(VLOOKUP(S569,Katalog!$C$3:$F$13,3,0),0)</f>
        <v>60000</v>
      </c>
      <c r="Z569" s="2">
        <f t="shared" si="300"/>
        <v>5</v>
      </c>
      <c r="AA569" s="4">
        <f t="shared" si="301"/>
        <v>580000</v>
      </c>
      <c r="AB569" s="4">
        <f t="shared" si="302"/>
        <v>250000</v>
      </c>
      <c r="AC569" s="4" t="s">
        <v>30</v>
      </c>
      <c r="AD569" s="16">
        <f>IFERROR(VLOOKUP(AC569,'Kode Diskon'!$C$2:$D$9,2,0),0)</f>
        <v>0.1</v>
      </c>
      <c r="AE569" s="31">
        <f t="shared" si="303"/>
        <v>58000</v>
      </c>
      <c r="AF569" s="31">
        <f t="shared" si="304"/>
        <v>522000</v>
      </c>
      <c r="AG569" s="31">
        <f t="shared" si="305"/>
        <v>330000</v>
      </c>
      <c r="AH569" s="31">
        <f t="shared" si="306"/>
        <v>272000</v>
      </c>
      <c r="AI569" s="4" t="s">
        <v>8</v>
      </c>
      <c r="AJ569" s="4" t="s">
        <v>9</v>
      </c>
      <c r="AK569" s="4" t="str">
        <f>IFERROR(VLOOKUP(AJ569,'Guide '!$A$13:$B$16,2,0),"-")</f>
        <v>TK</v>
      </c>
      <c r="AL569" s="4" t="s">
        <v>925</v>
      </c>
      <c r="AM569" s="40">
        <v>45498</v>
      </c>
      <c r="AN569">
        <f t="shared" si="307"/>
        <v>29</v>
      </c>
      <c r="AO569">
        <f t="shared" si="308"/>
        <v>32</v>
      </c>
      <c r="AP569">
        <f t="shared" si="309"/>
        <v>40</v>
      </c>
      <c r="AQ569">
        <f t="shared" si="310"/>
        <v>43</v>
      </c>
      <c r="AR569" s="26">
        <f t="shared" si="311"/>
        <v>56</v>
      </c>
      <c r="AS569" s="26">
        <f t="shared" si="312"/>
        <v>63</v>
      </c>
      <c r="AT569" s="21">
        <f t="shared" si="313"/>
        <v>12</v>
      </c>
      <c r="AU569" s="21">
        <f t="shared" si="314"/>
        <v>19</v>
      </c>
      <c r="AV569">
        <f t="shared" si="315"/>
        <v>73</v>
      </c>
      <c r="AW569">
        <f t="shared" si="316"/>
        <v>76</v>
      </c>
      <c r="AX569">
        <f t="shared" si="317"/>
        <v>84</v>
      </c>
      <c r="AY569">
        <f t="shared" si="318"/>
        <v>87</v>
      </c>
      <c r="AZ569">
        <f t="shared" si="319"/>
        <v>100</v>
      </c>
      <c r="BA569">
        <f t="shared" si="320"/>
        <v>107</v>
      </c>
      <c r="BB569">
        <f t="shared" si="321"/>
        <v>117</v>
      </c>
      <c r="BC569">
        <f t="shared" si="322"/>
        <v>120</v>
      </c>
      <c r="BD569" s="29">
        <f t="shared" si="323"/>
        <v>128</v>
      </c>
      <c r="BE569" s="29">
        <f t="shared" si="324"/>
        <v>131</v>
      </c>
    </row>
    <row r="570" spans="1:57" ht="15" x14ac:dyDescent="0.2">
      <c r="A570" s="2">
        <v>704</v>
      </c>
      <c r="B570" s="2" t="str">
        <f t="shared" si="289"/>
        <v>0704</v>
      </c>
      <c r="C570" t="str">
        <f t="shared" si="290"/>
        <v>ORD-TK-0704-26/07/24</v>
      </c>
      <c r="D570" s="3" t="s">
        <v>695</v>
      </c>
      <c r="E570" t="str">
        <f t="shared" si="291"/>
        <v>PW001</v>
      </c>
      <c r="F570" t="str">
        <f>INDEX(Katalog!$B$4:$B$13,MATCH('Main Data'!E570,Katalog!$C$4:$C$13,0))</f>
        <v>Dress</v>
      </c>
      <c r="G570" t="str">
        <f>VLOOKUP(E570,Katalog!$A$15:$B$25,2,0)</f>
        <v>Pakaian Wanita</v>
      </c>
      <c r="H570" t="str">
        <f t="shared" si="292"/>
        <v>4</v>
      </c>
      <c r="I570" t="str">
        <f t="shared" si="293"/>
        <v>2</v>
      </c>
      <c r="J570" s="18">
        <f>VLOOKUP(E570,Katalog!$C$3:$F$13,2,0)</f>
        <v>150000</v>
      </c>
      <c r="K570" s="18">
        <f>VLOOKUP(E570,Katalog!$C$3:$F$13,3,0)</f>
        <v>55000</v>
      </c>
      <c r="L570" t="str">
        <f t="shared" si="294"/>
        <v>SP001</v>
      </c>
      <c r="M570" t="str">
        <f>IFERROR(INDEX(Katalog!$B$4:$B$13,MATCH('Main Data'!L570,Katalog!$C$4:$C$13,0)), "-")</f>
        <v>Sneakers</v>
      </c>
      <c r="N570" t="str">
        <f>IFERROR(VLOOKUP(L570,Katalog!$A$15:$B$25,2,0),"-")</f>
        <v>Sepatu Pria</v>
      </c>
      <c r="O570" t="str">
        <f t="shared" si="295"/>
        <v>3</v>
      </c>
      <c r="P570" t="str">
        <f t="shared" si="296"/>
        <v>2</v>
      </c>
      <c r="Q570" s="18">
        <f>IFERROR(VLOOKUP(L570,Katalog!$C$3:$F$13,2,0),0)</f>
        <v>300000</v>
      </c>
      <c r="R570" s="18">
        <f>IFERROR(VLOOKUP(L570,Katalog!$C$3:$F$13,3,0),0)</f>
        <v>100000</v>
      </c>
      <c r="S570" t="str">
        <f t="shared" si="297"/>
        <v>-</v>
      </c>
      <c r="T570" t="str">
        <f>IFERROR(INDEX(Katalog!$B$4:$B$13,MATCH('Main Data'!S570,Katalog!$C$4:$C$13,0)),"-")</f>
        <v>-</v>
      </c>
      <c r="U570" t="str">
        <f>IFERROR(VLOOKUP(S570,Katalog!$A$15:$B$25,2,0),"-")</f>
        <v>-</v>
      </c>
      <c r="V570">
        <f t="shared" si="298"/>
        <v>0</v>
      </c>
      <c r="W570" s="28" t="str">
        <f t="shared" si="299"/>
        <v>-</v>
      </c>
      <c r="X570" s="18">
        <f>IFERROR(VLOOKUP(S570,Katalog!$C$3:$F$13,2,0),0)</f>
        <v>0</v>
      </c>
      <c r="Y570" s="30">
        <f>IFERROR(VLOOKUP(S570,Katalog!$C$3:$F$13,3,0),0)</f>
        <v>0</v>
      </c>
      <c r="Z570" s="2">
        <f t="shared" si="300"/>
        <v>7</v>
      </c>
      <c r="AA570" s="4">
        <f t="shared" si="301"/>
        <v>1500000</v>
      </c>
      <c r="AB570" s="4">
        <f t="shared" si="302"/>
        <v>520000</v>
      </c>
      <c r="AC570" s="4" t="s">
        <v>29</v>
      </c>
      <c r="AD570" s="16">
        <f>IFERROR(VLOOKUP(AC570,'Kode Diskon'!$C$2:$D$9,2,0),0)</f>
        <v>0.1</v>
      </c>
      <c r="AE570" s="31">
        <f t="shared" si="303"/>
        <v>150000</v>
      </c>
      <c r="AF570" s="31">
        <f t="shared" si="304"/>
        <v>1350000</v>
      </c>
      <c r="AG570" s="31">
        <f t="shared" si="305"/>
        <v>980000</v>
      </c>
      <c r="AH570" s="31">
        <f t="shared" si="306"/>
        <v>830000</v>
      </c>
      <c r="AI570" s="4" t="s">
        <v>28</v>
      </c>
      <c r="AJ570" s="4" t="s">
        <v>9</v>
      </c>
      <c r="AK570" s="4" t="str">
        <f>IFERROR(VLOOKUP(AJ570,'Guide '!$A$13:$B$16,2,0),"-")</f>
        <v>TK</v>
      </c>
      <c r="AL570" s="4" t="s">
        <v>921</v>
      </c>
      <c r="AM570" s="40">
        <v>45499</v>
      </c>
      <c r="AN570">
        <f t="shared" si="307"/>
        <v>29</v>
      </c>
      <c r="AO570">
        <f t="shared" si="308"/>
        <v>32</v>
      </c>
      <c r="AP570">
        <f t="shared" si="309"/>
        <v>40</v>
      </c>
      <c r="AQ570">
        <f t="shared" si="310"/>
        <v>43</v>
      </c>
      <c r="AR570" s="26">
        <f t="shared" si="311"/>
        <v>56</v>
      </c>
      <c r="AS570" s="26">
        <f t="shared" si="312"/>
        <v>63</v>
      </c>
      <c r="AT570" s="21">
        <f t="shared" si="313"/>
        <v>12</v>
      </c>
      <c r="AU570" s="21">
        <f t="shared" si="314"/>
        <v>19</v>
      </c>
      <c r="AV570">
        <f t="shared" si="315"/>
        <v>73</v>
      </c>
      <c r="AW570">
        <f t="shared" si="316"/>
        <v>76</v>
      </c>
      <c r="AX570">
        <f t="shared" si="317"/>
        <v>84</v>
      </c>
      <c r="AY570">
        <f t="shared" si="318"/>
        <v>87</v>
      </c>
      <c r="AZ570" t="str">
        <f t="shared" si="319"/>
        <v>-</v>
      </c>
      <c r="BA570" t="str">
        <f t="shared" si="320"/>
        <v>-</v>
      </c>
      <c r="BB570" t="str">
        <f t="shared" si="321"/>
        <v>-</v>
      </c>
      <c r="BC570" t="str">
        <f t="shared" si="322"/>
        <v>-</v>
      </c>
      <c r="BD570" s="29" t="str">
        <f t="shared" si="323"/>
        <v>-</v>
      </c>
      <c r="BE570" s="29" t="str">
        <f t="shared" si="324"/>
        <v>-</v>
      </c>
    </row>
    <row r="571" spans="1:57" ht="15" x14ac:dyDescent="0.2">
      <c r="A571" s="2">
        <v>916</v>
      </c>
      <c r="B571" s="2" t="str">
        <f t="shared" si="289"/>
        <v>0916</v>
      </c>
      <c r="C571" t="str">
        <f t="shared" si="290"/>
        <v>ORD-TK-0916-26/07/24</v>
      </c>
      <c r="D571" s="3" t="s">
        <v>851</v>
      </c>
      <c r="E571" t="str">
        <f t="shared" si="291"/>
        <v>PW001</v>
      </c>
      <c r="F571" t="str">
        <f>INDEX(Katalog!$B$4:$B$13,MATCH('Main Data'!E571,Katalog!$C$4:$C$13,0))</f>
        <v>Dress</v>
      </c>
      <c r="G571" t="str">
        <f>VLOOKUP(E571,Katalog!$A$15:$B$25,2,0)</f>
        <v>Pakaian Wanita</v>
      </c>
      <c r="H571" t="str">
        <f t="shared" si="292"/>
        <v>5</v>
      </c>
      <c r="I571" t="str">
        <f t="shared" si="293"/>
        <v>2</v>
      </c>
      <c r="J571" s="18">
        <f>VLOOKUP(E571,Katalog!$C$3:$F$13,2,0)</f>
        <v>150000</v>
      </c>
      <c r="K571" s="18">
        <f>VLOOKUP(E571,Katalog!$C$3:$F$13,3,0)</f>
        <v>55000</v>
      </c>
      <c r="L571" t="str">
        <f t="shared" si="294"/>
        <v>PU001</v>
      </c>
      <c r="M571" t="str">
        <f>IFERROR(INDEX(Katalog!$B$4:$B$13,MATCH('Main Data'!L571,Katalog!$C$4:$C$13,0)), "-")</f>
        <v>Jaket Hoodie</v>
      </c>
      <c r="N571" t="str">
        <f>IFERROR(VLOOKUP(L571,Katalog!$A$15:$B$25,2,0),"-")</f>
        <v>Pakaian Unisex</v>
      </c>
      <c r="O571" t="str">
        <f t="shared" si="295"/>
        <v>2</v>
      </c>
      <c r="P571" t="str">
        <f t="shared" si="296"/>
        <v>5</v>
      </c>
      <c r="Q571" s="18">
        <f>IFERROR(VLOOKUP(L571,Katalog!$C$3:$F$13,2,0),0)</f>
        <v>160000</v>
      </c>
      <c r="R571" s="18">
        <f>IFERROR(VLOOKUP(L571,Katalog!$C$3:$F$13,3,0),0)</f>
        <v>60000</v>
      </c>
      <c r="S571" t="str">
        <f t="shared" si="297"/>
        <v>-</v>
      </c>
      <c r="T571" t="str">
        <f>IFERROR(INDEX(Katalog!$B$4:$B$13,MATCH('Main Data'!S571,Katalog!$C$4:$C$13,0)),"-")</f>
        <v>-</v>
      </c>
      <c r="U571" t="str">
        <f>IFERROR(VLOOKUP(S571,Katalog!$A$15:$B$25,2,0),"-")</f>
        <v>-</v>
      </c>
      <c r="V571">
        <f t="shared" si="298"/>
        <v>0</v>
      </c>
      <c r="W571" s="28" t="str">
        <f t="shared" si="299"/>
        <v>-</v>
      </c>
      <c r="X571" s="18">
        <f>IFERROR(VLOOKUP(S571,Katalog!$C$3:$F$13,2,0),0)</f>
        <v>0</v>
      </c>
      <c r="Y571" s="30">
        <f>IFERROR(VLOOKUP(S571,Katalog!$C$3:$F$13,3,0),0)</f>
        <v>0</v>
      </c>
      <c r="Z571" s="2">
        <f t="shared" si="300"/>
        <v>7</v>
      </c>
      <c r="AA571" s="4">
        <f t="shared" si="301"/>
        <v>1070000</v>
      </c>
      <c r="AB571" s="4">
        <f t="shared" si="302"/>
        <v>395000</v>
      </c>
      <c r="AC571" s="4" t="s">
        <v>10</v>
      </c>
      <c r="AD571" s="16">
        <f>IFERROR(VLOOKUP(AC571,'Kode Diskon'!$C$2:$D$9,2,0),0)</f>
        <v>0</v>
      </c>
      <c r="AE571" s="31">
        <f t="shared" si="303"/>
        <v>0</v>
      </c>
      <c r="AF571" s="31">
        <f t="shared" si="304"/>
        <v>1070000</v>
      </c>
      <c r="AG571" s="31">
        <f t="shared" si="305"/>
        <v>675000</v>
      </c>
      <c r="AH571" s="31">
        <f t="shared" si="306"/>
        <v>675000</v>
      </c>
      <c r="AI571" s="4" t="s">
        <v>10</v>
      </c>
      <c r="AJ571" s="4" t="s">
        <v>9</v>
      </c>
      <c r="AK571" s="4" t="str">
        <f>IFERROR(VLOOKUP(AJ571,'Guide '!$A$13:$B$16,2,0),"-")</f>
        <v>TK</v>
      </c>
      <c r="AL571" s="4" t="s">
        <v>925</v>
      </c>
      <c r="AM571" s="40">
        <v>45499</v>
      </c>
      <c r="AN571">
        <f t="shared" si="307"/>
        <v>29</v>
      </c>
      <c r="AO571">
        <f t="shared" si="308"/>
        <v>32</v>
      </c>
      <c r="AP571">
        <f t="shared" si="309"/>
        <v>40</v>
      </c>
      <c r="AQ571">
        <f t="shared" si="310"/>
        <v>43</v>
      </c>
      <c r="AR571" s="26">
        <f t="shared" si="311"/>
        <v>56</v>
      </c>
      <c r="AS571" s="26">
        <f t="shared" si="312"/>
        <v>63</v>
      </c>
      <c r="AT571" s="21">
        <f t="shared" si="313"/>
        <v>12</v>
      </c>
      <c r="AU571" s="21">
        <f t="shared" si="314"/>
        <v>19</v>
      </c>
      <c r="AV571">
        <f t="shared" si="315"/>
        <v>73</v>
      </c>
      <c r="AW571">
        <f t="shared" si="316"/>
        <v>76</v>
      </c>
      <c r="AX571">
        <f t="shared" si="317"/>
        <v>84</v>
      </c>
      <c r="AY571">
        <f t="shared" si="318"/>
        <v>87</v>
      </c>
      <c r="AZ571" t="str">
        <f t="shared" si="319"/>
        <v>-</v>
      </c>
      <c r="BA571" t="str">
        <f t="shared" si="320"/>
        <v>-</v>
      </c>
      <c r="BB571" t="str">
        <f t="shared" si="321"/>
        <v>-</v>
      </c>
      <c r="BC571" t="str">
        <f t="shared" si="322"/>
        <v>-</v>
      </c>
      <c r="BD571" s="29" t="str">
        <f t="shared" si="323"/>
        <v>-</v>
      </c>
      <c r="BE571" s="29" t="str">
        <f t="shared" si="324"/>
        <v>-</v>
      </c>
    </row>
    <row r="572" spans="1:57" ht="15" x14ac:dyDescent="0.2">
      <c r="A572" s="2">
        <v>935</v>
      </c>
      <c r="B572" s="2" t="str">
        <f t="shared" si="289"/>
        <v>0935</v>
      </c>
      <c r="C572" t="str">
        <f t="shared" si="290"/>
        <v>ORD-BL-0935-26/07/24</v>
      </c>
      <c r="D572" s="3" t="s">
        <v>867</v>
      </c>
      <c r="E572" t="str">
        <f t="shared" si="291"/>
        <v>PU001</v>
      </c>
      <c r="F572" t="str">
        <f>INDEX(Katalog!$B$4:$B$13,MATCH('Main Data'!E572,Katalog!$C$4:$C$13,0))</f>
        <v>Jaket Hoodie</v>
      </c>
      <c r="G572" t="str">
        <f>VLOOKUP(E572,Katalog!$A$15:$B$25,2,0)</f>
        <v>Pakaian Unisex</v>
      </c>
      <c r="H572" t="str">
        <f t="shared" si="292"/>
        <v>5</v>
      </c>
      <c r="I572" t="str">
        <f t="shared" si="293"/>
        <v>2</v>
      </c>
      <c r="J572" s="18">
        <f>VLOOKUP(E572,Katalog!$C$3:$F$13,2,0)</f>
        <v>160000</v>
      </c>
      <c r="K572" s="18">
        <f>VLOOKUP(E572,Katalog!$C$3:$F$13,3,0)</f>
        <v>60000</v>
      </c>
      <c r="L572" t="str">
        <f t="shared" si="294"/>
        <v>PW003</v>
      </c>
      <c r="M572" t="str">
        <f>IFERROR(INDEX(Katalog!$B$4:$B$13,MATCH('Main Data'!L572,Katalog!$C$4:$C$13,0)), "-")</f>
        <v>Kaftan</v>
      </c>
      <c r="N572" t="str">
        <f>IFERROR(VLOOKUP(L572,Katalog!$A$15:$B$25,2,0),"-")</f>
        <v>Pakaian Wanita</v>
      </c>
      <c r="O572" t="str">
        <f t="shared" si="295"/>
        <v>2</v>
      </c>
      <c r="P572" t="str">
        <f t="shared" si="296"/>
        <v>5</v>
      </c>
      <c r="Q572" s="18">
        <f>IFERROR(VLOOKUP(L572,Katalog!$C$3:$F$13,2,0),0)</f>
        <v>200000</v>
      </c>
      <c r="R572" s="18">
        <f>IFERROR(VLOOKUP(L572,Katalog!$C$3:$F$13,3,0),0)</f>
        <v>100000</v>
      </c>
      <c r="S572" t="str">
        <f t="shared" si="297"/>
        <v>-</v>
      </c>
      <c r="T572" t="str">
        <f>IFERROR(INDEX(Katalog!$B$4:$B$13,MATCH('Main Data'!S572,Katalog!$C$4:$C$13,0)),"-")</f>
        <v>-</v>
      </c>
      <c r="U572" t="str">
        <f>IFERROR(VLOOKUP(S572,Katalog!$A$15:$B$25,2,0),"-")</f>
        <v>-</v>
      </c>
      <c r="V572">
        <f t="shared" si="298"/>
        <v>0</v>
      </c>
      <c r="W572" s="28" t="str">
        <f t="shared" si="299"/>
        <v>-</v>
      </c>
      <c r="X572" s="18">
        <f>IFERROR(VLOOKUP(S572,Katalog!$C$3:$F$13,2,0),0)</f>
        <v>0</v>
      </c>
      <c r="Y572" s="30">
        <f>IFERROR(VLOOKUP(S572,Katalog!$C$3:$F$13,3,0),0)</f>
        <v>0</v>
      </c>
      <c r="Z572" s="2">
        <f t="shared" si="300"/>
        <v>7</v>
      </c>
      <c r="AA572" s="4">
        <f t="shared" si="301"/>
        <v>1200000</v>
      </c>
      <c r="AB572" s="4">
        <f t="shared" si="302"/>
        <v>500000</v>
      </c>
      <c r="AC572" s="4" t="s">
        <v>31</v>
      </c>
      <c r="AD572" s="16">
        <f>IFERROR(VLOOKUP(AC572,'Kode Diskon'!$C$2:$D$9,2,0),0)</f>
        <v>0.15</v>
      </c>
      <c r="AE572" s="31">
        <f t="shared" si="303"/>
        <v>180000</v>
      </c>
      <c r="AF572" s="31">
        <f t="shared" si="304"/>
        <v>1020000</v>
      </c>
      <c r="AG572" s="31">
        <f t="shared" si="305"/>
        <v>700000</v>
      </c>
      <c r="AH572" s="31">
        <f t="shared" si="306"/>
        <v>520000</v>
      </c>
      <c r="AI572" s="4" t="s">
        <v>8</v>
      </c>
      <c r="AJ572" s="4" t="s">
        <v>11</v>
      </c>
      <c r="AK572" s="4" t="str">
        <f>IFERROR(VLOOKUP(AJ572,'Guide '!$A$13:$B$16,2,0),"-")</f>
        <v>BL</v>
      </c>
      <c r="AL572" s="4" t="s">
        <v>1006</v>
      </c>
      <c r="AM572" s="40">
        <v>45499</v>
      </c>
      <c r="AN572">
        <f t="shared" si="307"/>
        <v>29</v>
      </c>
      <c r="AO572">
        <f t="shared" si="308"/>
        <v>32</v>
      </c>
      <c r="AP572">
        <f t="shared" si="309"/>
        <v>40</v>
      </c>
      <c r="AQ572">
        <f t="shared" si="310"/>
        <v>43</v>
      </c>
      <c r="AR572" s="26">
        <f t="shared" si="311"/>
        <v>56</v>
      </c>
      <c r="AS572" s="26">
        <f t="shared" si="312"/>
        <v>63</v>
      </c>
      <c r="AT572" s="21">
        <f t="shared" si="313"/>
        <v>12</v>
      </c>
      <c r="AU572" s="21">
        <f t="shared" si="314"/>
        <v>19</v>
      </c>
      <c r="AV572">
        <f t="shared" si="315"/>
        <v>73</v>
      </c>
      <c r="AW572">
        <f t="shared" si="316"/>
        <v>76</v>
      </c>
      <c r="AX572">
        <f t="shared" si="317"/>
        <v>84</v>
      </c>
      <c r="AY572">
        <f t="shared" si="318"/>
        <v>87</v>
      </c>
      <c r="AZ572" t="str">
        <f t="shared" si="319"/>
        <v>-</v>
      </c>
      <c r="BA572" t="str">
        <f t="shared" si="320"/>
        <v>-</v>
      </c>
      <c r="BB572" t="str">
        <f t="shared" si="321"/>
        <v>-</v>
      </c>
      <c r="BC572" t="str">
        <f t="shared" si="322"/>
        <v>-</v>
      </c>
      <c r="BD572" s="29" t="str">
        <f t="shared" si="323"/>
        <v>-</v>
      </c>
      <c r="BE572" s="29" t="str">
        <f t="shared" si="324"/>
        <v>-</v>
      </c>
    </row>
    <row r="573" spans="1:57" ht="15" x14ac:dyDescent="0.2">
      <c r="A573" s="2">
        <v>968</v>
      </c>
      <c r="B573" s="2" t="str">
        <f t="shared" si="289"/>
        <v>0968</v>
      </c>
      <c r="C573" t="str">
        <f t="shared" si="290"/>
        <v>ORD-BB-0968-26/07/24</v>
      </c>
      <c r="D573" s="3" t="s">
        <v>895</v>
      </c>
      <c r="E573" t="str">
        <f t="shared" si="291"/>
        <v>SW001</v>
      </c>
      <c r="F573" t="str">
        <f>INDEX(Katalog!$B$4:$B$13,MATCH('Main Data'!E573,Katalog!$C$4:$C$13,0))</f>
        <v>Flat Shoes</v>
      </c>
      <c r="G573" t="str">
        <f>VLOOKUP(E573,Katalog!$A$15:$B$25,2,0)</f>
        <v>Sepatu Wanita</v>
      </c>
      <c r="H573" t="str">
        <f t="shared" si="292"/>
        <v>2</v>
      </c>
      <c r="I573" t="str">
        <f t="shared" si="293"/>
        <v>4</v>
      </c>
      <c r="J573" s="18">
        <f>VLOOKUP(E573,Katalog!$C$3:$F$13,2,0)</f>
        <v>150000</v>
      </c>
      <c r="K573" s="18">
        <f>VLOOKUP(E573,Katalog!$C$3:$F$13,3,0)</f>
        <v>70000</v>
      </c>
      <c r="L573" t="str">
        <f t="shared" si="294"/>
        <v>SP001</v>
      </c>
      <c r="M573" t="str">
        <f>IFERROR(INDEX(Katalog!$B$4:$B$13,MATCH('Main Data'!L573,Katalog!$C$4:$C$13,0)), "-")</f>
        <v>Sneakers</v>
      </c>
      <c r="N573" t="str">
        <f>IFERROR(VLOOKUP(L573,Katalog!$A$15:$B$25,2,0),"-")</f>
        <v>Sepatu Pria</v>
      </c>
      <c r="O573" t="str">
        <f t="shared" si="295"/>
        <v>3</v>
      </c>
      <c r="P573" t="str">
        <f t="shared" si="296"/>
        <v>4</v>
      </c>
      <c r="Q573" s="18">
        <f>IFERROR(VLOOKUP(L573,Katalog!$C$3:$F$13,2,0),0)</f>
        <v>300000</v>
      </c>
      <c r="R573" s="18">
        <f>IFERROR(VLOOKUP(L573,Katalog!$C$3:$F$13,3,0),0)</f>
        <v>100000</v>
      </c>
      <c r="S573" t="str">
        <f t="shared" si="297"/>
        <v>PP002</v>
      </c>
      <c r="T573" t="str">
        <f>IFERROR(INDEX(Katalog!$B$4:$B$13,MATCH('Main Data'!S573,Katalog!$C$4:$C$13,0)),"-")</f>
        <v>Celana Pendek</v>
      </c>
      <c r="U573" t="str">
        <f>IFERROR(VLOOKUP(S573,Katalog!$A$15:$B$25,2,0),"-")</f>
        <v>Pakaian Pria</v>
      </c>
      <c r="V573" t="str">
        <f t="shared" si="298"/>
        <v>1</v>
      </c>
      <c r="W573" s="28" t="str">
        <f t="shared" si="299"/>
        <v>5</v>
      </c>
      <c r="X573" s="18">
        <f>IFERROR(VLOOKUP(S573,Katalog!$C$3:$F$13,2,0),0)</f>
        <v>60000</v>
      </c>
      <c r="Y573" s="30">
        <f>IFERROR(VLOOKUP(S573,Katalog!$C$3:$F$13,3,0),0)</f>
        <v>25000</v>
      </c>
      <c r="Z573" s="2">
        <f t="shared" si="300"/>
        <v>6</v>
      </c>
      <c r="AA573" s="4">
        <f t="shared" si="301"/>
        <v>1260000</v>
      </c>
      <c r="AB573" s="4">
        <f t="shared" si="302"/>
        <v>465000</v>
      </c>
      <c r="AC573" s="4" t="s">
        <v>10</v>
      </c>
      <c r="AD573" s="16">
        <f>IFERROR(VLOOKUP(AC573,'Kode Diskon'!$C$2:$D$9,2,0),0)</f>
        <v>0</v>
      </c>
      <c r="AE573" s="31">
        <f t="shared" si="303"/>
        <v>0</v>
      </c>
      <c r="AF573" s="31">
        <f t="shared" si="304"/>
        <v>1260000</v>
      </c>
      <c r="AG573" s="31">
        <f t="shared" si="305"/>
        <v>795000</v>
      </c>
      <c r="AH573" s="31">
        <f t="shared" si="306"/>
        <v>795000</v>
      </c>
      <c r="AI573" s="4" t="s">
        <v>10</v>
      </c>
      <c r="AJ573" s="4" t="s">
        <v>13</v>
      </c>
      <c r="AK573" s="4" t="str">
        <f>IFERROR(VLOOKUP(AJ573,'Guide '!$A$13:$B$16,2,0),"-")</f>
        <v>BB</v>
      </c>
      <c r="AL573" s="4" t="s">
        <v>1006</v>
      </c>
      <c r="AM573" s="40">
        <v>45499</v>
      </c>
      <c r="AN573">
        <f t="shared" si="307"/>
        <v>29</v>
      </c>
      <c r="AO573">
        <f t="shared" si="308"/>
        <v>32</v>
      </c>
      <c r="AP573">
        <f t="shared" si="309"/>
        <v>40</v>
      </c>
      <c r="AQ573">
        <f t="shared" si="310"/>
        <v>43</v>
      </c>
      <c r="AR573" s="26">
        <f t="shared" si="311"/>
        <v>56</v>
      </c>
      <c r="AS573" s="26">
        <f t="shared" si="312"/>
        <v>63</v>
      </c>
      <c r="AT573" s="21">
        <f t="shared" si="313"/>
        <v>12</v>
      </c>
      <c r="AU573" s="21">
        <f t="shared" si="314"/>
        <v>19</v>
      </c>
      <c r="AV573">
        <f t="shared" si="315"/>
        <v>73</v>
      </c>
      <c r="AW573">
        <f t="shared" si="316"/>
        <v>76</v>
      </c>
      <c r="AX573">
        <f t="shared" si="317"/>
        <v>84</v>
      </c>
      <c r="AY573">
        <f t="shared" si="318"/>
        <v>87</v>
      </c>
      <c r="AZ573">
        <f t="shared" si="319"/>
        <v>100</v>
      </c>
      <c r="BA573">
        <f t="shared" si="320"/>
        <v>107</v>
      </c>
      <c r="BB573">
        <f t="shared" si="321"/>
        <v>117</v>
      </c>
      <c r="BC573">
        <f t="shared" si="322"/>
        <v>120</v>
      </c>
      <c r="BD573" s="29">
        <f t="shared" si="323"/>
        <v>128</v>
      </c>
      <c r="BE573" s="29">
        <f t="shared" si="324"/>
        <v>131</v>
      </c>
    </row>
    <row r="574" spans="1:57" ht="15" x14ac:dyDescent="0.2">
      <c r="A574" s="2">
        <v>149</v>
      </c>
      <c r="B574" s="2" t="str">
        <f t="shared" si="289"/>
        <v>0149</v>
      </c>
      <c r="C574" t="str">
        <f t="shared" si="290"/>
        <v>ORD-BL-0149-27/07/24</v>
      </c>
      <c r="D574" s="3" t="s">
        <v>219</v>
      </c>
      <c r="E574" t="str">
        <f t="shared" si="291"/>
        <v>PP001</v>
      </c>
      <c r="F574" t="str">
        <f>INDEX(Katalog!$B$4:$B$13,MATCH('Main Data'!E574,Katalog!$C$4:$C$13,0))</f>
        <v>Kaos Polo</v>
      </c>
      <c r="G574" t="str">
        <f>VLOOKUP(E574,Katalog!$A$15:$B$25,2,0)</f>
        <v>Pakaian Pria</v>
      </c>
      <c r="H574" t="str">
        <f t="shared" si="292"/>
        <v>2</v>
      </c>
      <c r="I574" t="str">
        <f t="shared" si="293"/>
        <v>4</v>
      </c>
      <c r="J574" s="18">
        <f>VLOOKUP(E574,Katalog!$C$3:$F$13,2,0)</f>
        <v>80000</v>
      </c>
      <c r="K574" s="18">
        <f>VLOOKUP(E574,Katalog!$C$3:$F$13,3,0)</f>
        <v>30000</v>
      </c>
      <c r="L574" t="str">
        <f t="shared" si="294"/>
        <v>SP001</v>
      </c>
      <c r="M574" t="str">
        <f>IFERROR(INDEX(Katalog!$B$4:$B$13,MATCH('Main Data'!L574,Katalog!$C$4:$C$13,0)), "-")</f>
        <v>Sneakers</v>
      </c>
      <c r="N574" t="str">
        <f>IFERROR(VLOOKUP(L574,Katalog!$A$15:$B$25,2,0),"-")</f>
        <v>Sepatu Pria</v>
      </c>
      <c r="O574" t="str">
        <f t="shared" si="295"/>
        <v>1</v>
      </c>
      <c r="P574" t="str">
        <f t="shared" si="296"/>
        <v>2</v>
      </c>
      <c r="Q574" s="18">
        <f>IFERROR(VLOOKUP(L574,Katalog!$C$3:$F$13,2,0),0)</f>
        <v>300000</v>
      </c>
      <c r="R574" s="18">
        <f>IFERROR(VLOOKUP(L574,Katalog!$C$3:$F$13,3,0),0)</f>
        <v>100000</v>
      </c>
      <c r="S574" t="str">
        <f t="shared" si="297"/>
        <v>PW002</v>
      </c>
      <c r="T574" t="str">
        <f>IFERROR(INDEX(Katalog!$B$4:$B$13,MATCH('Main Data'!S574,Katalog!$C$4:$C$13,0)),"-")</f>
        <v>Blouse</v>
      </c>
      <c r="U574" t="str">
        <f>IFERROR(VLOOKUP(S574,Katalog!$A$15:$B$25,2,0),"-")</f>
        <v>Pakaian Wanita</v>
      </c>
      <c r="V574" t="str">
        <f t="shared" si="298"/>
        <v>1</v>
      </c>
      <c r="W574" s="28" t="str">
        <f t="shared" si="299"/>
        <v>5</v>
      </c>
      <c r="X574" s="18">
        <f>IFERROR(VLOOKUP(S574,Katalog!$C$3:$F$13,2,0),0)</f>
        <v>125000</v>
      </c>
      <c r="Y574" s="30">
        <f>IFERROR(VLOOKUP(S574,Katalog!$C$3:$F$13,3,0),0)</f>
        <v>50000</v>
      </c>
      <c r="Z574" s="2">
        <f t="shared" si="300"/>
        <v>4</v>
      </c>
      <c r="AA574" s="4">
        <f t="shared" si="301"/>
        <v>585000</v>
      </c>
      <c r="AB574" s="4">
        <f t="shared" si="302"/>
        <v>210000</v>
      </c>
      <c r="AC574" s="4" t="s">
        <v>31</v>
      </c>
      <c r="AD574" s="16">
        <f>IFERROR(VLOOKUP(AC574,'Kode Diskon'!$C$2:$D$9,2,0),0)</f>
        <v>0.15</v>
      </c>
      <c r="AE574" s="31">
        <f t="shared" si="303"/>
        <v>87750</v>
      </c>
      <c r="AF574" s="31">
        <f t="shared" si="304"/>
        <v>497250</v>
      </c>
      <c r="AG574" s="31">
        <f t="shared" si="305"/>
        <v>375000</v>
      </c>
      <c r="AH574" s="31">
        <f t="shared" si="306"/>
        <v>287250</v>
      </c>
      <c r="AI574" s="4" t="s">
        <v>8</v>
      </c>
      <c r="AJ574" s="4" t="s">
        <v>11</v>
      </c>
      <c r="AK574" s="4" t="str">
        <f>IFERROR(VLOOKUP(AJ574,'Guide '!$A$13:$B$16,2,0),"-")</f>
        <v>BL</v>
      </c>
      <c r="AL574" s="4" t="s">
        <v>921</v>
      </c>
      <c r="AM574" s="40">
        <v>45500</v>
      </c>
      <c r="AN574">
        <f t="shared" si="307"/>
        <v>29</v>
      </c>
      <c r="AO574">
        <f t="shared" si="308"/>
        <v>32</v>
      </c>
      <c r="AP574">
        <f t="shared" si="309"/>
        <v>40</v>
      </c>
      <c r="AQ574">
        <f t="shared" si="310"/>
        <v>43</v>
      </c>
      <c r="AR574" s="26">
        <f t="shared" si="311"/>
        <v>56</v>
      </c>
      <c r="AS574" s="26">
        <f t="shared" si="312"/>
        <v>63</v>
      </c>
      <c r="AT574" s="21">
        <f t="shared" si="313"/>
        <v>12</v>
      </c>
      <c r="AU574" s="21">
        <f t="shared" si="314"/>
        <v>19</v>
      </c>
      <c r="AV574">
        <f t="shared" si="315"/>
        <v>73</v>
      </c>
      <c r="AW574">
        <f t="shared" si="316"/>
        <v>76</v>
      </c>
      <c r="AX574">
        <f t="shared" si="317"/>
        <v>84</v>
      </c>
      <c r="AY574">
        <f t="shared" si="318"/>
        <v>87</v>
      </c>
      <c r="AZ574">
        <f t="shared" si="319"/>
        <v>100</v>
      </c>
      <c r="BA574">
        <f t="shared" si="320"/>
        <v>107</v>
      </c>
      <c r="BB574">
        <f t="shared" si="321"/>
        <v>117</v>
      </c>
      <c r="BC574">
        <f t="shared" si="322"/>
        <v>120</v>
      </c>
      <c r="BD574" s="29">
        <f t="shared" si="323"/>
        <v>128</v>
      </c>
      <c r="BE574" s="29">
        <f t="shared" si="324"/>
        <v>131</v>
      </c>
    </row>
    <row r="575" spans="1:57" ht="15" x14ac:dyDescent="0.2">
      <c r="A575" s="2">
        <v>309</v>
      </c>
      <c r="B575" s="2" t="str">
        <f t="shared" si="289"/>
        <v>0309</v>
      </c>
      <c r="C575" t="str">
        <f t="shared" si="290"/>
        <v>ORD-BB-0309-27/07/24</v>
      </c>
      <c r="D575" s="3" t="s">
        <v>364</v>
      </c>
      <c r="E575" t="str">
        <f t="shared" si="291"/>
        <v>PW002</v>
      </c>
      <c r="F575" t="str">
        <f>INDEX(Katalog!$B$4:$B$13,MATCH('Main Data'!E575,Katalog!$C$4:$C$13,0))</f>
        <v>Blouse</v>
      </c>
      <c r="G575" t="str">
        <f>VLOOKUP(E575,Katalog!$A$15:$B$25,2,0)</f>
        <v>Pakaian Wanita</v>
      </c>
      <c r="H575" t="str">
        <f t="shared" si="292"/>
        <v>2</v>
      </c>
      <c r="I575" t="str">
        <f t="shared" si="293"/>
        <v>5</v>
      </c>
      <c r="J575" s="18">
        <f>VLOOKUP(E575,Katalog!$C$3:$F$13,2,0)</f>
        <v>125000</v>
      </c>
      <c r="K575" s="18">
        <f>VLOOKUP(E575,Katalog!$C$3:$F$13,3,0)</f>
        <v>50000</v>
      </c>
      <c r="L575" t="str">
        <f t="shared" si="294"/>
        <v>PP001</v>
      </c>
      <c r="M575" t="str">
        <f>IFERROR(INDEX(Katalog!$B$4:$B$13,MATCH('Main Data'!L575,Katalog!$C$4:$C$13,0)), "-")</f>
        <v>Kaos Polo</v>
      </c>
      <c r="N575" t="str">
        <f>IFERROR(VLOOKUP(L575,Katalog!$A$15:$B$25,2,0),"-")</f>
        <v>Pakaian Pria</v>
      </c>
      <c r="O575" t="str">
        <f t="shared" si="295"/>
        <v>4</v>
      </c>
      <c r="P575" t="str">
        <f t="shared" si="296"/>
        <v>5</v>
      </c>
      <c r="Q575" s="18">
        <f>IFERROR(VLOOKUP(L575,Katalog!$C$3:$F$13,2,0),0)</f>
        <v>80000</v>
      </c>
      <c r="R575" s="18">
        <f>IFERROR(VLOOKUP(L575,Katalog!$C$3:$F$13,3,0),0)</f>
        <v>30000</v>
      </c>
      <c r="S575" t="str">
        <f t="shared" si="297"/>
        <v>-</v>
      </c>
      <c r="T575" t="str">
        <f>IFERROR(INDEX(Katalog!$B$4:$B$13,MATCH('Main Data'!S575,Katalog!$C$4:$C$13,0)),"-")</f>
        <v>-</v>
      </c>
      <c r="U575" t="str">
        <f>IFERROR(VLOOKUP(S575,Katalog!$A$15:$B$25,2,0),"-")</f>
        <v>-</v>
      </c>
      <c r="V575">
        <f t="shared" si="298"/>
        <v>0</v>
      </c>
      <c r="W575" s="28" t="str">
        <f t="shared" si="299"/>
        <v>-</v>
      </c>
      <c r="X575" s="18">
        <f>IFERROR(VLOOKUP(S575,Katalog!$C$3:$F$13,2,0),0)</f>
        <v>0</v>
      </c>
      <c r="Y575" s="30">
        <f>IFERROR(VLOOKUP(S575,Katalog!$C$3:$F$13,3,0),0)</f>
        <v>0</v>
      </c>
      <c r="Z575" s="2">
        <f t="shared" si="300"/>
        <v>6</v>
      </c>
      <c r="AA575" s="4">
        <f t="shared" si="301"/>
        <v>570000</v>
      </c>
      <c r="AB575" s="4">
        <f t="shared" si="302"/>
        <v>220000</v>
      </c>
      <c r="AC575" s="4" t="s">
        <v>27</v>
      </c>
      <c r="AD575" s="16">
        <f>IFERROR(VLOOKUP(AC575,'Kode Diskon'!$C$2:$D$9,2,0),0)</f>
        <v>0.15</v>
      </c>
      <c r="AE575" s="31">
        <f t="shared" si="303"/>
        <v>85500</v>
      </c>
      <c r="AF575" s="31">
        <f t="shared" si="304"/>
        <v>484500</v>
      </c>
      <c r="AG575" s="31">
        <f t="shared" si="305"/>
        <v>350000</v>
      </c>
      <c r="AH575" s="31">
        <f t="shared" si="306"/>
        <v>264500</v>
      </c>
      <c r="AI575" s="4" t="s">
        <v>28</v>
      </c>
      <c r="AJ575" s="4" t="s">
        <v>13</v>
      </c>
      <c r="AK575" s="4" t="str">
        <f>IFERROR(VLOOKUP(AJ575,'Guide '!$A$13:$B$16,2,0),"-")</f>
        <v>BB</v>
      </c>
      <c r="AL575" s="4" t="s">
        <v>925</v>
      </c>
      <c r="AM575" s="40">
        <v>45500</v>
      </c>
      <c r="AN575">
        <f t="shared" si="307"/>
        <v>29</v>
      </c>
      <c r="AO575">
        <f t="shared" si="308"/>
        <v>32</v>
      </c>
      <c r="AP575">
        <f t="shared" si="309"/>
        <v>40</v>
      </c>
      <c r="AQ575">
        <f t="shared" si="310"/>
        <v>43</v>
      </c>
      <c r="AR575" s="26">
        <f t="shared" si="311"/>
        <v>56</v>
      </c>
      <c r="AS575" s="26">
        <f t="shared" si="312"/>
        <v>63</v>
      </c>
      <c r="AT575" s="21">
        <f t="shared" si="313"/>
        <v>12</v>
      </c>
      <c r="AU575" s="21">
        <f t="shared" si="314"/>
        <v>19</v>
      </c>
      <c r="AV575">
        <f t="shared" si="315"/>
        <v>73</v>
      </c>
      <c r="AW575">
        <f t="shared" si="316"/>
        <v>76</v>
      </c>
      <c r="AX575">
        <f t="shared" si="317"/>
        <v>84</v>
      </c>
      <c r="AY575">
        <f t="shared" si="318"/>
        <v>87</v>
      </c>
      <c r="AZ575" t="str">
        <f t="shared" si="319"/>
        <v>-</v>
      </c>
      <c r="BA575" t="str">
        <f t="shared" si="320"/>
        <v>-</v>
      </c>
      <c r="BB575" t="str">
        <f t="shared" si="321"/>
        <v>-</v>
      </c>
      <c r="BC575" t="str">
        <f t="shared" si="322"/>
        <v>-</v>
      </c>
      <c r="BD575" s="29" t="str">
        <f t="shared" si="323"/>
        <v>-</v>
      </c>
      <c r="BE575" s="29" t="str">
        <f t="shared" si="324"/>
        <v>-</v>
      </c>
    </row>
    <row r="576" spans="1:57" ht="15" x14ac:dyDescent="0.2">
      <c r="A576" s="2">
        <v>513</v>
      </c>
      <c r="B576" s="2" t="str">
        <f t="shared" si="289"/>
        <v>0513</v>
      </c>
      <c r="C576" t="str">
        <f t="shared" si="290"/>
        <v>ORD-SP-0513-27/07/24</v>
      </c>
      <c r="D576" s="3" t="s">
        <v>541</v>
      </c>
      <c r="E576" t="str">
        <f t="shared" si="291"/>
        <v>SP001</v>
      </c>
      <c r="F576" t="str">
        <f>INDEX(Katalog!$B$4:$B$13,MATCH('Main Data'!E576,Katalog!$C$4:$C$13,0))</f>
        <v>Sneakers</v>
      </c>
      <c r="G576" t="str">
        <f>VLOOKUP(E576,Katalog!$A$15:$B$25,2,0)</f>
        <v>Sepatu Pria</v>
      </c>
      <c r="H576" t="str">
        <f t="shared" si="292"/>
        <v>3</v>
      </c>
      <c r="I576" t="str">
        <f t="shared" si="293"/>
        <v>2</v>
      </c>
      <c r="J576" s="18">
        <f>VLOOKUP(E576,Katalog!$C$3:$F$13,2,0)</f>
        <v>300000</v>
      </c>
      <c r="K576" s="18">
        <f>VLOOKUP(E576,Katalog!$C$3:$F$13,3,0)</f>
        <v>100000</v>
      </c>
      <c r="L576" t="str">
        <f t="shared" si="294"/>
        <v>PP001</v>
      </c>
      <c r="M576" t="str">
        <f>IFERROR(INDEX(Katalog!$B$4:$B$13,MATCH('Main Data'!L576,Katalog!$C$4:$C$13,0)), "-")</f>
        <v>Kaos Polo</v>
      </c>
      <c r="N576" t="str">
        <f>IFERROR(VLOOKUP(L576,Katalog!$A$15:$B$25,2,0),"-")</f>
        <v>Pakaian Pria</v>
      </c>
      <c r="O576" t="str">
        <f t="shared" si="295"/>
        <v>2</v>
      </c>
      <c r="P576" t="str">
        <f t="shared" si="296"/>
        <v>3</v>
      </c>
      <c r="Q576" s="18">
        <f>IFERROR(VLOOKUP(L576,Katalog!$C$3:$F$13,2,0),0)</f>
        <v>80000</v>
      </c>
      <c r="R576" s="18">
        <f>IFERROR(VLOOKUP(L576,Katalog!$C$3:$F$13,3,0),0)</f>
        <v>30000</v>
      </c>
      <c r="S576" t="str">
        <f t="shared" si="297"/>
        <v>-</v>
      </c>
      <c r="T576" t="str">
        <f>IFERROR(INDEX(Katalog!$B$4:$B$13,MATCH('Main Data'!S576,Katalog!$C$4:$C$13,0)),"-")</f>
        <v>-</v>
      </c>
      <c r="U576" t="str">
        <f>IFERROR(VLOOKUP(S576,Katalog!$A$15:$B$25,2,0),"-")</f>
        <v>-</v>
      </c>
      <c r="V576">
        <f t="shared" si="298"/>
        <v>0</v>
      </c>
      <c r="W576" s="28" t="str">
        <f t="shared" si="299"/>
        <v>-</v>
      </c>
      <c r="X576" s="18">
        <f>IFERROR(VLOOKUP(S576,Katalog!$C$3:$F$13,2,0),0)</f>
        <v>0</v>
      </c>
      <c r="Y576" s="30">
        <f>IFERROR(VLOOKUP(S576,Katalog!$C$3:$F$13,3,0),0)</f>
        <v>0</v>
      </c>
      <c r="Z576" s="2">
        <f t="shared" si="300"/>
        <v>5</v>
      </c>
      <c r="AA576" s="4">
        <f t="shared" si="301"/>
        <v>1060000</v>
      </c>
      <c r="AB576" s="4">
        <f t="shared" si="302"/>
        <v>360000</v>
      </c>
      <c r="AC576" s="4" t="s">
        <v>7</v>
      </c>
      <c r="AD576" s="16">
        <f>IFERROR(VLOOKUP(AC576,'Kode Diskon'!$C$2:$D$9,2,0),0)</f>
        <v>0.2</v>
      </c>
      <c r="AE576" s="31">
        <f t="shared" si="303"/>
        <v>212000</v>
      </c>
      <c r="AF576" s="31">
        <f t="shared" si="304"/>
        <v>848000</v>
      </c>
      <c r="AG576" s="31">
        <f t="shared" si="305"/>
        <v>700000</v>
      </c>
      <c r="AH576" s="31">
        <f t="shared" si="306"/>
        <v>488000</v>
      </c>
      <c r="AI576" s="4" t="s">
        <v>8</v>
      </c>
      <c r="AJ576" s="4" t="s">
        <v>6</v>
      </c>
      <c r="AK576" s="4" t="str">
        <f>IFERROR(VLOOKUP(AJ576,'Guide '!$A$13:$B$16,2,0),"-")</f>
        <v>SP</v>
      </c>
      <c r="AL576" s="4" t="s">
        <v>1006</v>
      </c>
      <c r="AM576" s="40">
        <v>45500</v>
      </c>
      <c r="AN576">
        <f t="shared" si="307"/>
        <v>29</v>
      </c>
      <c r="AO576">
        <f t="shared" si="308"/>
        <v>32</v>
      </c>
      <c r="AP576">
        <f t="shared" si="309"/>
        <v>40</v>
      </c>
      <c r="AQ576">
        <f t="shared" si="310"/>
        <v>43</v>
      </c>
      <c r="AR576" s="26">
        <f t="shared" si="311"/>
        <v>56</v>
      </c>
      <c r="AS576" s="26">
        <f t="shared" si="312"/>
        <v>63</v>
      </c>
      <c r="AT576" s="21">
        <f t="shared" si="313"/>
        <v>12</v>
      </c>
      <c r="AU576" s="21">
        <f t="shared" si="314"/>
        <v>19</v>
      </c>
      <c r="AV576">
        <f t="shared" si="315"/>
        <v>73</v>
      </c>
      <c r="AW576">
        <f t="shared" si="316"/>
        <v>76</v>
      </c>
      <c r="AX576">
        <f t="shared" si="317"/>
        <v>84</v>
      </c>
      <c r="AY576">
        <f t="shared" si="318"/>
        <v>87</v>
      </c>
      <c r="AZ576" t="str">
        <f t="shared" si="319"/>
        <v>-</v>
      </c>
      <c r="BA576" t="str">
        <f t="shared" si="320"/>
        <v>-</v>
      </c>
      <c r="BB576" t="str">
        <f t="shared" si="321"/>
        <v>-</v>
      </c>
      <c r="BC576" t="str">
        <f t="shared" si="322"/>
        <v>-</v>
      </c>
      <c r="BD576" s="29" t="str">
        <f t="shared" si="323"/>
        <v>-</v>
      </c>
      <c r="BE576" s="29" t="str">
        <f t="shared" si="324"/>
        <v>-</v>
      </c>
    </row>
    <row r="577" spans="1:57" ht="15" x14ac:dyDescent="0.2">
      <c r="A577" s="2">
        <v>787</v>
      </c>
      <c r="B577" s="2" t="str">
        <f t="shared" si="289"/>
        <v>0787</v>
      </c>
      <c r="C577" t="str">
        <f t="shared" si="290"/>
        <v>ORD-TK-0787-27/07/24</v>
      </c>
      <c r="D577" s="3" t="s">
        <v>758</v>
      </c>
      <c r="E577" t="str">
        <f t="shared" si="291"/>
        <v>PP002</v>
      </c>
      <c r="F577" t="str">
        <f>INDEX(Katalog!$B$4:$B$13,MATCH('Main Data'!E577,Katalog!$C$4:$C$13,0))</f>
        <v>Celana Pendek</v>
      </c>
      <c r="G577" t="str">
        <f>VLOOKUP(E577,Katalog!$A$15:$B$25,2,0)</f>
        <v>Pakaian Pria</v>
      </c>
      <c r="H577" t="str">
        <f t="shared" si="292"/>
        <v>1</v>
      </c>
      <c r="I577" t="str">
        <f t="shared" si="293"/>
        <v>3</v>
      </c>
      <c r="J577" s="18">
        <f>VLOOKUP(E577,Katalog!$C$3:$F$13,2,0)</f>
        <v>60000</v>
      </c>
      <c r="K577" s="18">
        <f>VLOOKUP(E577,Katalog!$C$3:$F$13,3,0)</f>
        <v>25000</v>
      </c>
      <c r="L577" t="str">
        <f t="shared" si="294"/>
        <v>SP001</v>
      </c>
      <c r="M577" t="str">
        <f>IFERROR(INDEX(Katalog!$B$4:$B$13,MATCH('Main Data'!L577,Katalog!$C$4:$C$13,0)), "-")</f>
        <v>Sneakers</v>
      </c>
      <c r="N577" t="str">
        <f>IFERROR(VLOOKUP(L577,Katalog!$A$15:$B$25,2,0),"-")</f>
        <v>Sepatu Pria</v>
      </c>
      <c r="O577" t="str">
        <f t="shared" si="295"/>
        <v>2</v>
      </c>
      <c r="P577" t="str">
        <f t="shared" si="296"/>
        <v>1</v>
      </c>
      <c r="Q577" s="18">
        <f>IFERROR(VLOOKUP(L577,Katalog!$C$3:$F$13,2,0),0)</f>
        <v>300000</v>
      </c>
      <c r="R577" s="18">
        <f>IFERROR(VLOOKUP(L577,Katalog!$C$3:$F$13,3,0),0)</f>
        <v>100000</v>
      </c>
      <c r="S577" t="str">
        <f t="shared" si="297"/>
        <v>PW001</v>
      </c>
      <c r="T577" t="str">
        <f>IFERROR(INDEX(Katalog!$B$4:$B$13,MATCH('Main Data'!S577,Katalog!$C$4:$C$13,0)),"-")</f>
        <v>Dress</v>
      </c>
      <c r="U577" t="str">
        <f>IFERROR(VLOOKUP(S577,Katalog!$A$15:$B$25,2,0),"-")</f>
        <v>Pakaian Wanita</v>
      </c>
      <c r="V577" t="str">
        <f t="shared" si="298"/>
        <v>2</v>
      </c>
      <c r="W577" s="28" t="str">
        <f t="shared" si="299"/>
        <v>2</v>
      </c>
      <c r="X577" s="18">
        <f>IFERROR(VLOOKUP(S577,Katalog!$C$3:$F$13,2,0),0)</f>
        <v>150000</v>
      </c>
      <c r="Y577" s="30">
        <f>IFERROR(VLOOKUP(S577,Katalog!$C$3:$F$13,3,0),0)</f>
        <v>55000</v>
      </c>
      <c r="Z577" s="2">
        <f t="shared" si="300"/>
        <v>5</v>
      </c>
      <c r="AA577" s="4">
        <f t="shared" si="301"/>
        <v>960000</v>
      </c>
      <c r="AB577" s="4">
        <f t="shared" si="302"/>
        <v>335000</v>
      </c>
      <c r="AC577" s="4" t="s">
        <v>29</v>
      </c>
      <c r="AD577" s="16">
        <f>IFERROR(VLOOKUP(AC577,'Kode Diskon'!$C$2:$D$9,2,0),0)</f>
        <v>0.1</v>
      </c>
      <c r="AE577" s="31">
        <f t="shared" si="303"/>
        <v>96000</v>
      </c>
      <c r="AF577" s="31">
        <f t="shared" si="304"/>
        <v>864000</v>
      </c>
      <c r="AG577" s="31">
        <f t="shared" si="305"/>
        <v>625000</v>
      </c>
      <c r="AH577" s="31">
        <f t="shared" si="306"/>
        <v>529000</v>
      </c>
      <c r="AI577" s="4" t="s">
        <v>28</v>
      </c>
      <c r="AJ577" s="4" t="s">
        <v>9</v>
      </c>
      <c r="AK577" s="4" t="str">
        <f>IFERROR(VLOOKUP(AJ577,'Guide '!$A$13:$B$16,2,0),"-")</f>
        <v>TK</v>
      </c>
      <c r="AL577" s="4" t="s">
        <v>921</v>
      </c>
      <c r="AM577" s="40">
        <v>45500</v>
      </c>
      <c r="AN577">
        <f t="shared" si="307"/>
        <v>29</v>
      </c>
      <c r="AO577">
        <f t="shared" si="308"/>
        <v>32</v>
      </c>
      <c r="AP577">
        <f t="shared" si="309"/>
        <v>40</v>
      </c>
      <c r="AQ577">
        <f t="shared" si="310"/>
        <v>43</v>
      </c>
      <c r="AR577" s="26">
        <f t="shared" si="311"/>
        <v>56</v>
      </c>
      <c r="AS577" s="26">
        <f t="shared" si="312"/>
        <v>63</v>
      </c>
      <c r="AT577" s="21">
        <f t="shared" si="313"/>
        <v>12</v>
      </c>
      <c r="AU577" s="21">
        <f t="shared" si="314"/>
        <v>19</v>
      </c>
      <c r="AV577">
        <f t="shared" si="315"/>
        <v>73</v>
      </c>
      <c r="AW577">
        <f t="shared" si="316"/>
        <v>76</v>
      </c>
      <c r="AX577">
        <f t="shared" si="317"/>
        <v>84</v>
      </c>
      <c r="AY577">
        <f t="shared" si="318"/>
        <v>87</v>
      </c>
      <c r="AZ577">
        <f t="shared" si="319"/>
        <v>100</v>
      </c>
      <c r="BA577">
        <f t="shared" si="320"/>
        <v>107</v>
      </c>
      <c r="BB577">
        <f t="shared" si="321"/>
        <v>117</v>
      </c>
      <c r="BC577">
        <f t="shared" si="322"/>
        <v>120</v>
      </c>
      <c r="BD577" s="29">
        <f t="shared" si="323"/>
        <v>128</v>
      </c>
      <c r="BE577" s="29">
        <f t="shared" si="324"/>
        <v>131</v>
      </c>
    </row>
    <row r="578" spans="1:57" ht="15" x14ac:dyDescent="0.2">
      <c r="A578" s="2">
        <v>79</v>
      </c>
      <c r="B578" s="2" t="str">
        <f t="shared" si="289"/>
        <v>0079</v>
      </c>
      <c r="C578" t="str">
        <f t="shared" si="290"/>
        <v>ORD-BB-0079-28/07/24</v>
      </c>
      <c r="D578" s="3" t="s">
        <v>152</v>
      </c>
      <c r="E578" t="str">
        <f t="shared" si="291"/>
        <v>PP003</v>
      </c>
      <c r="F578" t="str">
        <f>INDEX(Katalog!$B$4:$B$13,MATCH('Main Data'!E578,Katalog!$C$4:$C$13,0))</f>
        <v>Jaket Jeans</v>
      </c>
      <c r="G578" t="str">
        <f>VLOOKUP(E578,Katalog!$A$15:$B$25,2,0)</f>
        <v>Pakaian Pria</v>
      </c>
      <c r="H578" t="str">
        <f t="shared" si="292"/>
        <v>1</v>
      </c>
      <c r="I578" t="str">
        <f t="shared" si="293"/>
        <v>1</v>
      </c>
      <c r="J578" s="18">
        <f>VLOOKUP(E578,Katalog!$C$3:$F$13,2,0)</f>
        <v>150000</v>
      </c>
      <c r="K578" s="18">
        <f>VLOOKUP(E578,Katalog!$C$3:$F$13,3,0)</f>
        <v>70000</v>
      </c>
      <c r="L578" t="str">
        <f t="shared" si="294"/>
        <v>PW003</v>
      </c>
      <c r="M578" t="str">
        <f>IFERROR(INDEX(Katalog!$B$4:$B$13,MATCH('Main Data'!L578,Katalog!$C$4:$C$13,0)), "-")</f>
        <v>Kaftan</v>
      </c>
      <c r="N578" t="str">
        <f>IFERROR(VLOOKUP(L578,Katalog!$A$15:$B$25,2,0),"-")</f>
        <v>Pakaian Wanita</v>
      </c>
      <c r="O578" t="str">
        <f t="shared" si="295"/>
        <v>1</v>
      </c>
      <c r="P578" t="str">
        <f t="shared" si="296"/>
        <v>2</v>
      </c>
      <c r="Q578" s="18">
        <f>IFERROR(VLOOKUP(L578,Katalog!$C$3:$F$13,2,0),0)</f>
        <v>200000</v>
      </c>
      <c r="R578" s="18">
        <f>IFERROR(VLOOKUP(L578,Katalog!$C$3:$F$13,3,0),0)</f>
        <v>100000</v>
      </c>
      <c r="S578" t="str">
        <f t="shared" si="297"/>
        <v>-</v>
      </c>
      <c r="T578" t="str">
        <f>IFERROR(INDEX(Katalog!$B$4:$B$13,MATCH('Main Data'!S578,Katalog!$C$4:$C$13,0)),"-")</f>
        <v>-</v>
      </c>
      <c r="U578" t="str">
        <f>IFERROR(VLOOKUP(S578,Katalog!$A$15:$B$25,2,0),"-")</f>
        <v>-</v>
      </c>
      <c r="V578">
        <f t="shared" si="298"/>
        <v>0</v>
      </c>
      <c r="W578" s="28" t="str">
        <f t="shared" si="299"/>
        <v>-</v>
      </c>
      <c r="X578" s="18">
        <f>IFERROR(VLOOKUP(S578,Katalog!$C$3:$F$13,2,0),0)</f>
        <v>0</v>
      </c>
      <c r="Y578" s="30">
        <f>IFERROR(VLOOKUP(S578,Katalog!$C$3:$F$13,3,0),0)</f>
        <v>0</v>
      </c>
      <c r="Z578" s="2">
        <f t="shared" si="300"/>
        <v>2</v>
      </c>
      <c r="AA578" s="4">
        <f t="shared" si="301"/>
        <v>350000</v>
      </c>
      <c r="AB578" s="4">
        <f t="shared" si="302"/>
        <v>170000</v>
      </c>
      <c r="AC578" s="4" t="s">
        <v>27</v>
      </c>
      <c r="AD578" s="16">
        <f>IFERROR(VLOOKUP(AC578,'Kode Diskon'!$C$2:$D$9,2,0),0)</f>
        <v>0.15</v>
      </c>
      <c r="AE578" s="31">
        <f t="shared" si="303"/>
        <v>52500</v>
      </c>
      <c r="AF578" s="31">
        <f t="shared" si="304"/>
        <v>297500</v>
      </c>
      <c r="AG578" s="31">
        <f t="shared" si="305"/>
        <v>180000</v>
      </c>
      <c r="AH578" s="31">
        <f t="shared" si="306"/>
        <v>127500</v>
      </c>
      <c r="AI578" s="4" t="s">
        <v>28</v>
      </c>
      <c r="AJ578" s="4" t="s">
        <v>13</v>
      </c>
      <c r="AK578" s="4" t="str">
        <f>IFERROR(VLOOKUP(AJ578,'Guide '!$A$13:$B$16,2,0),"-")</f>
        <v>BB</v>
      </c>
      <c r="AL578" s="4" t="s">
        <v>925</v>
      </c>
      <c r="AM578" s="40">
        <v>45501</v>
      </c>
      <c r="AN578">
        <f t="shared" si="307"/>
        <v>29</v>
      </c>
      <c r="AO578">
        <f t="shared" si="308"/>
        <v>32</v>
      </c>
      <c r="AP578">
        <f t="shared" si="309"/>
        <v>40</v>
      </c>
      <c r="AQ578">
        <f t="shared" si="310"/>
        <v>43</v>
      </c>
      <c r="AR578" s="26">
        <f t="shared" si="311"/>
        <v>56</v>
      </c>
      <c r="AS578" s="26">
        <f t="shared" si="312"/>
        <v>63</v>
      </c>
      <c r="AT578" s="21">
        <f t="shared" si="313"/>
        <v>12</v>
      </c>
      <c r="AU578" s="21">
        <f t="shared" si="314"/>
        <v>19</v>
      </c>
      <c r="AV578">
        <f t="shared" si="315"/>
        <v>73</v>
      </c>
      <c r="AW578">
        <f t="shared" si="316"/>
        <v>76</v>
      </c>
      <c r="AX578">
        <f t="shared" si="317"/>
        <v>84</v>
      </c>
      <c r="AY578">
        <f t="shared" si="318"/>
        <v>87</v>
      </c>
      <c r="AZ578" t="str">
        <f t="shared" si="319"/>
        <v>-</v>
      </c>
      <c r="BA578" t="str">
        <f t="shared" si="320"/>
        <v>-</v>
      </c>
      <c r="BB578" t="str">
        <f t="shared" si="321"/>
        <v>-</v>
      </c>
      <c r="BC578" t="str">
        <f t="shared" si="322"/>
        <v>-</v>
      </c>
      <c r="BD578" s="29" t="str">
        <f t="shared" si="323"/>
        <v>-</v>
      </c>
      <c r="BE578" s="29" t="str">
        <f t="shared" si="324"/>
        <v>-</v>
      </c>
    </row>
    <row r="579" spans="1:57" ht="15" x14ac:dyDescent="0.2">
      <c r="A579" s="2">
        <v>775</v>
      </c>
      <c r="B579" s="2" t="str">
        <f t="shared" ref="B579:B642" si="325">TEXT(A579,"0000")</f>
        <v>0775</v>
      </c>
      <c r="C579" t="str">
        <f t="shared" ref="C579:C642" si="326">CONCATENATE("ORD","-",AK579,"-",B579,"-",TEXT(AM579,"dd/mm/yy"))</f>
        <v>ORD-BB-0775-28/07/24</v>
      </c>
      <c r="D579" s="3" t="s">
        <v>750</v>
      </c>
      <c r="E579" t="str">
        <f t="shared" ref="E579:E642" si="327">MID(D579,AT579+2,AU579-AT579-2)</f>
        <v>PP003</v>
      </c>
      <c r="F579" t="str">
        <f>INDEX(Katalog!$B$4:$B$13,MATCH('Main Data'!E579,Katalog!$C$4:$C$13,0))</f>
        <v>Jaket Jeans</v>
      </c>
      <c r="G579" t="str">
        <f>VLOOKUP(E579,Katalog!$A$15:$B$25,2,0)</f>
        <v>Pakaian Pria</v>
      </c>
      <c r="H579" t="str">
        <f t="shared" ref="H579:H642" si="328">MID(D579,AN579+2,AO579-AN579-2)</f>
        <v>1</v>
      </c>
      <c r="I579" t="str">
        <f t="shared" ref="I579:I642" si="329">MID(D579,AP579+2,AQ579-AP579-2)</f>
        <v>5</v>
      </c>
      <c r="J579" s="18">
        <f>VLOOKUP(E579,Katalog!$C$3:$F$13,2,0)</f>
        <v>150000</v>
      </c>
      <c r="K579" s="18">
        <f>VLOOKUP(E579,Katalog!$C$3:$F$13,3,0)</f>
        <v>70000</v>
      </c>
      <c r="L579" t="str">
        <f t="shared" ref="L579:L642" si="330">IFERROR(MID(D579,AR579+2,AS579-AR579-2),"-")</f>
        <v>PW002</v>
      </c>
      <c r="M579" t="str">
        <f>IFERROR(INDEX(Katalog!$B$4:$B$13,MATCH('Main Data'!L579,Katalog!$C$4:$C$13,0)), "-")</f>
        <v>Blouse</v>
      </c>
      <c r="N579" t="str">
        <f>IFERROR(VLOOKUP(L579,Katalog!$A$15:$B$25,2,0),"-")</f>
        <v>Pakaian Wanita</v>
      </c>
      <c r="O579" t="str">
        <f t="shared" ref="O579:O642" si="331">IFERROR(MID(D579,AV579+2,AW579-AV579-2),0)</f>
        <v>2</v>
      </c>
      <c r="P579" t="str">
        <f t="shared" ref="P579:P642" si="332">IFERROR(MID(D579,AX579+2,AY579-AX579-2),"-")</f>
        <v>3</v>
      </c>
      <c r="Q579" s="18">
        <f>IFERROR(VLOOKUP(L579,Katalog!$C$3:$F$13,2,0),0)</f>
        <v>125000</v>
      </c>
      <c r="R579" s="18">
        <f>IFERROR(VLOOKUP(L579,Katalog!$C$3:$F$13,3,0),0)</f>
        <v>50000</v>
      </c>
      <c r="S579" t="str">
        <f t="shared" ref="S579:S642" si="333">IFERROR(MID(D579,AZ579+2,BA579-AZ579-2),"-")</f>
        <v>PP001</v>
      </c>
      <c r="T579" t="str">
        <f>IFERROR(INDEX(Katalog!$B$4:$B$13,MATCH('Main Data'!S579,Katalog!$C$4:$C$13,0)),"-")</f>
        <v>Kaos Polo</v>
      </c>
      <c r="U579" t="str">
        <f>IFERROR(VLOOKUP(S579,Katalog!$A$15:$B$25,2,0),"-")</f>
        <v>Pakaian Pria</v>
      </c>
      <c r="V579" t="str">
        <f t="shared" ref="V579:V642" si="334">IFERROR(MID(D579,BB579+2,BC579-BB579-2),0)</f>
        <v>1</v>
      </c>
      <c r="W579" s="28" t="str">
        <f t="shared" ref="W579:W642" si="335">IFERROR(MID(D579,BD579+2,BE579-BD579-2),"-")</f>
        <v>5</v>
      </c>
      <c r="X579" s="18">
        <f>IFERROR(VLOOKUP(S579,Katalog!$C$3:$F$13,2,0),0)</f>
        <v>80000</v>
      </c>
      <c r="Y579" s="30">
        <f>IFERROR(VLOOKUP(S579,Katalog!$C$3:$F$13,3,0),0)</f>
        <v>30000</v>
      </c>
      <c r="Z579" s="2">
        <f t="shared" ref="Z579:Z642" si="336">H579+O579+V579</f>
        <v>4</v>
      </c>
      <c r="AA579" s="4">
        <f t="shared" ref="AA579:AA642" si="337">J579*H579+Q579*O579+X579*V579</f>
        <v>480000</v>
      </c>
      <c r="AB579" s="4">
        <f t="shared" ref="AB579:AB642" si="338">K579*H579+R579*O579+Y579*V579</f>
        <v>200000</v>
      </c>
      <c r="AC579" s="4" t="s">
        <v>27</v>
      </c>
      <c r="AD579" s="16">
        <f>IFERROR(VLOOKUP(AC579,'Kode Diskon'!$C$2:$D$9,2,0),0)</f>
        <v>0.15</v>
      </c>
      <c r="AE579" s="31">
        <f t="shared" ref="AE579:AE642" si="339">AA579*AD579</f>
        <v>72000</v>
      </c>
      <c r="AF579" s="31">
        <f t="shared" ref="AF579:AF642" si="340">AA579-AE579</f>
        <v>408000</v>
      </c>
      <c r="AG579" s="31">
        <f t="shared" ref="AG579:AG642" si="341">AA579-AB579</f>
        <v>280000</v>
      </c>
      <c r="AH579" s="31">
        <f t="shared" ref="AH579:AH642" si="342">AF579-AB579</f>
        <v>208000</v>
      </c>
      <c r="AI579" s="4" t="s">
        <v>28</v>
      </c>
      <c r="AJ579" s="4" t="s">
        <v>13</v>
      </c>
      <c r="AK579" s="4" t="str">
        <f>IFERROR(VLOOKUP(AJ579,'Guide '!$A$13:$B$16,2,0),"-")</f>
        <v>BB</v>
      </c>
      <c r="AL579" s="4" t="s">
        <v>921</v>
      </c>
      <c r="AM579" s="40">
        <v>45501</v>
      </c>
      <c r="AN579">
        <f t="shared" ref="AN579:AN642" si="343">FIND(":",D579,AT579+1)</f>
        <v>29</v>
      </c>
      <c r="AO579">
        <f t="shared" ref="AO579:AO642" si="344">FIND(",",D579,AU579+1)</f>
        <v>32</v>
      </c>
      <c r="AP579">
        <f t="shared" ref="AP579:AP642" si="345">FIND(":",D579,AN579+1)</f>
        <v>40</v>
      </c>
      <c r="AQ579">
        <f t="shared" ref="AQ579:AQ642" si="346">FIND("}",D579,AO579+1)</f>
        <v>43</v>
      </c>
      <c r="AR579" s="26">
        <f t="shared" ref="AR579:AR642" si="347">IFERROR(FIND(":",D579,AP579+1),"-")</f>
        <v>56</v>
      </c>
      <c r="AS579" s="26">
        <f t="shared" ref="AS579:AS642" si="348">IFERROR(FIND(",",D579,AQ579+2),"-")</f>
        <v>63</v>
      </c>
      <c r="AT579" s="21">
        <f t="shared" ref="AT579:AT642" si="349">FIND(":",D579)</f>
        <v>12</v>
      </c>
      <c r="AU579" s="21">
        <f t="shared" ref="AU579:AU642" si="350">FIND(",",D579)</f>
        <v>19</v>
      </c>
      <c r="AV579">
        <f t="shared" ref="AV579:AV642" si="351">IFERROR(FIND(":",D579,AR579+1),"-")</f>
        <v>73</v>
      </c>
      <c r="AW579">
        <f t="shared" ref="AW579:AW642" si="352">IFERROR(FIND(",",D579,AS579+1),"-")</f>
        <v>76</v>
      </c>
      <c r="AX579">
        <f t="shared" ref="AX579:AX642" si="353">IFERROR(FIND(":",D579,AV579+1),"-")</f>
        <v>84</v>
      </c>
      <c r="AY579">
        <f t="shared" ref="AY579:AY642" si="354">IFERROR(FIND("}",D579,AW579+1),"-")</f>
        <v>87</v>
      </c>
      <c r="AZ579">
        <f t="shared" ref="AZ579:AZ642" si="355">IFERROR(FIND(":",D579,AX579+1),"-")</f>
        <v>100</v>
      </c>
      <c r="BA579">
        <f t="shared" ref="BA579:BA642" si="356">IFERROR(FIND(",",D579,AY579+2),"-")</f>
        <v>107</v>
      </c>
      <c r="BB579">
        <f t="shared" ref="BB579:BB642" si="357">IFERROR(FIND(":",D579,AZ579+1),"-")</f>
        <v>117</v>
      </c>
      <c r="BC579">
        <f t="shared" ref="BC579:BC642" si="358">IFERROR(FIND(",",D579,BA579+1),"-")</f>
        <v>120</v>
      </c>
      <c r="BD579" s="29">
        <f t="shared" ref="BD579:BD642" si="359">IFERROR(FIND(":",D579,BB579+1),"-")</f>
        <v>128</v>
      </c>
      <c r="BE579" s="29">
        <f t="shared" ref="BE579:BE642" si="360">IFERROR(FIND("}",D579,BC579+1),"-")</f>
        <v>131</v>
      </c>
    </row>
    <row r="580" spans="1:57" ht="15" x14ac:dyDescent="0.2">
      <c r="A580" s="2">
        <v>203</v>
      </c>
      <c r="B580" s="2" t="str">
        <f t="shared" si="325"/>
        <v>0203</v>
      </c>
      <c r="C580" t="str">
        <f t="shared" si="326"/>
        <v>ORD-SP-0203-29/07/24</v>
      </c>
      <c r="D580" s="3" t="s">
        <v>272</v>
      </c>
      <c r="E580" t="str">
        <f t="shared" si="327"/>
        <v>SP002</v>
      </c>
      <c r="F580" t="str">
        <f>INDEX(Katalog!$B$4:$B$13,MATCH('Main Data'!E580,Katalog!$C$4:$C$13,0))</f>
        <v>Sandal Slip On</v>
      </c>
      <c r="G580" t="str">
        <f>VLOOKUP(E580,Katalog!$A$15:$B$25,2,0)</f>
        <v>Sepatu Pria</v>
      </c>
      <c r="H580" t="str">
        <f t="shared" si="328"/>
        <v>5</v>
      </c>
      <c r="I580" t="str">
        <f t="shared" si="329"/>
        <v>2</v>
      </c>
      <c r="J580" s="18">
        <f>VLOOKUP(E580,Katalog!$C$3:$F$13,2,0)</f>
        <v>120000</v>
      </c>
      <c r="K580" s="18">
        <f>VLOOKUP(E580,Katalog!$C$3:$F$13,3,0)</f>
        <v>60000</v>
      </c>
      <c r="L580" t="str">
        <f t="shared" si="330"/>
        <v>PW002</v>
      </c>
      <c r="M580" t="str">
        <f>IFERROR(INDEX(Katalog!$B$4:$B$13,MATCH('Main Data'!L580,Katalog!$C$4:$C$13,0)), "-")</f>
        <v>Blouse</v>
      </c>
      <c r="N580" t="str">
        <f>IFERROR(VLOOKUP(L580,Katalog!$A$15:$B$25,2,0),"-")</f>
        <v>Pakaian Wanita</v>
      </c>
      <c r="O580" t="str">
        <f t="shared" si="331"/>
        <v>2</v>
      </c>
      <c r="P580" t="str">
        <f t="shared" si="332"/>
        <v>1</v>
      </c>
      <c r="Q580" s="18">
        <f>IFERROR(VLOOKUP(L580,Katalog!$C$3:$F$13,2,0),0)</f>
        <v>125000</v>
      </c>
      <c r="R580" s="18">
        <f>IFERROR(VLOOKUP(L580,Katalog!$C$3:$F$13,3,0),0)</f>
        <v>50000</v>
      </c>
      <c r="S580" t="str">
        <f t="shared" si="333"/>
        <v>-</v>
      </c>
      <c r="T580" t="str">
        <f>IFERROR(INDEX(Katalog!$B$4:$B$13,MATCH('Main Data'!S580,Katalog!$C$4:$C$13,0)),"-")</f>
        <v>-</v>
      </c>
      <c r="U580" t="str">
        <f>IFERROR(VLOOKUP(S580,Katalog!$A$15:$B$25,2,0),"-")</f>
        <v>-</v>
      </c>
      <c r="V580">
        <f t="shared" si="334"/>
        <v>0</v>
      </c>
      <c r="W580" s="28" t="str">
        <f t="shared" si="335"/>
        <v>-</v>
      </c>
      <c r="X580" s="18">
        <f>IFERROR(VLOOKUP(S580,Katalog!$C$3:$F$13,2,0),0)</f>
        <v>0</v>
      </c>
      <c r="Y580" s="30">
        <f>IFERROR(VLOOKUP(S580,Katalog!$C$3:$F$13,3,0),0)</f>
        <v>0</v>
      </c>
      <c r="Z580" s="2">
        <f t="shared" si="336"/>
        <v>7</v>
      </c>
      <c r="AA580" s="4">
        <f t="shared" si="337"/>
        <v>850000</v>
      </c>
      <c r="AB580" s="4">
        <f t="shared" si="338"/>
        <v>400000</v>
      </c>
      <c r="AC580" s="4" t="s">
        <v>12</v>
      </c>
      <c r="AD580" s="16">
        <f>IFERROR(VLOOKUP(AC580,'Kode Diskon'!$C$2:$D$9,2,0),0)</f>
        <v>0.15</v>
      </c>
      <c r="AE580" s="31">
        <f t="shared" si="339"/>
        <v>127500</v>
      </c>
      <c r="AF580" s="31">
        <f t="shared" si="340"/>
        <v>722500</v>
      </c>
      <c r="AG580" s="31">
        <f t="shared" si="341"/>
        <v>450000</v>
      </c>
      <c r="AH580" s="31">
        <f t="shared" si="342"/>
        <v>322500</v>
      </c>
      <c r="AI580" s="4" t="s">
        <v>28</v>
      </c>
      <c r="AJ580" s="4" t="s">
        <v>6</v>
      </c>
      <c r="AK580" s="4" t="str">
        <f>IFERROR(VLOOKUP(AJ580,'Guide '!$A$13:$B$16,2,0),"-")</f>
        <v>SP</v>
      </c>
      <c r="AL580" s="4" t="s">
        <v>925</v>
      </c>
      <c r="AM580" s="40">
        <v>45502</v>
      </c>
      <c r="AN580">
        <f t="shared" si="343"/>
        <v>29</v>
      </c>
      <c r="AO580">
        <f t="shared" si="344"/>
        <v>32</v>
      </c>
      <c r="AP580">
        <f t="shared" si="345"/>
        <v>40</v>
      </c>
      <c r="AQ580">
        <f t="shared" si="346"/>
        <v>43</v>
      </c>
      <c r="AR580" s="26">
        <f t="shared" si="347"/>
        <v>56</v>
      </c>
      <c r="AS580" s="26">
        <f t="shared" si="348"/>
        <v>63</v>
      </c>
      <c r="AT580" s="21">
        <f t="shared" si="349"/>
        <v>12</v>
      </c>
      <c r="AU580" s="21">
        <f t="shared" si="350"/>
        <v>19</v>
      </c>
      <c r="AV580">
        <f t="shared" si="351"/>
        <v>73</v>
      </c>
      <c r="AW580">
        <f t="shared" si="352"/>
        <v>76</v>
      </c>
      <c r="AX580">
        <f t="shared" si="353"/>
        <v>84</v>
      </c>
      <c r="AY580">
        <f t="shared" si="354"/>
        <v>87</v>
      </c>
      <c r="AZ580" t="str">
        <f t="shared" si="355"/>
        <v>-</v>
      </c>
      <c r="BA580" t="str">
        <f t="shared" si="356"/>
        <v>-</v>
      </c>
      <c r="BB580" t="str">
        <f t="shared" si="357"/>
        <v>-</v>
      </c>
      <c r="BC580" t="str">
        <f t="shared" si="358"/>
        <v>-</v>
      </c>
      <c r="BD580" s="29" t="str">
        <f t="shared" si="359"/>
        <v>-</v>
      </c>
      <c r="BE580" s="29" t="str">
        <f t="shared" si="360"/>
        <v>-</v>
      </c>
    </row>
    <row r="581" spans="1:57" ht="15" x14ac:dyDescent="0.2">
      <c r="A581" s="2">
        <v>3</v>
      </c>
      <c r="B581" s="2" t="str">
        <f t="shared" si="325"/>
        <v>0003</v>
      </c>
      <c r="C581" t="str">
        <f t="shared" si="326"/>
        <v>ORD-TK-0003-30/07/24</v>
      </c>
      <c r="D581" s="3" t="s">
        <v>77</v>
      </c>
      <c r="E581" t="str">
        <f t="shared" si="327"/>
        <v>PW003</v>
      </c>
      <c r="F581" t="str">
        <f>INDEX(Katalog!$B$4:$B$13,MATCH('Main Data'!E581,Katalog!$C$4:$C$13,0))</f>
        <v>Kaftan</v>
      </c>
      <c r="G581" t="str">
        <f>VLOOKUP(E581,Katalog!$A$15:$B$25,2,0)</f>
        <v>Pakaian Wanita</v>
      </c>
      <c r="H581" t="str">
        <f t="shared" si="328"/>
        <v>2</v>
      </c>
      <c r="I581" t="str">
        <f t="shared" si="329"/>
        <v>3</v>
      </c>
      <c r="J581" s="18">
        <f>VLOOKUP(E581,Katalog!$C$3:$F$13,2,0)</f>
        <v>200000</v>
      </c>
      <c r="K581" s="18">
        <f>VLOOKUP(E581,Katalog!$C$3:$F$13,3,0)</f>
        <v>100000</v>
      </c>
      <c r="L581" t="str">
        <f t="shared" si="330"/>
        <v>SW001</v>
      </c>
      <c r="M581" t="str">
        <f>IFERROR(INDEX(Katalog!$B$4:$B$13,MATCH('Main Data'!L581,Katalog!$C$4:$C$13,0)), "-")</f>
        <v>Flat Shoes</v>
      </c>
      <c r="N581" t="str">
        <f>IFERROR(VLOOKUP(L581,Katalog!$A$15:$B$25,2,0),"-")</f>
        <v>Sepatu Wanita</v>
      </c>
      <c r="O581" t="str">
        <f t="shared" si="331"/>
        <v>1</v>
      </c>
      <c r="P581" t="str">
        <f t="shared" si="332"/>
        <v>5</v>
      </c>
      <c r="Q581" s="18">
        <f>IFERROR(VLOOKUP(L581,Katalog!$C$3:$F$13,2,0),0)</f>
        <v>150000</v>
      </c>
      <c r="R581" s="18">
        <f>IFERROR(VLOOKUP(L581,Katalog!$C$3:$F$13,3,0),0)</f>
        <v>70000</v>
      </c>
      <c r="S581" t="str">
        <f t="shared" si="333"/>
        <v>-</v>
      </c>
      <c r="T581" t="str">
        <f>IFERROR(INDEX(Katalog!$B$4:$B$13,MATCH('Main Data'!S581,Katalog!$C$4:$C$13,0)),"-")</f>
        <v>-</v>
      </c>
      <c r="U581" t="str">
        <f>IFERROR(VLOOKUP(S581,Katalog!$A$15:$B$25,2,0),"-")</f>
        <v>-</v>
      </c>
      <c r="V581">
        <f t="shared" si="334"/>
        <v>0</v>
      </c>
      <c r="W581" s="28" t="str">
        <f t="shared" si="335"/>
        <v>-</v>
      </c>
      <c r="X581" s="18">
        <f>IFERROR(VLOOKUP(S581,Katalog!$C$3:$F$13,2,0),0)</f>
        <v>0</v>
      </c>
      <c r="Y581" s="30">
        <f>IFERROR(VLOOKUP(S581,Katalog!$C$3:$F$13,3,0),0)</f>
        <v>0</v>
      </c>
      <c r="Z581" s="2">
        <f t="shared" si="336"/>
        <v>3</v>
      </c>
      <c r="AA581" s="4">
        <f t="shared" si="337"/>
        <v>550000</v>
      </c>
      <c r="AB581" s="4">
        <f t="shared" si="338"/>
        <v>270000</v>
      </c>
      <c r="AC581" s="4" t="s">
        <v>29</v>
      </c>
      <c r="AD581" s="16">
        <f>IFERROR(VLOOKUP(AC581,'Kode Diskon'!$C$2:$D$9,2,0),0)</f>
        <v>0.1</v>
      </c>
      <c r="AE581" s="31">
        <f t="shared" si="339"/>
        <v>55000</v>
      </c>
      <c r="AF581" s="31">
        <f t="shared" si="340"/>
        <v>495000</v>
      </c>
      <c r="AG581" s="31">
        <f t="shared" si="341"/>
        <v>280000</v>
      </c>
      <c r="AH581" s="31">
        <f t="shared" si="342"/>
        <v>225000</v>
      </c>
      <c r="AI581" s="4" t="s">
        <v>28</v>
      </c>
      <c r="AJ581" s="4" t="s">
        <v>9</v>
      </c>
      <c r="AK581" s="4" t="str">
        <f>IFERROR(VLOOKUP(AJ581,'Guide '!$A$13:$B$16,2,0),"-")</f>
        <v>TK</v>
      </c>
      <c r="AL581" s="4" t="s">
        <v>921</v>
      </c>
      <c r="AM581" s="40">
        <v>45503</v>
      </c>
      <c r="AN581">
        <f t="shared" si="343"/>
        <v>29</v>
      </c>
      <c r="AO581">
        <f t="shared" si="344"/>
        <v>32</v>
      </c>
      <c r="AP581">
        <f t="shared" si="345"/>
        <v>40</v>
      </c>
      <c r="AQ581">
        <f t="shared" si="346"/>
        <v>43</v>
      </c>
      <c r="AR581" s="26">
        <f t="shared" si="347"/>
        <v>56</v>
      </c>
      <c r="AS581" s="26">
        <f t="shared" si="348"/>
        <v>63</v>
      </c>
      <c r="AT581" s="21">
        <f t="shared" si="349"/>
        <v>12</v>
      </c>
      <c r="AU581" s="21">
        <f t="shared" si="350"/>
        <v>19</v>
      </c>
      <c r="AV581">
        <f t="shared" si="351"/>
        <v>73</v>
      </c>
      <c r="AW581">
        <f t="shared" si="352"/>
        <v>76</v>
      </c>
      <c r="AX581">
        <f t="shared" si="353"/>
        <v>84</v>
      </c>
      <c r="AY581">
        <f t="shared" si="354"/>
        <v>87</v>
      </c>
      <c r="AZ581" t="str">
        <f t="shared" si="355"/>
        <v>-</v>
      </c>
      <c r="BA581" t="str">
        <f t="shared" si="356"/>
        <v>-</v>
      </c>
      <c r="BB581" t="str">
        <f t="shared" si="357"/>
        <v>-</v>
      </c>
      <c r="BC581" t="str">
        <f t="shared" si="358"/>
        <v>-</v>
      </c>
      <c r="BD581" s="29" t="str">
        <f t="shared" si="359"/>
        <v>-</v>
      </c>
      <c r="BE581" s="29" t="str">
        <f t="shared" si="360"/>
        <v>-</v>
      </c>
    </row>
    <row r="582" spans="1:57" ht="15" x14ac:dyDescent="0.2">
      <c r="A582" s="2">
        <v>415</v>
      </c>
      <c r="B582" s="2" t="str">
        <f t="shared" si="325"/>
        <v>0415</v>
      </c>
      <c r="C582" t="str">
        <f t="shared" si="326"/>
        <v>ORD-TK-0415-30/07/24</v>
      </c>
      <c r="D582" s="3" t="s">
        <v>459</v>
      </c>
      <c r="E582" t="str">
        <f t="shared" si="327"/>
        <v>PP002</v>
      </c>
      <c r="F582" t="str">
        <f>INDEX(Katalog!$B$4:$B$13,MATCH('Main Data'!E582,Katalog!$C$4:$C$13,0))</f>
        <v>Celana Pendek</v>
      </c>
      <c r="G582" t="str">
        <f>VLOOKUP(E582,Katalog!$A$15:$B$25,2,0)</f>
        <v>Pakaian Pria</v>
      </c>
      <c r="H582" t="str">
        <f t="shared" si="328"/>
        <v>2</v>
      </c>
      <c r="I582" t="str">
        <f t="shared" si="329"/>
        <v>5</v>
      </c>
      <c r="J582" s="18">
        <f>VLOOKUP(E582,Katalog!$C$3:$F$13,2,0)</f>
        <v>60000</v>
      </c>
      <c r="K582" s="18">
        <f>VLOOKUP(E582,Katalog!$C$3:$F$13,3,0)</f>
        <v>25000</v>
      </c>
      <c r="L582" t="str">
        <f t="shared" si="330"/>
        <v>SP002</v>
      </c>
      <c r="M582" t="str">
        <f>IFERROR(INDEX(Katalog!$B$4:$B$13,MATCH('Main Data'!L582,Katalog!$C$4:$C$13,0)), "-")</f>
        <v>Sandal Slip On</v>
      </c>
      <c r="N582" t="str">
        <f>IFERROR(VLOOKUP(L582,Katalog!$A$15:$B$25,2,0),"-")</f>
        <v>Sepatu Pria</v>
      </c>
      <c r="O582" t="str">
        <f t="shared" si="331"/>
        <v>1</v>
      </c>
      <c r="P582" t="str">
        <f t="shared" si="332"/>
        <v>5</v>
      </c>
      <c r="Q582" s="18">
        <f>IFERROR(VLOOKUP(L582,Katalog!$C$3:$F$13,2,0),0)</f>
        <v>120000</v>
      </c>
      <c r="R582" s="18">
        <f>IFERROR(VLOOKUP(L582,Katalog!$C$3:$F$13,3,0),0)</f>
        <v>60000</v>
      </c>
      <c r="S582" t="str">
        <f t="shared" si="333"/>
        <v>-</v>
      </c>
      <c r="T582" t="str">
        <f>IFERROR(INDEX(Katalog!$B$4:$B$13,MATCH('Main Data'!S582,Katalog!$C$4:$C$13,0)),"-")</f>
        <v>-</v>
      </c>
      <c r="U582" t="str">
        <f>IFERROR(VLOOKUP(S582,Katalog!$A$15:$B$25,2,0),"-")</f>
        <v>-</v>
      </c>
      <c r="V582">
        <f t="shared" si="334"/>
        <v>0</v>
      </c>
      <c r="W582" s="28" t="str">
        <f t="shared" si="335"/>
        <v>-</v>
      </c>
      <c r="X582" s="18">
        <f>IFERROR(VLOOKUP(S582,Katalog!$C$3:$F$13,2,0),0)</f>
        <v>0</v>
      </c>
      <c r="Y582" s="30">
        <f>IFERROR(VLOOKUP(S582,Katalog!$C$3:$F$13,3,0),0)</f>
        <v>0</v>
      </c>
      <c r="Z582" s="2">
        <f t="shared" si="336"/>
        <v>3</v>
      </c>
      <c r="AA582" s="4">
        <f t="shared" si="337"/>
        <v>240000</v>
      </c>
      <c r="AB582" s="4">
        <f t="shared" si="338"/>
        <v>110000</v>
      </c>
      <c r="AC582" s="4" t="s">
        <v>29</v>
      </c>
      <c r="AD582" s="16">
        <f>IFERROR(VLOOKUP(AC582,'Kode Diskon'!$C$2:$D$9,2,0),0)</f>
        <v>0.1</v>
      </c>
      <c r="AE582" s="31">
        <f t="shared" si="339"/>
        <v>24000</v>
      </c>
      <c r="AF582" s="31">
        <f t="shared" si="340"/>
        <v>216000</v>
      </c>
      <c r="AG582" s="31">
        <f t="shared" si="341"/>
        <v>130000</v>
      </c>
      <c r="AH582" s="31">
        <f t="shared" si="342"/>
        <v>106000</v>
      </c>
      <c r="AI582" s="4" t="s">
        <v>28</v>
      </c>
      <c r="AJ582" s="4" t="s">
        <v>9</v>
      </c>
      <c r="AK582" s="4" t="str">
        <f>IFERROR(VLOOKUP(AJ582,'Guide '!$A$13:$B$16,2,0),"-")</f>
        <v>TK</v>
      </c>
      <c r="AL582" s="4" t="s">
        <v>925</v>
      </c>
      <c r="AM582" s="40">
        <v>45503</v>
      </c>
      <c r="AN582">
        <f t="shared" si="343"/>
        <v>29</v>
      </c>
      <c r="AO582">
        <f t="shared" si="344"/>
        <v>32</v>
      </c>
      <c r="AP582">
        <f t="shared" si="345"/>
        <v>40</v>
      </c>
      <c r="AQ582">
        <f t="shared" si="346"/>
        <v>43</v>
      </c>
      <c r="AR582" s="26">
        <f t="shared" si="347"/>
        <v>56</v>
      </c>
      <c r="AS582" s="26">
        <f t="shared" si="348"/>
        <v>63</v>
      </c>
      <c r="AT582" s="21">
        <f t="shared" si="349"/>
        <v>12</v>
      </c>
      <c r="AU582" s="21">
        <f t="shared" si="350"/>
        <v>19</v>
      </c>
      <c r="AV582">
        <f t="shared" si="351"/>
        <v>73</v>
      </c>
      <c r="AW582">
        <f t="shared" si="352"/>
        <v>76</v>
      </c>
      <c r="AX582">
        <f t="shared" si="353"/>
        <v>84</v>
      </c>
      <c r="AY582">
        <f t="shared" si="354"/>
        <v>87</v>
      </c>
      <c r="AZ582" t="str">
        <f t="shared" si="355"/>
        <v>-</v>
      </c>
      <c r="BA582" t="str">
        <f t="shared" si="356"/>
        <v>-</v>
      </c>
      <c r="BB582" t="str">
        <f t="shared" si="357"/>
        <v>-</v>
      </c>
      <c r="BC582" t="str">
        <f t="shared" si="358"/>
        <v>-</v>
      </c>
      <c r="BD582" s="29" t="str">
        <f t="shared" si="359"/>
        <v>-</v>
      </c>
      <c r="BE582" s="29" t="str">
        <f t="shared" si="360"/>
        <v>-</v>
      </c>
    </row>
    <row r="583" spans="1:57" ht="15" x14ac:dyDescent="0.2">
      <c r="A583" s="2">
        <v>204</v>
      </c>
      <c r="B583" s="2" t="str">
        <f t="shared" si="325"/>
        <v>0204</v>
      </c>
      <c r="C583" t="str">
        <f t="shared" si="326"/>
        <v>ORD-BL-0204-31/07/24</v>
      </c>
      <c r="D583" s="3" t="s">
        <v>273</v>
      </c>
      <c r="E583" t="str">
        <f t="shared" si="327"/>
        <v>PW001</v>
      </c>
      <c r="F583" t="str">
        <f>INDEX(Katalog!$B$4:$B$13,MATCH('Main Data'!E583,Katalog!$C$4:$C$13,0))</f>
        <v>Dress</v>
      </c>
      <c r="G583" t="str">
        <f>VLOOKUP(E583,Katalog!$A$15:$B$25,2,0)</f>
        <v>Pakaian Wanita</v>
      </c>
      <c r="H583" t="str">
        <f t="shared" si="328"/>
        <v>2</v>
      </c>
      <c r="I583" t="str">
        <f t="shared" si="329"/>
        <v>2</v>
      </c>
      <c r="J583" s="18">
        <f>VLOOKUP(E583,Katalog!$C$3:$F$13,2,0)</f>
        <v>150000</v>
      </c>
      <c r="K583" s="18">
        <f>VLOOKUP(E583,Katalog!$C$3:$F$13,3,0)</f>
        <v>55000</v>
      </c>
      <c r="L583" t="str">
        <f t="shared" si="330"/>
        <v>PW003</v>
      </c>
      <c r="M583" t="str">
        <f>IFERROR(INDEX(Katalog!$B$4:$B$13,MATCH('Main Data'!L583,Katalog!$C$4:$C$13,0)), "-")</f>
        <v>Kaftan</v>
      </c>
      <c r="N583" t="str">
        <f>IFERROR(VLOOKUP(L583,Katalog!$A$15:$B$25,2,0),"-")</f>
        <v>Pakaian Wanita</v>
      </c>
      <c r="O583" t="str">
        <f t="shared" si="331"/>
        <v>1</v>
      </c>
      <c r="P583" t="str">
        <f t="shared" si="332"/>
        <v>2</v>
      </c>
      <c r="Q583" s="18">
        <f>IFERROR(VLOOKUP(L583,Katalog!$C$3:$F$13,2,0),0)</f>
        <v>200000</v>
      </c>
      <c r="R583" s="18">
        <f>IFERROR(VLOOKUP(L583,Katalog!$C$3:$F$13,3,0),0)</f>
        <v>100000</v>
      </c>
      <c r="S583" t="str">
        <f t="shared" si="333"/>
        <v>-</v>
      </c>
      <c r="T583" t="str">
        <f>IFERROR(INDEX(Katalog!$B$4:$B$13,MATCH('Main Data'!S583,Katalog!$C$4:$C$13,0)),"-")</f>
        <v>-</v>
      </c>
      <c r="U583" t="str">
        <f>IFERROR(VLOOKUP(S583,Katalog!$A$15:$B$25,2,0),"-")</f>
        <v>-</v>
      </c>
      <c r="V583">
        <f t="shared" si="334"/>
        <v>0</v>
      </c>
      <c r="W583" s="28" t="str">
        <f t="shared" si="335"/>
        <v>-</v>
      </c>
      <c r="X583" s="18">
        <f>IFERROR(VLOOKUP(S583,Katalog!$C$3:$F$13,2,0),0)</f>
        <v>0</v>
      </c>
      <c r="Y583" s="30">
        <f>IFERROR(VLOOKUP(S583,Katalog!$C$3:$F$13,3,0),0)</f>
        <v>0</v>
      </c>
      <c r="Z583" s="2">
        <f t="shared" si="336"/>
        <v>3</v>
      </c>
      <c r="AA583" s="4">
        <f t="shared" si="337"/>
        <v>500000</v>
      </c>
      <c r="AB583" s="4">
        <f t="shared" si="338"/>
        <v>210000</v>
      </c>
      <c r="AC583" s="4" t="s">
        <v>31</v>
      </c>
      <c r="AD583" s="16">
        <f>IFERROR(VLOOKUP(AC583,'Kode Diskon'!$C$2:$D$9,2,0),0)</f>
        <v>0.15</v>
      </c>
      <c r="AE583" s="31">
        <f t="shared" si="339"/>
        <v>75000</v>
      </c>
      <c r="AF583" s="31">
        <f t="shared" si="340"/>
        <v>425000</v>
      </c>
      <c r="AG583" s="31">
        <f t="shared" si="341"/>
        <v>290000</v>
      </c>
      <c r="AH583" s="31">
        <f t="shared" si="342"/>
        <v>215000</v>
      </c>
      <c r="AI583" s="4" t="s">
        <v>8</v>
      </c>
      <c r="AJ583" s="4" t="s">
        <v>11</v>
      </c>
      <c r="AK583" s="4" t="str">
        <f>IFERROR(VLOOKUP(AJ583,'Guide '!$A$13:$B$16,2,0),"-")</f>
        <v>BL</v>
      </c>
      <c r="AL583" s="4" t="s">
        <v>925</v>
      </c>
      <c r="AM583" s="40">
        <v>45504</v>
      </c>
      <c r="AN583">
        <f t="shared" si="343"/>
        <v>29</v>
      </c>
      <c r="AO583">
        <f t="shared" si="344"/>
        <v>32</v>
      </c>
      <c r="AP583">
        <f t="shared" si="345"/>
        <v>40</v>
      </c>
      <c r="AQ583">
        <f t="shared" si="346"/>
        <v>43</v>
      </c>
      <c r="AR583" s="26">
        <f t="shared" si="347"/>
        <v>56</v>
      </c>
      <c r="AS583" s="26">
        <f t="shared" si="348"/>
        <v>63</v>
      </c>
      <c r="AT583" s="21">
        <f t="shared" si="349"/>
        <v>12</v>
      </c>
      <c r="AU583" s="21">
        <f t="shared" si="350"/>
        <v>19</v>
      </c>
      <c r="AV583">
        <f t="shared" si="351"/>
        <v>73</v>
      </c>
      <c r="AW583">
        <f t="shared" si="352"/>
        <v>76</v>
      </c>
      <c r="AX583">
        <f t="shared" si="353"/>
        <v>84</v>
      </c>
      <c r="AY583">
        <f t="shared" si="354"/>
        <v>87</v>
      </c>
      <c r="AZ583" t="str">
        <f t="shared" si="355"/>
        <v>-</v>
      </c>
      <c r="BA583" t="str">
        <f t="shared" si="356"/>
        <v>-</v>
      </c>
      <c r="BB583" t="str">
        <f t="shared" si="357"/>
        <v>-</v>
      </c>
      <c r="BC583" t="str">
        <f t="shared" si="358"/>
        <v>-</v>
      </c>
      <c r="BD583" s="29" t="str">
        <f t="shared" si="359"/>
        <v>-</v>
      </c>
      <c r="BE583" s="29" t="str">
        <f t="shared" si="360"/>
        <v>-</v>
      </c>
    </row>
    <row r="584" spans="1:57" ht="15" x14ac:dyDescent="0.2">
      <c r="A584" s="2">
        <v>636</v>
      </c>
      <c r="B584" s="2" t="str">
        <f t="shared" si="325"/>
        <v>0636</v>
      </c>
      <c r="C584" t="str">
        <f t="shared" si="326"/>
        <v>ORD-TK-0636-31/07/24</v>
      </c>
      <c r="D584" s="3" t="s">
        <v>139</v>
      </c>
      <c r="E584" t="str">
        <f t="shared" si="327"/>
        <v>PW001</v>
      </c>
      <c r="F584" t="str">
        <f>INDEX(Katalog!$B$4:$B$13,MATCH('Main Data'!E584,Katalog!$C$4:$C$13,0))</f>
        <v>Dress</v>
      </c>
      <c r="G584" t="str">
        <f>VLOOKUP(E584,Katalog!$A$15:$B$25,2,0)</f>
        <v>Pakaian Wanita</v>
      </c>
      <c r="H584" t="str">
        <f t="shared" si="328"/>
        <v>1</v>
      </c>
      <c r="I584" t="str">
        <f t="shared" si="329"/>
        <v>5</v>
      </c>
      <c r="J584" s="18">
        <f>VLOOKUP(E584,Katalog!$C$3:$F$13,2,0)</f>
        <v>150000</v>
      </c>
      <c r="K584" s="18">
        <f>VLOOKUP(E584,Katalog!$C$3:$F$13,3,0)</f>
        <v>55000</v>
      </c>
      <c r="L584" t="str">
        <f t="shared" si="330"/>
        <v>-</v>
      </c>
      <c r="M584" t="str">
        <f>IFERROR(INDEX(Katalog!$B$4:$B$13,MATCH('Main Data'!L584,Katalog!$C$4:$C$13,0)), "-")</f>
        <v>-</v>
      </c>
      <c r="N584" t="str">
        <f>IFERROR(VLOOKUP(L584,Katalog!$A$15:$B$25,2,0),"-")</f>
        <v>-</v>
      </c>
      <c r="O584">
        <f t="shared" si="331"/>
        <v>0</v>
      </c>
      <c r="P584" t="str">
        <f t="shared" si="332"/>
        <v>-</v>
      </c>
      <c r="Q584" s="18">
        <f>IFERROR(VLOOKUP(L584,Katalog!$C$3:$F$13,2,0),0)</f>
        <v>0</v>
      </c>
      <c r="R584" s="18">
        <f>IFERROR(VLOOKUP(L584,Katalog!$C$3:$F$13,3,0),0)</f>
        <v>0</v>
      </c>
      <c r="S584" t="str">
        <f t="shared" si="333"/>
        <v>-</v>
      </c>
      <c r="T584" t="str">
        <f>IFERROR(INDEX(Katalog!$B$4:$B$13,MATCH('Main Data'!S584,Katalog!$C$4:$C$13,0)),"-")</f>
        <v>-</v>
      </c>
      <c r="U584" t="str">
        <f>IFERROR(VLOOKUP(S584,Katalog!$A$15:$B$25,2,0),"-")</f>
        <v>-</v>
      </c>
      <c r="V584">
        <f t="shared" si="334"/>
        <v>0</v>
      </c>
      <c r="W584" s="28" t="str">
        <f t="shared" si="335"/>
        <v>-</v>
      </c>
      <c r="X584" s="18">
        <f>IFERROR(VLOOKUP(S584,Katalog!$C$3:$F$13,2,0),0)</f>
        <v>0</v>
      </c>
      <c r="Y584" s="30">
        <f>IFERROR(VLOOKUP(S584,Katalog!$C$3:$F$13,3,0),0)</f>
        <v>0</v>
      </c>
      <c r="Z584" s="2">
        <f t="shared" si="336"/>
        <v>1</v>
      </c>
      <c r="AA584" s="4">
        <f t="shared" si="337"/>
        <v>150000</v>
      </c>
      <c r="AB584" s="4">
        <f t="shared" si="338"/>
        <v>55000</v>
      </c>
      <c r="AC584" s="4" t="s">
        <v>10</v>
      </c>
      <c r="AD584" s="16">
        <f>IFERROR(VLOOKUP(AC584,'Kode Diskon'!$C$2:$D$9,2,0),0)</f>
        <v>0</v>
      </c>
      <c r="AE584" s="31">
        <f t="shared" si="339"/>
        <v>0</v>
      </c>
      <c r="AF584" s="31">
        <f t="shared" si="340"/>
        <v>150000</v>
      </c>
      <c r="AG584" s="31">
        <f t="shared" si="341"/>
        <v>95000</v>
      </c>
      <c r="AH584" s="31">
        <f t="shared" si="342"/>
        <v>95000</v>
      </c>
      <c r="AI584" s="4" t="s">
        <v>10</v>
      </c>
      <c r="AJ584" s="4" t="s">
        <v>9</v>
      </c>
      <c r="AK584" s="4" t="str">
        <f>IFERROR(VLOOKUP(AJ584,'Guide '!$A$13:$B$16,2,0),"-")</f>
        <v>TK</v>
      </c>
      <c r="AL584" s="4" t="s">
        <v>922</v>
      </c>
      <c r="AM584" s="40">
        <v>45504</v>
      </c>
      <c r="AN584">
        <f t="shared" si="343"/>
        <v>29</v>
      </c>
      <c r="AO584">
        <f t="shared" si="344"/>
        <v>32</v>
      </c>
      <c r="AP584">
        <f t="shared" si="345"/>
        <v>40</v>
      </c>
      <c r="AQ584">
        <f t="shared" si="346"/>
        <v>43</v>
      </c>
      <c r="AR584" s="26" t="str">
        <f t="shared" si="347"/>
        <v>-</v>
      </c>
      <c r="AS584" s="26" t="str">
        <f t="shared" si="348"/>
        <v>-</v>
      </c>
      <c r="AT584" s="21">
        <f t="shared" si="349"/>
        <v>12</v>
      </c>
      <c r="AU584" s="21">
        <f t="shared" si="350"/>
        <v>19</v>
      </c>
      <c r="AV584" t="str">
        <f t="shared" si="351"/>
        <v>-</v>
      </c>
      <c r="AW584" t="str">
        <f t="shared" si="352"/>
        <v>-</v>
      </c>
      <c r="AX584" t="str">
        <f t="shared" si="353"/>
        <v>-</v>
      </c>
      <c r="AY584" t="str">
        <f t="shared" si="354"/>
        <v>-</v>
      </c>
      <c r="AZ584" t="str">
        <f t="shared" si="355"/>
        <v>-</v>
      </c>
      <c r="BA584" t="str">
        <f t="shared" si="356"/>
        <v>-</v>
      </c>
      <c r="BB584" t="str">
        <f t="shared" si="357"/>
        <v>-</v>
      </c>
      <c r="BC584" t="str">
        <f t="shared" si="358"/>
        <v>-</v>
      </c>
      <c r="BD584" s="29" t="str">
        <f t="shared" si="359"/>
        <v>-</v>
      </c>
      <c r="BE584" s="29" t="str">
        <f t="shared" si="360"/>
        <v>-</v>
      </c>
    </row>
    <row r="585" spans="1:57" ht="15" x14ac:dyDescent="0.2">
      <c r="A585" s="2">
        <v>646</v>
      </c>
      <c r="B585" s="2" t="str">
        <f t="shared" si="325"/>
        <v>0646</v>
      </c>
      <c r="C585" t="str">
        <f t="shared" si="326"/>
        <v>ORD-TK-0646-31/07/24</v>
      </c>
      <c r="D585" s="3" t="s">
        <v>649</v>
      </c>
      <c r="E585" t="str">
        <f t="shared" si="327"/>
        <v>PW002</v>
      </c>
      <c r="F585" t="str">
        <f>INDEX(Katalog!$B$4:$B$13,MATCH('Main Data'!E585,Katalog!$C$4:$C$13,0))</f>
        <v>Blouse</v>
      </c>
      <c r="G585" t="str">
        <f>VLOOKUP(E585,Katalog!$A$15:$B$25,2,0)</f>
        <v>Pakaian Wanita</v>
      </c>
      <c r="H585" t="str">
        <f t="shared" si="328"/>
        <v>2</v>
      </c>
      <c r="I585" t="str">
        <f t="shared" si="329"/>
        <v>2</v>
      </c>
      <c r="J585" s="18">
        <f>VLOOKUP(E585,Katalog!$C$3:$F$13,2,0)</f>
        <v>125000</v>
      </c>
      <c r="K585" s="18">
        <f>VLOOKUP(E585,Katalog!$C$3:$F$13,3,0)</f>
        <v>50000</v>
      </c>
      <c r="L585" t="str">
        <f t="shared" si="330"/>
        <v>-</v>
      </c>
      <c r="M585" t="str">
        <f>IFERROR(INDEX(Katalog!$B$4:$B$13,MATCH('Main Data'!L585,Katalog!$C$4:$C$13,0)), "-")</f>
        <v>-</v>
      </c>
      <c r="N585" t="str">
        <f>IFERROR(VLOOKUP(L585,Katalog!$A$15:$B$25,2,0),"-")</f>
        <v>-</v>
      </c>
      <c r="O585">
        <f t="shared" si="331"/>
        <v>0</v>
      </c>
      <c r="P585" t="str">
        <f t="shared" si="332"/>
        <v>-</v>
      </c>
      <c r="Q585" s="18">
        <f>IFERROR(VLOOKUP(L585,Katalog!$C$3:$F$13,2,0),0)</f>
        <v>0</v>
      </c>
      <c r="R585" s="18">
        <f>IFERROR(VLOOKUP(L585,Katalog!$C$3:$F$13,3,0),0)</f>
        <v>0</v>
      </c>
      <c r="S585" t="str">
        <f t="shared" si="333"/>
        <v>-</v>
      </c>
      <c r="T585" t="str">
        <f>IFERROR(INDEX(Katalog!$B$4:$B$13,MATCH('Main Data'!S585,Katalog!$C$4:$C$13,0)),"-")</f>
        <v>-</v>
      </c>
      <c r="U585" t="str">
        <f>IFERROR(VLOOKUP(S585,Katalog!$A$15:$B$25,2,0),"-")</f>
        <v>-</v>
      </c>
      <c r="V585">
        <f t="shared" si="334"/>
        <v>0</v>
      </c>
      <c r="W585" s="28" t="str">
        <f t="shared" si="335"/>
        <v>-</v>
      </c>
      <c r="X585" s="18">
        <f>IFERROR(VLOOKUP(S585,Katalog!$C$3:$F$13,2,0),0)</f>
        <v>0</v>
      </c>
      <c r="Y585" s="30">
        <f>IFERROR(VLOOKUP(S585,Katalog!$C$3:$F$13,3,0),0)</f>
        <v>0</v>
      </c>
      <c r="Z585" s="2">
        <f t="shared" si="336"/>
        <v>2</v>
      </c>
      <c r="AA585" s="4">
        <f t="shared" si="337"/>
        <v>250000</v>
      </c>
      <c r="AB585" s="4">
        <f t="shared" si="338"/>
        <v>100000</v>
      </c>
      <c r="AC585" s="4" t="s">
        <v>29</v>
      </c>
      <c r="AD585" s="16">
        <f>IFERROR(VLOOKUP(AC585,'Kode Diskon'!$C$2:$D$9,2,0),0)</f>
        <v>0.1</v>
      </c>
      <c r="AE585" s="31">
        <f t="shared" si="339"/>
        <v>25000</v>
      </c>
      <c r="AF585" s="31">
        <f t="shared" si="340"/>
        <v>225000</v>
      </c>
      <c r="AG585" s="31">
        <f t="shared" si="341"/>
        <v>150000</v>
      </c>
      <c r="AH585" s="31">
        <f t="shared" si="342"/>
        <v>125000</v>
      </c>
      <c r="AI585" s="4" t="s">
        <v>28</v>
      </c>
      <c r="AJ585" s="4" t="s">
        <v>9</v>
      </c>
      <c r="AK585" s="4" t="str">
        <f>IFERROR(VLOOKUP(AJ585,'Guide '!$A$13:$B$16,2,0),"-")</f>
        <v>TK</v>
      </c>
      <c r="AL585" s="4" t="s">
        <v>1006</v>
      </c>
      <c r="AM585" s="40">
        <v>45504</v>
      </c>
      <c r="AN585">
        <f t="shared" si="343"/>
        <v>29</v>
      </c>
      <c r="AO585">
        <f t="shared" si="344"/>
        <v>32</v>
      </c>
      <c r="AP585">
        <f t="shared" si="345"/>
        <v>40</v>
      </c>
      <c r="AQ585">
        <f t="shared" si="346"/>
        <v>43</v>
      </c>
      <c r="AR585" s="26" t="str">
        <f t="shared" si="347"/>
        <v>-</v>
      </c>
      <c r="AS585" s="26" t="str">
        <f t="shared" si="348"/>
        <v>-</v>
      </c>
      <c r="AT585" s="21">
        <f t="shared" si="349"/>
        <v>12</v>
      </c>
      <c r="AU585" s="21">
        <f t="shared" si="350"/>
        <v>19</v>
      </c>
      <c r="AV585" t="str">
        <f t="shared" si="351"/>
        <v>-</v>
      </c>
      <c r="AW585" t="str">
        <f t="shared" si="352"/>
        <v>-</v>
      </c>
      <c r="AX585" t="str">
        <f t="shared" si="353"/>
        <v>-</v>
      </c>
      <c r="AY585" t="str">
        <f t="shared" si="354"/>
        <v>-</v>
      </c>
      <c r="AZ585" t="str">
        <f t="shared" si="355"/>
        <v>-</v>
      </c>
      <c r="BA585" t="str">
        <f t="shared" si="356"/>
        <v>-</v>
      </c>
      <c r="BB585" t="str">
        <f t="shared" si="357"/>
        <v>-</v>
      </c>
      <c r="BC585" t="str">
        <f t="shared" si="358"/>
        <v>-</v>
      </c>
      <c r="BD585" s="29" t="str">
        <f t="shared" si="359"/>
        <v>-</v>
      </c>
      <c r="BE585" s="29" t="str">
        <f t="shared" si="360"/>
        <v>-</v>
      </c>
    </row>
    <row r="586" spans="1:57" ht="15" x14ac:dyDescent="0.2">
      <c r="A586" s="2">
        <v>664</v>
      </c>
      <c r="B586" s="2" t="str">
        <f t="shared" si="325"/>
        <v>0664</v>
      </c>
      <c r="C586" t="str">
        <f t="shared" si="326"/>
        <v>ORD-TK-0664-31/07/24</v>
      </c>
      <c r="D586" s="3" t="s">
        <v>665</v>
      </c>
      <c r="E586" t="str">
        <f t="shared" si="327"/>
        <v>PP003</v>
      </c>
      <c r="F586" t="str">
        <f>INDEX(Katalog!$B$4:$B$13,MATCH('Main Data'!E586,Katalog!$C$4:$C$13,0))</f>
        <v>Jaket Jeans</v>
      </c>
      <c r="G586" t="str">
        <f>VLOOKUP(E586,Katalog!$A$15:$B$25,2,0)</f>
        <v>Pakaian Pria</v>
      </c>
      <c r="H586" t="str">
        <f t="shared" si="328"/>
        <v>1</v>
      </c>
      <c r="I586" t="str">
        <f t="shared" si="329"/>
        <v>1</v>
      </c>
      <c r="J586" s="18">
        <f>VLOOKUP(E586,Katalog!$C$3:$F$13,2,0)</f>
        <v>150000</v>
      </c>
      <c r="K586" s="18">
        <f>VLOOKUP(E586,Katalog!$C$3:$F$13,3,0)</f>
        <v>70000</v>
      </c>
      <c r="L586" t="str">
        <f t="shared" si="330"/>
        <v>PW001</v>
      </c>
      <c r="M586" t="str">
        <f>IFERROR(INDEX(Katalog!$B$4:$B$13,MATCH('Main Data'!L586,Katalog!$C$4:$C$13,0)), "-")</f>
        <v>Dress</v>
      </c>
      <c r="N586" t="str">
        <f>IFERROR(VLOOKUP(L586,Katalog!$A$15:$B$25,2,0),"-")</f>
        <v>Pakaian Wanita</v>
      </c>
      <c r="O586" t="str">
        <f t="shared" si="331"/>
        <v>3</v>
      </c>
      <c r="P586" t="str">
        <f t="shared" si="332"/>
        <v>4</v>
      </c>
      <c r="Q586" s="18">
        <f>IFERROR(VLOOKUP(L586,Katalog!$C$3:$F$13,2,0),0)</f>
        <v>150000</v>
      </c>
      <c r="R586" s="18">
        <f>IFERROR(VLOOKUP(L586,Katalog!$C$3:$F$13,3,0),0)</f>
        <v>55000</v>
      </c>
      <c r="S586" t="str">
        <f t="shared" si="333"/>
        <v>PP002</v>
      </c>
      <c r="T586" t="str">
        <f>IFERROR(INDEX(Katalog!$B$4:$B$13,MATCH('Main Data'!S586,Katalog!$C$4:$C$13,0)),"-")</f>
        <v>Celana Pendek</v>
      </c>
      <c r="U586" t="str">
        <f>IFERROR(VLOOKUP(S586,Katalog!$A$15:$B$25,2,0),"-")</f>
        <v>Pakaian Pria</v>
      </c>
      <c r="V586" t="str">
        <f t="shared" si="334"/>
        <v>1</v>
      </c>
      <c r="W586" s="28" t="str">
        <f t="shared" si="335"/>
        <v>3</v>
      </c>
      <c r="X586" s="18">
        <f>IFERROR(VLOOKUP(S586,Katalog!$C$3:$F$13,2,0),0)</f>
        <v>60000</v>
      </c>
      <c r="Y586" s="30">
        <f>IFERROR(VLOOKUP(S586,Katalog!$C$3:$F$13,3,0),0)</f>
        <v>25000</v>
      </c>
      <c r="Z586" s="2">
        <f t="shared" si="336"/>
        <v>5</v>
      </c>
      <c r="AA586" s="4">
        <f t="shared" si="337"/>
        <v>660000</v>
      </c>
      <c r="AB586" s="4">
        <f t="shared" si="338"/>
        <v>260000</v>
      </c>
      <c r="AC586" s="4" t="s">
        <v>30</v>
      </c>
      <c r="AD586" s="16">
        <f>IFERROR(VLOOKUP(AC586,'Kode Diskon'!$C$2:$D$9,2,0),0)</f>
        <v>0.1</v>
      </c>
      <c r="AE586" s="31">
        <f t="shared" si="339"/>
        <v>66000</v>
      </c>
      <c r="AF586" s="31">
        <f t="shared" si="340"/>
        <v>594000</v>
      </c>
      <c r="AG586" s="31">
        <f t="shared" si="341"/>
        <v>400000</v>
      </c>
      <c r="AH586" s="31">
        <f t="shared" si="342"/>
        <v>334000</v>
      </c>
      <c r="AI586" s="4" t="s">
        <v>8</v>
      </c>
      <c r="AJ586" s="4" t="s">
        <v>9</v>
      </c>
      <c r="AK586" s="4" t="str">
        <f>IFERROR(VLOOKUP(AJ586,'Guide '!$A$13:$B$16,2,0),"-")</f>
        <v>TK</v>
      </c>
      <c r="AL586" s="4" t="s">
        <v>921</v>
      </c>
      <c r="AM586" s="40">
        <v>45504</v>
      </c>
      <c r="AN586">
        <f t="shared" si="343"/>
        <v>29</v>
      </c>
      <c r="AO586">
        <f t="shared" si="344"/>
        <v>32</v>
      </c>
      <c r="AP586">
        <f t="shared" si="345"/>
        <v>40</v>
      </c>
      <c r="AQ586">
        <f t="shared" si="346"/>
        <v>43</v>
      </c>
      <c r="AR586" s="26">
        <f t="shared" si="347"/>
        <v>56</v>
      </c>
      <c r="AS586" s="26">
        <f t="shared" si="348"/>
        <v>63</v>
      </c>
      <c r="AT586" s="21">
        <f t="shared" si="349"/>
        <v>12</v>
      </c>
      <c r="AU586" s="21">
        <f t="shared" si="350"/>
        <v>19</v>
      </c>
      <c r="AV586">
        <f t="shared" si="351"/>
        <v>73</v>
      </c>
      <c r="AW586">
        <f t="shared" si="352"/>
        <v>76</v>
      </c>
      <c r="AX586">
        <f t="shared" si="353"/>
        <v>84</v>
      </c>
      <c r="AY586">
        <f t="shared" si="354"/>
        <v>87</v>
      </c>
      <c r="AZ586">
        <f t="shared" si="355"/>
        <v>100</v>
      </c>
      <c r="BA586">
        <f t="shared" si="356"/>
        <v>107</v>
      </c>
      <c r="BB586">
        <f t="shared" si="357"/>
        <v>117</v>
      </c>
      <c r="BC586">
        <f t="shared" si="358"/>
        <v>120</v>
      </c>
      <c r="BD586" s="29">
        <f t="shared" si="359"/>
        <v>128</v>
      </c>
      <c r="BE586" s="29">
        <f t="shared" si="360"/>
        <v>131</v>
      </c>
    </row>
    <row r="587" spans="1:57" ht="15" x14ac:dyDescent="0.2">
      <c r="A587" s="2">
        <v>234</v>
      </c>
      <c r="B587" s="2" t="str">
        <f t="shared" si="325"/>
        <v>0234</v>
      </c>
      <c r="C587" t="str">
        <f t="shared" si="326"/>
        <v>ORD-BB-0234-02/08/24</v>
      </c>
      <c r="D587" s="3" t="s">
        <v>300</v>
      </c>
      <c r="E587" t="str">
        <f t="shared" si="327"/>
        <v>SP002</v>
      </c>
      <c r="F587" t="str">
        <f>INDEX(Katalog!$B$4:$B$13,MATCH('Main Data'!E587,Katalog!$C$4:$C$13,0))</f>
        <v>Sandal Slip On</v>
      </c>
      <c r="G587" t="str">
        <f>VLOOKUP(E587,Katalog!$A$15:$B$25,2,0)</f>
        <v>Sepatu Pria</v>
      </c>
      <c r="H587" t="str">
        <f t="shared" si="328"/>
        <v>4</v>
      </c>
      <c r="I587" t="str">
        <f t="shared" si="329"/>
        <v>2</v>
      </c>
      <c r="J587" s="18">
        <f>VLOOKUP(E587,Katalog!$C$3:$F$13,2,0)</f>
        <v>120000</v>
      </c>
      <c r="K587" s="18">
        <f>VLOOKUP(E587,Katalog!$C$3:$F$13,3,0)</f>
        <v>60000</v>
      </c>
      <c r="L587" t="str">
        <f t="shared" si="330"/>
        <v>PP003</v>
      </c>
      <c r="M587" t="str">
        <f>IFERROR(INDEX(Katalog!$B$4:$B$13,MATCH('Main Data'!L587,Katalog!$C$4:$C$13,0)), "-")</f>
        <v>Jaket Jeans</v>
      </c>
      <c r="N587" t="str">
        <f>IFERROR(VLOOKUP(L587,Katalog!$A$15:$B$25,2,0),"-")</f>
        <v>Pakaian Pria</v>
      </c>
      <c r="O587" t="str">
        <f t="shared" si="331"/>
        <v>1</v>
      </c>
      <c r="P587" t="str">
        <f t="shared" si="332"/>
        <v>4</v>
      </c>
      <c r="Q587" s="18">
        <f>IFERROR(VLOOKUP(L587,Katalog!$C$3:$F$13,2,0),0)</f>
        <v>150000</v>
      </c>
      <c r="R587" s="18">
        <f>IFERROR(VLOOKUP(L587,Katalog!$C$3:$F$13,3,0),0)</f>
        <v>70000</v>
      </c>
      <c r="S587" t="str">
        <f t="shared" si="333"/>
        <v>-</v>
      </c>
      <c r="T587" t="str">
        <f>IFERROR(INDEX(Katalog!$B$4:$B$13,MATCH('Main Data'!S587,Katalog!$C$4:$C$13,0)),"-")</f>
        <v>-</v>
      </c>
      <c r="U587" t="str">
        <f>IFERROR(VLOOKUP(S587,Katalog!$A$15:$B$25,2,0),"-")</f>
        <v>-</v>
      </c>
      <c r="V587">
        <f t="shared" si="334"/>
        <v>0</v>
      </c>
      <c r="W587" s="28" t="str">
        <f t="shared" si="335"/>
        <v>-</v>
      </c>
      <c r="X587" s="18">
        <f>IFERROR(VLOOKUP(S587,Katalog!$C$3:$F$13,2,0),0)</f>
        <v>0</v>
      </c>
      <c r="Y587" s="30">
        <f>IFERROR(VLOOKUP(S587,Katalog!$C$3:$F$13,3,0),0)</f>
        <v>0</v>
      </c>
      <c r="Z587" s="2">
        <f t="shared" si="336"/>
        <v>5</v>
      </c>
      <c r="AA587" s="4">
        <f t="shared" si="337"/>
        <v>630000</v>
      </c>
      <c r="AB587" s="4">
        <f t="shared" si="338"/>
        <v>310000</v>
      </c>
      <c r="AC587" s="4" t="s">
        <v>27</v>
      </c>
      <c r="AD587" s="16">
        <f>IFERROR(VLOOKUP(AC587,'Kode Diskon'!$C$2:$D$9,2,0),0)</f>
        <v>0.15</v>
      </c>
      <c r="AE587" s="31">
        <f t="shared" si="339"/>
        <v>94500</v>
      </c>
      <c r="AF587" s="31">
        <f t="shared" si="340"/>
        <v>535500</v>
      </c>
      <c r="AG587" s="31">
        <f t="shared" si="341"/>
        <v>320000</v>
      </c>
      <c r="AH587" s="31">
        <f t="shared" si="342"/>
        <v>225500</v>
      </c>
      <c r="AI587" s="4" t="s">
        <v>28</v>
      </c>
      <c r="AJ587" s="4" t="s">
        <v>13</v>
      </c>
      <c r="AK587" s="4" t="str">
        <f>IFERROR(VLOOKUP(AJ587,'Guide '!$A$13:$B$16,2,0),"-")</f>
        <v>BB</v>
      </c>
      <c r="AL587" s="4" t="s">
        <v>925</v>
      </c>
      <c r="AM587" s="40">
        <v>45506</v>
      </c>
      <c r="AN587">
        <f t="shared" si="343"/>
        <v>29</v>
      </c>
      <c r="AO587">
        <f t="shared" si="344"/>
        <v>32</v>
      </c>
      <c r="AP587">
        <f t="shared" si="345"/>
        <v>40</v>
      </c>
      <c r="AQ587">
        <f t="shared" si="346"/>
        <v>43</v>
      </c>
      <c r="AR587" s="26">
        <f t="shared" si="347"/>
        <v>56</v>
      </c>
      <c r="AS587" s="26">
        <f t="shared" si="348"/>
        <v>63</v>
      </c>
      <c r="AT587" s="21">
        <f t="shared" si="349"/>
        <v>12</v>
      </c>
      <c r="AU587" s="21">
        <f t="shared" si="350"/>
        <v>19</v>
      </c>
      <c r="AV587">
        <f t="shared" si="351"/>
        <v>73</v>
      </c>
      <c r="AW587">
        <f t="shared" si="352"/>
        <v>76</v>
      </c>
      <c r="AX587">
        <f t="shared" si="353"/>
        <v>84</v>
      </c>
      <c r="AY587">
        <f t="shared" si="354"/>
        <v>87</v>
      </c>
      <c r="AZ587" t="str">
        <f t="shared" si="355"/>
        <v>-</v>
      </c>
      <c r="BA587" t="str">
        <f t="shared" si="356"/>
        <v>-</v>
      </c>
      <c r="BB587" t="str">
        <f t="shared" si="357"/>
        <v>-</v>
      </c>
      <c r="BC587" t="str">
        <f t="shared" si="358"/>
        <v>-</v>
      </c>
      <c r="BD587" s="29" t="str">
        <f t="shared" si="359"/>
        <v>-</v>
      </c>
      <c r="BE587" s="29" t="str">
        <f t="shared" si="360"/>
        <v>-</v>
      </c>
    </row>
    <row r="588" spans="1:57" ht="15" x14ac:dyDescent="0.2">
      <c r="A588" s="2">
        <v>896</v>
      </c>
      <c r="B588" s="2" t="str">
        <f t="shared" si="325"/>
        <v>0896</v>
      </c>
      <c r="C588" t="str">
        <f t="shared" si="326"/>
        <v>ORD-SP-0896-02/08/24</v>
      </c>
      <c r="D588" s="3" t="s">
        <v>836</v>
      </c>
      <c r="E588" t="str">
        <f t="shared" si="327"/>
        <v>PW003</v>
      </c>
      <c r="F588" t="str">
        <f>INDEX(Katalog!$B$4:$B$13,MATCH('Main Data'!E588,Katalog!$C$4:$C$13,0))</f>
        <v>Kaftan</v>
      </c>
      <c r="G588" t="str">
        <f>VLOOKUP(E588,Katalog!$A$15:$B$25,2,0)</f>
        <v>Pakaian Wanita</v>
      </c>
      <c r="H588" t="str">
        <f t="shared" si="328"/>
        <v>1</v>
      </c>
      <c r="I588" t="str">
        <f t="shared" si="329"/>
        <v>3</v>
      </c>
      <c r="J588" s="18">
        <f>VLOOKUP(E588,Katalog!$C$3:$F$13,2,0)</f>
        <v>200000</v>
      </c>
      <c r="K588" s="18">
        <f>VLOOKUP(E588,Katalog!$C$3:$F$13,3,0)</f>
        <v>100000</v>
      </c>
      <c r="L588" t="str">
        <f t="shared" si="330"/>
        <v>PU001</v>
      </c>
      <c r="M588" t="str">
        <f>IFERROR(INDEX(Katalog!$B$4:$B$13,MATCH('Main Data'!L588,Katalog!$C$4:$C$13,0)), "-")</f>
        <v>Jaket Hoodie</v>
      </c>
      <c r="N588" t="str">
        <f>IFERROR(VLOOKUP(L588,Katalog!$A$15:$B$25,2,0),"-")</f>
        <v>Pakaian Unisex</v>
      </c>
      <c r="O588" t="str">
        <f t="shared" si="331"/>
        <v>2</v>
      </c>
      <c r="P588" t="str">
        <f t="shared" si="332"/>
        <v>5</v>
      </c>
      <c r="Q588" s="18">
        <f>IFERROR(VLOOKUP(L588,Katalog!$C$3:$F$13,2,0),0)</f>
        <v>160000</v>
      </c>
      <c r="R588" s="18">
        <f>IFERROR(VLOOKUP(L588,Katalog!$C$3:$F$13,3,0),0)</f>
        <v>60000</v>
      </c>
      <c r="S588" t="str">
        <f t="shared" si="333"/>
        <v>PP003</v>
      </c>
      <c r="T588" t="str">
        <f>IFERROR(INDEX(Katalog!$B$4:$B$13,MATCH('Main Data'!S588,Katalog!$C$4:$C$13,0)),"-")</f>
        <v>Jaket Jeans</v>
      </c>
      <c r="U588" t="str">
        <f>IFERROR(VLOOKUP(S588,Katalog!$A$15:$B$25,2,0),"-")</f>
        <v>Pakaian Pria</v>
      </c>
      <c r="V588" t="str">
        <f t="shared" si="334"/>
        <v>2</v>
      </c>
      <c r="W588" s="28" t="str">
        <f t="shared" si="335"/>
        <v>2</v>
      </c>
      <c r="X588" s="18">
        <f>IFERROR(VLOOKUP(S588,Katalog!$C$3:$F$13,2,0),0)</f>
        <v>150000</v>
      </c>
      <c r="Y588" s="30">
        <f>IFERROR(VLOOKUP(S588,Katalog!$C$3:$F$13,3,0),0)</f>
        <v>70000</v>
      </c>
      <c r="Z588" s="2">
        <f t="shared" si="336"/>
        <v>5</v>
      </c>
      <c r="AA588" s="4">
        <f t="shared" si="337"/>
        <v>820000</v>
      </c>
      <c r="AB588" s="4">
        <f t="shared" si="338"/>
        <v>360000</v>
      </c>
      <c r="AC588" s="4" t="s">
        <v>5</v>
      </c>
      <c r="AD588" s="16">
        <f>IFERROR(VLOOKUP(AC588,'Kode Diskon'!$C$2:$D$9,2,0),0)</f>
        <v>0.1</v>
      </c>
      <c r="AE588" s="31">
        <f t="shared" si="339"/>
        <v>82000</v>
      </c>
      <c r="AF588" s="31">
        <f t="shared" si="340"/>
        <v>738000</v>
      </c>
      <c r="AG588" s="31">
        <f t="shared" si="341"/>
        <v>460000</v>
      </c>
      <c r="AH588" s="31">
        <f t="shared" si="342"/>
        <v>378000</v>
      </c>
      <c r="AI588" s="4" t="s">
        <v>28</v>
      </c>
      <c r="AJ588" s="4" t="s">
        <v>6</v>
      </c>
      <c r="AK588" s="4" t="str">
        <f>IFERROR(VLOOKUP(AJ588,'Guide '!$A$13:$B$16,2,0),"-")</f>
        <v>SP</v>
      </c>
      <c r="AL588" s="4" t="s">
        <v>924</v>
      </c>
      <c r="AM588" s="40">
        <v>45506</v>
      </c>
      <c r="AN588">
        <f t="shared" si="343"/>
        <v>29</v>
      </c>
      <c r="AO588">
        <f t="shared" si="344"/>
        <v>32</v>
      </c>
      <c r="AP588">
        <f t="shared" si="345"/>
        <v>40</v>
      </c>
      <c r="AQ588">
        <f t="shared" si="346"/>
        <v>43</v>
      </c>
      <c r="AR588" s="26">
        <f t="shared" si="347"/>
        <v>56</v>
      </c>
      <c r="AS588" s="26">
        <f t="shared" si="348"/>
        <v>63</v>
      </c>
      <c r="AT588" s="21">
        <f t="shared" si="349"/>
        <v>12</v>
      </c>
      <c r="AU588" s="21">
        <f t="shared" si="350"/>
        <v>19</v>
      </c>
      <c r="AV588">
        <f t="shared" si="351"/>
        <v>73</v>
      </c>
      <c r="AW588">
        <f t="shared" si="352"/>
        <v>76</v>
      </c>
      <c r="AX588">
        <f t="shared" si="353"/>
        <v>84</v>
      </c>
      <c r="AY588">
        <f t="shared" si="354"/>
        <v>87</v>
      </c>
      <c r="AZ588">
        <f t="shared" si="355"/>
        <v>100</v>
      </c>
      <c r="BA588">
        <f t="shared" si="356"/>
        <v>107</v>
      </c>
      <c r="BB588">
        <f t="shared" si="357"/>
        <v>117</v>
      </c>
      <c r="BC588">
        <f t="shared" si="358"/>
        <v>120</v>
      </c>
      <c r="BD588" s="29">
        <f t="shared" si="359"/>
        <v>128</v>
      </c>
      <c r="BE588" s="29">
        <f t="shared" si="360"/>
        <v>131</v>
      </c>
    </row>
    <row r="589" spans="1:57" ht="15" x14ac:dyDescent="0.2">
      <c r="A589" s="2">
        <v>70</v>
      </c>
      <c r="B589" s="2" t="str">
        <f t="shared" si="325"/>
        <v>0070</v>
      </c>
      <c r="C589" t="str">
        <f t="shared" si="326"/>
        <v>ORD-SP-0070-03/08/24</v>
      </c>
      <c r="D589" s="3" t="s">
        <v>143</v>
      </c>
      <c r="E589" t="str">
        <f t="shared" si="327"/>
        <v>PP002</v>
      </c>
      <c r="F589" t="str">
        <f>INDEX(Katalog!$B$4:$B$13,MATCH('Main Data'!E589,Katalog!$C$4:$C$13,0))</f>
        <v>Celana Pendek</v>
      </c>
      <c r="G589" t="str">
        <f>VLOOKUP(E589,Katalog!$A$15:$B$25,2,0)</f>
        <v>Pakaian Pria</v>
      </c>
      <c r="H589" t="str">
        <f t="shared" si="328"/>
        <v>3</v>
      </c>
      <c r="I589" t="str">
        <f t="shared" si="329"/>
        <v>3</v>
      </c>
      <c r="J589" s="18">
        <f>VLOOKUP(E589,Katalog!$C$3:$F$13,2,0)</f>
        <v>60000</v>
      </c>
      <c r="K589" s="18">
        <f>VLOOKUP(E589,Katalog!$C$3:$F$13,3,0)</f>
        <v>25000</v>
      </c>
      <c r="L589" t="str">
        <f t="shared" si="330"/>
        <v>SP002</v>
      </c>
      <c r="M589" t="str">
        <f>IFERROR(INDEX(Katalog!$B$4:$B$13,MATCH('Main Data'!L589,Katalog!$C$4:$C$13,0)), "-")</f>
        <v>Sandal Slip On</v>
      </c>
      <c r="N589" t="str">
        <f>IFERROR(VLOOKUP(L589,Katalog!$A$15:$B$25,2,0),"-")</f>
        <v>Sepatu Pria</v>
      </c>
      <c r="O589" t="str">
        <f t="shared" si="331"/>
        <v>1</v>
      </c>
      <c r="P589" t="str">
        <f t="shared" si="332"/>
        <v>4</v>
      </c>
      <c r="Q589" s="18">
        <f>IFERROR(VLOOKUP(L589,Katalog!$C$3:$F$13,2,0),0)</f>
        <v>120000</v>
      </c>
      <c r="R589" s="18">
        <f>IFERROR(VLOOKUP(L589,Katalog!$C$3:$F$13,3,0),0)</f>
        <v>60000</v>
      </c>
      <c r="S589" t="str">
        <f t="shared" si="333"/>
        <v>PP002</v>
      </c>
      <c r="T589" t="str">
        <f>IFERROR(INDEX(Katalog!$B$4:$B$13,MATCH('Main Data'!S589,Katalog!$C$4:$C$13,0)),"-")</f>
        <v>Celana Pendek</v>
      </c>
      <c r="U589" t="str">
        <f>IFERROR(VLOOKUP(S589,Katalog!$A$15:$B$25,2,0),"-")</f>
        <v>Pakaian Pria</v>
      </c>
      <c r="V589" t="str">
        <f t="shared" si="334"/>
        <v>1</v>
      </c>
      <c r="W589" s="28" t="str">
        <f t="shared" si="335"/>
        <v>5</v>
      </c>
      <c r="X589" s="18">
        <f>IFERROR(VLOOKUP(S589,Katalog!$C$3:$F$13,2,0),0)</f>
        <v>60000</v>
      </c>
      <c r="Y589" s="30">
        <f>IFERROR(VLOOKUP(S589,Katalog!$C$3:$F$13,3,0),0)</f>
        <v>25000</v>
      </c>
      <c r="Z589" s="2">
        <f t="shared" si="336"/>
        <v>5</v>
      </c>
      <c r="AA589" s="4">
        <f t="shared" si="337"/>
        <v>360000</v>
      </c>
      <c r="AB589" s="4">
        <f t="shared" si="338"/>
        <v>160000</v>
      </c>
      <c r="AC589" s="4" t="s">
        <v>5</v>
      </c>
      <c r="AD589" s="16">
        <f>IFERROR(VLOOKUP(AC589,'Kode Diskon'!$C$2:$D$9,2,0),0)</f>
        <v>0.1</v>
      </c>
      <c r="AE589" s="31">
        <f t="shared" si="339"/>
        <v>36000</v>
      </c>
      <c r="AF589" s="31">
        <f t="shared" si="340"/>
        <v>324000</v>
      </c>
      <c r="AG589" s="31">
        <f t="shared" si="341"/>
        <v>200000</v>
      </c>
      <c r="AH589" s="31">
        <f t="shared" si="342"/>
        <v>164000</v>
      </c>
      <c r="AI589" s="4" t="s">
        <v>28</v>
      </c>
      <c r="AJ589" s="4" t="s">
        <v>6</v>
      </c>
      <c r="AK589" s="4" t="str">
        <f>IFERROR(VLOOKUP(AJ589,'Guide '!$A$13:$B$16,2,0),"-")</f>
        <v>SP</v>
      </c>
      <c r="AL589" s="4" t="s">
        <v>1006</v>
      </c>
      <c r="AM589" s="40">
        <v>45507</v>
      </c>
      <c r="AN589">
        <f t="shared" si="343"/>
        <v>29</v>
      </c>
      <c r="AO589">
        <f t="shared" si="344"/>
        <v>32</v>
      </c>
      <c r="AP589">
        <f t="shared" si="345"/>
        <v>40</v>
      </c>
      <c r="AQ589">
        <f t="shared" si="346"/>
        <v>43</v>
      </c>
      <c r="AR589" s="26">
        <f t="shared" si="347"/>
        <v>56</v>
      </c>
      <c r="AS589" s="26">
        <f t="shared" si="348"/>
        <v>63</v>
      </c>
      <c r="AT589" s="21">
        <f t="shared" si="349"/>
        <v>12</v>
      </c>
      <c r="AU589" s="21">
        <f t="shared" si="350"/>
        <v>19</v>
      </c>
      <c r="AV589">
        <f t="shared" si="351"/>
        <v>73</v>
      </c>
      <c r="AW589">
        <f t="shared" si="352"/>
        <v>76</v>
      </c>
      <c r="AX589">
        <f t="shared" si="353"/>
        <v>84</v>
      </c>
      <c r="AY589">
        <f t="shared" si="354"/>
        <v>87</v>
      </c>
      <c r="AZ589">
        <f t="shared" si="355"/>
        <v>100</v>
      </c>
      <c r="BA589">
        <f t="shared" si="356"/>
        <v>107</v>
      </c>
      <c r="BB589">
        <f t="shared" si="357"/>
        <v>117</v>
      </c>
      <c r="BC589">
        <f t="shared" si="358"/>
        <v>120</v>
      </c>
      <c r="BD589" s="29">
        <f t="shared" si="359"/>
        <v>128</v>
      </c>
      <c r="BE589" s="29">
        <f t="shared" si="360"/>
        <v>131</v>
      </c>
    </row>
    <row r="590" spans="1:57" ht="15" x14ac:dyDescent="0.2">
      <c r="A590" s="2">
        <v>34</v>
      </c>
      <c r="B590" s="2" t="str">
        <f t="shared" si="325"/>
        <v>0034</v>
      </c>
      <c r="C590" t="str">
        <f t="shared" si="326"/>
        <v>ORD-TK-0034-04/08/24</v>
      </c>
      <c r="D590" s="3" t="s">
        <v>108</v>
      </c>
      <c r="E590" t="str">
        <f t="shared" si="327"/>
        <v>PU001</v>
      </c>
      <c r="F590" t="str">
        <f>INDEX(Katalog!$B$4:$B$13,MATCH('Main Data'!E590,Katalog!$C$4:$C$13,0))</f>
        <v>Jaket Hoodie</v>
      </c>
      <c r="G590" t="str">
        <f>VLOOKUP(E590,Katalog!$A$15:$B$25,2,0)</f>
        <v>Pakaian Unisex</v>
      </c>
      <c r="H590" t="str">
        <f t="shared" si="328"/>
        <v>2</v>
      </c>
      <c r="I590" t="str">
        <f t="shared" si="329"/>
        <v>1</v>
      </c>
      <c r="J590" s="18">
        <f>VLOOKUP(E590,Katalog!$C$3:$F$13,2,0)</f>
        <v>160000</v>
      </c>
      <c r="K590" s="18">
        <f>VLOOKUP(E590,Katalog!$C$3:$F$13,3,0)</f>
        <v>60000</v>
      </c>
      <c r="L590" t="str">
        <f t="shared" si="330"/>
        <v>SP001</v>
      </c>
      <c r="M590" t="str">
        <f>IFERROR(INDEX(Katalog!$B$4:$B$13,MATCH('Main Data'!L590,Katalog!$C$4:$C$13,0)), "-")</f>
        <v>Sneakers</v>
      </c>
      <c r="N590" t="str">
        <f>IFERROR(VLOOKUP(L590,Katalog!$A$15:$B$25,2,0),"-")</f>
        <v>Sepatu Pria</v>
      </c>
      <c r="O590" t="str">
        <f t="shared" si="331"/>
        <v>2</v>
      </c>
      <c r="P590" t="str">
        <f t="shared" si="332"/>
        <v>4</v>
      </c>
      <c r="Q590" s="18">
        <f>IFERROR(VLOOKUP(L590,Katalog!$C$3:$F$13,2,0),0)</f>
        <v>300000</v>
      </c>
      <c r="R590" s="18">
        <f>IFERROR(VLOOKUP(L590,Katalog!$C$3:$F$13,3,0),0)</f>
        <v>100000</v>
      </c>
      <c r="S590" t="str">
        <f t="shared" si="333"/>
        <v>PP002</v>
      </c>
      <c r="T590" t="str">
        <f>IFERROR(INDEX(Katalog!$B$4:$B$13,MATCH('Main Data'!S590,Katalog!$C$4:$C$13,0)),"-")</f>
        <v>Celana Pendek</v>
      </c>
      <c r="U590" t="str">
        <f>IFERROR(VLOOKUP(S590,Katalog!$A$15:$B$25,2,0),"-")</f>
        <v>Pakaian Pria</v>
      </c>
      <c r="V590" t="str">
        <f t="shared" si="334"/>
        <v>2</v>
      </c>
      <c r="W590" s="28" t="str">
        <f t="shared" si="335"/>
        <v>2</v>
      </c>
      <c r="X590" s="18">
        <f>IFERROR(VLOOKUP(S590,Katalog!$C$3:$F$13,2,0),0)</f>
        <v>60000</v>
      </c>
      <c r="Y590" s="30">
        <f>IFERROR(VLOOKUP(S590,Katalog!$C$3:$F$13,3,0),0)</f>
        <v>25000</v>
      </c>
      <c r="Z590" s="2">
        <f t="shared" si="336"/>
        <v>6</v>
      </c>
      <c r="AA590" s="4">
        <f t="shared" si="337"/>
        <v>1040000</v>
      </c>
      <c r="AB590" s="4">
        <f t="shared" si="338"/>
        <v>370000</v>
      </c>
      <c r="AC590" s="4" t="s">
        <v>29</v>
      </c>
      <c r="AD590" s="16">
        <f>IFERROR(VLOOKUP(AC590,'Kode Diskon'!$C$2:$D$9,2,0),0)</f>
        <v>0.1</v>
      </c>
      <c r="AE590" s="31">
        <f t="shared" si="339"/>
        <v>104000</v>
      </c>
      <c r="AF590" s="31">
        <f t="shared" si="340"/>
        <v>936000</v>
      </c>
      <c r="AG590" s="31">
        <f t="shared" si="341"/>
        <v>670000</v>
      </c>
      <c r="AH590" s="31">
        <f t="shared" si="342"/>
        <v>566000</v>
      </c>
      <c r="AI590" s="4" t="s">
        <v>28</v>
      </c>
      <c r="AJ590" s="4" t="s">
        <v>9</v>
      </c>
      <c r="AK590" s="4" t="str">
        <f>IFERROR(VLOOKUP(AJ590,'Guide '!$A$13:$B$16,2,0),"-")</f>
        <v>TK</v>
      </c>
      <c r="AL590" s="4" t="s">
        <v>1006</v>
      </c>
      <c r="AM590" s="40">
        <v>45508</v>
      </c>
      <c r="AN590">
        <f t="shared" si="343"/>
        <v>29</v>
      </c>
      <c r="AO590">
        <f t="shared" si="344"/>
        <v>32</v>
      </c>
      <c r="AP590">
        <f t="shared" si="345"/>
        <v>40</v>
      </c>
      <c r="AQ590">
        <f t="shared" si="346"/>
        <v>43</v>
      </c>
      <c r="AR590" s="26">
        <f t="shared" si="347"/>
        <v>56</v>
      </c>
      <c r="AS590" s="26">
        <f t="shared" si="348"/>
        <v>63</v>
      </c>
      <c r="AT590" s="21">
        <f t="shared" si="349"/>
        <v>12</v>
      </c>
      <c r="AU590" s="21">
        <f t="shared" si="350"/>
        <v>19</v>
      </c>
      <c r="AV590">
        <f t="shared" si="351"/>
        <v>73</v>
      </c>
      <c r="AW590">
        <f t="shared" si="352"/>
        <v>76</v>
      </c>
      <c r="AX590">
        <f t="shared" si="353"/>
        <v>84</v>
      </c>
      <c r="AY590">
        <f t="shared" si="354"/>
        <v>87</v>
      </c>
      <c r="AZ590">
        <f t="shared" si="355"/>
        <v>100</v>
      </c>
      <c r="BA590">
        <f t="shared" si="356"/>
        <v>107</v>
      </c>
      <c r="BB590">
        <f t="shared" si="357"/>
        <v>117</v>
      </c>
      <c r="BC590">
        <f t="shared" si="358"/>
        <v>120</v>
      </c>
      <c r="BD590" s="29">
        <f t="shared" si="359"/>
        <v>128</v>
      </c>
      <c r="BE590" s="29">
        <f t="shared" si="360"/>
        <v>131</v>
      </c>
    </row>
    <row r="591" spans="1:57" ht="15" x14ac:dyDescent="0.2">
      <c r="A591" s="2">
        <v>142</v>
      </c>
      <c r="B591" s="2" t="str">
        <f t="shared" si="325"/>
        <v>0142</v>
      </c>
      <c r="C591" t="str">
        <f t="shared" si="326"/>
        <v>ORD-BL-0142-04/08/24</v>
      </c>
      <c r="D591" s="3" t="s">
        <v>212</v>
      </c>
      <c r="E591" t="str">
        <f t="shared" si="327"/>
        <v>SW001</v>
      </c>
      <c r="F591" t="str">
        <f>INDEX(Katalog!$B$4:$B$13,MATCH('Main Data'!E591,Katalog!$C$4:$C$13,0))</f>
        <v>Flat Shoes</v>
      </c>
      <c r="G591" t="str">
        <f>VLOOKUP(E591,Katalog!$A$15:$B$25,2,0)</f>
        <v>Sepatu Wanita</v>
      </c>
      <c r="H591" t="str">
        <f t="shared" si="328"/>
        <v>2</v>
      </c>
      <c r="I591" t="str">
        <f t="shared" si="329"/>
        <v>1</v>
      </c>
      <c r="J591" s="18">
        <f>VLOOKUP(E591,Katalog!$C$3:$F$13,2,0)</f>
        <v>150000</v>
      </c>
      <c r="K591" s="18">
        <f>VLOOKUP(E591,Katalog!$C$3:$F$13,3,0)</f>
        <v>70000</v>
      </c>
      <c r="L591" t="str">
        <f t="shared" si="330"/>
        <v>PU001</v>
      </c>
      <c r="M591" t="str">
        <f>IFERROR(INDEX(Katalog!$B$4:$B$13,MATCH('Main Data'!L591,Katalog!$C$4:$C$13,0)), "-")</f>
        <v>Jaket Hoodie</v>
      </c>
      <c r="N591" t="str">
        <f>IFERROR(VLOOKUP(L591,Katalog!$A$15:$B$25,2,0),"-")</f>
        <v>Pakaian Unisex</v>
      </c>
      <c r="O591" t="str">
        <f t="shared" si="331"/>
        <v>1</v>
      </c>
      <c r="P591" t="str">
        <f t="shared" si="332"/>
        <v>3</v>
      </c>
      <c r="Q591" s="18">
        <f>IFERROR(VLOOKUP(L591,Katalog!$C$3:$F$13,2,0),0)</f>
        <v>160000</v>
      </c>
      <c r="R591" s="18">
        <f>IFERROR(VLOOKUP(L591,Katalog!$C$3:$F$13,3,0),0)</f>
        <v>60000</v>
      </c>
      <c r="S591" t="str">
        <f t="shared" si="333"/>
        <v>SP001</v>
      </c>
      <c r="T591" t="str">
        <f>IFERROR(INDEX(Katalog!$B$4:$B$13,MATCH('Main Data'!S591,Katalog!$C$4:$C$13,0)),"-")</f>
        <v>Sneakers</v>
      </c>
      <c r="U591" t="str">
        <f>IFERROR(VLOOKUP(S591,Katalog!$A$15:$B$25,2,0),"-")</f>
        <v>Sepatu Pria</v>
      </c>
      <c r="V591" t="str">
        <f t="shared" si="334"/>
        <v>4</v>
      </c>
      <c r="W591" s="28" t="str">
        <f t="shared" si="335"/>
        <v>3</v>
      </c>
      <c r="X591" s="18">
        <f>IFERROR(VLOOKUP(S591,Katalog!$C$3:$F$13,2,0),0)</f>
        <v>300000</v>
      </c>
      <c r="Y591" s="30">
        <f>IFERROR(VLOOKUP(S591,Katalog!$C$3:$F$13,3,0),0)</f>
        <v>100000</v>
      </c>
      <c r="Z591" s="2">
        <f t="shared" si="336"/>
        <v>7</v>
      </c>
      <c r="AA591" s="4">
        <f t="shared" si="337"/>
        <v>1660000</v>
      </c>
      <c r="AB591" s="4">
        <f t="shared" si="338"/>
        <v>600000</v>
      </c>
      <c r="AC591" s="4" t="s">
        <v>31</v>
      </c>
      <c r="AD591" s="16">
        <f>IFERROR(VLOOKUP(AC591,'Kode Diskon'!$C$2:$D$9,2,0),0)</f>
        <v>0.15</v>
      </c>
      <c r="AE591" s="31">
        <f t="shared" si="339"/>
        <v>249000</v>
      </c>
      <c r="AF591" s="31">
        <f t="shared" si="340"/>
        <v>1411000</v>
      </c>
      <c r="AG591" s="31">
        <f t="shared" si="341"/>
        <v>1060000</v>
      </c>
      <c r="AH591" s="31">
        <f t="shared" si="342"/>
        <v>811000</v>
      </c>
      <c r="AI591" s="4" t="s">
        <v>8</v>
      </c>
      <c r="AJ591" s="4" t="s">
        <v>11</v>
      </c>
      <c r="AK591" s="4" t="str">
        <f>IFERROR(VLOOKUP(AJ591,'Guide '!$A$13:$B$16,2,0),"-")</f>
        <v>BL</v>
      </c>
      <c r="AL591" s="4" t="s">
        <v>925</v>
      </c>
      <c r="AM591" s="40">
        <v>45508</v>
      </c>
      <c r="AN591">
        <f t="shared" si="343"/>
        <v>29</v>
      </c>
      <c r="AO591">
        <f t="shared" si="344"/>
        <v>32</v>
      </c>
      <c r="AP591">
        <f t="shared" si="345"/>
        <v>40</v>
      </c>
      <c r="AQ591">
        <f t="shared" si="346"/>
        <v>43</v>
      </c>
      <c r="AR591" s="26">
        <f t="shared" si="347"/>
        <v>56</v>
      </c>
      <c r="AS591" s="26">
        <f t="shared" si="348"/>
        <v>63</v>
      </c>
      <c r="AT591" s="21">
        <f t="shared" si="349"/>
        <v>12</v>
      </c>
      <c r="AU591" s="21">
        <f t="shared" si="350"/>
        <v>19</v>
      </c>
      <c r="AV591">
        <f t="shared" si="351"/>
        <v>73</v>
      </c>
      <c r="AW591">
        <f t="shared" si="352"/>
        <v>76</v>
      </c>
      <c r="AX591">
        <f t="shared" si="353"/>
        <v>84</v>
      </c>
      <c r="AY591">
        <f t="shared" si="354"/>
        <v>87</v>
      </c>
      <c r="AZ591">
        <f t="shared" si="355"/>
        <v>100</v>
      </c>
      <c r="BA591">
        <f t="shared" si="356"/>
        <v>107</v>
      </c>
      <c r="BB591">
        <f t="shared" si="357"/>
        <v>117</v>
      </c>
      <c r="BC591">
        <f t="shared" si="358"/>
        <v>120</v>
      </c>
      <c r="BD591" s="29">
        <f t="shared" si="359"/>
        <v>128</v>
      </c>
      <c r="BE591" s="29">
        <f t="shared" si="360"/>
        <v>131</v>
      </c>
    </row>
    <row r="592" spans="1:57" ht="15" x14ac:dyDescent="0.2">
      <c r="A592" s="2">
        <v>199</v>
      </c>
      <c r="B592" s="2" t="str">
        <f t="shared" si="325"/>
        <v>0199</v>
      </c>
      <c r="C592" t="str">
        <f t="shared" si="326"/>
        <v>ORD-SP-0199-04/08/24</v>
      </c>
      <c r="D592" s="3" t="s">
        <v>268</v>
      </c>
      <c r="E592" t="str">
        <f t="shared" si="327"/>
        <v>PW002</v>
      </c>
      <c r="F592" t="str">
        <f>INDEX(Katalog!$B$4:$B$13,MATCH('Main Data'!E592,Katalog!$C$4:$C$13,0))</f>
        <v>Blouse</v>
      </c>
      <c r="G592" t="str">
        <f>VLOOKUP(E592,Katalog!$A$15:$B$25,2,0)</f>
        <v>Pakaian Wanita</v>
      </c>
      <c r="H592" t="str">
        <f t="shared" si="328"/>
        <v>1</v>
      </c>
      <c r="I592" t="str">
        <f t="shared" si="329"/>
        <v>4</v>
      </c>
      <c r="J592" s="18">
        <f>VLOOKUP(E592,Katalog!$C$3:$F$13,2,0)</f>
        <v>125000</v>
      </c>
      <c r="K592" s="18">
        <f>VLOOKUP(E592,Katalog!$C$3:$F$13,3,0)</f>
        <v>50000</v>
      </c>
      <c r="L592" t="str">
        <f t="shared" si="330"/>
        <v>-</v>
      </c>
      <c r="M592" t="str">
        <f>IFERROR(INDEX(Katalog!$B$4:$B$13,MATCH('Main Data'!L592,Katalog!$C$4:$C$13,0)), "-")</f>
        <v>-</v>
      </c>
      <c r="N592" t="str">
        <f>IFERROR(VLOOKUP(L592,Katalog!$A$15:$B$25,2,0),"-")</f>
        <v>-</v>
      </c>
      <c r="O592">
        <f t="shared" si="331"/>
        <v>0</v>
      </c>
      <c r="P592" t="str">
        <f t="shared" si="332"/>
        <v>-</v>
      </c>
      <c r="Q592" s="18">
        <f>IFERROR(VLOOKUP(L592,Katalog!$C$3:$F$13,2,0),0)</f>
        <v>0</v>
      </c>
      <c r="R592" s="18">
        <f>IFERROR(VLOOKUP(L592,Katalog!$C$3:$F$13,3,0),0)</f>
        <v>0</v>
      </c>
      <c r="S592" t="str">
        <f t="shared" si="333"/>
        <v>-</v>
      </c>
      <c r="T592" t="str">
        <f>IFERROR(INDEX(Katalog!$B$4:$B$13,MATCH('Main Data'!S592,Katalog!$C$4:$C$13,0)),"-")</f>
        <v>-</v>
      </c>
      <c r="U592" t="str">
        <f>IFERROR(VLOOKUP(S592,Katalog!$A$15:$B$25,2,0),"-")</f>
        <v>-</v>
      </c>
      <c r="V592">
        <f t="shared" si="334"/>
        <v>0</v>
      </c>
      <c r="W592" s="28" t="str">
        <f t="shared" si="335"/>
        <v>-</v>
      </c>
      <c r="X592" s="18">
        <f>IFERROR(VLOOKUP(S592,Katalog!$C$3:$F$13,2,0),0)</f>
        <v>0</v>
      </c>
      <c r="Y592" s="30">
        <f>IFERROR(VLOOKUP(S592,Katalog!$C$3:$F$13,3,0),0)</f>
        <v>0</v>
      </c>
      <c r="Z592" s="2">
        <f t="shared" si="336"/>
        <v>1</v>
      </c>
      <c r="AA592" s="4">
        <f t="shared" si="337"/>
        <v>125000</v>
      </c>
      <c r="AB592" s="4">
        <f t="shared" si="338"/>
        <v>50000</v>
      </c>
      <c r="AC592" s="4" t="s">
        <v>12</v>
      </c>
      <c r="AD592" s="16">
        <f>IFERROR(VLOOKUP(AC592,'Kode Diskon'!$C$2:$D$9,2,0),0)</f>
        <v>0.15</v>
      </c>
      <c r="AE592" s="31">
        <f t="shared" si="339"/>
        <v>18750</v>
      </c>
      <c r="AF592" s="31">
        <f t="shared" si="340"/>
        <v>106250</v>
      </c>
      <c r="AG592" s="31">
        <f t="shared" si="341"/>
        <v>75000</v>
      </c>
      <c r="AH592" s="31">
        <f t="shared" si="342"/>
        <v>56250</v>
      </c>
      <c r="AI592" s="4" t="s">
        <v>28</v>
      </c>
      <c r="AJ592" s="4" t="s">
        <v>6</v>
      </c>
      <c r="AK592" s="4" t="str">
        <f>IFERROR(VLOOKUP(AJ592,'Guide '!$A$13:$B$16,2,0),"-")</f>
        <v>SP</v>
      </c>
      <c r="AL592" s="4" t="s">
        <v>924</v>
      </c>
      <c r="AM592" s="40">
        <v>45508</v>
      </c>
      <c r="AN592">
        <f t="shared" si="343"/>
        <v>29</v>
      </c>
      <c r="AO592">
        <f t="shared" si="344"/>
        <v>32</v>
      </c>
      <c r="AP592">
        <f t="shared" si="345"/>
        <v>40</v>
      </c>
      <c r="AQ592">
        <f t="shared" si="346"/>
        <v>43</v>
      </c>
      <c r="AR592" s="26" t="str">
        <f t="shared" si="347"/>
        <v>-</v>
      </c>
      <c r="AS592" s="26" t="str">
        <f t="shared" si="348"/>
        <v>-</v>
      </c>
      <c r="AT592" s="21">
        <f t="shared" si="349"/>
        <v>12</v>
      </c>
      <c r="AU592" s="21">
        <f t="shared" si="350"/>
        <v>19</v>
      </c>
      <c r="AV592" t="str">
        <f t="shared" si="351"/>
        <v>-</v>
      </c>
      <c r="AW592" t="str">
        <f t="shared" si="352"/>
        <v>-</v>
      </c>
      <c r="AX592" t="str">
        <f t="shared" si="353"/>
        <v>-</v>
      </c>
      <c r="AY592" t="str">
        <f t="shared" si="354"/>
        <v>-</v>
      </c>
      <c r="AZ592" t="str">
        <f t="shared" si="355"/>
        <v>-</v>
      </c>
      <c r="BA592" t="str">
        <f t="shared" si="356"/>
        <v>-</v>
      </c>
      <c r="BB592" t="str">
        <f t="shared" si="357"/>
        <v>-</v>
      </c>
      <c r="BC592" t="str">
        <f t="shared" si="358"/>
        <v>-</v>
      </c>
      <c r="BD592" s="29" t="str">
        <f t="shared" si="359"/>
        <v>-</v>
      </c>
      <c r="BE592" s="29" t="str">
        <f t="shared" si="360"/>
        <v>-</v>
      </c>
    </row>
    <row r="593" spans="1:57" ht="15" x14ac:dyDescent="0.2">
      <c r="A593" s="2">
        <v>227</v>
      </c>
      <c r="B593" s="2" t="str">
        <f t="shared" si="325"/>
        <v>0227</v>
      </c>
      <c r="C593" t="str">
        <f t="shared" si="326"/>
        <v>ORD-BB-0227-04/08/24</v>
      </c>
      <c r="D593" s="3" t="s">
        <v>293</v>
      </c>
      <c r="E593" t="str">
        <f t="shared" si="327"/>
        <v>SP002</v>
      </c>
      <c r="F593" t="str">
        <f>INDEX(Katalog!$B$4:$B$13,MATCH('Main Data'!E593,Katalog!$C$4:$C$13,0))</f>
        <v>Sandal Slip On</v>
      </c>
      <c r="G593" t="str">
        <f>VLOOKUP(E593,Katalog!$A$15:$B$25,2,0)</f>
        <v>Sepatu Pria</v>
      </c>
      <c r="H593" t="str">
        <f t="shared" si="328"/>
        <v>2</v>
      </c>
      <c r="I593" t="str">
        <f t="shared" si="329"/>
        <v>4</v>
      </c>
      <c r="J593" s="18">
        <f>VLOOKUP(E593,Katalog!$C$3:$F$13,2,0)</f>
        <v>120000</v>
      </c>
      <c r="K593" s="18">
        <f>VLOOKUP(E593,Katalog!$C$3:$F$13,3,0)</f>
        <v>60000</v>
      </c>
      <c r="L593" t="str">
        <f t="shared" si="330"/>
        <v>-</v>
      </c>
      <c r="M593" t="str">
        <f>IFERROR(INDEX(Katalog!$B$4:$B$13,MATCH('Main Data'!L593,Katalog!$C$4:$C$13,0)), "-")</f>
        <v>-</v>
      </c>
      <c r="N593" t="str">
        <f>IFERROR(VLOOKUP(L593,Katalog!$A$15:$B$25,2,0),"-")</f>
        <v>-</v>
      </c>
      <c r="O593">
        <f t="shared" si="331"/>
        <v>0</v>
      </c>
      <c r="P593" t="str">
        <f t="shared" si="332"/>
        <v>-</v>
      </c>
      <c r="Q593" s="18">
        <f>IFERROR(VLOOKUP(L593,Katalog!$C$3:$F$13,2,0),0)</f>
        <v>0</v>
      </c>
      <c r="R593" s="18">
        <f>IFERROR(VLOOKUP(L593,Katalog!$C$3:$F$13,3,0),0)</f>
        <v>0</v>
      </c>
      <c r="S593" t="str">
        <f t="shared" si="333"/>
        <v>-</v>
      </c>
      <c r="T593" t="str">
        <f>IFERROR(INDEX(Katalog!$B$4:$B$13,MATCH('Main Data'!S593,Katalog!$C$4:$C$13,0)),"-")</f>
        <v>-</v>
      </c>
      <c r="U593" t="str">
        <f>IFERROR(VLOOKUP(S593,Katalog!$A$15:$B$25,2,0),"-")</f>
        <v>-</v>
      </c>
      <c r="V593">
        <f t="shared" si="334"/>
        <v>0</v>
      </c>
      <c r="W593" s="28" t="str">
        <f t="shared" si="335"/>
        <v>-</v>
      </c>
      <c r="X593" s="18">
        <f>IFERROR(VLOOKUP(S593,Katalog!$C$3:$F$13,2,0),0)</f>
        <v>0</v>
      </c>
      <c r="Y593" s="30">
        <f>IFERROR(VLOOKUP(S593,Katalog!$C$3:$F$13,3,0),0)</f>
        <v>0</v>
      </c>
      <c r="Z593" s="2">
        <f t="shared" si="336"/>
        <v>2</v>
      </c>
      <c r="AA593" s="4">
        <f t="shared" si="337"/>
        <v>240000</v>
      </c>
      <c r="AB593" s="4">
        <f t="shared" si="338"/>
        <v>120000</v>
      </c>
      <c r="AC593" s="4" t="s">
        <v>27</v>
      </c>
      <c r="AD593" s="16">
        <f>IFERROR(VLOOKUP(AC593,'Kode Diskon'!$C$2:$D$9,2,0),0)</f>
        <v>0.15</v>
      </c>
      <c r="AE593" s="31">
        <f t="shared" si="339"/>
        <v>36000</v>
      </c>
      <c r="AF593" s="31">
        <f t="shared" si="340"/>
        <v>204000</v>
      </c>
      <c r="AG593" s="31">
        <f t="shared" si="341"/>
        <v>120000</v>
      </c>
      <c r="AH593" s="31">
        <f t="shared" si="342"/>
        <v>84000</v>
      </c>
      <c r="AI593" s="4" t="s">
        <v>28</v>
      </c>
      <c r="AJ593" s="4" t="s">
        <v>13</v>
      </c>
      <c r="AK593" s="4" t="str">
        <f>IFERROR(VLOOKUP(AJ593,'Guide '!$A$13:$B$16,2,0),"-")</f>
        <v>BB</v>
      </c>
      <c r="AL593" s="4" t="s">
        <v>1006</v>
      </c>
      <c r="AM593" s="40">
        <v>45508</v>
      </c>
      <c r="AN593">
        <f t="shared" si="343"/>
        <v>29</v>
      </c>
      <c r="AO593">
        <f t="shared" si="344"/>
        <v>32</v>
      </c>
      <c r="AP593">
        <f t="shared" si="345"/>
        <v>40</v>
      </c>
      <c r="AQ593">
        <f t="shared" si="346"/>
        <v>43</v>
      </c>
      <c r="AR593" s="26" t="str">
        <f t="shared" si="347"/>
        <v>-</v>
      </c>
      <c r="AS593" s="26" t="str">
        <f t="shared" si="348"/>
        <v>-</v>
      </c>
      <c r="AT593" s="21">
        <f t="shared" si="349"/>
        <v>12</v>
      </c>
      <c r="AU593" s="21">
        <f t="shared" si="350"/>
        <v>19</v>
      </c>
      <c r="AV593" t="str">
        <f t="shared" si="351"/>
        <v>-</v>
      </c>
      <c r="AW593" t="str">
        <f t="shared" si="352"/>
        <v>-</v>
      </c>
      <c r="AX593" t="str">
        <f t="shared" si="353"/>
        <v>-</v>
      </c>
      <c r="AY593" t="str">
        <f t="shared" si="354"/>
        <v>-</v>
      </c>
      <c r="AZ593" t="str">
        <f t="shared" si="355"/>
        <v>-</v>
      </c>
      <c r="BA593" t="str">
        <f t="shared" si="356"/>
        <v>-</v>
      </c>
      <c r="BB593" t="str">
        <f t="shared" si="357"/>
        <v>-</v>
      </c>
      <c r="BC593" t="str">
        <f t="shared" si="358"/>
        <v>-</v>
      </c>
      <c r="BD593" s="29" t="str">
        <f t="shared" si="359"/>
        <v>-</v>
      </c>
      <c r="BE593" s="29" t="str">
        <f t="shared" si="360"/>
        <v>-</v>
      </c>
    </row>
    <row r="594" spans="1:57" ht="15" x14ac:dyDescent="0.2">
      <c r="A594" s="2">
        <v>585</v>
      </c>
      <c r="B594" s="2" t="str">
        <f t="shared" si="325"/>
        <v>0585</v>
      </c>
      <c r="C594" t="str">
        <f t="shared" si="326"/>
        <v>ORD-TK-0585-04/08/24</v>
      </c>
      <c r="D594" s="3" t="s">
        <v>239</v>
      </c>
      <c r="E594" t="str">
        <f t="shared" si="327"/>
        <v>PP003</v>
      </c>
      <c r="F594" t="str">
        <f>INDEX(Katalog!$B$4:$B$13,MATCH('Main Data'!E594,Katalog!$C$4:$C$13,0))</f>
        <v>Jaket Jeans</v>
      </c>
      <c r="G594" t="str">
        <f>VLOOKUP(E594,Katalog!$A$15:$B$25,2,0)</f>
        <v>Pakaian Pria</v>
      </c>
      <c r="H594" t="str">
        <f t="shared" si="328"/>
        <v>1</v>
      </c>
      <c r="I594" t="str">
        <f t="shared" si="329"/>
        <v>3</v>
      </c>
      <c r="J594" s="18">
        <f>VLOOKUP(E594,Katalog!$C$3:$F$13,2,0)</f>
        <v>150000</v>
      </c>
      <c r="K594" s="18">
        <f>VLOOKUP(E594,Katalog!$C$3:$F$13,3,0)</f>
        <v>70000</v>
      </c>
      <c r="L594" t="str">
        <f t="shared" si="330"/>
        <v>-</v>
      </c>
      <c r="M594" t="str">
        <f>IFERROR(INDEX(Katalog!$B$4:$B$13,MATCH('Main Data'!L594,Katalog!$C$4:$C$13,0)), "-")</f>
        <v>-</v>
      </c>
      <c r="N594" t="str">
        <f>IFERROR(VLOOKUP(L594,Katalog!$A$15:$B$25,2,0),"-")</f>
        <v>-</v>
      </c>
      <c r="O594">
        <f t="shared" si="331"/>
        <v>0</v>
      </c>
      <c r="P594" t="str">
        <f t="shared" si="332"/>
        <v>-</v>
      </c>
      <c r="Q594" s="18">
        <f>IFERROR(VLOOKUP(L594,Katalog!$C$3:$F$13,2,0),0)</f>
        <v>0</v>
      </c>
      <c r="R594" s="18">
        <f>IFERROR(VLOOKUP(L594,Katalog!$C$3:$F$13,3,0),0)</f>
        <v>0</v>
      </c>
      <c r="S594" t="str">
        <f t="shared" si="333"/>
        <v>-</v>
      </c>
      <c r="T594" t="str">
        <f>IFERROR(INDEX(Katalog!$B$4:$B$13,MATCH('Main Data'!S594,Katalog!$C$4:$C$13,0)),"-")</f>
        <v>-</v>
      </c>
      <c r="U594" t="str">
        <f>IFERROR(VLOOKUP(S594,Katalog!$A$15:$B$25,2,0),"-")</f>
        <v>-</v>
      </c>
      <c r="V594">
        <f t="shared" si="334"/>
        <v>0</v>
      </c>
      <c r="W594" s="28" t="str">
        <f t="shared" si="335"/>
        <v>-</v>
      </c>
      <c r="X594" s="18">
        <f>IFERROR(VLOOKUP(S594,Katalog!$C$3:$F$13,2,0),0)</f>
        <v>0</v>
      </c>
      <c r="Y594" s="30">
        <f>IFERROR(VLOOKUP(S594,Katalog!$C$3:$F$13,3,0),0)</f>
        <v>0</v>
      </c>
      <c r="Z594" s="2">
        <f t="shared" si="336"/>
        <v>1</v>
      </c>
      <c r="AA594" s="4">
        <f t="shared" si="337"/>
        <v>150000</v>
      </c>
      <c r="AB594" s="4">
        <f t="shared" si="338"/>
        <v>70000</v>
      </c>
      <c r="AC594" s="4" t="s">
        <v>30</v>
      </c>
      <c r="AD594" s="16">
        <f>IFERROR(VLOOKUP(AC594,'Kode Diskon'!$C$2:$D$9,2,0),0)</f>
        <v>0.1</v>
      </c>
      <c r="AE594" s="31">
        <f t="shared" si="339"/>
        <v>15000</v>
      </c>
      <c r="AF594" s="31">
        <f t="shared" si="340"/>
        <v>135000</v>
      </c>
      <c r="AG594" s="31">
        <f t="shared" si="341"/>
        <v>80000</v>
      </c>
      <c r="AH594" s="31">
        <f t="shared" si="342"/>
        <v>65000</v>
      </c>
      <c r="AI594" s="4" t="s">
        <v>8</v>
      </c>
      <c r="AJ594" s="4" t="s">
        <v>9</v>
      </c>
      <c r="AK594" s="4" t="str">
        <f>IFERROR(VLOOKUP(AJ594,'Guide '!$A$13:$B$16,2,0),"-")</f>
        <v>TK</v>
      </c>
      <c r="AL594" s="4" t="s">
        <v>921</v>
      </c>
      <c r="AM594" s="40">
        <v>45508</v>
      </c>
      <c r="AN594">
        <f t="shared" si="343"/>
        <v>29</v>
      </c>
      <c r="AO594">
        <f t="shared" si="344"/>
        <v>32</v>
      </c>
      <c r="AP594">
        <f t="shared" si="345"/>
        <v>40</v>
      </c>
      <c r="AQ594">
        <f t="shared" si="346"/>
        <v>43</v>
      </c>
      <c r="AR594" s="26" t="str">
        <f t="shared" si="347"/>
        <v>-</v>
      </c>
      <c r="AS594" s="26" t="str">
        <f t="shared" si="348"/>
        <v>-</v>
      </c>
      <c r="AT594" s="21">
        <f t="shared" si="349"/>
        <v>12</v>
      </c>
      <c r="AU594" s="21">
        <f t="shared" si="350"/>
        <v>19</v>
      </c>
      <c r="AV594" t="str">
        <f t="shared" si="351"/>
        <v>-</v>
      </c>
      <c r="AW594" t="str">
        <f t="shared" si="352"/>
        <v>-</v>
      </c>
      <c r="AX594" t="str">
        <f t="shared" si="353"/>
        <v>-</v>
      </c>
      <c r="AY594" t="str">
        <f t="shared" si="354"/>
        <v>-</v>
      </c>
      <c r="AZ594" t="str">
        <f t="shared" si="355"/>
        <v>-</v>
      </c>
      <c r="BA594" t="str">
        <f t="shared" si="356"/>
        <v>-</v>
      </c>
      <c r="BB594" t="str">
        <f t="shared" si="357"/>
        <v>-</v>
      </c>
      <c r="BC594" t="str">
        <f t="shared" si="358"/>
        <v>-</v>
      </c>
      <c r="BD594" s="29" t="str">
        <f t="shared" si="359"/>
        <v>-</v>
      </c>
      <c r="BE594" s="29" t="str">
        <f t="shared" si="360"/>
        <v>-</v>
      </c>
    </row>
    <row r="595" spans="1:57" ht="15" x14ac:dyDescent="0.2">
      <c r="A595" s="2">
        <v>28</v>
      </c>
      <c r="B595" s="2" t="str">
        <f t="shared" si="325"/>
        <v>0028</v>
      </c>
      <c r="C595" t="str">
        <f t="shared" si="326"/>
        <v>ORD-BL-0028-05/08/24</v>
      </c>
      <c r="D595" s="3" t="s">
        <v>102</v>
      </c>
      <c r="E595" t="str">
        <f t="shared" si="327"/>
        <v>PP002</v>
      </c>
      <c r="F595" t="str">
        <f>INDEX(Katalog!$B$4:$B$13,MATCH('Main Data'!E595,Katalog!$C$4:$C$13,0))</f>
        <v>Celana Pendek</v>
      </c>
      <c r="G595" t="str">
        <f>VLOOKUP(E595,Katalog!$A$15:$B$25,2,0)</f>
        <v>Pakaian Pria</v>
      </c>
      <c r="H595" t="str">
        <f t="shared" si="328"/>
        <v>5</v>
      </c>
      <c r="I595" t="str">
        <f t="shared" si="329"/>
        <v>2</v>
      </c>
      <c r="J595" s="18">
        <f>VLOOKUP(E595,Katalog!$C$3:$F$13,2,0)</f>
        <v>60000</v>
      </c>
      <c r="K595" s="18">
        <f>VLOOKUP(E595,Katalog!$C$3:$F$13,3,0)</f>
        <v>25000</v>
      </c>
      <c r="L595" t="str">
        <f t="shared" si="330"/>
        <v>PW001</v>
      </c>
      <c r="M595" t="str">
        <f>IFERROR(INDEX(Katalog!$B$4:$B$13,MATCH('Main Data'!L595,Katalog!$C$4:$C$13,0)), "-")</f>
        <v>Dress</v>
      </c>
      <c r="N595" t="str">
        <f>IFERROR(VLOOKUP(L595,Katalog!$A$15:$B$25,2,0),"-")</f>
        <v>Pakaian Wanita</v>
      </c>
      <c r="O595" t="str">
        <f t="shared" si="331"/>
        <v>2</v>
      </c>
      <c r="P595" t="str">
        <f t="shared" si="332"/>
        <v>1</v>
      </c>
      <c r="Q595" s="18">
        <f>IFERROR(VLOOKUP(L595,Katalog!$C$3:$F$13,2,0),0)</f>
        <v>150000</v>
      </c>
      <c r="R595" s="18">
        <f>IFERROR(VLOOKUP(L595,Katalog!$C$3:$F$13,3,0),0)</f>
        <v>55000</v>
      </c>
      <c r="S595" t="str">
        <f t="shared" si="333"/>
        <v>-</v>
      </c>
      <c r="T595" t="str">
        <f>IFERROR(INDEX(Katalog!$B$4:$B$13,MATCH('Main Data'!S595,Katalog!$C$4:$C$13,0)),"-")</f>
        <v>-</v>
      </c>
      <c r="U595" t="str">
        <f>IFERROR(VLOOKUP(S595,Katalog!$A$15:$B$25,2,0),"-")</f>
        <v>-</v>
      </c>
      <c r="V595">
        <f t="shared" si="334"/>
        <v>0</v>
      </c>
      <c r="W595" s="28" t="str">
        <f t="shared" si="335"/>
        <v>-</v>
      </c>
      <c r="X595" s="18">
        <f>IFERROR(VLOOKUP(S595,Katalog!$C$3:$F$13,2,0),0)</f>
        <v>0</v>
      </c>
      <c r="Y595" s="30">
        <f>IFERROR(VLOOKUP(S595,Katalog!$C$3:$F$13,3,0),0)</f>
        <v>0</v>
      </c>
      <c r="Z595" s="2">
        <f t="shared" si="336"/>
        <v>7</v>
      </c>
      <c r="AA595" s="4">
        <f t="shared" si="337"/>
        <v>600000</v>
      </c>
      <c r="AB595" s="4">
        <f t="shared" si="338"/>
        <v>235000</v>
      </c>
      <c r="AC595" s="4" t="s">
        <v>31</v>
      </c>
      <c r="AD595" s="16">
        <f>IFERROR(VLOOKUP(AC595,'Kode Diskon'!$C$2:$D$9,2,0),0)</f>
        <v>0.15</v>
      </c>
      <c r="AE595" s="31">
        <f t="shared" si="339"/>
        <v>90000</v>
      </c>
      <c r="AF595" s="31">
        <f t="shared" si="340"/>
        <v>510000</v>
      </c>
      <c r="AG595" s="31">
        <f t="shared" si="341"/>
        <v>365000</v>
      </c>
      <c r="AH595" s="31">
        <f t="shared" si="342"/>
        <v>275000</v>
      </c>
      <c r="AI595" s="4" t="s">
        <v>8</v>
      </c>
      <c r="AJ595" s="4" t="s">
        <v>11</v>
      </c>
      <c r="AK595" s="4" t="str">
        <f>IFERROR(VLOOKUP(AJ595,'Guide '!$A$13:$B$16,2,0),"-")</f>
        <v>BL</v>
      </c>
      <c r="AL595" s="4" t="s">
        <v>924</v>
      </c>
      <c r="AM595" s="40">
        <v>45509</v>
      </c>
      <c r="AN595">
        <f t="shared" si="343"/>
        <v>29</v>
      </c>
      <c r="AO595">
        <f t="shared" si="344"/>
        <v>32</v>
      </c>
      <c r="AP595">
        <f t="shared" si="345"/>
        <v>40</v>
      </c>
      <c r="AQ595">
        <f t="shared" si="346"/>
        <v>43</v>
      </c>
      <c r="AR595" s="26">
        <f t="shared" si="347"/>
        <v>56</v>
      </c>
      <c r="AS595" s="26">
        <f t="shared" si="348"/>
        <v>63</v>
      </c>
      <c r="AT595" s="21">
        <f t="shared" si="349"/>
        <v>12</v>
      </c>
      <c r="AU595" s="21">
        <f t="shared" si="350"/>
        <v>19</v>
      </c>
      <c r="AV595">
        <f t="shared" si="351"/>
        <v>73</v>
      </c>
      <c r="AW595">
        <f t="shared" si="352"/>
        <v>76</v>
      </c>
      <c r="AX595">
        <f t="shared" si="353"/>
        <v>84</v>
      </c>
      <c r="AY595">
        <f t="shared" si="354"/>
        <v>87</v>
      </c>
      <c r="AZ595" t="str">
        <f t="shared" si="355"/>
        <v>-</v>
      </c>
      <c r="BA595" t="str">
        <f t="shared" si="356"/>
        <v>-</v>
      </c>
      <c r="BB595" t="str">
        <f t="shared" si="357"/>
        <v>-</v>
      </c>
      <c r="BC595" t="str">
        <f t="shared" si="358"/>
        <v>-</v>
      </c>
      <c r="BD595" s="29" t="str">
        <f t="shared" si="359"/>
        <v>-</v>
      </c>
      <c r="BE595" s="29" t="str">
        <f t="shared" si="360"/>
        <v>-</v>
      </c>
    </row>
    <row r="596" spans="1:57" ht="15" x14ac:dyDescent="0.2">
      <c r="A596" s="2">
        <v>157</v>
      </c>
      <c r="B596" s="2" t="str">
        <f t="shared" si="325"/>
        <v>0157</v>
      </c>
      <c r="C596" t="str">
        <f t="shared" si="326"/>
        <v>ORD-SP-0157-05/08/24</v>
      </c>
      <c r="D596" s="3" t="s">
        <v>227</v>
      </c>
      <c r="E596" t="str">
        <f t="shared" si="327"/>
        <v>SW001</v>
      </c>
      <c r="F596" t="str">
        <f>INDEX(Katalog!$B$4:$B$13,MATCH('Main Data'!E596,Katalog!$C$4:$C$13,0))</f>
        <v>Flat Shoes</v>
      </c>
      <c r="G596" t="str">
        <f>VLOOKUP(E596,Katalog!$A$15:$B$25,2,0)</f>
        <v>Sepatu Wanita</v>
      </c>
      <c r="H596" t="str">
        <f t="shared" si="328"/>
        <v>4</v>
      </c>
      <c r="I596" t="str">
        <f t="shared" si="329"/>
        <v>2</v>
      </c>
      <c r="J596" s="18">
        <f>VLOOKUP(E596,Katalog!$C$3:$F$13,2,0)</f>
        <v>150000</v>
      </c>
      <c r="K596" s="18">
        <f>VLOOKUP(E596,Katalog!$C$3:$F$13,3,0)</f>
        <v>70000</v>
      </c>
      <c r="L596" t="str">
        <f t="shared" si="330"/>
        <v>-</v>
      </c>
      <c r="M596" t="str">
        <f>IFERROR(INDEX(Katalog!$B$4:$B$13,MATCH('Main Data'!L596,Katalog!$C$4:$C$13,0)), "-")</f>
        <v>-</v>
      </c>
      <c r="N596" t="str">
        <f>IFERROR(VLOOKUP(L596,Katalog!$A$15:$B$25,2,0),"-")</f>
        <v>-</v>
      </c>
      <c r="O596">
        <f t="shared" si="331"/>
        <v>0</v>
      </c>
      <c r="P596" t="str">
        <f t="shared" si="332"/>
        <v>-</v>
      </c>
      <c r="Q596" s="18">
        <f>IFERROR(VLOOKUP(L596,Katalog!$C$3:$F$13,2,0),0)</f>
        <v>0</v>
      </c>
      <c r="R596" s="18">
        <f>IFERROR(VLOOKUP(L596,Katalog!$C$3:$F$13,3,0),0)</f>
        <v>0</v>
      </c>
      <c r="S596" t="str">
        <f t="shared" si="333"/>
        <v>-</v>
      </c>
      <c r="T596" t="str">
        <f>IFERROR(INDEX(Katalog!$B$4:$B$13,MATCH('Main Data'!S596,Katalog!$C$4:$C$13,0)),"-")</f>
        <v>-</v>
      </c>
      <c r="U596" t="str">
        <f>IFERROR(VLOOKUP(S596,Katalog!$A$15:$B$25,2,0),"-")</f>
        <v>-</v>
      </c>
      <c r="V596">
        <f t="shared" si="334"/>
        <v>0</v>
      </c>
      <c r="W596" s="28" t="str">
        <f t="shared" si="335"/>
        <v>-</v>
      </c>
      <c r="X596" s="18">
        <f>IFERROR(VLOOKUP(S596,Katalog!$C$3:$F$13,2,0),0)</f>
        <v>0</v>
      </c>
      <c r="Y596" s="30">
        <f>IFERROR(VLOOKUP(S596,Katalog!$C$3:$F$13,3,0),0)</f>
        <v>0</v>
      </c>
      <c r="Z596" s="2">
        <f t="shared" si="336"/>
        <v>4</v>
      </c>
      <c r="AA596" s="4">
        <f t="shared" si="337"/>
        <v>600000</v>
      </c>
      <c r="AB596" s="4">
        <f t="shared" si="338"/>
        <v>280000</v>
      </c>
      <c r="AC596" s="4" t="s">
        <v>12</v>
      </c>
      <c r="AD596" s="16">
        <f>IFERROR(VLOOKUP(AC596,'Kode Diskon'!$C$2:$D$9,2,0),0)</f>
        <v>0.15</v>
      </c>
      <c r="AE596" s="31">
        <f t="shared" si="339"/>
        <v>90000</v>
      </c>
      <c r="AF596" s="31">
        <f t="shared" si="340"/>
        <v>510000</v>
      </c>
      <c r="AG596" s="31">
        <f t="shared" si="341"/>
        <v>320000</v>
      </c>
      <c r="AH596" s="31">
        <f t="shared" si="342"/>
        <v>230000</v>
      </c>
      <c r="AI596" s="4" t="s">
        <v>28</v>
      </c>
      <c r="AJ596" s="4" t="s">
        <v>6</v>
      </c>
      <c r="AK596" s="4" t="str">
        <f>IFERROR(VLOOKUP(AJ596,'Guide '!$A$13:$B$16,2,0),"-")</f>
        <v>SP</v>
      </c>
      <c r="AL596" s="4" t="s">
        <v>921</v>
      </c>
      <c r="AM596" s="40">
        <v>45509</v>
      </c>
      <c r="AN596">
        <f t="shared" si="343"/>
        <v>29</v>
      </c>
      <c r="AO596">
        <f t="shared" si="344"/>
        <v>32</v>
      </c>
      <c r="AP596">
        <f t="shared" si="345"/>
        <v>40</v>
      </c>
      <c r="AQ596">
        <f t="shared" si="346"/>
        <v>43</v>
      </c>
      <c r="AR596" s="26" t="str">
        <f t="shared" si="347"/>
        <v>-</v>
      </c>
      <c r="AS596" s="26" t="str">
        <f t="shared" si="348"/>
        <v>-</v>
      </c>
      <c r="AT596" s="21">
        <f t="shared" si="349"/>
        <v>12</v>
      </c>
      <c r="AU596" s="21">
        <f t="shared" si="350"/>
        <v>19</v>
      </c>
      <c r="AV596" t="str">
        <f t="shared" si="351"/>
        <v>-</v>
      </c>
      <c r="AW596" t="str">
        <f t="shared" si="352"/>
        <v>-</v>
      </c>
      <c r="AX596" t="str">
        <f t="shared" si="353"/>
        <v>-</v>
      </c>
      <c r="AY596" t="str">
        <f t="shared" si="354"/>
        <v>-</v>
      </c>
      <c r="AZ596" t="str">
        <f t="shared" si="355"/>
        <v>-</v>
      </c>
      <c r="BA596" t="str">
        <f t="shared" si="356"/>
        <v>-</v>
      </c>
      <c r="BB596" t="str">
        <f t="shared" si="357"/>
        <v>-</v>
      </c>
      <c r="BC596" t="str">
        <f t="shared" si="358"/>
        <v>-</v>
      </c>
      <c r="BD596" s="29" t="str">
        <f t="shared" si="359"/>
        <v>-</v>
      </c>
      <c r="BE596" s="29" t="str">
        <f t="shared" si="360"/>
        <v>-</v>
      </c>
    </row>
    <row r="597" spans="1:57" ht="15" x14ac:dyDescent="0.2">
      <c r="A597" s="2">
        <v>424</v>
      </c>
      <c r="B597" s="2" t="str">
        <f t="shared" si="325"/>
        <v>0424</v>
      </c>
      <c r="C597" t="str">
        <f t="shared" si="326"/>
        <v>ORD-SP-0424-05/08/24</v>
      </c>
      <c r="D597" s="3" t="s">
        <v>467</v>
      </c>
      <c r="E597" t="str">
        <f t="shared" si="327"/>
        <v>SP001</v>
      </c>
      <c r="F597" t="str">
        <f>INDEX(Katalog!$B$4:$B$13,MATCH('Main Data'!E597,Katalog!$C$4:$C$13,0))</f>
        <v>Sneakers</v>
      </c>
      <c r="G597" t="str">
        <f>VLOOKUP(E597,Katalog!$A$15:$B$25,2,0)</f>
        <v>Sepatu Pria</v>
      </c>
      <c r="H597" t="str">
        <f t="shared" si="328"/>
        <v>7</v>
      </c>
      <c r="I597" t="str">
        <f t="shared" si="329"/>
        <v>1</v>
      </c>
      <c r="J597" s="18">
        <f>VLOOKUP(E597,Katalog!$C$3:$F$13,2,0)</f>
        <v>300000</v>
      </c>
      <c r="K597" s="18">
        <f>VLOOKUP(E597,Katalog!$C$3:$F$13,3,0)</f>
        <v>100000</v>
      </c>
      <c r="L597" t="str">
        <f t="shared" si="330"/>
        <v>-</v>
      </c>
      <c r="M597" t="str">
        <f>IFERROR(INDEX(Katalog!$B$4:$B$13,MATCH('Main Data'!L597,Katalog!$C$4:$C$13,0)), "-")</f>
        <v>-</v>
      </c>
      <c r="N597" t="str">
        <f>IFERROR(VLOOKUP(L597,Katalog!$A$15:$B$25,2,0),"-")</f>
        <v>-</v>
      </c>
      <c r="O597">
        <f t="shared" si="331"/>
        <v>0</v>
      </c>
      <c r="P597" t="str">
        <f t="shared" si="332"/>
        <v>-</v>
      </c>
      <c r="Q597" s="18">
        <f>IFERROR(VLOOKUP(L597,Katalog!$C$3:$F$13,2,0),0)</f>
        <v>0</v>
      </c>
      <c r="R597" s="18">
        <f>IFERROR(VLOOKUP(L597,Katalog!$C$3:$F$13,3,0),0)</f>
        <v>0</v>
      </c>
      <c r="S597" t="str">
        <f t="shared" si="333"/>
        <v>-</v>
      </c>
      <c r="T597" t="str">
        <f>IFERROR(INDEX(Katalog!$B$4:$B$13,MATCH('Main Data'!S597,Katalog!$C$4:$C$13,0)),"-")</f>
        <v>-</v>
      </c>
      <c r="U597" t="str">
        <f>IFERROR(VLOOKUP(S597,Katalog!$A$15:$B$25,2,0),"-")</f>
        <v>-</v>
      </c>
      <c r="V597">
        <f t="shared" si="334"/>
        <v>0</v>
      </c>
      <c r="W597" s="28" t="str">
        <f t="shared" si="335"/>
        <v>-</v>
      </c>
      <c r="X597" s="18">
        <f>IFERROR(VLOOKUP(S597,Katalog!$C$3:$F$13,2,0),0)</f>
        <v>0</v>
      </c>
      <c r="Y597" s="30">
        <f>IFERROR(VLOOKUP(S597,Katalog!$C$3:$F$13,3,0),0)</f>
        <v>0</v>
      </c>
      <c r="Z597" s="2">
        <f t="shared" si="336"/>
        <v>7</v>
      </c>
      <c r="AA597" s="4">
        <f t="shared" si="337"/>
        <v>2100000</v>
      </c>
      <c r="AB597" s="4">
        <f t="shared" si="338"/>
        <v>700000</v>
      </c>
      <c r="AC597" s="4" t="s">
        <v>7</v>
      </c>
      <c r="AD597" s="16">
        <f>IFERROR(VLOOKUP(AC597,'Kode Diskon'!$C$2:$D$9,2,0),0)</f>
        <v>0.2</v>
      </c>
      <c r="AE597" s="31">
        <f t="shared" si="339"/>
        <v>420000</v>
      </c>
      <c r="AF597" s="31">
        <f t="shared" si="340"/>
        <v>1680000</v>
      </c>
      <c r="AG597" s="31">
        <f t="shared" si="341"/>
        <v>1400000</v>
      </c>
      <c r="AH597" s="31">
        <f t="shared" si="342"/>
        <v>980000</v>
      </c>
      <c r="AI597" s="4" t="s">
        <v>8</v>
      </c>
      <c r="AJ597" s="4" t="s">
        <v>6</v>
      </c>
      <c r="AK597" s="4" t="str">
        <f>IFERROR(VLOOKUP(AJ597,'Guide '!$A$13:$B$16,2,0),"-")</f>
        <v>SP</v>
      </c>
      <c r="AL597" s="4" t="s">
        <v>925</v>
      </c>
      <c r="AM597" s="40">
        <v>45509</v>
      </c>
      <c r="AN597">
        <f t="shared" si="343"/>
        <v>29</v>
      </c>
      <c r="AO597">
        <f t="shared" si="344"/>
        <v>32</v>
      </c>
      <c r="AP597">
        <f t="shared" si="345"/>
        <v>40</v>
      </c>
      <c r="AQ597">
        <f t="shared" si="346"/>
        <v>43</v>
      </c>
      <c r="AR597" s="26" t="str">
        <f t="shared" si="347"/>
        <v>-</v>
      </c>
      <c r="AS597" s="26" t="str">
        <f t="shared" si="348"/>
        <v>-</v>
      </c>
      <c r="AT597" s="21">
        <f t="shared" si="349"/>
        <v>12</v>
      </c>
      <c r="AU597" s="21">
        <f t="shared" si="350"/>
        <v>19</v>
      </c>
      <c r="AV597" t="str">
        <f t="shared" si="351"/>
        <v>-</v>
      </c>
      <c r="AW597" t="str">
        <f t="shared" si="352"/>
        <v>-</v>
      </c>
      <c r="AX597" t="str">
        <f t="shared" si="353"/>
        <v>-</v>
      </c>
      <c r="AY597" t="str">
        <f t="shared" si="354"/>
        <v>-</v>
      </c>
      <c r="AZ597" t="str">
        <f t="shared" si="355"/>
        <v>-</v>
      </c>
      <c r="BA597" t="str">
        <f t="shared" si="356"/>
        <v>-</v>
      </c>
      <c r="BB597" t="str">
        <f t="shared" si="357"/>
        <v>-</v>
      </c>
      <c r="BC597" t="str">
        <f t="shared" si="358"/>
        <v>-</v>
      </c>
      <c r="BD597" s="29" t="str">
        <f t="shared" si="359"/>
        <v>-</v>
      </c>
      <c r="BE597" s="29" t="str">
        <f t="shared" si="360"/>
        <v>-</v>
      </c>
    </row>
    <row r="598" spans="1:57" ht="15" x14ac:dyDescent="0.2">
      <c r="A598" s="2">
        <v>677</v>
      </c>
      <c r="B598" s="2" t="str">
        <f t="shared" si="325"/>
        <v>0677</v>
      </c>
      <c r="C598" t="str">
        <f t="shared" si="326"/>
        <v>ORD-TK-0677-05/08/24</v>
      </c>
      <c r="D598" s="3" t="s">
        <v>441</v>
      </c>
      <c r="E598" t="str">
        <f t="shared" si="327"/>
        <v>PP002</v>
      </c>
      <c r="F598" t="str">
        <f>INDEX(Katalog!$B$4:$B$13,MATCH('Main Data'!E598,Katalog!$C$4:$C$13,0))</f>
        <v>Celana Pendek</v>
      </c>
      <c r="G598" t="str">
        <f>VLOOKUP(E598,Katalog!$A$15:$B$25,2,0)</f>
        <v>Pakaian Pria</v>
      </c>
      <c r="H598" t="str">
        <f t="shared" si="328"/>
        <v>1</v>
      </c>
      <c r="I598" t="str">
        <f t="shared" si="329"/>
        <v>4</v>
      </c>
      <c r="J598" s="18">
        <f>VLOOKUP(E598,Katalog!$C$3:$F$13,2,0)</f>
        <v>60000</v>
      </c>
      <c r="K598" s="18">
        <f>VLOOKUP(E598,Katalog!$C$3:$F$13,3,0)</f>
        <v>25000</v>
      </c>
      <c r="L598" t="str">
        <f t="shared" si="330"/>
        <v>-</v>
      </c>
      <c r="M598" t="str">
        <f>IFERROR(INDEX(Katalog!$B$4:$B$13,MATCH('Main Data'!L598,Katalog!$C$4:$C$13,0)), "-")</f>
        <v>-</v>
      </c>
      <c r="N598" t="str">
        <f>IFERROR(VLOOKUP(L598,Katalog!$A$15:$B$25,2,0),"-")</f>
        <v>-</v>
      </c>
      <c r="O598">
        <f t="shared" si="331"/>
        <v>0</v>
      </c>
      <c r="P598" t="str">
        <f t="shared" si="332"/>
        <v>-</v>
      </c>
      <c r="Q598" s="18">
        <f>IFERROR(VLOOKUP(L598,Katalog!$C$3:$F$13,2,0),0)</f>
        <v>0</v>
      </c>
      <c r="R598" s="18">
        <f>IFERROR(VLOOKUP(L598,Katalog!$C$3:$F$13,3,0),0)</f>
        <v>0</v>
      </c>
      <c r="S598" t="str">
        <f t="shared" si="333"/>
        <v>-</v>
      </c>
      <c r="T598" t="str">
        <f>IFERROR(INDEX(Katalog!$B$4:$B$13,MATCH('Main Data'!S598,Katalog!$C$4:$C$13,0)),"-")</f>
        <v>-</v>
      </c>
      <c r="U598" t="str">
        <f>IFERROR(VLOOKUP(S598,Katalog!$A$15:$B$25,2,0),"-")</f>
        <v>-</v>
      </c>
      <c r="V598">
        <f t="shared" si="334"/>
        <v>0</v>
      </c>
      <c r="W598" s="28" t="str">
        <f t="shared" si="335"/>
        <v>-</v>
      </c>
      <c r="X598" s="18">
        <f>IFERROR(VLOOKUP(S598,Katalog!$C$3:$F$13,2,0),0)</f>
        <v>0</v>
      </c>
      <c r="Y598" s="30">
        <f>IFERROR(VLOOKUP(S598,Katalog!$C$3:$F$13,3,0),0)</f>
        <v>0</v>
      </c>
      <c r="Z598" s="2">
        <f t="shared" si="336"/>
        <v>1</v>
      </c>
      <c r="AA598" s="4">
        <f t="shared" si="337"/>
        <v>60000</v>
      </c>
      <c r="AB598" s="4">
        <f t="shared" si="338"/>
        <v>25000</v>
      </c>
      <c r="AC598" s="4" t="s">
        <v>29</v>
      </c>
      <c r="AD598" s="16">
        <f>IFERROR(VLOOKUP(AC598,'Kode Diskon'!$C$2:$D$9,2,0),0)</f>
        <v>0.1</v>
      </c>
      <c r="AE598" s="31">
        <f t="shared" si="339"/>
        <v>6000</v>
      </c>
      <c r="AF598" s="31">
        <f t="shared" si="340"/>
        <v>54000</v>
      </c>
      <c r="AG598" s="31">
        <f t="shared" si="341"/>
        <v>35000</v>
      </c>
      <c r="AH598" s="31">
        <f t="shared" si="342"/>
        <v>29000</v>
      </c>
      <c r="AI598" s="4" t="s">
        <v>28</v>
      </c>
      <c r="AJ598" s="4" t="s">
        <v>9</v>
      </c>
      <c r="AK598" s="4" t="str">
        <f>IFERROR(VLOOKUP(AJ598,'Guide '!$A$13:$B$16,2,0),"-")</f>
        <v>TK</v>
      </c>
      <c r="AL598" s="4" t="s">
        <v>924</v>
      </c>
      <c r="AM598" s="40">
        <v>45509</v>
      </c>
      <c r="AN598">
        <f t="shared" si="343"/>
        <v>29</v>
      </c>
      <c r="AO598">
        <f t="shared" si="344"/>
        <v>32</v>
      </c>
      <c r="AP598">
        <f t="shared" si="345"/>
        <v>40</v>
      </c>
      <c r="AQ598">
        <f t="shared" si="346"/>
        <v>43</v>
      </c>
      <c r="AR598" s="26" t="str">
        <f t="shared" si="347"/>
        <v>-</v>
      </c>
      <c r="AS598" s="26" t="str">
        <f t="shared" si="348"/>
        <v>-</v>
      </c>
      <c r="AT598" s="21">
        <f t="shared" si="349"/>
        <v>12</v>
      </c>
      <c r="AU598" s="21">
        <f t="shared" si="350"/>
        <v>19</v>
      </c>
      <c r="AV598" t="str">
        <f t="shared" si="351"/>
        <v>-</v>
      </c>
      <c r="AW598" t="str">
        <f t="shared" si="352"/>
        <v>-</v>
      </c>
      <c r="AX598" t="str">
        <f t="shared" si="353"/>
        <v>-</v>
      </c>
      <c r="AY598" t="str">
        <f t="shared" si="354"/>
        <v>-</v>
      </c>
      <c r="AZ598" t="str">
        <f t="shared" si="355"/>
        <v>-</v>
      </c>
      <c r="BA598" t="str">
        <f t="shared" si="356"/>
        <v>-</v>
      </c>
      <c r="BB598" t="str">
        <f t="shared" si="357"/>
        <v>-</v>
      </c>
      <c r="BC598" t="str">
        <f t="shared" si="358"/>
        <v>-</v>
      </c>
      <c r="BD598" s="29" t="str">
        <f t="shared" si="359"/>
        <v>-</v>
      </c>
      <c r="BE598" s="29" t="str">
        <f t="shared" si="360"/>
        <v>-</v>
      </c>
    </row>
    <row r="599" spans="1:57" ht="15" x14ac:dyDescent="0.2">
      <c r="A599" s="2">
        <v>815</v>
      </c>
      <c r="B599" s="2" t="str">
        <f t="shared" si="325"/>
        <v>0815</v>
      </c>
      <c r="C599" t="str">
        <f t="shared" si="326"/>
        <v>ORD-SP-0815-05/08/24</v>
      </c>
      <c r="D599" s="3" t="s">
        <v>339</v>
      </c>
      <c r="E599" t="str">
        <f t="shared" si="327"/>
        <v>SP002</v>
      </c>
      <c r="F599" t="str">
        <f>INDEX(Katalog!$B$4:$B$13,MATCH('Main Data'!E599,Katalog!$C$4:$C$13,0))</f>
        <v>Sandal Slip On</v>
      </c>
      <c r="G599" t="str">
        <f>VLOOKUP(E599,Katalog!$A$15:$B$25,2,0)</f>
        <v>Sepatu Pria</v>
      </c>
      <c r="H599" t="str">
        <f t="shared" si="328"/>
        <v>1</v>
      </c>
      <c r="I599" t="str">
        <f t="shared" si="329"/>
        <v>2</v>
      </c>
      <c r="J599" s="18">
        <f>VLOOKUP(E599,Katalog!$C$3:$F$13,2,0)</f>
        <v>120000</v>
      </c>
      <c r="K599" s="18">
        <f>VLOOKUP(E599,Katalog!$C$3:$F$13,3,0)</f>
        <v>60000</v>
      </c>
      <c r="L599" t="str">
        <f t="shared" si="330"/>
        <v>-</v>
      </c>
      <c r="M599" t="str">
        <f>IFERROR(INDEX(Katalog!$B$4:$B$13,MATCH('Main Data'!L599,Katalog!$C$4:$C$13,0)), "-")</f>
        <v>-</v>
      </c>
      <c r="N599" t="str">
        <f>IFERROR(VLOOKUP(L599,Katalog!$A$15:$B$25,2,0),"-")</f>
        <v>-</v>
      </c>
      <c r="O599">
        <f t="shared" si="331"/>
        <v>0</v>
      </c>
      <c r="P599" t="str">
        <f t="shared" si="332"/>
        <v>-</v>
      </c>
      <c r="Q599" s="18">
        <f>IFERROR(VLOOKUP(L599,Katalog!$C$3:$F$13,2,0),0)</f>
        <v>0</v>
      </c>
      <c r="R599" s="18">
        <f>IFERROR(VLOOKUP(L599,Katalog!$C$3:$F$13,3,0),0)</f>
        <v>0</v>
      </c>
      <c r="S599" t="str">
        <f t="shared" si="333"/>
        <v>-</v>
      </c>
      <c r="T599" t="str">
        <f>IFERROR(INDEX(Katalog!$B$4:$B$13,MATCH('Main Data'!S599,Katalog!$C$4:$C$13,0)),"-")</f>
        <v>-</v>
      </c>
      <c r="U599" t="str">
        <f>IFERROR(VLOOKUP(S599,Katalog!$A$15:$B$25,2,0),"-")</f>
        <v>-</v>
      </c>
      <c r="V599">
        <f t="shared" si="334"/>
        <v>0</v>
      </c>
      <c r="W599" s="28" t="str">
        <f t="shared" si="335"/>
        <v>-</v>
      </c>
      <c r="X599" s="18">
        <f>IFERROR(VLOOKUP(S599,Katalog!$C$3:$F$13,2,0),0)</f>
        <v>0</v>
      </c>
      <c r="Y599" s="30">
        <f>IFERROR(VLOOKUP(S599,Katalog!$C$3:$F$13,3,0),0)</f>
        <v>0</v>
      </c>
      <c r="Z599" s="2">
        <f t="shared" si="336"/>
        <v>1</v>
      </c>
      <c r="AA599" s="4">
        <f t="shared" si="337"/>
        <v>120000</v>
      </c>
      <c r="AB599" s="4">
        <f t="shared" si="338"/>
        <v>60000</v>
      </c>
      <c r="AC599" s="4" t="s">
        <v>7</v>
      </c>
      <c r="AD599" s="16">
        <f>IFERROR(VLOOKUP(AC599,'Kode Diskon'!$C$2:$D$9,2,0),0)</f>
        <v>0.2</v>
      </c>
      <c r="AE599" s="31">
        <f t="shared" si="339"/>
        <v>24000</v>
      </c>
      <c r="AF599" s="31">
        <f t="shared" si="340"/>
        <v>96000</v>
      </c>
      <c r="AG599" s="31">
        <f t="shared" si="341"/>
        <v>60000</v>
      </c>
      <c r="AH599" s="31">
        <f t="shared" si="342"/>
        <v>36000</v>
      </c>
      <c r="AI599" s="4" t="s">
        <v>8</v>
      </c>
      <c r="AJ599" s="4" t="s">
        <v>6</v>
      </c>
      <c r="AK599" s="4" t="str">
        <f>IFERROR(VLOOKUP(AJ599,'Guide '!$A$13:$B$16,2,0),"-")</f>
        <v>SP</v>
      </c>
      <c r="AL599" s="4" t="s">
        <v>925</v>
      </c>
      <c r="AM599" s="40">
        <v>45509</v>
      </c>
      <c r="AN599">
        <f t="shared" si="343"/>
        <v>29</v>
      </c>
      <c r="AO599">
        <f t="shared" si="344"/>
        <v>32</v>
      </c>
      <c r="AP599">
        <f t="shared" si="345"/>
        <v>40</v>
      </c>
      <c r="AQ599">
        <f t="shared" si="346"/>
        <v>43</v>
      </c>
      <c r="AR599" s="26" t="str">
        <f t="shared" si="347"/>
        <v>-</v>
      </c>
      <c r="AS599" s="26" t="str">
        <f t="shared" si="348"/>
        <v>-</v>
      </c>
      <c r="AT599" s="21">
        <f t="shared" si="349"/>
        <v>12</v>
      </c>
      <c r="AU599" s="21">
        <f t="shared" si="350"/>
        <v>19</v>
      </c>
      <c r="AV599" t="str">
        <f t="shared" si="351"/>
        <v>-</v>
      </c>
      <c r="AW599" t="str">
        <f t="shared" si="352"/>
        <v>-</v>
      </c>
      <c r="AX599" t="str">
        <f t="shared" si="353"/>
        <v>-</v>
      </c>
      <c r="AY599" t="str">
        <f t="shared" si="354"/>
        <v>-</v>
      </c>
      <c r="AZ599" t="str">
        <f t="shared" si="355"/>
        <v>-</v>
      </c>
      <c r="BA599" t="str">
        <f t="shared" si="356"/>
        <v>-</v>
      </c>
      <c r="BB599" t="str">
        <f t="shared" si="357"/>
        <v>-</v>
      </c>
      <c r="BC599" t="str">
        <f t="shared" si="358"/>
        <v>-</v>
      </c>
      <c r="BD599" s="29" t="str">
        <f t="shared" si="359"/>
        <v>-</v>
      </c>
      <c r="BE599" s="29" t="str">
        <f t="shared" si="360"/>
        <v>-</v>
      </c>
    </row>
    <row r="600" spans="1:57" ht="15" x14ac:dyDescent="0.2">
      <c r="A600" s="2">
        <v>18</v>
      </c>
      <c r="B600" s="2" t="str">
        <f t="shared" si="325"/>
        <v>0018</v>
      </c>
      <c r="C600" t="str">
        <f t="shared" si="326"/>
        <v>ORD-BB-0018-06/08/24</v>
      </c>
      <c r="D600" s="3" t="s">
        <v>92</v>
      </c>
      <c r="E600" t="str">
        <f t="shared" si="327"/>
        <v>PW001</v>
      </c>
      <c r="F600" t="str">
        <f>INDEX(Katalog!$B$4:$B$13,MATCH('Main Data'!E600,Katalog!$C$4:$C$13,0))</f>
        <v>Dress</v>
      </c>
      <c r="G600" t="str">
        <f>VLOOKUP(E600,Katalog!$A$15:$B$25,2,0)</f>
        <v>Pakaian Wanita</v>
      </c>
      <c r="H600" t="str">
        <f t="shared" si="328"/>
        <v>1</v>
      </c>
      <c r="I600" t="str">
        <f t="shared" si="329"/>
        <v>4</v>
      </c>
      <c r="J600" s="18">
        <f>VLOOKUP(E600,Katalog!$C$3:$F$13,2,0)</f>
        <v>150000</v>
      </c>
      <c r="K600" s="18">
        <f>VLOOKUP(E600,Katalog!$C$3:$F$13,3,0)</f>
        <v>55000</v>
      </c>
      <c r="L600" t="str">
        <f t="shared" si="330"/>
        <v>-</v>
      </c>
      <c r="M600" t="str">
        <f>IFERROR(INDEX(Katalog!$B$4:$B$13,MATCH('Main Data'!L600,Katalog!$C$4:$C$13,0)), "-")</f>
        <v>-</v>
      </c>
      <c r="N600" t="str">
        <f>IFERROR(VLOOKUP(L600,Katalog!$A$15:$B$25,2,0),"-")</f>
        <v>-</v>
      </c>
      <c r="O600">
        <f t="shared" si="331"/>
        <v>0</v>
      </c>
      <c r="P600" t="str">
        <f t="shared" si="332"/>
        <v>-</v>
      </c>
      <c r="Q600" s="18">
        <f>IFERROR(VLOOKUP(L600,Katalog!$C$3:$F$13,2,0),0)</f>
        <v>0</v>
      </c>
      <c r="R600" s="18">
        <f>IFERROR(VLOOKUP(L600,Katalog!$C$3:$F$13,3,0),0)</f>
        <v>0</v>
      </c>
      <c r="S600" t="str">
        <f t="shared" si="333"/>
        <v>-</v>
      </c>
      <c r="T600" t="str">
        <f>IFERROR(INDEX(Katalog!$B$4:$B$13,MATCH('Main Data'!S600,Katalog!$C$4:$C$13,0)),"-")</f>
        <v>-</v>
      </c>
      <c r="U600" t="str">
        <f>IFERROR(VLOOKUP(S600,Katalog!$A$15:$B$25,2,0),"-")</f>
        <v>-</v>
      </c>
      <c r="V600">
        <f t="shared" si="334"/>
        <v>0</v>
      </c>
      <c r="W600" s="28" t="str">
        <f t="shared" si="335"/>
        <v>-</v>
      </c>
      <c r="X600" s="18">
        <f>IFERROR(VLOOKUP(S600,Katalog!$C$3:$F$13,2,0),0)</f>
        <v>0</v>
      </c>
      <c r="Y600" s="30">
        <f>IFERROR(VLOOKUP(S600,Katalog!$C$3:$F$13,3,0),0)</f>
        <v>0</v>
      </c>
      <c r="Z600" s="2">
        <f t="shared" si="336"/>
        <v>1</v>
      </c>
      <c r="AA600" s="4">
        <f t="shared" si="337"/>
        <v>150000</v>
      </c>
      <c r="AB600" s="4">
        <f t="shared" si="338"/>
        <v>55000</v>
      </c>
      <c r="AC600" s="4" t="s">
        <v>27</v>
      </c>
      <c r="AD600" s="16">
        <f>IFERROR(VLOOKUP(AC600,'Kode Diskon'!$C$2:$D$9,2,0),0)</f>
        <v>0.15</v>
      </c>
      <c r="AE600" s="31">
        <f t="shared" si="339"/>
        <v>22500</v>
      </c>
      <c r="AF600" s="31">
        <f t="shared" si="340"/>
        <v>127500</v>
      </c>
      <c r="AG600" s="31">
        <f t="shared" si="341"/>
        <v>95000</v>
      </c>
      <c r="AH600" s="31">
        <f t="shared" si="342"/>
        <v>72500</v>
      </c>
      <c r="AI600" s="4" t="s">
        <v>28</v>
      </c>
      <c r="AJ600" s="4" t="s">
        <v>13</v>
      </c>
      <c r="AK600" s="4" t="str">
        <f>IFERROR(VLOOKUP(AJ600,'Guide '!$A$13:$B$16,2,0),"-")</f>
        <v>BB</v>
      </c>
      <c r="AL600" s="4" t="s">
        <v>922</v>
      </c>
      <c r="AM600" s="40">
        <v>45510</v>
      </c>
      <c r="AN600">
        <f t="shared" si="343"/>
        <v>29</v>
      </c>
      <c r="AO600">
        <f t="shared" si="344"/>
        <v>32</v>
      </c>
      <c r="AP600">
        <f t="shared" si="345"/>
        <v>40</v>
      </c>
      <c r="AQ600">
        <f t="shared" si="346"/>
        <v>43</v>
      </c>
      <c r="AR600" s="26" t="str">
        <f t="shared" si="347"/>
        <v>-</v>
      </c>
      <c r="AS600" s="26" t="str">
        <f t="shared" si="348"/>
        <v>-</v>
      </c>
      <c r="AT600" s="21">
        <f t="shared" si="349"/>
        <v>12</v>
      </c>
      <c r="AU600" s="21">
        <f t="shared" si="350"/>
        <v>19</v>
      </c>
      <c r="AV600" t="str">
        <f t="shared" si="351"/>
        <v>-</v>
      </c>
      <c r="AW600" t="str">
        <f t="shared" si="352"/>
        <v>-</v>
      </c>
      <c r="AX600" t="str">
        <f t="shared" si="353"/>
        <v>-</v>
      </c>
      <c r="AY600" t="str">
        <f t="shared" si="354"/>
        <v>-</v>
      </c>
      <c r="AZ600" t="str">
        <f t="shared" si="355"/>
        <v>-</v>
      </c>
      <c r="BA600" t="str">
        <f t="shared" si="356"/>
        <v>-</v>
      </c>
      <c r="BB600" t="str">
        <f t="shared" si="357"/>
        <v>-</v>
      </c>
      <c r="BC600" t="str">
        <f t="shared" si="358"/>
        <v>-</v>
      </c>
      <c r="BD600" s="29" t="str">
        <f t="shared" si="359"/>
        <v>-</v>
      </c>
      <c r="BE600" s="29" t="str">
        <f t="shared" si="360"/>
        <v>-</v>
      </c>
    </row>
    <row r="601" spans="1:57" ht="15" x14ac:dyDescent="0.2">
      <c r="A601" s="2">
        <v>493</v>
      </c>
      <c r="B601" s="2" t="str">
        <f t="shared" si="325"/>
        <v>0493</v>
      </c>
      <c r="C601" t="str">
        <f t="shared" si="326"/>
        <v>ORD-BB-0493-06/08/24</v>
      </c>
      <c r="D601" s="3" t="s">
        <v>524</v>
      </c>
      <c r="E601" t="str">
        <f t="shared" si="327"/>
        <v>PW002</v>
      </c>
      <c r="F601" t="str">
        <f>INDEX(Katalog!$B$4:$B$13,MATCH('Main Data'!E601,Katalog!$C$4:$C$13,0))</f>
        <v>Blouse</v>
      </c>
      <c r="G601" t="str">
        <f>VLOOKUP(E601,Katalog!$A$15:$B$25,2,0)</f>
        <v>Pakaian Wanita</v>
      </c>
      <c r="H601" t="str">
        <f t="shared" si="328"/>
        <v>2</v>
      </c>
      <c r="I601" t="str">
        <f t="shared" si="329"/>
        <v>4</v>
      </c>
      <c r="J601" s="18">
        <f>VLOOKUP(E601,Katalog!$C$3:$F$13,2,0)</f>
        <v>125000</v>
      </c>
      <c r="K601" s="18">
        <f>VLOOKUP(E601,Katalog!$C$3:$F$13,3,0)</f>
        <v>50000</v>
      </c>
      <c r="L601" t="str">
        <f t="shared" si="330"/>
        <v>PW001</v>
      </c>
      <c r="M601" t="str">
        <f>IFERROR(INDEX(Katalog!$B$4:$B$13,MATCH('Main Data'!L601,Katalog!$C$4:$C$13,0)), "-")</f>
        <v>Dress</v>
      </c>
      <c r="N601" t="str">
        <f>IFERROR(VLOOKUP(L601,Katalog!$A$15:$B$25,2,0),"-")</f>
        <v>Pakaian Wanita</v>
      </c>
      <c r="O601" t="str">
        <f t="shared" si="331"/>
        <v>1</v>
      </c>
      <c r="P601" t="str">
        <f t="shared" si="332"/>
        <v>5</v>
      </c>
      <c r="Q601" s="18">
        <f>IFERROR(VLOOKUP(L601,Katalog!$C$3:$F$13,2,0),0)</f>
        <v>150000</v>
      </c>
      <c r="R601" s="18">
        <f>IFERROR(VLOOKUP(L601,Katalog!$C$3:$F$13,3,0),0)</f>
        <v>55000</v>
      </c>
      <c r="S601" t="str">
        <f t="shared" si="333"/>
        <v>PU001</v>
      </c>
      <c r="T601" t="str">
        <f>IFERROR(INDEX(Katalog!$B$4:$B$13,MATCH('Main Data'!S601,Katalog!$C$4:$C$13,0)),"-")</f>
        <v>Jaket Hoodie</v>
      </c>
      <c r="U601" t="str">
        <f>IFERROR(VLOOKUP(S601,Katalog!$A$15:$B$25,2,0),"-")</f>
        <v>Pakaian Unisex</v>
      </c>
      <c r="V601" t="str">
        <f t="shared" si="334"/>
        <v>1</v>
      </c>
      <c r="W601" s="28" t="str">
        <f t="shared" si="335"/>
        <v>1</v>
      </c>
      <c r="X601" s="18">
        <f>IFERROR(VLOOKUP(S601,Katalog!$C$3:$F$13,2,0),0)</f>
        <v>160000</v>
      </c>
      <c r="Y601" s="30">
        <f>IFERROR(VLOOKUP(S601,Katalog!$C$3:$F$13,3,0),0)</f>
        <v>60000</v>
      </c>
      <c r="Z601" s="2">
        <f t="shared" si="336"/>
        <v>4</v>
      </c>
      <c r="AA601" s="4">
        <f t="shared" si="337"/>
        <v>560000</v>
      </c>
      <c r="AB601" s="4">
        <f t="shared" si="338"/>
        <v>215000</v>
      </c>
      <c r="AC601" s="4" t="s">
        <v>10</v>
      </c>
      <c r="AD601" s="16">
        <f>IFERROR(VLOOKUP(AC601,'Kode Diskon'!$C$2:$D$9,2,0),0)</f>
        <v>0</v>
      </c>
      <c r="AE601" s="31">
        <f t="shared" si="339"/>
        <v>0</v>
      </c>
      <c r="AF601" s="31">
        <f t="shared" si="340"/>
        <v>560000</v>
      </c>
      <c r="AG601" s="31">
        <f t="shared" si="341"/>
        <v>345000</v>
      </c>
      <c r="AH601" s="31">
        <f t="shared" si="342"/>
        <v>345000</v>
      </c>
      <c r="AI601" s="4" t="s">
        <v>10</v>
      </c>
      <c r="AJ601" s="4" t="s">
        <v>13</v>
      </c>
      <c r="AK601" s="4" t="str">
        <f>IFERROR(VLOOKUP(AJ601,'Guide '!$A$13:$B$16,2,0),"-")</f>
        <v>BB</v>
      </c>
      <c r="AL601" s="4" t="s">
        <v>921</v>
      </c>
      <c r="AM601" s="40">
        <v>45510</v>
      </c>
      <c r="AN601">
        <f t="shared" si="343"/>
        <v>29</v>
      </c>
      <c r="AO601">
        <f t="shared" si="344"/>
        <v>32</v>
      </c>
      <c r="AP601">
        <f t="shared" si="345"/>
        <v>40</v>
      </c>
      <c r="AQ601">
        <f t="shared" si="346"/>
        <v>43</v>
      </c>
      <c r="AR601" s="26">
        <f t="shared" si="347"/>
        <v>56</v>
      </c>
      <c r="AS601" s="26">
        <f t="shared" si="348"/>
        <v>63</v>
      </c>
      <c r="AT601" s="21">
        <f t="shared" si="349"/>
        <v>12</v>
      </c>
      <c r="AU601" s="21">
        <f t="shared" si="350"/>
        <v>19</v>
      </c>
      <c r="AV601">
        <f t="shared" si="351"/>
        <v>73</v>
      </c>
      <c r="AW601">
        <f t="shared" si="352"/>
        <v>76</v>
      </c>
      <c r="AX601">
        <f t="shared" si="353"/>
        <v>84</v>
      </c>
      <c r="AY601">
        <f t="shared" si="354"/>
        <v>87</v>
      </c>
      <c r="AZ601">
        <f t="shared" si="355"/>
        <v>100</v>
      </c>
      <c r="BA601">
        <f t="shared" si="356"/>
        <v>107</v>
      </c>
      <c r="BB601">
        <f t="shared" si="357"/>
        <v>117</v>
      </c>
      <c r="BC601">
        <f t="shared" si="358"/>
        <v>120</v>
      </c>
      <c r="BD601" s="29">
        <f t="shared" si="359"/>
        <v>128</v>
      </c>
      <c r="BE601" s="29">
        <f t="shared" si="360"/>
        <v>131</v>
      </c>
    </row>
    <row r="602" spans="1:57" ht="15" x14ac:dyDescent="0.2">
      <c r="A602" s="2">
        <v>625</v>
      </c>
      <c r="B602" s="2" t="str">
        <f t="shared" si="325"/>
        <v>0625</v>
      </c>
      <c r="C602" t="str">
        <f t="shared" si="326"/>
        <v>ORD-SP-0625-06/08/24</v>
      </c>
      <c r="D602" s="3" t="s">
        <v>634</v>
      </c>
      <c r="E602" t="str">
        <f t="shared" si="327"/>
        <v>SW001</v>
      </c>
      <c r="F602" t="str">
        <f>INDEX(Katalog!$B$4:$B$13,MATCH('Main Data'!E602,Katalog!$C$4:$C$13,0))</f>
        <v>Flat Shoes</v>
      </c>
      <c r="G602" t="str">
        <f>VLOOKUP(E602,Katalog!$A$15:$B$25,2,0)</f>
        <v>Sepatu Wanita</v>
      </c>
      <c r="H602" t="str">
        <f t="shared" si="328"/>
        <v>3</v>
      </c>
      <c r="I602" t="str">
        <f t="shared" si="329"/>
        <v>1</v>
      </c>
      <c r="J602" s="18">
        <f>VLOOKUP(E602,Katalog!$C$3:$F$13,2,0)</f>
        <v>150000</v>
      </c>
      <c r="K602" s="18">
        <f>VLOOKUP(E602,Katalog!$C$3:$F$13,3,0)</f>
        <v>70000</v>
      </c>
      <c r="L602" t="str">
        <f t="shared" si="330"/>
        <v>PW003</v>
      </c>
      <c r="M602" t="str">
        <f>IFERROR(INDEX(Katalog!$B$4:$B$13,MATCH('Main Data'!L602,Katalog!$C$4:$C$13,0)), "-")</f>
        <v>Kaftan</v>
      </c>
      <c r="N602" t="str">
        <f>IFERROR(VLOOKUP(L602,Katalog!$A$15:$B$25,2,0),"-")</f>
        <v>Pakaian Wanita</v>
      </c>
      <c r="O602" t="str">
        <f t="shared" si="331"/>
        <v>1</v>
      </c>
      <c r="P602" t="str">
        <f t="shared" si="332"/>
        <v>4</v>
      </c>
      <c r="Q602" s="18">
        <f>IFERROR(VLOOKUP(L602,Katalog!$C$3:$F$13,2,0),0)</f>
        <v>200000</v>
      </c>
      <c r="R602" s="18">
        <f>IFERROR(VLOOKUP(L602,Katalog!$C$3:$F$13,3,0),0)</f>
        <v>100000</v>
      </c>
      <c r="S602" t="str">
        <f t="shared" si="333"/>
        <v>PU001</v>
      </c>
      <c r="T602" t="str">
        <f>IFERROR(INDEX(Katalog!$B$4:$B$13,MATCH('Main Data'!S602,Katalog!$C$4:$C$13,0)),"-")</f>
        <v>Jaket Hoodie</v>
      </c>
      <c r="U602" t="str">
        <f>IFERROR(VLOOKUP(S602,Katalog!$A$15:$B$25,2,0),"-")</f>
        <v>Pakaian Unisex</v>
      </c>
      <c r="V602" t="str">
        <f t="shared" si="334"/>
        <v>1</v>
      </c>
      <c r="W602" s="28" t="str">
        <f t="shared" si="335"/>
        <v>2</v>
      </c>
      <c r="X602" s="18">
        <f>IFERROR(VLOOKUP(S602,Katalog!$C$3:$F$13,2,0),0)</f>
        <v>160000</v>
      </c>
      <c r="Y602" s="30">
        <f>IFERROR(VLOOKUP(S602,Katalog!$C$3:$F$13,3,0),0)</f>
        <v>60000</v>
      </c>
      <c r="Z602" s="2">
        <f t="shared" si="336"/>
        <v>5</v>
      </c>
      <c r="AA602" s="4">
        <f t="shared" si="337"/>
        <v>810000</v>
      </c>
      <c r="AB602" s="4">
        <f t="shared" si="338"/>
        <v>370000</v>
      </c>
      <c r="AC602" s="4" t="s">
        <v>12</v>
      </c>
      <c r="AD602" s="16">
        <f>IFERROR(VLOOKUP(AC602,'Kode Diskon'!$C$2:$D$9,2,0),0)</f>
        <v>0.15</v>
      </c>
      <c r="AE602" s="31">
        <f t="shared" si="339"/>
        <v>121500</v>
      </c>
      <c r="AF602" s="31">
        <f t="shared" si="340"/>
        <v>688500</v>
      </c>
      <c r="AG602" s="31">
        <f t="shared" si="341"/>
        <v>440000</v>
      </c>
      <c r="AH602" s="31">
        <f t="shared" si="342"/>
        <v>318500</v>
      </c>
      <c r="AI602" s="4" t="s">
        <v>28</v>
      </c>
      <c r="AJ602" s="4" t="s">
        <v>6</v>
      </c>
      <c r="AK602" s="4" t="str">
        <f>IFERROR(VLOOKUP(AJ602,'Guide '!$A$13:$B$16,2,0),"-")</f>
        <v>SP</v>
      </c>
      <c r="AL602" s="4" t="s">
        <v>921</v>
      </c>
      <c r="AM602" s="40">
        <v>45510</v>
      </c>
      <c r="AN602">
        <f t="shared" si="343"/>
        <v>29</v>
      </c>
      <c r="AO602">
        <f t="shared" si="344"/>
        <v>32</v>
      </c>
      <c r="AP602">
        <f t="shared" si="345"/>
        <v>40</v>
      </c>
      <c r="AQ602">
        <f t="shared" si="346"/>
        <v>43</v>
      </c>
      <c r="AR602" s="26">
        <f t="shared" si="347"/>
        <v>56</v>
      </c>
      <c r="AS602" s="26">
        <f t="shared" si="348"/>
        <v>63</v>
      </c>
      <c r="AT602" s="21">
        <f t="shared" si="349"/>
        <v>12</v>
      </c>
      <c r="AU602" s="21">
        <f t="shared" si="350"/>
        <v>19</v>
      </c>
      <c r="AV602">
        <f t="shared" si="351"/>
        <v>73</v>
      </c>
      <c r="AW602">
        <f t="shared" si="352"/>
        <v>76</v>
      </c>
      <c r="AX602">
        <f t="shared" si="353"/>
        <v>84</v>
      </c>
      <c r="AY602">
        <f t="shared" si="354"/>
        <v>87</v>
      </c>
      <c r="AZ602">
        <f t="shared" si="355"/>
        <v>100</v>
      </c>
      <c r="BA602">
        <f t="shared" si="356"/>
        <v>107</v>
      </c>
      <c r="BB602">
        <f t="shared" si="357"/>
        <v>117</v>
      </c>
      <c r="BC602">
        <f t="shared" si="358"/>
        <v>120</v>
      </c>
      <c r="BD602" s="29">
        <f t="shared" si="359"/>
        <v>128</v>
      </c>
      <c r="BE602" s="29">
        <f t="shared" si="360"/>
        <v>131</v>
      </c>
    </row>
    <row r="603" spans="1:57" ht="15" x14ac:dyDescent="0.2">
      <c r="A603" s="2">
        <v>672</v>
      </c>
      <c r="B603" s="2" t="str">
        <f t="shared" si="325"/>
        <v>0672</v>
      </c>
      <c r="C603" t="str">
        <f t="shared" si="326"/>
        <v>ORD-TK-0672-06/08/24</v>
      </c>
      <c r="D603" s="3" t="s">
        <v>410</v>
      </c>
      <c r="E603" t="str">
        <f t="shared" si="327"/>
        <v>PP001</v>
      </c>
      <c r="F603" t="str">
        <f>INDEX(Katalog!$B$4:$B$13,MATCH('Main Data'!E603,Katalog!$C$4:$C$13,0))</f>
        <v>Kaos Polo</v>
      </c>
      <c r="G603" t="str">
        <f>VLOOKUP(E603,Katalog!$A$15:$B$25,2,0)</f>
        <v>Pakaian Pria</v>
      </c>
      <c r="H603" t="str">
        <f t="shared" si="328"/>
        <v>1</v>
      </c>
      <c r="I603" t="str">
        <f t="shared" si="329"/>
        <v>3</v>
      </c>
      <c r="J603" s="18">
        <f>VLOOKUP(E603,Katalog!$C$3:$F$13,2,0)</f>
        <v>80000</v>
      </c>
      <c r="K603" s="18">
        <f>VLOOKUP(E603,Katalog!$C$3:$F$13,3,0)</f>
        <v>30000</v>
      </c>
      <c r="L603" t="str">
        <f t="shared" si="330"/>
        <v>-</v>
      </c>
      <c r="M603" t="str">
        <f>IFERROR(INDEX(Katalog!$B$4:$B$13,MATCH('Main Data'!L603,Katalog!$C$4:$C$13,0)), "-")</f>
        <v>-</v>
      </c>
      <c r="N603" t="str">
        <f>IFERROR(VLOOKUP(L603,Katalog!$A$15:$B$25,2,0),"-")</f>
        <v>-</v>
      </c>
      <c r="O603">
        <f t="shared" si="331"/>
        <v>0</v>
      </c>
      <c r="P603" t="str">
        <f t="shared" si="332"/>
        <v>-</v>
      </c>
      <c r="Q603" s="18">
        <f>IFERROR(VLOOKUP(L603,Katalog!$C$3:$F$13,2,0),0)</f>
        <v>0</v>
      </c>
      <c r="R603" s="18">
        <f>IFERROR(VLOOKUP(L603,Katalog!$C$3:$F$13,3,0),0)</f>
        <v>0</v>
      </c>
      <c r="S603" t="str">
        <f t="shared" si="333"/>
        <v>-</v>
      </c>
      <c r="T603" t="str">
        <f>IFERROR(INDEX(Katalog!$B$4:$B$13,MATCH('Main Data'!S603,Katalog!$C$4:$C$13,0)),"-")</f>
        <v>-</v>
      </c>
      <c r="U603" t="str">
        <f>IFERROR(VLOOKUP(S603,Katalog!$A$15:$B$25,2,0),"-")</f>
        <v>-</v>
      </c>
      <c r="V603">
        <f t="shared" si="334"/>
        <v>0</v>
      </c>
      <c r="W603" s="28" t="str">
        <f t="shared" si="335"/>
        <v>-</v>
      </c>
      <c r="X603" s="18">
        <f>IFERROR(VLOOKUP(S603,Katalog!$C$3:$F$13,2,0),0)</f>
        <v>0</v>
      </c>
      <c r="Y603" s="30">
        <f>IFERROR(VLOOKUP(S603,Katalog!$C$3:$F$13,3,0),0)</f>
        <v>0</v>
      </c>
      <c r="Z603" s="2">
        <f t="shared" si="336"/>
        <v>1</v>
      </c>
      <c r="AA603" s="4">
        <f t="shared" si="337"/>
        <v>80000</v>
      </c>
      <c r="AB603" s="4">
        <f t="shared" si="338"/>
        <v>30000</v>
      </c>
      <c r="AC603" s="4" t="s">
        <v>29</v>
      </c>
      <c r="AD603" s="16">
        <f>IFERROR(VLOOKUP(AC603,'Kode Diskon'!$C$2:$D$9,2,0),0)</f>
        <v>0.1</v>
      </c>
      <c r="AE603" s="31">
        <f t="shared" si="339"/>
        <v>8000</v>
      </c>
      <c r="AF603" s="31">
        <f t="shared" si="340"/>
        <v>72000</v>
      </c>
      <c r="AG603" s="31">
        <f t="shared" si="341"/>
        <v>50000</v>
      </c>
      <c r="AH603" s="31">
        <f t="shared" si="342"/>
        <v>42000</v>
      </c>
      <c r="AI603" s="4" t="s">
        <v>28</v>
      </c>
      <c r="AJ603" s="4" t="s">
        <v>9</v>
      </c>
      <c r="AK603" s="4" t="str">
        <f>IFERROR(VLOOKUP(AJ603,'Guide '!$A$13:$B$16,2,0),"-")</f>
        <v>TK</v>
      </c>
      <c r="AL603" s="4" t="s">
        <v>1006</v>
      </c>
      <c r="AM603" s="40">
        <v>45510</v>
      </c>
      <c r="AN603">
        <f t="shared" si="343"/>
        <v>29</v>
      </c>
      <c r="AO603">
        <f t="shared" si="344"/>
        <v>32</v>
      </c>
      <c r="AP603">
        <f t="shared" si="345"/>
        <v>40</v>
      </c>
      <c r="AQ603">
        <f t="shared" si="346"/>
        <v>43</v>
      </c>
      <c r="AR603" s="26" t="str">
        <f t="shared" si="347"/>
        <v>-</v>
      </c>
      <c r="AS603" s="26" t="str">
        <f t="shared" si="348"/>
        <v>-</v>
      </c>
      <c r="AT603" s="21">
        <f t="shared" si="349"/>
        <v>12</v>
      </c>
      <c r="AU603" s="21">
        <f t="shared" si="350"/>
        <v>19</v>
      </c>
      <c r="AV603" t="str">
        <f t="shared" si="351"/>
        <v>-</v>
      </c>
      <c r="AW603" t="str">
        <f t="shared" si="352"/>
        <v>-</v>
      </c>
      <c r="AX603" t="str">
        <f t="shared" si="353"/>
        <v>-</v>
      </c>
      <c r="AY603" t="str">
        <f t="shared" si="354"/>
        <v>-</v>
      </c>
      <c r="AZ603" t="str">
        <f t="shared" si="355"/>
        <v>-</v>
      </c>
      <c r="BA603" t="str">
        <f t="shared" si="356"/>
        <v>-</v>
      </c>
      <c r="BB603" t="str">
        <f t="shared" si="357"/>
        <v>-</v>
      </c>
      <c r="BC603" t="str">
        <f t="shared" si="358"/>
        <v>-</v>
      </c>
      <c r="BD603" s="29" t="str">
        <f t="shared" si="359"/>
        <v>-</v>
      </c>
      <c r="BE603" s="29" t="str">
        <f t="shared" si="360"/>
        <v>-</v>
      </c>
    </row>
    <row r="604" spans="1:57" ht="15" x14ac:dyDescent="0.2">
      <c r="A604" s="2">
        <v>851</v>
      </c>
      <c r="B604" s="2" t="str">
        <f t="shared" si="325"/>
        <v>0851</v>
      </c>
      <c r="C604" t="str">
        <f t="shared" si="326"/>
        <v>ORD-BB-0851-06/08/24</v>
      </c>
      <c r="D604" s="3" t="s">
        <v>649</v>
      </c>
      <c r="E604" t="str">
        <f t="shared" si="327"/>
        <v>PW002</v>
      </c>
      <c r="F604" t="str">
        <f>INDEX(Katalog!$B$4:$B$13,MATCH('Main Data'!E604,Katalog!$C$4:$C$13,0))</f>
        <v>Blouse</v>
      </c>
      <c r="G604" t="str">
        <f>VLOOKUP(E604,Katalog!$A$15:$B$25,2,0)</f>
        <v>Pakaian Wanita</v>
      </c>
      <c r="H604" t="str">
        <f t="shared" si="328"/>
        <v>2</v>
      </c>
      <c r="I604" t="str">
        <f t="shared" si="329"/>
        <v>2</v>
      </c>
      <c r="J604" s="18">
        <f>VLOOKUP(E604,Katalog!$C$3:$F$13,2,0)</f>
        <v>125000</v>
      </c>
      <c r="K604" s="18">
        <f>VLOOKUP(E604,Katalog!$C$3:$F$13,3,0)</f>
        <v>50000</v>
      </c>
      <c r="L604" t="str">
        <f t="shared" si="330"/>
        <v>-</v>
      </c>
      <c r="M604" t="str">
        <f>IFERROR(INDEX(Katalog!$B$4:$B$13,MATCH('Main Data'!L604,Katalog!$C$4:$C$13,0)), "-")</f>
        <v>-</v>
      </c>
      <c r="N604" t="str">
        <f>IFERROR(VLOOKUP(L604,Katalog!$A$15:$B$25,2,0),"-")</f>
        <v>-</v>
      </c>
      <c r="O604">
        <f t="shared" si="331"/>
        <v>0</v>
      </c>
      <c r="P604" t="str">
        <f t="shared" si="332"/>
        <v>-</v>
      </c>
      <c r="Q604" s="18">
        <f>IFERROR(VLOOKUP(L604,Katalog!$C$3:$F$13,2,0),0)</f>
        <v>0</v>
      </c>
      <c r="R604" s="18">
        <f>IFERROR(VLOOKUP(L604,Katalog!$C$3:$F$13,3,0),0)</f>
        <v>0</v>
      </c>
      <c r="S604" t="str">
        <f t="shared" si="333"/>
        <v>-</v>
      </c>
      <c r="T604" t="str">
        <f>IFERROR(INDEX(Katalog!$B$4:$B$13,MATCH('Main Data'!S604,Katalog!$C$4:$C$13,0)),"-")</f>
        <v>-</v>
      </c>
      <c r="U604" t="str">
        <f>IFERROR(VLOOKUP(S604,Katalog!$A$15:$B$25,2,0),"-")</f>
        <v>-</v>
      </c>
      <c r="V604">
        <f t="shared" si="334"/>
        <v>0</v>
      </c>
      <c r="W604" s="28" t="str">
        <f t="shared" si="335"/>
        <v>-</v>
      </c>
      <c r="X604" s="18">
        <f>IFERROR(VLOOKUP(S604,Katalog!$C$3:$F$13,2,0),0)</f>
        <v>0</v>
      </c>
      <c r="Y604" s="30">
        <f>IFERROR(VLOOKUP(S604,Katalog!$C$3:$F$13,3,0),0)</f>
        <v>0</v>
      </c>
      <c r="Z604" s="2">
        <f t="shared" si="336"/>
        <v>2</v>
      </c>
      <c r="AA604" s="4">
        <f t="shared" si="337"/>
        <v>250000</v>
      </c>
      <c r="AB604" s="4">
        <f t="shared" si="338"/>
        <v>100000</v>
      </c>
      <c r="AC604" s="4" t="s">
        <v>27</v>
      </c>
      <c r="AD604" s="16">
        <f>IFERROR(VLOOKUP(AC604,'Kode Diskon'!$C$2:$D$9,2,0),0)</f>
        <v>0.15</v>
      </c>
      <c r="AE604" s="31">
        <f t="shared" si="339"/>
        <v>37500</v>
      </c>
      <c r="AF604" s="31">
        <f t="shared" si="340"/>
        <v>212500</v>
      </c>
      <c r="AG604" s="31">
        <f t="shared" si="341"/>
        <v>150000</v>
      </c>
      <c r="AH604" s="31">
        <f t="shared" si="342"/>
        <v>112500</v>
      </c>
      <c r="AI604" s="4" t="s">
        <v>28</v>
      </c>
      <c r="AJ604" s="4" t="s">
        <v>13</v>
      </c>
      <c r="AK604" s="4" t="str">
        <f>IFERROR(VLOOKUP(AJ604,'Guide '!$A$13:$B$16,2,0),"-")</f>
        <v>BB</v>
      </c>
      <c r="AL604" s="4" t="s">
        <v>921</v>
      </c>
      <c r="AM604" s="40">
        <v>45510</v>
      </c>
      <c r="AN604">
        <f t="shared" si="343"/>
        <v>29</v>
      </c>
      <c r="AO604">
        <f t="shared" si="344"/>
        <v>32</v>
      </c>
      <c r="AP604">
        <f t="shared" si="345"/>
        <v>40</v>
      </c>
      <c r="AQ604">
        <f t="shared" si="346"/>
        <v>43</v>
      </c>
      <c r="AR604" s="26" t="str">
        <f t="shared" si="347"/>
        <v>-</v>
      </c>
      <c r="AS604" s="26" t="str">
        <f t="shared" si="348"/>
        <v>-</v>
      </c>
      <c r="AT604" s="21">
        <f t="shared" si="349"/>
        <v>12</v>
      </c>
      <c r="AU604" s="21">
        <f t="shared" si="350"/>
        <v>19</v>
      </c>
      <c r="AV604" t="str">
        <f t="shared" si="351"/>
        <v>-</v>
      </c>
      <c r="AW604" t="str">
        <f t="shared" si="352"/>
        <v>-</v>
      </c>
      <c r="AX604" t="str">
        <f t="shared" si="353"/>
        <v>-</v>
      </c>
      <c r="AY604" t="str">
        <f t="shared" si="354"/>
        <v>-</v>
      </c>
      <c r="AZ604" t="str">
        <f t="shared" si="355"/>
        <v>-</v>
      </c>
      <c r="BA604" t="str">
        <f t="shared" si="356"/>
        <v>-</v>
      </c>
      <c r="BB604" t="str">
        <f t="shared" si="357"/>
        <v>-</v>
      </c>
      <c r="BC604" t="str">
        <f t="shared" si="358"/>
        <v>-</v>
      </c>
      <c r="BD604" s="29" t="str">
        <f t="shared" si="359"/>
        <v>-</v>
      </c>
      <c r="BE604" s="29" t="str">
        <f t="shared" si="360"/>
        <v>-</v>
      </c>
    </row>
    <row r="605" spans="1:57" ht="15" x14ac:dyDescent="0.2">
      <c r="A605" s="2">
        <v>12</v>
      </c>
      <c r="B605" s="2" t="str">
        <f t="shared" si="325"/>
        <v>0012</v>
      </c>
      <c r="C605" t="str">
        <f t="shared" si="326"/>
        <v>ORD-SP-0012-07/08/24</v>
      </c>
      <c r="D605" s="3" t="s">
        <v>86</v>
      </c>
      <c r="E605" t="str">
        <f t="shared" si="327"/>
        <v>PW001</v>
      </c>
      <c r="F605" t="str">
        <f>INDEX(Katalog!$B$4:$B$13,MATCH('Main Data'!E605,Katalog!$C$4:$C$13,0))</f>
        <v>Dress</v>
      </c>
      <c r="G605" t="str">
        <f>VLOOKUP(E605,Katalog!$A$15:$B$25,2,0)</f>
        <v>Pakaian Wanita</v>
      </c>
      <c r="H605" t="str">
        <f t="shared" si="328"/>
        <v>1</v>
      </c>
      <c r="I605" t="str">
        <f t="shared" si="329"/>
        <v>3</v>
      </c>
      <c r="J605" s="18">
        <f>VLOOKUP(E605,Katalog!$C$3:$F$13,2,0)</f>
        <v>150000</v>
      </c>
      <c r="K605" s="18">
        <f>VLOOKUP(E605,Katalog!$C$3:$F$13,3,0)</f>
        <v>55000</v>
      </c>
      <c r="L605" t="str">
        <f t="shared" si="330"/>
        <v>-</v>
      </c>
      <c r="M605" t="str">
        <f>IFERROR(INDEX(Katalog!$B$4:$B$13,MATCH('Main Data'!L605,Katalog!$C$4:$C$13,0)), "-")</f>
        <v>-</v>
      </c>
      <c r="N605" t="str">
        <f>IFERROR(VLOOKUP(L605,Katalog!$A$15:$B$25,2,0),"-")</f>
        <v>-</v>
      </c>
      <c r="O605">
        <f t="shared" si="331"/>
        <v>0</v>
      </c>
      <c r="P605" t="str">
        <f t="shared" si="332"/>
        <v>-</v>
      </c>
      <c r="Q605" s="18">
        <f>IFERROR(VLOOKUP(L605,Katalog!$C$3:$F$13,2,0),0)</f>
        <v>0</v>
      </c>
      <c r="R605" s="18">
        <f>IFERROR(VLOOKUP(L605,Katalog!$C$3:$F$13,3,0),0)</f>
        <v>0</v>
      </c>
      <c r="S605" t="str">
        <f t="shared" si="333"/>
        <v>-</v>
      </c>
      <c r="T605" t="str">
        <f>IFERROR(INDEX(Katalog!$B$4:$B$13,MATCH('Main Data'!S605,Katalog!$C$4:$C$13,0)),"-")</f>
        <v>-</v>
      </c>
      <c r="U605" t="str">
        <f>IFERROR(VLOOKUP(S605,Katalog!$A$15:$B$25,2,0),"-")</f>
        <v>-</v>
      </c>
      <c r="V605">
        <f t="shared" si="334"/>
        <v>0</v>
      </c>
      <c r="W605" s="28" t="str">
        <f t="shared" si="335"/>
        <v>-</v>
      </c>
      <c r="X605" s="18">
        <f>IFERROR(VLOOKUP(S605,Katalog!$C$3:$F$13,2,0),0)</f>
        <v>0</v>
      </c>
      <c r="Y605" s="30">
        <f>IFERROR(VLOOKUP(S605,Katalog!$C$3:$F$13,3,0),0)</f>
        <v>0</v>
      </c>
      <c r="Z605" s="2">
        <f t="shared" si="336"/>
        <v>1</v>
      </c>
      <c r="AA605" s="4">
        <f t="shared" si="337"/>
        <v>150000</v>
      </c>
      <c r="AB605" s="4">
        <f t="shared" si="338"/>
        <v>55000</v>
      </c>
      <c r="AC605" s="4" t="s">
        <v>12</v>
      </c>
      <c r="AD605" s="16">
        <f>IFERROR(VLOOKUP(AC605,'Kode Diskon'!$C$2:$D$9,2,0),0)</f>
        <v>0.15</v>
      </c>
      <c r="AE605" s="31">
        <f t="shared" si="339"/>
        <v>22500</v>
      </c>
      <c r="AF605" s="31">
        <f t="shared" si="340"/>
        <v>127500</v>
      </c>
      <c r="AG605" s="31">
        <f t="shared" si="341"/>
        <v>95000</v>
      </c>
      <c r="AH605" s="31">
        <f t="shared" si="342"/>
        <v>72500</v>
      </c>
      <c r="AI605" s="4" t="s">
        <v>28</v>
      </c>
      <c r="AJ605" s="4" t="s">
        <v>6</v>
      </c>
      <c r="AK605" s="4" t="str">
        <f>IFERROR(VLOOKUP(AJ605,'Guide '!$A$13:$B$16,2,0),"-")</f>
        <v>SP</v>
      </c>
      <c r="AL605" s="4" t="s">
        <v>1006</v>
      </c>
      <c r="AM605" s="40">
        <v>45511</v>
      </c>
      <c r="AN605">
        <f t="shared" si="343"/>
        <v>29</v>
      </c>
      <c r="AO605">
        <f t="shared" si="344"/>
        <v>32</v>
      </c>
      <c r="AP605">
        <f t="shared" si="345"/>
        <v>40</v>
      </c>
      <c r="AQ605">
        <f t="shared" si="346"/>
        <v>43</v>
      </c>
      <c r="AR605" s="26" t="str">
        <f t="shared" si="347"/>
        <v>-</v>
      </c>
      <c r="AS605" s="26" t="str">
        <f t="shared" si="348"/>
        <v>-</v>
      </c>
      <c r="AT605" s="21">
        <f t="shared" si="349"/>
        <v>12</v>
      </c>
      <c r="AU605" s="21">
        <f t="shared" si="350"/>
        <v>19</v>
      </c>
      <c r="AV605" t="str">
        <f t="shared" si="351"/>
        <v>-</v>
      </c>
      <c r="AW605" t="str">
        <f t="shared" si="352"/>
        <v>-</v>
      </c>
      <c r="AX605" t="str">
        <f t="shared" si="353"/>
        <v>-</v>
      </c>
      <c r="AY605" t="str">
        <f t="shared" si="354"/>
        <v>-</v>
      </c>
      <c r="AZ605" t="str">
        <f t="shared" si="355"/>
        <v>-</v>
      </c>
      <c r="BA605" t="str">
        <f t="shared" si="356"/>
        <v>-</v>
      </c>
      <c r="BB605" t="str">
        <f t="shared" si="357"/>
        <v>-</v>
      </c>
      <c r="BC605" t="str">
        <f t="shared" si="358"/>
        <v>-</v>
      </c>
      <c r="BD605" s="29" t="str">
        <f t="shared" si="359"/>
        <v>-</v>
      </c>
      <c r="BE605" s="29" t="str">
        <f t="shared" si="360"/>
        <v>-</v>
      </c>
    </row>
    <row r="606" spans="1:57" ht="15" x14ac:dyDescent="0.2">
      <c r="A606" s="2">
        <v>41</v>
      </c>
      <c r="B606" s="2" t="str">
        <f t="shared" si="325"/>
        <v>0041</v>
      </c>
      <c r="C606" t="str">
        <f t="shared" si="326"/>
        <v>ORD-TK-0041-07/08/24</v>
      </c>
      <c r="D606" s="3" t="s">
        <v>115</v>
      </c>
      <c r="E606" t="str">
        <f t="shared" si="327"/>
        <v>SP002</v>
      </c>
      <c r="F606" t="str">
        <f>INDEX(Katalog!$B$4:$B$13,MATCH('Main Data'!E606,Katalog!$C$4:$C$13,0))</f>
        <v>Sandal Slip On</v>
      </c>
      <c r="G606" t="str">
        <f>VLOOKUP(E606,Katalog!$A$15:$B$25,2,0)</f>
        <v>Sepatu Pria</v>
      </c>
      <c r="H606" t="str">
        <f t="shared" si="328"/>
        <v>2</v>
      </c>
      <c r="I606" t="str">
        <f t="shared" si="329"/>
        <v>3</v>
      </c>
      <c r="J606" s="18">
        <f>VLOOKUP(E606,Katalog!$C$3:$F$13,2,0)</f>
        <v>120000</v>
      </c>
      <c r="K606" s="18">
        <f>VLOOKUP(E606,Katalog!$C$3:$F$13,3,0)</f>
        <v>60000</v>
      </c>
      <c r="L606" t="str">
        <f t="shared" si="330"/>
        <v>-</v>
      </c>
      <c r="M606" t="str">
        <f>IFERROR(INDEX(Katalog!$B$4:$B$13,MATCH('Main Data'!L606,Katalog!$C$4:$C$13,0)), "-")</f>
        <v>-</v>
      </c>
      <c r="N606" t="str">
        <f>IFERROR(VLOOKUP(L606,Katalog!$A$15:$B$25,2,0),"-")</f>
        <v>-</v>
      </c>
      <c r="O606">
        <f t="shared" si="331"/>
        <v>0</v>
      </c>
      <c r="P606" t="str">
        <f t="shared" si="332"/>
        <v>-</v>
      </c>
      <c r="Q606" s="18">
        <f>IFERROR(VLOOKUP(L606,Katalog!$C$3:$F$13,2,0),0)</f>
        <v>0</v>
      </c>
      <c r="R606" s="18">
        <f>IFERROR(VLOOKUP(L606,Katalog!$C$3:$F$13,3,0),0)</f>
        <v>0</v>
      </c>
      <c r="S606" t="str">
        <f t="shared" si="333"/>
        <v>-</v>
      </c>
      <c r="T606" t="str">
        <f>IFERROR(INDEX(Katalog!$B$4:$B$13,MATCH('Main Data'!S606,Katalog!$C$4:$C$13,0)),"-")</f>
        <v>-</v>
      </c>
      <c r="U606" t="str">
        <f>IFERROR(VLOOKUP(S606,Katalog!$A$15:$B$25,2,0),"-")</f>
        <v>-</v>
      </c>
      <c r="V606">
        <f t="shared" si="334"/>
        <v>0</v>
      </c>
      <c r="W606" s="28" t="str">
        <f t="shared" si="335"/>
        <v>-</v>
      </c>
      <c r="X606" s="18">
        <f>IFERROR(VLOOKUP(S606,Katalog!$C$3:$F$13,2,0),0)</f>
        <v>0</v>
      </c>
      <c r="Y606" s="30">
        <f>IFERROR(VLOOKUP(S606,Katalog!$C$3:$F$13,3,0),0)</f>
        <v>0</v>
      </c>
      <c r="Z606" s="2">
        <f t="shared" si="336"/>
        <v>2</v>
      </c>
      <c r="AA606" s="4">
        <f t="shared" si="337"/>
        <v>240000</v>
      </c>
      <c r="AB606" s="4">
        <f t="shared" si="338"/>
        <v>120000</v>
      </c>
      <c r="AC606" s="4" t="s">
        <v>29</v>
      </c>
      <c r="AD606" s="16">
        <f>IFERROR(VLOOKUP(AC606,'Kode Diskon'!$C$2:$D$9,2,0),0)</f>
        <v>0.1</v>
      </c>
      <c r="AE606" s="31">
        <f t="shared" si="339"/>
        <v>24000</v>
      </c>
      <c r="AF606" s="31">
        <f t="shared" si="340"/>
        <v>216000</v>
      </c>
      <c r="AG606" s="31">
        <f t="shared" si="341"/>
        <v>120000</v>
      </c>
      <c r="AH606" s="31">
        <f t="shared" si="342"/>
        <v>96000</v>
      </c>
      <c r="AI606" s="4" t="s">
        <v>28</v>
      </c>
      <c r="AJ606" s="4" t="s">
        <v>9</v>
      </c>
      <c r="AK606" s="4" t="str">
        <f>IFERROR(VLOOKUP(AJ606,'Guide '!$A$13:$B$16,2,0),"-")</f>
        <v>TK</v>
      </c>
      <c r="AL606" s="4" t="s">
        <v>925</v>
      </c>
      <c r="AM606" s="40">
        <v>45511</v>
      </c>
      <c r="AN606">
        <f t="shared" si="343"/>
        <v>29</v>
      </c>
      <c r="AO606">
        <f t="shared" si="344"/>
        <v>32</v>
      </c>
      <c r="AP606">
        <f t="shared" si="345"/>
        <v>40</v>
      </c>
      <c r="AQ606">
        <f t="shared" si="346"/>
        <v>43</v>
      </c>
      <c r="AR606" s="26" t="str">
        <f t="shared" si="347"/>
        <v>-</v>
      </c>
      <c r="AS606" s="26" t="str">
        <f t="shared" si="348"/>
        <v>-</v>
      </c>
      <c r="AT606" s="21">
        <f t="shared" si="349"/>
        <v>12</v>
      </c>
      <c r="AU606" s="21">
        <f t="shared" si="350"/>
        <v>19</v>
      </c>
      <c r="AV606" t="str">
        <f t="shared" si="351"/>
        <v>-</v>
      </c>
      <c r="AW606" t="str">
        <f t="shared" si="352"/>
        <v>-</v>
      </c>
      <c r="AX606" t="str">
        <f t="shared" si="353"/>
        <v>-</v>
      </c>
      <c r="AY606" t="str">
        <f t="shared" si="354"/>
        <v>-</v>
      </c>
      <c r="AZ606" t="str">
        <f t="shared" si="355"/>
        <v>-</v>
      </c>
      <c r="BA606" t="str">
        <f t="shared" si="356"/>
        <v>-</v>
      </c>
      <c r="BB606" t="str">
        <f t="shared" si="357"/>
        <v>-</v>
      </c>
      <c r="BC606" t="str">
        <f t="shared" si="358"/>
        <v>-</v>
      </c>
      <c r="BD606" s="29" t="str">
        <f t="shared" si="359"/>
        <v>-</v>
      </c>
      <c r="BE606" s="29" t="str">
        <f t="shared" si="360"/>
        <v>-</v>
      </c>
    </row>
    <row r="607" spans="1:57" ht="15" x14ac:dyDescent="0.2">
      <c r="A607" s="2">
        <v>589</v>
      </c>
      <c r="B607" s="2" t="str">
        <f t="shared" si="325"/>
        <v>0589</v>
      </c>
      <c r="C607" t="str">
        <f t="shared" si="326"/>
        <v>ORD-SP-0589-07/08/24</v>
      </c>
      <c r="D607" s="3" t="s">
        <v>603</v>
      </c>
      <c r="E607" t="str">
        <f t="shared" si="327"/>
        <v>PP003</v>
      </c>
      <c r="F607" t="str">
        <f>INDEX(Katalog!$B$4:$B$13,MATCH('Main Data'!E607,Katalog!$C$4:$C$13,0))</f>
        <v>Jaket Jeans</v>
      </c>
      <c r="G607" t="str">
        <f>VLOOKUP(E607,Katalog!$A$15:$B$25,2,0)</f>
        <v>Pakaian Pria</v>
      </c>
      <c r="H607" t="str">
        <f t="shared" si="328"/>
        <v>2</v>
      </c>
      <c r="I607" t="str">
        <f t="shared" si="329"/>
        <v>4</v>
      </c>
      <c r="J607" s="18">
        <f>VLOOKUP(E607,Katalog!$C$3:$F$13,2,0)</f>
        <v>150000</v>
      </c>
      <c r="K607" s="18">
        <f>VLOOKUP(E607,Katalog!$C$3:$F$13,3,0)</f>
        <v>70000</v>
      </c>
      <c r="L607" t="str">
        <f t="shared" si="330"/>
        <v>PW002</v>
      </c>
      <c r="M607" t="str">
        <f>IFERROR(INDEX(Katalog!$B$4:$B$13,MATCH('Main Data'!L607,Katalog!$C$4:$C$13,0)), "-")</f>
        <v>Blouse</v>
      </c>
      <c r="N607" t="str">
        <f>IFERROR(VLOOKUP(L607,Katalog!$A$15:$B$25,2,0),"-")</f>
        <v>Pakaian Wanita</v>
      </c>
      <c r="O607" t="str">
        <f t="shared" si="331"/>
        <v>3</v>
      </c>
      <c r="P607" t="str">
        <f t="shared" si="332"/>
        <v>3</v>
      </c>
      <c r="Q607" s="18">
        <f>IFERROR(VLOOKUP(L607,Katalog!$C$3:$F$13,2,0),0)</f>
        <v>125000</v>
      </c>
      <c r="R607" s="18">
        <f>IFERROR(VLOOKUP(L607,Katalog!$C$3:$F$13,3,0),0)</f>
        <v>50000</v>
      </c>
      <c r="S607" t="str">
        <f t="shared" si="333"/>
        <v>-</v>
      </c>
      <c r="T607" t="str">
        <f>IFERROR(INDEX(Katalog!$B$4:$B$13,MATCH('Main Data'!S607,Katalog!$C$4:$C$13,0)),"-")</f>
        <v>-</v>
      </c>
      <c r="U607" t="str">
        <f>IFERROR(VLOOKUP(S607,Katalog!$A$15:$B$25,2,0),"-")</f>
        <v>-</v>
      </c>
      <c r="V607">
        <f t="shared" si="334"/>
        <v>0</v>
      </c>
      <c r="W607" s="28" t="str">
        <f t="shared" si="335"/>
        <v>-</v>
      </c>
      <c r="X607" s="18">
        <f>IFERROR(VLOOKUP(S607,Katalog!$C$3:$F$13,2,0),0)</f>
        <v>0</v>
      </c>
      <c r="Y607" s="30">
        <f>IFERROR(VLOOKUP(S607,Katalog!$C$3:$F$13,3,0),0)</f>
        <v>0</v>
      </c>
      <c r="Z607" s="2">
        <f t="shared" si="336"/>
        <v>5</v>
      </c>
      <c r="AA607" s="4">
        <f t="shared" si="337"/>
        <v>675000</v>
      </c>
      <c r="AB607" s="4">
        <f t="shared" si="338"/>
        <v>290000</v>
      </c>
      <c r="AC607" s="4" t="s">
        <v>5</v>
      </c>
      <c r="AD607" s="16">
        <f>IFERROR(VLOOKUP(AC607,'Kode Diskon'!$C$2:$D$9,2,0),0)</f>
        <v>0.1</v>
      </c>
      <c r="AE607" s="31">
        <f t="shared" si="339"/>
        <v>67500</v>
      </c>
      <c r="AF607" s="31">
        <f t="shared" si="340"/>
        <v>607500</v>
      </c>
      <c r="AG607" s="31">
        <f t="shared" si="341"/>
        <v>385000</v>
      </c>
      <c r="AH607" s="31">
        <f t="shared" si="342"/>
        <v>317500</v>
      </c>
      <c r="AI607" s="4" t="s">
        <v>28</v>
      </c>
      <c r="AJ607" s="4" t="s">
        <v>6</v>
      </c>
      <c r="AK607" s="4" t="str">
        <f>IFERROR(VLOOKUP(AJ607,'Guide '!$A$13:$B$16,2,0),"-")</f>
        <v>SP</v>
      </c>
      <c r="AL607" s="4" t="s">
        <v>921</v>
      </c>
      <c r="AM607" s="40">
        <v>45511</v>
      </c>
      <c r="AN607">
        <f t="shared" si="343"/>
        <v>29</v>
      </c>
      <c r="AO607">
        <f t="shared" si="344"/>
        <v>32</v>
      </c>
      <c r="AP607">
        <f t="shared" si="345"/>
        <v>40</v>
      </c>
      <c r="AQ607">
        <f t="shared" si="346"/>
        <v>43</v>
      </c>
      <c r="AR607" s="26">
        <f t="shared" si="347"/>
        <v>56</v>
      </c>
      <c r="AS607" s="26">
        <f t="shared" si="348"/>
        <v>63</v>
      </c>
      <c r="AT607" s="21">
        <f t="shared" si="349"/>
        <v>12</v>
      </c>
      <c r="AU607" s="21">
        <f t="shared" si="350"/>
        <v>19</v>
      </c>
      <c r="AV607">
        <f t="shared" si="351"/>
        <v>73</v>
      </c>
      <c r="AW607">
        <f t="shared" si="352"/>
        <v>76</v>
      </c>
      <c r="AX607">
        <f t="shared" si="353"/>
        <v>84</v>
      </c>
      <c r="AY607">
        <f t="shared" si="354"/>
        <v>87</v>
      </c>
      <c r="AZ607" t="str">
        <f t="shared" si="355"/>
        <v>-</v>
      </c>
      <c r="BA607" t="str">
        <f t="shared" si="356"/>
        <v>-</v>
      </c>
      <c r="BB607" t="str">
        <f t="shared" si="357"/>
        <v>-</v>
      </c>
      <c r="BC607" t="str">
        <f t="shared" si="358"/>
        <v>-</v>
      </c>
      <c r="BD607" s="29" t="str">
        <f t="shared" si="359"/>
        <v>-</v>
      </c>
      <c r="BE607" s="29" t="str">
        <f t="shared" si="360"/>
        <v>-</v>
      </c>
    </row>
    <row r="608" spans="1:57" ht="15" x14ac:dyDescent="0.2">
      <c r="A608" s="2">
        <v>616</v>
      </c>
      <c r="B608" s="2" t="str">
        <f t="shared" si="325"/>
        <v>0616</v>
      </c>
      <c r="C608" t="str">
        <f t="shared" si="326"/>
        <v>ORD-SP-0616-07/08/24</v>
      </c>
      <c r="D608" s="3" t="s">
        <v>593</v>
      </c>
      <c r="E608" t="str">
        <f t="shared" si="327"/>
        <v>PW001</v>
      </c>
      <c r="F608" t="str">
        <f>INDEX(Katalog!$B$4:$B$13,MATCH('Main Data'!E608,Katalog!$C$4:$C$13,0))</f>
        <v>Dress</v>
      </c>
      <c r="G608" t="str">
        <f>VLOOKUP(E608,Katalog!$A$15:$B$25,2,0)</f>
        <v>Pakaian Wanita</v>
      </c>
      <c r="H608" t="str">
        <f t="shared" si="328"/>
        <v>1</v>
      </c>
      <c r="I608" t="str">
        <f t="shared" si="329"/>
        <v>2</v>
      </c>
      <c r="J608" s="18">
        <f>VLOOKUP(E608,Katalog!$C$3:$F$13,2,0)</f>
        <v>150000</v>
      </c>
      <c r="K608" s="18">
        <f>VLOOKUP(E608,Katalog!$C$3:$F$13,3,0)</f>
        <v>55000</v>
      </c>
      <c r="L608" t="str">
        <f t="shared" si="330"/>
        <v>-</v>
      </c>
      <c r="M608" t="str">
        <f>IFERROR(INDEX(Katalog!$B$4:$B$13,MATCH('Main Data'!L608,Katalog!$C$4:$C$13,0)), "-")</f>
        <v>-</v>
      </c>
      <c r="N608" t="str">
        <f>IFERROR(VLOOKUP(L608,Katalog!$A$15:$B$25,2,0),"-")</f>
        <v>-</v>
      </c>
      <c r="O608">
        <f t="shared" si="331"/>
        <v>0</v>
      </c>
      <c r="P608" t="str">
        <f t="shared" si="332"/>
        <v>-</v>
      </c>
      <c r="Q608" s="18">
        <f>IFERROR(VLOOKUP(L608,Katalog!$C$3:$F$13,2,0),0)</f>
        <v>0</v>
      </c>
      <c r="R608" s="18">
        <f>IFERROR(VLOOKUP(L608,Katalog!$C$3:$F$13,3,0),0)</f>
        <v>0</v>
      </c>
      <c r="S608" t="str">
        <f t="shared" si="333"/>
        <v>-</v>
      </c>
      <c r="T608" t="str">
        <f>IFERROR(INDEX(Katalog!$B$4:$B$13,MATCH('Main Data'!S608,Katalog!$C$4:$C$13,0)),"-")</f>
        <v>-</v>
      </c>
      <c r="U608" t="str">
        <f>IFERROR(VLOOKUP(S608,Katalog!$A$15:$B$25,2,0),"-")</f>
        <v>-</v>
      </c>
      <c r="V608">
        <f t="shared" si="334"/>
        <v>0</v>
      </c>
      <c r="W608" s="28" t="str">
        <f t="shared" si="335"/>
        <v>-</v>
      </c>
      <c r="X608" s="18">
        <f>IFERROR(VLOOKUP(S608,Katalog!$C$3:$F$13,2,0),0)</f>
        <v>0</v>
      </c>
      <c r="Y608" s="30">
        <f>IFERROR(VLOOKUP(S608,Katalog!$C$3:$F$13,3,0),0)</f>
        <v>0</v>
      </c>
      <c r="Z608" s="2">
        <f t="shared" si="336"/>
        <v>1</v>
      </c>
      <c r="AA608" s="4">
        <f t="shared" si="337"/>
        <v>150000</v>
      </c>
      <c r="AB608" s="4">
        <f t="shared" si="338"/>
        <v>55000</v>
      </c>
      <c r="AC608" s="4" t="s">
        <v>12</v>
      </c>
      <c r="AD608" s="16">
        <f>IFERROR(VLOOKUP(AC608,'Kode Diskon'!$C$2:$D$9,2,0),0)</f>
        <v>0.15</v>
      </c>
      <c r="AE608" s="31">
        <f t="shared" si="339"/>
        <v>22500</v>
      </c>
      <c r="AF608" s="31">
        <f t="shared" si="340"/>
        <v>127500</v>
      </c>
      <c r="AG608" s="31">
        <f t="shared" si="341"/>
        <v>95000</v>
      </c>
      <c r="AH608" s="31">
        <f t="shared" si="342"/>
        <v>72500</v>
      </c>
      <c r="AI608" s="4" t="s">
        <v>28</v>
      </c>
      <c r="AJ608" s="4" t="s">
        <v>6</v>
      </c>
      <c r="AK608" s="4" t="str">
        <f>IFERROR(VLOOKUP(AJ608,'Guide '!$A$13:$B$16,2,0),"-")</f>
        <v>SP</v>
      </c>
      <c r="AL608" s="4" t="s">
        <v>921</v>
      </c>
      <c r="AM608" s="40">
        <v>45511</v>
      </c>
      <c r="AN608">
        <f t="shared" si="343"/>
        <v>29</v>
      </c>
      <c r="AO608">
        <f t="shared" si="344"/>
        <v>32</v>
      </c>
      <c r="AP608">
        <f t="shared" si="345"/>
        <v>40</v>
      </c>
      <c r="AQ608">
        <f t="shared" si="346"/>
        <v>43</v>
      </c>
      <c r="AR608" s="26" t="str">
        <f t="shared" si="347"/>
        <v>-</v>
      </c>
      <c r="AS608" s="26" t="str">
        <f t="shared" si="348"/>
        <v>-</v>
      </c>
      <c r="AT608" s="21">
        <f t="shared" si="349"/>
        <v>12</v>
      </c>
      <c r="AU608" s="21">
        <f t="shared" si="350"/>
        <v>19</v>
      </c>
      <c r="AV608" t="str">
        <f t="shared" si="351"/>
        <v>-</v>
      </c>
      <c r="AW608" t="str">
        <f t="shared" si="352"/>
        <v>-</v>
      </c>
      <c r="AX608" t="str">
        <f t="shared" si="353"/>
        <v>-</v>
      </c>
      <c r="AY608" t="str">
        <f t="shared" si="354"/>
        <v>-</v>
      </c>
      <c r="AZ608" t="str">
        <f t="shared" si="355"/>
        <v>-</v>
      </c>
      <c r="BA608" t="str">
        <f t="shared" si="356"/>
        <v>-</v>
      </c>
      <c r="BB608" t="str">
        <f t="shared" si="357"/>
        <v>-</v>
      </c>
      <c r="BC608" t="str">
        <f t="shared" si="358"/>
        <v>-</v>
      </c>
      <c r="BD608" s="29" t="str">
        <f t="shared" si="359"/>
        <v>-</v>
      </c>
      <c r="BE608" s="29" t="str">
        <f t="shared" si="360"/>
        <v>-</v>
      </c>
    </row>
    <row r="609" spans="1:57" ht="15" x14ac:dyDescent="0.2">
      <c r="A609" s="2">
        <v>918</v>
      </c>
      <c r="B609" s="2" t="str">
        <f t="shared" si="325"/>
        <v>0918</v>
      </c>
      <c r="C609" t="str">
        <f t="shared" si="326"/>
        <v>ORD-SP-0918-08/08/24</v>
      </c>
      <c r="D609" s="3" t="s">
        <v>853</v>
      </c>
      <c r="E609" t="str">
        <f t="shared" si="327"/>
        <v>PP002</v>
      </c>
      <c r="F609" t="str">
        <f>INDEX(Katalog!$B$4:$B$13,MATCH('Main Data'!E609,Katalog!$C$4:$C$13,0))</f>
        <v>Celana Pendek</v>
      </c>
      <c r="G609" t="str">
        <f>VLOOKUP(E609,Katalog!$A$15:$B$25,2,0)</f>
        <v>Pakaian Pria</v>
      </c>
      <c r="H609" t="str">
        <f t="shared" si="328"/>
        <v>1</v>
      </c>
      <c r="I609" t="str">
        <f t="shared" si="329"/>
        <v>4</v>
      </c>
      <c r="J609" s="18">
        <f>VLOOKUP(E609,Katalog!$C$3:$F$13,2,0)</f>
        <v>60000</v>
      </c>
      <c r="K609" s="18">
        <f>VLOOKUP(E609,Katalog!$C$3:$F$13,3,0)</f>
        <v>25000</v>
      </c>
      <c r="L609" t="str">
        <f t="shared" si="330"/>
        <v>PW002</v>
      </c>
      <c r="M609" t="str">
        <f>IFERROR(INDEX(Katalog!$B$4:$B$13,MATCH('Main Data'!L609,Katalog!$C$4:$C$13,0)), "-")</f>
        <v>Blouse</v>
      </c>
      <c r="N609" t="str">
        <f>IFERROR(VLOOKUP(L609,Katalog!$A$15:$B$25,2,0),"-")</f>
        <v>Pakaian Wanita</v>
      </c>
      <c r="O609" t="str">
        <f t="shared" si="331"/>
        <v>3</v>
      </c>
      <c r="P609" t="str">
        <f t="shared" si="332"/>
        <v>2</v>
      </c>
      <c r="Q609" s="18">
        <f>IFERROR(VLOOKUP(L609,Katalog!$C$3:$F$13,2,0),0)</f>
        <v>125000</v>
      </c>
      <c r="R609" s="18">
        <f>IFERROR(VLOOKUP(L609,Katalog!$C$3:$F$13,3,0),0)</f>
        <v>50000</v>
      </c>
      <c r="S609" t="str">
        <f t="shared" si="333"/>
        <v>SW001</v>
      </c>
      <c r="T609" t="str">
        <f>IFERROR(INDEX(Katalog!$B$4:$B$13,MATCH('Main Data'!S609,Katalog!$C$4:$C$13,0)),"-")</f>
        <v>Flat Shoes</v>
      </c>
      <c r="U609" t="str">
        <f>IFERROR(VLOOKUP(S609,Katalog!$A$15:$B$25,2,0),"-")</f>
        <v>Sepatu Wanita</v>
      </c>
      <c r="V609" t="str">
        <f t="shared" si="334"/>
        <v>2</v>
      </c>
      <c r="W609" s="28" t="str">
        <f t="shared" si="335"/>
        <v>5</v>
      </c>
      <c r="X609" s="18">
        <f>IFERROR(VLOOKUP(S609,Katalog!$C$3:$F$13,2,0),0)</f>
        <v>150000</v>
      </c>
      <c r="Y609" s="30">
        <f>IFERROR(VLOOKUP(S609,Katalog!$C$3:$F$13,3,0),0)</f>
        <v>70000</v>
      </c>
      <c r="Z609" s="2">
        <f t="shared" si="336"/>
        <v>6</v>
      </c>
      <c r="AA609" s="4">
        <f t="shared" si="337"/>
        <v>735000</v>
      </c>
      <c r="AB609" s="4">
        <f t="shared" si="338"/>
        <v>315000</v>
      </c>
      <c r="AC609" s="4" t="s">
        <v>12</v>
      </c>
      <c r="AD609" s="16">
        <f>IFERROR(VLOOKUP(AC609,'Kode Diskon'!$C$2:$D$9,2,0),0)</f>
        <v>0.15</v>
      </c>
      <c r="AE609" s="31">
        <f t="shared" si="339"/>
        <v>110250</v>
      </c>
      <c r="AF609" s="31">
        <f t="shared" si="340"/>
        <v>624750</v>
      </c>
      <c r="AG609" s="31">
        <f t="shared" si="341"/>
        <v>420000</v>
      </c>
      <c r="AH609" s="31">
        <f t="shared" si="342"/>
        <v>309750</v>
      </c>
      <c r="AI609" s="4" t="s">
        <v>28</v>
      </c>
      <c r="AJ609" s="4" t="s">
        <v>6</v>
      </c>
      <c r="AK609" s="4" t="str">
        <f>IFERROR(VLOOKUP(AJ609,'Guide '!$A$13:$B$16,2,0),"-")</f>
        <v>SP</v>
      </c>
      <c r="AL609" s="4" t="s">
        <v>922</v>
      </c>
      <c r="AM609" s="40">
        <v>45512</v>
      </c>
      <c r="AN609">
        <f t="shared" si="343"/>
        <v>29</v>
      </c>
      <c r="AO609">
        <f t="shared" si="344"/>
        <v>32</v>
      </c>
      <c r="AP609">
        <f t="shared" si="345"/>
        <v>40</v>
      </c>
      <c r="AQ609">
        <f t="shared" si="346"/>
        <v>43</v>
      </c>
      <c r="AR609" s="26">
        <f t="shared" si="347"/>
        <v>56</v>
      </c>
      <c r="AS609" s="26">
        <f t="shared" si="348"/>
        <v>63</v>
      </c>
      <c r="AT609" s="21">
        <f t="shared" si="349"/>
        <v>12</v>
      </c>
      <c r="AU609" s="21">
        <f t="shared" si="350"/>
        <v>19</v>
      </c>
      <c r="AV609">
        <f t="shared" si="351"/>
        <v>73</v>
      </c>
      <c r="AW609">
        <f t="shared" si="352"/>
        <v>76</v>
      </c>
      <c r="AX609">
        <f t="shared" si="353"/>
        <v>84</v>
      </c>
      <c r="AY609">
        <f t="shared" si="354"/>
        <v>87</v>
      </c>
      <c r="AZ609">
        <f t="shared" si="355"/>
        <v>100</v>
      </c>
      <c r="BA609">
        <f t="shared" si="356"/>
        <v>107</v>
      </c>
      <c r="BB609">
        <f t="shared" si="357"/>
        <v>117</v>
      </c>
      <c r="BC609">
        <f t="shared" si="358"/>
        <v>120</v>
      </c>
      <c r="BD609" s="29">
        <f t="shared" si="359"/>
        <v>128</v>
      </c>
      <c r="BE609" s="29">
        <f t="shared" si="360"/>
        <v>131</v>
      </c>
    </row>
    <row r="610" spans="1:57" ht="15" x14ac:dyDescent="0.2">
      <c r="A610" s="2">
        <v>980</v>
      </c>
      <c r="B610" s="2" t="str">
        <f t="shared" si="325"/>
        <v>0980</v>
      </c>
      <c r="C610" t="str">
        <f t="shared" si="326"/>
        <v>ORD-SP-0980-08/08/24</v>
      </c>
      <c r="D610" s="3" t="s">
        <v>904</v>
      </c>
      <c r="E610" t="str">
        <f t="shared" si="327"/>
        <v>SW001</v>
      </c>
      <c r="F610" t="str">
        <f>INDEX(Katalog!$B$4:$B$13,MATCH('Main Data'!E610,Katalog!$C$4:$C$13,0))</f>
        <v>Flat Shoes</v>
      </c>
      <c r="G610" t="str">
        <f>VLOOKUP(E610,Katalog!$A$15:$B$25,2,0)</f>
        <v>Sepatu Wanita</v>
      </c>
      <c r="H610" t="str">
        <f t="shared" si="328"/>
        <v>2</v>
      </c>
      <c r="I610" t="str">
        <f t="shared" si="329"/>
        <v>4</v>
      </c>
      <c r="J610" s="18">
        <f>VLOOKUP(E610,Katalog!$C$3:$F$13,2,0)</f>
        <v>150000</v>
      </c>
      <c r="K610" s="18">
        <f>VLOOKUP(E610,Katalog!$C$3:$F$13,3,0)</f>
        <v>70000</v>
      </c>
      <c r="L610" t="str">
        <f t="shared" si="330"/>
        <v>SP002</v>
      </c>
      <c r="M610" t="str">
        <f>IFERROR(INDEX(Katalog!$B$4:$B$13,MATCH('Main Data'!L610,Katalog!$C$4:$C$13,0)), "-")</f>
        <v>Sandal Slip On</v>
      </c>
      <c r="N610" t="str">
        <f>IFERROR(VLOOKUP(L610,Katalog!$A$15:$B$25,2,0),"-")</f>
        <v>Sepatu Pria</v>
      </c>
      <c r="O610" t="str">
        <f t="shared" si="331"/>
        <v>4</v>
      </c>
      <c r="P610" t="str">
        <f t="shared" si="332"/>
        <v>5</v>
      </c>
      <c r="Q610" s="18">
        <f>IFERROR(VLOOKUP(L610,Katalog!$C$3:$F$13,2,0),0)</f>
        <v>120000</v>
      </c>
      <c r="R610" s="18">
        <f>IFERROR(VLOOKUP(L610,Katalog!$C$3:$F$13,3,0),0)</f>
        <v>60000</v>
      </c>
      <c r="S610" t="str">
        <f t="shared" si="333"/>
        <v>-</v>
      </c>
      <c r="T610" t="str">
        <f>IFERROR(INDEX(Katalog!$B$4:$B$13,MATCH('Main Data'!S610,Katalog!$C$4:$C$13,0)),"-")</f>
        <v>-</v>
      </c>
      <c r="U610" t="str">
        <f>IFERROR(VLOOKUP(S610,Katalog!$A$15:$B$25,2,0),"-")</f>
        <v>-</v>
      </c>
      <c r="V610">
        <f t="shared" si="334"/>
        <v>0</v>
      </c>
      <c r="W610" s="28" t="str">
        <f t="shared" si="335"/>
        <v>-</v>
      </c>
      <c r="X610" s="18">
        <f>IFERROR(VLOOKUP(S610,Katalog!$C$3:$F$13,2,0),0)</f>
        <v>0</v>
      </c>
      <c r="Y610" s="30">
        <f>IFERROR(VLOOKUP(S610,Katalog!$C$3:$F$13,3,0),0)</f>
        <v>0</v>
      </c>
      <c r="Z610" s="2">
        <f t="shared" si="336"/>
        <v>6</v>
      </c>
      <c r="AA610" s="4">
        <f t="shared" si="337"/>
        <v>780000</v>
      </c>
      <c r="AB610" s="4">
        <f t="shared" si="338"/>
        <v>380000</v>
      </c>
      <c r="AC610" s="4" t="s">
        <v>10</v>
      </c>
      <c r="AD610" s="16">
        <f>IFERROR(VLOOKUP(AC610,'Kode Diskon'!$C$2:$D$9,2,0),0)</f>
        <v>0</v>
      </c>
      <c r="AE610" s="31">
        <f t="shared" si="339"/>
        <v>0</v>
      </c>
      <c r="AF610" s="31">
        <f t="shared" si="340"/>
        <v>780000</v>
      </c>
      <c r="AG610" s="31">
        <f t="shared" si="341"/>
        <v>400000</v>
      </c>
      <c r="AH610" s="31">
        <f t="shared" si="342"/>
        <v>400000</v>
      </c>
      <c r="AI610" s="4" t="s">
        <v>10</v>
      </c>
      <c r="AJ610" s="4" t="s">
        <v>6</v>
      </c>
      <c r="AK610" s="4" t="str">
        <f>IFERROR(VLOOKUP(AJ610,'Guide '!$A$13:$B$16,2,0),"-")</f>
        <v>SP</v>
      </c>
      <c r="AL610" s="4" t="s">
        <v>924</v>
      </c>
      <c r="AM610" s="40">
        <v>45512</v>
      </c>
      <c r="AN610">
        <f t="shared" si="343"/>
        <v>29</v>
      </c>
      <c r="AO610">
        <f t="shared" si="344"/>
        <v>32</v>
      </c>
      <c r="AP610">
        <f t="shared" si="345"/>
        <v>40</v>
      </c>
      <c r="AQ610">
        <f t="shared" si="346"/>
        <v>43</v>
      </c>
      <c r="AR610" s="26">
        <f t="shared" si="347"/>
        <v>56</v>
      </c>
      <c r="AS610" s="26">
        <f t="shared" si="348"/>
        <v>63</v>
      </c>
      <c r="AT610" s="21">
        <f t="shared" si="349"/>
        <v>12</v>
      </c>
      <c r="AU610" s="21">
        <f t="shared" si="350"/>
        <v>19</v>
      </c>
      <c r="AV610">
        <f t="shared" si="351"/>
        <v>73</v>
      </c>
      <c r="AW610">
        <f t="shared" si="352"/>
        <v>76</v>
      </c>
      <c r="AX610">
        <f t="shared" si="353"/>
        <v>84</v>
      </c>
      <c r="AY610">
        <f t="shared" si="354"/>
        <v>87</v>
      </c>
      <c r="AZ610" t="str">
        <f t="shared" si="355"/>
        <v>-</v>
      </c>
      <c r="BA610" t="str">
        <f t="shared" si="356"/>
        <v>-</v>
      </c>
      <c r="BB610" t="str">
        <f t="shared" si="357"/>
        <v>-</v>
      </c>
      <c r="BC610" t="str">
        <f t="shared" si="358"/>
        <v>-</v>
      </c>
      <c r="BD610" s="29" t="str">
        <f t="shared" si="359"/>
        <v>-</v>
      </c>
      <c r="BE610" s="29" t="str">
        <f t="shared" si="360"/>
        <v>-</v>
      </c>
    </row>
    <row r="611" spans="1:57" ht="15" x14ac:dyDescent="0.2">
      <c r="A611" s="2">
        <v>990</v>
      </c>
      <c r="B611" s="2" t="str">
        <f t="shared" si="325"/>
        <v>0990</v>
      </c>
      <c r="C611" t="str">
        <f t="shared" si="326"/>
        <v>ORD-TK-0990-08/08/24</v>
      </c>
      <c r="D611" s="3" t="s">
        <v>912</v>
      </c>
      <c r="E611" t="str">
        <f t="shared" si="327"/>
        <v>PW002</v>
      </c>
      <c r="F611" t="str">
        <f>INDEX(Katalog!$B$4:$B$13,MATCH('Main Data'!E611,Katalog!$C$4:$C$13,0))</f>
        <v>Blouse</v>
      </c>
      <c r="G611" t="str">
        <f>VLOOKUP(E611,Katalog!$A$15:$B$25,2,0)</f>
        <v>Pakaian Wanita</v>
      </c>
      <c r="H611" t="str">
        <f t="shared" si="328"/>
        <v>1</v>
      </c>
      <c r="I611" t="str">
        <f t="shared" si="329"/>
        <v>2</v>
      </c>
      <c r="J611" s="18">
        <f>VLOOKUP(E611,Katalog!$C$3:$F$13,2,0)</f>
        <v>125000</v>
      </c>
      <c r="K611" s="18">
        <f>VLOOKUP(E611,Katalog!$C$3:$F$13,3,0)</f>
        <v>50000</v>
      </c>
      <c r="L611" t="str">
        <f t="shared" si="330"/>
        <v>PU001</v>
      </c>
      <c r="M611" t="str">
        <f>IFERROR(INDEX(Katalog!$B$4:$B$13,MATCH('Main Data'!L611,Katalog!$C$4:$C$13,0)), "-")</f>
        <v>Jaket Hoodie</v>
      </c>
      <c r="N611" t="str">
        <f>IFERROR(VLOOKUP(L611,Katalog!$A$15:$B$25,2,0),"-")</f>
        <v>Pakaian Unisex</v>
      </c>
      <c r="O611" t="str">
        <f t="shared" si="331"/>
        <v>5</v>
      </c>
      <c r="P611" t="str">
        <f t="shared" si="332"/>
        <v>1</v>
      </c>
      <c r="Q611" s="18">
        <f>IFERROR(VLOOKUP(L611,Katalog!$C$3:$F$13,2,0),0)</f>
        <v>160000</v>
      </c>
      <c r="R611" s="18">
        <f>IFERROR(VLOOKUP(L611,Katalog!$C$3:$F$13,3,0),0)</f>
        <v>60000</v>
      </c>
      <c r="S611" t="str">
        <f t="shared" si="333"/>
        <v>PP001</v>
      </c>
      <c r="T611" t="str">
        <f>IFERROR(INDEX(Katalog!$B$4:$B$13,MATCH('Main Data'!S611,Katalog!$C$4:$C$13,0)),"-")</f>
        <v>Kaos Polo</v>
      </c>
      <c r="U611" t="str">
        <f>IFERROR(VLOOKUP(S611,Katalog!$A$15:$B$25,2,0),"-")</f>
        <v>Pakaian Pria</v>
      </c>
      <c r="V611" t="str">
        <f t="shared" si="334"/>
        <v>1</v>
      </c>
      <c r="W611" s="28" t="str">
        <f t="shared" si="335"/>
        <v>2</v>
      </c>
      <c r="X611" s="18">
        <f>IFERROR(VLOOKUP(S611,Katalog!$C$3:$F$13,2,0),0)</f>
        <v>80000</v>
      </c>
      <c r="Y611" s="30">
        <f>IFERROR(VLOOKUP(S611,Katalog!$C$3:$F$13,3,0),0)</f>
        <v>30000</v>
      </c>
      <c r="Z611" s="2">
        <f t="shared" si="336"/>
        <v>7</v>
      </c>
      <c r="AA611" s="4">
        <f t="shared" si="337"/>
        <v>1005000</v>
      </c>
      <c r="AB611" s="4">
        <f t="shared" si="338"/>
        <v>380000</v>
      </c>
      <c r="AC611" s="4" t="s">
        <v>29</v>
      </c>
      <c r="AD611" s="16">
        <f>IFERROR(VLOOKUP(AC611,'Kode Diskon'!$C$2:$D$9,2,0),0)</f>
        <v>0.1</v>
      </c>
      <c r="AE611" s="31">
        <f t="shared" si="339"/>
        <v>100500</v>
      </c>
      <c r="AF611" s="31">
        <f t="shared" si="340"/>
        <v>904500</v>
      </c>
      <c r="AG611" s="31">
        <f t="shared" si="341"/>
        <v>625000</v>
      </c>
      <c r="AH611" s="31">
        <f t="shared" si="342"/>
        <v>524500</v>
      </c>
      <c r="AI611" s="4" t="s">
        <v>28</v>
      </c>
      <c r="AJ611" s="4" t="s">
        <v>9</v>
      </c>
      <c r="AK611" s="4" t="str">
        <f>IFERROR(VLOOKUP(AJ611,'Guide '!$A$13:$B$16,2,0),"-")</f>
        <v>TK</v>
      </c>
      <c r="AL611" s="4" t="s">
        <v>921</v>
      </c>
      <c r="AM611" s="40">
        <v>45512</v>
      </c>
      <c r="AN611">
        <f t="shared" si="343"/>
        <v>29</v>
      </c>
      <c r="AO611">
        <f t="shared" si="344"/>
        <v>32</v>
      </c>
      <c r="AP611">
        <f t="shared" si="345"/>
        <v>40</v>
      </c>
      <c r="AQ611">
        <f t="shared" si="346"/>
        <v>43</v>
      </c>
      <c r="AR611" s="26">
        <f t="shared" si="347"/>
        <v>56</v>
      </c>
      <c r="AS611" s="26">
        <f t="shared" si="348"/>
        <v>63</v>
      </c>
      <c r="AT611" s="21">
        <f t="shared" si="349"/>
        <v>12</v>
      </c>
      <c r="AU611" s="21">
        <f t="shared" si="350"/>
        <v>19</v>
      </c>
      <c r="AV611">
        <f t="shared" si="351"/>
        <v>73</v>
      </c>
      <c r="AW611">
        <f t="shared" si="352"/>
        <v>76</v>
      </c>
      <c r="AX611">
        <f t="shared" si="353"/>
        <v>84</v>
      </c>
      <c r="AY611">
        <f t="shared" si="354"/>
        <v>87</v>
      </c>
      <c r="AZ611">
        <f t="shared" si="355"/>
        <v>100</v>
      </c>
      <c r="BA611">
        <f t="shared" si="356"/>
        <v>107</v>
      </c>
      <c r="BB611">
        <f t="shared" si="357"/>
        <v>117</v>
      </c>
      <c r="BC611">
        <f t="shared" si="358"/>
        <v>120</v>
      </c>
      <c r="BD611" s="29">
        <f t="shared" si="359"/>
        <v>128</v>
      </c>
      <c r="BE611" s="29">
        <f t="shared" si="360"/>
        <v>131</v>
      </c>
    </row>
    <row r="612" spans="1:57" ht="15" x14ac:dyDescent="0.2">
      <c r="A612" s="2">
        <v>407</v>
      </c>
      <c r="B612" s="2" t="str">
        <f t="shared" si="325"/>
        <v>0407</v>
      </c>
      <c r="C612" t="str">
        <f t="shared" si="326"/>
        <v>ORD-SP-0407-09/08/24</v>
      </c>
      <c r="D612" s="3" t="s">
        <v>453</v>
      </c>
      <c r="E612" t="str">
        <f t="shared" si="327"/>
        <v>SP001</v>
      </c>
      <c r="F612" t="str">
        <f>INDEX(Katalog!$B$4:$B$13,MATCH('Main Data'!E612,Katalog!$C$4:$C$13,0))</f>
        <v>Sneakers</v>
      </c>
      <c r="G612" t="str">
        <f>VLOOKUP(E612,Katalog!$A$15:$B$25,2,0)</f>
        <v>Sepatu Pria</v>
      </c>
      <c r="H612" t="str">
        <f t="shared" si="328"/>
        <v>2</v>
      </c>
      <c r="I612" t="str">
        <f t="shared" si="329"/>
        <v>5</v>
      </c>
      <c r="J612" s="18">
        <f>VLOOKUP(E612,Katalog!$C$3:$F$13,2,0)</f>
        <v>300000</v>
      </c>
      <c r="K612" s="18">
        <f>VLOOKUP(E612,Katalog!$C$3:$F$13,3,0)</f>
        <v>100000</v>
      </c>
      <c r="L612" t="str">
        <f t="shared" si="330"/>
        <v>PW003</v>
      </c>
      <c r="M612" t="str">
        <f>IFERROR(INDEX(Katalog!$B$4:$B$13,MATCH('Main Data'!L612,Katalog!$C$4:$C$13,0)), "-")</f>
        <v>Kaftan</v>
      </c>
      <c r="N612" t="str">
        <f>IFERROR(VLOOKUP(L612,Katalog!$A$15:$B$25,2,0),"-")</f>
        <v>Pakaian Wanita</v>
      </c>
      <c r="O612" t="str">
        <f t="shared" si="331"/>
        <v>2</v>
      </c>
      <c r="P612" t="str">
        <f t="shared" si="332"/>
        <v>5</v>
      </c>
      <c r="Q612" s="18">
        <f>IFERROR(VLOOKUP(L612,Katalog!$C$3:$F$13,2,0),0)</f>
        <v>200000</v>
      </c>
      <c r="R612" s="18">
        <f>IFERROR(VLOOKUP(L612,Katalog!$C$3:$F$13,3,0),0)</f>
        <v>100000</v>
      </c>
      <c r="S612" t="str">
        <f t="shared" si="333"/>
        <v>PW002</v>
      </c>
      <c r="T612" t="str">
        <f>IFERROR(INDEX(Katalog!$B$4:$B$13,MATCH('Main Data'!S612,Katalog!$C$4:$C$13,0)),"-")</f>
        <v>Blouse</v>
      </c>
      <c r="U612" t="str">
        <f>IFERROR(VLOOKUP(S612,Katalog!$A$15:$B$25,2,0),"-")</f>
        <v>Pakaian Wanita</v>
      </c>
      <c r="V612" t="str">
        <f t="shared" si="334"/>
        <v>3</v>
      </c>
      <c r="W612" s="28" t="str">
        <f t="shared" si="335"/>
        <v>4</v>
      </c>
      <c r="X612" s="18">
        <f>IFERROR(VLOOKUP(S612,Katalog!$C$3:$F$13,2,0),0)</f>
        <v>125000</v>
      </c>
      <c r="Y612" s="30">
        <f>IFERROR(VLOOKUP(S612,Katalog!$C$3:$F$13,3,0),0)</f>
        <v>50000</v>
      </c>
      <c r="Z612" s="2">
        <f t="shared" si="336"/>
        <v>7</v>
      </c>
      <c r="AA612" s="4">
        <f t="shared" si="337"/>
        <v>1375000</v>
      </c>
      <c r="AB612" s="4">
        <f t="shared" si="338"/>
        <v>550000</v>
      </c>
      <c r="AC612" s="4" t="s">
        <v>5</v>
      </c>
      <c r="AD612" s="16">
        <f>IFERROR(VLOOKUP(AC612,'Kode Diskon'!$C$2:$D$9,2,0),0)</f>
        <v>0.1</v>
      </c>
      <c r="AE612" s="31">
        <f t="shared" si="339"/>
        <v>137500</v>
      </c>
      <c r="AF612" s="31">
        <f t="shared" si="340"/>
        <v>1237500</v>
      </c>
      <c r="AG612" s="31">
        <f t="shared" si="341"/>
        <v>825000</v>
      </c>
      <c r="AH612" s="31">
        <f t="shared" si="342"/>
        <v>687500</v>
      </c>
      <c r="AI612" s="4" t="s">
        <v>28</v>
      </c>
      <c r="AJ612" s="4" t="s">
        <v>6</v>
      </c>
      <c r="AK612" s="4" t="str">
        <f>IFERROR(VLOOKUP(AJ612,'Guide '!$A$13:$B$16,2,0),"-")</f>
        <v>SP</v>
      </c>
      <c r="AL612" s="4" t="s">
        <v>925</v>
      </c>
      <c r="AM612" s="40">
        <v>45513</v>
      </c>
      <c r="AN612">
        <f t="shared" si="343"/>
        <v>29</v>
      </c>
      <c r="AO612">
        <f t="shared" si="344"/>
        <v>32</v>
      </c>
      <c r="AP612">
        <f t="shared" si="345"/>
        <v>40</v>
      </c>
      <c r="AQ612">
        <f t="shared" si="346"/>
        <v>43</v>
      </c>
      <c r="AR612" s="26">
        <f t="shared" si="347"/>
        <v>56</v>
      </c>
      <c r="AS612" s="26">
        <f t="shared" si="348"/>
        <v>63</v>
      </c>
      <c r="AT612" s="21">
        <f t="shared" si="349"/>
        <v>12</v>
      </c>
      <c r="AU612" s="21">
        <f t="shared" si="350"/>
        <v>19</v>
      </c>
      <c r="AV612">
        <f t="shared" si="351"/>
        <v>73</v>
      </c>
      <c r="AW612">
        <f t="shared" si="352"/>
        <v>76</v>
      </c>
      <c r="AX612">
        <f t="shared" si="353"/>
        <v>84</v>
      </c>
      <c r="AY612">
        <f t="shared" si="354"/>
        <v>87</v>
      </c>
      <c r="AZ612">
        <f t="shared" si="355"/>
        <v>100</v>
      </c>
      <c r="BA612">
        <f t="shared" si="356"/>
        <v>107</v>
      </c>
      <c r="BB612">
        <f t="shared" si="357"/>
        <v>117</v>
      </c>
      <c r="BC612">
        <f t="shared" si="358"/>
        <v>120</v>
      </c>
      <c r="BD612" s="29">
        <f t="shared" si="359"/>
        <v>128</v>
      </c>
      <c r="BE612" s="29">
        <f t="shared" si="360"/>
        <v>131</v>
      </c>
    </row>
    <row r="613" spans="1:57" ht="15" x14ac:dyDescent="0.2">
      <c r="A613" s="2">
        <v>470</v>
      </c>
      <c r="B613" s="2" t="str">
        <f t="shared" si="325"/>
        <v>0470</v>
      </c>
      <c r="C613" t="str">
        <f t="shared" si="326"/>
        <v>ORD-SP-0470-09/08/24</v>
      </c>
      <c r="D613" s="3" t="s">
        <v>506</v>
      </c>
      <c r="E613" t="str">
        <f t="shared" si="327"/>
        <v>PP002</v>
      </c>
      <c r="F613" t="str">
        <f>INDEX(Katalog!$B$4:$B$13,MATCH('Main Data'!E613,Katalog!$C$4:$C$13,0))</f>
        <v>Celana Pendek</v>
      </c>
      <c r="G613" t="str">
        <f>VLOOKUP(E613,Katalog!$A$15:$B$25,2,0)</f>
        <v>Pakaian Pria</v>
      </c>
      <c r="H613" t="str">
        <f t="shared" si="328"/>
        <v>4</v>
      </c>
      <c r="I613" t="str">
        <f t="shared" si="329"/>
        <v>5</v>
      </c>
      <c r="J613" s="18">
        <f>VLOOKUP(E613,Katalog!$C$3:$F$13,2,0)</f>
        <v>60000</v>
      </c>
      <c r="K613" s="18">
        <f>VLOOKUP(E613,Katalog!$C$3:$F$13,3,0)</f>
        <v>25000</v>
      </c>
      <c r="L613" t="str">
        <f t="shared" si="330"/>
        <v>PW002</v>
      </c>
      <c r="M613" t="str">
        <f>IFERROR(INDEX(Katalog!$B$4:$B$13,MATCH('Main Data'!L613,Katalog!$C$4:$C$13,0)), "-")</f>
        <v>Blouse</v>
      </c>
      <c r="N613" t="str">
        <f>IFERROR(VLOOKUP(L613,Katalog!$A$15:$B$25,2,0),"-")</f>
        <v>Pakaian Wanita</v>
      </c>
      <c r="O613" t="str">
        <f t="shared" si="331"/>
        <v>1</v>
      </c>
      <c r="P613" t="str">
        <f t="shared" si="332"/>
        <v>3</v>
      </c>
      <c r="Q613" s="18">
        <f>IFERROR(VLOOKUP(L613,Katalog!$C$3:$F$13,2,0),0)</f>
        <v>125000</v>
      </c>
      <c r="R613" s="18">
        <f>IFERROR(VLOOKUP(L613,Katalog!$C$3:$F$13,3,0),0)</f>
        <v>50000</v>
      </c>
      <c r="S613" t="str">
        <f t="shared" si="333"/>
        <v>PP002</v>
      </c>
      <c r="T613" t="str">
        <f>IFERROR(INDEX(Katalog!$B$4:$B$13,MATCH('Main Data'!S613,Katalog!$C$4:$C$13,0)),"-")</f>
        <v>Celana Pendek</v>
      </c>
      <c r="U613" t="str">
        <f>IFERROR(VLOOKUP(S613,Katalog!$A$15:$B$25,2,0),"-")</f>
        <v>Pakaian Pria</v>
      </c>
      <c r="V613" t="str">
        <f t="shared" si="334"/>
        <v>2</v>
      </c>
      <c r="W613" s="28" t="str">
        <f t="shared" si="335"/>
        <v>4</v>
      </c>
      <c r="X613" s="18">
        <f>IFERROR(VLOOKUP(S613,Katalog!$C$3:$F$13,2,0),0)</f>
        <v>60000</v>
      </c>
      <c r="Y613" s="30">
        <f>IFERROR(VLOOKUP(S613,Katalog!$C$3:$F$13,3,0),0)</f>
        <v>25000</v>
      </c>
      <c r="Z613" s="2">
        <f t="shared" si="336"/>
        <v>7</v>
      </c>
      <c r="AA613" s="4">
        <f t="shared" si="337"/>
        <v>485000</v>
      </c>
      <c r="AB613" s="4">
        <f t="shared" si="338"/>
        <v>200000</v>
      </c>
      <c r="AC613" s="4" t="s">
        <v>12</v>
      </c>
      <c r="AD613" s="16">
        <f>IFERROR(VLOOKUP(AC613,'Kode Diskon'!$C$2:$D$9,2,0),0)</f>
        <v>0.15</v>
      </c>
      <c r="AE613" s="31">
        <f t="shared" si="339"/>
        <v>72750</v>
      </c>
      <c r="AF613" s="31">
        <f t="shared" si="340"/>
        <v>412250</v>
      </c>
      <c r="AG613" s="31">
        <f t="shared" si="341"/>
        <v>285000</v>
      </c>
      <c r="AH613" s="31">
        <f t="shared" si="342"/>
        <v>212250</v>
      </c>
      <c r="AI613" s="4" t="s">
        <v>28</v>
      </c>
      <c r="AJ613" s="4" t="s">
        <v>6</v>
      </c>
      <c r="AK613" s="4" t="str">
        <f>IFERROR(VLOOKUP(AJ613,'Guide '!$A$13:$B$16,2,0),"-")</f>
        <v>SP</v>
      </c>
      <c r="AL613" s="4" t="s">
        <v>1006</v>
      </c>
      <c r="AM613" s="40">
        <v>45513</v>
      </c>
      <c r="AN613">
        <f t="shared" si="343"/>
        <v>29</v>
      </c>
      <c r="AO613">
        <f t="shared" si="344"/>
        <v>32</v>
      </c>
      <c r="AP613">
        <f t="shared" si="345"/>
        <v>40</v>
      </c>
      <c r="AQ613">
        <f t="shared" si="346"/>
        <v>43</v>
      </c>
      <c r="AR613" s="26">
        <f t="shared" si="347"/>
        <v>56</v>
      </c>
      <c r="AS613" s="26">
        <f t="shared" si="348"/>
        <v>63</v>
      </c>
      <c r="AT613" s="21">
        <f t="shared" si="349"/>
        <v>12</v>
      </c>
      <c r="AU613" s="21">
        <f t="shared" si="350"/>
        <v>19</v>
      </c>
      <c r="AV613">
        <f t="shared" si="351"/>
        <v>73</v>
      </c>
      <c r="AW613">
        <f t="shared" si="352"/>
        <v>76</v>
      </c>
      <c r="AX613">
        <f t="shared" si="353"/>
        <v>84</v>
      </c>
      <c r="AY613">
        <f t="shared" si="354"/>
        <v>87</v>
      </c>
      <c r="AZ613">
        <f t="shared" si="355"/>
        <v>100</v>
      </c>
      <c r="BA613">
        <f t="shared" si="356"/>
        <v>107</v>
      </c>
      <c r="BB613">
        <f t="shared" si="357"/>
        <v>117</v>
      </c>
      <c r="BC613">
        <f t="shared" si="358"/>
        <v>120</v>
      </c>
      <c r="BD613" s="29">
        <f t="shared" si="359"/>
        <v>128</v>
      </c>
      <c r="BE613" s="29">
        <f t="shared" si="360"/>
        <v>131</v>
      </c>
    </row>
    <row r="614" spans="1:57" ht="15" x14ac:dyDescent="0.2">
      <c r="A614" s="2">
        <v>814</v>
      </c>
      <c r="B614" s="2" t="str">
        <f t="shared" si="325"/>
        <v>0814</v>
      </c>
      <c r="C614" t="str">
        <f t="shared" si="326"/>
        <v>ORD-BL-0814-09/08/24</v>
      </c>
      <c r="D614" s="3" t="s">
        <v>777</v>
      </c>
      <c r="E614" t="str">
        <f t="shared" si="327"/>
        <v>PU001</v>
      </c>
      <c r="F614" t="str">
        <f>INDEX(Katalog!$B$4:$B$13,MATCH('Main Data'!E614,Katalog!$C$4:$C$13,0))</f>
        <v>Jaket Hoodie</v>
      </c>
      <c r="G614" t="str">
        <f>VLOOKUP(E614,Katalog!$A$15:$B$25,2,0)</f>
        <v>Pakaian Unisex</v>
      </c>
      <c r="H614" t="str">
        <f t="shared" si="328"/>
        <v>1</v>
      </c>
      <c r="I614" t="str">
        <f t="shared" si="329"/>
        <v>2</v>
      </c>
      <c r="J614" s="18">
        <f>VLOOKUP(E614,Katalog!$C$3:$F$13,2,0)</f>
        <v>160000</v>
      </c>
      <c r="K614" s="18">
        <f>VLOOKUP(E614,Katalog!$C$3:$F$13,3,0)</f>
        <v>60000</v>
      </c>
      <c r="L614" t="str">
        <f t="shared" si="330"/>
        <v>SP002</v>
      </c>
      <c r="M614" t="str">
        <f>IFERROR(INDEX(Katalog!$B$4:$B$13,MATCH('Main Data'!L614,Katalog!$C$4:$C$13,0)), "-")</f>
        <v>Sandal Slip On</v>
      </c>
      <c r="N614" t="str">
        <f>IFERROR(VLOOKUP(L614,Katalog!$A$15:$B$25,2,0),"-")</f>
        <v>Sepatu Pria</v>
      </c>
      <c r="O614" t="str">
        <f t="shared" si="331"/>
        <v>5</v>
      </c>
      <c r="P614" t="str">
        <f t="shared" si="332"/>
        <v>4</v>
      </c>
      <c r="Q614" s="18">
        <f>IFERROR(VLOOKUP(L614,Katalog!$C$3:$F$13,2,0),0)</f>
        <v>120000</v>
      </c>
      <c r="R614" s="18">
        <f>IFERROR(VLOOKUP(L614,Katalog!$C$3:$F$13,3,0),0)</f>
        <v>60000</v>
      </c>
      <c r="S614" t="str">
        <f t="shared" si="333"/>
        <v>-</v>
      </c>
      <c r="T614" t="str">
        <f>IFERROR(INDEX(Katalog!$B$4:$B$13,MATCH('Main Data'!S614,Katalog!$C$4:$C$13,0)),"-")</f>
        <v>-</v>
      </c>
      <c r="U614" t="str">
        <f>IFERROR(VLOOKUP(S614,Katalog!$A$15:$B$25,2,0),"-")</f>
        <v>-</v>
      </c>
      <c r="V614">
        <f t="shared" si="334"/>
        <v>0</v>
      </c>
      <c r="W614" s="28" t="str">
        <f t="shared" si="335"/>
        <v>-</v>
      </c>
      <c r="X614" s="18">
        <f>IFERROR(VLOOKUP(S614,Katalog!$C$3:$F$13,2,0),0)</f>
        <v>0</v>
      </c>
      <c r="Y614" s="30">
        <f>IFERROR(VLOOKUP(S614,Katalog!$C$3:$F$13,3,0),0)</f>
        <v>0</v>
      </c>
      <c r="Z614" s="2">
        <f t="shared" si="336"/>
        <v>6</v>
      </c>
      <c r="AA614" s="4">
        <f t="shared" si="337"/>
        <v>760000</v>
      </c>
      <c r="AB614" s="4">
        <f t="shared" si="338"/>
        <v>360000</v>
      </c>
      <c r="AC614" s="4" t="s">
        <v>31</v>
      </c>
      <c r="AD614" s="16">
        <f>IFERROR(VLOOKUP(AC614,'Kode Diskon'!$C$2:$D$9,2,0),0)</f>
        <v>0.15</v>
      </c>
      <c r="AE614" s="31">
        <f t="shared" si="339"/>
        <v>114000</v>
      </c>
      <c r="AF614" s="31">
        <f t="shared" si="340"/>
        <v>646000</v>
      </c>
      <c r="AG614" s="31">
        <f t="shared" si="341"/>
        <v>400000</v>
      </c>
      <c r="AH614" s="31">
        <f t="shared" si="342"/>
        <v>286000</v>
      </c>
      <c r="AI614" s="4" t="s">
        <v>8</v>
      </c>
      <c r="AJ614" s="4" t="s">
        <v>11</v>
      </c>
      <c r="AK614" s="4" t="str">
        <f>IFERROR(VLOOKUP(AJ614,'Guide '!$A$13:$B$16,2,0),"-")</f>
        <v>BL</v>
      </c>
      <c r="AL614" s="4" t="s">
        <v>921</v>
      </c>
      <c r="AM614" s="40">
        <v>45513</v>
      </c>
      <c r="AN614">
        <f t="shared" si="343"/>
        <v>29</v>
      </c>
      <c r="AO614">
        <f t="shared" si="344"/>
        <v>32</v>
      </c>
      <c r="AP614">
        <f t="shared" si="345"/>
        <v>40</v>
      </c>
      <c r="AQ614">
        <f t="shared" si="346"/>
        <v>43</v>
      </c>
      <c r="AR614" s="26">
        <f t="shared" si="347"/>
        <v>56</v>
      </c>
      <c r="AS614" s="26">
        <f t="shared" si="348"/>
        <v>63</v>
      </c>
      <c r="AT614" s="21">
        <f t="shared" si="349"/>
        <v>12</v>
      </c>
      <c r="AU614" s="21">
        <f t="shared" si="350"/>
        <v>19</v>
      </c>
      <c r="AV614">
        <f t="shared" si="351"/>
        <v>73</v>
      </c>
      <c r="AW614">
        <f t="shared" si="352"/>
        <v>76</v>
      </c>
      <c r="AX614">
        <f t="shared" si="353"/>
        <v>84</v>
      </c>
      <c r="AY614">
        <f t="shared" si="354"/>
        <v>87</v>
      </c>
      <c r="AZ614" t="str">
        <f t="shared" si="355"/>
        <v>-</v>
      </c>
      <c r="BA614" t="str">
        <f t="shared" si="356"/>
        <v>-</v>
      </c>
      <c r="BB614" t="str">
        <f t="shared" si="357"/>
        <v>-</v>
      </c>
      <c r="BC614" t="str">
        <f t="shared" si="358"/>
        <v>-</v>
      </c>
      <c r="BD614" s="29" t="str">
        <f t="shared" si="359"/>
        <v>-</v>
      </c>
      <c r="BE614" s="29" t="str">
        <f t="shared" si="360"/>
        <v>-</v>
      </c>
    </row>
    <row r="615" spans="1:57" ht="15" x14ac:dyDescent="0.2">
      <c r="A615" s="2">
        <v>936</v>
      </c>
      <c r="B615" s="2" t="str">
        <f t="shared" si="325"/>
        <v>0936</v>
      </c>
      <c r="C615" t="str">
        <f t="shared" si="326"/>
        <v>ORD-BL-0936-09/08/24</v>
      </c>
      <c r="D615" s="3" t="s">
        <v>868</v>
      </c>
      <c r="E615" t="str">
        <f t="shared" si="327"/>
        <v>SW001</v>
      </c>
      <c r="F615" t="str">
        <f>INDEX(Katalog!$B$4:$B$13,MATCH('Main Data'!E615,Katalog!$C$4:$C$13,0))</f>
        <v>Flat Shoes</v>
      </c>
      <c r="G615" t="str">
        <f>VLOOKUP(E615,Katalog!$A$15:$B$25,2,0)</f>
        <v>Sepatu Wanita</v>
      </c>
      <c r="H615" t="str">
        <f t="shared" si="328"/>
        <v>4</v>
      </c>
      <c r="I615" t="str">
        <f t="shared" si="329"/>
        <v>4</v>
      </c>
      <c r="J615" s="18">
        <f>VLOOKUP(E615,Katalog!$C$3:$F$13,2,0)</f>
        <v>150000</v>
      </c>
      <c r="K615" s="18">
        <f>VLOOKUP(E615,Katalog!$C$3:$F$13,3,0)</f>
        <v>70000</v>
      </c>
      <c r="L615" t="str">
        <f t="shared" si="330"/>
        <v>PP003</v>
      </c>
      <c r="M615" t="str">
        <f>IFERROR(INDEX(Katalog!$B$4:$B$13,MATCH('Main Data'!L615,Katalog!$C$4:$C$13,0)), "-")</f>
        <v>Jaket Jeans</v>
      </c>
      <c r="N615" t="str">
        <f>IFERROR(VLOOKUP(L615,Katalog!$A$15:$B$25,2,0),"-")</f>
        <v>Pakaian Pria</v>
      </c>
      <c r="O615" t="str">
        <f t="shared" si="331"/>
        <v>1</v>
      </c>
      <c r="P615" t="str">
        <f t="shared" si="332"/>
        <v>2</v>
      </c>
      <c r="Q615" s="18">
        <f>IFERROR(VLOOKUP(L615,Katalog!$C$3:$F$13,2,0),0)</f>
        <v>150000</v>
      </c>
      <c r="R615" s="18">
        <f>IFERROR(VLOOKUP(L615,Katalog!$C$3:$F$13,3,0),0)</f>
        <v>70000</v>
      </c>
      <c r="S615" t="str">
        <f t="shared" si="333"/>
        <v>-</v>
      </c>
      <c r="T615" t="str">
        <f>IFERROR(INDEX(Katalog!$B$4:$B$13,MATCH('Main Data'!S615,Katalog!$C$4:$C$13,0)),"-")</f>
        <v>-</v>
      </c>
      <c r="U615" t="str">
        <f>IFERROR(VLOOKUP(S615,Katalog!$A$15:$B$25,2,0),"-")</f>
        <v>-</v>
      </c>
      <c r="V615">
        <f t="shared" si="334"/>
        <v>0</v>
      </c>
      <c r="W615" s="28" t="str">
        <f t="shared" si="335"/>
        <v>-</v>
      </c>
      <c r="X615" s="18">
        <f>IFERROR(VLOOKUP(S615,Katalog!$C$3:$F$13,2,0),0)</f>
        <v>0</v>
      </c>
      <c r="Y615" s="30">
        <f>IFERROR(VLOOKUP(S615,Katalog!$C$3:$F$13,3,0),0)</f>
        <v>0</v>
      </c>
      <c r="Z615" s="2">
        <f t="shared" si="336"/>
        <v>5</v>
      </c>
      <c r="AA615" s="4">
        <f t="shared" si="337"/>
        <v>750000</v>
      </c>
      <c r="AB615" s="4">
        <f t="shared" si="338"/>
        <v>350000</v>
      </c>
      <c r="AC615" s="4" t="s">
        <v>31</v>
      </c>
      <c r="AD615" s="16">
        <f>IFERROR(VLOOKUP(AC615,'Kode Diskon'!$C$2:$D$9,2,0),0)</f>
        <v>0.15</v>
      </c>
      <c r="AE615" s="31">
        <f t="shared" si="339"/>
        <v>112500</v>
      </c>
      <c r="AF615" s="31">
        <f t="shared" si="340"/>
        <v>637500</v>
      </c>
      <c r="AG615" s="31">
        <f t="shared" si="341"/>
        <v>400000</v>
      </c>
      <c r="AH615" s="31">
        <f t="shared" si="342"/>
        <v>287500</v>
      </c>
      <c r="AI615" s="4" t="s">
        <v>8</v>
      </c>
      <c r="AJ615" s="4" t="s">
        <v>11</v>
      </c>
      <c r="AK615" s="4" t="str">
        <f>IFERROR(VLOOKUP(AJ615,'Guide '!$A$13:$B$16,2,0),"-")</f>
        <v>BL</v>
      </c>
      <c r="AL615" s="4" t="s">
        <v>1006</v>
      </c>
      <c r="AM615" s="40">
        <v>45513</v>
      </c>
      <c r="AN615">
        <f t="shared" si="343"/>
        <v>29</v>
      </c>
      <c r="AO615">
        <f t="shared" si="344"/>
        <v>32</v>
      </c>
      <c r="AP615">
        <f t="shared" si="345"/>
        <v>40</v>
      </c>
      <c r="AQ615">
        <f t="shared" si="346"/>
        <v>43</v>
      </c>
      <c r="AR615" s="26">
        <f t="shared" si="347"/>
        <v>56</v>
      </c>
      <c r="AS615" s="26">
        <f t="shared" si="348"/>
        <v>63</v>
      </c>
      <c r="AT615" s="21">
        <f t="shared" si="349"/>
        <v>12</v>
      </c>
      <c r="AU615" s="21">
        <f t="shared" si="350"/>
        <v>19</v>
      </c>
      <c r="AV615">
        <f t="shared" si="351"/>
        <v>73</v>
      </c>
      <c r="AW615">
        <f t="shared" si="352"/>
        <v>76</v>
      </c>
      <c r="AX615">
        <f t="shared" si="353"/>
        <v>84</v>
      </c>
      <c r="AY615">
        <f t="shared" si="354"/>
        <v>87</v>
      </c>
      <c r="AZ615" t="str">
        <f t="shared" si="355"/>
        <v>-</v>
      </c>
      <c r="BA615" t="str">
        <f t="shared" si="356"/>
        <v>-</v>
      </c>
      <c r="BB615" t="str">
        <f t="shared" si="357"/>
        <v>-</v>
      </c>
      <c r="BC615" t="str">
        <f t="shared" si="358"/>
        <v>-</v>
      </c>
      <c r="BD615" s="29" t="str">
        <f t="shared" si="359"/>
        <v>-</v>
      </c>
      <c r="BE615" s="29" t="str">
        <f t="shared" si="360"/>
        <v>-</v>
      </c>
    </row>
    <row r="616" spans="1:57" ht="15" x14ac:dyDescent="0.2">
      <c r="A616" s="2">
        <v>519</v>
      </c>
      <c r="B616" s="2" t="str">
        <f t="shared" si="325"/>
        <v>0519</v>
      </c>
      <c r="C616" t="str">
        <f t="shared" si="326"/>
        <v>ORD-BL-0519-10/08/24</v>
      </c>
      <c r="D616" s="3" t="s">
        <v>547</v>
      </c>
      <c r="E616" t="str">
        <f t="shared" si="327"/>
        <v>PW002</v>
      </c>
      <c r="F616" t="str">
        <f>INDEX(Katalog!$B$4:$B$13,MATCH('Main Data'!E616,Katalog!$C$4:$C$13,0))</f>
        <v>Blouse</v>
      </c>
      <c r="G616" t="str">
        <f>VLOOKUP(E616,Katalog!$A$15:$B$25,2,0)</f>
        <v>Pakaian Wanita</v>
      </c>
      <c r="H616" t="str">
        <f t="shared" si="328"/>
        <v>2</v>
      </c>
      <c r="I616" t="str">
        <f t="shared" si="329"/>
        <v>5</v>
      </c>
      <c r="J616" s="18">
        <f>VLOOKUP(E616,Katalog!$C$3:$F$13,2,0)</f>
        <v>125000</v>
      </c>
      <c r="K616" s="18">
        <f>VLOOKUP(E616,Katalog!$C$3:$F$13,3,0)</f>
        <v>50000</v>
      </c>
      <c r="L616" t="str">
        <f t="shared" si="330"/>
        <v>SW001</v>
      </c>
      <c r="M616" t="str">
        <f>IFERROR(INDEX(Katalog!$B$4:$B$13,MATCH('Main Data'!L616,Katalog!$C$4:$C$13,0)), "-")</f>
        <v>Flat Shoes</v>
      </c>
      <c r="N616" t="str">
        <f>IFERROR(VLOOKUP(L616,Katalog!$A$15:$B$25,2,0),"-")</f>
        <v>Sepatu Wanita</v>
      </c>
      <c r="O616" t="str">
        <f t="shared" si="331"/>
        <v>1</v>
      </c>
      <c r="P616" t="str">
        <f t="shared" si="332"/>
        <v>5</v>
      </c>
      <c r="Q616" s="18">
        <f>IFERROR(VLOOKUP(L616,Katalog!$C$3:$F$13,2,0),0)</f>
        <v>150000</v>
      </c>
      <c r="R616" s="18">
        <f>IFERROR(VLOOKUP(L616,Katalog!$C$3:$F$13,3,0),0)</f>
        <v>70000</v>
      </c>
      <c r="S616" t="str">
        <f t="shared" si="333"/>
        <v>-</v>
      </c>
      <c r="T616" t="str">
        <f>IFERROR(INDEX(Katalog!$B$4:$B$13,MATCH('Main Data'!S616,Katalog!$C$4:$C$13,0)),"-")</f>
        <v>-</v>
      </c>
      <c r="U616" t="str">
        <f>IFERROR(VLOOKUP(S616,Katalog!$A$15:$B$25,2,0),"-")</f>
        <v>-</v>
      </c>
      <c r="V616">
        <f t="shared" si="334"/>
        <v>0</v>
      </c>
      <c r="W616" s="28" t="str">
        <f t="shared" si="335"/>
        <v>-</v>
      </c>
      <c r="X616" s="18">
        <f>IFERROR(VLOOKUP(S616,Katalog!$C$3:$F$13,2,0),0)</f>
        <v>0</v>
      </c>
      <c r="Y616" s="30">
        <f>IFERROR(VLOOKUP(S616,Katalog!$C$3:$F$13,3,0),0)</f>
        <v>0</v>
      </c>
      <c r="Z616" s="2">
        <f t="shared" si="336"/>
        <v>3</v>
      </c>
      <c r="AA616" s="4">
        <f t="shared" si="337"/>
        <v>400000</v>
      </c>
      <c r="AB616" s="4">
        <f t="shared" si="338"/>
        <v>170000</v>
      </c>
      <c r="AC616" s="4" t="s">
        <v>31</v>
      </c>
      <c r="AD616" s="16">
        <f>IFERROR(VLOOKUP(AC616,'Kode Diskon'!$C$2:$D$9,2,0),0)</f>
        <v>0.15</v>
      </c>
      <c r="AE616" s="31">
        <f t="shared" si="339"/>
        <v>60000</v>
      </c>
      <c r="AF616" s="31">
        <f t="shared" si="340"/>
        <v>340000</v>
      </c>
      <c r="AG616" s="31">
        <f t="shared" si="341"/>
        <v>230000</v>
      </c>
      <c r="AH616" s="31">
        <f t="shared" si="342"/>
        <v>170000</v>
      </c>
      <c r="AI616" s="4" t="s">
        <v>8</v>
      </c>
      <c r="AJ616" s="4" t="s">
        <v>11</v>
      </c>
      <c r="AK616" s="4" t="str">
        <f>IFERROR(VLOOKUP(AJ616,'Guide '!$A$13:$B$16,2,0),"-")</f>
        <v>BL</v>
      </c>
      <c r="AL616" s="4" t="s">
        <v>1006</v>
      </c>
      <c r="AM616" s="40">
        <v>45514</v>
      </c>
      <c r="AN616">
        <f t="shared" si="343"/>
        <v>29</v>
      </c>
      <c r="AO616">
        <f t="shared" si="344"/>
        <v>32</v>
      </c>
      <c r="AP616">
        <f t="shared" si="345"/>
        <v>40</v>
      </c>
      <c r="AQ616">
        <f t="shared" si="346"/>
        <v>43</v>
      </c>
      <c r="AR616" s="26">
        <f t="shared" si="347"/>
        <v>56</v>
      </c>
      <c r="AS616" s="26">
        <f t="shared" si="348"/>
        <v>63</v>
      </c>
      <c r="AT616" s="21">
        <f t="shared" si="349"/>
        <v>12</v>
      </c>
      <c r="AU616" s="21">
        <f t="shared" si="350"/>
        <v>19</v>
      </c>
      <c r="AV616">
        <f t="shared" si="351"/>
        <v>73</v>
      </c>
      <c r="AW616">
        <f t="shared" si="352"/>
        <v>76</v>
      </c>
      <c r="AX616">
        <f t="shared" si="353"/>
        <v>84</v>
      </c>
      <c r="AY616">
        <f t="shared" si="354"/>
        <v>87</v>
      </c>
      <c r="AZ616" t="str">
        <f t="shared" si="355"/>
        <v>-</v>
      </c>
      <c r="BA616" t="str">
        <f t="shared" si="356"/>
        <v>-</v>
      </c>
      <c r="BB616" t="str">
        <f t="shared" si="357"/>
        <v>-</v>
      </c>
      <c r="BC616" t="str">
        <f t="shared" si="358"/>
        <v>-</v>
      </c>
      <c r="BD616" s="29" t="str">
        <f t="shared" si="359"/>
        <v>-</v>
      </c>
      <c r="BE616" s="29" t="str">
        <f t="shared" si="360"/>
        <v>-</v>
      </c>
    </row>
    <row r="617" spans="1:57" ht="15" x14ac:dyDescent="0.2">
      <c r="A617" s="2">
        <v>284</v>
      </c>
      <c r="B617" s="2" t="str">
        <f t="shared" si="325"/>
        <v>0284</v>
      </c>
      <c r="C617" t="str">
        <f t="shared" si="326"/>
        <v>ORD-SP-0284-11/08/24</v>
      </c>
      <c r="D617" s="3" t="s">
        <v>340</v>
      </c>
      <c r="E617" t="str">
        <f t="shared" si="327"/>
        <v>PP001</v>
      </c>
      <c r="F617" t="str">
        <f>INDEX(Katalog!$B$4:$B$13,MATCH('Main Data'!E617,Katalog!$C$4:$C$13,0))</f>
        <v>Kaos Polo</v>
      </c>
      <c r="G617" t="str">
        <f>VLOOKUP(E617,Katalog!$A$15:$B$25,2,0)</f>
        <v>Pakaian Pria</v>
      </c>
      <c r="H617" t="str">
        <f t="shared" si="328"/>
        <v>7</v>
      </c>
      <c r="I617" t="str">
        <f t="shared" si="329"/>
        <v>3</v>
      </c>
      <c r="J617" s="18">
        <f>VLOOKUP(E617,Katalog!$C$3:$F$13,2,0)</f>
        <v>80000</v>
      </c>
      <c r="K617" s="18">
        <f>VLOOKUP(E617,Katalog!$C$3:$F$13,3,0)</f>
        <v>30000</v>
      </c>
      <c r="L617" t="str">
        <f t="shared" si="330"/>
        <v>-</v>
      </c>
      <c r="M617" t="str">
        <f>IFERROR(INDEX(Katalog!$B$4:$B$13,MATCH('Main Data'!L617,Katalog!$C$4:$C$13,0)), "-")</f>
        <v>-</v>
      </c>
      <c r="N617" t="str">
        <f>IFERROR(VLOOKUP(L617,Katalog!$A$15:$B$25,2,0),"-")</f>
        <v>-</v>
      </c>
      <c r="O617">
        <f t="shared" si="331"/>
        <v>0</v>
      </c>
      <c r="P617" t="str">
        <f t="shared" si="332"/>
        <v>-</v>
      </c>
      <c r="Q617" s="18">
        <f>IFERROR(VLOOKUP(L617,Katalog!$C$3:$F$13,2,0),0)</f>
        <v>0</v>
      </c>
      <c r="R617" s="18">
        <f>IFERROR(VLOOKUP(L617,Katalog!$C$3:$F$13,3,0),0)</f>
        <v>0</v>
      </c>
      <c r="S617" t="str">
        <f t="shared" si="333"/>
        <v>-</v>
      </c>
      <c r="T617" t="str">
        <f>IFERROR(INDEX(Katalog!$B$4:$B$13,MATCH('Main Data'!S617,Katalog!$C$4:$C$13,0)),"-")</f>
        <v>-</v>
      </c>
      <c r="U617" t="str">
        <f>IFERROR(VLOOKUP(S617,Katalog!$A$15:$B$25,2,0),"-")</f>
        <v>-</v>
      </c>
      <c r="V617">
        <f t="shared" si="334"/>
        <v>0</v>
      </c>
      <c r="W617" s="28" t="str">
        <f t="shared" si="335"/>
        <v>-</v>
      </c>
      <c r="X617" s="18">
        <f>IFERROR(VLOOKUP(S617,Katalog!$C$3:$F$13,2,0),0)</f>
        <v>0</v>
      </c>
      <c r="Y617" s="30">
        <f>IFERROR(VLOOKUP(S617,Katalog!$C$3:$F$13,3,0),0)</f>
        <v>0</v>
      </c>
      <c r="Z617" s="2">
        <f t="shared" si="336"/>
        <v>7</v>
      </c>
      <c r="AA617" s="4">
        <f t="shared" si="337"/>
        <v>560000</v>
      </c>
      <c r="AB617" s="4">
        <f t="shared" si="338"/>
        <v>210000</v>
      </c>
      <c r="AC617" s="4" t="s">
        <v>5</v>
      </c>
      <c r="AD617" s="16">
        <f>IFERROR(VLOOKUP(AC617,'Kode Diskon'!$C$2:$D$9,2,0),0)</f>
        <v>0.1</v>
      </c>
      <c r="AE617" s="31">
        <f t="shared" si="339"/>
        <v>56000</v>
      </c>
      <c r="AF617" s="31">
        <f t="shared" si="340"/>
        <v>504000</v>
      </c>
      <c r="AG617" s="31">
        <f t="shared" si="341"/>
        <v>350000</v>
      </c>
      <c r="AH617" s="31">
        <f t="shared" si="342"/>
        <v>294000</v>
      </c>
      <c r="AI617" s="4" t="s">
        <v>28</v>
      </c>
      <c r="AJ617" s="4" t="s">
        <v>6</v>
      </c>
      <c r="AK617" s="4" t="str">
        <f>IFERROR(VLOOKUP(AJ617,'Guide '!$A$13:$B$16,2,0),"-")</f>
        <v>SP</v>
      </c>
      <c r="AL617" s="4" t="s">
        <v>925</v>
      </c>
      <c r="AM617" s="40">
        <v>45515</v>
      </c>
      <c r="AN617">
        <f t="shared" si="343"/>
        <v>29</v>
      </c>
      <c r="AO617">
        <f t="shared" si="344"/>
        <v>32</v>
      </c>
      <c r="AP617">
        <f t="shared" si="345"/>
        <v>40</v>
      </c>
      <c r="AQ617">
        <f t="shared" si="346"/>
        <v>43</v>
      </c>
      <c r="AR617" s="26" t="str">
        <f t="shared" si="347"/>
        <v>-</v>
      </c>
      <c r="AS617" s="26" t="str">
        <f t="shared" si="348"/>
        <v>-</v>
      </c>
      <c r="AT617" s="21">
        <f t="shared" si="349"/>
        <v>12</v>
      </c>
      <c r="AU617" s="21">
        <f t="shared" si="350"/>
        <v>19</v>
      </c>
      <c r="AV617" t="str">
        <f t="shared" si="351"/>
        <v>-</v>
      </c>
      <c r="AW617" t="str">
        <f t="shared" si="352"/>
        <v>-</v>
      </c>
      <c r="AX617" t="str">
        <f t="shared" si="353"/>
        <v>-</v>
      </c>
      <c r="AY617" t="str">
        <f t="shared" si="354"/>
        <v>-</v>
      </c>
      <c r="AZ617" t="str">
        <f t="shared" si="355"/>
        <v>-</v>
      </c>
      <c r="BA617" t="str">
        <f t="shared" si="356"/>
        <v>-</v>
      </c>
      <c r="BB617" t="str">
        <f t="shared" si="357"/>
        <v>-</v>
      </c>
      <c r="BC617" t="str">
        <f t="shared" si="358"/>
        <v>-</v>
      </c>
      <c r="BD617" s="29" t="str">
        <f t="shared" si="359"/>
        <v>-</v>
      </c>
      <c r="BE617" s="29" t="str">
        <f t="shared" si="360"/>
        <v>-</v>
      </c>
    </row>
    <row r="618" spans="1:57" ht="15" x14ac:dyDescent="0.2">
      <c r="A618" s="2">
        <v>831</v>
      </c>
      <c r="B618" s="2" t="str">
        <f t="shared" si="325"/>
        <v>0831</v>
      </c>
      <c r="C618" t="str">
        <f t="shared" si="326"/>
        <v>ORD-SP-0831-11/08/24</v>
      </c>
      <c r="D618" s="3" t="s">
        <v>790</v>
      </c>
      <c r="E618" t="str">
        <f t="shared" si="327"/>
        <v>SP001</v>
      </c>
      <c r="F618" t="str">
        <f>INDEX(Katalog!$B$4:$B$13,MATCH('Main Data'!E618,Katalog!$C$4:$C$13,0))</f>
        <v>Sneakers</v>
      </c>
      <c r="G618" t="str">
        <f>VLOOKUP(E618,Katalog!$A$15:$B$25,2,0)</f>
        <v>Sepatu Pria</v>
      </c>
      <c r="H618" t="str">
        <f t="shared" si="328"/>
        <v>2</v>
      </c>
      <c r="I618" t="str">
        <f t="shared" si="329"/>
        <v>5</v>
      </c>
      <c r="J618" s="18">
        <f>VLOOKUP(E618,Katalog!$C$3:$F$13,2,0)</f>
        <v>300000</v>
      </c>
      <c r="K618" s="18">
        <f>VLOOKUP(E618,Katalog!$C$3:$F$13,3,0)</f>
        <v>100000</v>
      </c>
      <c r="L618" t="str">
        <f t="shared" si="330"/>
        <v>PU001</v>
      </c>
      <c r="M618" t="str">
        <f>IFERROR(INDEX(Katalog!$B$4:$B$13,MATCH('Main Data'!L618,Katalog!$C$4:$C$13,0)), "-")</f>
        <v>Jaket Hoodie</v>
      </c>
      <c r="N618" t="str">
        <f>IFERROR(VLOOKUP(L618,Katalog!$A$15:$B$25,2,0),"-")</f>
        <v>Pakaian Unisex</v>
      </c>
      <c r="O618" t="str">
        <f t="shared" si="331"/>
        <v>1</v>
      </c>
      <c r="P618" t="str">
        <f t="shared" si="332"/>
        <v>2</v>
      </c>
      <c r="Q618" s="18">
        <f>IFERROR(VLOOKUP(L618,Katalog!$C$3:$F$13,2,0),0)</f>
        <v>160000</v>
      </c>
      <c r="R618" s="18">
        <f>IFERROR(VLOOKUP(L618,Katalog!$C$3:$F$13,3,0),0)</f>
        <v>60000</v>
      </c>
      <c r="S618" t="str">
        <f t="shared" si="333"/>
        <v>PW003</v>
      </c>
      <c r="T618" t="str">
        <f>IFERROR(INDEX(Katalog!$B$4:$B$13,MATCH('Main Data'!S618,Katalog!$C$4:$C$13,0)),"-")</f>
        <v>Kaftan</v>
      </c>
      <c r="U618" t="str">
        <f>IFERROR(VLOOKUP(S618,Katalog!$A$15:$B$25,2,0),"-")</f>
        <v>Pakaian Wanita</v>
      </c>
      <c r="V618" t="str">
        <f t="shared" si="334"/>
        <v>2</v>
      </c>
      <c r="W618" s="28" t="str">
        <f t="shared" si="335"/>
        <v>4</v>
      </c>
      <c r="X618" s="18">
        <f>IFERROR(VLOOKUP(S618,Katalog!$C$3:$F$13,2,0),0)</f>
        <v>200000</v>
      </c>
      <c r="Y618" s="30">
        <f>IFERROR(VLOOKUP(S618,Katalog!$C$3:$F$13,3,0),0)</f>
        <v>100000</v>
      </c>
      <c r="Z618" s="2">
        <f t="shared" si="336"/>
        <v>5</v>
      </c>
      <c r="AA618" s="4">
        <f t="shared" si="337"/>
        <v>1160000</v>
      </c>
      <c r="AB618" s="4">
        <f t="shared" si="338"/>
        <v>460000</v>
      </c>
      <c r="AC618" s="4" t="s">
        <v>7</v>
      </c>
      <c r="AD618" s="16">
        <f>IFERROR(VLOOKUP(AC618,'Kode Diskon'!$C$2:$D$9,2,0),0)</f>
        <v>0.2</v>
      </c>
      <c r="AE618" s="31">
        <f t="shared" si="339"/>
        <v>232000</v>
      </c>
      <c r="AF618" s="31">
        <f t="shared" si="340"/>
        <v>928000</v>
      </c>
      <c r="AG618" s="31">
        <f t="shared" si="341"/>
        <v>700000</v>
      </c>
      <c r="AH618" s="31">
        <f t="shared" si="342"/>
        <v>468000</v>
      </c>
      <c r="AI618" s="4" t="s">
        <v>8</v>
      </c>
      <c r="AJ618" s="4" t="s">
        <v>6</v>
      </c>
      <c r="AK618" s="4" t="str">
        <f>IFERROR(VLOOKUP(AJ618,'Guide '!$A$13:$B$16,2,0),"-")</f>
        <v>SP</v>
      </c>
      <c r="AL618" s="4" t="s">
        <v>925</v>
      </c>
      <c r="AM618" s="40">
        <v>45515</v>
      </c>
      <c r="AN618">
        <f t="shared" si="343"/>
        <v>29</v>
      </c>
      <c r="AO618">
        <f t="shared" si="344"/>
        <v>32</v>
      </c>
      <c r="AP618">
        <f t="shared" si="345"/>
        <v>40</v>
      </c>
      <c r="AQ618">
        <f t="shared" si="346"/>
        <v>43</v>
      </c>
      <c r="AR618" s="26">
        <f t="shared" si="347"/>
        <v>56</v>
      </c>
      <c r="AS618" s="26">
        <f t="shared" si="348"/>
        <v>63</v>
      </c>
      <c r="AT618" s="21">
        <f t="shared" si="349"/>
        <v>12</v>
      </c>
      <c r="AU618" s="21">
        <f t="shared" si="350"/>
        <v>19</v>
      </c>
      <c r="AV618">
        <f t="shared" si="351"/>
        <v>73</v>
      </c>
      <c r="AW618">
        <f t="shared" si="352"/>
        <v>76</v>
      </c>
      <c r="AX618">
        <f t="shared" si="353"/>
        <v>84</v>
      </c>
      <c r="AY618">
        <f t="shared" si="354"/>
        <v>87</v>
      </c>
      <c r="AZ618">
        <f t="shared" si="355"/>
        <v>100</v>
      </c>
      <c r="BA618">
        <f t="shared" si="356"/>
        <v>107</v>
      </c>
      <c r="BB618">
        <f t="shared" si="357"/>
        <v>117</v>
      </c>
      <c r="BC618">
        <f t="shared" si="358"/>
        <v>120</v>
      </c>
      <c r="BD618" s="29">
        <f t="shared" si="359"/>
        <v>128</v>
      </c>
      <c r="BE618" s="29">
        <f t="shared" si="360"/>
        <v>131</v>
      </c>
    </row>
    <row r="619" spans="1:57" ht="15" x14ac:dyDescent="0.2">
      <c r="A619" s="2">
        <v>530</v>
      </c>
      <c r="B619" s="2" t="str">
        <f t="shared" si="325"/>
        <v>0530</v>
      </c>
      <c r="C619" t="str">
        <f t="shared" si="326"/>
        <v>ORD-SP-0530-12/08/24</v>
      </c>
      <c r="D619" s="3" t="s">
        <v>557</v>
      </c>
      <c r="E619" t="str">
        <f t="shared" si="327"/>
        <v>SP001</v>
      </c>
      <c r="F619" t="str">
        <f>INDEX(Katalog!$B$4:$B$13,MATCH('Main Data'!E619,Katalog!$C$4:$C$13,0))</f>
        <v>Sneakers</v>
      </c>
      <c r="G619" t="str">
        <f>VLOOKUP(E619,Katalog!$A$15:$B$25,2,0)</f>
        <v>Sepatu Pria</v>
      </c>
      <c r="H619" t="str">
        <f t="shared" si="328"/>
        <v>2</v>
      </c>
      <c r="I619" t="str">
        <f t="shared" si="329"/>
        <v>4</v>
      </c>
      <c r="J619" s="18">
        <f>VLOOKUP(E619,Katalog!$C$3:$F$13,2,0)</f>
        <v>300000</v>
      </c>
      <c r="K619" s="18">
        <f>VLOOKUP(E619,Katalog!$C$3:$F$13,3,0)</f>
        <v>100000</v>
      </c>
      <c r="L619" t="str">
        <f t="shared" si="330"/>
        <v>PU001</v>
      </c>
      <c r="M619" t="str">
        <f>IFERROR(INDEX(Katalog!$B$4:$B$13,MATCH('Main Data'!L619,Katalog!$C$4:$C$13,0)), "-")</f>
        <v>Jaket Hoodie</v>
      </c>
      <c r="N619" t="str">
        <f>IFERROR(VLOOKUP(L619,Katalog!$A$15:$B$25,2,0),"-")</f>
        <v>Pakaian Unisex</v>
      </c>
      <c r="O619" t="str">
        <f t="shared" si="331"/>
        <v>1</v>
      </c>
      <c r="P619" t="str">
        <f t="shared" si="332"/>
        <v>3</v>
      </c>
      <c r="Q619" s="18">
        <f>IFERROR(VLOOKUP(L619,Katalog!$C$3:$F$13,2,0),0)</f>
        <v>160000</v>
      </c>
      <c r="R619" s="18">
        <f>IFERROR(VLOOKUP(L619,Katalog!$C$3:$F$13,3,0),0)</f>
        <v>60000</v>
      </c>
      <c r="S619" t="str">
        <f t="shared" si="333"/>
        <v>PP002</v>
      </c>
      <c r="T619" t="str">
        <f>IFERROR(INDEX(Katalog!$B$4:$B$13,MATCH('Main Data'!S619,Katalog!$C$4:$C$13,0)),"-")</f>
        <v>Celana Pendek</v>
      </c>
      <c r="U619" t="str">
        <f>IFERROR(VLOOKUP(S619,Katalog!$A$15:$B$25,2,0),"-")</f>
        <v>Pakaian Pria</v>
      </c>
      <c r="V619" t="str">
        <f t="shared" si="334"/>
        <v>4</v>
      </c>
      <c r="W619" s="28" t="str">
        <f t="shared" si="335"/>
        <v>5</v>
      </c>
      <c r="X619" s="18">
        <f>IFERROR(VLOOKUP(S619,Katalog!$C$3:$F$13,2,0),0)</f>
        <v>60000</v>
      </c>
      <c r="Y619" s="30">
        <f>IFERROR(VLOOKUP(S619,Katalog!$C$3:$F$13,3,0),0)</f>
        <v>25000</v>
      </c>
      <c r="Z619" s="2">
        <f t="shared" si="336"/>
        <v>7</v>
      </c>
      <c r="AA619" s="4">
        <f t="shared" si="337"/>
        <v>1000000</v>
      </c>
      <c r="AB619" s="4">
        <f t="shared" si="338"/>
        <v>360000</v>
      </c>
      <c r="AC619" s="4" t="s">
        <v>12</v>
      </c>
      <c r="AD619" s="16">
        <f>IFERROR(VLOOKUP(AC619,'Kode Diskon'!$C$2:$D$9,2,0),0)</f>
        <v>0.15</v>
      </c>
      <c r="AE619" s="31">
        <f t="shared" si="339"/>
        <v>150000</v>
      </c>
      <c r="AF619" s="31">
        <f t="shared" si="340"/>
        <v>850000</v>
      </c>
      <c r="AG619" s="31">
        <f t="shared" si="341"/>
        <v>640000</v>
      </c>
      <c r="AH619" s="31">
        <f t="shared" si="342"/>
        <v>490000</v>
      </c>
      <c r="AI619" s="4" t="s">
        <v>28</v>
      </c>
      <c r="AJ619" s="4" t="s">
        <v>6</v>
      </c>
      <c r="AK619" s="4" t="str">
        <f>IFERROR(VLOOKUP(AJ619,'Guide '!$A$13:$B$16,2,0),"-")</f>
        <v>SP</v>
      </c>
      <c r="AL619" s="4" t="s">
        <v>924</v>
      </c>
      <c r="AM619" s="40">
        <v>45516</v>
      </c>
      <c r="AN619">
        <f t="shared" si="343"/>
        <v>29</v>
      </c>
      <c r="AO619">
        <f t="shared" si="344"/>
        <v>32</v>
      </c>
      <c r="AP619">
        <f t="shared" si="345"/>
        <v>40</v>
      </c>
      <c r="AQ619">
        <f t="shared" si="346"/>
        <v>43</v>
      </c>
      <c r="AR619" s="26">
        <f t="shared" si="347"/>
        <v>56</v>
      </c>
      <c r="AS619" s="26">
        <f t="shared" si="348"/>
        <v>63</v>
      </c>
      <c r="AT619" s="21">
        <f t="shared" si="349"/>
        <v>12</v>
      </c>
      <c r="AU619" s="21">
        <f t="shared" si="350"/>
        <v>19</v>
      </c>
      <c r="AV619">
        <f t="shared" si="351"/>
        <v>73</v>
      </c>
      <c r="AW619">
        <f t="shared" si="352"/>
        <v>76</v>
      </c>
      <c r="AX619">
        <f t="shared" si="353"/>
        <v>84</v>
      </c>
      <c r="AY619">
        <f t="shared" si="354"/>
        <v>87</v>
      </c>
      <c r="AZ619">
        <f t="shared" si="355"/>
        <v>100</v>
      </c>
      <c r="BA619">
        <f t="shared" si="356"/>
        <v>107</v>
      </c>
      <c r="BB619">
        <f t="shared" si="357"/>
        <v>117</v>
      </c>
      <c r="BC619">
        <f t="shared" si="358"/>
        <v>120</v>
      </c>
      <c r="BD619" s="29">
        <f t="shared" si="359"/>
        <v>128</v>
      </c>
      <c r="BE619" s="29">
        <f t="shared" si="360"/>
        <v>131</v>
      </c>
    </row>
    <row r="620" spans="1:57" ht="15" x14ac:dyDescent="0.2">
      <c r="A620" s="2">
        <v>642</v>
      </c>
      <c r="B620" s="2" t="str">
        <f t="shared" si="325"/>
        <v>0642</v>
      </c>
      <c r="C620" t="str">
        <f t="shared" si="326"/>
        <v>ORD-SP-0642-13/08/24</v>
      </c>
      <c r="D620" s="3" t="s">
        <v>390</v>
      </c>
      <c r="E620" t="str">
        <f t="shared" si="327"/>
        <v>SW001</v>
      </c>
      <c r="F620" t="str">
        <f>INDEX(Katalog!$B$4:$B$13,MATCH('Main Data'!E620,Katalog!$C$4:$C$13,0))</f>
        <v>Flat Shoes</v>
      </c>
      <c r="G620" t="str">
        <f>VLOOKUP(E620,Katalog!$A$15:$B$25,2,0)</f>
        <v>Sepatu Wanita</v>
      </c>
      <c r="H620" t="str">
        <f t="shared" si="328"/>
        <v>1</v>
      </c>
      <c r="I620" t="str">
        <f t="shared" si="329"/>
        <v>3</v>
      </c>
      <c r="J620" s="18">
        <f>VLOOKUP(E620,Katalog!$C$3:$F$13,2,0)</f>
        <v>150000</v>
      </c>
      <c r="K620" s="18">
        <f>VLOOKUP(E620,Katalog!$C$3:$F$13,3,0)</f>
        <v>70000</v>
      </c>
      <c r="L620" t="str">
        <f t="shared" si="330"/>
        <v>-</v>
      </c>
      <c r="M620" t="str">
        <f>IFERROR(INDEX(Katalog!$B$4:$B$13,MATCH('Main Data'!L620,Katalog!$C$4:$C$13,0)), "-")</f>
        <v>-</v>
      </c>
      <c r="N620" t="str">
        <f>IFERROR(VLOOKUP(L620,Katalog!$A$15:$B$25,2,0),"-")</f>
        <v>-</v>
      </c>
      <c r="O620">
        <f t="shared" si="331"/>
        <v>0</v>
      </c>
      <c r="P620" t="str">
        <f t="shared" si="332"/>
        <v>-</v>
      </c>
      <c r="Q620" s="18">
        <f>IFERROR(VLOOKUP(L620,Katalog!$C$3:$F$13,2,0),0)</f>
        <v>0</v>
      </c>
      <c r="R620" s="18">
        <f>IFERROR(VLOOKUP(L620,Katalog!$C$3:$F$13,3,0),0)</f>
        <v>0</v>
      </c>
      <c r="S620" t="str">
        <f t="shared" si="333"/>
        <v>-</v>
      </c>
      <c r="T620" t="str">
        <f>IFERROR(INDEX(Katalog!$B$4:$B$13,MATCH('Main Data'!S620,Katalog!$C$4:$C$13,0)),"-")</f>
        <v>-</v>
      </c>
      <c r="U620" t="str">
        <f>IFERROR(VLOOKUP(S620,Katalog!$A$15:$B$25,2,0),"-")</f>
        <v>-</v>
      </c>
      <c r="V620">
        <f t="shared" si="334"/>
        <v>0</v>
      </c>
      <c r="W620" s="28" t="str">
        <f t="shared" si="335"/>
        <v>-</v>
      </c>
      <c r="X620" s="18">
        <f>IFERROR(VLOOKUP(S620,Katalog!$C$3:$F$13,2,0),0)</f>
        <v>0</v>
      </c>
      <c r="Y620" s="30">
        <f>IFERROR(VLOOKUP(S620,Katalog!$C$3:$F$13,3,0),0)</f>
        <v>0</v>
      </c>
      <c r="Z620" s="2">
        <f t="shared" si="336"/>
        <v>1</v>
      </c>
      <c r="AA620" s="4">
        <f t="shared" si="337"/>
        <v>150000</v>
      </c>
      <c r="AB620" s="4">
        <f t="shared" si="338"/>
        <v>70000</v>
      </c>
      <c r="AC620" s="4" t="s">
        <v>5</v>
      </c>
      <c r="AD620" s="16">
        <f>IFERROR(VLOOKUP(AC620,'Kode Diskon'!$C$2:$D$9,2,0),0)</f>
        <v>0.1</v>
      </c>
      <c r="AE620" s="31">
        <f t="shared" si="339"/>
        <v>15000</v>
      </c>
      <c r="AF620" s="31">
        <f t="shared" si="340"/>
        <v>135000</v>
      </c>
      <c r="AG620" s="31">
        <f t="shared" si="341"/>
        <v>80000</v>
      </c>
      <c r="AH620" s="31">
        <f t="shared" si="342"/>
        <v>65000</v>
      </c>
      <c r="AI620" s="4" t="s">
        <v>28</v>
      </c>
      <c r="AJ620" s="4" t="s">
        <v>6</v>
      </c>
      <c r="AK620" s="4" t="str">
        <f>IFERROR(VLOOKUP(AJ620,'Guide '!$A$13:$B$16,2,0),"-")</f>
        <v>SP</v>
      </c>
      <c r="AL620" s="4" t="s">
        <v>922</v>
      </c>
      <c r="AM620" s="40">
        <v>45517</v>
      </c>
      <c r="AN620">
        <f t="shared" si="343"/>
        <v>29</v>
      </c>
      <c r="AO620">
        <f t="shared" si="344"/>
        <v>32</v>
      </c>
      <c r="AP620">
        <f t="shared" si="345"/>
        <v>40</v>
      </c>
      <c r="AQ620">
        <f t="shared" si="346"/>
        <v>43</v>
      </c>
      <c r="AR620" s="26" t="str">
        <f t="shared" si="347"/>
        <v>-</v>
      </c>
      <c r="AS620" s="26" t="str">
        <f t="shared" si="348"/>
        <v>-</v>
      </c>
      <c r="AT620" s="21">
        <f t="shared" si="349"/>
        <v>12</v>
      </c>
      <c r="AU620" s="21">
        <f t="shared" si="350"/>
        <v>19</v>
      </c>
      <c r="AV620" t="str">
        <f t="shared" si="351"/>
        <v>-</v>
      </c>
      <c r="AW620" t="str">
        <f t="shared" si="352"/>
        <v>-</v>
      </c>
      <c r="AX620" t="str">
        <f t="shared" si="353"/>
        <v>-</v>
      </c>
      <c r="AY620" t="str">
        <f t="shared" si="354"/>
        <v>-</v>
      </c>
      <c r="AZ620" t="str">
        <f t="shared" si="355"/>
        <v>-</v>
      </c>
      <c r="BA620" t="str">
        <f t="shared" si="356"/>
        <v>-</v>
      </c>
      <c r="BB620" t="str">
        <f t="shared" si="357"/>
        <v>-</v>
      </c>
      <c r="BC620" t="str">
        <f t="shared" si="358"/>
        <v>-</v>
      </c>
      <c r="BD620" s="29" t="str">
        <f t="shared" si="359"/>
        <v>-</v>
      </c>
      <c r="BE620" s="29" t="str">
        <f t="shared" si="360"/>
        <v>-</v>
      </c>
    </row>
    <row r="621" spans="1:57" ht="15" x14ac:dyDescent="0.2">
      <c r="A621" s="2">
        <v>16</v>
      </c>
      <c r="B621" s="2" t="str">
        <f t="shared" si="325"/>
        <v>0016</v>
      </c>
      <c r="C621" t="str">
        <f t="shared" si="326"/>
        <v>ORD-SP-0016-14/08/24</v>
      </c>
      <c r="D621" s="3" t="s">
        <v>90</v>
      </c>
      <c r="E621" t="str">
        <f t="shared" si="327"/>
        <v>PP001</v>
      </c>
      <c r="F621" t="str">
        <f>INDEX(Katalog!$B$4:$B$13,MATCH('Main Data'!E621,Katalog!$C$4:$C$13,0))</f>
        <v>Kaos Polo</v>
      </c>
      <c r="G621" t="str">
        <f>VLOOKUP(E621,Katalog!$A$15:$B$25,2,0)</f>
        <v>Pakaian Pria</v>
      </c>
      <c r="H621" t="str">
        <f t="shared" si="328"/>
        <v>1</v>
      </c>
      <c r="I621" t="str">
        <f t="shared" si="329"/>
        <v>1</v>
      </c>
      <c r="J621" s="18">
        <f>VLOOKUP(E621,Katalog!$C$3:$F$13,2,0)</f>
        <v>80000</v>
      </c>
      <c r="K621" s="18">
        <f>VLOOKUP(E621,Katalog!$C$3:$F$13,3,0)</f>
        <v>30000</v>
      </c>
      <c r="L621" t="str">
        <f t="shared" si="330"/>
        <v>-</v>
      </c>
      <c r="M621" t="str">
        <f>IFERROR(INDEX(Katalog!$B$4:$B$13,MATCH('Main Data'!L621,Katalog!$C$4:$C$13,0)), "-")</f>
        <v>-</v>
      </c>
      <c r="N621" t="str">
        <f>IFERROR(VLOOKUP(L621,Katalog!$A$15:$B$25,2,0),"-")</f>
        <v>-</v>
      </c>
      <c r="O621">
        <f t="shared" si="331"/>
        <v>0</v>
      </c>
      <c r="P621" t="str">
        <f t="shared" si="332"/>
        <v>-</v>
      </c>
      <c r="Q621" s="18">
        <f>IFERROR(VLOOKUP(L621,Katalog!$C$3:$F$13,2,0),0)</f>
        <v>0</v>
      </c>
      <c r="R621" s="18">
        <f>IFERROR(VLOOKUP(L621,Katalog!$C$3:$F$13,3,0),0)</f>
        <v>0</v>
      </c>
      <c r="S621" t="str">
        <f t="shared" si="333"/>
        <v>-</v>
      </c>
      <c r="T621" t="str">
        <f>IFERROR(INDEX(Katalog!$B$4:$B$13,MATCH('Main Data'!S621,Katalog!$C$4:$C$13,0)),"-")</f>
        <v>-</v>
      </c>
      <c r="U621" t="str">
        <f>IFERROR(VLOOKUP(S621,Katalog!$A$15:$B$25,2,0),"-")</f>
        <v>-</v>
      </c>
      <c r="V621">
        <f t="shared" si="334"/>
        <v>0</v>
      </c>
      <c r="W621" s="28" t="str">
        <f t="shared" si="335"/>
        <v>-</v>
      </c>
      <c r="X621" s="18">
        <f>IFERROR(VLOOKUP(S621,Katalog!$C$3:$F$13,2,0),0)</f>
        <v>0</v>
      </c>
      <c r="Y621" s="30">
        <f>IFERROR(VLOOKUP(S621,Katalog!$C$3:$F$13,3,0),0)</f>
        <v>0</v>
      </c>
      <c r="Z621" s="2">
        <f t="shared" si="336"/>
        <v>1</v>
      </c>
      <c r="AA621" s="4">
        <f t="shared" si="337"/>
        <v>80000</v>
      </c>
      <c r="AB621" s="4">
        <f t="shared" si="338"/>
        <v>30000</v>
      </c>
      <c r="AC621" s="4" t="s">
        <v>12</v>
      </c>
      <c r="AD621" s="16">
        <f>IFERROR(VLOOKUP(AC621,'Kode Diskon'!$C$2:$D$9,2,0),0)</f>
        <v>0.15</v>
      </c>
      <c r="AE621" s="31">
        <f t="shared" si="339"/>
        <v>12000</v>
      </c>
      <c r="AF621" s="31">
        <f t="shared" si="340"/>
        <v>68000</v>
      </c>
      <c r="AG621" s="31">
        <f t="shared" si="341"/>
        <v>50000</v>
      </c>
      <c r="AH621" s="31">
        <f t="shared" si="342"/>
        <v>38000</v>
      </c>
      <c r="AI621" s="4" t="s">
        <v>28</v>
      </c>
      <c r="AJ621" s="4" t="s">
        <v>6</v>
      </c>
      <c r="AK621" s="4" t="str">
        <f>IFERROR(VLOOKUP(AJ621,'Guide '!$A$13:$B$16,2,0),"-")</f>
        <v>SP</v>
      </c>
      <c r="AL621" s="4" t="s">
        <v>923</v>
      </c>
      <c r="AM621" s="40">
        <v>45518</v>
      </c>
      <c r="AN621">
        <f t="shared" si="343"/>
        <v>29</v>
      </c>
      <c r="AO621">
        <f t="shared" si="344"/>
        <v>32</v>
      </c>
      <c r="AP621">
        <f t="shared" si="345"/>
        <v>40</v>
      </c>
      <c r="AQ621">
        <f t="shared" si="346"/>
        <v>43</v>
      </c>
      <c r="AR621" s="26" t="str">
        <f t="shared" si="347"/>
        <v>-</v>
      </c>
      <c r="AS621" s="26" t="str">
        <f t="shared" si="348"/>
        <v>-</v>
      </c>
      <c r="AT621" s="21">
        <f t="shared" si="349"/>
        <v>12</v>
      </c>
      <c r="AU621" s="21">
        <f t="shared" si="350"/>
        <v>19</v>
      </c>
      <c r="AV621" t="str">
        <f t="shared" si="351"/>
        <v>-</v>
      </c>
      <c r="AW621" t="str">
        <f t="shared" si="352"/>
        <v>-</v>
      </c>
      <c r="AX621" t="str">
        <f t="shared" si="353"/>
        <v>-</v>
      </c>
      <c r="AY621" t="str">
        <f t="shared" si="354"/>
        <v>-</v>
      </c>
      <c r="AZ621" t="str">
        <f t="shared" si="355"/>
        <v>-</v>
      </c>
      <c r="BA621" t="str">
        <f t="shared" si="356"/>
        <v>-</v>
      </c>
      <c r="BB621" t="str">
        <f t="shared" si="357"/>
        <v>-</v>
      </c>
      <c r="BC621" t="str">
        <f t="shared" si="358"/>
        <v>-</v>
      </c>
      <c r="BD621" s="29" t="str">
        <f t="shared" si="359"/>
        <v>-</v>
      </c>
      <c r="BE621" s="29" t="str">
        <f t="shared" si="360"/>
        <v>-</v>
      </c>
    </row>
    <row r="622" spans="1:57" ht="15" x14ac:dyDescent="0.2">
      <c r="A622" s="2">
        <v>137</v>
      </c>
      <c r="B622" s="2" t="str">
        <f t="shared" si="325"/>
        <v>0137</v>
      </c>
      <c r="C622" t="str">
        <f t="shared" si="326"/>
        <v>ORD-BL-0137-14/08/24</v>
      </c>
      <c r="D622" s="3" t="s">
        <v>207</v>
      </c>
      <c r="E622" t="str">
        <f t="shared" si="327"/>
        <v>PP003</v>
      </c>
      <c r="F622" t="str">
        <f>INDEX(Katalog!$B$4:$B$13,MATCH('Main Data'!E622,Katalog!$C$4:$C$13,0))</f>
        <v>Jaket Jeans</v>
      </c>
      <c r="G622" t="str">
        <f>VLOOKUP(E622,Katalog!$A$15:$B$25,2,0)</f>
        <v>Pakaian Pria</v>
      </c>
      <c r="H622" t="str">
        <f t="shared" si="328"/>
        <v>1</v>
      </c>
      <c r="I622" t="str">
        <f t="shared" si="329"/>
        <v>2</v>
      </c>
      <c r="J622" s="18">
        <f>VLOOKUP(E622,Katalog!$C$3:$F$13,2,0)</f>
        <v>150000</v>
      </c>
      <c r="K622" s="18">
        <f>VLOOKUP(E622,Katalog!$C$3:$F$13,3,0)</f>
        <v>70000</v>
      </c>
      <c r="L622" t="str">
        <f t="shared" si="330"/>
        <v>-</v>
      </c>
      <c r="M622" t="str">
        <f>IFERROR(INDEX(Katalog!$B$4:$B$13,MATCH('Main Data'!L622,Katalog!$C$4:$C$13,0)), "-")</f>
        <v>-</v>
      </c>
      <c r="N622" t="str">
        <f>IFERROR(VLOOKUP(L622,Katalog!$A$15:$B$25,2,0),"-")</f>
        <v>-</v>
      </c>
      <c r="O622">
        <f t="shared" si="331"/>
        <v>0</v>
      </c>
      <c r="P622" t="str">
        <f t="shared" si="332"/>
        <v>-</v>
      </c>
      <c r="Q622" s="18">
        <f>IFERROR(VLOOKUP(L622,Katalog!$C$3:$F$13,2,0),0)</f>
        <v>0</v>
      </c>
      <c r="R622" s="18">
        <f>IFERROR(VLOOKUP(L622,Katalog!$C$3:$F$13,3,0),0)</f>
        <v>0</v>
      </c>
      <c r="S622" t="str">
        <f t="shared" si="333"/>
        <v>-</v>
      </c>
      <c r="T622" t="str">
        <f>IFERROR(INDEX(Katalog!$B$4:$B$13,MATCH('Main Data'!S622,Katalog!$C$4:$C$13,0)),"-")</f>
        <v>-</v>
      </c>
      <c r="U622" t="str">
        <f>IFERROR(VLOOKUP(S622,Katalog!$A$15:$B$25,2,0),"-")</f>
        <v>-</v>
      </c>
      <c r="V622">
        <f t="shared" si="334"/>
        <v>0</v>
      </c>
      <c r="W622" s="28" t="str">
        <f t="shared" si="335"/>
        <v>-</v>
      </c>
      <c r="X622" s="18">
        <f>IFERROR(VLOOKUP(S622,Katalog!$C$3:$F$13,2,0),0)</f>
        <v>0</v>
      </c>
      <c r="Y622" s="30">
        <f>IFERROR(VLOOKUP(S622,Katalog!$C$3:$F$13,3,0),0)</f>
        <v>0</v>
      </c>
      <c r="Z622" s="2">
        <f t="shared" si="336"/>
        <v>1</v>
      </c>
      <c r="AA622" s="4">
        <f t="shared" si="337"/>
        <v>150000</v>
      </c>
      <c r="AB622" s="4">
        <f t="shared" si="338"/>
        <v>70000</v>
      </c>
      <c r="AC622" s="4" t="s">
        <v>31</v>
      </c>
      <c r="AD622" s="16">
        <f>IFERROR(VLOOKUP(AC622,'Kode Diskon'!$C$2:$D$9,2,0),0)</f>
        <v>0.15</v>
      </c>
      <c r="AE622" s="31">
        <f t="shared" si="339"/>
        <v>22500</v>
      </c>
      <c r="AF622" s="31">
        <f t="shared" si="340"/>
        <v>127500</v>
      </c>
      <c r="AG622" s="31">
        <f t="shared" si="341"/>
        <v>80000</v>
      </c>
      <c r="AH622" s="31">
        <f t="shared" si="342"/>
        <v>57500</v>
      </c>
      <c r="AI622" s="4" t="s">
        <v>8</v>
      </c>
      <c r="AJ622" s="4" t="s">
        <v>11</v>
      </c>
      <c r="AK622" s="4" t="str">
        <f>IFERROR(VLOOKUP(AJ622,'Guide '!$A$13:$B$16,2,0),"-")</f>
        <v>BL</v>
      </c>
      <c r="AL622" s="4" t="s">
        <v>921</v>
      </c>
      <c r="AM622" s="40">
        <v>45518</v>
      </c>
      <c r="AN622">
        <f t="shared" si="343"/>
        <v>29</v>
      </c>
      <c r="AO622">
        <f t="shared" si="344"/>
        <v>32</v>
      </c>
      <c r="AP622">
        <f t="shared" si="345"/>
        <v>40</v>
      </c>
      <c r="AQ622">
        <f t="shared" si="346"/>
        <v>43</v>
      </c>
      <c r="AR622" s="26" t="str">
        <f t="shared" si="347"/>
        <v>-</v>
      </c>
      <c r="AS622" s="26" t="str">
        <f t="shared" si="348"/>
        <v>-</v>
      </c>
      <c r="AT622" s="21">
        <f t="shared" si="349"/>
        <v>12</v>
      </c>
      <c r="AU622" s="21">
        <f t="shared" si="350"/>
        <v>19</v>
      </c>
      <c r="AV622" t="str">
        <f t="shared" si="351"/>
        <v>-</v>
      </c>
      <c r="AW622" t="str">
        <f t="shared" si="352"/>
        <v>-</v>
      </c>
      <c r="AX622" t="str">
        <f t="shared" si="353"/>
        <v>-</v>
      </c>
      <c r="AY622" t="str">
        <f t="shared" si="354"/>
        <v>-</v>
      </c>
      <c r="AZ622" t="str">
        <f t="shared" si="355"/>
        <v>-</v>
      </c>
      <c r="BA622" t="str">
        <f t="shared" si="356"/>
        <v>-</v>
      </c>
      <c r="BB622" t="str">
        <f t="shared" si="357"/>
        <v>-</v>
      </c>
      <c r="BC622" t="str">
        <f t="shared" si="358"/>
        <v>-</v>
      </c>
      <c r="BD622" s="29" t="str">
        <f t="shared" si="359"/>
        <v>-</v>
      </c>
      <c r="BE622" s="29" t="str">
        <f t="shared" si="360"/>
        <v>-</v>
      </c>
    </row>
    <row r="623" spans="1:57" ht="15" x14ac:dyDescent="0.2">
      <c r="A623" s="2">
        <v>490</v>
      </c>
      <c r="B623" s="2" t="str">
        <f t="shared" si="325"/>
        <v>0490</v>
      </c>
      <c r="C623" t="str">
        <f t="shared" si="326"/>
        <v>ORD-BL-0490-14/08/24</v>
      </c>
      <c r="D623" s="3" t="s">
        <v>521</v>
      </c>
      <c r="E623" t="str">
        <f t="shared" si="327"/>
        <v>SP001</v>
      </c>
      <c r="F623" t="str">
        <f>INDEX(Katalog!$B$4:$B$13,MATCH('Main Data'!E623,Katalog!$C$4:$C$13,0))</f>
        <v>Sneakers</v>
      </c>
      <c r="G623" t="str">
        <f>VLOOKUP(E623,Katalog!$A$15:$B$25,2,0)</f>
        <v>Sepatu Pria</v>
      </c>
      <c r="H623" t="str">
        <f t="shared" si="328"/>
        <v>1</v>
      </c>
      <c r="I623" t="str">
        <f t="shared" si="329"/>
        <v>2</v>
      </c>
      <c r="J623" s="18">
        <f>VLOOKUP(E623,Katalog!$C$3:$F$13,2,0)</f>
        <v>300000</v>
      </c>
      <c r="K623" s="18">
        <f>VLOOKUP(E623,Katalog!$C$3:$F$13,3,0)</f>
        <v>100000</v>
      </c>
      <c r="L623" t="str">
        <f t="shared" si="330"/>
        <v>-</v>
      </c>
      <c r="M623" t="str">
        <f>IFERROR(INDEX(Katalog!$B$4:$B$13,MATCH('Main Data'!L623,Katalog!$C$4:$C$13,0)), "-")</f>
        <v>-</v>
      </c>
      <c r="N623" t="str">
        <f>IFERROR(VLOOKUP(L623,Katalog!$A$15:$B$25,2,0),"-")</f>
        <v>-</v>
      </c>
      <c r="O623">
        <f t="shared" si="331"/>
        <v>0</v>
      </c>
      <c r="P623" t="str">
        <f t="shared" si="332"/>
        <v>-</v>
      </c>
      <c r="Q623" s="18">
        <f>IFERROR(VLOOKUP(L623,Katalog!$C$3:$F$13,2,0),0)</f>
        <v>0</v>
      </c>
      <c r="R623" s="18">
        <f>IFERROR(VLOOKUP(L623,Katalog!$C$3:$F$13,3,0),0)</f>
        <v>0</v>
      </c>
      <c r="S623" t="str">
        <f t="shared" si="333"/>
        <v>-</v>
      </c>
      <c r="T623" t="str">
        <f>IFERROR(INDEX(Katalog!$B$4:$B$13,MATCH('Main Data'!S623,Katalog!$C$4:$C$13,0)),"-")</f>
        <v>-</v>
      </c>
      <c r="U623" t="str">
        <f>IFERROR(VLOOKUP(S623,Katalog!$A$15:$B$25,2,0),"-")</f>
        <v>-</v>
      </c>
      <c r="V623">
        <f t="shared" si="334"/>
        <v>0</v>
      </c>
      <c r="W623" s="28" t="str">
        <f t="shared" si="335"/>
        <v>-</v>
      </c>
      <c r="X623" s="18">
        <f>IFERROR(VLOOKUP(S623,Katalog!$C$3:$F$13,2,0),0)</f>
        <v>0</v>
      </c>
      <c r="Y623" s="30">
        <f>IFERROR(VLOOKUP(S623,Katalog!$C$3:$F$13,3,0),0)</f>
        <v>0</v>
      </c>
      <c r="Z623" s="2">
        <f t="shared" si="336"/>
        <v>1</v>
      </c>
      <c r="AA623" s="4">
        <f t="shared" si="337"/>
        <v>300000</v>
      </c>
      <c r="AB623" s="4">
        <f t="shared" si="338"/>
        <v>100000</v>
      </c>
      <c r="AC623" s="4" t="s">
        <v>31</v>
      </c>
      <c r="AD623" s="16">
        <f>IFERROR(VLOOKUP(AC623,'Kode Diskon'!$C$2:$D$9,2,0),0)</f>
        <v>0.15</v>
      </c>
      <c r="AE623" s="31">
        <f t="shared" si="339"/>
        <v>45000</v>
      </c>
      <c r="AF623" s="31">
        <f t="shared" si="340"/>
        <v>255000</v>
      </c>
      <c r="AG623" s="31">
        <f t="shared" si="341"/>
        <v>200000</v>
      </c>
      <c r="AH623" s="31">
        <f t="shared" si="342"/>
        <v>155000</v>
      </c>
      <c r="AI623" s="4" t="s">
        <v>8</v>
      </c>
      <c r="AJ623" s="4" t="s">
        <v>11</v>
      </c>
      <c r="AK623" s="4" t="str">
        <f>IFERROR(VLOOKUP(AJ623,'Guide '!$A$13:$B$16,2,0),"-")</f>
        <v>BL</v>
      </c>
      <c r="AL623" s="4" t="s">
        <v>922</v>
      </c>
      <c r="AM623" s="40">
        <v>45518</v>
      </c>
      <c r="AN623">
        <f t="shared" si="343"/>
        <v>29</v>
      </c>
      <c r="AO623">
        <f t="shared" si="344"/>
        <v>32</v>
      </c>
      <c r="AP623">
        <f t="shared" si="345"/>
        <v>40</v>
      </c>
      <c r="AQ623">
        <f t="shared" si="346"/>
        <v>43</v>
      </c>
      <c r="AR623" s="26" t="str">
        <f t="shared" si="347"/>
        <v>-</v>
      </c>
      <c r="AS623" s="26" t="str">
        <f t="shared" si="348"/>
        <v>-</v>
      </c>
      <c r="AT623" s="21">
        <f t="shared" si="349"/>
        <v>12</v>
      </c>
      <c r="AU623" s="21">
        <f t="shared" si="350"/>
        <v>19</v>
      </c>
      <c r="AV623" t="str">
        <f t="shared" si="351"/>
        <v>-</v>
      </c>
      <c r="AW623" t="str">
        <f t="shared" si="352"/>
        <v>-</v>
      </c>
      <c r="AX623" t="str">
        <f t="shared" si="353"/>
        <v>-</v>
      </c>
      <c r="AY623" t="str">
        <f t="shared" si="354"/>
        <v>-</v>
      </c>
      <c r="AZ623" t="str">
        <f t="shared" si="355"/>
        <v>-</v>
      </c>
      <c r="BA623" t="str">
        <f t="shared" si="356"/>
        <v>-</v>
      </c>
      <c r="BB623" t="str">
        <f t="shared" si="357"/>
        <v>-</v>
      </c>
      <c r="BC623" t="str">
        <f t="shared" si="358"/>
        <v>-</v>
      </c>
      <c r="BD623" s="29" t="str">
        <f t="shared" si="359"/>
        <v>-</v>
      </c>
      <c r="BE623" s="29" t="str">
        <f t="shared" si="360"/>
        <v>-</v>
      </c>
    </row>
    <row r="624" spans="1:57" ht="15" x14ac:dyDescent="0.2">
      <c r="A624" s="2">
        <v>767</v>
      </c>
      <c r="B624" s="2" t="str">
        <f t="shared" si="325"/>
        <v>0767</v>
      </c>
      <c r="C624" t="str">
        <f t="shared" si="326"/>
        <v>ORD-TK-0767-14/08/24</v>
      </c>
      <c r="D624" s="3" t="s">
        <v>745</v>
      </c>
      <c r="E624" t="str">
        <f t="shared" si="327"/>
        <v>PW001</v>
      </c>
      <c r="F624" t="str">
        <f>INDEX(Katalog!$B$4:$B$13,MATCH('Main Data'!E624,Katalog!$C$4:$C$13,0))</f>
        <v>Dress</v>
      </c>
      <c r="G624" t="str">
        <f>VLOOKUP(E624,Katalog!$A$15:$B$25,2,0)</f>
        <v>Pakaian Wanita</v>
      </c>
      <c r="H624" t="str">
        <f t="shared" si="328"/>
        <v>1</v>
      </c>
      <c r="I624" t="str">
        <f t="shared" si="329"/>
        <v>2</v>
      </c>
      <c r="J624" s="18">
        <f>VLOOKUP(E624,Katalog!$C$3:$F$13,2,0)</f>
        <v>150000</v>
      </c>
      <c r="K624" s="18">
        <f>VLOOKUP(E624,Katalog!$C$3:$F$13,3,0)</f>
        <v>55000</v>
      </c>
      <c r="L624" t="str">
        <f t="shared" si="330"/>
        <v>PP003</v>
      </c>
      <c r="M624" t="str">
        <f>IFERROR(INDEX(Katalog!$B$4:$B$13,MATCH('Main Data'!L624,Katalog!$C$4:$C$13,0)), "-")</f>
        <v>Jaket Jeans</v>
      </c>
      <c r="N624" t="str">
        <f>IFERROR(VLOOKUP(L624,Katalog!$A$15:$B$25,2,0),"-")</f>
        <v>Pakaian Pria</v>
      </c>
      <c r="O624" t="str">
        <f t="shared" si="331"/>
        <v>1</v>
      </c>
      <c r="P624" t="str">
        <f t="shared" si="332"/>
        <v>1</v>
      </c>
      <c r="Q624" s="18">
        <f>IFERROR(VLOOKUP(L624,Katalog!$C$3:$F$13,2,0),0)</f>
        <v>150000</v>
      </c>
      <c r="R624" s="18">
        <f>IFERROR(VLOOKUP(L624,Katalog!$C$3:$F$13,3,0),0)</f>
        <v>70000</v>
      </c>
      <c r="S624" t="str">
        <f t="shared" si="333"/>
        <v>-</v>
      </c>
      <c r="T624" t="str">
        <f>IFERROR(INDEX(Katalog!$B$4:$B$13,MATCH('Main Data'!S624,Katalog!$C$4:$C$13,0)),"-")</f>
        <v>-</v>
      </c>
      <c r="U624" t="str">
        <f>IFERROR(VLOOKUP(S624,Katalog!$A$15:$B$25,2,0),"-")</f>
        <v>-</v>
      </c>
      <c r="V624">
        <f t="shared" si="334"/>
        <v>0</v>
      </c>
      <c r="W624" s="28" t="str">
        <f t="shared" si="335"/>
        <v>-</v>
      </c>
      <c r="X624" s="18">
        <f>IFERROR(VLOOKUP(S624,Katalog!$C$3:$F$13,2,0),0)</f>
        <v>0</v>
      </c>
      <c r="Y624" s="30">
        <f>IFERROR(VLOOKUP(S624,Katalog!$C$3:$F$13,3,0),0)</f>
        <v>0</v>
      </c>
      <c r="Z624" s="2">
        <f t="shared" si="336"/>
        <v>2</v>
      </c>
      <c r="AA624" s="4">
        <f t="shared" si="337"/>
        <v>300000</v>
      </c>
      <c r="AB624" s="4">
        <f t="shared" si="338"/>
        <v>125000</v>
      </c>
      <c r="AC624" s="4" t="s">
        <v>30</v>
      </c>
      <c r="AD624" s="16">
        <f>IFERROR(VLOOKUP(AC624,'Kode Diskon'!$C$2:$D$9,2,0),0)</f>
        <v>0.1</v>
      </c>
      <c r="AE624" s="31">
        <f t="shared" si="339"/>
        <v>30000</v>
      </c>
      <c r="AF624" s="31">
        <f t="shared" si="340"/>
        <v>270000</v>
      </c>
      <c r="AG624" s="31">
        <f t="shared" si="341"/>
        <v>175000</v>
      </c>
      <c r="AH624" s="31">
        <f t="shared" si="342"/>
        <v>145000</v>
      </c>
      <c r="AI624" s="4" t="s">
        <v>8</v>
      </c>
      <c r="AJ624" s="4" t="s">
        <v>9</v>
      </c>
      <c r="AK624" s="4" t="str">
        <f>IFERROR(VLOOKUP(AJ624,'Guide '!$A$13:$B$16,2,0),"-")</f>
        <v>TK</v>
      </c>
      <c r="AL624" s="4" t="s">
        <v>922</v>
      </c>
      <c r="AM624" s="40">
        <v>45518</v>
      </c>
      <c r="AN624">
        <f t="shared" si="343"/>
        <v>29</v>
      </c>
      <c r="AO624">
        <f t="shared" si="344"/>
        <v>32</v>
      </c>
      <c r="AP624">
        <f t="shared" si="345"/>
        <v>40</v>
      </c>
      <c r="AQ624">
        <f t="shared" si="346"/>
        <v>43</v>
      </c>
      <c r="AR624" s="26">
        <f t="shared" si="347"/>
        <v>56</v>
      </c>
      <c r="AS624" s="26">
        <f t="shared" si="348"/>
        <v>63</v>
      </c>
      <c r="AT624" s="21">
        <f t="shared" si="349"/>
        <v>12</v>
      </c>
      <c r="AU624" s="21">
        <f t="shared" si="350"/>
        <v>19</v>
      </c>
      <c r="AV624">
        <f t="shared" si="351"/>
        <v>73</v>
      </c>
      <c r="AW624">
        <f t="shared" si="352"/>
        <v>76</v>
      </c>
      <c r="AX624">
        <f t="shared" si="353"/>
        <v>84</v>
      </c>
      <c r="AY624">
        <f t="shared" si="354"/>
        <v>87</v>
      </c>
      <c r="AZ624" t="str">
        <f t="shared" si="355"/>
        <v>-</v>
      </c>
      <c r="BA624" t="str">
        <f t="shared" si="356"/>
        <v>-</v>
      </c>
      <c r="BB624" t="str">
        <f t="shared" si="357"/>
        <v>-</v>
      </c>
      <c r="BC624" t="str">
        <f t="shared" si="358"/>
        <v>-</v>
      </c>
      <c r="BD624" s="29" t="str">
        <f t="shared" si="359"/>
        <v>-</v>
      </c>
      <c r="BE624" s="29" t="str">
        <f t="shared" si="360"/>
        <v>-</v>
      </c>
    </row>
    <row r="625" spans="1:57" ht="15" x14ac:dyDescent="0.2">
      <c r="A625" s="2">
        <v>154</v>
      </c>
      <c r="B625" s="2" t="str">
        <f t="shared" si="325"/>
        <v>0154</v>
      </c>
      <c r="C625" t="str">
        <f t="shared" si="326"/>
        <v>ORD-SP-0154-15/08/24</v>
      </c>
      <c r="D625" s="3" t="s">
        <v>224</v>
      </c>
      <c r="E625" t="str">
        <f t="shared" si="327"/>
        <v>PP001</v>
      </c>
      <c r="F625" t="str">
        <f>INDEX(Katalog!$B$4:$B$13,MATCH('Main Data'!E625,Katalog!$C$4:$C$13,0))</f>
        <v>Kaos Polo</v>
      </c>
      <c r="G625" t="str">
        <f>VLOOKUP(E625,Katalog!$A$15:$B$25,2,0)</f>
        <v>Pakaian Pria</v>
      </c>
      <c r="H625" t="str">
        <f t="shared" si="328"/>
        <v>7</v>
      </c>
      <c r="I625" t="str">
        <f t="shared" si="329"/>
        <v>1</v>
      </c>
      <c r="J625" s="18">
        <f>VLOOKUP(E625,Katalog!$C$3:$F$13,2,0)</f>
        <v>80000</v>
      </c>
      <c r="K625" s="18">
        <f>VLOOKUP(E625,Katalog!$C$3:$F$13,3,0)</f>
        <v>30000</v>
      </c>
      <c r="L625" t="str">
        <f t="shared" si="330"/>
        <v>-</v>
      </c>
      <c r="M625" t="str">
        <f>IFERROR(INDEX(Katalog!$B$4:$B$13,MATCH('Main Data'!L625,Katalog!$C$4:$C$13,0)), "-")</f>
        <v>-</v>
      </c>
      <c r="N625" t="str">
        <f>IFERROR(VLOOKUP(L625,Katalog!$A$15:$B$25,2,0),"-")</f>
        <v>-</v>
      </c>
      <c r="O625">
        <f t="shared" si="331"/>
        <v>0</v>
      </c>
      <c r="P625" t="str">
        <f t="shared" si="332"/>
        <v>-</v>
      </c>
      <c r="Q625" s="18">
        <f>IFERROR(VLOOKUP(L625,Katalog!$C$3:$F$13,2,0),0)</f>
        <v>0</v>
      </c>
      <c r="R625" s="18">
        <f>IFERROR(VLOOKUP(L625,Katalog!$C$3:$F$13,3,0),0)</f>
        <v>0</v>
      </c>
      <c r="S625" t="str">
        <f t="shared" si="333"/>
        <v>-</v>
      </c>
      <c r="T625" t="str">
        <f>IFERROR(INDEX(Katalog!$B$4:$B$13,MATCH('Main Data'!S625,Katalog!$C$4:$C$13,0)),"-")</f>
        <v>-</v>
      </c>
      <c r="U625" t="str">
        <f>IFERROR(VLOOKUP(S625,Katalog!$A$15:$B$25,2,0),"-")</f>
        <v>-</v>
      </c>
      <c r="V625">
        <f t="shared" si="334"/>
        <v>0</v>
      </c>
      <c r="W625" s="28" t="str">
        <f t="shared" si="335"/>
        <v>-</v>
      </c>
      <c r="X625" s="18">
        <f>IFERROR(VLOOKUP(S625,Katalog!$C$3:$F$13,2,0),0)</f>
        <v>0</v>
      </c>
      <c r="Y625" s="30">
        <f>IFERROR(VLOOKUP(S625,Katalog!$C$3:$F$13,3,0),0)</f>
        <v>0</v>
      </c>
      <c r="Z625" s="2">
        <f t="shared" si="336"/>
        <v>7</v>
      </c>
      <c r="AA625" s="4">
        <f t="shared" si="337"/>
        <v>560000</v>
      </c>
      <c r="AB625" s="4">
        <f t="shared" si="338"/>
        <v>210000</v>
      </c>
      <c r="AC625" s="4" t="s">
        <v>10</v>
      </c>
      <c r="AD625" s="16">
        <f>IFERROR(VLOOKUP(AC625,'Kode Diskon'!$C$2:$D$9,2,0),0)</f>
        <v>0</v>
      </c>
      <c r="AE625" s="31">
        <f t="shared" si="339"/>
        <v>0</v>
      </c>
      <c r="AF625" s="31">
        <f t="shared" si="340"/>
        <v>560000</v>
      </c>
      <c r="AG625" s="31">
        <f t="shared" si="341"/>
        <v>350000</v>
      </c>
      <c r="AH625" s="31">
        <f t="shared" si="342"/>
        <v>350000</v>
      </c>
      <c r="AI625" s="4" t="s">
        <v>10</v>
      </c>
      <c r="AJ625" s="4" t="s">
        <v>6</v>
      </c>
      <c r="AK625" s="4" t="str">
        <f>IFERROR(VLOOKUP(AJ625,'Guide '!$A$13:$B$16,2,0),"-")</f>
        <v>SP</v>
      </c>
      <c r="AL625" s="4" t="s">
        <v>922</v>
      </c>
      <c r="AM625" s="40">
        <v>45519</v>
      </c>
      <c r="AN625">
        <f t="shared" si="343"/>
        <v>29</v>
      </c>
      <c r="AO625">
        <f t="shared" si="344"/>
        <v>32</v>
      </c>
      <c r="AP625">
        <f t="shared" si="345"/>
        <v>40</v>
      </c>
      <c r="AQ625">
        <f t="shared" si="346"/>
        <v>43</v>
      </c>
      <c r="AR625" s="26" t="str">
        <f t="shared" si="347"/>
        <v>-</v>
      </c>
      <c r="AS625" s="26" t="str">
        <f t="shared" si="348"/>
        <v>-</v>
      </c>
      <c r="AT625" s="21">
        <f t="shared" si="349"/>
        <v>12</v>
      </c>
      <c r="AU625" s="21">
        <f t="shared" si="350"/>
        <v>19</v>
      </c>
      <c r="AV625" t="str">
        <f t="shared" si="351"/>
        <v>-</v>
      </c>
      <c r="AW625" t="str">
        <f t="shared" si="352"/>
        <v>-</v>
      </c>
      <c r="AX625" t="str">
        <f t="shared" si="353"/>
        <v>-</v>
      </c>
      <c r="AY625" t="str">
        <f t="shared" si="354"/>
        <v>-</v>
      </c>
      <c r="AZ625" t="str">
        <f t="shared" si="355"/>
        <v>-</v>
      </c>
      <c r="BA625" t="str">
        <f t="shared" si="356"/>
        <v>-</v>
      </c>
      <c r="BB625" t="str">
        <f t="shared" si="357"/>
        <v>-</v>
      </c>
      <c r="BC625" t="str">
        <f t="shared" si="358"/>
        <v>-</v>
      </c>
      <c r="BD625" s="29" t="str">
        <f t="shared" si="359"/>
        <v>-</v>
      </c>
      <c r="BE625" s="29" t="str">
        <f t="shared" si="360"/>
        <v>-</v>
      </c>
    </row>
    <row r="626" spans="1:57" ht="15" x14ac:dyDescent="0.2">
      <c r="A626" s="2">
        <v>324</v>
      </c>
      <c r="B626" s="2" t="str">
        <f t="shared" si="325"/>
        <v>0324</v>
      </c>
      <c r="C626" t="str">
        <f t="shared" si="326"/>
        <v>ORD-SP-0324-15/08/24</v>
      </c>
      <c r="D626" s="3" t="s">
        <v>378</v>
      </c>
      <c r="E626" t="str">
        <f t="shared" si="327"/>
        <v>PP003</v>
      </c>
      <c r="F626" t="str">
        <f>INDEX(Katalog!$B$4:$B$13,MATCH('Main Data'!E626,Katalog!$C$4:$C$13,0))</f>
        <v>Jaket Jeans</v>
      </c>
      <c r="G626" t="str">
        <f>VLOOKUP(E626,Katalog!$A$15:$B$25,2,0)</f>
        <v>Pakaian Pria</v>
      </c>
      <c r="H626" t="str">
        <f t="shared" si="328"/>
        <v>4</v>
      </c>
      <c r="I626" t="str">
        <f t="shared" si="329"/>
        <v>4</v>
      </c>
      <c r="J626" s="18">
        <f>VLOOKUP(E626,Katalog!$C$3:$F$13,2,0)</f>
        <v>150000</v>
      </c>
      <c r="K626" s="18">
        <f>VLOOKUP(E626,Katalog!$C$3:$F$13,3,0)</f>
        <v>70000</v>
      </c>
      <c r="L626" t="str">
        <f t="shared" si="330"/>
        <v>PW001</v>
      </c>
      <c r="M626" t="str">
        <f>IFERROR(INDEX(Katalog!$B$4:$B$13,MATCH('Main Data'!L626,Katalog!$C$4:$C$13,0)), "-")</f>
        <v>Dress</v>
      </c>
      <c r="N626" t="str">
        <f>IFERROR(VLOOKUP(L626,Katalog!$A$15:$B$25,2,0),"-")</f>
        <v>Pakaian Wanita</v>
      </c>
      <c r="O626" t="str">
        <f t="shared" si="331"/>
        <v>1</v>
      </c>
      <c r="P626" t="str">
        <f t="shared" si="332"/>
        <v>3</v>
      </c>
      <c r="Q626" s="18">
        <f>IFERROR(VLOOKUP(L626,Katalog!$C$3:$F$13,2,0),0)</f>
        <v>150000</v>
      </c>
      <c r="R626" s="18">
        <f>IFERROR(VLOOKUP(L626,Katalog!$C$3:$F$13,3,0),0)</f>
        <v>55000</v>
      </c>
      <c r="S626" t="str">
        <f t="shared" si="333"/>
        <v>SP002</v>
      </c>
      <c r="T626" t="str">
        <f>IFERROR(INDEX(Katalog!$B$4:$B$13,MATCH('Main Data'!S626,Katalog!$C$4:$C$13,0)),"-")</f>
        <v>Sandal Slip On</v>
      </c>
      <c r="U626" t="str">
        <f>IFERROR(VLOOKUP(S626,Katalog!$A$15:$B$25,2,0),"-")</f>
        <v>Sepatu Pria</v>
      </c>
      <c r="V626" t="str">
        <f t="shared" si="334"/>
        <v>2</v>
      </c>
      <c r="W626" s="28" t="str">
        <f t="shared" si="335"/>
        <v>4</v>
      </c>
      <c r="X626" s="18">
        <f>IFERROR(VLOOKUP(S626,Katalog!$C$3:$F$13,2,0),0)</f>
        <v>120000</v>
      </c>
      <c r="Y626" s="30">
        <f>IFERROR(VLOOKUP(S626,Katalog!$C$3:$F$13,3,0),0)</f>
        <v>60000</v>
      </c>
      <c r="Z626" s="2">
        <f t="shared" si="336"/>
        <v>7</v>
      </c>
      <c r="AA626" s="4">
        <f t="shared" si="337"/>
        <v>990000</v>
      </c>
      <c r="AB626" s="4">
        <f t="shared" si="338"/>
        <v>455000</v>
      </c>
      <c r="AC626" s="4" t="s">
        <v>5</v>
      </c>
      <c r="AD626" s="16">
        <f>IFERROR(VLOOKUP(AC626,'Kode Diskon'!$C$2:$D$9,2,0),0)</f>
        <v>0.1</v>
      </c>
      <c r="AE626" s="31">
        <f t="shared" si="339"/>
        <v>99000</v>
      </c>
      <c r="AF626" s="31">
        <f t="shared" si="340"/>
        <v>891000</v>
      </c>
      <c r="AG626" s="31">
        <f t="shared" si="341"/>
        <v>535000</v>
      </c>
      <c r="AH626" s="31">
        <f t="shared" si="342"/>
        <v>436000</v>
      </c>
      <c r="AI626" s="4" t="s">
        <v>28</v>
      </c>
      <c r="AJ626" s="4" t="s">
        <v>6</v>
      </c>
      <c r="AK626" s="4" t="str">
        <f>IFERROR(VLOOKUP(AJ626,'Guide '!$A$13:$B$16,2,0),"-")</f>
        <v>SP</v>
      </c>
      <c r="AL626" s="4" t="s">
        <v>925</v>
      </c>
      <c r="AM626" s="40">
        <v>45519</v>
      </c>
      <c r="AN626">
        <f t="shared" si="343"/>
        <v>29</v>
      </c>
      <c r="AO626">
        <f t="shared" si="344"/>
        <v>32</v>
      </c>
      <c r="AP626">
        <f t="shared" si="345"/>
        <v>40</v>
      </c>
      <c r="AQ626">
        <f t="shared" si="346"/>
        <v>43</v>
      </c>
      <c r="AR626" s="26">
        <f t="shared" si="347"/>
        <v>56</v>
      </c>
      <c r="AS626" s="26">
        <f t="shared" si="348"/>
        <v>63</v>
      </c>
      <c r="AT626" s="21">
        <f t="shared" si="349"/>
        <v>12</v>
      </c>
      <c r="AU626" s="21">
        <f t="shared" si="350"/>
        <v>19</v>
      </c>
      <c r="AV626">
        <f t="shared" si="351"/>
        <v>73</v>
      </c>
      <c r="AW626">
        <f t="shared" si="352"/>
        <v>76</v>
      </c>
      <c r="AX626">
        <f t="shared" si="353"/>
        <v>84</v>
      </c>
      <c r="AY626">
        <f t="shared" si="354"/>
        <v>87</v>
      </c>
      <c r="AZ626">
        <f t="shared" si="355"/>
        <v>100</v>
      </c>
      <c r="BA626">
        <f t="shared" si="356"/>
        <v>107</v>
      </c>
      <c r="BB626">
        <f t="shared" si="357"/>
        <v>117</v>
      </c>
      <c r="BC626">
        <f t="shared" si="358"/>
        <v>120</v>
      </c>
      <c r="BD626" s="29">
        <f t="shared" si="359"/>
        <v>128</v>
      </c>
      <c r="BE626" s="29">
        <f t="shared" si="360"/>
        <v>131</v>
      </c>
    </row>
    <row r="627" spans="1:57" ht="15" x14ac:dyDescent="0.2">
      <c r="A627" s="2">
        <v>606</v>
      </c>
      <c r="B627" s="2" t="str">
        <f t="shared" si="325"/>
        <v>0606</v>
      </c>
      <c r="C627" t="str">
        <f t="shared" si="326"/>
        <v>ORD-BL-0606-15/08/24</v>
      </c>
      <c r="D627" s="3" t="s">
        <v>618</v>
      </c>
      <c r="E627" t="str">
        <f t="shared" si="327"/>
        <v>SP002</v>
      </c>
      <c r="F627" t="str">
        <f>INDEX(Katalog!$B$4:$B$13,MATCH('Main Data'!E627,Katalog!$C$4:$C$13,0))</f>
        <v>Sandal Slip On</v>
      </c>
      <c r="G627" t="str">
        <f>VLOOKUP(E627,Katalog!$A$15:$B$25,2,0)</f>
        <v>Sepatu Pria</v>
      </c>
      <c r="H627" t="str">
        <f t="shared" si="328"/>
        <v>4</v>
      </c>
      <c r="I627" t="str">
        <f t="shared" si="329"/>
        <v>5</v>
      </c>
      <c r="J627" s="18">
        <f>VLOOKUP(E627,Katalog!$C$3:$F$13,2,0)</f>
        <v>120000</v>
      </c>
      <c r="K627" s="18">
        <f>VLOOKUP(E627,Katalog!$C$3:$F$13,3,0)</f>
        <v>60000</v>
      </c>
      <c r="L627" t="str">
        <f t="shared" si="330"/>
        <v>PP002</v>
      </c>
      <c r="M627" t="str">
        <f>IFERROR(INDEX(Katalog!$B$4:$B$13,MATCH('Main Data'!L627,Katalog!$C$4:$C$13,0)), "-")</f>
        <v>Celana Pendek</v>
      </c>
      <c r="N627" t="str">
        <f>IFERROR(VLOOKUP(L627,Katalog!$A$15:$B$25,2,0),"-")</f>
        <v>Pakaian Pria</v>
      </c>
      <c r="O627" t="str">
        <f t="shared" si="331"/>
        <v>3</v>
      </c>
      <c r="P627" t="str">
        <f t="shared" si="332"/>
        <v>1</v>
      </c>
      <c r="Q627" s="18">
        <f>IFERROR(VLOOKUP(L627,Katalog!$C$3:$F$13,2,0),0)</f>
        <v>60000</v>
      </c>
      <c r="R627" s="18">
        <f>IFERROR(VLOOKUP(L627,Katalog!$C$3:$F$13,3,0),0)</f>
        <v>25000</v>
      </c>
      <c r="S627" t="str">
        <f t="shared" si="333"/>
        <v>-</v>
      </c>
      <c r="T627" t="str">
        <f>IFERROR(INDEX(Katalog!$B$4:$B$13,MATCH('Main Data'!S627,Katalog!$C$4:$C$13,0)),"-")</f>
        <v>-</v>
      </c>
      <c r="U627" t="str">
        <f>IFERROR(VLOOKUP(S627,Katalog!$A$15:$B$25,2,0),"-")</f>
        <v>-</v>
      </c>
      <c r="V627">
        <f t="shared" si="334"/>
        <v>0</v>
      </c>
      <c r="W627" s="28" t="str">
        <f t="shared" si="335"/>
        <v>-</v>
      </c>
      <c r="X627" s="18">
        <f>IFERROR(VLOOKUP(S627,Katalog!$C$3:$F$13,2,0),0)</f>
        <v>0</v>
      </c>
      <c r="Y627" s="30">
        <f>IFERROR(VLOOKUP(S627,Katalog!$C$3:$F$13,3,0),0)</f>
        <v>0</v>
      </c>
      <c r="Z627" s="2">
        <f t="shared" si="336"/>
        <v>7</v>
      </c>
      <c r="AA627" s="4">
        <f t="shared" si="337"/>
        <v>660000</v>
      </c>
      <c r="AB627" s="4">
        <f t="shared" si="338"/>
        <v>315000</v>
      </c>
      <c r="AC627" s="4" t="s">
        <v>10</v>
      </c>
      <c r="AD627" s="16">
        <f>IFERROR(VLOOKUP(AC627,'Kode Diskon'!$C$2:$D$9,2,0),0)</f>
        <v>0</v>
      </c>
      <c r="AE627" s="31">
        <f t="shared" si="339"/>
        <v>0</v>
      </c>
      <c r="AF627" s="31">
        <f t="shared" si="340"/>
        <v>660000</v>
      </c>
      <c r="AG627" s="31">
        <f t="shared" si="341"/>
        <v>345000</v>
      </c>
      <c r="AH627" s="31">
        <f t="shared" si="342"/>
        <v>345000</v>
      </c>
      <c r="AI627" s="4" t="s">
        <v>10</v>
      </c>
      <c r="AJ627" s="4" t="s">
        <v>11</v>
      </c>
      <c r="AK627" s="4" t="str">
        <f>IFERROR(VLOOKUP(AJ627,'Guide '!$A$13:$B$16,2,0),"-")</f>
        <v>BL</v>
      </c>
      <c r="AL627" s="4" t="s">
        <v>922</v>
      </c>
      <c r="AM627" s="40">
        <v>45519</v>
      </c>
      <c r="AN627">
        <f t="shared" si="343"/>
        <v>29</v>
      </c>
      <c r="AO627">
        <f t="shared" si="344"/>
        <v>32</v>
      </c>
      <c r="AP627">
        <f t="shared" si="345"/>
        <v>40</v>
      </c>
      <c r="AQ627">
        <f t="shared" si="346"/>
        <v>43</v>
      </c>
      <c r="AR627" s="26">
        <f t="shared" si="347"/>
        <v>56</v>
      </c>
      <c r="AS627" s="26">
        <f t="shared" si="348"/>
        <v>63</v>
      </c>
      <c r="AT627" s="21">
        <f t="shared" si="349"/>
        <v>12</v>
      </c>
      <c r="AU627" s="21">
        <f t="shared" si="350"/>
        <v>19</v>
      </c>
      <c r="AV627">
        <f t="shared" si="351"/>
        <v>73</v>
      </c>
      <c r="AW627">
        <f t="shared" si="352"/>
        <v>76</v>
      </c>
      <c r="AX627">
        <f t="shared" si="353"/>
        <v>84</v>
      </c>
      <c r="AY627">
        <f t="shared" si="354"/>
        <v>87</v>
      </c>
      <c r="AZ627" t="str">
        <f t="shared" si="355"/>
        <v>-</v>
      </c>
      <c r="BA627" t="str">
        <f t="shared" si="356"/>
        <v>-</v>
      </c>
      <c r="BB627" t="str">
        <f t="shared" si="357"/>
        <v>-</v>
      </c>
      <c r="BC627" t="str">
        <f t="shared" si="358"/>
        <v>-</v>
      </c>
      <c r="BD627" s="29" t="str">
        <f t="shared" si="359"/>
        <v>-</v>
      </c>
      <c r="BE627" s="29" t="str">
        <f t="shared" si="360"/>
        <v>-</v>
      </c>
    </row>
    <row r="628" spans="1:57" ht="15" x14ac:dyDescent="0.2">
      <c r="A628" s="2">
        <v>943</v>
      </c>
      <c r="B628" s="2" t="str">
        <f t="shared" si="325"/>
        <v>0943</v>
      </c>
      <c r="C628" t="str">
        <f t="shared" si="326"/>
        <v>ORD-TK-0943-15/08/24</v>
      </c>
      <c r="D628" s="3" t="s">
        <v>875</v>
      </c>
      <c r="E628" t="str">
        <f t="shared" si="327"/>
        <v>PW002</v>
      </c>
      <c r="F628" t="str">
        <f>INDEX(Katalog!$B$4:$B$13,MATCH('Main Data'!E628,Katalog!$C$4:$C$13,0))</f>
        <v>Blouse</v>
      </c>
      <c r="G628" t="str">
        <f>VLOOKUP(E628,Katalog!$A$15:$B$25,2,0)</f>
        <v>Pakaian Wanita</v>
      </c>
      <c r="H628" t="str">
        <f t="shared" si="328"/>
        <v>1</v>
      </c>
      <c r="I628" t="str">
        <f t="shared" si="329"/>
        <v>3</v>
      </c>
      <c r="J628" s="18">
        <f>VLOOKUP(E628,Katalog!$C$3:$F$13,2,0)</f>
        <v>125000</v>
      </c>
      <c r="K628" s="18">
        <f>VLOOKUP(E628,Katalog!$C$3:$F$13,3,0)</f>
        <v>50000</v>
      </c>
      <c r="L628" t="str">
        <f t="shared" si="330"/>
        <v>SW001</v>
      </c>
      <c r="M628" t="str">
        <f>IFERROR(INDEX(Katalog!$B$4:$B$13,MATCH('Main Data'!L628,Katalog!$C$4:$C$13,0)), "-")</f>
        <v>Flat Shoes</v>
      </c>
      <c r="N628" t="str">
        <f>IFERROR(VLOOKUP(L628,Katalog!$A$15:$B$25,2,0),"-")</f>
        <v>Sepatu Wanita</v>
      </c>
      <c r="O628" t="str">
        <f t="shared" si="331"/>
        <v>1</v>
      </c>
      <c r="P628" t="str">
        <f t="shared" si="332"/>
        <v>5</v>
      </c>
      <c r="Q628" s="18">
        <f>IFERROR(VLOOKUP(L628,Katalog!$C$3:$F$13,2,0),0)</f>
        <v>150000</v>
      </c>
      <c r="R628" s="18">
        <f>IFERROR(VLOOKUP(L628,Katalog!$C$3:$F$13,3,0),0)</f>
        <v>70000</v>
      </c>
      <c r="S628" t="str">
        <f t="shared" si="333"/>
        <v>PP002</v>
      </c>
      <c r="T628" t="str">
        <f>IFERROR(INDEX(Katalog!$B$4:$B$13,MATCH('Main Data'!S628,Katalog!$C$4:$C$13,0)),"-")</f>
        <v>Celana Pendek</v>
      </c>
      <c r="U628" t="str">
        <f>IFERROR(VLOOKUP(S628,Katalog!$A$15:$B$25,2,0),"-")</f>
        <v>Pakaian Pria</v>
      </c>
      <c r="V628" t="str">
        <f t="shared" si="334"/>
        <v>1</v>
      </c>
      <c r="W628" s="28" t="str">
        <f t="shared" si="335"/>
        <v>5</v>
      </c>
      <c r="X628" s="18">
        <f>IFERROR(VLOOKUP(S628,Katalog!$C$3:$F$13,2,0),0)</f>
        <v>60000</v>
      </c>
      <c r="Y628" s="30">
        <f>IFERROR(VLOOKUP(S628,Katalog!$C$3:$F$13,3,0),0)</f>
        <v>25000</v>
      </c>
      <c r="Z628" s="2">
        <f t="shared" si="336"/>
        <v>3</v>
      </c>
      <c r="AA628" s="4">
        <f t="shared" si="337"/>
        <v>335000</v>
      </c>
      <c r="AB628" s="4">
        <f t="shared" si="338"/>
        <v>145000</v>
      </c>
      <c r="AC628" s="4" t="s">
        <v>29</v>
      </c>
      <c r="AD628" s="16">
        <f>IFERROR(VLOOKUP(AC628,'Kode Diskon'!$C$2:$D$9,2,0),0)</f>
        <v>0.1</v>
      </c>
      <c r="AE628" s="31">
        <f t="shared" si="339"/>
        <v>33500</v>
      </c>
      <c r="AF628" s="31">
        <f t="shared" si="340"/>
        <v>301500</v>
      </c>
      <c r="AG628" s="31">
        <f t="shared" si="341"/>
        <v>190000</v>
      </c>
      <c r="AH628" s="31">
        <f t="shared" si="342"/>
        <v>156500</v>
      </c>
      <c r="AI628" s="4" t="s">
        <v>28</v>
      </c>
      <c r="AJ628" s="4" t="s">
        <v>9</v>
      </c>
      <c r="AK628" s="4" t="str">
        <f>IFERROR(VLOOKUP(AJ628,'Guide '!$A$13:$B$16,2,0),"-")</f>
        <v>TK</v>
      </c>
      <c r="AL628" s="4" t="s">
        <v>925</v>
      </c>
      <c r="AM628" s="40">
        <v>45519</v>
      </c>
      <c r="AN628">
        <f t="shared" si="343"/>
        <v>29</v>
      </c>
      <c r="AO628">
        <f t="shared" si="344"/>
        <v>32</v>
      </c>
      <c r="AP628">
        <f t="shared" si="345"/>
        <v>40</v>
      </c>
      <c r="AQ628">
        <f t="shared" si="346"/>
        <v>43</v>
      </c>
      <c r="AR628" s="26">
        <f t="shared" si="347"/>
        <v>56</v>
      </c>
      <c r="AS628" s="26">
        <f t="shared" si="348"/>
        <v>63</v>
      </c>
      <c r="AT628" s="21">
        <f t="shared" si="349"/>
        <v>12</v>
      </c>
      <c r="AU628" s="21">
        <f t="shared" si="350"/>
        <v>19</v>
      </c>
      <c r="AV628">
        <f t="shared" si="351"/>
        <v>73</v>
      </c>
      <c r="AW628">
        <f t="shared" si="352"/>
        <v>76</v>
      </c>
      <c r="AX628">
        <f t="shared" si="353"/>
        <v>84</v>
      </c>
      <c r="AY628">
        <f t="shared" si="354"/>
        <v>87</v>
      </c>
      <c r="AZ628">
        <f t="shared" si="355"/>
        <v>100</v>
      </c>
      <c r="BA628">
        <f t="shared" si="356"/>
        <v>107</v>
      </c>
      <c r="BB628">
        <f t="shared" si="357"/>
        <v>117</v>
      </c>
      <c r="BC628">
        <f t="shared" si="358"/>
        <v>120</v>
      </c>
      <c r="BD628" s="29">
        <f t="shared" si="359"/>
        <v>128</v>
      </c>
      <c r="BE628" s="29">
        <f t="shared" si="360"/>
        <v>131</v>
      </c>
    </row>
    <row r="629" spans="1:57" ht="15" x14ac:dyDescent="0.2">
      <c r="A629" s="2">
        <v>803</v>
      </c>
      <c r="B629" s="2" t="str">
        <f t="shared" si="325"/>
        <v>0803</v>
      </c>
      <c r="C629" t="str">
        <f t="shared" si="326"/>
        <v>ORD-SP-0803-16/08/24</v>
      </c>
      <c r="D629" s="3" t="s">
        <v>769</v>
      </c>
      <c r="E629" t="str">
        <f t="shared" si="327"/>
        <v>PW003</v>
      </c>
      <c r="F629" t="str">
        <f>INDEX(Katalog!$B$4:$B$13,MATCH('Main Data'!E629,Katalog!$C$4:$C$13,0))</f>
        <v>Kaftan</v>
      </c>
      <c r="G629" t="str">
        <f>VLOOKUP(E629,Katalog!$A$15:$B$25,2,0)</f>
        <v>Pakaian Wanita</v>
      </c>
      <c r="H629" t="str">
        <f t="shared" si="328"/>
        <v>4</v>
      </c>
      <c r="I629" t="str">
        <f t="shared" si="329"/>
        <v>3</v>
      </c>
      <c r="J629" s="18">
        <f>VLOOKUP(E629,Katalog!$C$3:$F$13,2,0)</f>
        <v>200000</v>
      </c>
      <c r="K629" s="18">
        <f>VLOOKUP(E629,Katalog!$C$3:$F$13,3,0)</f>
        <v>100000</v>
      </c>
      <c r="L629" t="str">
        <f t="shared" si="330"/>
        <v>PU001</v>
      </c>
      <c r="M629" t="str">
        <f>IFERROR(INDEX(Katalog!$B$4:$B$13,MATCH('Main Data'!L629,Katalog!$C$4:$C$13,0)), "-")</f>
        <v>Jaket Hoodie</v>
      </c>
      <c r="N629" t="str">
        <f>IFERROR(VLOOKUP(L629,Katalog!$A$15:$B$25,2,0),"-")</f>
        <v>Pakaian Unisex</v>
      </c>
      <c r="O629" t="str">
        <f t="shared" si="331"/>
        <v>1</v>
      </c>
      <c r="P629" t="str">
        <f t="shared" si="332"/>
        <v>4</v>
      </c>
      <c r="Q629" s="18">
        <f>IFERROR(VLOOKUP(L629,Katalog!$C$3:$F$13,2,0),0)</f>
        <v>160000</v>
      </c>
      <c r="R629" s="18">
        <f>IFERROR(VLOOKUP(L629,Katalog!$C$3:$F$13,3,0),0)</f>
        <v>60000</v>
      </c>
      <c r="S629" t="str">
        <f t="shared" si="333"/>
        <v>-</v>
      </c>
      <c r="T629" t="str">
        <f>IFERROR(INDEX(Katalog!$B$4:$B$13,MATCH('Main Data'!S629,Katalog!$C$4:$C$13,0)),"-")</f>
        <v>-</v>
      </c>
      <c r="U629" t="str">
        <f>IFERROR(VLOOKUP(S629,Katalog!$A$15:$B$25,2,0),"-")</f>
        <v>-</v>
      </c>
      <c r="V629">
        <f t="shared" si="334"/>
        <v>0</v>
      </c>
      <c r="W629" s="28" t="str">
        <f t="shared" si="335"/>
        <v>-</v>
      </c>
      <c r="X629" s="18">
        <f>IFERROR(VLOOKUP(S629,Katalog!$C$3:$F$13,2,0),0)</f>
        <v>0</v>
      </c>
      <c r="Y629" s="30">
        <f>IFERROR(VLOOKUP(S629,Katalog!$C$3:$F$13,3,0),0)</f>
        <v>0</v>
      </c>
      <c r="Z629" s="2">
        <f t="shared" si="336"/>
        <v>5</v>
      </c>
      <c r="AA629" s="4">
        <f t="shared" si="337"/>
        <v>960000</v>
      </c>
      <c r="AB629" s="4">
        <f t="shared" si="338"/>
        <v>460000</v>
      </c>
      <c r="AC629" s="4" t="s">
        <v>7</v>
      </c>
      <c r="AD629" s="16">
        <f>IFERROR(VLOOKUP(AC629,'Kode Diskon'!$C$2:$D$9,2,0),0)</f>
        <v>0.2</v>
      </c>
      <c r="AE629" s="31">
        <f t="shared" si="339"/>
        <v>192000</v>
      </c>
      <c r="AF629" s="31">
        <f t="shared" si="340"/>
        <v>768000</v>
      </c>
      <c r="AG629" s="31">
        <f t="shared" si="341"/>
        <v>500000</v>
      </c>
      <c r="AH629" s="31">
        <f t="shared" si="342"/>
        <v>308000</v>
      </c>
      <c r="AI629" s="4" t="s">
        <v>8</v>
      </c>
      <c r="AJ629" s="4" t="s">
        <v>6</v>
      </c>
      <c r="AK629" s="4" t="str">
        <f>IFERROR(VLOOKUP(AJ629,'Guide '!$A$13:$B$16,2,0),"-")</f>
        <v>SP</v>
      </c>
      <c r="AL629" s="4" t="s">
        <v>1006</v>
      </c>
      <c r="AM629" s="40">
        <v>45520</v>
      </c>
      <c r="AN629">
        <f t="shared" si="343"/>
        <v>29</v>
      </c>
      <c r="AO629">
        <f t="shared" si="344"/>
        <v>32</v>
      </c>
      <c r="AP629">
        <f t="shared" si="345"/>
        <v>40</v>
      </c>
      <c r="AQ629">
        <f t="shared" si="346"/>
        <v>43</v>
      </c>
      <c r="AR629" s="26">
        <f t="shared" si="347"/>
        <v>56</v>
      </c>
      <c r="AS629" s="26">
        <f t="shared" si="348"/>
        <v>63</v>
      </c>
      <c r="AT629" s="21">
        <f t="shared" si="349"/>
        <v>12</v>
      </c>
      <c r="AU629" s="21">
        <f t="shared" si="350"/>
        <v>19</v>
      </c>
      <c r="AV629">
        <f t="shared" si="351"/>
        <v>73</v>
      </c>
      <c r="AW629">
        <f t="shared" si="352"/>
        <v>76</v>
      </c>
      <c r="AX629">
        <f t="shared" si="353"/>
        <v>84</v>
      </c>
      <c r="AY629">
        <f t="shared" si="354"/>
        <v>87</v>
      </c>
      <c r="AZ629" t="str">
        <f t="shared" si="355"/>
        <v>-</v>
      </c>
      <c r="BA629" t="str">
        <f t="shared" si="356"/>
        <v>-</v>
      </c>
      <c r="BB629" t="str">
        <f t="shared" si="357"/>
        <v>-</v>
      </c>
      <c r="BC629" t="str">
        <f t="shared" si="358"/>
        <v>-</v>
      </c>
      <c r="BD629" s="29" t="str">
        <f t="shared" si="359"/>
        <v>-</v>
      </c>
      <c r="BE629" s="29" t="str">
        <f t="shared" si="360"/>
        <v>-</v>
      </c>
    </row>
    <row r="630" spans="1:57" ht="15" x14ac:dyDescent="0.2">
      <c r="A630" s="2">
        <v>809</v>
      </c>
      <c r="B630" s="2" t="str">
        <f t="shared" si="325"/>
        <v>0809</v>
      </c>
      <c r="C630" t="str">
        <f t="shared" si="326"/>
        <v>ORD-SP-0809-16/08/24</v>
      </c>
      <c r="D630" s="3" t="s">
        <v>773</v>
      </c>
      <c r="E630" t="str">
        <f t="shared" si="327"/>
        <v>PP001</v>
      </c>
      <c r="F630" t="str">
        <f>INDEX(Katalog!$B$4:$B$13,MATCH('Main Data'!E630,Katalog!$C$4:$C$13,0))</f>
        <v>Kaos Polo</v>
      </c>
      <c r="G630" t="str">
        <f>VLOOKUP(E630,Katalog!$A$15:$B$25,2,0)</f>
        <v>Pakaian Pria</v>
      </c>
      <c r="H630" t="str">
        <f t="shared" si="328"/>
        <v>1</v>
      </c>
      <c r="I630" t="str">
        <f t="shared" si="329"/>
        <v>3</v>
      </c>
      <c r="J630" s="18">
        <f>VLOOKUP(E630,Katalog!$C$3:$F$13,2,0)</f>
        <v>80000</v>
      </c>
      <c r="K630" s="18">
        <f>VLOOKUP(E630,Katalog!$C$3:$F$13,3,0)</f>
        <v>30000</v>
      </c>
      <c r="L630" t="str">
        <f t="shared" si="330"/>
        <v>PW003</v>
      </c>
      <c r="M630" t="str">
        <f>IFERROR(INDEX(Katalog!$B$4:$B$13,MATCH('Main Data'!L630,Katalog!$C$4:$C$13,0)), "-")</f>
        <v>Kaftan</v>
      </c>
      <c r="N630" t="str">
        <f>IFERROR(VLOOKUP(L630,Katalog!$A$15:$B$25,2,0),"-")</f>
        <v>Pakaian Wanita</v>
      </c>
      <c r="O630" t="str">
        <f t="shared" si="331"/>
        <v>2</v>
      </c>
      <c r="P630" t="str">
        <f t="shared" si="332"/>
        <v>5</v>
      </c>
      <c r="Q630" s="18">
        <f>IFERROR(VLOOKUP(L630,Katalog!$C$3:$F$13,2,0),0)</f>
        <v>200000</v>
      </c>
      <c r="R630" s="18">
        <f>IFERROR(VLOOKUP(L630,Katalog!$C$3:$F$13,3,0),0)</f>
        <v>100000</v>
      </c>
      <c r="S630" t="str">
        <f t="shared" si="333"/>
        <v>PU001</v>
      </c>
      <c r="T630" t="str">
        <f>IFERROR(INDEX(Katalog!$B$4:$B$13,MATCH('Main Data'!S630,Katalog!$C$4:$C$13,0)),"-")</f>
        <v>Jaket Hoodie</v>
      </c>
      <c r="U630" t="str">
        <f>IFERROR(VLOOKUP(S630,Katalog!$A$15:$B$25,2,0),"-")</f>
        <v>Pakaian Unisex</v>
      </c>
      <c r="V630" t="str">
        <f t="shared" si="334"/>
        <v>2</v>
      </c>
      <c r="W630" s="28" t="str">
        <f t="shared" si="335"/>
        <v>2</v>
      </c>
      <c r="X630" s="18">
        <f>IFERROR(VLOOKUP(S630,Katalog!$C$3:$F$13,2,0),0)</f>
        <v>160000</v>
      </c>
      <c r="Y630" s="30">
        <f>IFERROR(VLOOKUP(S630,Katalog!$C$3:$F$13,3,0),0)</f>
        <v>60000</v>
      </c>
      <c r="Z630" s="2">
        <f t="shared" si="336"/>
        <v>5</v>
      </c>
      <c r="AA630" s="4">
        <f t="shared" si="337"/>
        <v>800000</v>
      </c>
      <c r="AB630" s="4">
        <f t="shared" si="338"/>
        <v>350000</v>
      </c>
      <c r="AC630" s="4" t="s">
        <v>12</v>
      </c>
      <c r="AD630" s="16">
        <f>IFERROR(VLOOKUP(AC630,'Kode Diskon'!$C$2:$D$9,2,0),0)</f>
        <v>0.15</v>
      </c>
      <c r="AE630" s="31">
        <f t="shared" si="339"/>
        <v>120000</v>
      </c>
      <c r="AF630" s="31">
        <f t="shared" si="340"/>
        <v>680000</v>
      </c>
      <c r="AG630" s="31">
        <f t="shared" si="341"/>
        <v>450000</v>
      </c>
      <c r="AH630" s="31">
        <f t="shared" si="342"/>
        <v>330000</v>
      </c>
      <c r="AI630" s="4" t="s">
        <v>28</v>
      </c>
      <c r="AJ630" s="4" t="s">
        <v>6</v>
      </c>
      <c r="AK630" s="4" t="str">
        <f>IFERROR(VLOOKUP(AJ630,'Guide '!$A$13:$B$16,2,0),"-")</f>
        <v>SP</v>
      </c>
      <c r="AL630" s="4" t="s">
        <v>924</v>
      </c>
      <c r="AM630" s="40">
        <v>45520</v>
      </c>
      <c r="AN630">
        <f t="shared" si="343"/>
        <v>29</v>
      </c>
      <c r="AO630">
        <f t="shared" si="344"/>
        <v>32</v>
      </c>
      <c r="AP630">
        <f t="shared" si="345"/>
        <v>40</v>
      </c>
      <c r="AQ630">
        <f t="shared" si="346"/>
        <v>43</v>
      </c>
      <c r="AR630" s="26">
        <f t="shared" si="347"/>
        <v>56</v>
      </c>
      <c r="AS630" s="26">
        <f t="shared" si="348"/>
        <v>63</v>
      </c>
      <c r="AT630" s="21">
        <f t="shared" si="349"/>
        <v>12</v>
      </c>
      <c r="AU630" s="21">
        <f t="shared" si="350"/>
        <v>19</v>
      </c>
      <c r="AV630">
        <f t="shared" si="351"/>
        <v>73</v>
      </c>
      <c r="AW630">
        <f t="shared" si="352"/>
        <v>76</v>
      </c>
      <c r="AX630">
        <f t="shared" si="353"/>
        <v>84</v>
      </c>
      <c r="AY630">
        <f t="shared" si="354"/>
        <v>87</v>
      </c>
      <c r="AZ630">
        <f t="shared" si="355"/>
        <v>100</v>
      </c>
      <c r="BA630">
        <f t="shared" si="356"/>
        <v>107</v>
      </c>
      <c r="BB630">
        <f t="shared" si="357"/>
        <v>117</v>
      </c>
      <c r="BC630">
        <f t="shared" si="358"/>
        <v>120</v>
      </c>
      <c r="BD630" s="29">
        <f t="shared" si="359"/>
        <v>128</v>
      </c>
      <c r="BE630" s="29">
        <f t="shared" si="360"/>
        <v>131</v>
      </c>
    </row>
    <row r="631" spans="1:57" ht="15" x14ac:dyDescent="0.2">
      <c r="A631" s="2">
        <v>358</v>
      </c>
      <c r="B631" s="2" t="str">
        <f t="shared" si="325"/>
        <v>0358</v>
      </c>
      <c r="C631" t="str">
        <f t="shared" si="326"/>
        <v>ORD-BB-0358-17/08/24</v>
      </c>
      <c r="D631" s="3" t="s">
        <v>409</v>
      </c>
      <c r="E631" t="str">
        <f t="shared" si="327"/>
        <v>SW001</v>
      </c>
      <c r="F631" t="str">
        <f>INDEX(Katalog!$B$4:$B$13,MATCH('Main Data'!E631,Katalog!$C$4:$C$13,0))</f>
        <v>Flat Shoes</v>
      </c>
      <c r="G631" t="str">
        <f>VLOOKUP(E631,Katalog!$A$15:$B$25,2,0)</f>
        <v>Sepatu Wanita</v>
      </c>
      <c r="H631" t="str">
        <f t="shared" si="328"/>
        <v>1</v>
      </c>
      <c r="I631" t="str">
        <f t="shared" si="329"/>
        <v>2</v>
      </c>
      <c r="J631" s="18">
        <f>VLOOKUP(E631,Katalog!$C$3:$F$13,2,0)</f>
        <v>150000</v>
      </c>
      <c r="K631" s="18">
        <f>VLOOKUP(E631,Katalog!$C$3:$F$13,3,0)</f>
        <v>70000</v>
      </c>
      <c r="L631" t="str">
        <f t="shared" si="330"/>
        <v>PW001</v>
      </c>
      <c r="M631" t="str">
        <f>IFERROR(INDEX(Katalog!$B$4:$B$13,MATCH('Main Data'!L631,Katalog!$C$4:$C$13,0)), "-")</f>
        <v>Dress</v>
      </c>
      <c r="N631" t="str">
        <f>IFERROR(VLOOKUP(L631,Katalog!$A$15:$B$25,2,0),"-")</f>
        <v>Pakaian Wanita</v>
      </c>
      <c r="O631" t="str">
        <f t="shared" si="331"/>
        <v>1</v>
      </c>
      <c r="P631" t="str">
        <f t="shared" si="332"/>
        <v>1</v>
      </c>
      <c r="Q631" s="18">
        <f>IFERROR(VLOOKUP(L631,Katalog!$C$3:$F$13,2,0),0)</f>
        <v>150000</v>
      </c>
      <c r="R631" s="18">
        <f>IFERROR(VLOOKUP(L631,Katalog!$C$3:$F$13,3,0),0)</f>
        <v>55000</v>
      </c>
      <c r="S631" t="str">
        <f t="shared" si="333"/>
        <v>PW003</v>
      </c>
      <c r="T631" t="str">
        <f>IFERROR(INDEX(Katalog!$B$4:$B$13,MATCH('Main Data'!S631,Katalog!$C$4:$C$13,0)),"-")</f>
        <v>Kaftan</v>
      </c>
      <c r="U631" t="str">
        <f>IFERROR(VLOOKUP(S631,Katalog!$A$15:$B$25,2,0),"-")</f>
        <v>Pakaian Wanita</v>
      </c>
      <c r="V631" t="str">
        <f t="shared" si="334"/>
        <v>2</v>
      </c>
      <c r="W631" s="28" t="str">
        <f t="shared" si="335"/>
        <v>3</v>
      </c>
      <c r="X631" s="18">
        <f>IFERROR(VLOOKUP(S631,Katalog!$C$3:$F$13,2,0),0)</f>
        <v>200000</v>
      </c>
      <c r="Y631" s="30">
        <f>IFERROR(VLOOKUP(S631,Katalog!$C$3:$F$13,3,0),0)</f>
        <v>100000</v>
      </c>
      <c r="Z631" s="2">
        <f t="shared" si="336"/>
        <v>4</v>
      </c>
      <c r="AA631" s="4">
        <f t="shared" si="337"/>
        <v>700000</v>
      </c>
      <c r="AB631" s="4">
        <f t="shared" si="338"/>
        <v>325000</v>
      </c>
      <c r="AC631" s="4" t="s">
        <v>27</v>
      </c>
      <c r="AD631" s="16">
        <f>IFERROR(VLOOKUP(AC631,'Kode Diskon'!$C$2:$D$9,2,0),0)</f>
        <v>0.15</v>
      </c>
      <c r="AE631" s="31">
        <f t="shared" si="339"/>
        <v>105000</v>
      </c>
      <c r="AF631" s="31">
        <f t="shared" si="340"/>
        <v>595000</v>
      </c>
      <c r="AG631" s="31">
        <f t="shared" si="341"/>
        <v>375000</v>
      </c>
      <c r="AH631" s="31">
        <f t="shared" si="342"/>
        <v>270000</v>
      </c>
      <c r="AI631" s="4" t="s">
        <v>28</v>
      </c>
      <c r="AJ631" s="4" t="s">
        <v>13</v>
      </c>
      <c r="AK631" s="4" t="str">
        <f>IFERROR(VLOOKUP(AJ631,'Guide '!$A$13:$B$16,2,0),"-")</f>
        <v>BB</v>
      </c>
      <c r="AL631" s="4" t="s">
        <v>921</v>
      </c>
      <c r="AM631" s="40">
        <v>45521</v>
      </c>
      <c r="AN631">
        <f t="shared" si="343"/>
        <v>29</v>
      </c>
      <c r="AO631">
        <f t="shared" si="344"/>
        <v>32</v>
      </c>
      <c r="AP631">
        <f t="shared" si="345"/>
        <v>40</v>
      </c>
      <c r="AQ631">
        <f t="shared" si="346"/>
        <v>43</v>
      </c>
      <c r="AR631" s="26">
        <f t="shared" si="347"/>
        <v>56</v>
      </c>
      <c r="AS631" s="26">
        <f t="shared" si="348"/>
        <v>63</v>
      </c>
      <c r="AT631" s="21">
        <f t="shared" si="349"/>
        <v>12</v>
      </c>
      <c r="AU631" s="21">
        <f t="shared" si="350"/>
        <v>19</v>
      </c>
      <c r="AV631">
        <f t="shared" si="351"/>
        <v>73</v>
      </c>
      <c r="AW631">
        <f t="shared" si="352"/>
        <v>76</v>
      </c>
      <c r="AX631">
        <f t="shared" si="353"/>
        <v>84</v>
      </c>
      <c r="AY631">
        <f t="shared" si="354"/>
        <v>87</v>
      </c>
      <c r="AZ631">
        <f t="shared" si="355"/>
        <v>100</v>
      </c>
      <c r="BA631">
        <f t="shared" si="356"/>
        <v>107</v>
      </c>
      <c r="BB631">
        <f t="shared" si="357"/>
        <v>117</v>
      </c>
      <c r="BC631">
        <f t="shared" si="358"/>
        <v>120</v>
      </c>
      <c r="BD631" s="29">
        <f t="shared" si="359"/>
        <v>128</v>
      </c>
      <c r="BE631" s="29">
        <f t="shared" si="360"/>
        <v>131</v>
      </c>
    </row>
    <row r="632" spans="1:57" ht="15" x14ac:dyDescent="0.2">
      <c r="A632" s="2">
        <v>856</v>
      </c>
      <c r="B632" s="2" t="str">
        <f t="shared" si="325"/>
        <v>0856</v>
      </c>
      <c r="C632" t="str">
        <f t="shared" si="326"/>
        <v>ORD-SP-0856-17/08/24</v>
      </c>
      <c r="D632" s="3" t="s">
        <v>807</v>
      </c>
      <c r="E632" t="str">
        <f t="shared" si="327"/>
        <v>PP003</v>
      </c>
      <c r="F632" t="str">
        <f>INDEX(Katalog!$B$4:$B$13,MATCH('Main Data'!E632,Katalog!$C$4:$C$13,0))</f>
        <v>Jaket Jeans</v>
      </c>
      <c r="G632" t="str">
        <f>VLOOKUP(E632,Katalog!$A$15:$B$25,2,0)</f>
        <v>Pakaian Pria</v>
      </c>
      <c r="H632" t="str">
        <f t="shared" si="328"/>
        <v>2</v>
      </c>
      <c r="I632" t="str">
        <f t="shared" si="329"/>
        <v>5</v>
      </c>
      <c r="J632" s="18">
        <f>VLOOKUP(E632,Katalog!$C$3:$F$13,2,0)</f>
        <v>150000</v>
      </c>
      <c r="K632" s="18">
        <f>VLOOKUP(E632,Katalog!$C$3:$F$13,3,0)</f>
        <v>70000</v>
      </c>
      <c r="L632" t="str">
        <f t="shared" si="330"/>
        <v>PU001</v>
      </c>
      <c r="M632" t="str">
        <f>IFERROR(INDEX(Katalog!$B$4:$B$13,MATCH('Main Data'!L632,Katalog!$C$4:$C$13,0)), "-")</f>
        <v>Jaket Hoodie</v>
      </c>
      <c r="N632" t="str">
        <f>IFERROR(VLOOKUP(L632,Katalog!$A$15:$B$25,2,0),"-")</f>
        <v>Pakaian Unisex</v>
      </c>
      <c r="O632" t="str">
        <f t="shared" si="331"/>
        <v>1</v>
      </c>
      <c r="P632" t="str">
        <f t="shared" si="332"/>
        <v>2</v>
      </c>
      <c r="Q632" s="18">
        <f>IFERROR(VLOOKUP(L632,Katalog!$C$3:$F$13,2,0),0)</f>
        <v>160000</v>
      </c>
      <c r="R632" s="18">
        <f>IFERROR(VLOOKUP(L632,Katalog!$C$3:$F$13,3,0),0)</f>
        <v>60000</v>
      </c>
      <c r="S632" t="str">
        <f t="shared" si="333"/>
        <v>-</v>
      </c>
      <c r="T632" t="str">
        <f>IFERROR(INDEX(Katalog!$B$4:$B$13,MATCH('Main Data'!S632,Katalog!$C$4:$C$13,0)),"-")</f>
        <v>-</v>
      </c>
      <c r="U632" t="str">
        <f>IFERROR(VLOOKUP(S632,Katalog!$A$15:$B$25,2,0),"-")</f>
        <v>-</v>
      </c>
      <c r="V632">
        <f t="shared" si="334"/>
        <v>0</v>
      </c>
      <c r="W632" s="28" t="str">
        <f t="shared" si="335"/>
        <v>-</v>
      </c>
      <c r="X632" s="18">
        <f>IFERROR(VLOOKUP(S632,Katalog!$C$3:$F$13,2,0),0)</f>
        <v>0</v>
      </c>
      <c r="Y632" s="30">
        <f>IFERROR(VLOOKUP(S632,Katalog!$C$3:$F$13,3,0),0)</f>
        <v>0</v>
      </c>
      <c r="Z632" s="2">
        <f t="shared" si="336"/>
        <v>3</v>
      </c>
      <c r="AA632" s="4">
        <f t="shared" si="337"/>
        <v>460000</v>
      </c>
      <c r="AB632" s="4">
        <f t="shared" si="338"/>
        <v>200000</v>
      </c>
      <c r="AC632" s="4" t="s">
        <v>5</v>
      </c>
      <c r="AD632" s="16">
        <f>IFERROR(VLOOKUP(AC632,'Kode Diskon'!$C$2:$D$9,2,0),0)</f>
        <v>0.1</v>
      </c>
      <c r="AE632" s="31">
        <f t="shared" si="339"/>
        <v>46000</v>
      </c>
      <c r="AF632" s="31">
        <f t="shared" si="340"/>
        <v>414000</v>
      </c>
      <c r="AG632" s="31">
        <f t="shared" si="341"/>
        <v>260000</v>
      </c>
      <c r="AH632" s="31">
        <f t="shared" si="342"/>
        <v>214000</v>
      </c>
      <c r="AI632" s="4" t="s">
        <v>28</v>
      </c>
      <c r="AJ632" s="4" t="s">
        <v>6</v>
      </c>
      <c r="AK632" s="4" t="str">
        <f>IFERROR(VLOOKUP(AJ632,'Guide '!$A$13:$B$16,2,0),"-")</f>
        <v>SP</v>
      </c>
      <c r="AL632" s="4" t="s">
        <v>924</v>
      </c>
      <c r="AM632" s="40">
        <v>45521</v>
      </c>
      <c r="AN632">
        <f t="shared" si="343"/>
        <v>29</v>
      </c>
      <c r="AO632">
        <f t="shared" si="344"/>
        <v>32</v>
      </c>
      <c r="AP632">
        <f t="shared" si="345"/>
        <v>40</v>
      </c>
      <c r="AQ632">
        <f t="shared" si="346"/>
        <v>43</v>
      </c>
      <c r="AR632" s="26">
        <f t="shared" si="347"/>
        <v>56</v>
      </c>
      <c r="AS632" s="26">
        <f t="shared" si="348"/>
        <v>63</v>
      </c>
      <c r="AT632" s="21">
        <f t="shared" si="349"/>
        <v>12</v>
      </c>
      <c r="AU632" s="21">
        <f t="shared" si="350"/>
        <v>19</v>
      </c>
      <c r="AV632">
        <f t="shared" si="351"/>
        <v>73</v>
      </c>
      <c r="AW632">
        <f t="shared" si="352"/>
        <v>76</v>
      </c>
      <c r="AX632">
        <f t="shared" si="353"/>
        <v>84</v>
      </c>
      <c r="AY632">
        <f t="shared" si="354"/>
        <v>87</v>
      </c>
      <c r="AZ632" t="str">
        <f t="shared" si="355"/>
        <v>-</v>
      </c>
      <c r="BA632" t="str">
        <f t="shared" si="356"/>
        <v>-</v>
      </c>
      <c r="BB632" t="str">
        <f t="shared" si="357"/>
        <v>-</v>
      </c>
      <c r="BC632" t="str">
        <f t="shared" si="358"/>
        <v>-</v>
      </c>
      <c r="BD632" s="29" t="str">
        <f t="shared" si="359"/>
        <v>-</v>
      </c>
      <c r="BE632" s="29" t="str">
        <f t="shared" si="360"/>
        <v>-</v>
      </c>
    </row>
    <row r="633" spans="1:57" ht="15" x14ac:dyDescent="0.2">
      <c r="A633" s="2">
        <v>298</v>
      </c>
      <c r="B633" s="2" t="str">
        <f t="shared" si="325"/>
        <v>0298</v>
      </c>
      <c r="C633" t="str">
        <f t="shared" si="326"/>
        <v>ORD-SP-0298-18/08/24</v>
      </c>
      <c r="D633" s="3" t="s">
        <v>354</v>
      </c>
      <c r="E633" t="str">
        <f t="shared" si="327"/>
        <v>PW001</v>
      </c>
      <c r="F633" t="str">
        <f>INDEX(Katalog!$B$4:$B$13,MATCH('Main Data'!E633,Katalog!$C$4:$C$13,0))</f>
        <v>Dress</v>
      </c>
      <c r="G633" t="str">
        <f>VLOOKUP(E633,Katalog!$A$15:$B$25,2,0)</f>
        <v>Pakaian Wanita</v>
      </c>
      <c r="H633" t="str">
        <f t="shared" si="328"/>
        <v>4</v>
      </c>
      <c r="I633" t="str">
        <f t="shared" si="329"/>
        <v>1</v>
      </c>
      <c r="J633" s="18">
        <f>VLOOKUP(E633,Katalog!$C$3:$F$13,2,0)</f>
        <v>150000</v>
      </c>
      <c r="K633" s="18">
        <f>VLOOKUP(E633,Katalog!$C$3:$F$13,3,0)</f>
        <v>55000</v>
      </c>
      <c r="L633" t="str">
        <f t="shared" si="330"/>
        <v>PP001</v>
      </c>
      <c r="M633" t="str">
        <f>IFERROR(INDEX(Katalog!$B$4:$B$13,MATCH('Main Data'!L633,Katalog!$C$4:$C$13,0)), "-")</f>
        <v>Kaos Polo</v>
      </c>
      <c r="N633" t="str">
        <f>IFERROR(VLOOKUP(L633,Katalog!$A$15:$B$25,2,0),"-")</f>
        <v>Pakaian Pria</v>
      </c>
      <c r="O633" t="str">
        <f t="shared" si="331"/>
        <v>3</v>
      </c>
      <c r="P633" t="str">
        <f t="shared" si="332"/>
        <v>4</v>
      </c>
      <c r="Q633" s="18">
        <f>IFERROR(VLOOKUP(L633,Katalog!$C$3:$F$13,2,0),0)</f>
        <v>80000</v>
      </c>
      <c r="R633" s="18">
        <f>IFERROR(VLOOKUP(L633,Katalog!$C$3:$F$13,3,0),0)</f>
        <v>30000</v>
      </c>
      <c r="S633" t="str">
        <f t="shared" si="333"/>
        <v>-</v>
      </c>
      <c r="T633" t="str">
        <f>IFERROR(INDEX(Katalog!$B$4:$B$13,MATCH('Main Data'!S633,Katalog!$C$4:$C$13,0)),"-")</f>
        <v>-</v>
      </c>
      <c r="U633" t="str">
        <f>IFERROR(VLOOKUP(S633,Katalog!$A$15:$B$25,2,0),"-")</f>
        <v>-</v>
      </c>
      <c r="V633">
        <f t="shared" si="334"/>
        <v>0</v>
      </c>
      <c r="W633" s="28" t="str">
        <f t="shared" si="335"/>
        <v>-</v>
      </c>
      <c r="X633" s="18">
        <f>IFERROR(VLOOKUP(S633,Katalog!$C$3:$F$13,2,0),0)</f>
        <v>0</v>
      </c>
      <c r="Y633" s="30">
        <f>IFERROR(VLOOKUP(S633,Katalog!$C$3:$F$13,3,0),0)</f>
        <v>0</v>
      </c>
      <c r="Z633" s="2">
        <f t="shared" si="336"/>
        <v>7</v>
      </c>
      <c r="AA633" s="4">
        <f t="shared" si="337"/>
        <v>840000</v>
      </c>
      <c r="AB633" s="4">
        <f t="shared" si="338"/>
        <v>310000</v>
      </c>
      <c r="AC633" s="4" t="s">
        <v>5</v>
      </c>
      <c r="AD633" s="16">
        <f>IFERROR(VLOOKUP(AC633,'Kode Diskon'!$C$2:$D$9,2,0),0)</f>
        <v>0.1</v>
      </c>
      <c r="AE633" s="31">
        <f t="shared" si="339"/>
        <v>84000</v>
      </c>
      <c r="AF633" s="31">
        <f t="shared" si="340"/>
        <v>756000</v>
      </c>
      <c r="AG633" s="31">
        <f t="shared" si="341"/>
        <v>530000</v>
      </c>
      <c r="AH633" s="31">
        <f t="shared" si="342"/>
        <v>446000</v>
      </c>
      <c r="AI633" s="4" t="s">
        <v>28</v>
      </c>
      <c r="AJ633" s="4" t="s">
        <v>6</v>
      </c>
      <c r="AK633" s="4" t="str">
        <f>IFERROR(VLOOKUP(AJ633,'Guide '!$A$13:$B$16,2,0),"-")</f>
        <v>SP</v>
      </c>
      <c r="AL633" s="4" t="s">
        <v>1006</v>
      </c>
      <c r="AM633" s="40">
        <v>45522</v>
      </c>
      <c r="AN633">
        <f t="shared" si="343"/>
        <v>29</v>
      </c>
      <c r="AO633">
        <f t="shared" si="344"/>
        <v>32</v>
      </c>
      <c r="AP633">
        <f t="shared" si="345"/>
        <v>40</v>
      </c>
      <c r="AQ633">
        <f t="shared" si="346"/>
        <v>43</v>
      </c>
      <c r="AR633" s="26">
        <f t="shared" si="347"/>
        <v>56</v>
      </c>
      <c r="AS633" s="26">
        <f t="shared" si="348"/>
        <v>63</v>
      </c>
      <c r="AT633" s="21">
        <f t="shared" si="349"/>
        <v>12</v>
      </c>
      <c r="AU633" s="21">
        <f t="shared" si="350"/>
        <v>19</v>
      </c>
      <c r="AV633">
        <f t="shared" si="351"/>
        <v>73</v>
      </c>
      <c r="AW633">
        <f t="shared" si="352"/>
        <v>76</v>
      </c>
      <c r="AX633">
        <f t="shared" si="353"/>
        <v>84</v>
      </c>
      <c r="AY633">
        <f t="shared" si="354"/>
        <v>87</v>
      </c>
      <c r="AZ633" t="str">
        <f t="shared" si="355"/>
        <v>-</v>
      </c>
      <c r="BA633" t="str">
        <f t="shared" si="356"/>
        <v>-</v>
      </c>
      <c r="BB633" t="str">
        <f t="shared" si="357"/>
        <v>-</v>
      </c>
      <c r="BC633" t="str">
        <f t="shared" si="358"/>
        <v>-</v>
      </c>
      <c r="BD633" s="29" t="str">
        <f t="shared" si="359"/>
        <v>-</v>
      </c>
      <c r="BE633" s="29" t="str">
        <f t="shared" si="360"/>
        <v>-</v>
      </c>
    </row>
    <row r="634" spans="1:57" ht="15" x14ac:dyDescent="0.2">
      <c r="A634" s="2">
        <v>421</v>
      </c>
      <c r="B634" s="2" t="str">
        <f t="shared" si="325"/>
        <v>0421</v>
      </c>
      <c r="C634" t="str">
        <f t="shared" si="326"/>
        <v>ORD-TK-0421-18/08/24</v>
      </c>
      <c r="D634" s="3" t="s">
        <v>464</v>
      </c>
      <c r="E634" t="str">
        <f t="shared" si="327"/>
        <v>PW003</v>
      </c>
      <c r="F634" t="str">
        <f>INDEX(Katalog!$B$4:$B$13,MATCH('Main Data'!E634,Katalog!$C$4:$C$13,0))</f>
        <v>Kaftan</v>
      </c>
      <c r="G634" t="str">
        <f>VLOOKUP(E634,Katalog!$A$15:$B$25,2,0)</f>
        <v>Pakaian Wanita</v>
      </c>
      <c r="H634" t="str">
        <f t="shared" si="328"/>
        <v>1</v>
      </c>
      <c r="I634" t="str">
        <f t="shared" si="329"/>
        <v>4</v>
      </c>
      <c r="J634" s="18">
        <f>VLOOKUP(E634,Katalog!$C$3:$F$13,2,0)</f>
        <v>200000</v>
      </c>
      <c r="K634" s="18">
        <f>VLOOKUP(E634,Katalog!$C$3:$F$13,3,0)</f>
        <v>100000</v>
      </c>
      <c r="L634" t="str">
        <f t="shared" si="330"/>
        <v>-</v>
      </c>
      <c r="M634" t="str">
        <f>IFERROR(INDEX(Katalog!$B$4:$B$13,MATCH('Main Data'!L634,Katalog!$C$4:$C$13,0)), "-")</f>
        <v>-</v>
      </c>
      <c r="N634" t="str">
        <f>IFERROR(VLOOKUP(L634,Katalog!$A$15:$B$25,2,0),"-")</f>
        <v>-</v>
      </c>
      <c r="O634">
        <f t="shared" si="331"/>
        <v>0</v>
      </c>
      <c r="P634" t="str">
        <f t="shared" si="332"/>
        <v>-</v>
      </c>
      <c r="Q634" s="18">
        <f>IFERROR(VLOOKUP(L634,Katalog!$C$3:$F$13,2,0),0)</f>
        <v>0</v>
      </c>
      <c r="R634" s="18">
        <f>IFERROR(VLOOKUP(L634,Katalog!$C$3:$F$13,3,0),0)</f>
        <v>0</v>
      </c>
      <c r="S634" t="str">
        <f t="shared" si="333"/>
        <v>-</v>
      </c>
      <c r="T634" t="str">
        <f>IFERROR(INDEX(Katalog!$B$4:$B$13,MATCH('Main Data'!S634,Katalog!$C$4:$C$13,0)),"-")</f>
        <v>-</v>
      </c>
      <c r="U634" t="str">
        <f>IFERROR(VLOOKUP(S634,Katalog!$A$15:$B$25,2,0),"-")</f>
        <v>-</v>
      </c>
      <c r="V634">
        <f t="shared" si="334"/>
        <v>0</v>
      </c>
      <c r="W634" s="28" t="str">
        <f t="shared" si="335"/>
        <v>-</v>
      </c>
      <c r="X634" s="18">
        <f>IFERROR(VLOOKUP(S634,Katalog!$C$3:$F$13,2,0),0)</f>
        <v>0</v>
      </c>
      <c r="Y634" s="30">
        <f>IFERROR(VLOOKUP(S634,Katalog!$C$3:$F$13,3,0),0)</f>
        <v>0</v>
      </c>
      <c r="Z634" s="2">
        <f t="shared" si="336"/>
        <v>1</v>
      </c>
      <c r="AA634" s="4">
        <f t="shared" si="337"/>
        <v>200000</v>
      </c>
      <c r="AB634" s="4">
        <f t="shared" si="338"/>
        <v>100000</v>
      </c>
      <c r="AC634" s="4" t="s">
        <v>30</v>
      </c>
      <c r="AD634" s="16">
        <f>IFERROR(VLOOKUP(AC634,'Kode Diskon'!$C$2:$D$9,2,0),0)</f>
        <v>0.1</v>
      </c>
      <c r="AE634" s="31">
        <f t="shared" si="339"/>
        <v>20000</v>
      </c>
      <c r="AF634" s="31">
        <f t="shared" si="340"/>
        <v>180000</v>
      </c>
      <c r="AG634" s="31">
        <f t="shared" si="341"/>
        <v>100000</v>
      </c>
      <c r="AH634" s="31">
        <f t="shared" si="342"/>
        <v>80000</v>
      </c>
      <c r="AI634" s="4" t="s">
        <v>8</v>
      </c>
      <c r="AJ634" s="4" t="s">
        <v>9</v>
      </c>
      <c r="AK634" s="4" t="str">
        <f>IFERROR(VLOOKUP(AJ634,'Guide '!$A$13:$B$16,2,0),"-")</f>
        <v>TK</v>
      </c>
      <c r="AL634" s="4" t="s">
        <v>1006</v>
      </c>
      <c r="AM634" s="40">
        <v>45522</v>
      </c>
      <c r="AN634">
        <f t="shared" si="343"/>
        <v>29</v>
      </c>
      <c r="AO634">
        <f t="shared" si="344"/>
        <v>32</v>
      </c>
      <c r="AP634">
        <f t="shared" si="345"/>
        <v>40</v>
      </c>
      <c r="AQ634">
        <f t="shared" si="346"/>
        <v>43</v>
      </c>
      <c r="AR634" s="26" t="str">
        <f t="shared" si="347"/>
        <v>-</v>
      </c>
      <c r="AS634" s="26" t="str">
        <f t="shared" si="348"/>
        <v>-</v>
      </c>
      <c r="AT634" s="21">
        <f t="shared" si="349"/>
        <v>12</v>
      </c>
      <c r="AU634" s="21">
        <f t="shared" si="350"/>
        <v>19</v>
      </c>
      <c r="AV634" t="str">
        <f t="shared" si="351"/>
        <v>-</v>
      </c>
      <c r="AW634" t="str">
        <f t="shared" si="352"/>
        <v>-</v>
      </c>
      <c r="AX634" t="str">
        <f t="shared" si="353"/>
        <v>-</v>
      </c>
      <c r="AY634" t="str">
        <f t="shared" si="354"/>
        <v>-</v>
      </c>
      <c r="AZ634" t="str">
        <f t="shared" si="355"/>
        <v>-</v>
      </c>
      <c r="BA634" t="str">
        <f t="shared" si="356"/>
        <v>-</v>
      </c>
      <c r="BB634" t="str">
        <f t="shared" si="357"/>
        <v>-</v>
      </c>
      <c r="BC634" t="str">
        <f t="shared" si="358"/>
        <v>-</v>
      </c>
      <c r="BD634" s="29" t="str">
        <f t="shared" si="359"/>
        <v>-</v>
      </c>
      <c r="BE634" s="29" t="str">
        <f t="shared" si="360"/>
        <v>-</v>
      </c>
    </row>
    <row r="635" spans="1:57" ht="15" x14ac:dyDescent="0.2">
      <c r="A635" s="2">
        <v>447</v>
      </c>
      <c r="B635" s="2" t="str">
        <f t="shared" si="325"/>
        <v>0447</v>
      </c>
      <c r="C635" t="str">
        <f t="shared" si="326"/>
        <v>ORD-TK-0447-18/08/24</v>
      </c>
      <c r="D635" s="3" t="s">
        <v>487</v>
      </c>
      <c r="E635" t="str">
        <f t="shared" si="327"/>
        <v>PW001</v>
      </c>
      <c r="F635" t="str">
        <f>INDEX(Katalog!$B$4:$B$13,MATCH('Main Data'!E635,Katalog!$C$4:$C$13,0))</f>
        <v>Dress</v>
      </c>
      <c r="G635" t="str">
        <f>VLOOKUP(E635,Katalog!$A$15:$B$25,2,0)</f>
        <v>Pakaian Wanita</v>
      </c>
      <c r="H635" t="str">
        <f t="shared" si="328"/>
        <v>7</v>
      </c>
      <c r="I635" t="str">
        <f t="shared" si="329"/>
        <v>2</v>
      </c>
      <c r="J635" s="18">
        <f>VLOOKUP(E635,Katalog!$C$3:$F$13,2,0)</f>
        <v>150000</v>
      </c>
      <c r="K635" s="18">
        <f>VLOOKUP(E635,Katalog!$C$3:$F$13,3,0)</f>
        <v>55000</v>
      </c>
      <c r="L635" t="str">
        <f t="shared" si="330"/>
        <v>-</v>
      </c>
      <c r="M635" t="str">
        <f>IFERROR(INDEX(Katalog!$B$4:$B$13,MATCH('Main Data'!L635,Katalog!$C$4:$C$13,0)), "-")</f>
        <v>-</v>
      </c>
      <c r="N635" t="str">
        <f>IFERROR(VLOOKUP(L635,Katalog!$A$15:$B$25,2,0),"-")</f>
        <v>-</v>
      </c>
      <c r="O635">
        <f t="shared" si="331"/>
        <v>0</v>
      </c>
      <c r="P635" t="str">
        <f t="shared" si="332"/>
        <v>-</v>
      </c>
      <c r="Q635" s="18">
        <f>IFERROR(VLOOKUP(L635,Katalog!$C$3:$F$13,2,0),0)</f>
        <v>0</v>
      </c>
      <c r="R635" s="18">
        <f>IFERROR(VLOOKUP(L635,Katalog!$C$3:$F$13,3,0),0)</f>
        <v>0</v>
      </c>
      <c r="S635" t="str">
        <f t="shared" si="333"/>
        <v>-</v>
      </c>
      <c r="T635" t="str">
        <f>IFERROR(INDEX(Katalog!$B$4:$B$13,MATCH('Main Data'!S635,Katalog!$C$4:$C$13,0)),"-")</f>
        <v>-</v>
      </c>
      <c r="U635" t="str">
        <f>IFERROR(VLOOKUP(S635,Katalog!$A$15:$B$25,2,0),"-")</f>
        <v>-</v>
      </c>
      <c r="V635">
        <f t="shared" si="334"/>
        <v>0</v>
      </c>
      <c r="W635" s="28" t="str">
        <f t="shared" si="335"/>
        <v>-</v>
      </c>
      <c r="X635" s="18">
        <f>IFERROR(VLOOKUP(S635,Katalog!$C$3:$F$13,2,0),0)</f>
        <v>0</v>
      </c>
      <c r="Y635" s="30">
        <f>IFERROR(VLOOKUP(S635,Katalog!$C$3:$F$13,3,0),0)</f>
        <v>0</v>
      </c>
      <c r="Z635" s="2">
        <f t="shared" si="336"/>
        <v>7</v>
      </c>
      <c r="AA635" s="4">
        <f t="shared" si="337"/>
        <v>1050000</v>
      </c>
      <c r="AB635" s="4">
        <f t="shared" si="338"/>
        <v>385000</v>
      </c>
      <c r="AC635" s="4" t="s">
        <v>30</v>
      </c>
      <c r="AD635" s="16">
        <f>IFERROR(VLOOKUP(AC635,'Kode Diskon'!$C$2:$D$9,2,0),0)</f>
        <v>0.1</v>
      </c>
      <c r="AE635" s="31">
        <f t="shared" si="339"/>
        <v>105000</v>
      </c>
      <c r="AF635" s="31">
        <f t="shared" si="340"/>
        <v>945000</v>
      </c>
      <c r="AG635" s="31">
        <f t="shared" si="341"/>
        <v>665000</v>
      </c>
      <c r="AH635" s="31">
        <f t="shared" si="342"/>
        <v>560000</v>
      </c>
      <c r="AI635" s="4" t="s">
        <v>8</v>
      </c>
      <c r="AJ635" s="4" t="s">
        <v>9</v>
      </c>
      <c r="AK635" s="4" t="str">
        <f>IFERROR(VLOOKUP(AJ635,'Guide '!$A$13:$B$16,2,0),"-")</f>
        <v>TK</v>
      </c>
      <c r="AL635" s="4" t="s">
        <v>925</v>
      </c>
      <c r="AM635" s="40">
        <v>45522</v>
      </c>
      <c r="AN635">
        <f t="shared" si="343"/>
        <v>29</v>
      </c>
      <c r="AO635">
        <f t="shared" si="344"/>
        <v>32</v>
      </c>
      <c r="AP635">
        <f t="shared" si="345"/>
        <v>40</v>
      </c>
      <c r="AQ635">
        <f t="shared" si="346"/>
        <v>43</v>
      </c>
      <c r="AR635" s="26" t="str">
        <f t="shared" si="347"/>
        <v>-</v>
      </c>
      <c r="AS635" s="26" t="str">
        <f t="shared" si="348"/>
        <v>-</v>
      </c>
      <c r="AT635" s="21">
        <f t="shared" si="349"/>
        <v>12</v>
      </c>
      <c r="AU635" s="21">
        <f t="shared" si="350"/>
        <v>19</v>
      </c>
      <c r="AV635" t="str">
        <f t="shared" si="351"/>
        <v>-</v>
      </c>
      <c r="AW635" t="str">
        <f t="shared" si="352"/>
        <v>-</v>
      </c>
      <c r="AX635" t="str">
        <f t="shared" si="353"/>
        <v>-</v>
      </c>
      <c r="AY635" t="str">
        <f t="shared" si="354"/>
        <v>-</v>
      </c>
      <c r="AZ635" t="str">
        <f t="shared" si="355"/>
        <v>-</v>
      </c>
      <c r="BA635" t="str">
        <f t="shared" si="356"/>
        <v>-</v>
      </c>
      <c r="BB635" t="str">
        <f t="shared" si="357"/>
        <v>-</v>
      </c>
      <c r="BC635" t="str">
        <f t="shared" si="358"/>
        <v>-</v>
      </c>
      <c r="BD635" s="29" t="str">
        <f t="shared" si="359"/>
        <v>-</v>
      </c>
      <c r="BE635" s="29" t="str">
        <f t="shared" si="360"/>
        <v>-</v>
      </c>
    </row>
    <row r="636" spans="1:57" ht="15" x14ac:dyDescent="0.2">
      <c r="A636" s="2">
        <v>387</v>
      </c>
      <c r="B636" s="2" t="str">
        <f t="shared" si="325"/>
        <v>0387</v>
      </c>
      <c r="C636" t="str">
        <f t="shared" si="326"/>
        <v>ORD-SP-0387-19/08/24</v>
      </c>
      <c r="D636" s="3" t="s">
        <v>436</v>
      </c>
      <c r="E636" t="str">
        <f t="shared" si="327"/>
        <v>PP002</v>
      </c>
      <c r="F636" t="str">
        <f>INDEX(Katalog!$B$4:$B$13,MATCH('Main Data'!E636,Katalog!$C$4:$C$13,0))</f>
        <v>Celana Pendek</v>
      </c>
      <c r="G636" t="str">
        <f>VLOOKUP(E636,Katalog!$A$15:$B$25,2,0)</f>
        <v>Pakaian Pria</v>
      </c>
      <c r="H636" t="str">
        <f t="shared" si="328"/>
        <v>4</v>
      </c>
      <c r="I636" t="str">
        <f t="shared" si="329"/>
        <v>3</v>
      </c>
      <c r="J636" s="18">
        <f>VLOOKUP(E636,Katalog!$C$3:$F$13,2,0)</f>
        <v>60000</v>
      </c>
      <c r="K636" s="18">
        <f>VLOOKUP(E636,Katalog!$C$3:$F$13,3,0)</f>
        <v>25000</v>
      </c>
      <c r="L636" t="str">
        <f t="shared" si="330"/>
        <v>PU001</v>
      </c>
      <c r="M636" t="str">
        <f>IFERROR(INDEX(Katalog!$B$4:$B$13,MATCH('Main Data'!L636,Katalog!$C$4:$C$13,0)), "-")</f>
        <v>Jaket Hoodie</v>
      </c>
      <c r="N636" t="str">
        <f>IFERROR(VLOOKUP(L636,Katalog!$A$15:$B$25,2,0),"-")</f>
        <v>Pakaian Unisex</v>
      </c>
      <c r="O636" t="str">
        <f t="shared" si="331"/>
        <v>1</v>
      </c>
      <c r="P636" t="str">
        <f t="shared" si="332"/>
        <v>2</v>
      </c>
      <c r="Q636" s="18">
        <f>IFERROR(VLOOKUP(L636,Katalog!$C$3:$F$13,2,0),0)</f>
        <v>160000</v>
      </c>
      <c r="R636" s="18">
        <f>IFERROR(VLOOKUP(L636,Katalog!$C$3:$F$13,3,0),0)</f>
        <v>60000</v>
      </c>
      <c r="S636" t="str">
        <f t="shared" si="333"/>
        <v>SP001</v>
      </c>
      <c r="T636" t="str">
        <f>IFERROR(INDEX(Katalog!$B$4:$B$13,MATCH('Main Data'!S636,Katalog!$C$4:$C$13,0)),"-")</f>
        <v>Sneakers</v>
      </c>
      <c r="U636" t="str">
        <f>IFERROR(VLOOKUP(S636,Katalog!$A$15:$B$25,2,0),"-")</f>
        <v>Sepatu Pria</v>
      </c>
      <c r="V636" t="str">
        <f t="shared" si="334"/>
        <v>2</v>
      </c>
      <c r="W636" s="28" t="str">
        <f t="shared" si="335"/>
        <v>4</v>
      </c>
      <c r="X636" s="18">
        <f>IFERROR(VLOOKUP(S636,Katalog!$C$3:$F$13,2,0),0)</f>
        <v>300000</v>
      </c>
      <c r="Y636" s="30">
        <f>IFERROR(VLOOKUP(S636,Katalog!$C$3:$F$13,3,0),0)</f>
        <v>100000</v>
      </c>
      <c r="Z636" s="2">
        <f t="shared" si="336"/>
        <v>7</v>
      </c>
      <c r="AA636" s="4">
        <f t="shared" si="337"/>
        <v>1000000</v>
      </c>
      <c r="AB636" s="4">
        <f t="shared" si="338"/>
        <v>360000</v>
      </c>
      <c r="AC636" s="4" t="s">
        <v>12</v>
      </c>
      <c r="AD636" s="16">
        <f>IFERROR(VLOOKUP(AC636,'Kode Diskon'!$C$2:$D$9,2,0),0)</f>
        <v>0.15</v>
      </c>
      <c r="AE636" s="31">
        <f t="shared" si="339"/>
        <v>150000</v>
      </c>
      <c r="AF636" s="31">
        <f t="shared" si="340"/>
        <v>850000</v>
      </c>
      <c r="AG636" s="31">
        <f t="shared" si="341"/>
        <v>640000</v>
      </c>
      <c r="AH636" s="31">
        <f t="shared" si="342"/>
        <v>490000</v>
      </c>
      <c r="AI636" s="4" t="s">
        <v>28</v>
      </c>
      <c r="AJ636" s="4" t="s">
        <v>6</v>
      </c>
      <c r="AK636" s="4" t="str">
        <f>IFERROR(VLOOKUP(AJ636,'Guide '!$A$13:$B$16,2,0),"-")</f>
        <v>SP</v>
      </c>
      <c r="AL636" s="4" t="s">
        <v>925</v>
      </c>
      <c r="AM636" s="40">
        <v>45523</v>
      </c>
      <c r="AN636">
        <f t="shared" si="343"/>
        <v>29</v>
      </c>
      <c r="AO636">
        <f t="shared" si="344"/>
        <v>32</v>
      </c>
      <c r="AP636">
        <f t="shared" si="345"/>
        <v>40</v>
      </c>
      <c r="AQ636">
        <f t="shared" si="346"/>
        <v>43</v>
      </c>
      <c r="AR636" s="26">
        <f t="shared" si="347"/>
        <v>56</v>
      </c>
      <c r="AS636" s="26">
        <f t="shared" si="348"/>
        <v>63</v>
      </c>
      <c r="AT636" s="21">
        <f t="shared" si="349"/>
        <v>12</v>
      </c>
      <c r="AU636" s="21">
        <f t="shared" si="350"/>
        <v>19</v>
      </c>
      <c r="AV636">
        <f t="shared" si="351"/>
        <v>73</v>
      </c>
      <c r="AW636">
        <f t="shared" si="352"/>
        <v>76</v>
      </c>
      <c r="AX636">
        <f t="shared" si="353"/>
        <v>84</v>
      </c>
      <c r="AY636">
        <f t="shared" si="354"/>
        <v>87</v>
      </c>
      <c r="AZ636">
        <f t="shared" si="355"/>
        <v>100</v>
      </c>
      <c r="BA636">
        <f t="shared" si="356"/>
        <v>107</v>
      </c>
      <c r="BB636">
        <f t="shared" si="357"/>
        <v>117</v>
      </c>
      <c r="BC636">
        <f t="shared" si="358"/>
        <v>120</v>
      </c>
      <c r="BD636" s="29">
        <f t="shared" si="359"/>
        <v>128</v>
      </c>
      <c r="BE636" s="29">
        <f t="shared" si="360"/>
        <v>131</v>
      </c>
    </row>
    <row r="637" spans="1:57" ht="15" x14ac:dyDescent="0.2">
      <c r="A637" s="2">
        <v>412</v>
      </c>
      <c r="B637" s="2" t="str">
        <f t="shared" si="325"/>
        <v>0412</v>
      </c>
      <c r="C637" t="str">
        <f t="shared" si="326"/>
        <v>ORD-TK-0412-19/08/24</v>
      </c>
      <c r="D637" s="3" t="s">
        <v>456</v>
      </c>
      <c r="E637" t="str">
        <f t="shared" si="327"/>
        <v>PP002</v>
      </c>
      <c r="F637" t="str">
        <f>INDEX(Katalog!$B$4:$B$13,MATCH('Main Data'!E637,Katalog!$C$4:$C$13,0))</f>
        <v>Celana Pendek</v>
      </c>
      <c r="G637" t="str">
        <f>VLOOKUP(E637,Katalog!$A$15:$B$25,2,0)</f>
        <v>Pakaian Pria</v>
      </c>
      <c r="H637" t="str">
        <f t="shared" si="328"/>
        <v>4</v>
      </c>
      <c r="I637" t="str">
        <f t="shared" si="329"/>
        <v>4</v>
      </c>
      <c r="J637" s="18">
        <f>VLOOKUP(E637,Katalog!$C$3:$F$13,2,0)</f>
        <v>60000</v>
      </c>
      <c r="K637" s="18">
        <f>VLOOKUP(E637,Katalog!$C$3:$F$13,3,0)</f>
        <v>25000</v>
      </c>
      <c r="L637" t="str">
        <f t="shared" si="330"/>
        <v>PP001</v>
      </c>
      <c r="M637" t="str">
        <f>IFERROR(INDEX(Katalog!$B$4:$B$13,MATCH('Main Data'!L637,Katalog!$C$4:$C$13,0)), "-")</f>
        <v>Kaos Polo</v>
      </c>
      <c r="N637" t="str">
        <f>IFERROR(VLOOKUP(L637,Katalog!$A$15:$B$25,2,0),"-")</f>
        <v>Pakaian Pria</v>
      </c>
      <c r="O637" t="str">
        <f t="shared" si="331"/>
        <v>1</v>
      </c>
      <c r="P637" t="str">
        <f t="shared" si="332"/>
        <v>4</v>
      </c>
      <c r="Q637" s="18">
        <f>IFERROR(VLOOKUP(L637,Katalog!$C$3:$F$13,2,0),0)</f>
        <v>80000</v>
      </c>
      <c r="R637" s="18">
        <f>IFERROR(VLOOKUP(L637,Katalog!$C$3:$F$13,3,0),0)</f>
        <v>30000</v>
      </c>
      <c r="S637" t="str">
        <f t="shared" si="333"/>
        <v>-</v>
      </c>
      <c r="T637" t="str">
        <f>IFERROR(INDEX(Katalog!$B$4:$B$13,MATCH('Main Data'!S637,Katalog!$C$4:$C$13,0)),"-")</f>
        <v>-</v>
      </c>
      <c r="U637" t="str">
        <f>IFERROR(VLOOKUP(S637,Katalog!$A$15:$B$25,2,0),"-")</f>
        <v>-</v>
      </c>
      <c r="V637">
        <f t="shared" si="334"/>
        <v>0</v>
      </c>
      <c r="W637" s="28" t="str">
        <f t="shared" si="335"/>
        <v>-</v>
      </c>
      <c r="X637" s="18">
        <f>IFERROR(VLOOKUP(S637,Katalog!$C$3:$F$13,2,0),0)</f>
        <v>0</v>
      </c>
      <c r="Y637" s="30">
        <f>IFERROR(VLOOKUP(S637,Katalog!$C$3:$F$13,3,0),0)</f>
        <v>0</v>
      </c>
      <c r="Z637" s="2">
        <f t="shared" si="336"/>
        <v>5</v>
      </c>
      <c r="AA637" s="4">
        <f t="shared" si="337"/>
        <v>320000</v>
      </c>
      <c r="AB637" s="4">
        <f t="shared" si="338"/>
        <v>130000</v>
      </c>
      <c r="AC637" s="4" t="s">
        <v>30</v>
      </c>
      <c r="AD637" s="16">
        <f>IFERROR(VLOOKUP(AC637,'Kode Diskon'!$C$2:$D$9,2,0),0)</f>
        <v>0.1</v>
      </c>
      <c r="AE637" s="31">
        <f t="shared" si="339"/>
        <v>32000</v>
      </c>
      <c r="AF637" s="31">
        <f t="shared" si="340"/>
        <v>288000</v>
      </c>
      <c r="AG637" s="31">
        <f t="shared" si="341"/>
        <v>190000</v>
      </c>
      <c r="AH637" s="31">
        <f t="shared" si="342"/>
        <v>158000</v>
      </c>
      <c r="AI637" s="4" t="s">
        <v>8</v>
      </c>
      <c r="AJ637" s="4" t="s">
        <v>9</v>
      </c>
      <c r="AK637" s="4" t="str">
        <f>IFERROR(VLOOKUP(AJ637,'Guide '!$A$13:$B$16,2,0),"-")</f>
        <v>TK</v>
      </c>
      <c r="AL637" s="4" t="s">
        <v>921</v>
      </c>
      <c r="AM637" s="40">
        <v>45523</v>
      </c>
      <c r="AN637">
        <f t="shared" si="343"/>
        <v>29</v>
      </c>
      <c r="AO637">
        <f t="shared" si="344"/>
        <v>32</v>
      </c>
      <c r="AP637">
        <f t="shared" si="345"/>
        <v>40</v>
      </c>
      <c r="AQ637">
        <f t="shared" si="346"/>
        <v>43</v>
      </c>
      <c r="AR637" s="26">
        <f t="shared" si="347"/>
        <v>56</v>
      </c>
      <c r="AS637" s="26">
        <f t="shared" si="348"/>
        <v>63</v>
      </c>
      <c r="AT637" s="21">
        <f t="shared" si="349"/>
        <v>12</v>
      </c>
      <c r="AU637" s="21">
        <f t="shared" si="350"/>
        <v>19</v>
      </c>
      <c r="AV637">
        <f t="shared" si="351"/>
        <v>73</v>
      </c>
      <c r="AW637">
        <f t="shared" si="352"/>
        <v>76</v>
      </c>
      <c r="AX637">
        <f t="shared" si="353"/>
        <v>84</v>
      </c>
      <c r="AY637">
        <f t="shared" si="354"/>
        <v>87</v>
      </c>
      <c r="AZ637" t="str">
        <f t="shared" si="355"/>
        <v>-</v>
      </c>
      <c r="BA637" t="str">
        <f t="shared" si="356"/>
        <v>-</v>
      </c>
      <c r="BB637" t="str">
        <f t="shared" si="357"/>
        <v>-</v>
      </c>
      <c r="BC637" t="str">
        <f t="shared" si="358"/>
        <v>-</v>
      </c>
      <c r="BD637" s="29" t="str">
        <f t="shared" si="359"/>
        <v>-</v>
      </c>
      <c r="BE637" s="29" t="str">
        <f t="shared" si="360"/>
        <v>-</v>
      </c>
    </row>
    <row r="638" spans="1:57" ht="15" x14ac:dyDescent="0.2">
      <c r="A638" s="2">
        <v>659</v>
      </c>
      <c r="B638" s="2" t="str">
        <f t="shared" si="325"/>
        <v>0659</v>
      </c>
      <c r="C638" t="str">
        <f t="shared" si="326"/>
        <v>ORD-TK-0659-19/08/24</v>
      </c>
      <c r="D638" s="3" t="s">
        <v>660</v>
      </c>
      <c r="E638" t="str">
        <f t="shared" si="327"/>
        <v>PW002</v>
      </c>
      <c r="F638" t="str">
        <f>INDEX(Katalog!$B$4:$B$13,MATCH('Main Data'!E638,Katalog!$C$4:$C$13,0))</f>
        <v>Blouse</v>
      </c>
      <c r="G638" t="str">
        <f>VLOOKUP(E638,Katalog!$A$15:$B$25,2,0)</f>
        <v>Pakaian Wanita</v>
      </c>
      <c r="H638" t="str">
        <f t="shared" si="328"/>
        <v>2</v>
      </c>
      <c r="I638" t="str">
        <f t="shared" si="329"/>
        <v>1</v>
      </c>
      <c r="J638" s="18">
        <f>VLOOKUP(E638,Katalog!$C$3:$F$13,2,0)</f>
        <v>125000</v>
      </c>
      <c r="K638" s="18">
        <f>VLOOKUP(E638,Katalog!$C$3:$F$13,3,0)</f>
        <v>50000</v>
      </c>
      <c r="L638" t="str">
        <f t="shared" si="330"/>
        <v>PP003</v>
      </c>
      <c r="M638" t="str">
        <f>IFERROR(INDEX(Katalog!$B$4:$B$13,MATCH('Main Data'!L638,Katalog!$C$4:$C$13,0)), "-")</f>
        <v>Jaket Jeans</v>
      </c>
      <c r="N638" t="str">
        <f>IFERROR(VLOOKUP(L638,Katalog!$A$15:$B$25,2,0),"-")</f>
        <v>Pakaian Pria</v>
      </c>
      <c r="O638" t="str">
        <f t="shared" si="331"/>
        <v>2</v>
      </c>
      <c r="P638" t="str">
        <f t="shared" si="332"/>
        <v>2</v>
      </c>
      <c r="Q638" s="18">
        <f>IFERROR(VLOOKUP(L638,Katalog!$C$3:$F$13,2,0),0)</f>
        <v>150000</v>
      </c>
      <c r="R638" s="18">
        <f>IFERROR(VLOOKUP(L638,Katalog!$C$3:$F$13,3,0),0)</f>
        <v>70000</v>
      </c>
      <c r="S638" t="str">
        <f t="shared" si="333"/>
        <v>SP001</v>
      </c>
      <c r="T638" t="str">
        <f>IFERROR(INDEX(Katalog!$B$4:$B$13,MATCH('Main Data'!S638,Katalog!$C$4:$C$13,0)),"-")</f>
        <v>Sneakers</v>
      </c>
      <c r="U638" t="str">
        <f>IFERROR(VLOOKUP(S638,Katalog!$A$15:$B$25,2,0),"-")</f>
        <v>Sepatu Pria</v>
      </c>
      <c r="V638" t="str">
        <f t="shared" si="334"/>
        <v>2</v>
      </c>
      <c r="W638" s="28" t="str">
        <f t="shared" si="335"/>
        <v>3</v>
      </c>
      <c r="X638" s="18">
        <f>IFERROR(VLOOKUP(S638,Katalog!$C$3:$F$13,2,0),0)</f>
        <v>300000</v>
      </c>
      <c r="Y638" s="30">
        <f>IFERROR(VLOOKUP(S638,Katalog!$C$3:$F$13,3,0),0)</f>
        <v>100000</v>
      </c>
      <c r="Z638" s="2">
        <f t="shared" si="336"/>
        <v>6</v>
      </c>
      <c r="AA638" s="4">
        <f t="shared" si="337"/>
        <v>1150000</v>
      </c>
      <c r="AB638" s="4">
        <f t="shared" si="338"/>
        <v>440000</v>
      </c>
      <c r="AC638" s="4" t="s">
        <v>30</v>
      </c>
      <c r="AD638" s="16">
        <f>IFERROR(VLOOKUP(AC638,'Kode Diskon'!$C$2:$D$9,2,0),0)</f>
        <v>0.1</v>
      </c>
      <c r="AE638" s="31">
        <f t="shared" si="339"/>
        <v>115000</v>
      </c>
      <c r="AF638" s="31">
        <f t="shared" si="340"/>
        <v>1035000</v>
      </c>
      <c r="AG638" s="31">
        <f t="shared" si="341"/>
        <v>710000</v>
      </c>
      <c r="AH638" s="31">
        <f t="shared" si="342"/>
        <v>595000</v>
      </c>
      <c r="AI638" s="4" t="s">
        <v>8</v>
      </c>
      <c r="AJ638" s="4" t="s">
        <v>9</v>
      </c>
      <c r="AK638" s="4" t="str">
        <f>IFERROR(VLOOKUP(AJ638,'Guide '!$A$13:$B$16,2,0),"-")</f>
        <v>TK</v>
      </c>
      <c r="AL638" s="4" t="s">
        <v>922</v>
      </c>
      <c r="AM638" s="40">
        <v>45523</v>
      </c>
      <c r="AN638">
        <f t="shared" si="343"/>
        <v>29</v>
      </c>
      <c r="AO638">
        <f t="shared" si="344"/>
        <v>32</v>
      </c>
      <c r="AP638">
        <f t="shared" si="345"/>
        <v>40</v>
      </c>
      <c r="AQ638">
        <f t="shared" si="346"/>
        <v>43</v>
      </c>
      <c r="AR638" s="26">
        <f t="shared" si="347"/>
        <v>56</v>
      </c>
      <c r="AS638" s="26">
        <f t="shared" si="348"/>
        <v>63</v>
      </c>
      <c r="AT638" s="21">
        <f t="shared" si="349"/>
        <v>12</v>
      </c>
      <c r="AU638" s="21">
        <f t="shared" si="350"/>
        <v>19</v>
      </c>
      <c r="AV638">
        <f t="shared" si="351"/>
        <v>73</v>
      </c>
      <c r="AW638">
        <f t="shared" si="352"/>
        <v>76</v>
      </c>
      <c r="AX638">
        <f t="shared" si="353"/>
        <v>84</v>
      </c>
      <c r="AY638">
        <f t="shared" si="354"/>
        <v>87</v>
      </c>
      <c r="AZ638">
        <f t="shared" si="355"/>
        <v>100</v>
      </c>
      <c r="BA638">
        <f t="shared" si="356"/>
        <v>107</v>
      </c>
      <c r="BB638">
        <f t="shared" si="357"/>
        <v>117</v>
      </c>
      <c r="BC638">
        <f t="shared" si="358"/>
        <v>120</v>
      </c>
      <c r="BD638" s="29">
        <f t="shared" si="359"/>
        <v>128</v>
      </c>
      <c r="BE638" s="29">
        <f t="shared" si="360"/>
        <v>131</v>
      </c>
    </row>
    <row r="639" spans="1:57" ht="15" x14ac:dyDescent="0.2">
      <c r="A639" s="2">
        <v>51</v>
      </c>
      <c r="B639" s="2" t="str">
        <f t="shared" si="325"/>
        <v>0051</v>
      </c>
      <c r="C639" t="str">
        <f t="shared" si="326"/>
        <v>ORD-BB-0051-20/08/24</v>
      </c>
      <c r="D639" s="3" t="s">
        <v>125</v>
      </c>
      <c r="E639" t="str">
        <f t="shared" si="327"/>
        <v>PW002</v>
      </c>
      <c r="F639" t="str">
        <f>INDEX(Katalog!$B$4:$B$13,MATCH('Main Data'!E639,Katalog!$C$4:$C$13,0))</f>
        <v>Blouse</v>
      </c>
      <c r="G639" t="str">
        <f>VLOOKUP(E639,Katalog!$A$15:$B$25,2,0)</f>
        <v>Pakaian Wanita</v>
      </c>
      <c r="H639" t="str">
        <f t="shared" si="328"/>
        <v>5</v>
      </c>
      <c r="I639" t="str">
        <f t="shared" si="329"/>
        <v>4</v>
      </c>
      <c r="J639" s="18">
        <f>VLOOKUP(E639,Katalog!$C$3:$F$13,2,0)</f>
        <v>125000</v>
      </c>
      <c r="K639" s="18">
        <f>VLOOKUP(E639,Katalog!$C$3:$F$13,3,0)</f>
        <v>50000</v>
      </c>
      <c r="L639" t="str">
        <f t="shared" si="330"/>
        <v>SP001</v>
      </c>
      <c r="M639" t="str">
        <f>IFERROR(INDEX(Katalog!$B$4:$B$13,MATCH('Main Data'!L639,Katalog!$C$4:$C$13,0)), "-")</f>
        <v>Sneakers</v>
      </c>
      <c r="N639" t="str">
        <f>IFERROR(VLOOKUP(L639,Katalog!$A$15:$B$25,2,0),"-")</f>
        <v>Sepatu Pria</v>
      </c>
      <c r="O639" t="str">
        <f t="shared" si="331"/>
        <v>1</v>
      </c>
      <c r="P639" t="str">
        <f t="shared" si="332"/>
        <v>3</v>
      </c>
      <c r="Q639" s="18">
        <f>IFERROR(VLOOKUP(L639,Katalog!$C$3:$F$13,2,0),0)</f>
        <v>300000</v>
      </c>
      <c r="R639" s="18">
        <f>IFERROR(VLOOKUP(L639,Katalog!$C$3:$F$13,3,0),0)</f>
        <v>100000</v>
      </c>
      <c r="S639" t="str">
        <f t="shared" si="333"/>
        <v>-</v>
      </c>
      <c r="T639" t="str">
        <f>IFERROR(INDEX(Katalog!$B$4:$B$13,MATCH('Main Data'!S639,Katalog!$C$4:$C$13,0)),"-")</f>
        <v>-</v>
      </c>
      <c r="U639" t="str">
        <f>IFERROR(VLOOKUP(S639,Katalog!$A$15:$B$25,2,0),"-")</f>
        <v>-</v>
      </c>
      <c r="V639">
        <f t="shared" si="334"/>
        <v>0</v>
      </c>
      <c r="W639" s="28" t="str">
        <f t="shared" si="335"/>
        <v>-</v>
      </c>
      <c r="X639" s="18">
        <f>IFERROR(VLOOKUP(S639,Katalog!$C$3:$F$13,2,0),0)</f>
        <v>0</v>
      </c>
      <c r="Y639" s="30">
        <f>IFERROR(VLOOKUP(S639,Katalog!$C$3:$F$13,3,0),0)</f>
        <v>0</v>
      </c>
      <c r="Z639" s="2">
        <f t="shared" si="336"/>
        <v>6</v>
      </c>
      <c r="AA639" s="4">
        <f t="shared" si="337"/>
        <v>925000</v>
      </c>
      <c r="AB639" s="4">
        <f t="shared" si="338"/>
        <v>350000</v>
      </c>
      <c r="AC639" s="4" t="s">
        <v>27</v>
      </c>
      <c r="AD639" s="16">
        <f>IFERROR(VLOOKUP(AC639,'Kode Diskon'!$C$2:$D$9,2,0),0)</f>
        <v>0.15</v>
      </c>
      <c r="AE639" s="31">
        <f t="shared" si="339"/>
        <v>138750</v>
      </c>
      <c r="AF639" s="31">
        <f t="shared" si="340"/>
        <v>786250</v>
      </c>
      <c r="AG639" s="31">
        <f t="shared" si="341"/>
        <v>575000</v>
      </c>
      <c r="AH639" s="31">
        <f t="shared" si="342"/>
        <v>436250</v>
      </c>
      <c r="AI639" s="4" t="s">
        <v>28</v>
      </c>
      <c r="AJ639" s="4" t="s">
        <v>13</v>
      </c>
      <c r="AK639" s="4" t="str">
        <f>IFERROR(VLOOKUP(AJ639,'Guide '!$A$13:$B$16,2,0),"-")</f>
        <v>BB</v>
      </c>
      <c r="AL639" s="4" t="s">
        <v>922</v>
      </c>
      <c r="AM639" s="40">
        <v>45524</v>
      </c>
      <c r="AN639">
        <f t="shared" si="343"/>
        <v>29</v>
      </c>
      <c r="AO639">
        <f t="shared" si="344"/>
        <v>32</v>
      </c>
      <c r="AP639">
        <f t="shared" si="345"/>
        <v>40</v>
      </c>
      <c r="AQ639">
        <f t="shared" si="346"/>
        <v>43</v>
      </c>
      <c r="AR639" s="26">
        <f t="shared" si="347"/>
        <v>56</v>
      </c>
      <c r="AS639" s="26">
        <f t="shared" si="348"/>
        <v>63</v>
      </c>
      <c r="AT639" s="21">
        <f t="shared" si="349"/>
        <v>12</v>
      </c>
      <c r="AU639" s="21">
        <f t="shared" si="350"/>
        <v>19</v>
      </c>
      <c r="AV639">
        <f t="shared" si="351"/>
        <v>73</v>
      </c>
      <c r="AW639">
        <f t="shared" si="352"/>
        <v>76</v>
      </c>
      <c r="AX639">
        <f t="shared" si="353"/>
        <v>84</v>
      </c>
      <c r="AY639">
        <f t="shared" si="354"/>
        <v>87</v>
      </c>
      <c r="AZ639" t="str">
        <f t="shared" si="355"/>
        <v>-</v>
      </c>
      <c r="BA639" t="str">
        <f t="shared" si="356"/>
        <v>-</v>
      </c>
      <c r="BB639" t="str">
        <f t="shared" si="357"/>
        <v>-</v>
      </c>
      <c r="BC639" t="str">
        <f t="shared" si="358"/>
        <v>-</v>
      </c>
      <c r="BD639" s="29" t="str">
        <f t="shared" si="359"/>
        <v>-</v>
      </c>
      <c r="BE639" s="29" t="str">
        <f t="shared" si="360"/>
        <v>-</v>
      </c>
    </row>
    <row r="640" spans="1:57" ht="15" x14ac:dyDescent="0.2">
      <c r="A640" s="2">
        <v>972</v>
      </c>
      <c r="B640" s="2" t="str">
        <f t="shared" si="325"/>
        <v>0972</v>
      </c>
      <c r="C640" t="str">
        <f t="shared" si="326"/>
        <v>ORD-BL-0972-20/08/24</v>
      </c>
      <c r="D640" s="3" t="s">
        <v>899</v>
      </c>
      <c r="E640" t="str">
        <f t="shared" si="327"/>
        <v>PU001</v>
      </c>
      <c r="F640" t="str">
        <f>INDEX(Katalog!$B$4:$B$13,MATCH('Main Data'!E640,Katalog!$C$4:$C$13,0))</f>
        <v>Jaket Hoodie</v>
      </c>
      <c r="G640" t="str">
        <f>VLOOKUP(E640,Katalog!$A$15:$B$25,2,0)</f>
        <v>Pakaian Unisex</v>
      </c>
      <c r="H640" t="str">
        <f t="shared" si="328"/>
        <v>4</v>
      </c>
      <c r="I640" t="str">
        <f t="shared" si="329"/>
        <v>3</v>
      </c>
      <c r="J640" s="18">
        <f>VLOOKUP(E640,Katalog!$C$3:$F$13,2,0)</f>
        <v>160000</v>
      </c>
      <c r="K640" s="18">
        <f>VLOOKUP(E640,Katalog!$C$3:$F$13,3,0)</f>
        <v>60000</v>
      </c>
      <c r="L640" t="str">
        <f t="shared" si="330"/>
        <v>PW002</v>
      </c>
      <c r="M640" t="str">
        <f>IFERROR(INDEX(Katalog!$B$4:$B$13,MATCH('Main Data'!L640,Katalog!$C$4:$C$13,0)), "-")</f>
        <v>Blouse</v>
      </c>
      <c r="N640" t="str">
        <f>IFERROR(VLOOKUP(L640,Katalog!$A$15:$B$25,2,0),"-")</f>
        <v>Pakaian Wanita</v>
      </c>
      <c r="O640" t="str">
        <f t="shared" si="331"/>
        <v>1</v>
      </c>
      <c r="P640" t="str">
        <f t="shared" si="332"/>
        <v>5</v>
      </c>
      <c r="Q640" s="18">
        <f>IFERROR(VLOOKUP(L640,Katalog!$C$3:$F$13,2,0),0)</f>
        <v>125000</v>
      </c>
      <c r="R640" s="18">
        <f>IFERROR(VLOOKUP(L640,Katalog!$C$3:$F$13,3,0),0)</f>
        <v>50000</v>
      </c>
      <c r="S640" t="str">
        <f t="shared" si="333"/>
        <v>SW001</v>
      </c>
      <c r="T640" t="str">
        <f>IFERROR(INDEX(Katalog!$B$4:$B$13,MATCH('Main Data'!S640,Katalog!$C$4:$C$13,0)),"-")</f>
        <v>Flat Shoes</v>
      </c>
      <c r="U640" t="str">
        <f>IFERROR(VLOOKUP(S640,Katalog!$A$15:$B$25,2,0),"-")</f>
        <v>Sepatu Wanita</v>
      </c>
      <c r="V640" t="str">
        <f t="shared" si="334"/>
        <v>1</v>
      </c>
      <c r="W640" s="28" t="str">
        <f t="shared" si="335"/>
        <v>4</v>
      </c>
      <c r="X640" s="18">
        <f>IFERROR(VLOOKUP(S640,Katalog!$C$3:$F$13,2,0),0)</f>
        <v>150000</v>
      </c>
      <c r="Y640" s="30">
        <f>IFERROR(VLOOKUP(S640,Katalog!$C$3:$F$13,3,0),0)</f>
        <v>70000</v>
      </c>
      <c r="Z640" s="2">
        <f t="shared" si="336"/>
        <v>6</v>
      </c>
      <c r="AA640" s="4">
        <f t="shared" si="337"/>
        <v>915000</v>
      </c>
      <c r="AB640" s="4">
        <f t="shared" si="338"/>
        <v>360000</v>
      </c>
      <c r="AC640" s="4" t="s">
        <v>31</v>
      </c>
      <c r="AD640" s="16">
        <f>IFERROR(VLOOKUP(AC640,'Kode Diskon'!$C$2:$D$9,2,0),0)</f>
        <v>0.15</v>
      </c>
      <c r="AE640" s="31">
        <f t="shared" si="339"/>
        <v>137250</v>
      </c>
      <c r="AF640" s="31">
        <f t="shared" si="340"/>
        <v>777750</v>
      </c>
      <c r="AG640" s="31">
        <f t="shared" si="341"/>
        <v>555000</v>
      </c>
      <c r="AH640" s="31">
        <f t="shared" si="342"/>
        <v>417750</v>
      </c>
      <c r="AI640" s="4" t="s">
        <v>8</v>
      </c>
      <c r="AJ640" s="4" t="s">
        <v>11</v>
      </c>
      <c r="AK640" s="4" t="str">
        <f>IFERROR(VLOOKUP(AJ640,'Guide '!$A$13:$B$16,2,0),"-")</f>
        <v>BL</v>
      </c>
      <c r="AL640" s="4" t="s">
        <v>1006</v>
      </c>
      <c r="AM640" s="40">
        <v>45524</v>
      </c>
      <c r="AN640">
        <f t="shared" si="343"/>
        <v>29</v>
      </c>
      <c r="AO640">
        <f t="shared" si="344"/>
        <v>32</v>
      </c>
      <c r="AP640">
        <f t="shared" si="345"/>
        <v>40</v>
      </c>
      <c r="AQ640">
        <f t="shared" si="346"/>
        <v>43</v>
      </c>
      <c r="AR640" s="26">
        <f t="shared" si="347"/>
        <v>56</v>
      </c>
      <c r="AS640" s="26">
        <f t="shared" si="348"/>
        <v>63</v>
      </c>
      <c r="AT640" s="21">
        <f t="shared" si="349"/>
        <v>12</v>
      </c>
      <c r="AU640" s="21">
        <f t="shared" si="350"/>
        <v>19</v>
      </c>
      <c r="AV640">
        <f t="shared" si="351"/>
        <v>73</v>
      </c>
      <c r="AW640">
        <f t="shared" si="352"/>
        <v>76</v>
      </c>
      <c r="AX640">
        <f t="shared" si="353"/>
        <v>84</v>
      </c>
      <c r="AY640">
        <f t="shared" si="354"/>
        <v>87</v>
      </c>
      <c r="AZ640">
        <f t="shared" si="355"/>
        <v>100</v>
      </c>
      <c r="BA640">
        <f t="shared" si="356"/>
        <v>107</v>
      </c>
      <c r="BB640">
        <f t="shared" si="357"/>
        <v>117</v>
      </c>
      <c r="BC640">
        <f t="shared" si="358"/>
        <v>120</v>
      </c>
      <c r="BD640" s="29">
        <f t="shared" si="359"/>
        <v>128</v>
      </c>
      <c r="BE640" s="29">
        <f t="shared" si="360"/>
        <v>131</v>
      </c>
    </row>
    <row r="641" spans="1:57" ht="15" x14ac:dyDescent="0.2">
      <c r="A641" s="2">
        <v>4</v>
      </c>
      <c r="B641" s="2" t="str">
        <f t="shared" si="325"/>
        <v>0004</v>
      </c>
      <c r="C641" t="str">
        <f t="shared" si="326"/>
        <v>ORD-SP-0004-21/08/24</v>
      </c>
      <c r="D641" s="3" t="s">
        <v>78</v>
      </c>
      <c r="E641" t="str">
        <f t="shared" si="327"/>
        <v>PP001</v>
      </c>
      <c r="F641" t="str">
        <f>INDEX(Katalog!$B$4:$B$13,MATCH('Main Data'!E641,Katalog!$C$4:$C$13,0))</f>
        <v>Kaos Polo</v>
      </c>
      <c r="G641" t="str">
        <f>VLOOKUP(E641,Katalog!$A$15:$B$25,2,0)</f>
        <v>Pakaian Pria</v>
      </c>
      <c r="H641" t="str">
        <f t="shared" si="328"/>
        <v>1</v>
      </c>
      <c r="I641" t="str">
        <f t="shared" si="329"/>
        <v>1</v>
      </c>
      <c r="J641" s="18">
        <f>VLOOKUP(E641,Katalog!$C$3:$F$13,2,0)</f>
        <v>80000</v>
      </c>
      <c r="K641" s="18">
        <f>VLOOKUP(E641,Katalog!$C$3:$F$13,3,0)</f>
        <v>30000</v>
      </c>
      <c r="L641" t="str">
        <f t="shared" si="330"/>
        <v>PP002</v>
      </c>
      <c r="M641" t="str">
        <f>IFERROR(INDEX(Katalog!$B$4:$B$13,MATCH('Main Data'!L641,Katalog!$C$4:$C$13,0)), "-")</f>
        <v>Celana Pendek</v>
      </c>
      <c r="N641" t="str">
        <f>IFERROR(VLOOKUP(L641,Katalog!$A$15:$B$25,2,0),"-")</f>
        <v>Pakaian Pria</v>
      </c>
      <c r="O641" t="str">
        <f t="shared" si="331"/>
        <v>1</v>
      </c>
      <c r="P641" t="str">
        <f t="shared" si="332"/>
        <v>3</v>
      </c>
      <c r="Q641" s="18">
        <f>IFERROR(VLOOKUP(L641,Katalog!$C$3:$F$13,2,0),0)</f>
        <v>60000</v>
      </c>
      <c r="R641" s="18">
        <f>IFERROR(VLOOKUP(L641,Katalog!$C$3:$F$13,3,0),0)</f>
        <v>25000</v>
      </c>
      <c r="S641" t="str">
        <f t="shared" si="333"/>
        <v>PU001</v>
      </c>
      <c r="T641" t="str">
        <f>IFERROR(INDEX(Katalog!$B$4:$B$13,MATCH('Main Data'!S641,Katalog!$C$4:$C$13,0)),"-")</f>
        <v>Jaket Hoodie</v>
      </c>
      <c r="U641" t="str">
        <f>IFERROR(VLOOKUP(S641,Katalog!$A$15:$B$25,2,0),"-")</f>
        <v>Pakaian Unisex</v>
      </c>
      <c r="V641" t="str">
        <f t="shared" si="334"/>
        <v>3</v>
      </c>
      <c r="W641" s="28" t="str">
        <f t="shared" si="335"/>
        <v>2</v>
      </c>
      <c r="X641" s="18">
        <f>IFERROR(VLOOKUP(S641,Katalog!$C$3:$F$13,2,0),0)</f>
        <v>160000</v>
      </c>
      <c r="Y641" s="30">
        <f>IFERROR(VLOOKUP(S641,Katalog!$C$3:$F$13,3,0),0)</f>
        <v>60000</v>
      </c>
      <c r="Z641" s="2">
        <f t="shared" si="336"/>
        <v>5</v>
      </c>
      <c r="AA641" s="4">
        <f t="shared" si="337"/>
        <v>620000</v>
      </c>
      <c r="AB641" s="4">
        <f t="shared" si="338"/>
        <v>235000</v>
      </c>
      <c r="AC641" s="4" t="s">
        <v>7</v>
      </c>
      <c r="AD641" s="16">
        <f>IFERROR(VLOOKUP(AC641,'Kode Diskon'!$C$2:$D$9,2,0),0)</f>
        <v>0.2</v>
      </c>
      <c r="AE641" s="31">
        <f t="shared" si="339"/>
        <v>124000</v>
      </c>
      <c r="AF641" s="31">
        <f t="shared" si="340"/>
        <v>496000</v>
      </c>
      <c r="AG641" s="31">
        <f t="shared" si="341"/>
        <v>385000</v>
      </c>
      <c r="AH641" s="31">
        <f t="shared" si="342"/>
        <v>261000</v>
      </c>
      <c r="AI641" s="4" t="s">
        <v>8</v>
      </c>
      <c r="AJ641" s="4" t="s">
        <v>6</v>
      </c>
      <c r="AK641" s="4" t="str">
        <f>IFERROR(VLOOKUP(AJ641,'Guide '!$A$13:$B$16,2,0),"-")</f>
        <v>SP</v>
      </c>
      <c r="AL641" s="4" t="s">
        <v>922</v>
      </c>
      <c r="AM641" s="40">
        <v>45525</v>
      </c>
      <c r="AN641">
        <f t="shared" si="343"/>
        <v>29</v>
      </c>
      <c r="AO641">
        <f t="shared" si="344"/>
        <v>32</v>
      </c>
      <c r="AP641">
        <f t="shared" si="345"/>
        <v>40</v>
      </c>
      <c r="AQ641">
        <f t="shared" si="346"/>
        <v>43</v>
      </c>
      <c r="AR641" s="26">
        <f t="shared" si="347"/>
        <v>56</v>
      </c>
      <c r="AS641" s="26">
        <f t="shared" si="348"/>
        <v>63</v>
      </c>
      <c r="AT641" s="21">
        <f t="shared" si="349"/>
        <v>12</v>
      </c>
      <c r="AU641" s="21">
        <f t="shared" si="350"/>
        <v>19</v>
      </c>
      <c r="AV641">
        <f t="shared" si="351"/>
        <v>73</v>
      </c>
      <c r="AW641">
        <f t="shared" si="352"/>
        <v>76</v>
      </c>
      <c r="AX641">
        <f t="shared" si="353"/>
        <v>84</v>
      </c>
      <c r="AY641">
        <f t="shared" si="354"/>
        <v>87</v>
      </c>
      <c r="AZ641">
        <f t="shared" si="355"/>
        <v>100</v>
      </c>
      <c r="BA641">
        <f t="shared" si="356"/>
        <v>107</v>
      </c>
      <c r="BB641">
        <f t="shared" si="357"/>
        <v>117</v>
      </c>
      <c r="BC641">
        <f t="shared" si="358"/>
        <v>120</v>
      </c>
      <c r="BD641" s="29">
        <f t="shared" si="359"/>
        <v>128</v>
      </c>
      <c r="BE641" s="29">
        <f t="shared" si="360"/>
        <v>131</v>
      </c>
    </row>
    <row r="642" spans="1:57" ht="15" x14ac:dyDescent="0.2">
      <c r="A642" s="2">
        <v>186</v>
      </c>
      <c r="B642" s="2" t="str">
        <f t="shared" si="325"/>
        <v>0186</v>
      </c>
      <c r="C642" t="str">
        <f t="shared" si="326"/>
        <v>ORD-BB-0186-21/08/24</v>
      </c>
      <c r="D642" s="3" t="s">
        <v>255</v>
      </c>
      <c r="E642" t="str">
        <f t="shared" si="327"/>
        <v>PP001</v>
      </c>
      <c r="F642" t="str">
        <f>INDEX(Katalog!$B$4:$B$13,MATCH('Main Data'!E642,Katalog!$C$4:$C$13,0))</f>
        <v>Kaos Polo</v>
      </c>
      <c r="G642" t="str">
        <f>VLOOKUP(E642,Katalog!$A$15:$B$25,2,0)</f>
        <v>Pakaian Pria</v>
      </c>
      <c r="H642" t="str">
        <f t="shared" si="328"/>
        <v>4</v>
      </c>
      <c r="I642" t="str">
        <f t="shared" si="329"/>
        <v>2</v>
      </c>
      <c r="J642" s="18">
        <f>VLOOKUP(E642,Katalog!$C$3:$F$13,2,0)</f>
        <v>80000</v>
      </c>
      <c r="K642" s="18">
        <f>VLOOKUP(E642,Katalog!$C$3:$F$13,3,0)</f>
        <v>30000</v>
      </c>
      <c r="L642" t="str">
        <f t="shared" si="330"/>
        <v>PW001</v>
      </c>
      <c r="M642" t="str">
        <f>IFERROR(INDEX(Katalog!$B$4:$B$13,MATCH('Main Data'!L642,Katalog!$C$4:$C$13,0)), "-")</f>
        <v>Dress</v>
      </c>
      <c r="N642" t="str">
        <f>IFERROR(VLOOKUP(L642,Katalog!$A$15:$B$25,2,0),"-")</f>
        <v>Pakaian Wanita</v>
      </c>
      <c r="O642" t="str">
        <f t="shared" si="331"/>
        <v>1</v>
      </c>
      <c r="P642" t="str">
        <f t="shared" si="332"/>
        <v>4</v>
      </c>
      <c r="Q642" s="18">
        <f>IFERROR(VLOOKUP(L642,Katalog!$C$3:$F$13,2,0),0)</f>
        <v>150000</v>
      </c>
      <c r="R642" s="18">
        <f>IFERROR(VLOOKUP(L642,Katalog!$C$3:$F$13,3,0),0)</f>
        <v>55000</v>
      </c>
      <c r="S642" t="str">
        <f t="shared" si="333"/>
        <v>-</v>
      </c>
      <c r="T642" t="str">
        <f>IFERROR(INDEX(Katalog!$B$4:$B$13,MATCH('Main Data'!S642,Katalog!$C$4:$C$13,0)),"-")</f>
        <v>-</v>
      </c>
      <c r="U642" t="str">
        <f>IFERROR(VLOOKUP(S642,Katalog!$A$15:$B$25,2,0),"-")</f>
        <v>-</v>
      </c>
      <c r="V642">
        <f t="shared" si="334"/>
        <v>0</v>
      </c>
      <c r="W642" s="28" t="str">
        <f t="shared" si="335"/>
        <v>-</v>
      </c>
      <c r="X642" s="18">
        <f>IFERROR(VLOOKUP(S642,Katalog!$C$3:$F$13,2,0),0)</f>
        <v>0</v>
      </c>
      <c r="Y642" s="30">
        <f>IFERROR(VLOOKUP(S642,Katalog!$C$3:$F$13,3,0),0)</f>
        <v>0</v>
      </c>
      <c r="Z642" s="2">
        <f t="shared" si="336"/>
        <v>5</v>
      </c>
      <c r="AA642" s="4">
        <f t="shared" si="337"/>
        <v>470000</v>
      </c>
      <c r="AB642" s="4">
        <f t="shared" si="338"/>
        <v>175000</v>
      </c>
      <c r="AC642" s="4" t="s">
        <v>27</v>
      </c>
      <c r="AD642" s="16">
        <f>IFERROR(VLOOKUP(AC642,'Kode Diskon'!$C$2:$D$9,2,0),0)</f>
        <v>0.15</v>
      </c>
      <c r="AE642" s="31">
        <f t="shared" si="339"/>
        <v>70500</v>
      </c>
      <c r="AF642" s="31">
        <f t="shared" si="340"/>
        <v>399500</v>
      </c>
      <c r="AG642" s="31">
        <f t="shared" si="341"/>
        <v>295000</v>
      </c>
      <c r="AH642" s="31">
        <f t="shared" si="342"/>
        <v>224500</v>
      </c>
      <c r="AI642" s="4" t="s">
        <v>28</v>
      </c>
      <c r="AJ642" s="4" t="s">
        <v>13</v>
      </c>
      <c r="AK642" s="4" t="str">
        <f>IFERROR(VLOOKUP(AJ642,'Guide '!$A$13:$B$16,2,0),"-")</f>
        <v>BB</v>
      </c>
      <c r="AL642" s="4" t="s">
        <v>925</v>
      </c>
      <c r="AM642" s="40">
        <v>45525</v>
      </c>
      <c r="AN642">
        <f t="shared" si="343"/>
        <v>29</v>
      </c>
      <c r="AO642">
        <f t="shared" si="344"/>
        <v>32</v>
      </c>
      <c r="AP642">
        <f t="shared" si="345"/>
        <v>40</v>
      </c>
      <c r="AQ642">
        <f t="shared" si="346"/>
        <v>43</v>
      </c>
      <c r="AR642" s="26">
        <f t="shared" si="347"/>
        <v>56</v>
      </c>
      <c r="AS642" s="26">
        <f t="shared" si="348"/>
        <v>63</v>
      </c>
      <c r="AT642" s="21">
        <f t="shared" si="349"/>
        <v>12</v>
      </c>
      <c r="AU642" s="21">
        <f t="shared" si="350"/>
        <v>19</v>
      </c>
      <c r="AV642">
        <f t="shared" si="351"/>
        <v>73</v>
      </c>
      <c r="AW642">
        <f t="shared" si="352"/>
        <v>76</v>
      </c>
      <c r="AX642">
        <f t="shared" si="353"/>
        <v>84</v>
      </c>
      <c r="AY642">
        <f t="shared" si="354"/>
        <v>87</v>
      </c>
      <c r="AZ642" t="str">
        <f t="shared" si="355"/>
        <v>-</v>
      </c>
      <c r="BA642" t="str">
        <f t="shared" si="356"/>
        <v>-</v>
      </c>
      <c r="BB642" t="str">
        <f t="shared" si="357"/>
        <v>-</v>
      </c>
      <c r="BC642" t="str">
        <f t="shared" si="358"/>
        <v>-</v>
      </c>
      <c r="BD642" s="29" t="str">
        <f t="shared" si="359"/>
        <v>-</v>
      </c>
      <c r="BE642" s="29" t="str">
        <f t="shared" si="360"/>
        <v>-</v>
      </c>
    </row>
    <row r="643" spans="1:57" ht="15" x14ac:dyDescent="0.2">
      <c r="A643" s="2">
        <v>596</v>
      </c>
      <c r="B643" s="2" t="str">
        <f t="shared" ref="B643:B706" si="361">TEXT(A643,"0000")</f>
        <v>0596</v>
      </c>
      <c r="C643" t="str">
        <f t="shared" ref="C643:C706" si="362">CONCATENATE("ORD","-",AK643,"-",B643,"-",TEXT(AM643,"dd/mm/yy"))</f>
        <v>ORD-SP-0596-21/08/24</v>
      </c>
      <c r="D643" s="3" t="s">
        <v>609</v>
      </c>
      <c r="E643" t="str">
        <f t="shared" ref="E643:E706" si="363">MID(D643,AT643+2,AU643-AT643-2)</f>
        <v>PW003</v>
      </c>
      <c r="F643" t="str">
        <f>INDEX(Katalog!$B$4:$B$13,MATCH('Main Data'!E643,Katalog!$C$4:$C$13,0))</f>
        <v>Kaftan</v>
      </c>
      <c r="G643" t="str">
        <f>VLOOKUP(E643,Katalog!$A$15:$B$25,2,0)</f>
        <v>Pakaian Wanita</v>
      </c>
      <c r="H643" t="str">
        <f t="shared" ref="H643:H706" si="364">MID(D643,AN643+2,AO643-AN643-2)</f>
        <v>1</v>
      </c>
      <c r="I643" t="str">
        <f t="shared" ref="I643:I706" si="365">MID(D643,AP643+2,AQ643-AP643-2)</f>
        <v>3</v>
      </c>
      <c r="J643" s="18">
        <f>VLOOKUP(E643,Katalog!$C$3:$F$13,2,0)</f>
        <v>200000</v>
      </c>
      <c r="K643" s="18">
        <f>VLOOKUP(E643,Katalog!$C$3:$F$13,3,0)</f>
        <v>100000</v>
      </c>
      <c r="L643" t="str">
        <f t="shared" ref="L643:L706" si="366">IFERROR(MID(D643,AR643+2,AS643-AR643-2),"-")</f>
        <v>PP002</v>
      </c>
      <c r="M643" t="str">
        <f>IFERROR(INDEX(Katalog!$B$4:$B$13,MATCH('Main Data'!L643,Katalog!$C$4:$C$13,0)), "-")</f>
        <v>Celana Pendek</v>
      </c>
      <c r="N643" t="str">
        <f>IFERROR(VLOOKUP(L643,Katalog!$A$15:$B$25,2,0),"-")</f>
        <v>Pakaian Pria</v>
      </c>
      <c r="O643" t="str">
        <f t="shared" ref="O643:O706" si="367">IFERROR(MID(D643,AV643+2,AW643-AV643-2),0)</f>
        <v>5</v>
      </c>
      <c r="P643" t="str">
        <f t="shared" ref="P643:P706" si="368">IFERROR(MID(D643,AX643+2,AY643-AX643-2),"-")</f>
        <v>2</v>
      </c>
      <c r="Q643" s="18">
        <f>IFERROR(VLOOKUP(L643,Katalog!$C$3:$F$13,2,0),0)</f>
        <v>60000</v>
      </c>
      <c r="R643" s="18">
        <f>IFERROR(VLOOKUP(L643,Katalog!$C$3:$F$13,3,0),0)</f>
        <v>25000</v>
      </c>
      <c r="S643" t="str">
        <f t="shared" ref="S643:S706" si="369">IFERROR(MID(D643,AZ643+2,BA643-AZ643-2),"-")</f>
        <v>-</v>
      </c>
      <c r="T643" t="str">
        <f>IFERROR(INDEX(Katalog!$B$4:$B$13,MATCH('Main Data'!S643,Katalog!$C$4:$C$13,0)),"-")</f>
        <v>-</v>
      </c>
      <c r="U643" t="str">
        <f>IFERROR(VLOOKUP(S643,Katalog!$A$15:$B$25,2,0),"-")</f>
        <v>-</v>
      </c>
      <c r="V643">
        <f t="shared" ref="V643:V706" si="370">IFERROR(MID(D643,BB643+2,BC643-BB643-2),0)</f>
        <v>0</v>
      </c>
      <c r="W643" s="28" t="str">
        <f t="shared" ref="W643:W706" si="371">IFERROR(MID(D643,BD643+2,BE643-BD643-2),"-")</f>
        <v>-</v>
      </c>
      <c r="X643" s="18">
        <f>IFERROR(VLOOKUP(S643,Katalog!$C$3:$F$13,2,0),0)</f>
        <v>0</v>
      </c>
      <c r="Y643" s="30">
        <f>IFERROR(VLOOKUP(S643,Katalog!$C$3:$F$13,3,0),0)</f>
        <v>0</v>
      </c>
      <c r="Z643" s="2">
        <f t="shared" ref="Z643:Z706" si="372">H643+O643+V643</f>
        <v>6</v>
      </c>
      <c r="AA643" s="4">
        <f t="shared" ref="AA643:AA706" si="373">J643*H643+Q643*O643+X643*V643</f>
        <v>500000</v>
      </c>
      <c r="AB643" s="4">
        <f t="shared" ref="AB643:AB706" si="374">K643*H643+R643*O643+Y643*V643</f>
        <v>225000</v>
      </c>
      <c r="AC643" s="4" t="s">
        <v>12</v>
      </c>
      <c r="AD643" s="16">
        <f>IFERROR(VLOOKUP(AC643,'Kode Diskon'!$C$2:$D$9,2,0),0)</f>
        <v>0.15</v>
      </c>
      <c r="AE643" s="31">
        <f t="shared" ref="AE643:AE706" si="375">AA643*AD643</f>
        <v>75000</v>
      </c>
      <c r="AF643" s="31">
        <f t="shared" ref="AF643:AF706" si="376">AA643-AE643</f>
        <v>425000</v>
      </c>
      <c r="AG643" s="31">
        <f t="shared" ref="AG643:AG706" si="377">AA643-AB643</f>
        <v>275000</v>
      </c>
      <c r="AH643" s="31">
        <f t="shared" ref="AH643:AH706" si="378">AF643-AB643</f>
        <v>200000</v>
      </c>
      <c r="AI643" s="4" t="s">
        <v>28</v>
      </c>
      <c r="AJ643" s="4" t="s">
        <v>6</v>
      </c>
      <c r="AK643" s="4" t="str">
        <f>IFERROR(VLOOKUP(AJ643,'Guide '!$A$13:$B$16,2,0),"-")</f>
        <v>SP</v>
      </c>
      <c r="AL643" s="4" t="s">
        <v>922</v>
      </c>
      <c r="AM643" s="40">
        <v>45525</v>
      </c>
      <c r="AN643">
        <f t="shared" ref="AN643:AN706" si="379">FIND(":",D643,AT643+1)</f>
        <v>29</v>
      </c>
      <c r="AO643">
        <f t="shared" ref="AO643:AO706" si="380">FIND(",",D643,AU643+1)</f>
        <v>32</v>
      </c>
      <c r="AP643">
        <f t="shared" ref="AP643:AP706" si="381">FIND(":",D643,AN643+1)</f>
        <v>40</v>
      </c>
      <c r="AQ643">
        <f t="shared" ref="AQ643:AQ706" si="382">FIND("}",D643,AO643+1)</f>
        <v>43</v>
      </c>
      <c r="AR643" s="26">
        <f t="shared" ref="AR643:AR706" si="383">IFERROR(FIND(":",D643,AP643+1),"-")</f>
        <v>56</v>
      </c>
      <c r="AS643" s="26">
        <f t="shared" ref="AS643:AS706" si="384">IFERROR(FIND(",",D643,AQ643+2),"-")</f>
        <v>63</v>
      </c>
      <c r="AT643" s="21">
        <f t="shared" ref="AT643:AT706" si="385">FIND(":",D643)</f>
        <v>12</v>
      </c>
      <c r="AU643" s="21">
        <f t="shared" ref="AU643:AU706" si="386">FIND(",",D643)</f>
        <v>19</v>
      </c>
      <c r="AV643">
        <f t="shared" ref="AV643:AV706" si="387">IFERROR(FIND(":",D643,AR643+1),"-")</f>
        <v>73</v>
      </c>
      <c r="AW643">
        <f t="shared" ref="AW643:AW706" si="388">IFERROR(FIND(",",D643,AS643+1),"-")</f>
        <v>76</v>
      </c>
      <c r="AX643">
        <f t="shared" ref="AX643:AX706" si="389">IFERROR(FIND(":",D643,AV643+1),"-")</f>
        <v>84</v>
      </c>
      <c r="AY643">
        <f t="shared" ref="AY643:AY706" si="390">IFERROR(FIND("}",D643,AW643+1),"-")</f>
        <v>87</v>
      </c>
      <c r="AZ643" t="str">
        <f t="shared" ref="AZ643:AZ706" si="391">IFERROR(FIND(":",D643,AX643+1),"-")</f>
        <v>-</v>
      </c>
      <c r="BA643" t="str">
        <f t="shared" ref="BA643:BA706" si="392">IFERROR(FIND(",",D643,AY643+2),"-")</f>
        <v>-</v>
      </c>
      <c r="BB643" t="str">
        <f t="shared" ref="BB643:BB706" si="393">IFERROR(FIND(":",D643,AZ643+1),"-")</f>
        <v>-</v>
      </c>
      <c r="BC643" t="str">
        <f t="shared" ref="BC643:BC706" si="394">IFERROR(FIND(",",D643,BA643+1),"-")</f>
        <v>-</v>
      </c>
      <c r="BD643" s="29" t="str">
        <f t="shared" ref="BD643:BD706" si="395">IFERROR(FIND(":",D643,BB643+1),"-")</f>
        <v>-</v>
      </c>
      <c r="BE643" s="29" t="str">
        <f t="shared" ref="BE643:BE706" si="396">IFERROR(FIND("}",D643,BC643+1),"-")</f>
        <v>-</v>
      </c>
    </row>
    <row r="644" spans="1:57" ht="15" x14ac:dyDescent="0.2">
      <c r="A644" s="2">
        <v>673</v>
      </c>
      <c r="B644" s="2" t="str">
        <f t="shared" si="361"/>
        <v>0673</v>
      </c>
      <c r="C644" t="str">
        <f t="shared" si="362"/>
        <v>ORD-TK-0673-21/08/24</v>
      </c>
      <c r="D644" s="3" t="s">
        <v>671</v>
      </c>
      <c r="E644" t="str">
        <f t="shared" si="363"/>
        <v>PW003</v>
      </c>
      <c r="F644" t="str">
        <f>INDEX(Katalog!$B$4:$B$13,MATCH('Main Data'!E644,Katalog!$C$4:$C$13,0))</f>
        <v>Kaftan</v>
      </c>
      <c r="G644" t="str">
        <f>VLOOKUP(E644,Katalog!$A$15:$B$25,2,0)</f>
        <v>Pakaian Wanita</v>
      </c>
      <c r="H644" t="str">
        <f t="shared" si="364"/>
        <v>1</v>
      </c>
      <c r="I644" t="str">
        <f t="shared" si="365"/>
        <v>2</v>
      </c>
      <c r="J644" s="18">
        <f>VLOOKUP(E644,Katalog!$C$3:$F$13,2,0)</f>
        <v>200000</v>
      </c>
      <c r="K644" s="18">
        <f>VLOOKUP(E644,Katalog!$C$3:$F$13,3,0)</f>
        <v>100000</v>
      </c>
      <c r="L644" t="str">
        <f t="shared" si="366"/>
        <v>-</v>
      </c>
      <c r="M644" t="str">
        <f>IFERROR(INDEX(Katalog!$B$4:$B$13,MATCH('Main Data'!L644,Katalog!$C$4:$C$13,0)), "-")</f>
        <v>-</v>
      </c>
      <c r="N644" t="str">
        <f>IFERROR(VLOOKUP(L644,Katalog!$A$15:$B$25,2,0),"-")</f>
        <v>-</v>
      </c>
      <c r="O644">
        <f t="shared" si="367"/>
        <v>0</v>
      </c>
      <c r="P644" t="str">
        <f t="shared" si="368"/>
        <v>-</v>
      </c>
      <c r="Q644" s="18">
        <f>IFERROR(VLOOKUP(L644,Katalog!$C$3:$F$13,2,0),0)</f>
        <v>0</v>
      </c>
      <c r="R644" s="18">
        <f>IFERROR(VLOOKUP(L644,Katalog!$C$3:$F$13,3,0),0)</f>
        <v>0</v>
      </c>
      <c r="S644" t="str">
        <f t="shared" si="369"/>
        <v>-</v>
      </c>
      <c r="T644" t="str">
        <f>IFERROR(INDEX(Katalog!$B$4:$B$13,MATCH('Main Data'!S644,Katalog!$C$4:$C$13,0)),"-")</f>
        <v>-</v>
      </c>
      <c r="U644" t="str">
        <f>IFERROR(VLOOKUP(S644,Katalog!$A$15:$B$25,2,0),"-")</f>
        <v>-</v>
      </c>
      <c r="V644">
        <f t="shared" si="370"/>
        <v>0</v>
      </c>
      <c r="W644" s="28" t="str">
        <f t="shared" si="371"/>
        <v>-</v>
      </c>
      <c r="X644" s="18">
        <f>IFERROR(VLOOKUP(S644,Katalog!$C$3:$F$13,2,0),0)</f>
        <v>0</v>
      </c>
      <c r="Y644" s="30">
        <f>IFERROR(VLOOKUP(S644,Katalog!$C$3:$F$13,3,0),0)</f>
        <v>0</v>
      </c>
      <c r="Z644" s="2">
        <f t="shared" si="372"/>
        <v>1</v>
      </c>
      <c r="AA644" s="4">
        <f t="shared" si="373"/>
        <v>200000</v>
      </c>
      <c r="AB644" s="4">
        <f t="shared" si="374"/>
        <v>100000</v>
      </c>
      <c r="AC644" s="4" t="s">
        <v>30</v>
      </c>
      <c r="AD644" s="16">
        <f>IFERROR(VLOOKUP(AC644,'Kode Diskon'!$C$2:$D$9,2,0),0)</f>
        <v>0.1</v>
      </c>
      <c r="AE644" s="31">
        <f t="shared" si="375"/>
        <v>20000</v>
      </c>
      <c r="AF644" s="31">
        <f t="shared" si="376"/>
        <v>180000</v>
      </c>
      <c r="AG644" s="31">
        <f t="shared" si="377"/>
        <v>100000</v>
      </c>
      <c r="AH644" s="31">
        <f t="shared" si="378"/>
        <v>80000</v>
      </c>
      <c r="AI644" s="4" t="s">
        <v>8</v>
      </c>
      <c r="AJ644" s="4" t="s">
        <v>9</v>
      </c>
      <c r="AK644" s="4" t="str">
        <f>IFERROR(VLOOKUP(AJ644,'Guide '!$A$13:$B$16,2,0),"-")</f>
        <v>TK</v>
      </c>
      <c r="AL644" s="4" t="s">
        <v>923</v>
      </c>
      <c r="AM644" s="40">
        <v>45525</v>
      </c>
      <c r="AN644">
        <f t="shared" si="379"/>
        <v>29</v>
      </c>
      <c r="AO644">
        <f t="shared" si="380"/>
        <v>32</v>
      </c>
      <c r="AP644">
        <f t="shared" si="381"/>
        <v>40</v>
      </c>
      <c r="AQ644">
        <f t="shared" si="382"/>
        <v>43</v>
      </c>
      <c r="AR644" s="26" t="str">
        <f t="shared" si="383"/>
        <v>-</v>
      </c>
      <c r="AS644" s="26" t="str">
        <f t="shared" si="384"/>
        <v>-</v>
      </c>
      <c r="AT644" s="21">
        <f t="shared" si="385"/>
        <v>12</v>
      </c>
      <c r="AU644" s="21">
        <f t="shared" si="386"/>
        <v>19</v>
      </c>
      <c r="AV644" t="str">
        <f t="shared" si="387"/>
        <v>-</v>
      </c>
      <c r="AW644" t="str">
        <f t="shared" si="388"/>
        <v>-</v>
      </c>
      <c r="AX644" t="str">
        <f t="shared" si="389"/>
        <v>-</v>
      </c>
      <c r="AY644" t="str">
        <f t="shared" si="390"/>
        <v>-</v>
      </c>
      <c r="AZ644" t="str">
        <f t="shared" si="391"/>
        <v>-</v>
      </c>
      <c r="BA644" t="str">
        <f t="shared" si="392"/>
        <v>-</v>
      </c>
      <c r="BB644" t="str">
        <f t="shared" si="393"/>
        <v>-</v>
      </c>
      <c r="BC644" t="str">
        <f t="shared" si="394"/>
        <v>-</v>
      </c>
      <c r="BD644" s="29" t="str">
        <f t="shared" si="395"/>
        <v>-</v>
      </c>
      <c r="BE644" s="29" t="str">
        <f t="shared" si="396"/>
        <v>-</v>
      </c>
    </row>
    <row r="645" spans="1:57" ht="15" x14ac:dyDescent="0.2">
      <c r="A645" s="2">
        <v>714</v>
      </c>
      <c r="B645" s="2" t="str">
        <f t="shared" si="361"/>
        <v>0714</v>
      </c>
      <c r="C645" t="str">
        <f t="shared" si="362"/>
        <v>ORD-SP-0714-21/08/24</v>
      </c>
      <c r="D645" s="3" t="s">
        <v>703</v>
      </c>
      <c r="E645" t="str">
        <f t="shared" si="363"/>
        <v>PP001</v>
      </c>
      <c r="F645" t="str">
        <f>INDEX(Katalog!$B$4:$B$13,MATCH('Main Data'!E645,Katalog!$C$4:$C$13,0))</f>
        <v>Kaos Polo</v>
      </c>
      <c r="G645" t="str">
        <f>VLOOKUP(E645,Katalog!$A$15:$B$25,2,0)</f>
        <v>Pakaian Pria</v>
      </c>
      <c r="H645" t="str">
        <f t="shared" si="364"/>
        <v>2</v>
      </c>
      <c r="I645" t="str">
        <f t="shared" si="365"/>
        <v>2</v>
      </c>
      <c r="J645" s="18">
        <f>VLOOKUP(E645,Katalog!$C$3:$F$13,2,0)</f>
        <v>80000</v>
      </c>
      <c r="K645" s="18">
        <f>VLOOKUP(E645,Katalog!$C$3:$F$13,3,0)</f>
        <v>30000</v>
      </c>
      <c r="L645" t="str">
        <f t="shared" si="366"/>
        <v>SP002</v>
      </c>
      <c r="M645" t="str">
        <f>IFERROR(INDEX(Katalog!$B$4:$B$13,MATCH('Main Data'!L645,Katalog!$C$4:$C$13,0)), "-")</f>
        <v>Sandal Slip On</v>
      </c>
      <c r="N645" t="str">
        <f>IFERROR(VLOOKUP(L645,Katalog!$A$15:$B$25,2,0),"-")</f>
        <v>Sepatu Pria</v>
      </c>
      <c r="O645" t="str">
        <f t="shared" si="367"/>
        <v>1</v>
      </c>
      <c r="P645" t="str">
        <f t="shared" si="368"/>
        <v>3</v>
      </c>
      <c r="Q645" s="18">
        <f>IFERROR(VLOOKUP(L645,Katalog!$C$3:$F$13,2,0),0)</f>
        <v>120000</v>
      </c>
      <c r="R645" s="18">
        <f>IFERROR(VLOOKUP(L645,Katalog!$C$3:$F$13,3,0),0)</f>
        <v>60000</v>
      </c>
      <c r="S645" t="str">
        <f t="shared" si="369"/>
        <v>-</v>
      </c>
      <c r="T645" t="str">
        <f>IFERROR(INDEX(Katalog!$B$4:$B$13,MATCH('Main Data'!S645,Katalog!$C$4:$C$13,0)),"-")</f>
        <v>-</v>
      </c>
      <c r="U645" t="str">
        <f>IFERROR(VLOOKUP(S645,Katalog!$A$15:$B$25,2,0),"-")</f>
        <v>-</v>
      </c>
      <c r="V645">
        <f t="shared" si="370"/>
        <v>0</v>
      </c>
      <c r="W645" s="28" t="str">
        <f t="shared" si="371"/>
        <v>-</v>
      </c>
      <c r="X645" s="18">
        <f>IFERROR(VLOOKUP(S645,Katalog!$C$3:$F$13,2,0),0)</f>
        <v>0</v>
      </c>
      <c r="Y645" s="30">
        <f>IFERROR(VLOOKUP(S645,Katalog!$C$3:$F$13,3,0),0)</f>
        <v>0</v>
      </c>
      <c r="Z645" s="2">
        <f t="shared" si="372"/>
        <v>3</v>
      </c>
      <c r="AA645" s="4">
        <f t="shared" si="373"/>
        <v>280000</v>
      </c>
      <c r="AB645" s="4">
        <f t="shared" si="374"/>
        <v>120000</v>
      </c>
      <c r="AC645" s="4" t="s">
        <v>7</v>
      </c>
      <c r="AD645" s="16">
        <f>IFERROR(VLOOKUP(AC645,'Kode Diskon'!$C$2:$D$9,2,0),0)</f>
        <v>0.2</v>
      </c>
      <c r="AE645" s="31">
        <f t="shared" si="375"/>
        <v>56000</v>
      </c>
      <c r="AF645" s="31">
        <f t="shared" si="376"/>
        <v>224000</v>
      </c>
      <c r="AG645" s="31">
        <f t="shared" si="377"/>
        <v>160000</v>
      </c>
      <c r="AH645" s="31">
        <f t="shared" si="378"/>
        <v>104000</v>
      </c>
      <c r="AI645" s="4" t="s">
        <v>8</v>
      </c>
      <c r="AJ645" s="4" t="s">
        <v>6</v>
      </c>
      <c r="AK645" s="4" t="str">
        <f>IFERROR(VLOOKUP(AJ645,'Guide '!$A$13:$B$16,2,0),"-")</f>
        <v>SP</v>
      </c>
      <c r="AL645" s="4" t="s">
        <v>923</v>
      </c>
      <c r="AM645" s="40">
        <v>45525</v>
      </c>
      <c r="AN645">
        <f t="shared" si="379"/>
        <v>29</v>
      </c>
      <c r="AO645">
        <f t="shared" si="380"/>
        <v>32</v>
      </c>
      <c r="AP645">
        <f t="shared" si="381"/>
        <v>40</v>
      </c>
      <c r="AQ645">
        <f t="shared" si="382"/>
        <v>43</v>
      </c>
      <c r="AR645" s="26">
        <f t="shared" si="383"/>
        <v>56</v>
      </c>
      <c r="AS645" s="26">
        <f t="shared" si="384"/>
        <v>63</v>
      </c>
      <c r="AT645" s="21">
        <f t="shared" si="385"/>
        <v>12</v>
      </c>
      <c r="AU645" s="21">
        <f t="shared" si="386"/>
        <v>19</v>
      </c>
      <c r="AV645">
        <f t="shared" si="387"/>
        <v>73</v>
      </c>
      <c r="AW645">
        <f t="shared" si="388"/>
        <v>76</v>
      </c>
      <c r="AX645">
        <f t="shared" si="389"/>
        <v>84</v>
      </c>
      <c r="AY645">
        <f t="shared" si="390"/>
        <v>87</v>
      </c>
      <c r="AZ645" t="str">
        <f t="shared" si="391"/>
        <v>-</v>
      </c>
      <c r="BA645" t="str">
        <f t="shared" si="392"/>
        <v>-</v>
      </c>
      <c r="BB645" t="str">
        <f t="shared" si="393"/>
        <v>-</v>
      </c>
      <c r="BC645" t="str">
        <f t="shared" si="394"/>
        <v>-</v>
      </c>
      <c r="BD645" s="29" t="str">
        <f t="shared" si="395"/>
        <v>-</v>
      </c>
      <c r="BE645" s="29" t="str">
        <f t="shared" si="396"/>
        <v>-</v>
      </c>
    </row>
    <row r="646" spans="1:57" ht="15" x14ac:dyDescent="0.2">
      <c r="A646" s="2">
        <v>158</v>
      </c>
      <c r="B646" s="2" t="str">
        <f t="shared" si="361"/>
        <v>0158</v>
      </c>
      <c r="C646" t="str">
        <f t="shared" si="362"/>
        <v>ORD-SP-0158-22/08/24</v>
      </c>
      <c r="D646" s="3" t="s">
        <v>228</v>
      </c>
      <c r="E646" t="str">
        <f t="shared" si="363"/>
        <v>PU001</v>
      </c>
      <c r="F646" t="str">
        <f>INDEX(Katalog!$B$4:$B$13,MATCH('Main Data'!E646,Katalog!$C$4:$C$13,0))</f>
        <v>Jaket Hoodie</v>
      </c>
      <c r="G646" t="str">
        <f>VLOOKUP(E646,Katalog!$A$15:$B$25,2,0)</f>
        <v>Pakaian Unisex</v>
      </c>
      <c r="H646" t="str">
        <f t="shared" si="364"/>
        <v>4</v>
      </c>
      <c r="I646" t="str">
        <f t="shared" si="365"/>
        <v>3</v>
      </c>
      <c r="J646" s="18">
        <f>VLOOKUP(E646,Katalog!$C$3:$F$13,2,0)</f>
        <v>160000</v>
      </c>
      <c r="K646" s="18">
        <f>VLOOKUP(E646,Katalog!$C$3:$F$13,3,0)</f>
        <v>60000</v>
      </c>
      <c r="L646" t="str">
        <f t="shared" si="366"/>
        <v>PP003</v>
      </c>
      <c r="M646" t="str">
        <f>IFERROR(INDEX(Katalog!$B$4:$B$13,MATCH('Main Data'!L646,Katalog!$C$4:$C$13,0)), "-")</f>
        <v>Jaket Jeans</v>
      </c>
      <c r="N646" t="str">
        <f>IFERROR(VLOOKUP(L646,Katalog!$A$15:$B$25,2,0),"-")</f>
        <v>Pakaian Pria</v>
      </c>
      <c r="O646" t="str">
        <f t="shared" si="367"/>
        <v>2</v>
      </c>
      <c r="P646" t="str">
        <f t="shared" si="368"/>
        <v>5</v>
      </c>
      <c r="Q646" s="18">
        <f>IFERROR(VLOOKUP(L646,Katalog!$C$3:$F$13,2,0),0)</f>
        <v>150000</v>
      </c>
      <c r="R646" s="18">
        <f>IFERROR(VLOOKUP(L646,Katalog!$C$3:$F$13,3,0),0)</f>
        <v>70000</v>
      </c>
      <c r="S646" t="str">
        <f t="shared" si="369"/>
        <v>-</v>
      </c>
      <c r="T646" t="str">
        <f>IFERROR(INDEX(Katalog!$B$4:$B$13,MATCH('Main Data'!S646,Katalog!$C$4:$C$13,0)),"-")</f>
        <v>-</v>
      </c>
      <c r="U646" t="str">
        <f>IFERROR(VLOOKUP(S646,Katalog!$A$15:$B$25,2,0),"-")</f>
        <v>-</v>
      </c>
      <c r="V646">
        <f t="shared" si="370"/>
        <v>0</v>
      </c>
      <c r="W646" s="28" t="str">
        <f t="shared" si="371"/>
        <v>-</v>
      </c>
      <c r="X646" s="18">
        <f>IFERROR(VLOOKUP(S646,Katalog!$C$3:$F$13,2,0),0)</f>
        <v>0</v>
      </c>
      <c r="Y646" s="30">
        <f>IFERROR(VLOOKUP(S646,Katalog!$C$3:$F$13,3,0),0)</f>
        <v>0</v>
      </c>
      <c r="Z646" s="2">
        <f t="shared" si="372"/>
        <v>6</v>
      </c>
      <c r="AA646" s="4">
        <f t="shared" si="373"/>
        <v>940000</v>
      </c>
      <c r="AB646" s="4">
        <f t="shared" si="374"/>
        <v>380000</v>
      </c>
      <c r="AC646" s="4" t="s">
        <v>12</v>
      </c>
      <c r="AD646" s="16">
        <f>IFERROR(VLOOKUP(AC646,'Kode Diskon'!$C$2:$D$9,2,0),0)</f>
        <v>0.15</v>
      </c>
      <c r="AE646" s="31">
        <f t="shared" si="375"/>
        <v>141000</v>
      </c>
      <c r="AF646" s="31">
        <f t="shared" si="376"/>
        <v>799000</v>
      </c>
      <c r="AG646" s="31">
        <f t="shared" si="377"/>
        <v>560000</v>
      </c>
      <c r="AH646" s="31">
        <f t="shared" si="378"/>
        <v>419000</v>
      </c>
      <c r="AI646" s="4" t="s">
        <v>28</v>
      </c>
      <c r="AJ646" s="4" t="s">
        <v>6</v>
      </c>
      <c r="AK646" s="4" t="str">
        <f>IFERROR(VLOOKUP(AJ646,'Guide '!$A$13:$B$16,2,0),"-")</f>
        <v>SP</v>
      </c>
      <c r="AL646" s="4" t="s">
        <v>921</v>
      </c>
      <c r="AM646" s="40">
        <v>45526</v>
      </c>
      <c r="AN646">
        <f t="shared" si="379"/>
        <v>29</v>
      </c>
      <c r="AO646">
        <f t="shared" si="380"/>
        <v>32</v>
      </c>
      <c r="AP646">
        <f t="shared" si="381"/>
        <v>40</v>
      </c>
      <c r="AQ646">
        <f t="shared" si="382"/>
        <v>43</v>
      </c>
      <c r="AR646" s="26">
        <f t="shared" si="383"/>
        <v>56</v>
      </c>
      <c r="AS646" s="26">
        <f t="shared" si="384"/>
        <v>63</v>
      </c>
      <c r="AT646" s="21">
        <f t="shared" si="385"/>
        <v>12</v>
      </c>
      <c r="AU646" s="21">
        <f t="shared" si="386"/>
        <v>19</v>
      </c>
      <c r="AV646">
        <f t="shared" si="387"/>
        <v>73</v>
      </c>
      <c r="AW646">
        <f t="shared" si="388"/>
        <v>76</v>
      </c>
      <c r="AX646">
        <f t="shared" si="389"/>
        <v>84</v>
      </c>
      <c r="AY646">
        <f t="shared" si="390"/>
        <v>87</v>
      </c>
      <c r="AZ646" t="str">
        <f t="shared" si="391"/>
        <v>-</v>
      </c>
      <c r="BA646" t="str">
        <f t="shared" si="392"/>
        <v>-</v>
      </c>
      <c r="BB646" t="str">
        <f t="shared" si="393"/>
        <v>-</v>
      </c>
      <c r="BC646" t="str">
        <f t="shared" si="394"/>
        <v>-</v>
      </c>
      <c r="BD646" s="29" t="str">
        <f t="shared" si="395"/>
        <v>-</v>
      </c>
      <c r="BE646" s="29" t="str">
        <f t="shared" si="396"/>
        <v>-</v>
      </c>
    </row>
    <row r="647" spans="1:57" ht="15" x14ac:dyDescent="0.2">
      <c r="A647" s="2">
        <v>583</v>
      </c>
      <c r="B647" s="2" t="str">
        <f t="shared" si="361"/>
        <v>0583</v>
      </c>
      <c r="C647" t="str">
        <f t="shared" si="362"/>
        <v>ORD-BL-0583-22/08/24</v>
      </c>
      <c r="D647" s="3" t="s">
        <v>600</v>
      </c>
      <c r="E647" t="str">
        <f t="shared" si="363"/>
        <v>PW001</v>
      </c>
      <c r="F647" t="str">
        <f>INDEX(Katalog!$B$4:$B$13,MATCH('Main Data'!E647,Katalog!$C$4:$C$13,0))</f>
        <v>Dress</v>
      </c>
      <c r="G647" t="str">
        <f>VLOOKUP(E647,Katalog!$A$15:$B$25,2,0)</f>
        <v>Pakaian Wanita</v>
      </c>
      <c r="H647" t="str">
        <f t="shared" si="364"/>
        <v>2</v>
      </c>
      <c r="I647" t="str">
        <f t="shared" si="365"/>
        <v>2</v>
      </c>
      <c r="J647" s="18">
        <f>VLOOKUP(E647,Katalog!$C$3:$F$13,2,0)</f>
        <v>150000</v>
      </c>
      <c r="K647" s="18">
        <f>VLOOKUP(E647,Katalog!$C$3:$F$13,3,0)</f>
        <v>55000</v>
      </c>
      <c r="L647" t="str">
        <f t="shared" si="366"/>
        <v>-</v>
      </c>
      <c r="M647" t="str">
        <f>IFERROR(INDEX(Katalog!$B$4:$B$13,MATCH('Main Data'!L647,Katalog!$C$4:$C$13,0)), "-")</f>
        <v>-</v>
      </c>
      <c r="N647" t="str">
        <f>IFERROR(VLOOKUP(L647,Katalog!$A$15:$B$25,2,0),"-")</f>
        <v>-</v>
      </c>
      <c r="O647">
        <f t="shared" si="367"/>
        <v>0</v>
      </c>
      <c r="P647" t="str">
        <f t="shared" si="368"/>
        <v>-</v>
      </c>
      <c r="Q647" s="18">
        <f>IFERROR(VLOOKUP(L647,Katalog!$C$3:$F$13,2,0),0)</f>
        <v>0</v>
      </c>
      <c r="R647" s="18">
        <f>IFERROR(VLOOKUP(L647,Katalog!$C$3:$F$13,3,0),0)</f>
        <v>0</v>
      </c>
      <c r="S647" t="str">
        <f t="shared" si="369"/>
        <v>-</v>
      </c>
      <c r="T647" t="str">
        <f>IFERROR(INDEX(Katalog!$B$4:$B$13,MATCH('Main Data'!S647,Katalog!$C$4:$C$13,0)),"-")</f>
        <v>-</v>
      </c>
      <c r="U647" t="str">
        <f>IFERROR(VLOOKUP(S647,Katalog!$A$15:$B$25,2,0),"-")</f>
        <v>-</v>
      </c>
      <c r="V647">
        <f t="shared" si="370"/>
        <v>0</v>
      </c>
      <c r="W647" s="28" t="str">
        <f t="shared" si="371"/>
        <v>-</v>
      </c>
      <c r="X647" s="18">
        <f>IFERROR(VLOOKUP(S647,Katalog!$C$3:$F$13,2,0),0)</f>
        <v>0</v>
      </c>
      <c r="Y647" s="30">
        <f>IFERROR(VLOOKUP(S647,Katalog!$C$3:$F$13,3,0),0)</f>
        <v>0</v>
      </c>
      <c r="Z647" s="2">
        <f t="shared" si="372"/>
        <v>2</v>
      </c>
      <c r="AA647" s="4">
        <f t="shared" si="373"/>
        <v>300000</v>
      </c>
      <c r="AB647" s="4">
        <f t="shared" si="374"/>
        <v>110000</v>
      </c>
      <c r="AC647" s="4" t="s">
        <v>31</v>
      </c>
      <c r="AD647" s="16">
        <f>IFERROR(VLOOKUP(AC647,'Kode Diskon'!$C$2:$D$9,2,0),0)</f>
        <v>0.15</v>
      </c>
      <c r="AE647" s="31">
        <f t="shared" si="375"/>
        <v>45000</v>
      </c>
      <c r="AF647" s="31">
        <f t="shared" si="376"/>
        <v>255000</v>
      </c>
      <c r="AG647" s="31">
        <f t="shared" si="377"/>
        <v>190000</v>
      </c>
      <c r="AH647" s="31">
        <f t="shared" si="378"/>
        <v>145000</v>
      </c>
      <c r="AI647" s="4" t="s">
        <v>8</v>
      </c>
      <c r="AJ647" s="4" t="s">
        <v>11</v>
      </c>
      <c r="AK647" s="4" t="str">
        <f>IFERROR(VLOOKUP(AJ647,'Guide '!$A$13:$B$16,2,0),"-")</f>
        <v>BL</v>
      </c>
      <c r="AL647" s="4" t="s">
        <v>1006</v>
      </c>
      <c r="AM647" s="40">
        <v>45526</v>
      </c>
      <c r="AN647">
        <f t="shared" si="379"/>
        <v>29</v>
      </c>
      <c r="AO647">
        <f t="shared" si="380"/>
        <v>32</v>
      </c>
      <c r="AP647">
        <f t="shared" si="381"/>
        <v>40</v>
      </c>
      <c r="AQ647">
        <f t="shared" si="382"/>
        <v>43</v>
      </c>
      <c r="AR647" s="26" t="str">
        <f t="shared" si="383"/>
        <v>-</v>
      </c>
      <c r="AS647" s="26" t="str">
        <f t="shared" si="384"/>
        <v>-</v>
      </c>
      <c r="AT647" s="21">
        <f t="shared" si="385"/>
        <v>12</v>
      </c>
      <c r="AU647" s="21">
        <f t="shared" si="386"/>
        <v>19</v>
      </c>
      <c r="AV647" t="str">
        <f t="shared" si="387"/>
        <v>-</v>
      </c>
      <c r="AW647" t="str">
        <f t="shared" si="388"/>
        <v>-</v>
      </c>
      <c r="AX647" t="str">
        <f t="shared" si="389"/>
        <v>-</v>
      </c>
      <c r="AY647" t="str">
        <f t="shared" si="390"/>
        <v>-</v>
      </c>
      <c r="AZ647" t="str">
        <f t="shared" si="391"/>
        <v>-</v>
      </c>
      <c r="BA647" t="str">
        <f t="shared" si="392"/>
        <v>-</v>
      </c>
      <c r="BB647" t="str">
        <f t="shared" si="393"/>
        <v>-</v>
      </c>
      <c r="BC647" t="str">
        <f t="shared" si="394"/>
        <v>-</v>
      </c>
      <c r="BD647" s="29" t="str">
        <f t="shared" si="395"/>
        <v>-</v>
      </c>
      <c r="BE647" s="29" t="str">
        <f t="shared" si="396"/>
        <v>-</v>
      </c>
    </row>
    <row r="648" spans="1:57" ht="15" x14ac:dyDescent="0.2">
      <c r="A648" s="2">
        <v>641</v>
      </c>
      <c r="B648" s="2" t="str">
        <f t="shared" si="361"/>
        <v>0641</v>
      </c>
      <c r="C648" t="str">
        <f t="shared" si="362"/>
        <v>ORD-TK-0641-22/08/24</v>
      </c>
      <c r="D648" s="3" t="s">
        <v>323</v>
      </c>
      <c r="E648" t="str">
        <f t="shared" si="363"/>
        <v>PU001</v>
      </c>
      <c r="F648" t="str">
        <f>INDEX(Katalog!$B$4:$B$13,MATCH('Main Data'!E648,Katalog!$C$4:$C$13,0))</f>
        <v>Jaket Hoodie</v>
      </c>
      <c r="G648" t="str">
        <f>VLOOKUP(E648,Katalog!$A$15:$B$25,2,0)</f>
        <v>Pakaian Unisex</v>
      </c>
      <c r="H648" t="str">
        <f t="shared" si="364"/>
        <v>2</v>
      </c>
      <c r="I648" t="str">
        <f t="shared" si="365"/>
        <v>2</v>
      </c>
      <c r="J648" s="18">
        <f>VLOOKUP(E648,Katalog!$C$3:$F$13,2,0)</f>
        <v>160000</v>
      </c>
      <c r="K648" s="18">
        <f>VLOOKUP(E648,Katalog!$C$3:$F$13,3,0)</f>
        <v>60000</v>
      </c>
      <c r="L648" t="str">
        <f t="shared" si="366"/>
        <v>-</v>
      </c>
      <c r="M648" t="str">
        <f>IFERROR(INDEX(Katalog!$B$4:$B$13,MATCH('Main Data'!L648,Katalog!$C$4:$C$13,0)), "-")</f>
        <v>-</v>
      </c>
      <c r="N648" t="str">
        <f>IFERROR(VLOOKUP(L648,Katalog!$A$15:$B$25,2,0),"-")</f>
        <v>-</v>
      </c>
      <c r="O648">
        <f t="shared" si="367"/>
        <v>0</v>
      </c>
      <c r="P648" t="str">
        <f t="shared" si="368"/>
        <v>-</v>
      </c>
      <c r="Q648" s="18">
        <f>IFERROR(VLOOKUP(L648,Katalog!$C$3:$F$13,2,0),0)</f>
        <v>0</v>
      </c>
      <c r="R648" s="18">
        <f>IFERROR(VLOOKUP(L648,Katalog!$C$3:$F$13,3,0),0)</f>
        <v>0</v>
      </c>
      <c r="S648" t="str">
        <f t="shared" si="369"/>
        <v>-</v>
      </c>
      <c r="T648" t="str">
        <f>IFERROR(INDEX(Katalog!$B$4:$B$13,MATCH('Main Data'!S648,Katalog!$C$4:$C$13,0)),"-")</f>
        <v>-</v>
      </c>
      <c r="U648" t="str">
        <f>IFERROR(VLOOKUP(S648,Katalog!$A$15:$B$25,2,0),"-")</f>
        <v>-</v>
      </c>
      <c r="V648">
        <f t="shared" si="370"/>
        <v>0</v>
      </c>
      <c r="W648" s="28" t="str">
        <f t="shared" si="371"/>
        <v>-</v>
      </c>
      <c r="X648" s="18">
        <f>IFERROR(VLOOKUP(S648,Katalog!$C$3:$F$13,2,0),0)</f>
        <v>0</v>
      </c>
      <c r="Y648" s="30">
        <f>IFERROR(VLOOKUP(S648,Katalog!$C$3:$F$13,3,0),0)</f>
        <v>0</v>
      </c>
      <c r="Z648" s="2">
        <f t="shared" si="372"/>
        <v>2</v>
      </c>
      <c r="AA648" s="4">
        <f t="shared" si="373"/>
        <v>320000</v>
      </c>
      <c r="AB648" s="4">
        <f t="shared" si="374"/>
        <v>120000</v>
      </c>
      <c r="AC648" s="4" t="s">
        <v>29</v>
      </c>
      <c r="AD648" s="16">
        <f>IFERROR(VLOOKUP(AC648,'Kode Diskon'!$C$2:$D$9,2,0),0)</f>
        <v>0.1</v>
      </c>
      <c r="AE648" s="31">
        <f t="shared" si="375"/>
        <v>32000</v>
      </c>
      <c r="AF648" s="31">
        <f t="shared" si="376"/>
        <v>288000</v>
      </c>
      <c r="AG648" s="31">
        <f t="shared" si="377"/>
        <v>200000</v>
      </c>
      <c r="AH648" s="31">
        <f t="shared" si="378"/>
        <v>168000</v>
      </c>
      <c r="AI648" s="4" t="s">
        <v>28</v>
      </c>
      <c r="AJ648" s="4" t="s">
        <v>9</v>
      </c>
      <c r="AK648" s="4" t="str">
        <f>IFERROR(VLOOKUP(AJ648,'Guide '!$A$13:$B$16,2,0),"-")</f>
        <v>TK</v>
      </c>
      <c r="AL648" s="4" t="s">
        <v>1006</v>
      </c>
      <c r="AM648" s="40">
        <v>45526</v>
      </c>
      <c r="AN648">
        <f t="shared" si="379"/>
        <v>29</v>
      </c>
      <c r="AO648">
        <f t="shared" si="380"/>
        <v>32</v>
      </c>
      <c r="AP648">
        <f t="shared" si="381"/>
        <v>40</v>
      </c>
      <c r="AQ648">
        <f t="shared" si="382"/>
        <v>43</v>
      </c>
      <c r="AR648" s="26" t="str">
        <f t="shared" si="383"/>
        <v>-</v>
      </c>
      <c r="AS648" s="26" t="str">
        <f t="shared" si="384"/>
        <v>-</v>
      </c>
      <c r="AT648" s="21">
        <f t="shared" si="385"/>
        <v>12</v>
      </c>
      <c r="AU648" s="21">
        <f t="shared" si="386"/>
        <v>19</v>
      </c>
      <c r="AV648" t="str">
        <f t="shared" si="387"/>
        <v>-</v>
      </c>
      <c r="AW648" t="str">
        <f t="shared" si="388"/>
        <v>-</v>
      </c>
      <c r="AX648" t="str">
        <f t="shared" si="389"/>
        <v>-</v>
      </c>
      <c r="AY648" t="str">
        <f t="shared" si="390"/>
        <v>-</v>
      </c>
      <c r="AZ648" t="str">
        <f t="shared" si="391"/>
        <v>-</v>
      </c>
      <c r="BA648" t="str">
        <f t="shared" si="392"/>
        <v>-</v>
      </c>
      <c r="BB648" t="str">
        <f t="shared" si="393"/>
        <v>-</v>
      </c>
      <c r="BC648" t="str">
        <f t="shared" si="394"/>
        <v>-</v>
      </c>
      <c r="BD648" s="29" t="str">
        <f t="shared" si="395"/>
        <v>-</v>
      </c>
      <c r="BE648" s="29" t="str">
        <f t="shared" si="396"/>
        <v>-</v>
      </c>
    </row>
    <row r="649" spans="1:57" ht="15" x14ac:dyDescent="0.2">
      <c r="A649" s="2">
        <v>840</v>
      </c>
      <c r="B649" s="2" t="str">
        <f t="shared" si="361"/>
        <v>0840</v>
      </c>
      <c r="C649" t="str">
        <f t="shared" si="362"/>
        <v>ORD-SP-0840-22/08/24</v>
      </c>
      <c r="D649" s="3" t="s">
        <v>795</v>
      </c>
      <c r="E649" t="str">
        <f t="shared" si="363"/>
        <v>PU001</v>
      </c>
      <c r="F649" t="str">
        <f>INDEX(Katalog!$B$4:$B$13,MATCH('Main Data'!E649,Katalog!$C$4:$C$13,0))</f>
        <v>Jaket Hoodie</v>
      </c>
      <c r="G649" t="str">
        <f>VLOOKUP(E649,Katalog!$A$15:$B$25,2,0)</f>
        <v>Pakaian Unisex</v>
      </c>
      <c r="H649" t="str">
        <f t="shared" si="364"/>
        <v>3</v>
      </c>
      <c r="I649" t="str">
        <f t="shared" si="365"/>
        <v>2</v>
      </c>
      <c r="J649" s="18">
        <f>VLOOKUP(E649,Katalog!$C$3:$F$13,2,0)</f>
        <v>160000</v>
      </c>
      <c r="K649" s="18">
        <f>VLOOKUP(E649,Katalog!$C$3:$F$13,3,0)</f>
        <v>60000</v>
      </c>
      <c r="L649" t="str">
        <f t="shared" si="366"/>
        <v>PW003</v>
      </c>
      <c r="M649" t="str">
        <f>IFERROR(INDEX(Katalog!$B$4:$B$13,MATCH('Main Data'!L649,Katalog!$C$4:$C$13,0)), "-")</f>
        <v>Kaftan</v>
      </c>
      <c r="N649" t="str">
        <f>IFERROR(VLOOKUP(L649,Katalog!$A$15:$B$25,2,0),"-")</f>
        <v>Pakaian Wanita</v>
      </c>
      <c r="O649" t="str">
        <f t="shared" si="367"/>
        <v>1</v>
      </c>
      <c r="P649" t="str">
        <f t="shared" si="368"/>
        <v>5</v>
      </c>
      <c r="Q649" s="18">
        <f>IFERROR(VLOOKUP(L649,Katalog!$C$3:$F$13,2,0),0)</f>
        <v>200000</v>
      </c>
      <c r="R649" s="18">
        <f>IFERROR(VLOOKUP(L649,Katalog!$C$3:$F$13,3,0),0)</f>
        <v>100000</v>
      </c>
      <c r="S649" t="str">
        <f t="shared" si="369"/>
        <v>PP002</v>
      </c>
      <c r="T649" t="str">
        <f>IFERROR(INDEX(Katalog!$B$4:$B$13,MATCH('Main Data'!S649,Katalog!$C$4:$C$13,0)),"-")</f>
        <v>Celana Pendek</v>
      </c>
      <c r="U649" t="str">
        <f>IFERROR(VLOOKUP(S649,Katalog!$A$15:$B$25,2,0),"-")</f>
        <v>Pakaian Pria</v>
      </c>
      <c r="V649" t="str">
        <f t="shared" si="370"/>
        <v>2</v>
      </c>
      <c r="W649" s="28" t="str">
        <f t="shared" si="371"/>
        <v>3</v>
      </c>
      <c r="X649" s="18">
        <f>IFERROR(VLOOKUP(S649,Katalog!$C$3:$F$13,2,0),0)</f>
        <v>60000</v>
      </c>
      <c r="Y649" s="30">
        <f>IFERROR(VLOOKUP(S649,Katalog!$C$3:$F$13,3,0),0)</f>
        <v>25000</v>
      </c>
      <c r="Z649" s="2">
        <f t="shared" si="372"/>
        <v>6</v>
      </c>
      <c r="AA649" s="4">
        <f t="shared" si="373"/>
        <v>800000</v>
      </c>
      <c r="AB649" s="4">
        <f t="shared" si="374"/>
        <v>330000</v>
      </c>
      <c r="AC649" s="4" t="s">
        <v>7</v>
      </c>
      <c r="AD649" s="16">
        <f>IFERROR(VLOOKUP(AC649,'Kode Diskon'!$C$2:$D$9,2,0),0)</f>
        <v>0.2</v>
      </c>
      <c r="AE649" s="31">
        <f t="shared" si="375"/>
        <v>160000</v>
      </c>
      <c r="AF649" s="31">
        <f t="shared" si="376"/>
        <v>640000</v>
      </c>
      <c r="AG649" s="31">
        <f t="shared" si="377"/>
        <v>470000</v>
      </c>
      <c r="AH649" s="31">
        <f t="shared" si="378"/>
        <v>310000</v>
      </c>
      <c r="AI649" s="4" t="s">
        <v>8</v>
      </c>
      <c r="AJ649" s="4" t="s">
        <v>6</v>
      </c>
      <c r="AK649" s="4" t="str">
        <f>IFERROR(VLOOKUP(AJ649,'Guide '!$A$13:$B$16,2,0),"-")</f>
        <v>SP</v>
      </c>
      <c r="AL649" s="4" t="s">
        <v>1006</v>
      </c>
      <c r="AM649" s="40">
        <v>45526</v>
      </c>
      <c r="AN649">
        <f t="shared" si="379"/>
        <v>29</v>
      </c>
      <c r="AO649">
        <f t="shared" si="380"/>
        <v>32</v>
      </c>
      <c r="AP649">
        <f t="shared" si="381"/>
        <v>40</v>
      </c>
      <c r="AQ649">
        <f t="shared" si="382"/>
        <v>43</v>
      </c>
      <c r="AR649" s="26">
        <f t="shared" si="383"/>
        <v>56</v>
      </c>
      <c r="AS649" s="26">
        <f t="shared" si="384"/>
        <v>63</v>
      </c>
      <c r="AT649" s="21">
        <f t="shared" si="385"/>
        <v>12</v>
      </c>
      <c r="AU649" s="21">
        <f t="shared" si="386"/>
        <v>19</v>
      </c>
      <c r="AV649">
        <f t="shared" si="387"/>
        <v>73</v>
      </c>
      <c r="AW649">
        <f t="shared" si="388"/>
        <v>76</v>
      </c>
      <c r="AX649">
        <f t="shared" si="389"/>
        <v>84</v>
      </c>
      <c r="AY649">
        <f t="shared" si="390"/>
        <v>87</v>
      </c>
      <c r="AZ649">
        <f t="shared" si="391"/>
        <v>100</v>
      </c>
      <c r="BA649">
        <f t="shared" si="392"/>
        <v>107</v>
      </c>
      <c r="BB649">
        <f t="shared" si="393"/>
        <v>117</v>
      </c>
      <c r="BC649">
        <f t="shared" si="394"/>
        <v>120</v>
      </c>
      <c r="BD649" s="29">
        <f t="shared" si="395"/>
        <v>128</v>
      </c>
      <c r="BE649" s="29">
        <f t="shared" si="396"/>
        <v>131</v>
      </c>
    </row>
    <row r="650" spans="1:57" ht="15" x14ac:dyDescent="0.2">
      <c r="A650" s="2">
        <v>351</v>
      </c>
      <c r="B650" s="2" t="str">
        <f t="shared" si="361"/>
        <v>0351</v>
      </c>
      <c r="C650" t="str">
        <f t="shared" si="362"/>
        <v>ORD-SP-0351-23/08/24</v>
      </c>
      <c r="D650" s="3" t="s">
        <v>402</v>
      </c>
      <c r="E650" t="str">
        <f t="shared" si="363"/>
        <v>PW001</v>
      </c>
      <c r="F650" t="str">
        <f>INDEX(Katalog!$B$4:$B$13,MATCH('Main Data'!E650,Katalog!$C$4:$C$13,0))</f>
        <v>Dress</v>
      </c>
      <c r="G650" t="str">
        <f>VLOOKUP(E650,Katalog!$A$15:$B$25,2,0)</f>
        <v>Pakaian Wanita</v>
      </c>
      <c r="H650" t="str">
        <f t="shared" si="364"/>
        <v>6</v>
      </c>
      <c r="I650" t="str">
        <f t="shared" si="365"/>
        <v>5</v>
      </c>
      <c r="J650" s="18">
        <f>VLOOKUP(E650,Katalog!$C$3:$F$13,2,0)</f>
        <v>150000</v>
      </c>
      <c r="K650" s="18">
        <f>VLOOKUP(E650,Katalog!$C$3:$F$13,3,0)</f>
        <v>55000</v>
      </c>
      <c r="L650" t="str">
        <f t="shared" si="366"/>
        <v>SP002</v>
      </c>
      <c r="M650" t="str">
        <f>IFERROR(INDEX(Katalog!$B$4:$B$13,MATCH('Main Data'!L650,Katalog!$C$4:$C$13,0)), "-")</f>
        <v>Sandal Slip On</v>
      </c>
      <c r="N650" t="str">
        <f>IFERROR(VLOOKUP(L650,Katalog!$A$15:$B$25,2,0),"-")</f>
        <v>Sepatu Pria</v>
      </c>
      <c r="O650" t="str">
        <f t="shared" si="367"/>
        <v>1</v>
      </c>
      <c r="P650" t="str">
        <f t="shared" si="368"/>
        <v>1</v>
      </c>
      <c r="Q650" s="18">
        <f>IFERROR(VLOOKUP(L650,Katalog!$C$3:$F$13,2,0),0)</f>
        <v>120000</v>
      </c>
      <c r="R650" s="18">
        <f>IFERROR(VLOOKUP(L650,Katalog!$C$3:$F$13,3,0),0)</f>
        <v>60000</v>
      </c>
      <c r="S650" t="str">
        <f t="shared" si="369"/>
        <v>-</v>
      </c>
      <c r="T650" t="str">
        <f>IFERROR(INDEX(Katalog!$B$4:$B$13,MATCH('Main Data'!S650,Katalog!$C$4:$C$13,0)),"-")</f>
        <v>-</v>
      </c>
      <c r="U650" t="str">
        <f>IFERROR(VLOOKUP(S650,Katalog!$A$15:$B$25,2,0),"-")</f>
        <v>-</v>
      </c>
      <c r="V650">
        <f t="shared" si="370"/>
        <v>0</v>
      </c>
      <c r="W650" s="28" t="str">
        <f t="shared" si="371"/>
        <v>-</v>
      </c>
      <c r="X650" s="18">
        <f>IFERROR(VLOOKUP(S650,Katalog!$C$3:$F$13,2,0),0)</f>
        <v>0</v>
      </c>
      <c r="Y650" s="30">
        <f>IFERROR(VLOOKUP(S650,Katalog!$C$3:$F$13,3,0),0)</f>
        <v>0</v>
      </c>
      <c r="Z650" s="2">
        <f t="shared" si="372"/>
        <v>7</v>
      </c>
      <c r="AA650" s="4">
        <f t="shared" si="373"/>
        <v>1020000</v>
      </c>
      <c r="AB650" s="4">
        <f t="shared" si="374"/>
        <v>390000</v>
      </c>
      <c r="AC650" s="4" t="s">
        <v>10</v>
      </c>
      <c r="AD650" s="16">
        <f>IFERROR(VLOOKUP(AC650,'Kode Diskon'!$C$2:$D$9,2,0),0)</f>
        <v>0</v>
      </c>
      <c r="AE650" s="31">
        <f t="shared" si="375"/>
        <v>0</v>
      </c>
      <c r="AF650" s="31">
        <f t="shared" si="376"/>
        <v>1020000</v>
      </c>
      <c r="AG650" s="31">
        <f t="shared" si="377"/>
        <v>630000</v>
      </c>
      <c r="AH650" s="31">
        <f t="shared" si="378"/>
        <v>630000</v>
      </c>
      <c r="AI650" s="4" t="s">
        <v>10</v>
      </c>
      <c r="AJ650" s="4" t="s">
        <v>6</v>
      </c>
      <c r="AK650" s="4" t="str">
        <f>IFERROR(VLOOKUP(AJ650,'Guide '!$A$13:$B$16,2,0),"-")</f>
        <v>SP</v>
      </c>
      <c r="AL650" s="4" t="s">
        <v>925</v>
      </c>
      <c r="AM650" s="40">
        <v>45527</v>
      </c>
      <c r="AN650">
        <f t="shared" si="379"/>
        <v>29</v>
      </c>
      <c r="AO650">
        <f t="shared" si="380"/>
        <v>32</v>
      </c>
      <c r="AP650">
        <f t="shared" si="381"/>
        <v>40</v>
      </c>
      <c r="AQ650">
        <f t="shared" si="382"/>
        <v>43</v>
      </c>
      <c r="AR650" s="26">
        <f t="shared" si="383"/>
        <v>56</v>
      </c>
      <c r="AS650" s="26">
        <f t="shared" si="384"/>
        <v>63</v>
      </c>
      <c r="AT650" s="21">
        <f t="shared" si="385"/>
        <v>12</v>
      </c>
      <c r="AU650" s="21">
        <f t="shared" si="386"/>
        <v>19</v>
      </c>
      <c r="AV650">
        <f t="shared" si="387"/>
        <v>73</v>
      </c>
      <c r="AW650">
        <f t="shared" si="388"/>
        <v>76</v>
      </c>
      <c r="AX650">
        <f t="shared" si="389"/>
        <v>84</v>
      </c>
      <c r="AY650">
        <f t="shared" si="390"/>
        <v>87</v>
      </c>
      <c r="AZ650" t="str">
        <f t="shared" si="391"/>
        <v>-</v>
      </c>
      <c r="BA650" t="str">
        <f t="shared" si="392"/>
        <v>-</v>
      </c>
      <c r="BB650" t="str">
        <f t="shared" si="393"/>
        <v>-</v>
      </c>
      <c r="BC650" t="str">
        <f t="shared" si="394"/>
        <v>-</v>
      </c>
      <c r="BD650" s="29" t="str">
        <f t="shared" si="395"/>
        <v>-</v>
      </c>
      <c r="BE650" s="29" t="str">
        <f t="shared" si="396"/>
        <v>-</v>
      </c>
    </row>
    <row r="651" spans="1:57" ht="15" x14ac:dyDescent="0.2">
      <c r="A651" s="2">
        <v>471</v>
      </c>
      <c r="B651" s="2" t="str">
        <f t="shared" si="361"/>
        <v>0471</v>
      </c>
      <c r="C651" t="str">
        <f t="shared" si="362"/>
        <v>ORD-SP-0471-23/08/24</v>
      </c>
      <c r="D651" s="3" t="s">
        <v>507</v>
      </c>
      <c r="E651" t="str">
        <f t="shared" si="363"/>
        <v>PW002</v>
      </c>
      <c r="F651" t="str">
        <f>INDEX(Katalog!$B$4:$B$13,MATCH('Main Data'!E651,Katalog!$C$4:$C$13,0))</f>
        <v>Blouse</v>
      </c>
      <c r="G651" t="str">
        <f>VLOOKUP(E651,Katalog!$A$15:$B$25,2,0)</f>
        <v>Pakaian Wanita</v>
      </c>
      <c r="H651" t="str">
        <f t="shared" si="364"/>
        <v>6</v>
      </c>
      <c r="I651" t="str">
        <f t="shared" si="365"/>
        <v>5</v>
      </c>
      <c r="J651" s="18">
        <f>VLOOKUP(E651,Katalog!$C$3:$F$13,2,0)</f>
        <v>125000</v>
      </c>
      <c r="K651" s="18">
        <f>VLOOKUP(E651,Katalog!$C$3:$F$13,3,0)</f>
        <v>50000</v>
      </c>
      <c r="L651" t="str">
        <f t="shared" si="366"/>
        <v>SP001</v>
      </c>
      <c r="M651" t="str">
        <f>IFERROR(INDEX(Katalog!$B$4:$B$13,MATCH('Main Data'!L651,Katalog!$C$4:$C$13,0)), "-")</f>
        <v>Sneakers</v>
      </c>
      <c r="N651" t="str">
        <f>IFERROR(VLOOKUP(L651,Katalog!$A$15:$B$25,2,0),"-")</f>
        <v>Sepatu Pria</v>
      </c>
      <c r="O651" t="str">
        <f t="shared" si="367"/>
        <v>1</v>
      </c>
      <c r="P651" t="str">
        <f t="shared" si="368"/>
        <v>3</v>
      </c>
      <c r="Q651" s="18">
        <f>IFERROR(VLOOKUP(L651,Katalog!$C$3:$F$13,2,0),0)</f>
        <v>300000</v>
      </c>
      <c r="R651" s="18">
        <f>IFERROR(VLOOKUP(L651,Katalog!$C$3:$F$13,3,0),0)</f>
        <v>100000</v>
      </c>
      <c r="S651" t="str">
        <f t="shared" si="369"/>
        <v>-</v>
      </c>
      <c r="T651" t="str">
        <f>IFERROR(INDEX(Katalog!$B$4:$B$13,MATCH('Main Data'!S651,Katalog!$C$4:$C$13,0)),"-")</f>
        <v>-</v>
      </c>
      <c r="U651" t="str">
        <f>IFERROR(VLOOKUP(S651,Katalog!$A$15:$B$25,2,0),"-")</f>
        <v>-</v>
      </c>
      <c r="V651">
        <f t="shared" si="370"/>
        <v>0</v>
      </c>
      <c r="W651" s="28" t="str">
        <f t="shared" si="371"/>
        <v>-</v>
      </c>
      <c r="X651" s="18">
        <f>IFERROR(VLOOKUP(S651,Katalog!$C$3:$F$13,2,0),0)</f>
        <v>0</v>
      </c>
      <c r="Y651" s="30">
        <f>IFERROR(VLOOKUP(S651,Katalog!$C$3:$F$13,3,0),0)</f>
        <v>0</v>
      </c>
      <c r="Z651" s="2">
        <f t="shared" si="372"/>
        <v>7</v>
      </c>
      <c r="AA651" s="4">
        <f t="shared" si="373"/>
        <v>1050000</v>
      </c>
      <c r="AB651" s="4">
        <f t="shared" si="374"/>
        <v>400000</v>
      </c>
      <c r="AC651" s="4" t="s">
        <v>7</v>
      </c>
      <c r="AD651" s="16">
        <f>IFERROR(VLOOKUP(AC651,'Kode Diskon'!$C$2:$D$9,2,0),0)</f>
        <v>0.2</v>
      </c>
      <c r="AE651" s="31">
        <f t="shared" si="375"/>
        <v>210000</v>
      </c>
      <c r="AF651" s="31">
        <f t="shared" si="376"/>
        <v>840000</v>
      </c>
      <c r="AG651" s="31">
        <f t="shared" si="377"/>
        <v>650000</v>
      </c>
      <c r="AH651" s="31">
        <f t="shared" si="378"/>
        <v>440000</v>
      </c>
      <c r="AI651" s="4" t="s">
        <v>8</v>
      </c>
      <c r="AJ651" s="4" t="s">
        <v>6</v>
      </c>
      <c r="AK651" s="4" t="str">
        <f>IFERROR(VLOOKUP(AJ651,'Guide '!$A$13:$B$16,2,0),"-")</f>
        <v>SP</v>
      </c>
      <c r="AL651" s="4" t="s">
        <v>921</v>
      </c>
      <c r="AM651" s="40">
        <v>45527</v>
      </c>
      <c r="AN651">
        <f t="shared" si="379"/>
        <v>29</v>
      </c>
      <c r="AO651">
        <f t="shared" si="380"/>
        <v>32</v>
      </c>
      <c r="AP651">
        <f t="shared" si="381"/>
        <v>40</v>
      </c>
      <c r="AQ651">
        <f t="shared" si="382"/>
        <v>43</v>
      </c>
      <c r="AR651" s="26">
        <f t="shared" si="383"/>
        <v>56</v>
      </c>
      <c r="AS651" s="26">
        <f t="shared" si="384"/>
        <v>63</v>
      </c>
      <c r="AT651" s="21">
        <f t="shared" si="385"/>
        <v>12</v>
      </c>
      <c r="AU651" s="21">
        <f t="shared" si="386"/>
        <v>19</v>
      </c>
      <c r="AV651">
        <f t="shared" si="387"/>
        <v>73</v>
      </c>
      <c r="AW651">
        <f t="shared" si="388"/>
        <v>76</v>
      </c>
      <c r="AX651">
        <f t="shared" si="389"/>
        <v>84</v>
      </c>
      <c r="AY651">
        <f t="shared" si="390"/>
        <v>87</v>
      </c>
      <c r="AZ651" t="str">
        <f t="shared" si="391"/>
        <v>-</v>
      </c>
      <c r="BA651" t="str">
        <f t="shared" si="392"/>
        <v>-</v>
      </c>
      <c r="BB651" t="str">
        <f t="shared" si="393"/>
        <v>-</v>
      </c>
      <c r="BC651" t="str">
        <f t="shared" si="394"/>
        <v>-</v>
      </c>
      <c r="BD651" s="29" t="str">
        <f t="shared" si="395"/>
        <v>-</v>
      </c>
      <c r="BE651" s="29" t="str">
        <f t="shared" si="396"/>
        <v>-</v>
      </c>
    </row>
    <row r="652" spans="1:57" ht="15" x14ac:dyDescent="0.2">
      <c r="A652" s="2">
        <v>532</v>
      </c>
      <c r="B652" s="2" t="str">
        <f t="shared" si="361"/>
        <v>0532</v>
      </c>
      <c r="C652" t="str">
        <f t="shared" si="362"/>
        <v>ORD-SP-0532-23/08/24</v>
      </c>
      <c r="D652" s="3" t="s">
        <v>559</v>
      </c>
      <c r="E652" t="str">
        <f t="shared" si="363"/>
        <v>SP002</v>
      </c>
      <c r="F652" t="str">
        <f>INDEX(Katalog!$B$4:$B$13,MATCH('Main Data'!E652,Katalog!$C$4:$C$13,0))</f>
        <v>Sandal Slip On</v>
      </c>
      <c r="G652" t="str">
        <f>VLOOKUP(E652,Katalog!$A$15:$B$25,2,0)</f>
        <v>Sepatu Pria</v>
      </c>
      <c r="H652" t="str">
        <f t="shared" si="364"/>
        <v>1</v>
      </c>
      <c r="I652" t="str">
        <f t="shared" si="365"/>
        <v>1</v>
      </c>
      <c r="J652" s="18">
        <f>VLOOKUP(E652,Katalog!$C$3:$F$13,2,0)</f>
        <v>120000</v>
      </c>
      <c r="K652" s="18">
        <f>VLOOKUP(E652,Katalog!$C$3:$F$13,3,0)</f>
        <v>60000</v>
      </c>
      <c r="L652" t="str">
        <f t="shared" si="366"/>
        <v>PW002</v>
      </c>
      <c r="M652" t="str">
        <f>IFERROR(INDEX(Katalog!$B$4:$B$13,MATCH('Main Data'!L652,Katalog!$C$4:$C$13,0)), "-")</f>
        <v>Blouse</v>
      </c>
      <c r="N652" t="str">
        <f>IFERROR(VLOOKUP(L652,Katalog!$A$15:$B$25,2,0),"-")</f>
        <v>Pakaian Wanita</v>
      </c>
      <c r="O652" t="str">
        <f t="shared" si="367"/>
        <v>2</v>
      </c>
      <c r="P652" t="str">
        <f t="shared" si="368"/>
        <v>2</v>
      </c>
      <c r="Q652" s="18">
        <f>IFERROR(VLOOKUP(L652,Katalog!$C$3:$F$13,2,0),0)</f>
        <v>125000</v>
      </c>
      <c r="R652" s="18">
        <f>IFERROR(VLOOKUP(L652,Katalog!$C$3:$F$13,3,0),0)</f>
        <v>50000</v>
      </c>
      <c r="S652" t="str">
        <f t="shared" si="369"/>
        <v>-</v>
      </c>
      <c r="T652" t="str">
        <f>IFERROR(INDEX(Katalog!$B$4:$B$13,MATCH('Main Data'!S652,Katalog!$C$4:$C$13,0)),"-")</f>
        <v>-</v>
      </c>
      <c r="U652" t="str">
        <f>IFERROR(VLOOKUP(S652,Katalog!$A$15:$B$25,2,0),"-")</f>
        <v>-</v>
      </c>
      <c r="V652">
        <f t="shared" si="370"/>
        <v>0</v>
      </c>
      <c r="W652" s="28" t="str">
        <f t="shared" si="371"/>
        <v>-</v>
      </c>
      <c r="X652" s="18">
        <f>IFERROR(VLOOKUP(S652,Katalog!$C$3:$F$13,2,0),0)</f>
        <v>0</v>
      </c>
      <c r="Y652" s="30">
        <f>IFERROR(VLOOKUP(S652,Katalog!$C$3:$F$13,3,0),0)</f>
        <v>0</v>
      </c>
      <c r="Z652" s="2">
        <f t="shared" si="372"/>
        <v>3</v>
      </c>
      <c r="AA652" s="4">
        <f t="shared" si="373"/>
        <v>370000</v>
      </c>
      <c r="AB652" s="4">
        <f t="shared" si="374"/>
        <v>160000</v>
      </c>
      <c r="AC652" s="4" t="s">
        <v>12</v>
      </c>
      <c r="AD652" s="16">
        <f>IFERROR(VLOOKUP(AC652,'Kode Diskon'!$C$2:$D$9,2,0),0)</f>
        <v>0.15</v>
      </c>
      <c r="AE652" s="31">
        <f t="shared" si="375"/>
        <v>55500</v>
      </c>
      <c r="AF652" s="31">
        <f t="shared" si="376"/>
        <v>314500</v>
      </c>
      <c r="AG652" s="31">
        <f t="shared" si="377"/>
        <v>210000</v>
      </c>
      <c r="AH652" s="31">
        <f t="shared" si="378"/>
        <v>154500</v>
      </c>
      <c r="AI652" s="4" t="s">
        <v>28</v>
      </c>
      <c r="AJ652" s="4" t="s">
        <v>6</v>
      </c>
      <c r="AK652" s="4" t="str">
        <f>IFERROR(VLOOKUP(AJ652,'Guide '!$A$13:$B$16,2,0),"-")</f>
        <v>SP</v>
      </c>
      <c r="AL652" s="4" t="s">
        <v>925</v>
      </c>
      <c r="AM652" s="40">
        <v>45527</v>
      </c>
      <c r="AN652">
        <f t="shared" si="379"/>
        <v>29</v>
      </c>
      <c r="AO652">
        <f t="shared" si="380"/>
        <v>32</v>
      </c>
      <c r="AP652">
        <f t="shared" si="381"/>
        <v>40</v>
      </c>
      <c r="AQ652">
        <f t="shared" si="382"/>
        <v>43</v>
      </c>
      <c r="AR652" s="26">
        <f t="shared" si="383"/>
        <v>56</v>
      </c>
      <c r="AS652" s="26">
        <f t="shared" si="384"/>
        <v>63</v>
      </c>
      <c r="AT652" s="21">
        <f t="shared" si="385"/>
        <v>12</v>
      </c>
      <c r="AU652" s="21">
        <f t="shared" si="386"/>
        <v>19</v>
      </c>
      <c r="AV652">
        <f t="shared" si="387"/>
        <v>73</v>
      </c>
      <c r="AW652">
        <f t="shared" si="388"/>
        <v>76</v>
      </c>
      <c r="AX652">
        <f t="shared" si="389"/>
        <v>84</v>
      </c>
      <c r="AY652">
        <f t="shared" si="390"/>
        <v>87</v>
      </c>
      <c r="AZ652" t="str">
        <f t="shared" si="391"/>
        <v>-</v>
      </c>
      <c r="BA652" t="str">
        <f t="shared" si="392"/>
        <v>-</v>
      </c>
      <c r="BB652" t="str">
        <f t="shared" si="393"/>
        <v>-</v>
      </c>
      <c r="BC652" t="str">
        <f t="shared" si="394"/>
        <v>-</v>
      </c>
      <c r="BD652" s="29" t="str">
        <f t="shared" si="395"/>
        <v>-</v>
      </c>
      <c r="BE652" s="29" t="str">
        <f t="shared" si="396"/>
        <v>-</v>
      </c>
    </row>
    <row r="653" spans="1:57" ht="15" x14ac:dyDescent="0.2">
      <c r="A653" s="2">
        <v>885</v>
      </c>
      <c r="B653" s="2" t="str">
        <f t="shared" si="361"/>
        <v>0885</v>
      </c>
      <c r="C653" t="str">
        <f t="shared" si="362"/>
        <v>ORD-BB-0885-23/08/24</v>
      </c>
      <c r="D653" s="3" t="s">
        <v>826</v>
      </c>
      <c r="E653" t="str">
        <f t="shared" si="363"/>
        <v>SP001</v>
      </c>
      <c r="F653" t="str">
        <f>INDEX(Katalog!$B$4:$B$13,MATCH('Main Data'!E653,Katalog!$C$4:$C$13,0))</f>
        <v>Sneakers</v>
      </c>
      <c r="G653" t="str">
        <f>VLOOKUP(E653,Katalog!$A$15:$B$25,2,0)</f>
        <v>Sepatu Pria</v>
      </c>
      <c r="H653" t="str">
        <f t="shared" si="364"/>
        <v>4</v>
      </c>
      <c r="I653" t="str">
        <f t="shared" si="365"/>
        <v>5</v>
      </c>
      <c r="J653" s="18">
        <f>VLOOKUP(E653,Katalog!$C$3:$F$13,2,0)</f>
        <v>300000</v>
      </c>
      <c r="K653" s="18">
        <f>VLOOKUP(E653,Katalog!$C$3:$F$13,3,0)</f>
        <v>100000</v>
      </c>
      <c r="L653" t="str">
        <f t="shared" si="366"/>
        <v>PP001</v>
      </c>
      <c r="M653" t="str">
        <f>IFERROR(INDEX(Katalog!$B$4:$B$13,MATCH('Main Data'!L653,Katalog!$C$4:$C$13,0)), "-")</f>
        <v>Kaos Polo</v>
      </c>
      <c r="N653" t="str">
        <f>IFERROR(VLOOKUP(L653,Katalog!$A$15:$B$25,2,0),"-")</f>
        <v>Pakaian Pria</v>
      </c>
      <c r="O653" t="str">
        <f t="shared" si="367"/>
        <v>1</v>
      </c>
      <c r="P653" t="str">
        <f t="shared" si="368"/>
        <v>5</v>
      </c>
      <c r="Q653" s="18">
        <f>IFERROR(VLOOKUP(L653,Katalog!$C$3:$F$13,2,0),0)</f>
        <v>80000</v>
      </c>
      <c r="R653" s="18">
        <f>IFERROR(VLOOKUP(L653,Katalog!$C$3:$F$13,3,0),0)</f>
        <v>30000</v>
      </c>
      <c r="S653" t="str">
        <f t="shared" si="369"/>
        <v>-</v>
      </c>
      <c r="T653" t="str">
        <f>IFERROR(INDEX(Katalog!$B$4:$B$13,MATCH('Main Data'!S653,Katalog!$C$4:$C$13,0)),"-")</f>
        <v>-</v>
      </c>
      <c r="U653" t="str">
        <f>IFERROR(VLOOKUP(S653,Katalog!$A$15:$B$25,2,0),"-")</f>
        <v>-</v>
      </c>
      <c r="V653">
        <f t="shared" si="370"/>
        <v>0</v>
      </c>
      <c r="W653" s="28" t="str">
        <f t="shared" si="371"/>
        <v>-</v>
      </c>
      <c r="X653" s="18">
        <f>IFERROR(VLOOKUP(S653,Katalog!$C$3:$F$13,2,0),0)</f>
        <v>0</v>
      </c>
      <c r="Y653" s="30">
        <f>IFERROR(VLOOKUP(S653,Katalog!$C$3:$F$13,3,0),0)</f>
        <v>0</v>
      </c>
      <c r="Z653" s="2">
        <f t="shared" si="372"/>
        <v>5</v>
      </c>
      <c r="AA653" s="4">
        <f t="shared" si="373"/>
        <v>1280000</v>
      </c>
      <c r="AB653" s="4">
        <f t="shared" si="374"/>
        <v>430000</v>
      </c>
      <c r="AC653" s="4" t="s">
        <v>27</v>
      </c>
      <c r="AD653" s="16">
        <f>IFERROR(VLOOKUP(AC653,'Kode Diskon'!$C$2:$D$9,2,0),0)</f>
        <v>0.15</v>
      </c>
      <c r="AE653" s="31">
        <f t="shared" si="375"/>
        <v>192000</v>
      </c>
      <c r="AF653" s="31">
        <f t="shared" si="376"/>
        <v>1088000</v>
      </c>
      <c r="AG653" s="31">
        <f t="shared" si="377"/>
        <v>850000</v>
      </c>
      <c r="AH653" s="31">
        <f t="shared" si="378"/>
        <v>658000</v>
      </c>
      <c r="AI653" s="4" t="s">
        <v>28</v>
      </c>
      <c r="AJ653" s="4" t="s">
        <v>13</v>
      </c>
      <c r="AK653" s="4" t="str">
        <f>IFERROR(VLOOKUP(AJ653,'Guide '!$A$13:$B$16,2,0),"-")</f>
        <v>BB</v>
      </c>
      <c r="AL653" s="4" t="s">
        <v>922</v>
      </c>
      <c r="AM653" s="40">
        <v>45527</v>
      </c>
      <c r="AN653">
        <f t="shared" si="379"/>
        <v>29</v>
      </c>
      <c r="AO653">
        <f t="shared" si="380"/>
        <v>32</v>
      </c>
      <c r="AP653">
        <f t="shared" si="381"/>
        <v>40</v>
      </c>
      <c r="AQ653">
        <f t="shared" si="382"/>
        <v>43</v>
      </c>
      <c r="AR653" s="26">
        <f t="shared" si="383"/>
        <v>56</v>
      </c>
      <c r="AS653" s="26">
        <f t="shared" si="384"/>
        <v>63</v>
      </c>
      <c r="AT653" s="21">
        <f t="shared" si="385"/>
        <v>12</v>
      </c>
      <c r="AU653" s="21">
        <f t="shared" si="386"/>
        <v>19</v>
      </c>
      <c r="AV653">
        <f t="shared" si="387"/>
        <v>73</v>
      </c>
      <c r="AW653">
        <f t="shared" si="388"/>
        <v>76</v>
      </c>
      <c r="AX653">
        <f t="shared" si="389"/>
        <v>84</v>
      </c>
      <c r="AY653">
        <f t="shared" si="390"/>
        <v>87</v>
      </c>
      <c r="AZ653" t="str">
        <f t="shared" si="391"/>
        <v>-</v>
      </c>
      <c r="BA653" t="str">
        <f t="shared" si="392"/>
        <v>-</v>
      </c>
      <c r="BB653" t="str">
        <f t="shared" si="393"/>
        <v>-</v>
      </c>
      <c r="BC653" t="str">
        <f t="shared" si="394"/>
        <v>-</v>
      </c>
      <c r="BD653" s="29" t="str">
        <f t="shared" si="395"/>
        <v>-</v>
      </c>
      <c r="BE653" s="29" t="str">
        <f t="shared" si="396"/>
        <v>-</v>
      </c>
    </row>
    <row r="654" spans="1:57" ht="15" x14ac:dyDescent="0.2">
      <c r="A654" s="2">
        <v>920</v>
      </c>
      <c r="B654" s="2" t="str">
        <f t="shared" si="361"/>
        <v>0920</v>
      </c>
      <c r="C654" t="str">
        <f t="shared" si="362"/>
        <v>ORD-SP-0920-23/08/24</v>
      </c>
      <c r="D654" s="3" t="s">
        <v>485</v>
      </c>
      <c r="E654" t="str">
        <f t="shared" si="363"/>
        <v>PP001</v>
      </c>
      <c r="F654" t="str">
        <f>INDEX(Katalog!$B$4:$B$13,MATCH('Main Data'!E654,Katalog!$C$4:$C$13,0))</f>
        <v>Kaos Polo</v>
      </c>
      <c r="G654" t="str">
        <f>VLOOKUP(E654,Katalog!$A$15:$B$25,2,0)</f>
        <v>Pakaian Pria</v>
      </c>
      <c r="H654" t="str">
        <f t="shared" si="364"/>
        <v>1</v>
      </c>
      <c r="I654" t="str">
        <f t="shared" si="365"/>
        <v>5</v>
      </c>
      <c r="J654" s="18">
        <f>VLOOKUP(E654,Katalog!$C$3:$F$13,2,0)</f>
        <v>80000</v>
      </c>
      <c r="K654" s="18">
        <f>VLOOKUP(E654,Katalog!$C$3:$F$13,3,0)</f>
        <v>30000</v>
      </c>
      <c r="L654" t="str">
        <f t="shared" si="366"/>
        <v>-</v>
      </c>
      <c r="M654" t="str">
        <f>IFERROR(INDEX(Katalog!$B$4:$B$13,MATCH('Main Data'!L654,Katalog!$C$4:$C$13,0)), "-")</f>
        <v>-</v>
      </c>
      <c r="N654" t="str">
        <f>IFERROR(VLOOKUP(L654,Katalog!$A$15:$B$25,2,0),"-")</f>
        <v>-</v>
      </c>
      <c r="O654">
        <f t="shared" si="367"/>
        <v>0</v>
      </c>
      <c r="P654" t="str">
        <f t="shared" si="368"/>
        <v>-</v>
      </c>
      <c r="Q654" s="18">
        <f>IFERROR(VLOOKUP(L654,Katalog!$C$3:$F$13,2,0),0)</f>
        <v>0</v>
      </c>
      <c r="R654" s="18">
        <f>IFERROR(VLOOKUP(L654,Katalog!$C$3:$F$13,3,0),0)</f>
        <v>0</v>
      </c>
      <c r="S654" t="str">
        <f t="shared" si="369"/>
        <v>-</v>
      </c>
      <c r="T654" t="str">
        <f>IFERROR(INDEX(Katalog!$B$4:$B$13,MATCH('Main Data'!S654,Katalog!$C$4:$C$13,0)),"-")</f>
        <v>-</v>
      </c>
      <c r="U654" t="str">
        <f>IFERROR(VLOOKUP(S654,Katalog!$A$15:$B$25,2,0),"-")</f>
        <v>-</v>
      </c>
      <c r="V654">
        <f t="shared" si="370"/>
        <v>0</v>
      </c>
      <c r="W654" s="28" t="str">
        <f t="shared" si="371"/>
        <v>-</v>
      </c>
      <c r="X654" s="18">
        <f>IFERROR(VLOOKUP(S654,Katalog!$C$3:$F$13,2,0),0)</f>
        <v>0</v>
      </c>
      <c r="Y654" s="30">
        <f>IFERROR(VLOOKUP(S654,Katalog!$C$3:$F$13,3,0),0)</f>
        <v>0</v>
      </c>
      <c r="Z654" s="2">
        <f t="shared" si="372"/>
        <v>1</v>
      </c>
      <c r="AA654" s="4">
        <f t="shared" si="373"/>
        <v>80000</v>
      </c>
      <c r="AB654" s="4">
        <f t="shared" si="374"/>
        <v>30000</v>
      </c>
      <c r="AC654" s="4" t="s">
        <v>12</v>
      </c>
      <c r="AD654" s="16">
        <f>IFERROR(VLOOKUP(AC654,'Kode Diskon'!$C$2:$D$9,2,0),0)</f>
        <v>0.15</v>
      </c>
      <c r="AE654" s="31">
        <f t="shared" si="375"/>
        <v>12000</v>
      </c>
      <c r="AF654" s="31">
        <f t="shared" si="376"/>
        <v>68000</v>
      </c>
      <c r="AG654" s="31">
        <f t="shared" si="377"/>
        <v>50000</v>
      </c>
      <c r="AH654" s="31">
        <f t="shared" si="378"/>
        <v>38000</v>
      </c>
      <c r="AI654" s="4" t="s">
        <v>28</v>
      </c>
      <c r="AJ654" s="4" t="s">
        <v>6</v>
      </c>
      <c r="AK654" s="4" t="str">
        <f>IFERROR(VLOOKUP(AJ654,'Guide '!$A$13:$B$16,2,0),"-")</f>
        <v>SP</v>
      </c>
      <c r="AL654" s="4" t="s">
        <v>924</v>
      </c>
      <c r="AM654" s="40">
        <v>45527</v>
      </c>
      <c r="AN654">
        <f t="shared" si="379"/>
        <v>29</v>
      </c>
      <c r="AO654">
        <f t="shared" si="380"/>
        <v>32</v>
      </c>
      <c r="AP654">
        <f t="shared" si="381"/>
        <v>40</v>
      </c>
      <c r="AQ654">
        <f t="shared" si="382"/>
        <v>43</v>
      </c>
      <c r="AR654" s="26" t="str">
        <f t="shared" si="383"/>
        <v>-</v>
      </c>
      <c r="AS654" s="26" t="str">
        <f t="shared" si="384"/>
        <v>-</v>
      </c>
      <c r="AT654" s="21">
        <f t="shared" si="385"/>
        <v>12</v>
      </c>
      <c r="AU654" s="21">
        <f t="shared" si="386"/>
        <v>19</v>
      </c>
      <c r="AV654" t="str">
        <f t="shared" si="387"/>
        <v>-</v>
      </c>
      <c r="AW654" t="str">
        <f t="shared" si="388"/>
        <v>-</v>
      </c>
      <c r="AX654" t="str">
        <f t="shared" si="389"/>
        <v>-</v>
      </c>
      <c r="AY654" t="str">
        <f t="shared" si="390"/>
        <v>-</v>
      </c>
      <c r="AZ654" t="str">
        <f t="shared" si="391"/>
        <v>-</v>
      </c>
      <c r="BA654" t="str">
        <f t="shared" si="392"/>
        <v>-</v>
      </c>
      <c r="BB654" t="str">
        <f t="shared" si="393"/>
        <v>-</v>
      </c>
      <c r="BC654" t="str">
        <f t="shared" si="394"/>
        <v>-</v>
      </c>
      <c r="BD654" s="29" t="str">
        <f t="shared" si="395"/>
        <v>-</v>
      </c>
      <c r="BE654" s="29" t="str">
        <f t="shared" si="396"/>
        <v>-</v>
      </c>
    </row>
    <row r="655" spans="1:57" ht="15" x14ac:dyDescent="0.2">
      <c r="A655" s="2">
        <v>118</v>
      </c>
      <c r="B655" s="2" t="str">
        <f t="shared" si="361"/>
        <v>0118</v>
      </c>
      <c r="C655" t="str">
        <f t="shared" si="362"/>
        <v>ORD-TK-0118-24/08/24</v>
      </c>
      <c r="D655" s="3" t="s">
        <v>189</v>
      </c>
      <c r="E655" t="str">
        <f t="shared" si="363"/>
        <v>SW001</v>
      </c>
      <c r="F655" t="str">
        <f>INDEX(Katalog!$B$4:$B$13,MATCH('Main Data'!E655,Katalog!$C$4:$C$13,0))</f>
        <v>Flat Shoes</v>
      </c>
      <c r="G655" t="str">
        <f>VLOOKUP(E655,Katalog!$A$15:$B$25,2,0)</f>
        <v>Sepatu Wanita</v>
      </c>
      <c r="H655" t="str">
        <f t="shared" si="364"/>
        <v>1</v>
      </c>
      <c r="I655" t="str">
        <f t="shared" si="365"/>
        <v>5</v>
      </c>
      <c r="J655" s="18">
        <f>VLOOKUP(E655,Katalog!$C$3:$F$13,2,0)</f>
        <v>150000</v>
      </c>
      <c r="K655" s="18">
        <f>VLOOKUP(E655,Katalog!$C$3:$F$13,3,0)</f>
        <v>70000</v>
      </c>
      <c r="L655" t="str">
        <f t="shared" si="366"/>
        <v>PW003</v>
      </c>
      <c r="M655" t="str">
        <f>IFERROR(INDEX(Katalog!$B$4:$B$13,MATCH('Main Data'!L655,Katalog!$C$4:$C$13,0)), "-")</f>
        <v>Kaftan</v>
      </c>
      <c r="N655" t="str">
        <f>IFERROR(VLOOKUP(L655,Katalog!$A$15:$B$25,2,0),"-")</f>
        <v>Pakaian Wanita</v>
      </c>
      <c r="O655" t="str">
        <f t="shared" si="367"/>
        <v>1</v>
      </c>
      <c r="P655" t="str">
        <f t="shared" si="368"/>
        <v>2</v>
      </c>
      <c r="Q655" s="18">
        <f>IFERROR(VLOOKUP(L655,Katalog!$C$3:$F$13,2,0),0)</f>
        <v>200000</v>
      </c>
      <c r="R655" s="18">
        <f>IFERROR(VLOOKUP(L655,Katalog!$C$3:$F$13,3,0),0)</f>
        <v>100000</v>
      </c>
      <c r="S655" t="str">
        <f t="shared" si="369"/>
        <v>-</v>
      </c>
      <c r="T655" t="str">
        <f>IFERROR(INDEX(Katalog!$B$4:$B$13,MATCH('Main Data'!S655,Katalog!$C$4:$C$13,0)),"-")</f>
        <v>-</v>
      </c>
      <c r="U655" t="str">
        <f>IFERROR(VLOOKUP(S655,Katalog!$A$15:$B$25,2,0),"-")</f>
        <v>-</v>
      </c>
      <c r="V655">
        <f t="shared" si="370"/>
        <v>0</v>
      </c>
      <c r="W655" s="28" t="str">
        <f t="shared" si="371"/>
        <v>-</v>
      </c>
      <c r="X655" s="18">
        <f>IFERROR(VLOOKUP(S655,Katalog!$C$3:$F$13,2,0),0)</f>
        <v>0</v>
      </c>
      <c r="Y655" s="30">
        <f>IFERROR(VLOOKUP(S655,Katalog!$C$3:$F$13,3,0),0)</f>
        <v>0</v>
      </c>
      <c r="Z655" s="2">
        <f t="shared" si="372"/>
        <v>2</v>
      </c>
      <c r="AA655" s="4">
        <f t="shared" si="373"/>
        <v>350000</v>
      </c>
      <c r="AB655" s="4">
        <f t="shared" si="374"/>
        <v>170000</v>
      </c>
      <c r="AC655" s="4" t="s">
        <v>30</v>
      </c>
      <c r="AD655" s="16">
        <f>IFERROR(VLOOKUP(AC655,'Kode Diskon'!$C$2:$D$9,2,0),0)</f>
        <v>0.1</v>
      </c>
      <c r="AE655" s="31">
        <f t="shared" si="375"/>
        <v>35000</v>
      </c>
      <c r="AF655" s="31">
        <f t="shared" si="376"/>
        <v>315000</v>
      </c>
      <c r="AG655" s="31">
        <f t="shared" si="377"/>
        <v>180000</v>
      </c>
      <c r="AH655" s="31">
        <f t="shared" si="378"/>
        <v>145000</v>
      </c>
      <c r="AI655" s="4" t="s">
        <v>8</v>
      </c>
      <c r="AJ655" s="4" t="s">
        <v>9</v>
      </c>
      <c r="AK655" s="4" t="str">
        <f>IFERROR(VLOOKUP(AJ655,'Guide '!$A$13:$B$16,2,0),"-")</f>
        <v>TK</v>
      </c>
      <c r="AL655" s="4" t="s">
        <v>924</v>
      </c>
      <c r="AM655" s="40">
        <v>45528</v>
      </c>
      <c r="AN655">
        <f t="shared" si="379"/>
        <v>29</v>
      </c>
      <c r="AO655">
        <f t="shared" si="380"/>
        <v>32</v>
      </c>
      <c r="AP655">
        <f t="shared" si="381"/>
        <v>40</v>
      </c>
      <c r="AQ655">
        <f t="shared" si="382"/>
        <v>43</v>
      </c>
      <c r="AR655" s="26">
        <f t="shared" si="383"/>
        <v>56</v>
      </c>
      <c r="AS655" s="26">
        <f t="shared" si="384"/>
        <v>63</v>
      </c>
      <c r="AT655" s="21">
        <f t="shared" si="385"/>
        <v>12</v>
      </c>
      <c r="AU655" s="21">
        <f t="shared" si="386"/>
        <v>19</v>
      </c>
      <c r="AV655">
        <f t="shared" si="387"/>
        <v>73</v>
      </c>
      <c r="AW655">
        <f t="shared" si="388"/>
        <v>76</v>
      </c>
      <c r="AX655">
        <f t="shared" si="389"/>
        <v>84</v>
      </c>
      <c r="AY655">
        <f t="shared" si="390"/>
        <v>87</v>
      </c>
      <c r="AZ655" t="str">
        <f t="shared" si="391"/>
        <v>-</v>
      </c>
      <c r="BA655" t="str">
        <f t="shared" si="392"/>
        <v>-</v>
      </c>
      <c r="BB655" t="str">
        <f t="shared" si="393"/>
        <v>-</v>
      </c>
      <c r="BC655" t="str">
        <f t="shared" si="394"/>
        <v>-</v>
      </c>
      <c r="BD655" s="29" t="str">
        <f t="shared" si="395"/>
        <v>-</v>
      </c>
      <c r="BE655" s="29" t="str">
        <f t="shared" si="396"/>
        <v>-</v>
      </c>
    </row>
    <row r="656" spans="1:57" ht="15" x14ac:dyDescent="0.2">
      <c r="A656" s="2">
        <v>355</v>
      </c>
      <c r="B656" s="2" t="str">
        <f t="shared" si="361"/>
        <v>0355</v>
      </c>
      <c r="C656" t="str">
        <f t="shared" si="362"/>
        <v>ORD-SP-0355-25/08/24</v>
      </c>
      <c r="D656" s="3" t="s">
        <v>406</v>
      </c>
      <c r="E656" t="str">
        <f t="shared" si="363"/>
        <v>PU001</v>
      </c>
      <c r="F656" t="str">
        <f>INDEX(Katalog!$B$4:$B$13,MATCH('Main Data'!E656,Katalog!$C$4:$C$13,0))</f>
        <v>Jaket Hoodie</v>
      </c>
      <c r="G656" t="str">
        <f>VLOOKUP(E656,Katalog!$A$15:$B$25,2,0)</f>
        <v>Pakaian Unisex</v>
      </c>
      <c r="H656" t="str">
        <f t="shared" si="364"/>
        <v>4</v>
      </c>
      <c r="I656" t="str">
        <f t="shared" si="365"/>
        <v>1</v>
      </c>
      <c r="J656" s="18">
        <f>VLOOKUP(E656,Katalog!$C$3:$F$13,2,0)</f>
        <v>160000</v>
      </c>
      <c r="K656" s="18">
        <f>VLOOKUP(E656,Katalog!$C$3:$F$13,3,0)</f>
        <v>60000</v>
      </c>
      <c r="L656" t="str">
        <f t="shared" si="366"/>
        <v>PW002</v>
      </c>
      <c r="M656" t="str">
        <f>IFERROR(INDEX(Katalog!$B$4:$B$13,MATCH('Main Data'!L656,Katalog!$C$4:$C$13,0)), "-")</f>
        <v>Blouse</v>
      </c>
      <c r="N656" t="str">
        <f>IFERROR(VLOOKUP(L656,Katalog!$A$15:$B$25,2,0),"-")</f>
        <v>Pakaian Wanita</v>
      </c>
      <c r="O656" t="str">
        <f t="shared" si="367"/>
        <v>1</v>
      </c>
      <c r="P656" t="str">
        <f t="shared" si="368"/>
        <v>2</v>
      </c>
      <c r="Q656" s="18">
        <f>IFERROR(VLOOKUP(L656,Katalog!$C$3:$F$13,2,0),0)</f>
        <v>125000</v>
      </c>
      <c r="R656" s="18">
        <f>IFERROR(VLOOKUP(L656,Katalog!$C$3:$F$13,3,0),0)</f>
        <v>50000</v>
      </c>
      <c r="S656" t="str">
        <f t="shared" si="369"/>
        <v>PW001</v>
      </c>
      <c r="T656" t="str">
        <f>IFERROR(INDEX(Katalog!$B$4:$B$13,MATCH('Main Data'!S656,Katalog!$C$4:$C$13,0)),"-")</f>
        <v>Dress</v>
      </c>
      <c r="U656" t="str">
        <f>IFERROR(VLOOKUP(S656,Katalog!$A$15:$B$25,2,0),"-")</f>
        <v>Pakaian Wanita</v>
      </c>
      <c r="V656" t="str">
        <f t="shared" si="370"/>
        <v>1</v>
      </c>
      <c r="W656" s="28" t="str">
        <f t="shared" si="371"/>
        <v>2</v>
      </c>
      <c r="X656" s="18">
        <f>IFERROR(VLOOKUP(S656,Katalog!$C$3:$F$13,2,0),0)</f>
        <v>150000</v>
      </c>
      <c r="Y656" s="30">
        <f>IFERROR(VLOOKUP(S656,Katalog!$C$3:$F$13,3,0),0)</f>
        <v>55000</v>
      </c>
      <c r="Z656" s="2">
        <f t="shared" si="372"/>
        <v>6</v>
      </c>
      <c r="AA656" s="4">
        <f t="shared" si="373"/>
        <v>915000</v>
      </c>
      <c r="AB656" s="4">
        <f t="shared" si="374"/>
        <v>345000</v>
      </c>
      <c r="AC656" s="4" t="s">
        <v>7</v>
      </c>
      <c r="AD656" s="16">
        <f>IFERROR(VLOOKUP(AC656,'Kode Diskon'!$C$2:$D$9,2,0),0)</f>
        <v>0.2</v>
      </c>
      <c r="AE656" s="31">
        <f t="shared" si="375"/>
        <v>183000</v>
      </c>
      <c r="AF656" s="31">
        <f t="shared" si="376"/>
        <v>732000</v>
      </c>
      <c r="AG656" s="31">
        <f t="shared" si="377"/>
        <v>570000</v>
      </c>
      <c r="AH656" s="31">
        <f t="shared" si="378"/>
        <v>387000</v>
      </c>
      <c r="AI656" s="4" t="s">
        <v>8</v>
      </c>
      <c r="AJ656" s="4" t="s">
        <v>6</v>
      </c>
      <c r="AK656" s="4" t="str">
        <f>IFERROR(VLOOKUP(AJ656,'Guide '!$A$13:$B$16,2,0),"-")</f>
        <v>SP</v>
      </c>
      <c r="AL656" s="4" t="s">
        <v>1006</v>
      </c>
      <c r="AM656" s="40">
        <v>45529</v>
      </c>
      <c r="AN656">
        <f t="shared" si="379"/>
        <v>29</v>
      </c>
      <c r="AO656">
        <f t="shared" si="380"/>
        <v>32</v>
      </c>
      <c r="AP656">
        <f t="shared" si="381"/>
        <v>40</v>
      </c>
      <c r="AQ656">
        <f t="shared" si="382"/>
        <v>43</v>
      </c>
      <c r="AR656" s="26">
        <f t="shared" si="383"/>
        <v>56</v>
      </c>
      <c r="AS656" s="26">
        <f t="shared" si="384"/>
        <v>63</v>
      </c>
      <c r="AT656" s="21">
        <f t="shared" si="385"/>
        <v>12</v>
      </c>
      <c r="AU656" s="21">
        <f t="shared" si="386"/>
        <v>19</v>
      </c>
      <c r="AV656">
        <f t="shared" si="387"/>
        <v>73</v>
      </c>
      <c r="AW656">
        <f t="shared" si="388"/>
        <v>76</v>
      </c>
      <c r="AX656">
        <f t="shared" si="389"/>
        <v>84</v>
      </c>
      <c r="AY656">
        <f t="shared" si="390"/>
        <v>87</v>
      </c>
      <c r="AZ656">
        <f t="shared" si="391"/>
        <v>100</v>
      </c>
      <c r="BA656">
        <f t="shared" si="392"/>
        <v>107</v>
      </c>
      <c r="BB656">
        <f t="shared" si="393"/>
        <v>117</v>
      </c>
      <c r="BC656">
        <f t="shared" si="394"/>
        <v>120</v>
      </c>
      <c r="BD656" s="29">
        <f t="shared" si="395"/>
        <v>128</v>
      </c>
      <c r="BE656" s="29">
        <f t="shared" si="396"/>
        <v>131</v>
      </c>
    </row>
    <row r="657" spans="1:57" ht="15" x14ac:dyDescent="0.2">
      <c r="A657" s="2">
        <v>944</v>
      </c>
      <c r="B657" s="2" t="str">
        <f t="shared" si="361"/>
        <v>0944</v>
      </c>
      <c r="C657" t="str">
        <f t="shared" si="362"/>
        <v>ORD-SP-0944-25/08/24</v>
      </c>
      <c r="D657" s="3" t="s">
        <v>876</v>
      </c>
      <c r="E657" t="str">
        <f t="shared" si="363"/>
        <v>SP002</v>
      </c>
      <c r="F657" t="str">
        <f>INDEX(Katalog!$B$4:$B$13,MATCH('Main Data'!E657,Katalog!$C$4:$C$13,0))</f>
        <v>Sandal Slip On</v>
      </c>
      <c r="G657" t="str">
        <f>VLOOKUP(E657,Katalog!$A$15:$B$25,2,0)</f>
        <v>Sepatu Pria</v>
      </c>
      <c r="H657" t="str">
        <f t="shared" si="364"/>
        <v>5</v>
      </c>
      <c r="I657" t="str">
        <f t="shared" si="365"/>
        <v>4</v>
      </c>
      <c r="J657" s="18">
        <f>VLOOKUP(E657,Katalog!$C$3:$F$13,2,0)</f>
        <v>120000</v>
      </c>
      <c r="K657" s="18">
        <f>VLOOKUP(E657,Katalog!$C$3:$F$13,3,0)</f>
        <v>60000</v>
      </c>
      <c r="L657" t="str">
        <f t="shared" si="366"/>
        <v>-</v>
      </c>
      <c r="M657" t="str">
        <f>IFERROR(INDEX(Katalog!$B$4:$B$13,MATCH('Main Data'!L657,Katalog!$C$4:$C$13,0)), "-")</f>
        <v>-</v>
      </c>
      <c r="N657" t="str">
        <f>IFERROR(VLOOKUP(L657,Katalog!$A$15:$B$25,2,0),"-")</f>
        <v>-</v>
      </c>
      <c r="O657">
        <f t="shared" si="367"/>
        <v>0</v>
      </c>
      <c r="P657" t="str">
        <f t="shared" si="368"/>
        <v>-</v>
      </c>
      <c r="Q657" s="18">
        <f>IFERROR(VLOOKUP(L657,Katalog!$C$3:$F$13,2,0),0)</f>
        <v>0</v>
      </c>
      <c r="R657" s="18">
        <f>IFERROR(VLOOKUP(L657,Katalog!$C$3:$F$13,3,0),0)</f>
        <v>0</v>
      </c>
      <c r="S657" t="str">
        <f t="shared" si="369"/>
        <v>-</v>
      </c>
      <c r="T657" t="str">
        <f>IFERROR(INDEX(Katalog!$B$4:$B$13,MATCH('Main Data'!S657,Katalog!$C$4:$C$13,0)),"-")</f>
        <v>-</v>
      </c>
      <c r="U657" t="str">
        <f>IFERROR(VLOOKUP(S657,Katalog!$A$15:$B$25,2,0),"-")</f>
        <v>-</v>
      </c>
      <c r="V657">
        <f t="shared" si="370"/>
        <v>0</v>
      </c>
      <c r="W657" s="28" t="str">
        <f t="shared" si="371"/>
        <v>-</v>
      </c>
      <c r="X657" s="18">
        <f>IFERROR(VLOOKUP(S657,Katalog!$C$3:$F$13,2,0),0)</f>
        <v>0</v>
      </c>
      <c r="Y657" s="30">
        <f>IFERROR(VLOOKUP(S657,Katalog!$C$3:$F$13,3,0),0)</f>
        <v>0</v>
      </c>
      <c r="Z657" s="2">
        <f t="shared" si="372"/>
        <v>5</v>
      </c>
      <c r="AA657" s="4">
        <f t="shared" si="373"/>
        <v>600000</v>
      </c>
      <c r="AB657" s="4">
        <f t="shared" si="374"/>
        <v>300000</v>
      </c>
      <c r="AC657" s="4" t="s">
        <v>12</v>
      </c>
      <c r="AD657" s="16">
        <f>IFERROR(VLOOKUP(AC657,'Kode Diskon'!$C$2:$D$9,2,0),0)</f>
        <v>0.15</v>
      </c>
      <c r="AE657" s="31">
        <f t="shared" si="375"/>
        <v>90000</v>
      </c>
      <c r="AF657" s="31">
        <f t="shared" si="376"/>
        <v>510000</v>
      </c>
      <c r="AG657" s="31">
        <f t="shared" si="377"/>
        <v>300000</v>
      </c>
      <c r="AH657" s="31">
        <f t="shared" si="378"/>
        <v>210000</v>
      </c>
      <c r="AI657" s="4" t="s">
        <v>28</v>
      </c>
      <c r="AJ657" s="4" t="s">
        <v>6</v>
      </c>
      <c r="AK657" s="4" t="str">
        <f>IFERROR(VLOOKUP(AJ657,'Guide '!$A$13:$B$16,2,0),"-")</f>
        <v>SP</v>
      </c>
      <c r="AL657" s="4" t="s">
        <v>925</v>
      </c>
      <c r="AM657" s="40">
        <v>45529</v>
      </c>
      <c r="AN657">
        <f t="shared" si="379"/>
        <v>29</v>
      </c>
      <c r="AO657">
        <f t="shared" si="380"/>
        <v>32</v>
      </c>
      <c r="AP657">
        <f t="shared" si="381"/>
        <v>40</v>
      </c>
      <c r="AQ657">
        <f t="shared" si="382"/>
        <v>43</v>
      </c>
      <c r="AR657" s="26" t="str">
        <f t="shared" si="383"/>
        <v>-</v>
      </c>
      <c r="AS657" s="26" t="str">
        <f t="shared" si="384"/>
        <v>-</v>
      </c>
      <c r="AT657" s="21">
        <f t="shared" si="385"/>
        <v>12</v>
      </c>
      <c r="AU657" s="21">
        <f t="shared" si="386"/>
        <v>19</v>
      </c>
      <c r="AV657" t="str">
        <f t="shared" si="387"/>
        <v>-</v>
      </c>
      <c r="AW657" t="str">
        <f t="shared" si="388"/>
        <v>-</v>
      </c>
      <c r="AX657" t="str">
        <f t="shared" si="389"/>
        <v>-</v>
      </c>
      <c r="AY657" t="str">
        <f t="shared" si="390"/>
        <v>-</v>
      </c>
      <c r="AZ657" t="str">
        <f t="shared" si="391"/>
        <v>-</v>
      </c>
      <c r="BA657" t="str">
        <f t="shared" si="392"/>
        <v>-</v>
      </c>
      <c r="BB657" t="str">
        <f t="shared" si="393"/>
        <v>-</v>
      </c>
      <c r="BC657" t="str">
        <f t="shared" si="394"/>
        <v>-</v>
      </c>
      <c r="BD657" s="29" t="str">
        <f t="shared" si="395"/>
        <v>-</v>
      </c>
      <c r="BE657" s="29" t="str">
        <f t="shared" si="396"/>
        <v>-</v>
      </c>
    </row>
    <row r="658" spans="1:57" ht="15" x14ac:dyDescent="0.2">
      <c r="A658" s="2">
        <v>987</v>
      </c>
      <c r="B658" s="2" t="str">
        <f t="shared" si="361"/>
        <v>0987</v>
      </c>
      <c r="C658" t="str">
        <f t="shared" si="362"/>
        <v>ORD-SP-0987-25/08/24</v>
      </c>
      <c r="D658" s="3" t="s">
        <v>909</v>
      </c>
      <c r="E658" t="str">
        <f t="shared" si="363"/>
        <v>SP002</v>
      </c>
      <c r="F658" t="str">
        <f>INDEX(Katalog!$B$4:$B$13,MATCH('Main Data'!E658,Katalog!$C$4:$C$13,0))</f>
        <v>Sandal Slip On</v>
      </c>
      <c r="G658" t="str">
        <f>VLOOKUP(E658,Katalog!$A$15:$B$25,2,0)</f>
        <v>Sepatu Pria</v>
      </c>
      <c r="H658" t="str">
        <f t="shared" si="364"/>
        <v>5</v>
      </c>
      <c r="I658" t="str">
        <f t="shared" si="365"/>
        <v>3</v>
      </c>
      <c r="J658" s="18">
        <f>VLOOKUP(E658,Katalog!$C$3:$F$13,2,0)</f>
        <v>120000</v>
      </c>
      <c r="K658" s="18">
        <f>VLOOKUP(E658,Katalog!$C$3:$F$13,3,0)</f>
        <v>60000</v>
      </c>
      <c r="L658" t="str">
        <f t="shared" si="366"/>
        <v>SW001</v>
      </c>
      <c r="M658" t="str">
        <f>IFERROR(INDEX(Katalog!$B$4:$B$13,MATCH('Main Data'!L658,Katalog!$C$4:$C$13,0)), "-")</f>
        <v>Flat Shoes</v>
      </c>
      <c r="N658" t="str">
        <f>IFERROR(VLOOKUP(L658,Katalog!$A$15:$B$25,2,0),"-")</f>
        <v>Sepatu Wanita</v>
      </c>
      <c r="O658" t="str">
        <f t="shared" si="367"/>
        <v>1</v>
      </c>
      <c r="P658" t="str">
        <f t="shared" si="368"/>
        <v>1</v>
      </c>
      <c r="Q658" s="18">
        <f>IFERROR(VLOOKUP(L658,Katalog!$C$3:$F$13,2,0),0)</f>
        <v>150000</v>
      </c>
      <c r="R658" s="18">
        <f>IFERROR(VLOOKUP(L658,Katalog!$C$3:$F$13,3,0),0)</f>
        <v>70000</v>
      </c>
      <c r="S658" t="str">
        <f t="shared" si="369"/>
        <v>-</v>
      </c>
      <c r="T658" t="str">
        <f>IFERROR(INDEX(Katalog!$B$4:$B$13,MATCH('Main Data'!S658,Katalog!$C$4:$C$13,0)),"-")</f>
        <v>-</v>
      </c>
      <c r="U658" t="str">
        <f>IFERROR(VLOOKUP(S658,Katalog!$A$15:$B$25,2,0),"-")</f>
        <v>-</v>
      </c>
      <c r="V658">
        <f t="shared" si="370"/>
        <v>0</v>
      </c>
      <c r="W658" s="28" t="str">
        <f t="shared" si="371"/>
        <v>-</v>
      </c>
      <c r="X658" s="18">
        <f>IFERROR(VLOOKUP(S658,Katalog!$C$3:$F$13,2,0),0)</f>
        <v>0</v>
      </c>
      <c r="Y658" s="30">
        <f>IFERROR(VLOOKUP(S658,Katalog!$C$3:$F$13,3,0),0)</f>
        <v>0</v>
      </c>
      <c r="Z658" s="2">
        <f t="shared" si="372"/>
        <v>6</v>
      </c>
      <c r="AA658" s="4">
        <f t="shared" si="373"/>
        <v>750000</v>
      </c>
      <c r="AB658" s="4">
        <f t="shared" si="374"/>
        <v>370000</v>
      </c>
      <c r="AC658" s="4" t="s">
        <v>5</v>
      </c>
      <c r="AD658" s="16">
        <f>IFERROR(VLOOKUP(AC658,'Kode Diskon'!$C$2:$D$9,2,0),0)</f>
        <v>0.1</v>
      </c>
      <c r="AE658" s="31">
        <f t="shared" si="375"/>
        <v>75000</v>
      </c>
      <c r="AF658" s="31">
        <f t="shared" si="376"/>
        <v>675000</v>
      </c>
      <c r="AG658" s="31">
        <f t="shared" si="377"/>
        <v>380000</v>
      </c>
      <c r="AH658" s="31">
        <f t="shared" si="378"/>
        <v>305000</v>
      </c>
      <c r="AI658" s="4" t="s">
        <v>28</v>
      </c>
      <c r="AJ658" s="4" t="s">
        <v>6</v>
      </c>
      <c r="AK658" s="4" t="str">
        <f>IFERROR(VLOOKUP(AJ658,'Guide '!$A$13:$B$16,2,0),"-")</f>
        <v>SP</v>
      </c>
      <c r="AL658" s="4" t="s">
        <v>1006</v>
      </c>
      <c r="AM658" s="40">
        <v>45529</v>
      </c>
      <c r="AN658">
        <f t="shared" si="379"/>
        <v>29</v>
      </c>
      <c r="AO658">
        <f t="shared" si="380"/>
        <v>32</v>
      </c>
      <c r="AP658">
        <f t="shared" si="381"/>
        <v>40</v>
      </c>
      <c r="AQ658">
        <f t="shared" si="382"/>
        <v>43</v>
      </c>
      <c r="AR658" s="26">
        <f t="shared" si="383"/>
        <v>56</v>
      </c>
      <c r="AS658" s="26">
        <f t="shared" si="384"/>
        <v>63</v>
      </c>
      <c r="AT658" s="21">
        <f t="shared" si="385"/>
        <v>12</v>
      </c>
      <c r="AU658" s="21">
        <f t="shared" si="386"/>
        <v>19</v>
      </c>
      <c r="AV658">
        <f t="shared" si="387"/>
        <v>73</v>
      </c>
      <c r="AW658">
        <f t="shared" si="388"/>
        <v>76</v>
      </c>
      <c r="AX658">
        <f t="shared" si="389"/>
        <v>84</v>
      </c>
      <c r="AY658">
        <f t="shared" si="390"/>
        <v>87</v>
      </c>
      <c r="AZ658" t="str">
        <f t="shared" si="391"/>
        <v>-</v>
      </c>
      <c r="BA658" t="str">
        <f t="shared" si="392"/>
        <v>-</v>
      </c>
      <c r="BB658" t="str">
        <f t="shared" si="393"/>
        <v>-</v>
      </c>
      <c r="BC658" t="str">
        <f t="shared" si="394"/>
        <v>-</v>
      </c>
      <c r="BD658" s="29" t="str">
        <f t="shared" si="395"/>
        <v>-</v>
      </c>
      <c r="BE658" s="29" t="str">
        <f t="shared" si="396"/>
        <v>-</v>
      </c>
    </row>
    <row r="659" spans="1:57" ht="15" x14ac:dyDescent="0.2">
      <c r="A659" s="2">
        <v>15</v>
      </c>
      <c r="B659" s="2" t="str">
        <f t="shared" si="361"/>
        <v>0015</v>
      </c>
      <c r="C659" t="str">
        <f t="shared" si="362"/>
        <v>ORD-BB-0015-26/08/24</v>
      </c>
      <c r="D659" s="3" t="s">
        <v>89</v>
      </c>
      <c r="E659" t="str">
        <f t="shared" si="363"/>
        <v>PP002</v>
      </c>
      <c r="F659" t="str">
        <f>INDEX(Katalog!$B$4:$B$13,MATCH('Main Data'!E659,Katalog!$C$4:$C$13,0))</f>
        <v>Celana Pendek</v>
      </c>
      <c r="G659" t="str">
        <f>VLOOKUP(E659,Katalog!$A$15:$B$25,2,0)</f>
        <v>Pakaian Pria</v>
      </c>
      <c r="H659" t="str">
        <f t="shared" si="364"/>
        <v>1</v>
      </c>
      <c r="I659" t="str">
        <f t="shared" si="365"/>
        <v>2</v>
      </c>
      <c r="J659" s="18">
        <f>VLOOKUP(E659,Katalog!$C$3:$F$13,2,0)</f>
        <v>60000</v>
      </c>
      <c r="K659" s="18">
        <f>VLOOKUP(E659,Katalog!$C$3:$F$13,3,0)</f>
        <v>25000</v>
      </c>
      <c r="L659" t="str">
        <f t="shared" si="366"/>
        <v>PW002</v>
      </c>
      <c r="M659" t="str">
        <f>IFERROR(INDEX(Katalog!$B$4:$B$13,MATCH('Main Data'!L659,Katalog!$C$4:$C$13,0)), "-")</f>
        <v>Blouse</v>
      </c>
      <c r="N659" t="str">
        <f>IFERROR(VLOOKUP(L659,Katalog!$A$15:$B$25,2,0),"-")</f>
        <v>Pakaian Wanita</v>
      </c>
      <c r="O659" t="str">
        <f t="shared" si="367"/>
        <v>1</v>
      </c>
      <c r="P659" t="str">
        <f t="shared" si="368"/>
        <v>4</v>
      </c>
      <c r="Q659" s="18">
        <f>IFERROR(VLOOKUP(L659,Katalog!$C$3:$F$13,2,0),0)</f>
        <v>125000</v>
      </c>
      <c r="R659" s="18">
        <f>IFERROR(VLOOKUP(L659,Katalog!$C$3:$F$13,3,0),0)</f>
        <v>50000</v>
      </c>
      <c r="S659" t="str">
        <f t="shared" si="369"/>
        <v>SP002</v>
      </c>
      <c r="T659" t="str">
        <f>IFERROR(INDEX(Katalog!$B$4:$B$13,MATCH('Main Data'!S659,Katalog!$C$4:$C$13,0)),"-")</f>
        <v>Sandal Slip On</v>
      </c>
      <c r="U659" t="str">
        <f>IFERROR(VLOOKUP(S659,Katalog!$A$15:$B$25,2,0),"-")</f>
        <v>Sepatu Pria</v>
      </c>
      <c r="V659" t="str">
        <f t="shared" si="370"/>
        <v>3</v>
      </c>
      <c r="W659" s="28" t="str">
        <f t="shared" si="371"/>
        <v>5</v>
      </c>
      <c r="X659" s="18">
        <f>IFERROR(VLOOKUP(S659,Katalog!$C$3:$F$13,2,0),0)</f>
        <v>120000</v>
      </c>
      <c r="Y659" s="30">
        <f>IFERROR(VLOOKUP(S659,Katalog!$C$3:$F$13,3,0),0)</f>
        <v>60000</v>
      </c>
      <c r="Z659" s="2">
        <f t="shared" si="372"/>
        <v>5</v>
      </c>
      <c r="AA659" s="4">
        <f t="shared" si="373"/>
        <v>545000</v>
      </c>
      <c r="AB659" s="4">
        <f t="shared" si="374"/>
        <v>255000</v>
      </c>
      <c r="AC659" s="4" t="s">
        <v>27</v>
      </c>
      <c r="AD659" s="16">
        <f>IFERROR(VLOOKUP(AC659,'Kode Diskon'!$C$2:$D$9,2,0),0)</f>
        <v>0.15</v>
      </c>
      <c r="AE659" s="31">
        <f t="shared" si="375"/>
        <v>81750</v>
      </c>
      <c r="AF659" s="31">
        <f t="shared" si="376"/>
        <v>463250</v>
      </c>
      <c r="AG659" s="31">
        <f t="shared" si="377"/>
        <v>290000</v>
      </c>
      <c r="AH659" s="31">
        <f t="shared" si="378"/>
        <v>208250</v>
      </c>
      <c r="AI659" s="4" t="s">
        <v>28</v>
      </c>
      <c r="AJ659" s="4" t="s">
        <v>13</v>
      </c>
      <c r="AK659" s="4" t="str">
        <f>IFERROR(VLOOKUP(AJ659,'Guide '!$A$13:$B$16,2,0),"-")</f>
        <v>BB</v>
      </c>
      <c r="AL659" s="4" t="s">
        <v>1006</v>
      </c>
      <c r="AM659" s="40">
        <v>45530</v>
      </c>
      <c r="AN659">
        <f t="shared" si="379"/>
        <v>29</v>
      </c>
      <c r="AO659">
        <f t="shared" si="380"/>
        <v>32</v>
      </c>
      <c r="AP659">
        <f t="shared" si="381"/>
        <v>40</v>
      </c>
      <c r="AQ659">
        <f t="shared" si="382"/>
        <v>43</v>
      </c>
      <c r="AR659" s="26">
        <f t="shared" si="383"/>
        <v>56</v>
      </c>
      <c r="AS659" s="26">
        <f t="shared" si="384"/>
        <v>63</v>
      </c>
      <c r="AT659" s="21">
        <f t="shared" si="385"/>
        <v>12</v>
      </c>
      <c r="AU659" s="21">
        <f t="shared" si="386"/>
        <v>19</v>
      </c>
      <c r="AV659">
        <f t="shared" si="387"/>
        <v>73</v>
      </c>
      <c r="AW659">
        <f t="shared" si="388"/>
        <v>76</v>
      </c>
      <c r="AX659">
        <f t="shared" si="389"/>
        <v>84</v>
      </c>
      <c r="AY659">
        <f t="shared" si="390"/>
        <v>87</v>
      </c>
      <c r="AZ659">
        <f t="shared" si="391"/>
        <v>100</v>
      </c>
      <c r="BA659">
        <f t="shared" si="392"/>
        <v>107</v>
      </c>
      <c r="BB659">
        <f t="shared" si="393"/>
        <v>117</v>
      </c>
      <c r="BC659">
        <f t="shared" si="394"/>
        <v>120</v>
      </c>
      <c r="BD659" s="29">
        <f t="shared" si="395"/>
        <v>128</v>
      </c>
      <c r="BE659" s="29">
        <f t="shared" si="396"/>
        <v>131</v>
      </c>
    </row>
    <row r="660" spans="1:57" ht="15" x14ac:dyDescent="0.2">
      <c r="A660" s="2">
        <v>115</v>
      </c>
      <c r="B660" s="2" t="str">
        <f t="shared" si="361"/>
        <v>0115</v>
      </c>
      <c r="C660" t="str">
        <f t="shared" si="362"/>
        <v>ORD-TK-0115-26/08/24</v>
      </c>
      <c r="D660" s="3" t="s">
        <v>187</v>
      </c>
      <c r="E660" t="str">
        <f t="shared" si="363"/>
        <v>PP002</v>
      </c>
      <c r="F660" t="str">
        <f>INDEX(Katalog!$B$4:$B$13,MATCH('Main Data'!E660,Katalog!$C$4:$C$13,0))</f>
        <v>Celana Pendek</v>
      </c>
      <c r="G660" t="str">
        <f>VLOOKUP(E660,Katalog!$A$15:$B$25,2,0)</f>
        <v>Pakaian Pria</v>
      </c>
      <c r="H660" t="str">
        <f t="shared" si="364"/>
        <v>2</v>
      </c>
      <c r="I660" t="str">
        <f t="shared" si="365"/>
        <v>3</v>
      </c>
      <c r="J660" s="18">
        <f>VLOOKUP(E660,Katalog!$C$3:$F$13,2,0)</f>
        <v>60000</v>
      </c>
      <c r="K660" s="18">
        <f>VLOOKUP(E660,Katalog!$C$3:$F$13,3,0)</f>
        <v>25000</v>
      </c>
      <c r="L660" t="str">
        <f t="shared" si="366"/>
        <v>PW003</v>
      </c>
      <c r="M660" t="str">
        <f>IFERROR(INDEX(Katalog!$B$4:$B$13,MATCH('Main Data'!L660,Katalog!$C$4:$C$13,0)), "-")</f>
        <v>Kaftan</v>
      </c>
      <c r="N660" t="str">
        <f>IFERROR(VLOOKUP(L660,Katalog!$A$15:$B$25,2,0),"-")</f>
        <v>Pakaian Wanita</v>
      </c>
      <c r="O660" t="str">
        <f t="shared" si="367"/>
        <v>1</v>
      </c>
      <c r="P660" t="str">
        <f t="shared" si="368"/>
        <v>4</v>
      </c>
      <c r="Q660" s="18">
        <f>IFERROR(VLOOKUP(L660,Katalog!$C$3:$F$13,2,0),0)</f>
        <v>200000</v>
      </c>
      <c r="R660" s="18">
        <f>IFERROR(VLOOKUP(L660,Katalog!$C$3:$F$13,3,0),0)</f>
        <v>100000</v>
      </c>
      <c r="S660" t="str">
        <f t="shared" si="369"/>
        <v>-</v>
      </c>
      <c r="T660" t="str">
        <f>IFERROR(INDEX(Katalog!$B$4:$B$13,MATCH('Main Data'!S660,Katalog!$C$4:$C$13,0)),"-")</f>
        <v>-</v>
      </c>
      <c r="U660" t="str">
        <f>IFERROR(VLOOKUP(S660,Katalog!$A$15:$B$25,2,0),"-")</f>
        <v>-</v>
      </c>
      <c r="V660">
        <f t="shared" si="370"/>
        <v>0</v>
      </c>
      <c r="W660" s="28" t="str">
        <f t="shared" si="371"/>
        <v>-</v>
      </c>
      <c r="X660" s="18">
        <f>IFERROR(VLOOKUP(S660,Katalog!$C$3:$F$13,2,0),0)</f>
        <v>0</v>
      </c>
      <c r="Y660" s="30">
        <f>IFERROR(VLOOKUP(S660,Katalog!$C$3:$F$13,3,0),0)</f>
        <v>0</v>
      </c>
      <c r="Z660" s="2">
        <f t="shared" si="372"/>
        <v>3</v>
      </c>
      <c r="AA660" s="4">
        <f t="shared" si="373"/>
        <v>320000</v>
      </c>
      <c r="AB660" s="4">
        <f t="shared" si="374"/>
        <v>150000</v>
      </c>
      <c r="AC660" s="4" t="s">
        <v>29</v>
      </c>
      <c r="AD660" s="16">
        <f>IFERROR(VLOOKUP(AC660,'Kode Diskon'!$C$2:$D$9,2,0),0)</f>
        <v>0.1</v>
      </c>
      <c r="AE660" s="31">
        <f t="shared" si="375"/>
        <v>32000</v>
      </c>
      <c r="AF660" s="31">
        <f t="shared" si="376"/>
        <v>288000</v>
      </c>
      <c r="AG660" s="31">
        <f t="shared" si="377"/>
        <v>170000</v>
      </c>
      <c r="AH660" s="31">
        <f t="shared" si="378"/>
        <v>138000</v>
      </c>
      <c r="AI660" s="4" t="s">
        <v>28</v>
      </c>
      <c r="AJ660" s="4" t="s">
        <v>9</v>
      </c>
      <c r="AK660" s="4" t="str">
        <f>IFERROR(VLOOKUP(AJ660,'Guide '!$A$13:$B$16,2,0),"-")</f>
        <v>TK</v>
      </c>
      <c r="AL660" s="4" t="s">
        <v>1006</v>
      </c>
      <c r="AM660" s="40">
        <v>45530</v>
      </c>
      <c r="AN660">
        <f t="shared" si="379"/>
        <v>29</v>
      </c>
      <c r="AO660">
        <f t="shared" si="380"/>
        <v>32</v>
      </c>
      <c r="AP660">
        <f t="shared" si="381"/>
        <v>40</v>
      </c>
      <c r="AQ660">
        <f t="shared" si="382"/>
        <v>43</v>
      </c>
      <c r="AR660" s="26">
        <f t="shared" si="383"/>
        <v>56</v>
      </c>
      <c r="AS660" s="26">
        <f t="shared" si="384"/>
        <v>63</v>
      </c>
      <c r="AT660" s="21">
        <f t="shared" si="385"/>
        <v>12</v>
      </c>
      <c r="AU660" s="21">
        <f t="shared" si="386"/>
        <v>19</v>
      </c>
      <c r="AV660">
        <f t="shared" si="387"/>
        <v>73</v>
      </c>
      <c r="AW660">
        <f t="shared" si="388"/>
        <v>76</v>
      </c>
      <c r="AX660">
        <f t="shared" si="389"/>
        <v>84</v>
      </c>
      <c r="AY660">
        <f t="shared" si="390"/>
        <v>87</v>
      </c>
      <c r="AZ660" t="str">
        <f t="shared" si="391"/>
        <v>-</v>
      </c>
      <c r="BA660" t="str">
        <f t="shared" si="392"/>
        <v>-</v>
      </c>
      <c r="BB660" t="str">
        <f t="shared" si="393"/>
        <v>-</v>
      </c>
      <c r="BC660" t="str">
        <f t="shared" si="394"/>
        <v>-</v>
      </c>
      <c r="BD660" s="29" t="str">
        <f t="shared" si="395"/>
        <v>-</v>
      </c>
      <c r="BE660" s="29" t="str">
        <f t="shared" si="396"/>
        <v>-</v>
      </c>
    </row>
    <row r="661" spans="1:57" ht="15" x14ac:dyDescent="0.2">
      <c r="A661" s="2">
        <v>245</v>
      </c>
      <c r="B661" s="2" t="str">
        <f t="shared" si="361"/>
        <v>0245</v>
      </c>
      <c r="C661" t="str">
        <f t="shared" si="362"/>
        <v>ORD-SP-0245-26/08/24</v>
      </c>
      <c r="D661" s="3" t="s">
        <v>310</v>
      </c>
      <c r="E661" t="str">
        <f t="shared" si="363"/>
        <v>PP002</v>
      </c>
      <c r="F661" t="str">
        <f>INDEX(Katalog!$B$4:$B$13,MATCH('Main Data'!E661,Katalog!$C$4:$C$13,0))</f>
        <v>Celana Pendek</v>
      </c>
      <c r="G661" t="str">
        <f>VLOOKUP(E661,Katalog!$A$15:$B$25,2,0)</f>
        <v>Pakaian Pria</v>
      </c>
      <c r="H661" t="str">
        <f t="shared" si="364"/>
        <v>1</v>
      </c>
      <c r="I661" t="str">
        <f t="shared" si="365"/>
        <v>5</v>
      </c>
      <c r="J661" s="18">
        <f>VLOOKUP(E661,Katalog!$C$3:$F$13,2,0)</f>
        <v>60000</v>
      </c>
      <c r="K661" s="18">
        <f>VLOOKUP(E661,Katalog!$C$3:$F$13,3,0)</f>
        <v>25000</v>
      </c>
      <c r="L661" t="str">
        <f t="shared" si="366"/>
        <v>-</v>
      </c>
      <c r="M661" t="str">
        <f>IFERROR(INDEX(Katalog!$B$4:$B$13,MATCH('Main Data'!L661,Katalog!$C$4:$C$13,0)), "-")</f>
        <v>-</v>
      </c>
      <c r="N661" t="str">
        <f>IFERROR(VLOOKUP(L661,Katalog!$A$15:$B$25,2,0),"-")</f>
        <v>-</v>
      </c>
      <c r="O661">
        <f t="shared" si="367"/>
        <v>0</v>
      </c>
      <c r="P661" t="str">
        <f t="shared" si="368"/>
        <v>-</v>
      </c>
      <c r="Q661" s="18">
        <f>IFERROR(VLOOKUP(L661,Katalog!$C$3:$F$13,2,0),0)</f>
        <v>0</v>
      </c>
      <c r="R661" s="18">
        <f>IFERROR(VLOOKUP(L661,Katalog!$C$3:$F$13,3,0),0)</f>
        <v>0</v>
      </c>
      <c r="S661" t="str">
        <f t="shared" si="369"/>
        <v>-</v>
      </c>
      <c r="T661" t="str">
        <f>IFERROR(INDEX(Katalog!$B$4:$B$13,MATCH('Main Data'!S661,Katalog!$C$4:$C$13,0)),"-")</f>
        <v>-</v>
      </c>
      <c r="U661" t="str">
        <f>IFERROR(VLOOKUP(S661,Katalog!$A$15:$B$25,2,0),"-")</f>
        <v>-</v>
      </c>
      <c r="V661">
        <f t="shared" si="370"/>
        <v>0</v>
      </c>
      <c r="W661" s="28" t="str">
        <f t="shared" si="371"/>
        <v>-</v>
      </c>
      <c r="X661" s="18">
        <f>IFERROR(VLOOKUP(S661,Katalog!$C$3:$F$13,2,0),0)</f>
        <v>0</v>
      </c>
      <c r="Y661" s="30">
        <f>IFERROR(VLOOKUP(S661,Katalog!$C$3:$F$13,3,0),0)</f>
        <v>0</v>
      </c>
      <c r="Z661" s="2">
        <f t="shared" si="372"/>
        <v>1</v>
      </c>
      <c r="AA661" s="4">
        <f t="shared" si="373"/>
        <v>60000</v>
      </c>
      <c r="AB661" s="4">
        <f t="shared" si="374"/>
        <v>25000</v>
      </c>
      <c r="AC661" s="4" t="s">
        <v>7</v>
      </c>
      <c r="AD661" s="16">
        <f>IFERROR(VLOOKUP(AC661,'Kode Diskon'!$C$2:$D$9,2,0),0)</f>
        <v>0.2</v>
      </c>
      <c r="AE661" s="31">
        <f t="shared" si="375"/>
        <v>12000</v>
      </c>
      <c r="AF661" s="31">
        <f t="shared" si="376"/>
        <v>48000</v>
      </c>
      <c r="AG661" s="31">
        <f t="shared" si="377"/>
        <v>35000</v>
      </c>
      <c r="AH661" s="31">
        <f t="shared" si="378"/>
        <v>23000</v>
      </c>
      <c r="AI661" s="4" t="s">
        <v>8</v>
      </c>
      <c r="AJ661" s="4" t="s">
        <v>6</v>
      </c>
      <c r="AK661" s="4" t="str">
        <f>IFERROR(VLOOKUP(AJ661,'Guide '!$A$13:$B$16,2,0),"-")</f>
        <v>SP</v>
      </c>
      <c r="AL661" s="4" t="s">
        <v>1006</v>
      </c>
      <c r="AM661" s="40">
        <v>45530</v>
      </c>
      <c r="AN661">
        <f t="shared" si="379"/>
        <v>29</v>
      </c>
      <c r="AO661">
        <f t="shared" si="380"/>
        <v>32</v>
      </c>
      <c r="AP661">
        <f t="shared" si="381"/>
        <v>40</v>
      </c>
      <c r="AQ661">
        <f t="shared" si="382"/>
        <v>43</v>
      </c>
      <c r="AR661" s="26" t="str">
        <f t="shared" si="383"/>
        <v>-</v>
      </c>
      <c r="AS661" s="26" t="str">
        <f t="shared" si="384"/>
        <v>-</v>
      </c>
      <c r="AT661" s="21">
        <f t="shared" si="385"/>
        <v>12</v>
      </c>
      <c r="AU661" s="21">
        <f t="shared" si="386"/>
        <v>19</v>
      </c>
      <c r="AV661" t="str">
        <f t="shared" si="387"/>
        <v>-</v>
      </c>
      <c r="AW661" t="str">
        <f t="shared" si="388"/>
        <v>-</v>
      </c>
      <c r="AX661" t="str">
        <f t="shared" si="389"/>
        <v>-</v>
      </c>
      <c r="AY661" t="str">
        <f t="shared" si="390"/>
        <v>-</v>
      </c>
      <c r="AZ661" t="str">
        <f t="shared" si="391"/>
        <v>-</v>
      </c>
      <c r="BA661" t="str">
        <f t="shared" si="392"/>
        <v>-</v>
      </c>
      <c r="BB661" t="str">
        <f t="shared" si="393"/>
        <v>-</v>
      </c>
      <c r="BC661" t="str">
        <f t="shared" si="394"/>
        <v>-</v>
      </c>
      <c r="BD661" s="29" t="str">
        <f t="shared" si="395"/>
        <v>-</v>
      </c>
      <c r="BE661" s="29" t="str">
        <f t="shared" si="396"/>
        <v>-</v>
      </c>
    </row>
    <row r="662" spans="1:57" ht="15" x14ac:dyDescent="0.2">
      <c r="A662" s="2">
        <v>591</v>
      </c>
      <c r="B662" s="2" t="str">
        <f t="shared" si="361"/>
        <v>0591</v>
      </c>
      <c r="C662" t="str">
        <f t="shared" si="362"/>
        <v>ORD-BL-0591-26/08/24</v>
      </c>
      <c r="D662" s="3" t="s">
        <v>605</v>
      </c>
      <c r="E662" t="str">
        <f t="shared" si="363"/>
        <v>SW001</v>
      </c>
      <c r="F662" t="str">
        <f>INDEX(Katalog!$B$4:$B$13,MATCH('Main Data'!E662,Katalog!$C$4:$C$13,0))</f>
        <v>Flat Shoes</v>
      </c>
      <c r="G662" t="str">
        <f>VLOOKUP(E662,Katalog!$A$15:$B$25,2,0)</f>
        <v>Sepatu Wanita</v>
      </c>
      <c r="H662" t="str">
        <f t="shared" si="364"/>
        <v>1</v>
      </c>
      <c r="I662" t="str">
        <f t="shared" si="365"/>
        <v>4</v>
      </c>
      <c r="J662" s="18">
        <f>VLOOKUP(E662,Katalog!$C$3:$F$13,2,0)</f>
        <v>150000</v>
      </c>
      <c r="K662" s="18">
        <f>VLOOKUP(E662,Katalog!$C$3:$F$13,3,0)</f>
        <v>70000</v>
      </c>
      <c r="L662" t="str">
        <f t="shared" si="366"/>
        <v>PP002</v>
      </c>
      <c r="M662" t="str">
        <f>IFERROR(INDEX(Katalog!$B$4:$B$13,MATCH('Main Data'!L662,Katalog!$C$4:$C$13,0)), "-")</f>
        <v>Celana Pendek</v>
      </c>
      <c r="N662" t="str">
        <f>IFERROR(VLOOKUP(L662,Katalog!$A$15:$B$25,2,0),"-")</f>
        <v>Pakaian Pria</v>
      </c>
      <c r="O662" t="str">
        <f t="shared" si="367"/>
        <v>1</v>
      </c>
      <c r="P662" t="str">
        <f t="shared" si="368"/>
        <v>4</v>
      </c>
      <c r="Q662" s="18">
        <f>IFERROR(VLOOKUP(L662,Katalog!$C$3:$F$13,2,0),0)</f>
        <v>60000</v>
      </c>
      <c r="R662" s="18">
        <f>IFERROR(VLOOKUP(L662,Katalog!$C$3:$F$13,3,0),0)</f>
        <v>25000</v>
      </c>
      <c r="S662" t="str">
        <f t="shared" si="369"/>
        <v>-</v>
      </c>
      <c r="T662" t="str">
        <f>IFERROR(INDEX(Katalog!$B$4:$B$13,MATCH('Main Data'!S662,Katalog!$C$4:$C$13,0)),"-")</f>
        <v>-</v>
      </c>
      <c r="U662" t="str">
        <f>IFERROR(VLOOKUP(S662,Katalog!$A$15:$B$25,2,0),"-")</f>
        <v>-</v>
      </c>
      <c r="V662">
        <f t="shared" si="370"/>
        <v>0</v>
      </c>
      <c r="W662" s="28" t="str">
        <f t="shared" si="371"/>
        <v>-</v>
      </c>
      <c r="X662" s="18">
        <f>IFERROR(VLOOKUP(S662,Katalog!$C$3:$F$13,2,0),0)</f>
        <v>0</v>
      </c>
      <c r="Y662" s="30">
        <f>IFERROR(VLOOKUP(S662,Katalog!$C$3:$F$13,3,0),0)</f>
        <v>0</v>
      </c>
      <c r="Z662" s="2">
        <f t="shared" si="372"/>
        <v>2</v>
      </c>
      <c r="AA662" s="4">
        <f t="shared" si="373"/>
        <v>210000</v>
      </c>
      <c r="AB662" s="4">
        <f t="shared" si="374"/>
        <v>95000</v>
      </c>
      <c r="AC662" s="4" t="s">
        <v>10</v>
      </c>
      <c r="AD662" s="16">
        <f>IFERROR(VLOOKUP(AC662,'Kode Diskon'!$C$2:$D$9,2,0),0)</f>
        <v>0</v>
      </c>
      <c r="AE662" s="31">
        <f t="shared" si="375"/>
        <v>0</v>
      </c>
      <c r="AF662" s="31">
        <f t="shared" si="376"/>
        <v>210000</v>
      </c>
      <c r="AG662" s="31">
        <f t="shared" si="377"/>
        <v>115000</v>
      </c>
      <c r="AH662" s="31">
        <f t="shared" si="378"/>
        <v>115000</v>
      </c>
      <c r="AI662" s="4" t="s">
        <v>10</v>
      </c>
      <c r="AJ662" s="4" t="s">
        <v>11</v>
      </c>
      <c r="AK662" s="4" t="str">
        <f>IFERROR(VLOOKUP(AJ662,'Guide '!$A$13:$B$16,2,0),"-")</f>
        <v>BL</v>
      </c>
      <c r="AL662" s="4" t="s">
        <v>923</v>
      </c>
      <c r="AM662" s="40">
        <v>45530</v>
      </c>
      <c r="AN662">
        <f t="shared" si="379"/>
        <v>29</v>
      </c>
      <c r="AO662">
        <f t="shared" si="380"/>
        <v>32</v>
      </c>
      <c r="AP662">
        <f t="shared" si="381"/>
        <v>40</v>
      </c>
      <c r="AQ662">
        <f t="shared" si="382"/>
        <v>43</v>
      </c>
      <c r="AR662" s="26">
        <f t="shared" si="383"/>
        <v>56</v>
      </c>
      <c r="AS662" s="26">
        <f t="shared" si="384"/>
        <v>63</v>
      </c>
      <c r="AT662" s="21">
        <f t="shared" si="385"/>
        <v>12</v>
      </c>
      <c r="AU662" s="21">
        <f t="shared" si="386"/>
        <v>19</v>
      </c>
      <c r="AV662">
        <f t="shared" si="387"/>
        <v>73</v>
      </c>
      <c r="AW662">
        <f t="shared" si="388"/>
        <v>76</v>
      </c>
      <c r="AX662">
        <f t="shared" si="389"/>
        <v>84</v>
      </c>
      <c r="AY662">
        <f t="shared" si="390"/>
        <v>87</v>
      </c>
      <c r="AZ662" t="str">
        <f t="shared" si="391"/>
        <v>-</v>
      </c>
      <c r="BA662" t="str">
        <f t="shared" si="392"/>
        <v>-</v>
      </c>
      <c r="BB662" t="str">
        <f t="shared" si="393"/>
        <v>-</v>
      </c>
      <c r="BC662" t="str">
        <f t="shared" si="394"/>
        <v>-</v>
      </c>
      <c r="BD662" s="29" t="str">
        <f t="shared" si="395"/>
        <v>-</v>
      </c>
      <c r="BE662" s="29" t="str">
        <f t="shared" si="396"/>
        <v>-</v>
      </c>
    </row>
    <row r="663" spans="1:57" ht="15" x14ac:dyDescent="0.2">
      <c r="A663" s="2">
        <v>733</v>
      </c>
      <c r="B663" s="2" t="str">
        <f t="shared" si="361"/>
        <v>0733</v>
      </c>
      <c r="C663" t="str">
        <f t="shared" si="362"/>
        <v>ORD-TK-0733-26/08/24</v>
      </c>
      <c r="D663" s="3" t="s">
        <v>718</v>
      </c>
      <c r="E663" t="str">
        <f t="shared" si="363"/>
        <v>PP002</v>
      </c>
      <c r="F663" t="str">
        <f>INDEX(Katalog!$B$4:$B$13,MATCH('Main Data'!E663,Katalog!$C$4:$C$13,0))</f>
        <v>Celana Pendek</v>
      </c>
      <c r="G663" t="str">
        <f>VLOOKUP(E663,Katalog!$A$15:$B$25,2,0)</f>
        <v>Pakaian Pria</v>
      </c>
      <c r="H663" t="str">
        <f t="shared" si="364"/>
        <v>1</v>
      </c>
      <c r="I663" t="str">
        <f t="shared" si="365"/>
        <v>2</v>
      </c>
      <c r="J663" s="18">
        <f>VLOOKUP(E663,Katalog!$C$3:$F$13,2,0)</f>
        <v>60000</v>
      </c>
      <c r="K663" s="18">
        <f>VLOOKUP(E663,Katalog!$C$3:$F$13,3,0)</f>
        <v>25000</v>
      </c>
      <c r="L663" t="str">
        <f t="shared" si="366"/>
        <v>SP002</v>
      </c>
      <c r="M663" t="str">
        <f>IFERROR(INDEX(Katalog!$B$4:$B$13,MATCH('Main Data'!L663,Katalog!$C$4:$C$13,0)), "-")</f>
        <v>Sandal Slip On</v>
      </c>
      <c r="N663" t="str">
        <f>IFERROR(VLOOKUP(L663,Katalog!$A$15:$B$25,2,0),"-")</f>
        <v>Sepatu Pria</v>
      </c>
      <c r="O663" t="str">
        <f t="shared" si="367"/>
        <v>3</v>
      </c>
      <c r="P663" t="str">
        <f t="shared" si="368"/>
        <v>3</v>
      </c>
      <c r="Q663" s="18">
        <f>IFERROR(VLOOKUP(L663,Katalog!$C$3:$F$13,2,0),0)</f>
        <v>120000</v>
      </c>
      <c r="R663" s="18">
        <f>IFERROR(VLOOKUP(L663,Katalog!$C$3:$F$13,3,0),0)</f>
        <v>60000</v>
      </c>
      <c r="S663" t="str">
        <f t="shared" si="369"/>
        <v>-</v>
      </c>
      <c r="T663" t="str">
        <f>IFERROR(INDEX(Katalog!$B$4:$B$13,MATCH('Main Data'!S663,Katalog!$C$4:$C$13,0)),"-")</f>
        <v>-</v>
      </c>
      <c r="U663" t="str">
        <f>IFERROR(VLOOKUP(S663,Katalog!$A$15:$B$25,2,0),"-")</f>
        <v>-</v>
      </c>
      <c r="V663">
        <f t="shared" si="370"/>
        <v>0</v>
      </c>
      <c r="W663" s="28" t="str">
        <f t="shared" si="371"/>
        <v>-</v>
      </c>
      <c r="X663" s="18">
        <f>IFERROR(VLOOKUP(S663,Katalog!$C$3:$F$13,2,0),0)</f>
        <v>0</v>
      </c>
      <c r="Y663" s="30">
        <f>IFERROR(VLOOKUP(S663,Katalog!$C$3:$F$13,3,0),0)</f>
        <v>0</v>
      </c>
      <c r="Z663" s="2">
        <f t="shared" si="372"/>
        <v>4</v>
      </c>
      <c r="AA663" s="4">
        <f t="shared" si="373"/>
        <v>420000</v>
      </c>
      <c r="AB663" s="4">
        <f t="shared" si="374"/>
        <v>205000</v>
      </c>
      <c r="AC663" s="4" t="s">
        <v>30</v>
      </c>
      <c r="AD663" s="16">
        <f>IFERROR(VLOOKUP(AC663,'Kode Diskon'!$C$2:$D$9,2,0),0)</f>
        <v>0.1</v>
      </c>
      <c r="AE663" s="31">
        <f t="shared" si="375"/>
        <v>42000</v>
      </c>
      <c r="AF663" s="31">
        <f t="shared" si="376"/>
        <v>378000</v>
      </c>
      <c r="AG663" s="31">
        <f t="shared" si="377"/>
        <v>215000</v>
      </c>
      <c r="AH663" s="31">
        <f t="shared" si="378"/>
        <v>173000</v>
      </c>
      <c r="AI663" s="4" t="s">
        <v>8</v>
      </c>
      <c r="AJ663" s="4" t="s">
        <v>9</v>
      </c>
      <c r="AK663" s="4" t="str">
        <f>IFERROR(VLOOKUP(AJ663,'Guide '!$A$13:$B$16,2,0),"-")</f>
        <v>TK</v>
      </c>
      <c r="AL663" s="4" t="s">
        <v>1006</v>
      </c>
      <c r="AM663" s="40">
        <v>45530</v>
      </c>
      <c r="AN663">
        <f t="shared" si="379"/>
        <v>29</v>
      </c>
      <c r="AO663">
        <f t="shared" si="380"/>
        <v>32</v>
      </c>
      <c r="AP663">
        <f t="shared" si="381"/>
        <v>40</v>
      </c>
      <c r="AQ663">
        <f t="shared" si="382"/>
        <v>43</v>
      </c>
      <c r="AR663" s="26">
        <f t="shared" si="383"/>
        <v>56</v>
      </c>
      <c r="AS663" s="26">
        <f t="shared" si="384"/>
        <v>63</v>
      </c>
      <c r="AT663" s="21">
        <f t="shared" si="385"/>
        <v>12</v>
      </c>
      <c r="AU663" s="21">
        <f t="shared" si="386"/>
        <v>19</v>
      </c>
      <c r="AV663">
        <f t="shared" si="387"/>
        <v>73</v>
      </c>
      <c r="AW663">
        <f t="shared" si="388"/>
        <v>76</v>
      </c>
      <c r="AX663">
        <f t="shared" si="389"/>
        <v>84</v>
      </c>
      <c r="AY663">
        <f t="shared" si="390"/>
        <v>87</v>
      </c>
      <c r="AZ663" t="str">
        <f t="shared" si="391"/>
        <v>-</v>
      </c>
      <c r="BA663" t="str">
        <f t="shared" si="392"/>
        <v>-</v>
      </c>
      <c r="BB663" t="str">
        <f t="shared" si="393"/>
        <v>-</v>
      </c>
      <c r="BC663" t="str">
        <f t="shared" si="394"/>
        <v>-</v>
      </c>
      <c r="BD663" s="29" t="str">
        <f t="shared" si="395"/>
        <v>-</v>
      </c>
      <c r="BE663" s="29" t="str">
        <f t="shared" si="396"/>
        <v>-</v>
      </c>
    </row>
    <row r="664" spans="1:57" ht="15" x14ac:dyDescent="0.2">
      <c r="A664" s="2">
        <v>951</v>
      </c>
      <c r="B664" s="2" t="str">
        <f t="shared" si="361"/>
        <v>0951</v>
      </c>
      <c r="C664" t="str">
        <f t="shared" si="362"/>
        <v>ORD-TK-0951-26/08/24</v>
      </c>
      <c r="D664" s="3" t="s">
        <v>881</v>
      </c>
      <c r="E664" t="str">
        <f t="shared" si="363"/>
        <v>PP003</v>
      </c>
      <c r="F664" t="str">
        <f>INDEX(Katalog!$B$4:$B$13,MATCH('Main Data'!E664,Katalog!$C$4:$C$13,0))</f>
        <v>Jaket Jeans</v>
      </c>
      <c r="G664" t="str">
        <f>VLOOKUP(E664,Katalog!$A$15:$B$25,2,0)</f>
        <v>Pakaian Pria</v>
      </c>
      <c r="H664" t="str">
        <f t="shared" si="364"/>
        <v>2</v>
      </c>
      <c r="I664" t="str">
        <f t="shared" si="365"/>
        <v>2</v>
      </c>
      <c r="J664" s="18">
        <f>VLOOKUP(E664,Katalog!$C$3:$F$13,2,0)</f>
        <v>150000</v>
      </c>
      <c r="K664" s="18">
        <f>VLOOKUP(E664,Katalog!$C$3:$F$13,3,0)</f>
        <v>70000</v>
      </c>
      <c r="L664" t="str">
        <f t="shared" si="366"/>
        <v>PW003</v>
      </c>
      <c r="M664" t="str">
        <f>IFERROR(INDEX(Katalog!$B$4:$B$13,MATCH('Main Data'!L664,Katalog!$C$4:$C$13,0)), "-")</f>
        <v>Kaftan</v>
      </c>
      <c r="N664" t="str">
        <f>IFERROR(VLOOKUP(L664,Katalog!$A$15:$B$25,2,0),"-")</f>
        <v>Pakaian Wanita</v>
      </c>
      <c r="O664" t="str">
        <f t="shared" si="367"/>
        <v>1</v>
      </c>
      <c r="P664" t="str">
        <f t="shared" si="368"/>
        <v>4</v>
      </c>
      <c r="Q664" s="18">
        <f>IFERROR(VLOOKUP(L664,Katalog!$C$3:$F$13,2,0),0)</f>
        <v>200000</v>
      </c>
      <c r="R664" s="18">
        <f>IFERROR(VLOOKUP(L664,Katalog!$C$3:$F$13,3,0),0)</f>
        <v>100000</v>
      </c>
      <c r="S664" t="str">
        <f t="shared" si="369"/>
        <v>SW001</v>
      </c>
      <c r="T664" t="str">
        <f>IFERROR(INDEX(Katalog!$B$4:$B$13,MATCH('Main Data'!S664,Katalog!$C$4:$C$13,0)),"-")</f>
        <v>Flat Shoes</v>
      </c>
      <c r="U664" t="str">
        <f>IFERROR(VLOOKUP(S664,Katalog!$A$15:$B$25,2,0),"-")</f>
        <v>Sepatu Wanita</v>
      </c>
      <c r="V664" t="str">
        <f t="shared" si="370"/>
        <v>3</v>
      </c>
      <c r="W664" s="28" t="str">
        <f t="shared" si="371"/>
        <v>5</v>
      </c>
      <c r="X664" s="18">
        <f>IFERROR(VLOOKUP(S664,Katalog!$C$3:$F$13,2,0),0)</f>
        <v>150000</v>
      </c>
      <c r="Y664" s="30">
        <f>IFERROR(VLOOKUP(S664,Katalog!$C$3:$F$13,3,0),0)</f>
        <v>70000</v>
      </c>
      <c r="Z664" s="2">
        <f t="shared" si="372"/>
        <v>6</v>
      </c>
      <c r="AA664" s="4">
        <f t="shared" si="373"/>
        <v>950000</v>
      </c>
      <c r="AB664" s="4">
        <f t="shared" si="374"/>
        <v>450000</v>
      </c>
      <c r="AC664" s="4" t="s">
        <v>30</v>
      </c>
      <c r="AD664" s="16">
        <f>IFERROR(VLOOKUP(AC664,'Kode Diskon'!$C$2:$D$9,2,0),0)</f>
        <v>0.1</v>
      </c>
      <c r="AE664" s="31">
        <f t="shared" si="375"/>
        <v>95000</v>
      </c>
      <c r="AF664" s="31">
        <f t="shared" si="376"/>
        <v>855000</v>
      </c>
      <c r="AG664" s="31">
        <f t="shared" si="377"/>
        <v>500000</v>
      </c>
      <c r="AH664" s="31">
        <f t="shared" si="378"/>
        <v>405000</v>
      </c>
      <c r="AI664" s="4" t="s">
        <v>8</v>
      </c>
      <c r="AJ664" s="4" t="s">
        <v>9</v>
      </c>
      <c r="AK664" s="4" t="str">
        <f>IFERROR(VLOOKUP(AJ664,'Guide '!$A$13:$B$16,2,0),"-")</f>
        <v>TK</v>
      </c>
      <c r="AL664" s="4" t="s">
        <v>924</v>
      </c>
      <c r="AM664" s="40">
        <v>45530</v>
      </c>
      <c r="AN664">
        <f t="shared" si="379"/>
        <v>29</v>
      </c>
      <c r="AO664">
        <f t="shared" si="380"/>
        <v>32</v>
      </c>
      <c r="AP664">
        <f t="shared" si="381"/>
        <v>40</v>
      </c>
      <c r="AQ664">
        <f t="shared" si="382"/>
        <v>43</v>
      </c>
      <c r="AR664" s="26">
        <f t="shared" si="383"/>
        <v>56</v>
      </c>
      <c r="AS664" s="26">
        <f t="shared" si="384"/>
        <v>63</v>
      </c>
      <c r="AT664" s="21">
        <f t="shared" si="385"/>
        <v>12</v>
      </c>
      <c r="AU664" s="21">
        <f t="shared" si="386"/>
        <v>19</v>
      </c>
      <c r="AV664">
        <f t="shared" si="387"/>
        <v>73</v>
      </c>
      <c r="AW664">
        <f t="shared" si="388"/>
        <v>76</v>
      </c>
      <c r="AX664">
        <f t="shared" si="389"/>
        <v>84</v>
      </c>
      <c r="AY664">
        <f t="shared" si="390"/>
        <v>87</v>
      </c>
      <c r="AZ664">
        <f t="shared" si="391"/>
        <v>100</v>
      </c>
      <c r="BA664">
        <f t="shared" si="392"/>
        <v>107</v>
      </c>
      <c r="BB664">
        <f t="shared" si="393"/>
        <v>117</v>
      </c>
      <c r="BC664">
        <f t="shared" si="394"/>
        <v>120</v>
      </c>
      <c r="BD664" s="29">
        <f t="shared" si="395"/>
        <v>128</v>
      </c>
      <c r="BE664" s="29">
        <f t="shared" si="396"/>
        <v>131</v>
      </c>
    </row>
    <row r="665" spans="1:57" ht="15" x14ac:dyDescent="0.2">
      <c r="A665" s="2">
        <v>212</v>
      </c>
      <c r="B665" s="2" t="str">
        <f t="shared" si="361"/>
        <v>0212</v>
      </c>
      <c r="C665" t="str">
        <f t="shared" si="362"/>
        <v>ORD-BB-0212-27/08/24</v>
      </c>
      <c r="D665" s="3" t="s">
        <v>281</v>
      </c>
      <c r="E665" t="str">
        <f t="shared" si="363"/>
        <v>PW003</v>
      </c>
      <c r="F665" t="str">
        <f>INDEX(Katalog!$B$4:$B$13,MATCH('Main Data'!E665,Katalog!$C$4:$C$13,0))</f>
        <v>Kaftan</v>
      </c>
      <c r="G665" t="str">
        <f>VLOOKUP(E665,Katalog!$A$15:$B$25,2,0)</f>
        <v>Pakaian Wanita</v>
      </c>
      <c r="H665" t="str">
        <f t="shared" si="364"/>
        <v>1</v>
      </c>
      <c r="I665" t="str">
        <f t="shared" si="365"/>
        <v>5</v>
      </c>
      <c r="J665" s="18">
        <f>VLOOKUP(E665,Katalog!$C$3:$F$13,2,0)</f>
        <v>200000</v>
      </c>
      <c r="K665" s="18">
        <f>VLOOKUP(E665,Katalog!$C$3:$F$13,3,0)</f>
        <v>100000</v>
      </c>
      <c r="L665" t="str">
        <f t="shared" si="366"/>
        <v>-</v>
      </c>
      <c r="M665" t="str">
        <f>IFERROR(INDEX(Katalog!$B$4:$B$13,MATCH('Main Data'!L665,Katalog!$C$4:$C$13,0)), "-")</f>
        <v>-</v>
      </c>
      <c r="N665" t="str">
        <f>IFERROR(VLOOKUP(L665,Katalog!$A$15:$B$25,2,0),"-")</f>
        <v>-</v>
      </c>
      <c r="O665">
        <f t="shared" si="367"/>
        <v>0</v>
      </c>
      <c r="P665" t="str">
        <f t="shared" si="368"/>
        <v>-</v>
      </c>
      <c r="Q665" s="18">
        <f>IFERROR(VLOOKUP(L665,Katalog!$C$3:$F$13,2,0),0)</f>
        <v>0</v>
      </c>
      <c r="R665" s="18">
        <f>IFERROR(VLOOKUP(L665,Katalog!$C$3:$F$13,3,0),0)</f>
        <v>0</v>
      </c>
      <c r="S665" t="str">
        <f t="shared" si="369"/>
        <v>-</v>
      </c>
      <c r="T665" t="str">
        <f>IFERROR(INDEX(Katalog!$B$4:$B$13,MATCH('Main Data'!S665,Katalog!$C$4:$C$13,0)),"-")</f>
        <v>-</v>
      </c>
      <c r="U665" t="str">
        <f>IFERROR(VLOOKUP(S665,Katalog!$A$15:$B$25,2,0),"-")</f>
        <v>-</v>
      </c>
      <c r="V665">
        <f t="shared" si="370"/>
        <v>0</v>
      </c>
      <c r="W665" s="28" t="str">
        <f t="shared" si="371"/>
        <v>-</v>
      </c>
      <c r="X665" s="18">
        <f>IFERROR(VLOOKUP(S665,Katalog!$C$3:$F$13,2,0),0)</f>
        <v>0</v>
      </c>
      <c r="Y665" s="30">
        <f>IFERROR(VLOOKUP(S665,Katalog!$C$3:$F$13,3,0),0)</f>
        <v>0</v>
      </c>
      <c r="Z665" s="2">
        <f t="shared" si="372"/>
        <v>1</v>
      </c>
      <c r="AA665" s="4">
        <f t="shared" si="373"/>
        <v>200000</v>
      </c>
      <c r="AB665" s="4">
        <f t="shared" si="374"/>
        <v>100000</v>
      </c>
      <c r="AC665" s="4" t="s">
        <v>27</v>
      </c>
      <c r="AD665" s="16">
        <f>IFERROR(VLOOKUP(AC665,'Kode Diskon'!$C$2:$D$9,2,0),0)</f>
        <v>0.15</v>
      </c>
      <c r="AE665" s="31">
        <f t="shared" si="375"/>
        <v>30000</v>
      </c>
      <c r="AF665" s="31">
        <f t="shared" si="376"/>
        <v>170000</v>
      </c>
      <c r="AG665" s="31">
        <f t="shared" si="377"/>
        <v>100000</v>
      </c>
      <c r="AH665" s="31">
        <f t="shared" si="378"/>
        <v>70000</v>
      </c>
      <c r="AI665" s="4" t="s">
        <v>28</v>
      </c>
      <c r="AJ665" s="4" t="s">
        <v>13</v>
      </c>
      <c r="AK665" s="4" t="str">
        <f>IFERROR(VLOOKUP(AJ665,'Guide '!$A$13:$B$16,2,0),"-")</f>
        <v>BB</v>
      </c>
      <c r="AL665" s="4" t="s">
        <v>921</v>
      </c>
      <c r="AM665" s="40">
        <v>45531</v>
      </c>
      <c r="AN665">
        <f t="shared" si="379"/>
        <v>29</v>
      </c>
      <c r="AO665">
        <f t="shared" si="380"/>
        <v>32</v>
      </c>
      <c r="AP665">
        <f t="shared" si="381"/>
        <v>40</v>
      </c>
      <c r="AQ665">
        <f t="shared" si="382"/>
        <v>43</v>
      </c>
      <c r="AR665" s="26" t="str">
        <f t="shared" si="383"/>
        <v>-</v>
      </c>
      <c r="AS665" s="26" t="str">
        <f t="shared" si="384"/>
        <v>-</v>
      </c>
      <c r="AT665" s="21">
        <f t="shared" si="385"/>
        <v>12</v>
      </c>
      <c r="AU665" s="21">
        <f t="shared" si="386"/>
        <v>19</v>
      </c>
      <c r="AV665" t="str">
        <f t="shared" si="387"/>
        <v>-</v>
      </c>
      <c r="AW665" t="str">
        <f t="shared" si="388"/>
        <v>-</v>
      </c>
      <c r="AX665" t="str">
        <f t="shared" si="389"/>
        <v>-</v>
      </c>
      <c r="AY665" t="str">
        <f t="shared" si="390"/>
        <v>-</v>
      </c>
      <c r="AZ665" t="str">
        <f t="shared" si="391"/>
        <v>-</v>
      </c>
      <c r="BA665" t="str">
        <f t="shared" si="392"/>
        <v>-</v>
      </c>
      <c r="BB665" t="str">
        <f t="shared" si="393"/>
        <v>-</v>
      </c>
      <c r="BC665" t="str">
        <f t="shared" si="394"/>
        <v>-</v>
      </c>
      <c r="BD665" s="29" t="str">
        <f t="shared" si="395"/>
        <v>-</v>
      </c>
      <c r="BE665" s="29" t="str">
        <f t="shared" si="396"/>
        <v>-</v>
      </c>
    </row>
    <row r="666" spans="1:57" ht="15" x14ac:dyDescent="0.2">
      <c r="A666" s="2">
        <v>237</v>
      </c>
      <c r="B666" s="2" t="str">
        <f t="shared" si="361"/>
        <v>0237</v>
      </c>
      <c r="C666" t="str">
        <f t="shared" si="362"/>
        <v>ORD-BB-0237-27/08/24</v>
      </c>
      <c r="D666" s="3" t="s">
        <v>303</v>
      </c>
      <c r="E666" t="str">
        <f t="shared" si="363"/>
        <v>PW003</v>
      </c>
      <c r="F666" t="str">
        <f>INDEX(Katalog!$B$4:$B$13,MATCH('Main Data'!E666,Katalog!$C$4:$C$13,0))</f>
        <v>Kaftan</v>
      </c>
      <c r="G666" t="str">
        <f>VLOOKUP(E666,Katalog!$A$15:$B$25,2,0)</f>
        <v>Pakaian Wanita</v>
      </c>
      <c r="H666" t="str">
        <f t="shared" si="364"/>
        <v>3</v>
      </c>
      <c r="I666" t="str">
        <f t="shared" si="365"/>
        <v>3</v>
      </c>
      <c r="J666" s="18">
        <f>VLOOKUP(E666,Katalog!$C$3:$F$13,2,0)</f>
        <v>200000</v>
      </c>
      <c r="K666" s="18">
        <f>VLOOKUP(E666,Katalog!$C$3:$F$13,3,0)</f>
        <v>100000</v>
      </c>
      <c r="L666" t="str">
        <f t="shared" si="366"/>
        <v>-</v>
      </c>
      <c r="M666" t="str">
        <f>IFERROR(INDEX(Katalog!$B$4:$B$13,MATCH('Main Data'!L666,Katalog!$C$4:$C$13,0)), "-")</f>
        <v>-</v>
      </c>
      <c r="N666" t="str">
        <f>IFERROR(VLOOKUP(L666,Katalog!$A$15:$B$25,2,0),"-")</f>
        <v>-</v>
      </c>
      <c r="O666">
        <f t="shared" si="367"/>
        <v>0</v>
      </c>
      <c r="P666" t="str">
        <f t="shared" si="368"/>
        <v>-</v>
      </c>
      <c r="Q666" s="18">
        <f>IFERROR(VLOOKUP(L666,Katalog!$C$3:$F$13,2,0),0)</f>
        <v>0</v>
      </c>
      <c r="R666" s="18">
        <f>IFERROR(VLOOKUP(L666,Katalog!$C$3:$F$13,3,0),0)</f>
        <v>0</v>
      </c>
      <c r="S666" t="str">
        <f t="shared" si="369"/>
        <v>-</v>
      </c>
      <c r="T666" t="str">
        <f>IFERROR(INDEX(Katalog!$B$4:$B$13,MATCH('Main Data'!S666,Katalog!$C$4:$C$13,0)),"-")</f>
        <v>-</v>
      </c>
      <c r="U666" t="str">
        <f>IFERROR(VLOOKUP(S666,Katalog!$A$15:$B$25,2,0),"-")</f>
        <v>-</v>
      </c>
      <c r="V666">
        <f t="shared" si="370"/>
        <v>0</v>
      </c>
      <c r="W666" s="28" t="str">
        <f t="shared" si="371"/>
        <v>-</v>
      </c>
      <c r="X666" s="18">
        <f>IFERROR(VLOOKUP(S666,Katalog!$C$3:$F$13,2,0),0)</f>
        <v>0</v>
      </c>
      <c r="Y666" s="30">
        <f>IFERROR(VLOOKUP(S666,Katalog!$C$3:$F$13,3,0),0)</f>
        <v>0</v>
      </c>
      <c r="Z666" s="2">
        <f t="shared" si="372"/>
        <v>3</v>
      </c>
      <c r="AA666" s="4">
        <f t="shared" si="373"/>
        <v>600000</v>
      </c>
      <c r="AB666" s="4">
        <f t="shared" si="374"/>
        <v>300000</v>
      </c>
      <c r="AC666" s="4" t="s">
        <v>27</v>
      </c>
      <c r="AD666" s="16">
        <f>IFERROR(VLOOKUP(AC666,'Kode Diskon'!$C$2:$D$9,2,0),0)</f>
        <v>0.15</v>
      </c>
      <c r="AE666" s="31">
        <f t="shared" si="375"/>
        <v>90000</v>
      </c>
      <c r="AF666" s="31">
        <f t="shared" si="376"/>
        <v>510000</v>
      </c>
      <c r="AG666" s="31">
        <f t="shared" si="377"/>
        <v>300000</v>
      </c>
      <c r="AH666" s="31">
        <f t="shared" si="378"/>
        <v>210000</v>
      </c>
      <c r="AI666" s="4" t="s">
        <v>28</v>
      </c>
      <c r="AJ666" s="4" t="s">
        <v>13</v>
      </c>
      <c r="AK666" s="4" t="str">
        <f>IFERROR(VLOOKUP(AJ666,'Guide '!$A$13:$B$16,2,0),"-")</f>
        <v>BB</v>
      </c>
      <c r="AL666" s="4" t="s">
        <v>925</v>
      </c>
      <c r="AM666" s="40">
        <v>45531</v>
      </c>
      <c r="AN666">
        <f t="shared" si="379"/>
        <v>29</v>
      </c>
      <c r="AO666">
        <f t="shared" si="380"/>
        <v>32</v>
      </c>
      <c r="AP666">
        <f t="shared" si="381"/>
        <v>40</v>
      </c>
      <c r="AQ666">
        <f t="shared" si="382"/>
        <v>43</v>
      </c>
      <c r="AR666" s="26" t="str">
        <f t="shared" si="383"/>
        <v>-</v>
      </c>
      <c r="AS666" s="26" t="str">
        <f t="shared" si="384"/>
        <v>-</v>
      </c>
      <c r="AT666" s="21">
        <f t="shared" si="385"/>
        <v>12</v>
      </c>
      <c r="AU666" s="21">
        <f t="shared" si="386"/>
        <v>19</v>
      </c>
      <c r="AV666" t="str">
        <f t="shared" si="387"/>
        <v>-</v>
      </c>
      <c r="AW666" t="str">
        <f t="shared" si="388"/>
        <v>-</v>
      </c>
      <c r="AX666" t="str">
        <f t="shared" si="389"/>
        <v>-</v>
      </c>
      <c r="AY666" t="str">
        <f t="shared" si="390"/>
        <v>-</v>
      </c>
      <c r="AZ666" t="str">
        <f t="shared" si="391"/>
        <v>-</v>
      </c>
      <c r="BA666" t="str">
        <f t="shared" si="392"/>
        <v>-</v>
      </c>
      <c r="BB666" t="str">
        <f t="shared" si="393"/>
        <v>-</v>
      </c>
      <c r="BC666" t="str">
        <f t="shared" si="394"/>
        <v>-</v>
      </c>
      <c r="BD666" s="29" t="str">
        <f t="shared" si="395"/>
        <v>-</v>
      </c>
      <c r="BE666" s="29" t="str">
        <f t="shared" si="396"/>
        <v>-</v>
      </c>
    </row>
    <row r="667" spans="1:57" ht="15" x14ac:dyDescent="0.2">
      <c r="A667" s="2">
        <v>665</v>
      </c>
      <c r="B667" s="2" t="str">
        <f t="shared" si="361"/>
        <v>0665</v>
      </c>
      <c r="C667" t="str">
        <f t="shared" si="362"/>
        <v>ORD-SP-0665-28/08/24</v>
      </c>
      <c r="D667" s="3" t="s">
        <v>666</v>
      </c>
      <c r="E667" t="str">
        <f t="shared" si="363"/>
        <v>PP003</v>
      </c>
      <c r="F667" t="str">
        <f>INDEX(Katalog!$B$4:$B$13,MATCH('Main Data'!E667,Katalog!$C$4:$C$13,0))</f>
        <v>Jaket Jeans</v>
      </c>
      <c r="G667" t="str">
        <f>VLOOKUP(E667,Katalog!$A$15:$B$25,2,0)</f>
        <v>Pakaian Pria</v>
      </c>
      <c r="H667" t="str">
        <f t="shared" si="364"/>
        <v>2</v>
      </c>
      <c r="I667" t="str">
        <f t="shared" si="365"/>
        <v>5</v>
      </c>
      <c r="J667" s="18">
        <f>VLOOKUP(E667,Katalog!$C$3:$F$13,2,0)</f>
        <v>150000</v>
      </c>
      <c r="K667" s="18">
        <f>VLOOKUP(E667,Katalog!$C$3:$F$13,3,0)</f>
        <v>70000</v>
      </c>
      <c r="L667" t="str">
        <f t="shared" si="366"/>
        <v>PP002</v>
      </c>
      <c r="M667" t="str">
        <f>IFERROR(INDEX(Katalog!$B$4:$B$13,MATCH('Main Data'!L667,Katalog!$C$4:$C$13,0)), "-")</f>
        <v>Celana Pendek</v>
      </c>
      <c r="N667" t="str">
        <f>IFERROR(VLOOKUP(L667,Katalog!$A$15:$B$25,2,0),"-")</f>
        <v>Pakaian Pria</v>
      </c>
      <c r="O667" t="str">
        <f t="shared" si="367"/>
        <v>2</v>
      </c>
      <c r="P667" t="str">
        <f t="shared" si="368"/>
        <v>4</v>
      </c>
      <c r="Q667" s="18">
        <f>IFERROR(VLOOKUP(L667,Katalog!$C$3:$F$13,2,0),0)</f>
        <v>60000</v>
      </c>
      <c r="R667" s="18">
        <f>IFERROR(VLOOKUP(L667,Katalog!$C$3:$F$13,3,0),0)</f>
        <v>25000</v>
      </c>
      <c r="S667" t="str">
        <f t="shared" si="369"/>
        <v>SW001</v>
      </c>
      <c r="T667" t="str">
        <f>IFERROR(INDEX(Katalog!$B$4:$B$13,MATCH('Main Data'!S667,Katalog!$C$4:$C$13,0)),"-")</f>
        <v>Flat Shoes</v>
      </c>
      <c r="U667" t="str">
        <f>IFERROR(VLOOKUP(S667,Katalog!$A$15:$B$25,2,0),"-")</f>
        <v>Sepatu Wanita</v>
      </c>
      <c r="V667" t="str">
        <f t="shared" si="370"/>
        <v>1</v>
      </c>
      <c r="W667" s="28" t="str">
        <f t="shared" si="371"/>
        <v>5</v>
      </c>
      <c r="X667" s="18">
        <f>IFERROR(VLOOKUP(S667,Katalog!$C$3:$F$13,2,0),0)</f>
        <v>150000</v>
      </c>
      <c r="Y667" s="30">
        <f>IFERROR(VLOOKUP(S667,Katalog!$C$3:$F$13,3,0),0)</f>
        <v>70000</v>
      </c>
      <c r="Z667" s="2">
        <f t="shared" si="372"/>
        <v>5</v>
      </c>
      <c r="AA667" s="4">
        <f t="shared" si="373"/>
        <v>570000</v>
      </c>
      <c r="AB667" s="4">
        <f t="shared" si="374"/>
        <v>260000</v>
      </c>
      <c r="AC667" s="4" t="s">
        <v>12</v>
      </c>
      <c r="AD667" s="16">
        <f>IFERROR(VLOOKUP(AC667,'Kode Diskon'!$C$2:$D$9,2,0),0)</f>
        <v>0.15</v>
      </c>
      <c r="AE667" s="31">
        <f t="shared" si="375"/>
        <v>85500</v>
      </c>
      <c r="AF667" s="31">
        <f t="shared" si="376"/>
        <v>484500</v>
      </c>
      <c r="AG667" s="31">
        <f t="shared" si="377"/>
        <v>310000</v>
      </c>
      <c r="AH667" s="31">
        <f t="shared" si="378"/>
        <v>224500</v>
      </c>
      <c r="AI667" s="4" t="s">
        <v>28</v>
      </c>
      <c r="AJ667" s="4" t="s">
        <v>6</v>
      </c>
      <c r="AK667" s="4" t="str">
        <f>IFERROR(VLOOKUP(AJ667,'Guide '!$A$13:$B$16,2,0),"-")</f>
        <v>SP</v>
      </c>
      <c r="AL667" s="4" t="s">
        <v>925</v>
      </c>
      <c r="AM667" s="40">
        <v>45532</v>
      </c>
      <c r="AN667">
        <f t="shared" si="379"/>
        <v>29</v>
      </c>
      <c r="AO667">
        <f t="shared" si="380"/>
        <v>32</v>
      </c>
      <c r="AP667">
        <f t="shared" si="381"/>
        <v>40</v>
      </c>
      <c r="AQ667">
        <f t="shared" si="382"/>
        <v>43</v>
      </c>
      <c r="AR667" s="26">
        <f t="shared" si="383"/>
        <v>56</v>
      </c>
      <c r="AS667" s="26">
        <f t="shared" si="384"/>
        <v>63</v>
      </c>
      <c r="AT667" s="21">
        <f t="shared" si="385"/>
        <v>12</v>
      </c>
      <c r="AU667" s="21">
        <f t="shared" si="386"/>
        <v>19</v>
      </c>
      <c r="AV667">
        <f t="shared" si="387"/>
        <v>73</v>
      </c>
      <c r="AW667">
        <f t="shared" si="388"/>
        <v>76</v>
      </c>
      <c r="AX667">
        <f t="shared" si="389"/>
        <v>84</v>
      </c>
      <c r="AY667">
        <f t="shared" si="390"/>
        <v>87</v>
      </c>
      <c r="AZ667">
        <f t="shared" si="391"/>
        <v>100</v>
      </c>
      <c r="BA667">
        <f t="shared" si="392"/>
        <v>107</v>
      </c>
      <c r="BB667">
        <f t="shared" si="393"/>
        <v>117</v>
      </c>
      <c r="BC667">
        <f t="shared" si="394"/>
        <v>120</v>
      </c>
      <c r="BD667" s="29">
        <f t="shared" si="395"/>
        <v>128</v>
      </c>
      <c r="BE667" s="29">
        <f t="shared" si="396"/>
        <v>131</v>
      </c>
    </row>
    <row r="668" spans="1:57" ht="15" x14ac:dyDescent="0.2">
      <c r="A668" s="2">
        <v>788</v>
      </c>
      <c r="B668" s="2" t="str">
        <f t="shared" si="361"/>
        <v>0788</v>
      </c>
      <c r="C668" t="str">
        <f t="shared" si="362"/>
        <v>ORD-SP-0788-28/08/24</v>
      </c>
      <c r="D668" s="3" t="s">
        <v>759</v>
      </c>
      <c r="E668" t="str">
        <f t="shared" si="363"/>
        <v>PU001</v>
      </c>
      <c r="F668" t="str">
        <f>INDEX(Katalog!$B$4:$B$13,MATCH('Main Data'!E668,Katalog!$C$4:$C$13,0))</f>
        <v>Jaket Hoodie</v>
      </c>
      <c r="G668" t="str">
        <f>VLOOKUP(E668,Katalog!$A$15:$B$25,2,0)</f>
        <v>Pakaian Unisex</v>
      </c>
      <c r="H668" t="str">
        <f t="shared" si="364"/>
        <v>6</v>
      </c>
      <c r="I668" t="str">
        <f t="shared" si="365"/>
        <v>4</v>
      </c>
      <c r="J668" s="18">
        <f>VLOOKUP(E668,Katalog!$C$3:$F$13,2,0)</f>
        <v>160000</v>
      </c>
      <c r="K668" s="18">
        <f>VLOOKUP(E668,Katalog!$C$3:$F$13,3,0)</f>
        <v>60000</v>
      </c>
      <c r="L668" t="str">
        <f t="shared" si="366"/>
        <v>PW002</v>
      </c>
      <c r="M668" t="str">
        <f>IFERROR(INDEX(Katalog!$B$4:$B$13,MATCH('Main Data'!L668,Katalog!$C$4:$C$13,0)), "-")</f>
        <v>Blouse</v>
      </c>
      <c r="N668" t="str">
        <f>IFERROR(VLOOKUP(L668,Katalog!$A$15:$B$25,2,0),"-")</f>
        <v>Pakaian Wanita</v>
      </c>
      <c r="O668" t="str">
        <f t="shared" si="367"/>
        <v>1</v>
      </c>
      <c r="P668" t="str">
        <f t="shared" si="368"/>
        <v>2</v>
      </c>
      <c r="Q668" s="18">
        <f>IFERROR(VLOOKUP(L668,Katalog!$C$3:$F$13,2,0),0)</f>
        <v>125000</v>
      </c>
      <c r="R668" s="18">
        <f>IFERROR(VLOOKUP(L668,Katalog!$C$3:$F$13,3,0),0)</f>
        <v>50000</v>
      </c>
      <c r="S668" t="str">
        <f t="shared" si="369"/>
        <v>-</v>
      </c>
      <c r="T668" t="str">
        <f>IFERROR(INDEX(Katalog!$B$4:$B$13,MATCH('Main Data'!S668,Katalog!$C$4:$C$13,0)),"-")</f>
        <v>-</v>
      </c>
      <c r="U668" t="str">
        <f>IFERROR(VLOOKUP(S668,Katalog!$A$15:$B$25,2,0),"-")</f>
        <v>-</v>
      </c>
      <c r="V668">
        <f t="shared" si="370"/>
        <v>0</v>
      </c>
      <c r="W668" s="28" t="str">
        <f t="shared" si="371"/>
        <v>-</v>
      </c>
      <c r="X668" s="18">
        <f>IFERROR(VLOOKUP(S668,Katalog!$C$3:$F$13,2,0),0)</f>
        <v>0</v>
      </c>
      <c r="Y668" s="30">
        <f>IFERROR(VLOOKUP(S668,Katalog!$C$3:$F$13,3,0),0)</f>
        <v>0</v>
      </c>
      <c r="Z668" s="2">
        <f t="shared" si="372"/>
        <v>7</v>
      </c>
      <c r="AA668" s="4">
        <f t="shared" si="373"/>
        <v>1085000</v>
      </c>
      <c r="AB668" s="4">
        <f t="shared" si="374"/>
        <v>410000</v>
      </c>
      <c r="AC668" s="4" t="s">
        <v>10</v>
      </c>
      <c r="AD668" s="16">
        <f>IFERROR(VLOOKUP(AC668,'Kode Diskon'!$C$2:$D$9,2,0),0)</f>
        <v>0</v>
      </c>
      <c r="AE668" s="31">
        <f t="shared" si="375"/>
        <v>0</v>
      </c>
      <c r="AF668" s="31">
        <f t="shared" si="376"/>
        <v>1085000</v>
      </c>
      <c r="AG668" s="31">
        <f t="shared" si="377"/>
        <v>675000</v>
      </c>
      <c r="AH668" s="31">
        <f t="shared" si="378"/>
        <v>675000</v>
      </c>
      <c r="AI668" s="4" t="s">
        <v>10</v>
      </c>
      <c r="AJ668" s="4" t="s">
        <v>6</v>
      </c>
      <c r="AK668" s="4" t="str">
        <f>IFERROR(VLOOKUP(AJ668,'Guide '!$A$13:$B$16,2,0),"-")</f>
        <v>SP</v>
      </c>
      <c r="AL668" s="4" t="s">
        <v>1006</v>
      </c>
      <c r="AM668" s="40">
        <v>45532</v>
      </c>
      <c r="AN668">
        <f t="shared" si="379"/>
        <v>29</v>
      </c>
      <c r="AO668">
        <f t="shared" si="380"/>
        <v>32</v>
      </c>
      <c r="AP668">
        <f t="shared" si="381"/>
        <v>40</v>
      </c>
      <c r="AQ668">
        <f t="shared" si="382"/>
        <v>43</v>
      </c>
      <c r="AR668" s="26">
        <f t="shared" si="383"/>
        <v>56</v>
      </c>
      <c r="AS668" s="26">
        <f t="shared" si="384"/>
        <v>63</v>
      </c>
      <c r="AT668" s="21">
        <f t="shared" si="385"/>
        <v>12</v>
      </c>
      <c r="AU668" s="21">
        <f t="shared" si="386"/>
        <v>19</v>
      </c>
      <c r="AV668">
        <f t="shared" si="387"/>
        <v>73</v>
      </c>
      <c r="AW668">
        <f t="shared" si="388"/>
        <v>76</v>
      </c>
      <c r="AX668">
        <f t="shared" si="389"/>
        <v>84</v>
      </c>
      <c r="AY668">
        <f t="shared" si="390"/>
        <v>87</v>
      </c>
      <c r="AZ668" t="str">
        <f t="shared" si="391"/>
        <v>-</v>
      </c>
      <c r="BA668" t="str">
        <f t="shared" si="392"/>
        <v>-</v>
      </c>
      <c r="BB668" t="str">
        <f t="shared" si="393"/>
        <v>-</v>
      </c>
      <c r="BC668" t="str">
        <f t="shared" si="394"/>
        <v>-</v>
      </c>
      <c r="BD668" s="29" t="str">
        <f t="shared" si="395"/>
        <v>-</v>
      </c>
      <c r="BE668" s="29" t="str">
        <f t="shared" si="396"/>
        <v>-</v>
      </c>
    </row>
    <row r="669" spans="1:57" ht="15" x14ac:dyDescent="0.2">
      <c r="A669" s="2">
        <v>893</v>
      </c>
      <c r="B669" s="2" t="str">
        <f t="shared" si="361"/>
        <v>0893</v>
      </c>
      <c r="C669" t="str">
        <f t="shared" si="362"/>
        <v>ORD-TK-0893-28/08/24</v>
      </c>
      <c r="D669" s="3" t="s">
        <v>833</v>
      </c>
      <c r="E669" t="str">
        <f t="shared" si="363"/>
        <v>PU001</v>
      </c>
      <c r="F669" t="str">
        <f>INDEX(Katalog!$B$4:$B$13,MATCH('Main Data'!E669,Katalog!$C$4:$C$13,0))</f>
        <v>Jaket Hoodie</v>
      </c>
      <c r="G669" t="str">
        <f>VLOOKUP(E669,Katalog!$A$15:$B$25,2,0)</f>
        <v>Pakaian Unisex</v>
      </c>
      <c r="H669" t="str">
        <f t="shared" si="364"/>
        <v>1</v>
      </c>
      <c r="I669" t="str">
        <f t="shared" si="365"/>
        <v>1</v>
      </c>
      <c r="J669" s="18">
        <f>VLOOKUP(E669,Katalog!$C$3:$F$13,2,0)</f>
        <v>160000</v>
      </c>
      <c r="K669" s="18">
        <f>VLOOKUP(E669,Katalog!$C$3:$F$13,3,0)</f>
        <v>60000</v>
      </c>
      <c r="L669" t="str">
        <f t="shared" si="366"/>
        <v>SP001</v>
      </c>
      <c r="M669" t="str">
        <f>IFERROR(INDEX(Katalog!$B$4:$B$13,MATCH('Main Data'!L669,Katalog!$C$4:$C$13,0)), "-")</f>
        <v>Sneakers</v>
      </c>
      <c r="N669" t="str">
        <f>IFERROR(VLOOKUP(L669,Katalog!$A$15:$B$25,2,0),"-")</f>
        <v>Sepatu Pria</v>
      </c>
      <c r="O669" t="str">
        <f t="shared" si="367"/>
        <v>1</v>
      </c>
      <c r="P669" t="str">
        <f t="shared" si="368"/>
        <v>2</v>
      </c>
      <c r="Q669" s="18">
        <f>IFERROR(VLOOKUP(L669,Katalog!$C$3:$F$13,2,0),0)</f>
        <v>300000</v>
      </c>
      <c r="R669" s="18">
        <f>IFERROR(VLOOKUP(L669,Katalog!$C$3:$F$13,3,0),0)</f>
        <v>100000</v>
      </c>
      <c r="S669" t="str">
        <f t="shared" si="369"/>
        <v>SP002</v>
      </c>
      <c r="T669" t="str">
        <f>IFERROR(INDEX(Katalog!$B$4:$B$13,MATCH('Main Data'!S669,Katalog!$C$4:$C$13,0)),"-")</f>
        <v>Sandal Slip On</v>
      </c>
      <c r="U669" t="str">
        <f>IFERROR(VLOOKUP(S669,Katalog!$A$15:$B$25,2,0),"-")</f>
        <v>Sepatu Pria</v>
      </c>
      <c r="V669" t="str">
        <f t="shared" si="370"/>
        <v>3</v>
      </c>
      <c r="W669" s="28" t="str">
        <f t="shared" si="371"/>
        <v>2</v>
      </c>
      <c r="X669" s="18">
        <f>IFERROR(VLOOKUP(S669,Katalog!$C$3:$F$13,2,0),0)</f>
        <v>120000</v>
      </c>
      <c r="Y669" s="30">
        <f>IFERROR(VLOOKUP(S669,Katalog!$C$3:$F$13,3,0),0)</f>
        <v>60000</v>
      </c>
      <c r="Z669" s="2">
        <f t="shared" si="372"/>
        <v>5</v>
      </c>
      <c r="AA669" s="4">
        <f t="shared" si="373"/>
        <v>820000</v>
      </c>
      <c r="AB669" s="4">
        <f t="shared" si="374"/>
        <v>340000</v>
      </c>
      <c r="AC669" s="4" t="s">
        <v>29</v>
      </c>
      <c r="AD669" s="16">
        <f>IFERROR(VLOOKUP(AC669,'Kode Diskon'!$C$2:$D$9,2,0),0)</f>
        <v>0.1</v>
      </c>
      <c r="AE669" s="31">
        <f t="shared" si="375"/>
        <v>82000</v>
      </c>
      <c r="AF669" s="31">
        <f t="shared" si="376"/>
        <v>738000</v>
      </c>
      <c r="AG669" s="31">
        <f t="shared" si="377"/>
        <v>480000</v>
      </c>
      <c r="AH669" s="31">
        <f t="shared" si="378"/>
        <v>398000</v>
      </c>
      <c r="AI669" s="4" t="s">
        <v>28</v>
      </c>
      <c r="AJ669" s="4" t="s">
        <v>9</v>
      </c>
      <c r="AK669" s="4" t="str">
        <f>IFERROR(VLOOKUP(AJ669,'Guide '!$A$13:$B$16,2,0),"-")</f>
        <v>TK</v>
      </c>
      <c r="AL669" s="4" t="s">
        <v>1006</v>
      </c>
      <c r="AM669" s="40">
        <v>45532</v>
      </c>
      <c r="AN669">
        <f t="shared" si="379"/>
        <v>29</v>
      </c>
      <c r="AO669">
        <f t="shared" si="380"/>
        <v>32</v>
      </c>
      <c r="AP669">
        <f t="shared" si="381"/>
        <v>40</v>
      </c>
      <c r="AQ669">
        <f t="shared" si="382"/>
        <v>43</v>
      </c>
      <c r="AR669" s="26">
        <f t="shared" si="383"/>
        <v>56</v>
      </c>
      <c r="AS669" s="26">
        <f t="shared" si="384"/>
        <v>63</v>
      </c>
      <c r="AT669" s="21">
        <f t="shared" si="385"/>
        <v>12</v>
      </c>
      <c r="AU669" s="21">
        <f t="shared" si="386"/>
        <v>19</v>
      </c>
      <c r="AV669">
        <f t="shared" si="387"/>
        <v>73</v>
      </c>
      <c r="AW669">
        <f t="shared" si="388"/>
        <v>76</v>
      </c>
      <c r="AX669">
        <f t="shared" si="389"/>
        <v>84</v>
      </c>
      <c r="AY669">
        <f t="shared" si="390"/>
        <v>87</v>
      </c>
      <c r="AZ669">
        <f t="shared" si="391"/>
        <v>100</v>
      </c>
      <c r="BA669">
        <f t="shared" si="392"/>
        <v>107</v>
      </c>
      <c r="BB669">
        <f t="shared" si="393"/>
        <v>117</v>
      </c>
      <c r="BC669">
        <f t="shared" si="394"/>
        <v>120</v>
      </c>
      <c r="BD669" s="29">
        <f t="shared" si="395"/>
        <v>128</v>
      </c>
      <c r="BE669" s="29">
        <f t="shared" si="396"/>
        <v>131</v>
      </c>
    </row>
    <row r="670" spans="1:57" ht="15" x14ac:dyDescent="0.2">
      <c r="A670" s="2">
        <v>438</v>
      </c>
      <c r="B670" s="2" t="str">
        <f t="shared" si="361"/>
        <v>0438</v>
      </c>
      <c r="C670" t="str">
        <f t="shared" si="362"/>
        <v>ORD-SP-0438-29/08/24</v>
      </c>
      <c r="D670" s="3" t="s">
        <v>478</v>
      </c>
      <c r="E670" t="str">
        <f t="shared" si="363"/>
        <v>PU001</v>
      </c>
      <c r="F670" t="str">
        <f>INDEX(Katalog!$B$4:$B$13,MATCH('Main Data'!E670,Katalog!$C$4:$C$13,0))</f>
        <v>Jaket Hoodie</v>
      </c>
      <c r="G670" t="str">
        <f>VLOOKUP(E670,Katalog!$A$15:$B$25,2,0)</f>
        <v>Pakaian Unisex</v>
      </c>
      <c r="H670" t="str">
        <f t="shared" si="364"/>
        <v>2</v>
      </c>
      <c r="I670" t="str">
        <f t="shared" si="365"/>
        <v>1</v>
      </c>
      <c r="J670" s="18">
        <f>VLOOKUP(E670,Katalog!$C$3:$F$13,2,0)</f>
        <v>160000</v>
      </c>
      <c r="K670" s="18">
        <f>VLOOKUP(E670,Katalog!$C$3:$F$13,3,0)</f>
        <v>60000</v>
      </c>
      <c r="L670" t="str">
        <f t="shared" si="366"/>
        <v>PP003</v>
      </c>
      <c r="M670" t="str">
        <f>IFERROR(INDEX(Katalog!$B$4:$B$13,MATCH('Main Data'!L670,Katalog!$C$4:$C$13,0)), "-")</f>
        <v>Jaket Jeans</v>
      </c>
      <c r="N670" t="str">
        <f>IFERROR(VLOOKUP(L670,Katalog!$A$15:$B$25,2,0),"-")</f>
        <v>Pakaian Pria</v>
      </c>
      <c r="O670" t="str">
        <f t="shared" si="367"/>
        <v>1</v>
      </c>
      <c r="P670" t="str">
        <f t="shared" si="368"/>
        <v>3</v>
      </c>
      <c r="Q670" s="18">
        <f>IFERROR(VLOOKUP(L670,Katalog!$C$3:$F$13,2,0),0)</f>
        <v>150000</v>
      </c>
      <c r="R670" s="18">
        <f>IFERROR(VLOOKUP(L670,Katalog!$C$3:$F$13,3,0),0)</f>
        <v>70000</v>
      </c>
      <c r="S670" t="str">
        <f t="shared" si="369"/>
        <v>-</v>
      </c>
      <c r="T670" t="str">
        <f>IFERROR(INDEX(Katalog!$B$4:$B$13,MATCH('Main Data'!S670,Katalog!$C$4:$C$13,0)),"-")</f>
        <v>-</v>
      </c>
      <c r="U670" t="str">
        <f>IFERROR(VLOOKUP(S670,Katalog!$A$15:$B$25,2,0),"-")</f>
        <v>-</v>
      </c>
      <c r="V670">
        <f t="shared" si="370"/>
        <v>0</v>
      </c>
      <c r="W670" s="28" t="str">
        <f t="shared" si="371"/>
        <v>-</v>
      </c>
      <c r="X670" s="18">
        <f>IFERROR(VLOOKUP(S670,Katalog!$C$3:$F$13,2,0),0)</f>
        <v>0</v>
      </c>
      <c r="Y670" s="30">
        <f>IFERROR(VLOOKUP(S670,Katalog!$C$3:$F$13,3,0),0)</f>
        <v>0</v>
      </c>
      <c r="Z670" s="2">
        <f t="shared" si="372"/>
        <v>3</v>
      </c>
      <c r="AA670" s="4">
        <f t="shared" si="373"/>
        <v>470000</v>
      </c>
      <c r="AB670" s="4">
        <f t="shared" si="374"/>
        <v>190000</v>
      </c>
      <c r="AC670" s="4" t="s">
        <v>7</v>
      </c>
      <c r="AD670" s="16">
        <f>IFERROR(VLOOKUP(AC670,'Kode Diskon'!$C$2:$D$9,2,0),0)</f>
        <v>0.2</v>
      </c>
      <c r="AE670" s="31">
        <f t="shared" si="375"/>
        <v>94000</v>
      </c>
      <c r="AF670" s="31">
        <f t="shared" si="376"/>
        <v>376000</v>
      </c>
      <c r="AG670" s="31">
        <f t="shared" si="377"/>
        <v>280000</v>
      </c>
      <c r="AH670" s="31">
        <f t="shared" si="378"/>
        <v>186000</v>
      </c>
      <c r="AI670" s="4" t="s">
        <v>8</v>
      </c>
      <c r="AJ670" s="4" t="s">
        <v>6</v>
      </c>
      <c r="AK670" s="4" t="str">
        <f>IFERROR(VLOOKUP(AJ670,'Guide '!$A$13:$B$16,2,0),"-")</f>
        <v>SP</v>
      </c>
      <c r="AL670" s="4" t="s">
        <v>925</v>
      </c>
      <c r="AM670" s="40">
        <v>45533</v>
      </c>
      <c r="AN670">
        <f t="shared" si="379"/>
        <v>29</v>
      </c>
      <c r="AO670">
        <f t="shared" si="380"/>
        <v>32</v>
      </c>
      <c r="AP670">
        <f t="shared" si="381"/>
        <v>40</v>
      </c>
      <c r="AQ670">
        <f t="shared" si="382"/>
        <v>43</v>
      </c>
      <c r="AR670" s="26">
        <f t="shared" si="383"/>
        <v>56</v>
      </c>
      <c r="AS670" s="26">
        <f t="shared" si="384"/>
        <v>63</v>
      </c>
      <c r="AT670" s="21">
        <f t="shared" si="385"/>
        <v>12</v>
      </c>
      <c r="AU670" s="21">
        <f t="shared" si="386"/>
        <v>19</v>
      </c>
      <c r="AV670">
        <f t="shared" si="387"/>
        <v>73</v>
      </c>
      <c r="AW670">
        <f t="shared" si="388"/>
        <v>76</v>
      </c>
      <c r="AX670">
        <f t="shared" si="389"/>
        <v>84</v>
      </c>
      <c r="AY670">
        <f t="shared" si="390"/>
        <v>87</v>
      </c>
      <c r="AZ670" t="str">
        <f t="shared" si="391"/>
        <v>-</v>
      </c>
      <c r="BA670" t="str">
        <f t="shared" si="392"/>
        <v>-</v>
      </c>
      <c r="BB670" t="str">
        <f t="shared" si="393"/>
        <v>-</v>
      </c>
      <c r="BC670" t="str">
        <f t="shared" si="394"/>
        <v>-</v>
      </c>
      <c r="BD670" s="29" t="str">
        <f t="shared" si="395"/>
        <v>-</v>
      </c>
      <c r="BE670" s="29" t="str">
        <f t="shared" si="396"/>
        <v>-</v>
      </c>
    </row>
    <row r="671" spans="1:57" ht="15" x14ac:dyDescent="0.2">
      <c r="A671" s="2">
        <v>892</v>
      </c>
      <c r="B671" s="2" t="str">
        <f t="shared" si="361"/>
        <v>0892</v>
      </c>
      <c r="C671" t="str">
        <f t="shared" si="362"/>
        <v>ORD-BL-0892-29/08/24</v>
      </c>
      <c r="D671" s="3" t="s">
        <v>832</v>
      </c>
      <c r="E671" t="str">
        <f t="shared" si="363"/>
        <v>PP001</v>
      </c>
      <c r="F671" t="str">
        <f>INDEX(Katalog!$B$4:$B$13,MATCH('Main Data'!E671,Katalog!$C$4:$C$13,0))</f>
        <v>Kaos Polo</v>
      </c>
      <c r="G671" t="str">
        <f>VLOOKUP(E671,Katalog!$A$15:$B$25,2,0)</f>
        <v>Pakaian Pria</v>
      </c>
      <c r="H671" t="str">
        <f t="shared" si="364"/>
        <v>1</v>
      </c>
      <c r="I671" t="str">
        <f t="shared" si="365"/>
        <v>4</v>
      </c>
      <c r="J671" s="18">
        <f>VLOOKUP(E671,Katalog!$C$3:$F$13,2,0)</f>
        <v>80000</v>
      </c>
      <c r="K671" s="18">
        <f>VLOOKUP(E671,Katalog!$C$3:$F$13,3,0)</f>
        <v>30000</v>
      </c>
      <c r="L671" t="str">
        <f t="shared" si="366"/>
        <v>PP002</v>
      </c>
      <c r="M671" t="str">
        <f>IFERROR(INDEX(Katalog!$B$4:$B$13,MATCH('Main Data'!L671,Katalog!$C$4:$C$13,0)), "-")</f>
        <v>Celana Pendek</v>
      </c>
      <c r="N671" t="str">
        <f>IFERROR(VLOOKUP(L671,Katalog!$A$15:$B$25,2,0),"-")</f>
        <v>Pakaian Pria</v>
      </c>
      <c r="O671" t="str">
        <f t="shared" si="367"/>
        <v>1</v>
      </c>
      <c r="P671" t="str">
        <f t="shared" si="368"/>
        <v>2</v>
      </c>
      <c r="Q671" s="18">
        <f>IFERROR(VLOOKUP(L671,Katalog!$C$3:$F$13,2,0),0)</f>
        <v>60000</v>
      </c>
      <c r="R671" s="18">
        <f>IFERROR(VLOOKUP(L671,Katalog!$C$3:$F$13,3,0),0)</f>
        <v>25000</v>
      </c>
      <c r="S671" t="str">
        <f t="shared" si="369"/>
        <v>-</v>
      </c>
      <c r="T671" t="str">
        <f>IFERROR(INDEX(Katalog!$B$4:$B$13,MATCH('Main Data'!S671,Katalog!$C$4:$C$13,0)),"-")</f>
        <v>-</v>
      </c>
      <c r="U671" t="str">
        <f>IFERROR(VLOOKUP(S671,Katalog!$A$15:$B$25,2,0),"-")</f>
        <v>-</v>
      </c>
      <c r="V671">
        <f t="shared" si="370"/>
        <v>0</v>
      </c>
      <c r="W671" s="28" t="str">
        <f t="shared" si="371"/>
        <v>-</v>
      </c>
      <c r="X671" s="18">
        <f>IFERROR(VLOOKUP(S671,Katalog!$C$3:$F$13,2,0),0)</f>
        <v>0</v>
      </c>
      <c r="Y671" s="30">
        <f>IFERROR(VLOOKUP(S671,Katalog!$C$3:$F$13,3,0),0)</f>
        <v>0</v>
      </c>
      <c r="Z671" s="2">
        <f t="shared" si="372"/>
        <v>2</v>
      </c>
      <c r="AA671" s="4">
        <f t="shared" si="373"/>
        <v>140000</v>
      </c>
      <c r="AB671" s="4">
        <f t="shared" si="374"/>
        <v>55000</v>
      </c>
      <c r="AC671" s="4" t="s">
        <v>31</v>
      </c>
      <c r="AD671" s="16">
        <f>IFERROR(VLOOKUP(AC671,'Kode Diskon'!$C$2:$D$9,2,0),0)</f>
        <v>0.15</v>
      </c>
      <c r="AE671" s="31">
        <f t="shared" si="375"/>
        <v>21000</v>
      </c>
      <c r="AF671" s="31">
        <f t="shared" si="376"/>
        <v>119000</v>
      </c>
      <c r="AG671" s="31">
        <f t="shared" si="377"/>
        <v>85000</v>
      </c>
      <c r="AH671" s="31">
        <f t="shared" si="378"/>
        <v>64000</v>
      </c>
      <c r="AI671" s="4" t="s">
        <v>8</v>
      </c>
      <c r="AJ671" s="4" t="s">
        <v>11</v>
      </c>
      <c r="AK671" s="4" t="str">
        <f>IFERROR(VLOOKUP(AJ671,'Guide '!$A$13:$B$16,2,0),"-")</f>
        <v>BL</v>
      </c>
      <c r="AL671" s="4" t="s">
        <v>925</v>
      </c>
      <c r="AM671" s="40">
        <v>45533</v>
      </c>
      <c r="AN671">
        <f t="shared" si="379"/>
        <v>29</v>
      </c>
      <c r="AO671">
        <f t="shared" si="380"/>
        <v>32</v>
      </c>
      <c r="AP671">
        <f t="shared" si="381"/>
        <v>40</v>
      </c>
      <c r="AQ671">
        <f t="shared" si="382"/>
        <v>43</v>
      </c>
      <c r="AR671" s="26">
        <f t="shared" si="383"/>
        <v>56</v>
      </c>
      <c r="AS671" s="26">
        <f t="shared" si="384"/>
        <v>63</v>
      </c>
      <c r="AT671" s="21">
        <f t="shared" si="385"/>
        <v>12</v>
      </c>
      <c r="AU671" s="21">
        <f t="shared" si="386"/>
        <v>19</v>
      </c>
      <c r="AV671">
        <f t="shared" si="387"/>
        <v>73</v>
      </c>
      <c r="AW671">
        <f t="shared" si="388"/>
        <v>76</v>
      </c>
      <c r="AX671">
        <f t="shared" si="389"/>
        <v>84</v>
      </c>
      <c r="AY671">
        <f t="shared" si="390"/>
        <v>87</v>
      </c>
      <c r="AZ671" t="str">
        <f t="shared" si="391"/>
        <v>-</v>
      </c>
      <c r="BA671" t="str">
        <f t="shared" si="392"/>
        <v>-</v>
      </c>
      <c r="BB671" t="str">
        <f t="shared" si="393"/>
        <v>-</v>
      </c>
      <c r="BC671" t="str">
        <f t="shared" si="394"/>
        <v>-</v>
      </c>
      <c r="BD671" s="29" t="str">
        <f t="shared" si="395"/>
        <v>-</v>
      </c>
      <c r="BE671" s="29" t="str">
        <f t="shared" si="396"/>
        <v>-</v>
      </c>
    </row>
    <row r="672" spans="1:57" ht="15" x14ac:dyDescent="0.2">
      <c r="A672" s="2">
        <v>187</v>
      </c>
      <c r="B672" s="2" t="str">
        <f t="shared" si="361"/>
        <v>0187</v>
      </c>
      <c r="C672" t="str">
        <f t="shared" si="362"/>
        <v>ORD-TK-0187-30/08/24</v>
      </c>
      <c r="D672" s="3" t="s">
        <v>256</v>
      </c>
      <c r="E672" t="str">
        <f t="shared" si="363"/>
        <v>PU001</v>
      </c>
      <c r="F672" t="str">
        <f>INDEX(Katalog!$B$4:$B$13,MATCH('Main Data'!E672,Katalog!$C$4:$C$13,0))</f>
        <v>Jaket Hoodie</v>
      </c>
      <c r="G672" t="str">
        <f>VLOOKUP(E672,Katalog!$A$15:$B$25,2,0)</f>
        <v>Pakaian Unisex</v>
      </c>
      <c r="H672" t="str">
        <f t="shared" si="364"/>
        <v>1</v>
      </c>
      <c r="I672" t="str">
        <f t="shared" si="365"/>
        <v>2</v>
      </c>
      <c r="J672" s="18">
        <f>VLOOKUP(E672,Katalog!$C$3:$F$13,2,0)</f>
        <v>160000</v>
      </c>
      <c r="K672" s="18">
        <f>VLOOKUP(E672,Katalog!$C$3:$F$13,3,0)</f>
        <v>60000</v>
      </c>
      <c r="L672" t="str">
        <f t="shared" si="366"/>
        <v>PP001</v>
      </c>
      <c r="M672" t="str">
        <f>IFERROR(INDEX(Katalog!$B$4:$B$13,MATCH('Main Data'!L672,Katalog!$C$4:$C$13,0)), "-")</f>
        <v>Kaos Polo</v>
      </c>
      <c r="N672" t="str">
        <f>IFERROR(VLOOKUP(L672,Katalog!$A$15:$B$25,2,0),"-")</f>
        <v>Pakaian Pria</v>
      </c>
      <c r="O672" t="str">
        <f t="shared" si="367"/>
        <v>1</v>
      </c>
      <c r="P672" t="str">
        <f t="shared" si="368"/>
        <v>5</v>
      </c>
      <c r="Q672" s="18">
        <f>IFERROR(VLOOKUP(L672,Katalog!$C$3:$F$13,2,0),0)</f>
        <v>80000</v>
      </c>
      <c r="R672" s="18">
        <f>IFERROR(VLOOKUP(L672,Katalog!$C$3:$F$13,3,0),0)</f>
        <v>30000</v>
      </c>
      <c r="S672" t="str">
        <f t="shared" si="369"/>
        <v>-</v>
      </c>
      <c r="T672" t="str">
        <f>IFERROR(INDEX(Katalog!$B$4:$B$13,MATCH('Main Data'!S672,Katalog!$C$4:$C$13,0)),"-")</f>
        <v>-</v>
      </c>
      <c r="U672" t="str">
        <f>IFERROR(VLOOKUP(S672,Katalog!$A$15:$B$25,2,0),"-")</f>
        <v>-</v>
      </c>
      <c r="V672">
        <f t="shared" si="370"/>
        <v>0</v>
      </c>
      <c r="W672" s="28" t="str">
        <f t="shared" si="371"/>
        <v>-</v>
      </c>
      <c r="X672" s="18">
        <f>IFERROR(VLOOKUP(S672,Katalog!$C$3:$F$13,2,0),0)</f>
        <v>0</v>
      </c>
      <c r="Y672" s="30">
        <f>IFERROR(VLOOKUP(S672,Katalog!$C$3:$F$13,3,0),0)</f>
        <v>0</v>
      </c>
      <c r="Z672" s="2">
        <f t="shared" si="372"/>
        <v>2</v>
      </c>
      <c r="AA672" s="4">
        <f t="shared" si="373"/>
        <v>240000</v>
      </c>
      <c r="AB672" s="4">
        <f t="shared" si="374"/>
        <v>90000</v>
      </c>
      <c r="AC672" s="4" t="s">
        <v>30</v>
      </c>
      <c r="AD672" s="16">
        <f>IFERROR(VLOOKUP(AC672,'Kode Diskon'!$C$2:$D$9,2,0),0)</f>
        <v>0.1</v>
      </c>
      <c r="AE672" s="31">
        <f t="shared" si="375"/>
        <v>24000</v>
      </c>
      <c r="AF672" s="31">
        <f t="shared" si="376"/>
        <v>216000</v>
      </c>
      <c r="AG672" s="31">
        <f t="shared" si="377"/>
        <v>150000</v>
      </c>
      <c r="AH672" s="31">
        <f t="shared" si="378"/>
        <v>126000</v>
      </c>
      <c r="AI672" s="4" t="s">
        <v>8</v>
      </c>
      <c r="AJ672" s="4" t="s">
        <v>9</v>
      </c>
      <c r="AK672" s="4" t="str">
        <f>IFERROR(VLOOKUP(AJ672,'Guide '!$A$13:$B$16,2,0),"-")</f>
        <v>TK</v>
      </c>
      <c r="AL672" s="4" t="s">
        <v>921</v>
      </c>
      <c r="AM672" s="40">
        <v>45534</v>
      </c>
      <c r="AN672">
        <f t="shared" si="379"/>
        <v>29</v>
      </c>
      <c r="AO672">
        <f t="shared" si="380"/>
        <v>32</v>
      </c>
      <c r="AP672">
        <f t="shared" si="381"/>
        <v>40</v>
      </c>
      <c r="AQ672">
        <f t="shared" si="382"/>
        <v>43</v>
      </c>
      <c r="AR672" s="26">
        <f t="shared" si="383"/>
        <v>56</v>
      </c>
      <c r="AS672" s="26">
        <f t="shared" si="384"/>
        <v>63</v>
      </c>
      <c r="AT672" s="21">
        <f t="shared" si="385"/>
        <v>12</v>
      </c>
      <c r="AU672" s="21">
        <f t="shared" si="386"/>
        <v>19</v>
      </c>
      <c r="AV672">
        <f t="shared" si="387"/>
        <v>73</v>
      </c>
      <c r="AW672">
        <f t="shared" si="388"/>
        <v>76</v>
      </c>
      <c r="AX672">
        <f t="shared" si="389"/>
        <v>84</v>
      </c>
      <c r="AY672">
        <f t="shared" si="390"/>
        <v>87</v>
      </c>
      <c r="AZ672" t="str">
        <f t="shared" si="391"/>
        <v>-</v>
      </c>
      <c r="BA672" t="str">
        <f t="shared" si="392"/>
        <v>-</v>
      </c>
      <c r="BB672" t="str">
        <f t="shared" si="393"/>
        <v>-</v>
      </c>
      <c r="BC672" t="str">
        <f t="shared" si="394"/>
        <v>-</v>
      </c>
      <c r="BD672" s="29" t="str">
        <f t="shared" si="395"/>
        <v>-</v>
      </c>
      <c r="BE672" s="29" t="str">
        <f t="shared" si="396"/>
        <v>-</v>
      </c>
    </row>
    <row r="673" spans="1:57" ht="15" x14ac:dyDescent="0.2">
      <c r="A673" s="2">
        <v>842</v>
      </c>
      <c r="B673" s="2" t="str">
        <f t="shared" si="361"/>
        <v>0842</v>
      </c>
      <c r="C673" t="str">
        <f t="shared" si="362"/>
        <v>ORD-SP-0842-30/08/24</v>
      </c>
      <c r="D673" s="3" t="s">
        <v>797</v>
      </c>
      <c r="E673" t="str">
        <f t="shared" si="363"/>
        <v>SP001</v>
      </c>
      <c r="F673" t="str">
        <f>INDEX(Katalog!$B$4:$B$13,MATCH('Main Data'!E673,Katalog!$C$4:$C$13,0))</f>
        <v>Sneakers</v>
      </c>
      <c r="G673" t="str">
        <f>VLOOKUP(E673,Katalog!$A$15:$B$25,2,0)</f>
        <v>Sepatu Pria</v>
      </c>
      <c r="H673" t="str">
        <f t="shared" si="364"/>
        <v>1</v>
      </c>
      <c r="I673" t="str">
        <f t="shared" si="365"/>
        <v>5</v>
      </c>
      <c r="J673" s="18">
        <f>VLOOKUP(E673,Katalog!$C$3:$F$13,2,0)</f>
        <v>300000</v>
      </c>
      <c r="K673" s="18">
        <f>VLOOKUP(E673,Katalog!$C$3:$F$13,3,0)</f>
        <v>100000</v>
      </c>
      <c r="L673" t="str">
        <f t="shared" si="366"/>
        <v>PW001</v>
      </c>
      <c r="M673" t="str">
        <f>IFERROR(INDEX(Katalog!$B$4:$B$13,MATCH('Main Data'!L673,Katalog!$C$4:$C$13,0)), "-")</f>
        <v>Dress</v>
      </c>
      <c r="N673" t="str">
        <f>IFERROR(VLOOKUP(L673,Katalog!$A$15:$B$25,2,0),"-")</f>
        <v>Pakaian Wanita</v>
      </c>
      <c r="O673" t="str">
        <f t="shared" si="367"/>
        <v>6</v>
      </c>
      <c r="P673" t="str">
        <f t="shared" si="368"/>
        <v>4</v>
      </c>
      <c r="Q673" s="18">
        <f>IFERROR(VLOOKUP(L673,Katalog!$C$3:$F$13,2,0),0)</f>
        <v>150000</v>
      </c>
      <c r="R673" s="18">
        <f>IFERROR(VLOOKUP(L673,Katalog!$C$3:$F$13,3,0),0)</f>
        <v>55000</v>
      </c>
      <c r="S673" t="str">
        <f t="shared" si="369"/>
        <v>-</v>
      </c>
      <c r="T673" t="str">
        <f>IFERROR(INDEX(Katalog!$B$4:$B$13,MATCH('Main Data'!S673,Katalog!$C$4:$C$13,0)),"-")</f>
        <v>-</v>
      </c>
      <c r="U673" t="str">
        <f>IFERROR(VLOOKUP(S673,Katalog!$A$15:$B$25,2,0),"-")</f>
        <v>-</v>
      </c>
      <c r="V673">
        <f t="shared" si="370"/>
        <v>0</v>
      </c>
      <c r="W673" s="28" t="str">
        <f t="shared" si="371"/>
        <v>-</v>
      </c>
      <c r="X673" s="18">
        <f>IFERROR(VLOOKUP(S673,Katalog!$C$3:$F$13,2,0),0)</f>
        <v>0</v>
      </c>
      <c r="Y673" s="30">
        <f>IFERROR(VLOOKUP(S673,Katalog!$C$3:$F$13,3,0),0)</f>
        <v>0</v>
      </c>
      <c r="Z673" s="2">
        <f t="shared" si="372"/>
        <v>7</v>
      </c>
      <c r="AA673" s="4">
        <f t="shared" si="373"/>
        <v>1200000</v>
      </c>
      <c r="AB673" s="4">
        <f t="shared" si="374"/>
        <v>430000</v>
      </c>
      <c r="AC673" s="4" t="s">
        <v>10</v>
      </c>
      <c r="AD673" s="16">
        <f>IFERROR(VLOOKUP(AC673,'Kode Diskon'!$C$2:$D$9,2,0),0)</f>
        <v>0</v>
      </c>
      <c r="AE673" s="31">
        <f t="shared" si="375"/>
        <v>0</v>
      </c>
      <c r="AF673" s="31">
        <f t="shared" si="376"/>
        <v>1200000</v>
      </c>
      <c r="AG673" s="31">
        <f t="shared" si="377"/>
        <v>770000</v>
      </c>
      <c r="AH673" s="31">
        <f t="shared" si="378"/>
        <v>770000</v>
      </c>
      <c r="AI673" s="4" t="s">
        <v>10</v>
      </c>
      <c r="AJ673" s="4" t="s">
        <v>6</v>
      </c>
      <c r="AK673" s="4" t="str">
        <f>IFERROR(VLOOKUP(AJ673,'Guide '!$A$13:$B$16,2,0),"-")</f>
        <v>SP</v>
      </c>
      <c r="AL673" s="4" t="s">
        <v>925</v>
      </c>
      <c r="AM673" s="40">
        <v>45534</v>
      </c>
      <c r="AN673">
        <f t="shared" si="379"/>
        <v>29</v>
      </c>
      <c r="AO673">
        <f t="shared" si="380"/>
        <v>32</v>
      </c>
      <c r="AP673">
        <f t="shared" si="381"/>
        <v>40</v>
      </c>
      <c r="AQ673">
        <f t="shared" si="382"/>
        <v>43</v>
      </c>
      <c r="AR673" s="26">
        <f t="shared" si="383"/>
        <v>56</v>
      </c>
      <c r="AS673" s="26">
        <f t="shared" si="384"/>
        <v>63</v>
      </c>
      <c r="AT673" s="21">
        <f t="shared" si="385"/>
        <v>12</v>
      </c>
      <c r="AU673" s="21">
        <f t="shared" si="386"/>
        <v>19</v>
      </c>
      <c r="AV673">
        <f t="shared" si="387"/>
        <v>73</v>
      </c>
      <c r="AW673">
        <f t="shared" si="388"/>
        <v>76</v>
      </c>
      <c r="AX673">
        <f t="shared" si="389"/>
        <v>84</v>
      </c>
      <c r="AY673">
        <f t="shared" si="390"/>
        <v>87</v>
      </c>
      <c r="AZ673" t="str">
        <f t="shared" si="391"/>
        <v>-</v>
      </c>
      <c r="BA673" t="str">
        <f t="shared" si="392"/>
        <v>-</v>
      </c>
      <c r="BB673" t="str">
        <f t="shared" si="393"/>
        <v>-</v>
      </c>
      <c r="BC673" t="str">
        <f t="shared" si="394"/>
        <v>-</v>
      </c>
      <c r="BD673" s="29" t="str">
        <f t="shared" si="395"/>
        <v>-</v>
      </c>
      <c r="BE673" s="29" t="str">
        <f t="shared" si="396"/>
        <v>-</v>
      </c>
    </row>
    <row r="674" spans="1:57" ht="15" x14ac:dyDescent="0.2">
      <c r="A674" s="2">
        <v>860</v>
      </c>
      <c r="B674" s="2" t="str">
        <f t="shared" si="361"/>
        <v>0860</v>
      </c>
      <c r="C674" t="str">
        <f t="shared" si="362"/>
        <v>ORD-SP-0860-30/08/24</v>
      </c>
      <c r="D674" s="3" t="s">
        <v>810</v>
      </c>
      <c r="E674" t="str">
        <f t="shared" si="363"/>
        <v>PU001</v>
      </c>
      <c r="F674" t="str">
        <f>INDEX(Katalog!$B$4:$B$13,MATCH('Main Data'!E674,Katalog!$C$4:$C$13,0))</f>
        <v>Jaket Hoodie</v>
      </c>
      <c r="G674" t="str">
        <f>VLOOKUP(E674,Katalog!$A$15:$B$25,2,0)</f>
        <v>Pakaian Unisex</v>
      </c>
      <c r="H674" t="str">
        <f t="shared" si="364"/>
        <v>6</v>
      </c>
      <c r="I674" t="str">
        <f t="shared" si="365"/>
        <v>1</v>
      </c>
      <c r="J674" s="18">
        <f>VLOOKUP(E674,Katalog!$C$3:$F$13,2,0)</f>
        <v>160000</v>
      </c>
      <c r="K674" s="18">
        <f>VLOOKUP(E674,Katalog!$C$3:$F$13,3,0)</f>
        <v>60000</v>
      </c>
      <c r="L674" t="str">
        <f t="shared" si="366"/>
        <v>-</v>
      </c>
      <c r="M674" t="str">
        <f>IFERROR(INDEX(Katalog!$B$4:$B$13,MATCH('Main Data'!L674,Katalog!$C$4:$C$13,0)), "-")</f>
        <v>-</v>
      </c>
      <c r="N674" t="str">
        <f>IFERROR(VLOOKUP(L674,Katalog!$A$15:$B$25,2,0),"-")</f>
        <v>-</v>
      </c>
      <c r="O674">
        <f t="shared" si="367"/>
        <v>0</v>
      </c>
      <c r="P674" t="str">
        <f t="shared" si="368"/>
        <v>-</v>
      </c>
      <c r="Q674" s="18">
        <f>IFERROR(VLOOKUP(L674,Katalog!$C$3:$F$13,2,0),0)</f>
        <v>0</v>
      </c>
      <c r="R674" s="18">
        <f>IFERROR(VLOOKUP(L674,Katalog!$C$3:$F$13,3,0),0)</f>
        <v>0</v>
      </c>
      <c r="S674" t="str">
        <f t="shared" si="369"/>
        <v>-</v>
      </c>
      <c r="T674" t="str">
        <f>IFERROR(INDEX(Katalog!$B$4:$B$13,MATCH('Main Data'!S674,Katalog!$C$4:$C$13,0)),"-")</f>
        <v>-</v>
      </c>
      <c r="U674" t="str">
        <f>IFERROR(VLOOKUP(S674,Katalog!$A$15:$B$25,2,0),"-")</f>
        <v>-</v>
      </c>
      <c r="V674">
        <f t="shared" si="370"/>
        <v>0</v>
      </c>
      <c r="W674" s="28" t="str">
        <f t="shared" si="371"/>
        <v>-</v>
      </c>
      <c r="X674" s="18">
        <f>IFERROR(VLOOKUP(S674,Katalog!$C$3:$F$13,2,0),0)</f>
        <v>0</v>
      </c>
      <c r="Y674" s="30">
        <f>IFERROR(VLOOKUP(S674,Katalog!$C$3:$F$13,3,0),0)</f>
        <v>0</v>
      </c>
      <c r="Z674" s="2">
        <f t="shared" si="372"/>
        <v>6</v>
      </c>
      <c r="AA674" s="4">
        <f t="shared" si="373"/>
        <v>960000</v>
      </c>
      <c r="AB674" s="4">
        <f t="shared" si="374"/>
        <v>360000</v>
      </c>
      <c r="AC674" s="4" t="s">
        <v>5</v>
      </c>
      <c r="AD674" s="16">
        <f>IFERROR(VLOOKUP(AC674,'Kode Diskon'!$C$2:$D$9,2,0),0)</f>
        <v>0.1</v>
      </c>
      <c r="AE674" s="31">
        <f t="shared" si="375"/>
        <v>96000</v>
      </c>
      <c r="AF674" s="31">
        <f t="shared" si="376"/>
        <v>864000</v>
      </c>
      <c r="AG674" s="31">
        <f t="shared" si="377"/>
        <v>600000</v>
      </c>
      <c r="AH674" s="31">
        <f t="shared" si="378"/>
        <v>504000</v>
      </c>
      <c r="AI674" s="4" t="s">
        <v>28</v>
      </c>
      <c r="AJ674" s="4" t="s">
        <v>6</v>
      </c>
      <c r="AK674" s="4" t="str">
        <f>IFERROR(VLOOKUP(AJ674,'Guide '!$A$13:$B$16,2,0),"-")</f>
        <v>SP</v>
      </c>
      <c r="AL674" s="4" t="s">
        <v>922</v>
      </c>
      <c r="AM674" s="40">
        <v>45534</v>
      </c>
      <c r="AN674">
        <f t="shared" si="379"/>
        <v>29</v>
      </c>
      <c r="AO674">
        <f t="shared" si="380"/>
        <v>32</v>
      </c>
      <c r="AP674">
        <f t="shared" si="381"/>
        <v>40</v>
      </c>
      <c r="AQ674">
        <f t="shared" si="382"/>
        <v>43</v>
      </c>
      <c r="AR674" s="26" t="str">
        <f t="shared" si="383"/>
        <v>-</v>
      </c>
      <c r="AS674" s="26" t="str">
        <f t="shared" si="384"/>
        <v>-</v>
      </c>
      <c r="AT674" s="21">
        <f t="shared" si="385"/>
        <v>12</v>
      </c>
      <c r="AU674" s="21">
        <f t="shared" si="386"/>
        <v>19</v>
      </c>
      <c r="AV674" t="str">
        <f t="shared" si="387"/>
        <v>-</v>
      </c>
      <c r="AW674" t="str">
        <f t="shared" si="388"/>
        <v>-</v>
      </c>
      <c r="AX674" t="str">
        <f t="shared" si="389"/>
        <v>-</v>
      </c>
      <c r="AY674" t="str">
        <f t="shared" si="390"/>
        <v>-</v>
      </c>
      <c r="AZ674" t="str">
        <f t="shared" si="391"/>
        <v>-</v>
      </c>
      <c r="BA674" t="str">
        <f t="shared" si="392"/>
        <v>-</v>
      </c>
      <c r="BB674" t="str">
        <f t="shared" si="393"/>
        <v>-</v>
      </c>
      <c r="BC674" t="str">
        <f t="shared" si="394"/>
        <v>-</v>
      </c>
      <c r="BD674" s="29" t="str">
        <f t="shared" si="395"/>
        <v>-</v>
      </c>
      <c r="BE674" s="29" t="str">
        <f t="shared" si="396"/>
        <v>-</v>
      </c>
    </row>
    <row r="675" spans="1:57" ht="15" x14ac:dyDescent="0.2">
      <c r="A675" s="2">
        <v>514</v>
      </c>
      <c r="B675" s="2" t="str">
        <f t="shared" si="361"/>
        <v>0514</v>
      </c>
      <c r="C675" t="str">
        <f t="shared" si="362"/>
        <v>ORD-SP-0514-31/08/24</v>
      </c>
      <c r="D675" s="3" t="s">
        <v>542</v>
      </c>
      <c r="E675" t="str">
        <f t="shared" si="363"/>
        <v>PU001</v>
      </c>
      <c r="F675" t="str">
        <f>INDEX(Katalog!$B$4:$B$13,MATCH('Main Data'!E675,Katalog!$C$4:$C$13,0))</f>
        <v>Jaket Hoodie</v>
      </c>
      <c r="G675" t="str">
        <f>VLOOKUP(E675,Katalog!$A$15:$B$25,2,0)</f>
        <v>Pakaian Unisex</v>
      </c>
      <c r="H675" t="str">
        <f t="shared" si="364"/>
        <v>2</v>
      </c>
      <c r="I675" t="str">
        <f t="shared" si="365"/>
        <v>4</v>
      </c>
      <c r="J675" s="18">
        <f>VLOOKUP(E675,Katalog!$C$3:$F$13,2,0)</f>
        <v>160000</v>
      </c>
      <c r="K675" s="18">
        <f>VLOOKUP(E675,Katalog!$C$3:$F$13,3,0)</f>
        <v>60000</v>
      </c>
      <c r="L675" t="str">
        <f t="shared" si="366"/>
        <v>PW003</v>
      </c>
      <c r="M675" t="str">
        <f>IFERROR(INDEX(Katalog!$B$4:$B$13,MATCH('Main Data'!L675,Katalog!$C$4:$C$13,0)), "-")</f>
        <v>Kaftan</v>
      </c>
      <c r="N675" t="str">
        <f>IFERROR(VLOOKUP(L675,Katalog!$A$15:$B$25,2,0),"-")</f>
        <v>Pakaian Wanita</v>
      </c>
      <c r="O675" t="str">
        <f t="shared" si="367"/>
        <v>2</v>
      </c>
      <c r="P675" t="str">
        <f t="shared" si="368"/>
        <v>2</v>
      </c>
      <c r="Q675" s="18">
        <f>IFERROR(VLOOKUP(L675,Katalog!$C$3:$F$13,2,0),0)</f>
        <v>200000</v>
      </c>
      <c r="R675" s="18">
        <f>IFERROR(VLOOKUP(L675,Katalog!$C$3:$F$13,3,0),0)</f>
        <v>100000</v>
      </c>
      <c r="S675" t="str">
        <f t="shared" si="369"/>
        <v>-</v>
      </c>
      <c r="T675" t="str">
        <f>IFERROR(INDEX(Katalog!$B$4:$B$13,MATCH('Main Data'!S675,Katalog!$C$4:$C$13,0)),"-")</f>
        <v>-</v>
      </c>
      <c r="U675" t="str">
        <f>IFERROR(VLOOKUP(S675,Katalog!$A$15:$B$25,2,0),"-")</f>
        <v>-</v>
      </c>
      <c r="V675">
        <f t="shared" si="370"/>
        <v>0</v>
      </c>
      <c r="W675" s="28" t="str">
        <f t="shared" si="371"/>
        <v>-</v>
      </c>
      <c r="X675" s="18">
        <f>IFERROR(VLOOKUP(S675,Katalog!$C$3:$F$13,2,0),0)</f>
        <v>0</v>
      </c>
      <c r="Y675" s="30">
        <f>IFERROR(VLOOKUP(S675,Katalog!$C$3:$F$13,3,0),0)</f>
        <v>0</v>
      </c>
      <c r="Z675" s="2">
        <f t="shared" si="372"/>
        <v>4</v>
      </c>
      <c r="AA675" s="4">
        <f t="shared" si="373"/>
        <v>720000</v>
      </c>
      <c r="AB675" s="4">
        <f t="shared" si="374"/>
        <v>320000</v>
      </c>
      <c r="AC675" s="4" t="s">
        <v>7</v>
      </c>
      <c r="AD675" s="16">
        <f>IFERROR(VLOOKUP(AC675,'Kode Diskon'!$C$2:$D$9,2,0),0)</f>
        <v>0.2</v>
      </c>
      <c r="AE675" s="31">
        <f t="shared" si="375"/>
        <v>144000</v>
      </c>
      <c r="AF675" s="31">
        <f t="shared" si="376"/>
        <v>576000</v>
      </c>
      <c r="AG675" s="31">
        <f t="shared" si="377"/>
        <v>400000</v>
      </c>
      <c r="AH675" s="31">
        <f t="shared" si="378"/>
        <v>256000</v>
      </c>
      <c r="AI675" s="4" t="s">
        <v>8</v>
      </c>
      <c r="AJ675" s="4" t="s">
        <v>6</v>
      </c>
      <c r="AK675" s="4" t="str">
        <f>IFERROR(VLOOKUP(AJ675,'Guide '!$A$13:$B$16,2,0),"-")</f>
        <v>SP</v>
      </c>
      <c r="AL675" s="4" t="s">
        <v>1006</v>
      </c>
      <c r="AM675" s="40">
        <v>45535</v>
      </c>
      <c r="AN675">
        <f t="shared" si="379"/>
        <v>29</v>
      </c>
      <c r="AO675">
        <f t="shared" si="380"/>
        <v>32</v>
      </c>
      <c r="AP675">
        <f t="shared" si="381"/>
        <v>40</v>
      </c>
      <c r="AQ675">
        <f t="shared" si="382"/>
        <v>43</v>
      </c>
      <c r="AR675" s="26">
        <f t="shared" si="383"/>
        <v>56</v>
      </c>
      <c r="AS675" s="26">
        <f t="shared" si="384"/>
        <v>63</v>
      </c>
      <c r="AT675" s="21">
        <f t="shared" si="385"/>
        <v>12</v>
      </c>
      <c r="AU675" s="21">
        <f t="shared" si="386"/>
        <v>19</v>
      </c>
      <c r="AV675">
        <f t="shared" si="387"/>
        <v>73</v>
      </c>
      <c r="AW675">
        <f t="shared" si="388"/>
        <v>76</v>
      </c>
      <c r="AX675">
        <f t="shared" si="389"/>
        <v>84</v>
      </c>
      <c r="AY675">
        <f t="shared" si="390"/>
        <v>87</v>
      </c>
      <c r="AZ675" t="str">
        <f t="shared" si="391"/>
        <v>-</v>
      </c>
      <c r="BA675" t="str">
        <f t="shared" si="392"/>
        <v>-</v>
      </c>
      <c r="BB675" t="str">
        <f t="shared" si="393"/>
        <v>-</v>
      </c>
      <c r="BC675" t="str">
        <f t="shared" si="394"/>
        <v>-</v>
      </c>
      <c r="BD675" s="29" t="str">
        <f t="shared" si="395"/>
        <v>-</v>
      </c>
      <c r="BE675" s="29" t="str">
        <f t="shared" si="396"/>
        <v>-</v>
      </c>
    </row>
    <row r="676" spans="1:57" ht="15" x14ac:dyDescent="0.2">
      <c r="A676" s="2">
        <v>535</v>
      </c>
      <c r="B676" s="2" t="str">
        <f t="shared" si="361"/>
        <v>0535</v>
      </c>
      <c r="C676" t="str">
        <f t="shared" si="362"/>
        <v>ORD-SP-0535-31/08/24</v>
      </c>
      <c r="D676" s="3" t="s">
        <v>498</v>
      </c>
      <c r="E676" t="str">
        <f t="shared" si="363"/>
        <v>PP001</v>
      </c>
      <c r="F676" t="str">
        <f>INDEX(Katalog!$B$4:$B$13,MATCH('Main Data'!E676,Katalog!$C$4:$C$13,0))</f>
        <v>Kaos Polo</v>
      </c>
      <c r="G676" t="str">
        <f>VLOOKUP(E676,Katalog!$A$15:$B$25,2,0)</f>
        <v>Pakaian Pria</v>
      </c>
      <c r="H676" t="str">
        <f t="shared" si="364"/>
        <v>4</v>
      </c>
      <c r="I676" t="str">
        <f t="shared" si="365"/>
        <v>4</v>
      </c>
      <c r="J676" s="18">
        <f>VLOOKUP(E676,Katalog!$C$3:$F$13,2,0)</f>
        <v>80000</v>
      </c>
      <c r="K676" s="18">
        <f>VLOOKUP(E676,Katalog!$C$3:$F$13,3,0)</f>
        <v>30000</v>
      </c>
      <c r="L676" t="str">
        <f t="shared" si="366"/>
        <v>-</v>
      </c>
      <c r="M676" t="str">
        <f>IFERROR(INDEX(Katalog!$B$4:$B$13,MATCH('Main Data'!L676,Katalog!$C$4:$C$13,0)), "-")</f>
        <v>-</v>
      </c>
      <c r="N676" t="str">
        <f>IFERROR(VLOOKUP(L676,Katalog!$A$15:$B$25,2,0),"-")</f>
        <v>-</v>
      </c>
      <c r="O676">
        <f t="shared" si="367"/>
        <v>0</v>
      </c>
      <c r="P676" t="str">
        <f t="shared" si="368"/>
        <v>-</v>
      </c>
      <c r="Q676" s="18">
        <f>IFERROR(VLOOKUP(L676,Katalog!$C$3:$F$13,2,0),0)</f>
        <v>0</v>
      </c>
      <c r="R676" s="18">
        <f>IFERROR(VLOOKUP(L676,Katalog!$C$3:$F$13,3,0),0)</f>
        <v>0</v>
      </c>
      <c r="S676" t="str">
        <f t="shared" si="369"/>
        <v>-</v>
      </c>
      <c r="T676" t="str">
        <f>IFERROR(INDEX(Katalog!$B$4:$B$13,MATCH('Main Data'!S676,Katalog!$C$4:$C$13,0)),"-")</f>
        <v>-</v>
      </c>
      <c r="U676" t="str">
        <f>IFERROR(VLOOKUP(S676,Katalog!$A$15:$B$25,2,0),"-")</f>
        <v>-</v>
      </c>
      <c r="V676">
        <f t="shared" si="370"/>
        <v>0</v>
      </c>
      <c r="W676" s="28" t="str">
        <f t="shared" si="371"/>
        <v>-</v>
      </c>
      <c r="X676" s="18">
        <f>IFERROR(VLOOKUP(S676,Katalog!$C$3:$F$13,2,0),0)</f>
        <v>0</v>
      </c>
      <c r="Y676" s="30">
        <f>IFERROR(VLOOKUP(S676,Katalog!$C$3:$F$13,3,0),0)</f>
        <v>0</v>
      </c>
      <c r="Z676" s="2">
        <f t="shared" si="372"/>
        <v>4</v>
      </c>
      <c r="AA676" s="4">
        <f t="shared" si="373"/>
        <v>320000</v>
      </c>
      <c r="AB676" s="4">
        <f t="shared" si="374"/>
        <v>120000</v>
      </c>
      <c r="AC676" s="4" t="s">
        <v>5</v>
      </c>
      <c r="AD676" s="16">
        <f>IFERROR(VLOOKUP(AC676,'Kode Diskon'!$C$2:$D$9,2,0),0)</f>
        <v>0.1</v>
      </c>
      <c r="AE676" s="31">
        <f t="shared" si="375"/>
        <v>32000</v>
      </c>
      <c r="AF676" s="31">
        <f t="shared" si="376"/>
        <v>288000</v>
      </c>
      <c r="AG676" s="31">
        <f t="shared" si="377"/>
        <v>200000</v>
      </c>
      <c r="AH676" s="31">
        <f t="shared" si="378"/>
        <v>168000</v>
      </c>
      <c r="AI676" s="4" t="s">
        <v>28</v>
      </c>
      <c r="AJ676" s="4" t="s">
        <v>6</v>
      </c>
      <c r="AK676" s="4" t="str">
        <f>IFERROR(VLOOKUP(AJ676,'Guide '!$A$13:$B$16,2,0),"-")</f>
        <v>SP</v>
      </c>
      <c r="AL676" s="4" t="s">
        <v>925</v>
      </c>
      <c r="AM676" s="40">
        <v>45535</v>
      </c>
      <c r="AN676">
        <f t="shared" si="379"/>
        <v>29</v>
      </c>
      <c r="AO676">
        <f t="shared" si="380"/>
        <v>32</v>
      </c>
      <c r="AP676">
        <f t="shared" si="381"/>
        <v>40</v>
      </c>
      <c r="AQ676">
        <f t="shared" si="382"/>
        <v>43</v>
      </c>
      <c r="AR676" s="26" t="str">
        <f t="shared" si="383"/>
        <v>-</v>
      </c>
      <c r="AS676" s="26" t="str">
        <f t="shared" si="384"/>
        <v>-</v>
      </c>
      <c r="AT676" s="21">
        <f t="shared" si="385"/>
        <v>12</v>
      </c>
      <c r="AU676" s="21">
        <f t="shared" si="386"/>
        <v>19</v>
      </c>
      <c r="AV676" t="str">
        <f t="shared" si="387"/>
        <v>-</v>
      </c>
      <c r="AW676" t="str">
        <f t="shared" si="388"/>
        <v>-</v>
      </c>
      <c r="AX676" t="str">
        <f t="shared" si="389"/>
        <v>-</v>
      </c>
      <c r="AY676" t="str">
        <f t="shared" si="390"/>
        <v>-</v>
      </c>
      <c r="AZ676" t="str">
        <f t="shared" si="391"/>
        <v>-</v>
      </c>
      <c r="BA676" t="str">
        <f t="shared" si="392"/>
        <v>-</v>
      </c>
      <c r="BB676" t="str">
        <f t="shared" si="393"/>
        <v>-</v>
      </c>
      <c r="BC676" t="str">
        <f t="shared" si="394"/>
        <v>-</v>
      </c>
      <c r="BD676" s="29" t="str">
        <f t="shared" si="395"/>
        <v>-</v>
      </c>
      <c r="BE676" s="29" t="str">
        <f t="shared" si="396"/>
        <v>-</v>
      </c>
    </row>
    <row r="677" spans="1:57" ht="15" x14ac:dyDescent="0.2">
      <c r="A677" s="2">
        <v>746</v>
      </c>
      <c r="B677" s="2" t="str">
        <f t="shared" si="361"/>
        <v>0746</v>
      </c>
      <c r="C677" t="str">
        <f t="shared" si="362"/>
        <v>ORD-SP-0746-31/08/24</v>
      </c>
      <c r="D677" s="3" t="s">
        <v>646</v>
      </c>
      <c r="E677" t="str">
        <f t="shared" si="363"/>
        <v>PP003</v>
      </c>
      <c r="F677" t="str">
        <f>INDEX(Katalog!$B$4:$B$13,MATCH('Main Data'!E677,Katalog!$C$4:$C$13,0))</f>
        <v>Jaket Jeans</v>
      </c>
      <c r="G677" t="str">
        <f>VLOOKUP(E677,Katalog!$A$15:$B$25,2,0)</f>
        <v>Pakaian Pria</v>
      </c>
      <c r="H677" t="str">
        <f t="shared" si="364"/>
        <v>6</v>
      </c>
      <c r="I677" t="str">
        <f t="shared" si="365"/>
        <v>3</v>
      </c>
      <c r="J677" s="18">
        <f>VLOOKUP(E677,Katalog!$C$3:$F$13,2,0)</f>
        <v>150000</v>
      </c>
      <c r="K677" s="18">
        <f>VLOOKUP(E677,Katalog!$C$3:$F$13,3,0)</f>
        <v>70000</v>
      </c>
      <c r="L677" t="str">
        <f t="shared" si="366"/>
        <v>-</v>
      </c>
      <c r="M677" t="str">
        <f>IFERROR(INDEX(Katalog!$B$4:$B$13,MATCH('Main Data'!L677,Katalog!$C$4:$C$13,0)), "-")</f>
        <v>-</v>
      </c>
      <c r="N677" t="str">
        <f>IFERROR(VLOOKUP(L677,Katalog!$A$15:$B$25,2,0),"-")</f>
        <v>-</v>
      </c>
      <c r="O677">
        <f t="shared" si="367"/>
        <v>0</v>
      </c>
      <c r="P677" t="str">
        <f t="shared" si="368"/>
        <v>-</v>
      </c>
      <c r="Q677" s="18">
        <f>IFERROR(VLOOKUP(L677,Katalog!$C$3:$F$13,2,0),0)</f>
        <v>0</v>
      </c>
      <c r="R677" s="18">
        <f>IFERROR(VLOOKUP(L677,Katalog!$C$3:$F$13,3,0),0)</f>
        <v>0</v>
      </c>
      <c r="S677" t="str">
        <f t="shared" si="369"/>
        <v>-</v>
      </c>
      <c r="T677" t="str">
        <f>IFERROR(INDEX(Katalog!$B$4:$B$13,MATCH('Main Data'!S677,Katalog!$C$4:$C$13,0)),"-")</f>
        <v>-</v>
      </c>
      <c r="U677" t="str">
        <f>IFERROR(VLOOKUP(S677,Katalog!$A$15:$B$25,2,0),"-")</f>
        <v>-</v>
      </c>
      <c r="V677">
        <f t="shared" si="370"/>
        <v>0</v>
      </c>
      <c r="W677" s="28" t="str">
        <f t="shared" si="371"/>
        <v>-</v>
      </c>
      <c r="X677" s="18">
        <f>IFERROR(VLOOKUP(S677,Katalog!$C$3:$F$13,2,0),0)</f>
        <v>0</v>
      </c>
      <c r="Y677" s="30">
        <f>IFERROR(VLOOKUP(S677,Katalog!$C$3:$F$13,3,0),0)</f>
        <v>0</v>
      </c>
      <c r="Z677" s="2">
        <f t="shared" si="372"/>
        <v>6</v>
      </c>
      <c r="AA677" s="4">
        <f t="shared" si="373"/>
        <v>900000</v>
      </c>
      <c r="AB677" s="4">
        <f t="shared" si="374"/>
        <v>420000</v>
      </c>
      <c r="AC677" s="4" t="s">
        <v>5</v>
      </c>
      <c r="AD677" s="16">
        <f>IFERROR(VLOOKUP(AC677,'Kode Diskon'!$C$2:$D$9,2,0),0)</f>
        <v>0.1</v>
      </c>
      <c r="AE677" s="31">
        <f t="shared" si="375"/>
        <v>90000</v>
      </c>
      <c r="AF677" s="31">
        <f t="shared" si="376"/>
        <v>810000</v>
      </c>
      <c r="AG677" s="31">
        <f t="shared" si="377"/>
        <v>480000</v>
      </c>
      <c r="AH677" s="31">
        <f t="shared" si="378"/>
        <v>390000</v>
      </c>
      <c r="AI677" s="4" t="s">
        <v>28</v>
      </c>
      <c r="AJ677" s="4" t="s">
        <v>6</v>
      </c>
      <c r="AK677" s="4" t="str">
        <f>IFERROR(VLOOKUP(AJ677,'Guide '!$A$13:$B$16,2,0),"-")</f>
        <v>SP</v>
      </c>
      <c r="AL677" s="4" t="s">
        <v>922</v>
      </c>
      <c r="AM677" s="40">
        <v>45535</v>
      </c>
      <c r="AN677">
        <f t="shared" si="379"/>
        <v>29</v>
      </c>
      <c r="AO677">
        <f t="shared" si="380"/>
        <v>32</v>
      </c>
      <c r="AP677">
        <f t="shared" si="381"/>
        <v>40</v>
      </c>
      <c r="AQ677">
        <f t="shared" si="382"/>
        <v>43</v>
      </c>
      <c r="AR677" s="26" t="str">
        <f t="shared" si="383"/>
        <v>-</v>
      </c>
      <c r="AS677" s="26" t="str">
        <f t="shared" si="384"/>
        <v>-</v>
      </c>
      <c r="AT677" s="21">
        <f t="shared" si="385"/>
        <v>12</v>
      </c>
      <c r="AU677" s="21">
        <f t="shared" si="386"/>
        <v>19</v>
      </c>
      <c r="AV677" t="str">
        <f t="shared" si="387"/>
        <v>-</v>
      </c>
      <c r="AW677" t="str">
        <f t="shared" si="388"/>
        <v>-</v>
      </c>
      <c r="AX677" t="str">
        <f t="shared" si="389"/>
        <v>-</v>
      </c>
      <c r="AY677" t="str">
        <f t="shared" si="390"/>
        <v>-</v>
      </c>
      <c r="AZ677" t="str">
        <f t="shared" si="391"/>
        <v>-</v>
      </c>
      <c r="BA677" t="str">
        <f t="shared" si="392"/>
        <v>-</v>
      </c>
      <c r="BB677" t="str">
        <f t="shared" si="393"/>
        <v>-</v>
      </c>
      <c r="BC677" t="str">
        <f t="shared" si="394"/>
        <v>-</v>
      </c>
      <c r="BD677" s="29" t="str">
        <f t="shared" si="395"/>
        <v>-</v>
      </c>
      <c r="BE677" s="29" t="str">
        <f t="shared" si="396"/>
        <v>-</v>
      </c>
    </row>
    <row r="678" spans="1:57" ht="15" x14ac:dyDescent="0.2">
      <c r="A678" s="2">
        <v>751</v>
      </c>
      <c r="B678" s="2" t="str">
        <f t="shared" si="361"/>
        <v>0751</v>
      </c>
      <c r="C678" t="str">
        <f t="shared" si="362"/>
        <v>ORD-SP-0751-31/08/24</v>
      </c>
      <c r="D678" s="3" t="s">
        <v>732</v>
      </c>
      <c r="E678" t="str">
        <f t="shared" si="363"/>
        <v>PP003</v>
      </c>
      <c r="F678" t="str">
        <f>INDEX(Katalog!$B$4:$B$13,MATCH('Main Data'!E678,Katalog!$C$4:$C$13,0))</f>
        <v>Jaket Jeans</v>
      </c>
      <c r="G678" t="str">
        <f>VLOOKUP(E678,Katalog!$A$15:$B$25,2,0)</f>
        <v>Pakaian Pria</v>
      </c>
      <c r="H678" t="str">
        <f t="shared" si="364"/>
        <v>2</v>
      </c>
      <c r="I678" t="str">
        <f t="shared" si="365"/>
        <v>2</v>
      </c>
      <c r="J678" s="18">
        <f>VLOOKUP(E678,Katalog!$C$3:$F$13,2,0)</f>
        <v>150000</v>
      </c>
      <c r="K678" s="18">
        <f>VLOOKUP(E678,Katalog!$C$3:$F$13,3,0)</f>
        <v>70000</v>
      </c>
      <c r="L678" t="str">
        <f t="shared" si="366"/>
        <v>SP002</v>
      </c>
      <c r="M678" t="str">
        <f>IFERROR(INDEX(Katalog!$B$4:$B$13,MATCH('Main Data'!L678,Katalog!$C$4:$C$13,0)), "-")</f>
        <v>Sandal Slip On</v>
      </c>
      <c r="N678" t="str">
        <f>IFERROR(VLOOKUP(L678,Katalog!$A$15:$B$25,2,0),"-")</f>
        <v>Sepatu Pria</v>
      </c>
      <c r="O678" t="str">
        <f t="shared" si="367"/>
        <v>5</v>
      </c>
      <c r="P678" t="str">
        <f t="shared" si="368"/>
        <v>2</v>
      </c>
      <c r="Q678" s="18">
        <f>IFERROR(VLOOKUP(L678,Katalog!$C$3:$F$13,2,0),0)</f>
        <v>120000</v>
      </c>
      <c r="R678" s="18">
        <f>IFERROR(VLOOKUP(L678,Katalog!$C$3:$F$13,3,0),0)</f>
        <v>60000</v>
      </c>
      <c r="S678" t="str">
        <f t="shared" si="369"/>
        <v>-</v>
      </c>
      <c r="T678" t="str">
        <f>IFERROR(INDEX(Katalog!$B$4:$B$13,MATCH('Main Data'!S678,Katalog!$C$4:$C$13,0)),"-")</f>
        <v>-</v>
      </c>
      <c r="U678" t="str">
        <f>IFERROR(VLOOKUP(S678,Katalog!$A$15:$B$25,2,0),"-")</f>
        <v>-</v>
      </c>
      <c r="V678">
        <f t="shared" si="370"/>
        <v>0</v>
      </c>
      <c r="W678" s="28" t="str">
        <f t="shared" si="371"/>
        <v>-</v>
      </c>
      <c r="X678" s="18">
        <f>IFERROR(VLOOKUP(S678,Katalog!$C$3:$F$13,2,0),0)</f>
        <v>0</v>
      </c>
      <c r="Y678" s="30">
        <f>IFERROR(VLOOKUP(S678,Katalog!$C$3:$F$13,3,0),0)</f>
        <v>0</v>
      </c>
      <c r="Z678" s="2">
        <f t="shared" si="372"/>
        <v>7</v>
      </c>
      <c r="AA678" s="4">
        <f t="shared" si="373"/>
        <v>900000</v>
      </c>
      <c r="AB678" s="4">
        <f t="shared" si="374"/>
        <v>440000</v>
      </c>
      <c r="AC678" s="4" t="s">
        <v>10</v>
      </c>
      <c r="AD678" s="16">
        <f>IFERROR(VLOOKUP(AC678,'Kode Diskon'!$C$2:$D$9,2,0),0)</f>
        <v>0</v>
      </c>
      <c r="AE678" s="31">
        <f t="shared" si="375"/>
        <v>0</v>
      </c>
      <c r="AF678" s="31">
        <f t="shared" si="376"/>
        <v>900000</v>
      </c>
      <c r="AG678" s="31">
        <f t="shared" si="377"/>
        <v>460000</v>
      </c>
      <c r="AH678" s="31">
        <f t="shared" si="378"/>
        <v>460000</v>
      </c>
      <c r="AI678" s="4" t="s">
        <v>10</v>
      </c>
      <c r="AJ678" s="4" t="s">
        <v>6</v>
      </c>
      <c r="AK678" s="4" t="str">
        <f>IFERROR(VLOOKUP(AJ678,'Guide '!$A$13:$B$16,2,0),"-")</f>
        <v>SP</v>
      </c>
      <c r="AL678" s="4" t="s">
        <v>925</v>
      </c>
      <c r="AM678" s="40">
        <v>45535</v>
      </c>
      <c r="AN678">
        <f t="shared" si="379"/>
        <v>29</v>
      </c>
      <c r="AO678">
        <f t="shared" si="380"/>
        <v>32</v>
      </c>
      <c r="AP678">
        <f t="shared" si="381"/>
        <v>40</v>
      </c>
      <c r="AQ678">
        <f t="shared" si="382"/>
        <v>43</v>
      </c>
      <c r="AR678" s="26">
        <f t="shared" si="383"/>
        <v>56</v>
      </c>
      <c r="AS678" s="26">
        <f t="shared" si="384"/>
        <v>63</v>
      </c>
      <c r="AT678" s="21">
        <f t="shared" si="385"/>
        <v>12</v>
      </c>
      <c r="AU678" s="21">
        <f t="shared" si="386"/>
        <v>19</v>
      </c>
      <c r="AV678">
        <f t="shared" si="387"/>
        <v>73</v>
      </c>
      <c r="AW678">
        <f t="shared" si="388"/>
        <v>76</v>
      </c>
      <c r="AX678">
        <f t="shared" si="389"/>
        <v>84</v>
      </c>
      <c r="AY678">
        <f t="shared" si="390"/>
        <v>87</v>
      </c>
      <c r="AZ678" t="str">
        <f t="shared" si="391"/>
        <v>-</v>
      </c>
      <c r="BA678" t="str">
        <f t="shared" si="392"/>
        <v>-</v>
      </c>
      <c r="BB678" t="str">
        <f t="shared" si="393"/>
        <v>-</v>
      </c>
      <c r="BC678" t="str">
        <f t="shared" si="394"/>
        <v>-</v>
      </c>
      <c r="BD678" s="29" t="str">
        <f t="shared" si="395"/>
        <v>-</v>
      </c>
      <c r="BE678" s="29" t="str">
        <f t="shared" si="396"/>
        <v>-</v>
      </c>
    </row>
    <row r="679" spans="1:57" ht="15" x14ac:dyDescent="0.2">
      <c r="A679" s="2">
        <v>823</v>
      </c>
      <c r="B679" s="2" t="str">
        <f t="shared" si="361"/>
        <v>0823</v>
      </c>
      <c r="C679" t="str">
        <f t="shared" si="362"/>
        <v>ORD-SP-0823-02/09/24</v>
      </c>
      <c r="D679" s="3" t="s">
        <v>784</v>
      </c>
      <c r="E679" t="str">
        <f t="shared" si="363"/>
        <v>PW002</v>
      </c>
      <c r="F679" t="str">
        <f>INDEX(Katalog!$B$4:$B$13,MATCH('Main Data'!E679,Katalog!$C$4:$C$13,0))</f>
        <v>Blouse</v>
      </c>
      <c r="G679" t="str">
        <f>VLOOKUP(E679,Katalog!$A$15:$B$25,2,0)</f>
        <v>Pakaian Wanita</v>
      </c>
      <c r="H679" t="str">
        <f t="shared" si="364"/>
        <v>2</v>
      </c>
      <c r="I679" t="str">
        <f t="shared" si="365"/>
        <v>2</v>
      </c>
      <c r="J679" s="18">
        <f>VLOOKUP(E679,Katalog!$C$3:$F$13,2,0)</f>
        <v>125000</v>
      </c>
      <c r="K679" s="18">
        <f>VLOOKUP(E679,Katalog!$C$3:$F$13,3,0)</f>
        <v>50000</v>
      </c>
      <c r="L679" t="str">
        <f t="shared" si="366"/>
        <v>SW001</v>
      </c>
      <c r="M679" t="str">
        <f>IFERROR(INDEX(Katalog!$B$4:$B$13,MATCH('Main Data'!L679,Katalog!$C$4:$C$13,0)), "-")</f>
        <v>Flat Shoes</v>
      </c>
      <c r="N679" t="str">
        <f>IFERROR(VLOOKUP(L679,Katalog!$A$15:$B$25,2,0),"-")</f>
        <v>Sepatu Wanita</v>
      </c>
      <c r="O679" t="str">
        <f t="shared" si="367"/>
        <v>1</v>
      </c>
      <c r="P679" t="str">
        <f t="shared" si="368"/>
        <v>1</v>
      </c>
      <c r="Q679" s="18">
        <f>IFERROR(VLOOKUP(L679,Katalog!$C$3:$F$13,2,0),0)</f>
        <v>150000</v>
      </c>
      <c r="R679" s="18">
        <f>IFERROR(VLOOKUP(L679,Katalog!$C$3:$F$13,3,0),0)</f>
        <v>70000</v>
      </c>
      <c r="S679" t="str">
        <f t="shared" si="369"/>
        <v>PP001</v>
      </c>
      <c r="T679" t="str">
        <f>IFERROR(INDEX(Katalog!$B$4:$B$13,MATCH('Main Data'!S679,Katalog!$C$4:$C$13,0)),"-")</f>
        <v>Kaos Polo</v>
      </c>
      <c r="U679" t="str">
        <f>IFERROR(VLOOKUP(S679,Katalog!$A$15:$B$25,2,0),"-")</f>
        <v>Pakaian Pria</v>
      </c>
      <c r="V679" t="str">
        <f t="shared" si="370"/>
        <v>4</v>
      </c>
      <c r="W679" s="28" t="str">
        <f t="shared" si="371"/>
        <v>2</v>
      </c>
      <c r="X679" s="18">
        <f>IFERROR(VLOOKUP(S679,Katalog!$C$3:$F$13,2,0),0)</f>
        <v>80000</v>
      </c>
      <c r="Y679" s="30">
        <f>IFERROR(VLOOKUP(S679,Katalog!$C$3:$F$13,3,0),0)</f>
        <v>30000</v>
      </c>
      <c r="Z679" s="2">
        <f t="shared" si="372"/>
        <v>7</v>
      </c>
      <c r="AA679" s="4">
        <f t="shared" si="373"/>
        <v>720000</v>
      </c>
      <c r="AB679" s="4">
        <f t="shared" si="374"/>
        <v>290000</v>
      </c>
      <c r="AC679" s="4" t="s">
        <v>12</v>
      </c>
      <c r="AD679" s="16">
        <f>IFERROR(VLOOKUP(AC679,'Kode Diskon'!$C$2:$D$9,2,0),0)</f>
        <v>0.15</v>
      </c>
      <c r="AE679" s="31">
        <f t="shared" si="375"/>
        <v>108000</v>
      </c>
      <c r="AF679" s="31">
        <f t="shared" si="376"/>
        <v>612000</v>
      </c>
      <c r="AG679" s="31">
        <f t="shared" si="377"/>
        <v>430000</v>
      </c>
      <c r="AH679" s="31">
        <f t="shared" si="378"/>
        <v>322000</v>
      </c>
      <c r="AI679" s="4" t="s">
        <v>28</v>
      </c>
      <c r="AJ679" s="4" t="s">
        <v>6</v>
      </c>
      <c r="AK679" s="4" t="str">
        <f>IFERROR(VLOOKUP(AJ679,'Guide '!$A$13:$B$16,2,0),"-")</f>
        <v>SP</v>
      </c>
      <c r="AL679" s="4" t="s">
        <v>925</v>
      </c>
      <c r="AM679" s="40">
        <v>45537</v>
      </c>
      <c r="AN679">
        <f t="shared" si="379"/>
        <v>29</v>
      </c>
      <c r="AO679">
        <f t="shared" si="380"/>
        <v>32</v>
      </c>
      <c r="AP679">
        <f t="shared" si="381"/>
        <v>40</v>
      </c>
      <c r="AQ679">
        <f t="shared" si="382"/>
        <v>43</v>
      </c>
      <c r="AR679" s="26">
        <f t="shared" si="383"/>
        <v>56</v>
      </c>
      <c r="AS679" s="26">
        <f t="shared" si="384"/>
        <v>63</v>
      </c>
      <c r="AT679" s="21">
        <f t="shared" si="385"/>
        <v>12</v>
      </c>
      <c r="AU679" s="21">
        <f t="shared" si="386"/>
        <v>19</v>
      </c>
      <c r="AV679">
        <f t="shared" si="387"/>
        <v>73</v>
      </c>
      <c r="AW679">
        <f t="shared" si="388"/>
        <v>76</v>
      </c>
      <c r="AX679">
        <f t="shared" si="389"/>
        <v>84</v>
      </c>
      <c r="AY679">
        <f t="shared" si="390"/>
        <v>87</v>
      </c>
      <c r="AZ679">
        <f t="shared" si="391"/>
        <v>100</v>
      </c>
      <c r="BA679">
        <f t="shared" si="392"/>
        <v>107</v>
      </c>
      <c r="BB679">
        <f t="shared" si="393"/>
        <v>117</v>
      </c>
      <c r="BC679">
        <f t="shared" si="394"/>
        <v>120</v>
      </c>
      <c r="BD679" s="29">
        <f t="shared" si="395"/>
        <v>128</v>
      </c>
      <c r="BE679" s="29">
        <f t="shared" si="396"/>
        <v>131</v>
      </c>
    </row>
    <row r="680" spans="1:57" ht="15" x14ac:dyDescent="0.2">
      <c r="A680" s="2">
        <v>220</v>
      </c>
      <c r="B680" s="2" t="str">
        <f t="shared" si="361"/>
        <v>0220</v>
      </c>
      <c r="C680" t="str">
        <f t="shared" si="362"/>
        <v>ORD-TK-0220-03/09/24</v>
      </c>
      <c r="D680" s="3" t="s">
        <v>288</v>
      </c>
      <c r="E680" t="str">
        <f t="shared" si="363"/>
        <v>SP002</v>
      </c>
      <c r="F680" t="str">
        <f>INDEX(Katalog!$B$4:$B$13,MATCH('Main Data'!E680,Katalog!$C$4:$C$13,0))</f>
        <v>Sandal Slip On</v>
      </c>
      <c r="G680" t="str">
        <f>VLOOKUP(E680,Katalog!$A$15:$B$25,2,0)</f>
        <v>Sepatu Pria</v>
      </c>
      <c r="H680" t="str">
        <f t="shared" si="364"/>
        <v>1</v>
      </c>
      <c r="I680" t="str">
        <f t="shared" si="365"/>
        <v>2</v>
      </c>
      <c r="J680" s="18">
        <f>VLOOKUP(E680,Katalog!$C$3:$F$13,2,0)</f>
        <v>120000</v>
      </c>
      <c r="K680" s="18">
        <f>VLOOKUP(E680,Katalog!$C$3:$F$13,3,0)</f>
        <v>60000</v>
      </c>
      <c r="L680" t="str">
        <f t="shared" si="366"/>
        <v>PW003</v>
      </c>
      <c r="M680" t="str">
        <f>IFERROR(INDEX(Katalog!$B$4:$B$13,MATCH('Main Data'!L680,Katalog!$C$4:$C$13,0)), "-")</f>
        <v>Kaftan</v>
      </c>
      <c r="N680" t="str">
        <f>IFERROR(VLOOKUP(L680,Katalog!$A$15:$B$25,2,0),"-")</f>
        <v>Pakaian Wanita</v>
      </c>
      <c r="O680" t="str">
        <f t="shared" si="367"/>
        <v>3</v>
      </c>
      <c r="P680" t="str">
        <f t="shared" si="368"/>
        <v>5</v>
      </c>
      <c r="Q680" s="18">
        <f>IFERROR(VLOOKUP(L680,Katalog!$C$3:$F$13,2,0),0)</f>
        <v>200000</v>
      </c>
      <c r="R680" s="18">
        <f>IFERROR(VLOOKUP(L680,Katalog!$C$3:$F$13,3,0),0)</f>
        <v>100000</v>
      </c>
      <c r="S680" t="str">
        <f t="shared" si="369"/>
        <v>SW001</v>
      </c>
      <c r="T680" t="str">
        <f>IFERROR(INDEX(Katalog!$B$4:$B$13,MATCH('Main Data'!S680,Katalog!$C$4:$C$13,0)),"-")</f>
        <v>Flat Shoes</v>
      </c>
      <c r="U680" t="str">
        <f>IFERROR(VLOOKUP(S680,Katalog!$A$15:$B$25,2,0),"-")</f>
        <v>Sepatu Wanita</v>
      </c>
      <c r="V680" t="str">
        <f t="shared" si="370"/>
        <v>3</v>
      </c>
      <c r="W680" s="28" t="str">
        <f t="shared" si="371"/>
        <v>5</v>
      </c>
      <c r="X680" s="18">
        <f>IFERROR(VLOOKUP(S680,Katalog!$C$3:$F$13,2,0),0)</f>
        <v>150000</v>
      </c>
      <c r="Y680" s="30">
        <f>IFERROR(VLOOKUP(S680,Katalog!$C$3:$F$13,3,0),0)</f>
        <v>70000</v>
      </c>
      <c r="Z680" s="2">
        <f t="shared" si="372"/>
        <v>7</v>
      </c>
      <c r="AA680" s="4">
        <f t="shared" si="373"/>
        <v>1170000</v>
      </c>
      <c r="AB680" s="4">
        <f t="shared" si="374"/>
        <v>570000</v>
      </c>
      <c r="AC680" s="4" t="s">
        <v>29</v>
      </c>
      <c r="AD680" s="16">
        <f>IFERROR(VLOOKUP(AC680,'Kode Diskon'!$C$2:$D$9,2,0),0)</f>
        <v>0.1</v>
      </c>
      <c r="AE680" s="31">
        <f t="shared" si="375"/>
        <v>117000</v>
      </c>
      <c r="AF680" s="31">
        <f t="shared" si="376"/>
        <v>1053000</v>
      </c>
      <c r="AG680" s="31">
        <f t="shared" si="377"/>
        <v>600000</v>
      </c>
      <c r="AH680" s="31">
        <f t="shared" si="378"/>
        <v>483000</v>
      </c>
      <c r="AI680" s="4" t="s">
        <v>28</v>
      </c>
      <c r="AJ680" s="4" t="s">
        <v>9</v>
      </c>
      <c r="AK680" s="4" t="str">
        <f>IFERROR(VLOOKUP(AJ680,'Guide '!$A$13:$B$16,2,0),"-")</f>
        <v>TK</v>
      </c>
      <c r="AL680" s="4" t="s">
        <v>924</v>
      </c>
      <c r="AM680" s="40">
        <v>45538</v>
      </c>
      <c r="AN680">
        <f t="shared" si="379"/>
        <v>29</v>
      </c>
      <c r="AO680">
        <f t="shared" si="380"/>
        <v>32</v>
      </c>
      <c r="AP680">
        <f t="shared" si="381"/>
        <v>40</v>
      </c>
      <c r="AQ680">
        <f t="shared" si="382"/>
        <v>43</v>
      </c>
      <c r="AR680" s="26">
        <f t="shared" si="383"/>
        <v>56</v>
      </c>
      <c r="AS680" s="26">
        <f t="shared" si="384"/>
        <v>63</v>
      </c>
      <c r="AT680" s="21">
        <f t="shared" si="385"/>
        <v>12</v>
      </c>
      <c r="AU680" s="21">
        <f t="shared" si="386"/>
        <v>19</v>
      </c>
      <c r="AV680">
        <f t="shared" si="387"/>
        <v>73</v>
      </c>
      <c r="AW680">
        <f t="shared" si="388"/>
        <v>76</v>
      </c>
      <c r="AX680">
        <f t="shared" si="389"/>
        <v>84</v>
      </c>
      <c r="AY680">
        <f t="shared" si="390"/>
        <v>87</v>
      </c>
      <c r="AZ680">
        <f t="shared" si="391"/>
        <v>100</v>
      </c>
      <c r="BA680">
        <f t="shared" si="392"/>
        <v>107</v>
      </c>
      <c r="BB680">
        <f t="shared" si="393"/>
        <v>117</v>
      </c>
      <c r="BC680">
        <f t="shared" si="394"/>
        <v>120</v>
      </c>
      <c r="BD680" s="29">
        <f t="shared" si="395"/>
        <v>128</v>
      </c>
      <c r="BE680" s="29">
        <f t="shared" si="396"/>
        <v>131</v>
      </c>
    </row>
    <row r="681" spans="1:57" ht="15" x14ac:dyDescent="0.2">
      <c r="A681" s="2">
        <v>291</v>
      </c>
      <c r="B681" s="2" t="str">
        <f t="shared" si="361"/>
        <v>0291</v>
      </c>
      <c r="C681" t="str">
        <f t="shared" si="362"/>
        <v>ORD-SP-0291-03/09/24</v>
      </c>
      <c r="D681" s="3" t="s">
        <v>347</v>
      </c>
      <c r="E681" t="str">
        <f t="shared" si="363"/>
        <v>SP002</v>
      </c>
      <c r="F681" t="str">
        <f>INDEX(Katalog!$B$4:$B$13,MATCH('Main Data'!E681,Katalog!$C$4:$C$13,0))</f>
        <v>Sandal Slip On</v>
      </c>
      <c r="G681" t="str">
        <f>VLOOKUP(E681,Katalog!$A$15:$B$25,2,0)</f>
        <v>Sepatu Pria</v>
      </c>
      <c r="H681" t="str">
        <f t="shared" si="364"/>
        <v>1</v>
      </c>
      <c r="I681" t="str">
        <f t="shared" si="365"/>
        <v>4</v>
      </c>
      <c r="J681" s="18">
        <f>VLOOKUP(E681,Katalog!$C$3:$F$13,2,0)</f>
        <v>120000</v>
      </c>
      <c r="K681" s="18">
        <f>VLOOKUP(E681,Katalog!$C$3:$F$13,3,0)</f>
        <v>60000</v>
      </c>
      <c r="L681" t="str">
        <f t="shared" si="366"/>
        <v>SP001</v>
      </c>
      <c r="M681" t="str">
        <f>IFERROR(INDEX(Katalog!$B$4:$B$13,MATCH('Main Data'!L681,Katalog!$C$4:$C$13,0)), "-")</f>
        <v>Sneakers</v>
      </c>
      <c r="N681" t="str">
        <f>IFERROR(VLOOKUP(L681,Katalog!$A$15:$B$25,2,0),"-")</f>
        <v>Sepatu Pria</v>
      </c>
      <c r="O681" t="str">
        <f t="shared" si="367"/>
        <v>1</v>
      </c>
      <c r="P681" t="str">
        <f t="shared" si="368"/>
        <v>4</v>
      </c>
      <c r="Q681" s="18">
        <f>IFERROR(VLOOKUP(L681,Katalog!$C$3:$F$13,2,0),0)</f>
        <v>300000</v>
      </c>
      <c r="R681" s="18">
        <f>IFERROR(VLOOKUP(L681,Katalog!$C$3:$F$13,3,0),0)</f>
        <v>100000</v>
      </c>
      <c r="S681" t="str">
        <f t="shared" si="369"/>
        <v>-</v>
      </c>
      <c r="T681" t="str">
        <f>IFERROR(INDEX(Katalog!$B$4:$B$13,MATCH('Main Data'!S681,Katalog!$C$4:$C$13,0)),"-")</f>
        <v>-</v>
      </c>
      <c r="U681" t="str">
        <f>IFERROR(VLOOKUP(S681,Katalog!$A$15:$B$25,2,0),"-")</f>
        <v>-</v>
      </c>
      <c r="V681">
        <f t="shared" si="370"/>
        <v>0</v>
      </c>
      <c r="W681" s="28" t="str">
        <f t="shared" si="371"/>
        <v>-</v>
      </c>
      <c r="X681" s="18">
        <f>IFERROR(VLOOKUP(S681,Katalog!$C$3:$F$13,2,0),0)</f>
        <v>0</v>
      </c>
      <c r="Y681" s="30">
        <f>IFERROR(VLOOKUP(S681,Katalog!$C$3:$F$13,3,0),0)</f>
        <v>0</v>
      </c>
      <c r="Z681" s="2">
        <f t="shared" si="372"/>
        <v>2</v>
      </c>
      <c r="AA681" s="4">
        <f t="shared" si="373"/>
        <v>420000</v>
      </c>
      <c r="AB681" s="4">
        <f t="shared" si="374"/>
        <v>160000</v>
      </c>
      <c r="AC681" s="4" t="s">
        <v>12</v>
      </c>
      <c r="AD681" s="16">
        <f>IFERROR(VLOOKUP(AC681,'Kode Diskon'!$C$2:$D$9,2,0),0)</f>
        <v>0.15</v>
      </c>
      <c r="AE681" s="31">
        <f t="shared" si="375"/>
        <v>63000</v>
      </c>
      <c r="AF681" s="31">
        <f t="shared" si="376"/>
        <v>357000</v>
      </c>
      <c r="AG681" s="31">
        <f t="shared" si="377"/>
        <v>260000</v>
      </c>
      <c r="AH681" s="31">
        <f t="shared" si="378"/>
        <v>197000</v>
      </c>
      <c r="AI681" s="4" t="s">
        <v>28</v>
      </c>
      <c r="AJ681" s="4" t="s">
        <v>6</v>
      </c>
      <c r="AK681" s="4" t="str">
        <f>IFERROR(VLOOKUP(AJ681,'Guide '!$A$13:$B$16,2,0),"-")</f>
        <v>SP</v>
      </c>
      <c r="AL681" s="4" t="s">
        <v>925</v>
      </c>
      <c r="AM681" s="40">
        <v>45538</v>
      </c>
      <c r="AN681">
        <f t="shared" si="379"/>
        <v>29</v>
      </c>
      <c r="AO681">
        <f t="shared" si="380"/>
        <v>32</v>
      </c>
      <c r="AP681">
        <f t="shared" si="381"/>
        <v>40</v>
      </c>
      <c r="AQ681">
        <f t="shared" si="382"/>
        <v>43</v>
      </c>
      <c r="AR681" s="26">
        <f t="shared" si="383"/>
        <v>56</v>
      </c>
      <c r="AS681" s="26">
        <f t="shared" si="384"/>
        <v>63</v>
      </c>
      <c r="AT681" s="21">
        <f t="shared" si="385"/>
        <v>12</v>
      </c>
      <c r="AU681" s="21">
        <f t="shared" si="386"/>
        <v>19</v>
      </c>
      <c r="AV681">
        <f t="shared" si="387"/>
        <v>73</v>
      </c>
      <c r="AW681">
        <f t="shared" si="388"/>
        <v>76</v>
      </c>
      <c r="AX681">
        <f t="shared" si="389"/>
        <v>84</v>
      </c>
      <c r="AY681">
        <f t="shared" si="390"/>
        <v>87</v>
      </c>
      <c r="AZ681" t="str">
        <f t="shared" si="391"/>
        <v>-</v>
      </c>
      <c r="BA681" t="str">
        <f t="shared" si="392"/>
        <v>-</v>
      </c>
      <c r="BB681" t="str">
        <f t="shared" si="393"/>
        <v>-</v>
      </c>
      <c r="BC681" t="str">
        <f t="shared" si="394"/>
        <v>-</v>
      </c>
      <c r="BD681" s="29" t="str">
        <f t="shared" si="395"/>
        <v>-</v>
      </c>
      <c r="BE681" s="29" t="str">
        <f t="shared" si="396"/>
        <v>-</v>
      </c>
    </row>
    <row r="682" spans="1:57" ht="15" x14ac:dyDescent="0.2">
      <c r="A682" s="2">
        <v>593</v>
      </c>
      <c r="B682" s="2" t="str">
        <f t="shared" si="361"/>
        <v>0593</v>
      </c>
      <c r="C682" t="str">
        <f t="shared" si="362"/>
        <v>ORD-BL-0593-03/09/24</v>
      </c>
      <c r="D682" s="3" t="s">
        <v>606</v>
      </c>
      <c r="E682" t="str">
        <f t="shared" si="363"/>
        <v>SP001</v>
      </c>
      <c r="F682" t="str">
        <f>INDEX(Katalog!$B$4:$B$13,MATCH('Main Data'!E682,Katalog!$C$4:$C$13,0))</f>
        <v>Sneakers</v>
      </c>
      <c r="G682" t="str">
        <f>VLOOKUP(E682,Katalog!$A$15:$B$25,2,0)</f>
        <v>Sepatu Pria</v>
      </c>
      <c r="H682" t="str">
        <f t="shared" si="364"/>
        <v>1</v>
      </c>
      <c r="I682" t="str">
        <f t="shared" si="365"/>
        <v>3</v>
      </c>
      <c r="J682" s="18">
        <f>VLOOKUP(E682,Katalog!$C$3:$F$13,2,0)</f>
        <v>300000</v>
      </c>
      <c r="K682" s="18">
        <f>VLOOKUP(E682,Katalog!$C$3:$F$13,3,0)</f>
        <v>100000</v>
      </c>
      <c r="L682" t="str">
        <f t="shared" si="366"/>
        <v>SP002</v>
      </c>
      <c r="M682" t="str">
        <f>IFERROR(INDEX(Katalog!$B$4:$B$13,MATCH('Main Data'!L682,Katalog!$C$4:$C$13,0)), "-")</f>
        <v>Sandal Slip On</v>
      </c>
      <c r="N682" t="str">
        <f>IFERROR(VLOOKUP(L682,Katalog!$A$15:$B$25,2,0),"-")</f>
        <v>Sepatu Pria</v>
      </c>
      <c r="O682" t="str">
        <f t="shared" si="367"/>
        <v>1</v>
      </c>
      <c r="P682" t="str">
        <f t="shared" si="368"/>
        <v>3</v>
      </c>
      <c r="Q682" s="18">
        <f>IFERROR(VLOOKUP(L682,Katalog!$C$3:$F$13,2,0),0)</f>
        <v>120000</v>
      </c>
      <c r="R682" s="18">
        <f>IFERROR(VLOOKUP(L682,Katalog!$C$3:$F$13,3,0),0)</f>
        <v>60000</v>
      </c>
      <c r="S682" t="str">
        <f t="shared" si="369"/>
        <v>-</v>
      </c>
      <c r="T682" t="str">
        <f>IFERROR(INDEX(Katalog!$B$4:$B$13,MATCH('Main Data'!S682,Katalog!$C$4:$C$13,0)),"-")</f>
        <v>-</v>
      </c>
      <c r="U682" t="str">
        <f>IFERROR(VLOOKUP(S682,Katalog!$A$15:$B$25,2,0),"-")</f>
        <v>-</v>
      </c>
      <c r="V682">
        <f t="shared" si="370"/>
        <v>0</v>
      </c>
      <c r="W682" s="28" t="str">
        <f t="shared" si="371"/>
        <v>-</v>
      </c>
      <c r="X682" s="18">
        <f>IFERROR(VLOOKUP(S682,Katalog!$C$3:$F$13,2,0),0)</f>
        <v>0</v>
      </c>
      <c r="Y682" s="30">
        <f>IFERROR(VLOOKUP(S682,Katalog!$C$3:$F$13,3,0),0)</f>
        <v>0</v>
      </c>
      <c r="Z682" s="2">
        <f t="shared" si="372"/>
        <v>2</v>
      </c>
      <c r="AA682" s="4">
        <f t="shared" si="373"/>
        <v>420000</v>
      </c>
      <c r="AB682" s="4">
        <f t="shared" si="374"/>
        <v>160000</v>
      </c>
      <c r="AC682" s="4" t="s">
        <v>31</v>
      </c>
      <c r="AD682" s="16">
        <f>IFERROR(VLOOKUP(AC682,'Kode Diskon'!$C$2:$D$9,2,0),0)</f>
        <v>0.15</v>
      </c>
      <c r="AE682" s="31">
        <f t="shared" si="375"/>
        <v>63000</v>
      </c>
      <c r="AF682" s="31">
        <f t="shared" si="376"/>
        <v>357000</v>
      </c>
      <c r="AG682" s="31">
        <f t="shared" si="377"/>
        <v>260000</v>
      </c>
      <c r="AH682" s="31">
        <f t="shared" si="378"/>
        <v>197000</v>
      </c>
      <c r="AI682" s="4" t="s">
        <v>8</v>
      </c>
      <c r="AJ682" s="4" t="s">
        <v>11</v>
      </c>
      <c r="AK682" s="4" t="str">
        <f>IFERROR(VLOOKUP(AJ682,'Guide '!$A$13:$B$16,2,0),"-")</f>
        <v>BL</v>
      </c>
      <c r="AL682" s="4" t="s">
        <v>921</v>
      </c>
      <c r="AM682" s="40">
        <v>45538</v>
      </c>
      <c r="AN682">
        <f t="shared" si="379"/>
        <v>29</v>
      </c>
      <c r="AO682">
        <f t="shared" si="380"/>
        <v>32</v>
      </c>
      <c r="AP682">
        <f t="shared" si="381"/>
        <v>40</v>
      </c>
      <c r="AQ682">
        <f t="shared" si="382"/>
        <v>43</v>
      </c>
      <c r="AR682" s="26">
        <f t="shared" si="383"/>
        <v>56</v>
      </c>
      <c r="AS682" s="26">
        <f t="shared" si="384"/>
        <v>63</v>
      </c>
      <c r="AT682" s="21">
        <f t="shared" si="385"/>
        <v>12</v>
      </c>
      <c r="AU682" s="21">
        <f t="shared" si="386"/>
        <v>19</v>
      </c>
      <c r="AV682">
        <f t="shared" si="387"/>
        <v>73</v>
      </c>
      <c r="AW682">
        <f t="shared" si="388"/>
        <v>76</v>
      </c>
      <c r="AX682">
        <f t="shared" si="389"/>
        <v>84</v>
      </c>
      <c r="AY682">
        <f t="shared" si="390"/>
        <v>87</v>
      </c>
      <c r="AZ682" t="str">
        <f t="shared" si="391"/>
        <v>-</v>
      </c>
      <c r="BA682" t="str">
        <f t="shared" si="392"/>
        <v>-</v>
      </c>
      <c r="BB682" t="str">
        <f t="shared" si="393"/>
        <v>-</v>
      </c>
      <c r="BC682" t="str">
        <f t="shared" si="394"/>
        <v>-</v>
      </c>
      <c r="BD682" s="29" t="str">
        <f t="shared" si="395"/>
        <v>-</v>
      </c>
      <c r="BE682" s="29" t="str">
        <f t="shared" si="396"/>
        <v>-</v>
      </c>
    </row>
    <row r="683" spans="1:57" ht="15" x14ac:dyDescent="0.2">
      <c r="A683" s="2">
        <v>232</v>
      </c>
      <c r="B683" s="2" t="str">
        <f t="shared" si="361"/>
        <v>0232</v>
      </c>
      <c r="C683" t="str">
        <f t="shared" si="362"/>
        <v>ORD-TK-0232-04/09/24</v>
      </c>
      <c r="D683" s="3" t="s">
        <v>298</v>
      </c>
      <c r="E683" t="str">
        <f t="shared" si="363"/>
        <v>PW001</v>
      </c>
      <c r="F683" t="str">
        <f>INDEX(Katalog!$B$4:$B$13,MATCH('Main Data'!E683,Katalog!$C$4:$C$13,0))</f>
        <v>Dress</v>
      </c>
      <c r="G683" t="str">
        <f>VLOOKUP(E683,Katalog!$A$15:$B$25,2,0)</f>
        <v>Pakaian Wanita</v>
      </c>
      <c r="H683" t="str">
        <f t="shared" si="364"/>
        <v>4</v>
      </c>
      <c r="I683" t="str">
        <f t="shared" si="365"/>
        <v>1</v>
      </c>
      <c r="J683" s="18">
        <f>VLOOKUP(E683,Katalog!$C$3:$F$13,2,0)</f>
        <v>150000</v>
      </c>
      <c r="K683" s="18">
        <f>VLOOKUP(E683,Katalog!$C$3:$F$13,3,0)</f>
        <v>55000</v>
      </c>
      <c r="L683" t="str">
        <f t="shared" si="366"/>
        <v>PP002</v>
      </c>
      <c r="M683" t="str">
        <f>IFERROR(INDEX(Katalog!$B$4:$B$13,MATCH('Main Data'!L683,Katalog!$C$4:$C$13,0)), "-")</f>
        <v>Celana Pendek</v>
      </c>
      <c r="N683" t="str">
        <f>IFERROR(VLOOKUP(L683,Katalog!$A$15:$B$25,2,0),"-")</f>
        <v>Pakaian Pria</v>
      </c>
      <c r="O683" t="str">
        <f t="shared" si="367"/>
        <v>1</v>
      </c>
      <c r="P683" t="str">
        <f t="shared" si="368"/>
        <v>2</v>
      </c>
      <c r="Q683" s="18">
        <f>IFERROR(VLOOKUP(L683,Katalog!$C$3:$F$13,2,0),0)</f>
        <v>60000</v>
      </c>
      <c r="R683" s="18">
        <f>IFERROR(VLOOKUP(L683,Katalog!$C$3:$F$13,3,0),0)</f>
        <v>25000</v>
      </c>
      <c r="S683" t="str">
        <f t="shared" si="369"/>
        <v>PW001</v>
      </c>
      <c r="T683" t="str">
        <f>IFERROR(INDEX(Katalog!$B$4:$B$13,MATCH('Main Data'!S683,Katalog!$C$4:$C$13,0)),"-")</f>
        <v>Dress</v>
      </c>
      <c r="U683" t="str">
        <f>IFERROR(VLOOKUP(S683,Katalog!$A$15:$B$25,2,0),"-")</f>
        <v>Pakaian Wanita</v>
      </c>
      <c r="V683" t="str">
        <f t="shared" si="370"/>
        <v>1</v>
      </c>
      <c r="W683" s="28" t="str">
        <f t="shared" si="371"/>
        <v>3</v>
      </c>
      <c r="X683" s="18">
        <f>IFERROR(VLOOKUP(S683,Katalog!$C$3:$F$13,2,0),0)</f>
        <v>150000</v>
      </c>
      <c r="Y683" s="30">
        <f>IFERROR(VLOOKUP(S683,Katalog!$C$3:$F$13,3,0),0)</f>
        <v>55000</v>
      </c>
      <c r="Z683" s="2">
        <f t="shared" si="372"/>
        <v>6</v>
      </c>
      <c r="AA683" s="4">
        <f t="shared" si="373"/>
        <v>810000</v>
      </c>
      <c r="AB683" s="4">
        <f t="shared" si="374"/>
        <v>300000</v>
      </c>
      <c r="AC683" s="4" t="s">
        <v>30</v>
      </c>
      <c r="AD683" s="16">
        <f>IFERROR(VLOOKUP(AC683,'Kode Diskon'!$C$2:$D$9,2,0),0)</f>
        <v>0.1</v>
      </c>
      <c r="AE683" s="31">
        <f t="shared" si="375"/>
        <v>81000</v>
      </c>
      <c r="AF683" s="31">
        <f t="shared" si="376"/>
        <v>729000</v>
      </c>
      <c r="AG683" s="31">
        <f t="shared" si="377"/>
        <v>510000</v>
      </c>
      <c r="AH683" s="31">
        <f t="shared" si="378"/>
        <v>429000</v>
      </c>
      <c r="AI683" s="4" t="s">
        <v>8</v>
      </c>
      <c r="AJ683" s="4" t="s">
        <v>9</v>
      </c>
      <c r="AK683" s="4" t="str">
        <f>IFERROR(VLOOKUP(AJ683,'Guide '!$A$13:$B$16,2,0),"-")</f>
        <v>TK</v>
      </c>
      <c r="AL683" s="4" t="s">
        <v>921</v>
      </c>
      <c r="AM683" s="40">
        <v>45539</v>
      </c>
      <c r="AN683">
        <f t="shared" si="379"/>
        <v>29</v>
      </c>
      <c r="AO683">
        <f t="shared" si="380"/>
        <v>32</v>
      </c>
      <c r="AP683">
        <f t="shared" si="381"/>
        <v>40</v>
      </c>
      <c r="AQ683">
        <f t="shared" si="382"/>
        <v>43</v>
      </c>
      <c r="AR683" s="26">
        <f t="shared" si="383"/>
        <v>56</v>
      </c>
      <c r="AS683" s="26">
        <f t="shared" si="384"/>
        <v>63</v>
      </c>
      <c r="AT683" s="21">
        <f t="shared" si="385"/>
        <v>12</v>
      </c>
      <c r="AU683" s="21">
        <f t="shared" si="386"/>
        <v>19</v>
      </c>
      <c r="AV683">
        <f t="shared" si="387"/>
        <v>73</v>
      </c>
      <c r="AW683">
        <f t="shared" si="388"/>
        <v>76</v>
      </c>
      <c r="AX683">
        <f t="shared" si="389"/>
        <v>84</v>
      </c>
      <c r="AY683">
        <f t="shared" si="390"/>
        <v>87</v>
      </c>
      <c r="AZ683">
        <f t="shared" si="391"/>
        <v>100</v>
      </c>
      <c r="BA683">
        <f t="shared" si="392"/>
        <v>107</v>
      </c>
      <c r="BB683">
        <f t="shared" si="393"/>
        <v>117</v>
      </c>
      <c r="BC683">
        <f t="shared" si="394"/>
        <v>120</v>
      </c>
      <c r="BD683" s="29">
        <f t="shared" si="395"/>
        <v>128</v>
      </c>
      <c r="BE683" s="29">
        <f t="shared" si="396"/>
        <v>131</v>
      </c>
    </row>
    <row r="684" spans="1:57" ht="15" x14ac:dyDescent="0.2">
      <c r="A684" s="2">
        <v>272</v>
      </c>
      <c r="B684" s="2" t="str">
        <f t="shared" si="361"/>
        <v>0272</v>
      </c>
      <c r="C684" t="str">
        <f t="shared" si="362"/>
        <v>ORD-TK-0272-04/09/24</v>
      </c>
      <c r="D684" s="3" t="s">
        <v>334</v>
      </c>
      <c r="E684" t="str">
        <f t="shared" si="363"/>
        <v>SP002</v>
      </c>
      <c r="F684" t="str">
        <f>INDEX(Katalog!$B$4:$B$13,MATCH('Main Data'!E684,Katalog!$C$4:$C$13,0))</f>
        <v>Sandal Slip On</v>
      </c>
      <c r="G684" t="str">
        <f>VLOOKUP(E684,Katalog!$A$15:$B$25,2,0)</f>
        <v>Sepatu Pria</v>
      </c>
      <c r="H684" t="str">
        <f t="shared" si="364"/>
        <v>5</v>
      </c>
      <c r="I684" t="str">
        <f t="shared" si="365"/>
        <v>2</v>
      </c>
      <c r="J684" s="18">
        <f>VLOOKUP(E684,Katalog!$C$3:$F$13,2,0)</f>
        <v>120000</v>
      </c>
      <c r="K684" s="18">
        <f>VLOOKUP(E684,Katalog!$C$3:$F$13,3,0)</f>
        <v>60000</v>
      </c>
      <c r="L684" t="str">
        <f t="shared" si="366"/>
        <v>-</v>
      </c>
      <c r="M684" t="str">
        <f>IFERROR(INDEX(Katalog!$B$4:$B$13,MATCH('Main Data'!L684,Katalog!$C$4:$C$13,0)), "-")</f>
        <v>-</v>
      </c>
      <c r="N684" t="str">
        <f>IFERROR(VLOOKUP(L684,Katalog!$A$15:$B$25,2,0),"-")</f>
        <v>-</v>
      </c>
      <c r="O684">
        <f t="shared" si="367"/>
        <v>0</v>
      </c>
      <c r="P684" t="str">
        <f t="shared" si="368"/>
        <v>-</v>
      </c>
      <c r="Q684" s="18">
        <f>IFERROR(VLOOKUP(L684,Katalog!$C$3:$F$13,2,0),0)</f>
        <v>0</v>
      </c>
      <c r="R684" s="18">
        <f>IFERROR(VLOOKUP(L684,Katalog!$C$3:$F$13,3,0),0)</f>
        <v>0</v>
      </c>
      <c r="S684" t="str">
        <f t="shared" si="369"/>
        <v>-</v>
      </c>
      <c r="T684" t="str">
        <f>IFERROR(INDEX(Katalog!$B$4:$B$13,MATCH('Main Data'!S684,Katalog!$C$4:$C$13,0)),"-")</f>
        <v>-</v>
      </c>
      <c r="U684" t="str">
        <f>IFERROR(VLOOKUP(S684,Katalog!$A$15:$B$25,2,0),"-")</f>
        <v>-</v>
      </c>
      <c r="V684">
        <f t="shared" si="370"/>
        <v>0</v>
      </c>
      <c r="W684" s="28" t="str">
        <f t="shared" si="371"/>
        <v>-</v>
      </c>
      <c r="X684" s="18">
        <f>IFERROR(VLOOKUP(S684,Katalog!$C$3:$F$13,2,0),0)</f>
        <v>0</v>
      </c>
      <c r="Y684" s="30">
        <f>IFERROR(VLOOKUP(S684,Katalog!$C$3:$F$13,3,0),0)</f>
        <v>0</v>
      </c>
      <c r="Z684" s="2">
        <f t="shared" si="372"/>
        <v>5</v>
      </c>
      <c r="AA684" s="4">
        <f t="shared" si="373"/>
        <v>600000</v>
      </c>
      <c r="AB684" s="4">
        <f t="shared" si="374"/>
        <v>300000</v>
      </c>
      <c r="AC684" s="4" t="s">
        <v>30</v>
      </c>
      <c r="AD684" s="16">
        <f>IFERROR(VLOOKUP(AC684,'Kode Diskon'!$C$2:$D$9,2,0),0)</f>
        <v>0.1</v>
      </c>
      <c r="AE684" s="31">
        <f t="shared" si="375"/>
        <v>60000</v>
      </c>
      <c r="AF684" s="31">
        <f t="shared" si="376"/>
        <v>540000</v>
      </c>
      <c r="AG684" s="31">
        <f t="shared" si="377"/>
        <v>300000</v>
      </c>
      <c r="AH684" s="31">
        <f t="shared" si="378"/>
        <v>240000</v>
      </c>
      <c r="AI684" s="4" t="s">
        <v>8</v>
      </c>
      <c r="AJ684" s="4" t="s">
        <v>9</v>
      </c>
      <c r="AK684" s="4" t="str">
        <f>IFERROR(VLOOKUP(AJ684,'Guide '!$A$13:$B$16,2,0),"-")</f>
        <v>TK</v>
      </c>
      <c r="AL684" s="4" t="s">
        <v>925</v>
      </c>
      <c r="AM684" s="40">
        <v>45539</v>
      </c>
      <c r="AN684">
        <f t="shared" si="379"/>
        <v>29</v>
      </c>
      <c r="AO684">
        <f t="shared" si="380"/>
        <v>32</v>
      </c>
      <c r="AP684">
        <f t="shared" si="381"/>
        <v>40</v>
      </c>
      <c r="AQ684">
        <f t="shared" si="382"/>
        <v>43</v>
      </c>
      <c r="AR684" s="26" t="str">
        <f t="shared" si="383"/>
        <v>-</v>
      </c>
      <c r="AS684" s="26" t="str">
        <f t="shared" si="384"/>
        <v>-</v>
      </c>
      <c r="AT684" s="21">
        <f t="shared" si="385"/>
        <v>12</v>
      </c>
      <c r="AU684" s="21">
        <f t="shared" si="386"/>
        <v>19</v>
      </c>
      <c r="AV684" t="str">
        <f t="shared" si="387"/>
        <v>-</v>
      </c>
      <c r="AW684" t="str">
        <f t="shared" si="388"/>
        <v>-</v>
      </c>
      <c r="AX684" t="str">
        <f t="shared" si="389"/>
        <v>-</v>
      </c>
      <c r="AY684" t="str">
        <f t="shared" si="390"/>
        <v>-</v>
      </c>
      <c r="AZ684" t="str">
        <f t="shared" si="391"/>
        <v>-</v>
      </c>
      <c r="BA684" t="str">
        <f t="shared" si="392"/>
        <v>-</v>
      </c>
      <c r="BB684" t="str">
        <f t="shared" si="393"/>
        <v>-</v>
      </c>
      <c r="BC684" t="str">
        <f t="shared" si="394"/>
        <v>-</v>
      </c>
      <c r="BD684" s="29" t="str">
        <f t="shared" si="395"/>
        <v>-</v>
      </c>
      <c r="BE684" s="29" t="str">
        <f t="shared" si="396"/>
        <v>-</v>
      </c>
    </row>
    <row r="685" spans="1:57" ht="15" x14ac:dyDescent="0.2">
      <c r="A685" s="2">
        <v>742</v>
      </c>
      <c r="B685" s="2" t="str">
        <f t="shared" si="361"/>
        <v>0742</v>
      </c>
      <c r="C685" t="str">
        <f t="shared" si="362"/>
        <v>ORD-TK-0742-04/09/24</v>
      </c>
      <c r="D685" s="3" t="s">
        <v>726</v>
      </c>
      <c r="E685" t="str">
        <f t="shared" si="363"/>
        <v>PW002</v>
      </c>
      <c r="F685" t="str">
        <f>INDEX(Katalog!$B$4:$B$13,MATCH('Main Data'!E685,Katalog!$C$4:$C$13,0))</f>
        <v>Blouse</v>
      </c>
      <c r="G685" t="str">
        <f>VLOOKUP(E685,Katalog!$A$15:$B$25,2,0)</f>
        <v>Pakaian Wanita</v>
      </c>
      <c r="H685" t="str">
        <f t="shared" si="364"/>
        <v>1</v>
      </c>
      <c r="I685" t="str">
        <f t="shared" si="365"/>
        <v>1</v>
      </c>
      <c r="J685" s="18">
        <f>VLOOKUP(E685,Katalog!$C$3:$F$13,2,0)</f>
        <v>125000</v>
      </c>
      <c r="K685" s="18">
        <f>VLOOKUP(E685,Katalog!$C$3:$F$13,3,0)</f>
        <v>50000</v>
      </c>
      <c r="L685" t="str">
        <f t="shared" si="366"/>
        <v>PP002</v>
      </c>
      <c r="M685" t="str">
        <f>IFERROR(INDEX(Katalog!$B$4:$B$13,MATCH('Main Data'!L685,Katalog!$C$4:$C$13,0)), "-")</f>
        <v>Celana Pendek</v>
      </c>
      <c r="N685" t="str">
        <f>IFERROR(VLOOKUP(L685,Katalog!$A$15:$B$25,2,0),"-")</f>
        <v>Pakaian Pria</v>
      </c>
      <c r="O685" t="str">
        <f t="shared" si="367"/>
        <v>2</v>
      </c>
      <c r="P685" t="str">
        <f t="shared" si="368"/>
        <v>4</v>
      </c>
      <c r="Q685" s="18">
        <f>IFERROR(VLOOKUP(L685,Katalog!$C$3:$F$13,2,0),0)</f>
        <v>60000</v>
      </c>
      <c r="R685" s="18">
        <f>IFERROR(VLOOKUP(L685,Katalog!$C$3:$F$13,3,0),0)</f>
        <v>25000</v>
      </c>
      <c r="S685" t="str">
        <f t="shared" si="369"/>
        <v>SP002</v>
      </c>
      <c r="T685" t="str">
        <f>IFERROR(INDEX(Katalog!$B$4:$B$13,MATCH('Main Data'!S685,Katalog!$C$4:$C$13,0)),"-")</f>
        <v>Sandal Slip On</v>
      </c>
      <c r="U685" t="str">
        <f>IFERROR(VLOOKUP(S685,Katalog!$A$15:$B$25,2,0),"-")</f>
        <v>Sepatu Pria</v>
      </c>
      <c r="V685" t="str">
        <f t="shared" si="370"/>
        <v>1</v>
      </c>
      <c r="W685" s="28" t="str">
        <f t="shared" si="371"/>
        <v>1</v>
      </c>
      <c r="X685" s="18">
        <f>IFERROR(VLOOKUP(S685,Katalog!$C$3:$F$13,2,0),0)</f>
        <v>120000</v>
      </c>
      <c r="Y685" s="30">
        <f>IFERROR(VLOOKUP(S685,Katalog!$C$3:$F$13,3,0),0)</f>
        <v>60000</v>
      </c>
      <c r="Z685" s="2">
        <f t="shared" si="372"/>
        <v>4</v>
      </c>
      <c r="AA685" s="4">
        <f t="shared" si="373"/>
        <v>365000</v>
      </c>
      <c r="AB685" s="4">
        <f t="shared" si="374"/>
        <v>160000</v>
      </c>
      <c r="AC685" s="4" t="s">
        <v>29</v>
      </c>
      <c r="AD685" s="16">
        <f>IFERROR(VLOOKUP(AC685,'Kode Diskon'!$C$2:$D$9,2,0),0)</f>
        <v>0.1</v>
      </c>
      <c r="AE685" s="31">
        <f t="shared" si="375"/>
        <v>36500</v>
      </c>
      <c r="AF685" s="31">
        <f t="shared" si="376"/>
        <v>328500</v>
      </c>
      <c r="AG685" s="31">
        <f t="shared" si="377"/>
        <v>205000</v>
      </c>
      <c r="AH685" s="31">
        <f t="shared" si="378"/>
        <v>168500</v>
      </c>
      <c r="AI685" s="4" t="s">
        <v>28</v>
      </c>
      <c r="AJ685" s="4" t="s">
        <v>9</v>
      </c>
      <c r="AK685" s="4" t="str">
        <f>IFERROR(VLOOKUP(AJ685,'Guide '!$A$13:$B$16,2,0),"-")</f>
        <v>TK</v>
      </c>
      <c r="AL685" s="4" t="s">
        <v>925</v>
      </c>
      <c r="AM685" s="40">
        <v>45539</v>
      </c>
      <c r="AN685">
        <f t="shared" si="379"/>
        <v>29</v>
      </c>
      <c r="AO685">
        <f t="shared" si="380"/>
        <v>32</v>
      </c>
      <c r="AP685">
        <f t="shared" si="381"/>
        <v>40</v>
      </c>
      <c r="AQ685">
        <f t="shared" si="382"/>
        <v>43</v>
      </c>
      <c r="AR685" s="26">
        <f t="shared" si="383"/>
        <v>56</v>
      </c>
      <c r="AS685" s="26">
        <f t="shared" si="384"/>
        <v>63</v>
      </c>
      <c r="AT685" s="21">
        <f t="shared" si="385"/>
        <v>12</v>
      </c>
      <c r="AU685" s="21">
        <f t="shared" si="386"/>
        <v>19</v>
      </c>
      <c r="AV685">
        <f t="shared" si="387"/>
        <v>73</v>
      </c>
      <c r="AW685">
        <f t="shared" si="388"/>
        <v>76</v>
      </c>
      <c r="AX685">
        <f t="shared" si="389"/>
        <v>84</v>
      </c>
      <c r="AY685">
        <f t="shared" si="390"/>
        <v>87</v>
      </c>
      <c r="AZ685">
        <f t="shared" si="391"/>
        <v>100</v>
      </c>
      <c r="BA685">
        <f t="shared" si="392"/>
        <v>107</v>
      </c>
      <c r="BB685">
        <f t="shared" si="393"/>
        <v>117</v>
      </c>
      <c r="BC685">
        <f t="shared" si="394"/>
        <v>120</v>
      </c>
      <c r="BD685" s="29">
        <f t="shared" si="395"/>
        <v>128</v>
      </c>
      <c r="BE685" s="29">
        <f t="shared" si="396"/>
        <v>131</v>
      </c>
    </row>
    <row r="686" spans="1:57" ht="15" x14ac:dyDescent="0.2">
      <c r="A686" s="2">
        <v>708</v>
      </c>
      <c r="B686" s="2" t="str">
        <f t="shared" si="361"/>
        <v>0708</v>
      </c>
      <c r="C686" t="str">
        <f t="shared" si="362"/>
        <v>ORD-SP-0708-05/09/24</v>
      </c>
      <c r="D686" s="3" t="s">
        <v>698</v>
      </c>
      <c r="E686" t="str">
        <f t="shared" si="363"/>
        <v>SW001</v>
      </c>
      <c r="F686" t="str">
        <f>INDEX(Katalog!$B$4:$B$13,MATCH('Main Data'!E686,Katalog!$C$4:$C$13,0))</f>
        <v>Flat Shoes</v>
      </c>
      <c r="G686" t="str">
        <f>VLOOKUP(E686,Katalog!$A$15:$B$25,2,0)</f>
        <v>Sepatu Wanita</v>
      </c>
      <c r="H686" t="str">
        <f t="shared" si="364"/>
        <v>2</v>
      </c>
      <c r="I686" t="str">
        <f t="shared" si="365"/>
        <v>4</v>
      </c>
      <c r="J686" s="18">
        <f>VLOOKUP(E686,Katalog!$C$3:$F$13,2,0)</f>
        <v>150000</v>
      </c>
      <c r="K686" s="18">
        <f>VLOOKUP(E686,Katalog!$C$3:$F$13,3,0)</f>
        <v>70000</v>
      </c>
      <c r="L686" t="str">
        <f t="shared" si="366"/>
        <v>PP003</v>
      </c>
      <c r="M686" t="str">
        <f>IFERROR(INDEX(Katalog!$B$4:$B$13,MATCH('Main Data'!L686,Katalog!$C$4:$C$13,0)), "-")</f>
        <v>Jaket Jeans</v>
      </c>
      <c r="N686" t="str">
        <f>IFERROR(VLOOKUP(L686,Katalog!$A$15:$B$25,2,0),"-")</f>
        <v>Pakaian Pria</v>
      </c>
      <c r="O686" t="str">
        <f t="shared" si="367"/>
        <v>3</v>
      </c>
      <c r="P686" t="str">
        <f t="shared" si="368"/>
        <v>4</v>
      </c>
      <c r="Q686" s="18">
        <f>IFERROR(VLOOKUP(L686,Katalog!$C$3:$F$13,2,0),0)</f>
        <v>150000</v>
      </c>
      <c r="R686" s="18">
        <f>IFERROR(VLOOKUP(L686,Katalog!$C$3:$F$13,3,0),0)</f>
        <v>70000</v>
      </c>
      <c r="S686" t="str">
        <f t="shared" si="369"/>
        <v>SW001</v>
      </c>
      <c r="T686" t="str">
        <f>IFERROR(INDEX(Katalog!$B$4:$B$13,MATCH('Main Data'!S686,Katalog!$C$4:$C$13,0)),"-")</f>
        <v>Flat Shoes</v>
      </c>
      <c r="U686" t="str">
        <f>IFERROR(VLOOKUP(S686,Katalog!$A$15:$B$25,2,0),"-")</f>
        <v>Sepatu Wanita</v>
      </c>
      <c r="V686" t="str">
        <f t="shared" si="370"/>
        <v>2</v>
      </c>
      <c r="W686" s="28" t="str">
        <f t="shared" si="371"/>
        <v>3</v>
      </c>
      <c r="X686" s="18">
        <f>IFERROR(VLOOKUP(S686,Katalog!$C$3:$F$13,2,0),0)</f>
        <v>150000</v>
      </c>
      <c r="Y686" s="30">
        <f>IFERROR(VLOOKUP(S686,Katalog!$C$3:$F$13,3,0),0)</f>
        <v>70000</v>
      </c>
      <c r="Z686" s="2">
        <f t="shared" si="372"/>
        <v>7</v>
      </c>
      <c r="AA686" s="4">
        <f t="shared" si="373"/>
        <v>1050000</v>
      </c>
      <c r="AB686" s="4">
        <f t="shared" si="374"/>
        <v>490000</v>
      </c>
      <c r="AC686" s="4" t="s">
        <v>5</v>
      </c>
      <c r="AD686" s="16">
        <f>IFERROR(VLOOKUP(AC686,'Kode Diskon'!$C$2:$D$9,2,0),0)</f>
        <v>0.1</v>
      </c>
      <c r="AE686" s="31">
        <f t="shared" si="375"/>
        <v>105000</v>
      </c>
      <c r="AF686" s="31">
        <f t="shared" si="376"/>
        <v>945000</v>
      </c>
      <c r="AG686" s="31">
        <f t="shared" si="377"/>
        <v>560000</v>
      </c>
      <c r="AH686" s="31">
        <f t="shared" si="378"/>
        <v>455000</v>
      </c>
      <c r="AI686" s="4" t="s">
        <v>28</v>
      </c>
      <c r="AJ686" s="4" t="s">
        <v>6</v>
      </c>
      <c r="AK686" s="4" t="str">
        <f>IFERROR(VLOOKUP(AJ686,'Guide '!$A$13:$B$16,2,0),"-")</f>
        <v>SP</v>
      </c>
      <c r="AL686" s="4" t="s">
        <v>924</v>
      </c>
      <c r="AM686" s="40">
        <v>45540</v>
      </c>
      <c r="AN686">
        <f t="shared" si="379"/>
        <v>29</v>
      </c>
      <c r="AO686">
        <f t="shared" si="380"/>
        <v>32</v>
      </c>
      <c r="AP686">
        <f t="shared" si="381"/>
        <v>40</v>
      </c>
      <c r="AQ686">
        <f t="shared" si="382"/>
        <v>43</v>
      </c>
      <c r="AR686" s="26">
        <f t="shared" si="383"/>
        <v>56</v>
      </c>
      <c r="AS686" s="26">
        <f t="shared" si="384"/>
        <v>63</v>
      </c>
      <c r="AT686" s="21">
        <f t="shared" si="385"/>
        <v>12</v>
      </c>
      <c r="AU686" s="21">
        <f t="shared" si="386"/>
        <v>19</v>
      </c>
      <c r="AV686">
        <f t="shared" si="387"/>
        <v>73</v>
      </c>
      <c r="AW686">
        <f t="shared" si="388"/>
        <v>76</v>
      </c>
      <c r="AX686">
        <f t="shared" si="389"/>
        <v>84</v>
      </c>
      <c r="AY686">
        <f t="shared" si="390"/>
        <v>87</v>
      </c>
      <c r="AZ686">
        <f t="shared" si="391"/>
        <v>100</v>
      </c>
      <c r="BA686">
        <f t="shared" si="392"/>
        <v>107</v>
      </c>
      <c r="BB686">
        <f t="shared" si="393"/>
        <v>117</v>
      </c>
      <c r="BC686">
        <f t="shared" si="394"/>
        <v>120</v>
      </c>
      <c r="BD686" s="29">
        <f t="shared" si="395"/>
        <v>128</v>
      </c>
      <c r="BE686" s="29">
        <f t="shared" si="396"/>
        <v>131</v>
      </c>
    </row>
    <row r="687" spans="1:57" ht="15" x14ac:dyDescent="0.2">
      <c r="A687" s="2">
        <v>344</v>
      </c>
      <c r="B687" s="2" t="str">
        <f t="shared" si="361"/>
        <v>0344</v>
      </c>
      <c r="C687" t="str">
        <f t="shared" si="362"/>
        <v>ORD-SP-0344-06/09/24</v>
      </c>
      <c r="D687" s="3" t="s">
        <v>396</v>
      </c>
      <c r="E687" t="str">
        <f t="shared" si="363"/>
        <v>PP001</v>
      </c>
      <c r="F687" t="str">
        <f>INDEX(Katalog!$B$4:$B$13,MATCH('Main Data'!E687,Katalog!$C$4:$C$13,0))</f>
        <v>Kaos Polo</v>
      </c>
      <c r="G687" t="str">
        <f>VLOOKUP(E687,Katalog!$A$15:$B$25,2,0)</f>
        <v>Pakaian Pria</v>
      </c>
      <c r="H687" t="str">
        <f t="shared" si="364"/>
        <v>1</v>
      </c>
      <c r="I687" t="str">
        <f t="shared" si="365"/>
        <v>2</v>
      </c>
      <c r="J687" s="18">
        <f>VLOOKUP(E687,Katalog!$C$3:$F$13,2,0)</f>
        <v>80000</v>
      </c>
      <c r="K687" s="18">
        <f>VLOOKUP(E687,Katalog!$C$3:$F$13,3,0)</f>
        <v>30000</v>
      </c>
      <c r="L687" t="str">
        <f t="shared" si="366"/>
        <v>SP002</v>
      </c>
      <c r="M687" t="str">
        <f>IFERROR(INDEX(Katalog!$B$4:$B$13,MATCH('Main Data'!L687,Katalog!$C$4:$C$13,0)), "-")</f>
        <v>Sandal Slip On</v>
      </c>
      <c r="N687" t="str">
        <f>IFERROR(VLOOKUP(L687,Katalog!$A$15:$B$25,2,0),"-")</f>
        <v>Sepatu Pria</v>
      </c>
      <c r="O687" t="str">
        <f t="shared" si="367"/>
        <v>1</v>
      </c>
      <c r="P687" t="str">
        <f t="shared" si="368"/>
        <v>3</v>
      </c>
      <c r="Q687" s="18">
        <f>IFERROR(VLOOKUP(L687,Katalog!$C$3:$F$13,2,0),0)</f>
        <v>120000</v>
      </c>
      <c r="R687" s="18">
        <f>IFERROR(VLOOKUP(L687,Katalog!$C$3:$F$13,3,0),0)</f>
        <v>60000</v>
      </c>
      <c r="S687" t="str">
        <f t="shared" si="369"/>
        <v>PW003</v>
      </c>
      <c r="T687" t="str">
        <f>IFERROR(INDEX(Katalog!$B$4:$B$13,MATCH('Main Data'!S687,Katalog!$C$4:$C$13,0)),"-")</f>
        <v>Kaftan</v>
      </c>
      <c r="U687" t="str">
        <f>IFERROR(VLOOKUP(S687,Katalog!$A$15:$B$25,2,0),"-")</f>
        <v>Pakaian Wanita</v>
      </c>
      <c r="V687" t="str">
        <f t="shared" si="370"/>
        <v>2</v>
      </c>
      <c r="W687" s="28" t="str">
        <f t="shared" si="371"/>
        <v>1</v>
      </c>
      <c r="X687" s="18">
        <f>IFERROR(VLOOKUP(S687,Katalog!$C$3:$F$13,2,0),0)</f>
        <v>200000</v>
      </c>
      <c r="Y687" s="30">
        <f>IFERROR(VLOOKUP(S687,Katalog!$C$3:$F$13,3,0),0)</f>
        <v>100000</v>
      </c>
      <c r="Z687" s="2">
        <f t="shared" si="372"/>
        <v>4</v>
      </c>
      <c r="AA687" s="4">
        <f t="shared" si="373"/>
        <v>600000</v>
      </c>
      <c r="AB687" s="4">
        <f t="shared" si="374"/>
        <v>290000</v>
      </c>
      <c r="AC687" s="4" t="s">
        <v>10</v>
      </c>
      <c r="AD687" s="16">
        <f>IFERROR(VLOOKUP(AC687,'Kode Diskon'!$C$2:$D$9,2,0),0)</f>
        <v>0</v>
      </c>
      <c r="AE687" s="31">
        <f t="shared" si="375"/>
        <v>0</v>
      </c>
      <c r="AF687" s="31">
        <f t="shared" si="376"/>
        <v>600000</v>
      </c>
      <c r="AG687" s="31">
        <f t="shared" si="377"/>
        <v>310000</v>
      </c>
      <c r="AH687" s="31">
        <f t="shared" si="378"/>
        <v>310000</v>
      </c>
      <c r="AI687" s="4" t="s">
        <v>10</v>
      </c>
      <c r="AJ687" s="4" t="s">
        <v>6</v>
      </c>
      <c r="AK687" s="4" t="str">
        <f>IFERROR(VLOOKUP(AJ687,'Guide '!$A$13:$B$16,2,0),"-")</f>
        <v>SP</v>
      </c>
      <c r="AL687" s="4" t="s">
        <v>924</v>
      </c>
      <c r="AM687" s="40">
        <v>45541</v>
      </c>
      <c r="AN687">
        <f t="shared" si="379"/>
        <v>29</v>
      </c>
      <c r="AO687">
        <f t="shared" si="380"/>
        <v>32</v>
      </c>
      <c r="AP687">
        <f t="shared" si="381"/>
        <v>40</v>
      </c>
      <c r="AQ687">
        <f t="shared" si="382"/>
        <v>43</v>
      </c>
      <c r="AR687" s="26">
        <f t="shared" si="383"/>
        <v>56</v>
      </c>
      <c r="AS687" s="26">
        <f t="shared" si="384"/>
        <v>63</v>
      </c>
      <c r="AT687" s="21">
        <f t="shared" si="385"/>
        <v>12</v>
      </c>
      <c r="AU687" s="21">
        <f t="shared" si="386"/>
        <v>19</v>
      </c>
      <c r="AV687">
        <f t="shared" si="387"/>
        <v>73</v>
      </c>
      <c r="AW687">
        <f t="shared" si="388"/>
        <v>76</v>
      </c>
      <c r="AX687">
        <f t="shared" si="389"/>
        <v>84</v>
      </c>
      <c r="AY687">
        <f t="shared" si="390"/>
        <v>87</v>
      </c>
      <c r="AZ687">
        <f t="shared" si="391"/>
        <v>100</v>
      </c>
      <c r="BA687">
        <f t="shared" si="392"/>
        <v>107</v>
      </c>
      <c r="BB687">
        <f t="shared" si="393"/>
        <v>117</v>
      </c>
      <c r="BC687">
        <f t="shared" si="394"/>
        <v>120</v>
      </c>
      <c r="BD687" s="29">
        <f t="shared" si="395"/>
        <v>128</v>
      </c>
      <c r="BE687" s="29">
        <f t="shared" si="396"/>
        <v>131</v>
      </c>
    </row>
    <row r="688" spans="1:57" ht="15" x14ac:dyDescent="0.2">
      <c r="A688" s="2">
        <v>494</v>
      </c>
      <c r="B688" s="2" t="str">
        <f t="shared" si="361"/>
        <v>0494</v>
      </c>
      <c r="C688" t="str">
        <f t="shared" si="362"/>
        <v>ORD-BB-0494-06/09/24</v>
      </c>
      <c r="D688" s="3" t="s">
        <v>525</v>
      </c>
      <c r="E688" t="str">
        <f t="shared" si="363"/>
        <v>PW002</v>
      </c>
      <c r="F688" t="str">
        <f>INDEX(Katalog!$B$4:$B$13,MATCH('Main Data'!E688,Katalog!$C$4:$C$13,0))</f>
        <v>Blouse</v>
      </c>
      <c r="G688" t="str">
        <f>VLOOKUP(E688,Katalog!$A$15:$B$25,2,0)</f>
        <v>Pakaian Wanita</v>
      </c>
      <c r="H688" t="str">
        <f t="shared" si="364"/>
        <v>1</v>
      </c>
      <c r="I688" t="str">
        <f t="shared" si="365"/>
        <v>4</v>
      </c>
      <c r="J688" s="18">
        <f>VLOOKUP(E688,Katalog!$C$3:$F$13,2,0)</f>
        <v>125000</v>
      </c>
      <c r="K688" s="18">
        <f>VLOOKUP(E688,Katalog!$C$3:$F$13,3,0)</f>
        <v>50000</v>
      </c>
      <c r="L688" t="str">
        <f t="shared" si="366"/>
        <v>PP001</v>
      </c>
      <c r="M688" t="str">
        <f>IFERROR(INDEX(Katalog!$B$4:$B$13,MATCH('Main Data'!L688,Katalog!$C$4:$C$13,0)), "-")</f>
        <v>Kaos Polo</v>
      </c>
      <c r="N688" t="str">
        <f>IFERROR(VLOOKUP(L688,Katalog!$A$15:$B$25,2,0),"-")</f>
        <v>Pakaian Pria</v>
      </c>
      <c r="O688" t="str">
        <f t="shared" si="367"/>
        <v>1</v>
      </c>
      <c r="P688" t="str">
        <f t="shared" si="368"/>
        <v>5</v>
      </c>
      <c r="Q688" s="18">
        <f>IFERROR(VLOOKUP(L688,Katalog!$C$3:$F$13,2,0),0)</f>
        <v>80000</v>
      </c>
      <c r="R688" s="18">
        <f>IFERROR(VLOOKUP(L688,Katalog!$C$3:$F$13,3,0),0)</f>
        <v>30000</v>
      </c>
      <c r="S688" t="str">
        <f t="shared" si="369"/>
        <v>SW001</v>
      </c>
      <c r="T688" t="str">
        <f>IFERROR(INDEX(Katalog!$B$4:$B$13,MATCH('Main Data'!S688,Katalog!$C$4:$C$13,0)),"-")</f>
        <v>Flat Shoes</v>
      </c>
      <c r="U688" t="str">
        <f>IFERROR(VLOOKUP(S688,Katalog!$A$15:$B$25,2,0),"-")</f>
        <v>Sepatu Wanita</v>
      </c>
      <c r="V688" t="str">
        <f t="shared" si="370"/>
        <v>1</v>
      </c>
      <c r="W688" s="28" t="str">
        <f t="shared" si="371"/>
        <v>5</v>
      </c>
      <c r="X688" s="18">
        <f>IFERROR(VLOOKUP(S688,Katalog!$C$3:$F$13,2,0),0)</f>
        <v>150000</v>
      </c>
      <c r="Y688" s="30">
        <f>IFERROR(VLOOKUP(S688,Katalog!$C$3:$F$13,3,0),0)</f>
        <v>70000</v>
      </c>
      <c r="Z688" s="2">
        <f t="shared" si="372"/>
        <v>3</v>
      </c>
      <c r="AA688" s="4">
        <f t="shared" si="373"/>
        <v>355000</v>
      </c>
      <c r="AB688" s="4">
        <f t="shared" si="374"/>
        <v>150000</v>
      </c>
      <c r="AC688" s="4" t="s">
        <v>27</v>
      </c>
      <c r="AD688" s="16">
        <f>IFERROR(VLOOKUP(AC688,'Kode Diskon'!$C$2:$D$9,2,0),0)</f>
        <v>0.15</v>
      </c>
      <c r="AE688" s="31">
        <f t="shared" si="375"/>
        <v>53250</v>
      </c>
      <c r="AF688" s="31">
        <f t="shared" si="376"/>
        <v>301750</v>
      </c>
      <c r="AG688" s="31">
        <f t="shared" si="377"/>
        <v>205000</v>
      </c>
      <c r="AH688" s="31">
        <f t="shared" si="378"/>
        <v>151750</v>
      </c>
      <c r="AI688" s="4" t="s">
        <v>28</v>
      </c>
      <c r="AJ688" s="4" t="s">
        <v>13</v>
      </c>
      <c r="AK688" s="4" t="str">
        <f>IFERROR(VLOOKUP(AJ688,'Guide '!$A$13:$B$16,2,0),"-")</f>
        <v>BB</v>
      </c>
      <c r="AL688" s="4" t="s">
        <v>1006</v>
      </c>
      <c r="AM688" s="40">
        <v>45541</v>
      </c>
      <c r="AN688">
        <f t="shared" si="379"/>
        <v>29</v>
      </c>
      <c r="AO688">
        <f t="shared" si="380"/>
        <v>32</v>
      </c>
      <c r="AP688">
        <f t="shared" si="381"/>
        <v>40</v>
      </c>
      <c r="AQ688">
        <f t="shared" si="382"/>
        <v>43</v>
      </c>
      <c r="AR688" s="26">
        <f t="shared" si="383"/>
        <v>56</v>
      </c>
      <c r="AS688" s="26">
        <f t="shared" si="384"/>
        <v>63</v>
      </c>
      <c r="AT688" s="21">
        <f t="shared" si="385"/>
        <v>12</v>
      </c>
      <c r="AU688" s="21">
        <f t="shared" si="386"/>
        <v>19</v>
      </c>
      <c r="AV688">
        <f t="shared" si="387"/>
        <v>73</v>
      </c>
      <c r="AW688">
        <f t="shared" si="388"/>
        <v>76</v>
      </c>
      <c r="AX688">
        <f t="shared" si="389"/>
        <v>84</v>
      </c>
      <c r="AY688">
        <f t="shared" si="390"/>
        <v>87</v>
      </c>
      <c r="AZ688">
        <f t="shared" si="391"/>
        <v>100</v>
      </c>
      <c r="BA688">
        <f t="shared" si="392"/>
        <v>107</v>
      </c>
      <c r="BB688">
        <f t="shared" si="393"/>
        <v>117</v>
      </c>
      <c r="BC688">
        <f t="shared" si="394"/>
        <v>120</v>
      </c>
      <c r="BD688" s="29">
        <f t="shared" si="395"/>
        <v>128</v>
      </c>
      <c r="BE688" s="29">
        <f t="shared" si="396"/>
        <v>131</v>
      </c>
    </row>
    <row r="689" spans="1:57" ht="15" x14ac:dyDescent="0.2">
      <c r="A689" s="2">
        <v>653</v>
      </c>
      <c r="B689" s="2" t="str">
        <f t="shared" si="361"/>
        <v>0653</v>
      </c>
      <c r="C689" t="str">
        <f t="shared" si="362"/>
        <v>ORD-BL-0653-06/09/24</v>
      </c>
      <c r="D689" s="3" t="s">
        <v>656</v>
      </c>
      <c r="E689" t="str">
        <f t="shared" si="363"/>
        <v>PP002</v>
      </c>
      <c r="F689" t="str">
        <f>INDEX(Katalog!$B$4:$B$13,MATCH('Main Data'!E689,Katalog!$C$4:$C$13,0))</f>
        <v>Celana Pendek</v>
      </c>
      <c r="G689" t="str">
        <f>VLOOKUP(E689,Katalog!$A$15:$B$25,2,0)</f>
        <v>Pakaian Pria</v>
      </c>
      <c r="H689" t="str">
        <f t="shared" si="364"/>
        <v>1</v>
      </c>
      <c r="I689" t="str">
        <f t="shared" si="365"/>
        <v>5</v>
      </c>
      <c r="J689" s="18">
        <f>VLOOKUP(E689,Katalog!$C$3:$F$13,2,0)</f>
        <v>60000</v>
      </c>
      <c r="K689" s="18">
        <f>VLOOKUP(E689,Katalog!$C$3:$F$13,3,0)</f>
        <v>25000</v>
      </c>
      <c r="L689" t="str">
        <f t="shared" si="366"/>
        <v>PP003</v>
      </c>
      <c r="M689" t="str">
        <f>IFERROR(INDEX(Katalog!$B$4:$B$13,MATCH('Main Data'!L689,Katalog!$C$4:$C$13,0)), "-")</f>
        <v>Jaket Jeans</v>
      </c>
      <c r="N689" t="str">
        <f>IFERROR(VLOOKUP(L689,Katalog!$A$15:$B$25,2,0),"-")</f>
        <v>Pakaian Pria</v>
      </c>
      <c r="O689" t="str">
        <f t="shared" si="367"/>
        <v>3</v>
      </c>
      <c r="P689" t="str">
        <f t="shared" si="368"/>
        <v>2</v>
      </c>
      <c r="Q689" s="18">
        <f>IFERROR(VLOOKUP(L689,Katalog!$C$3:$F$13,2,0),0)</f>
        <v>150000</v>
      </c>
      <c r="R689" s="18">
        <f>IFERROR(VLOOKUP(L689,Katalog!$C$3:$F$13,3,0),0)</f>
        <v>70000</v>
      </c>
      <c r="S689" t="str">
        <f t="shared" si="369"/>
        <v>PW003</v>
      </c>
      <c r="T689" t="str">
        <f>IFERROR(INDEX(Katalog!$B$4:$B$13,MATCH('Main Data'!S689,Katalog!$C$4:$C$13,0)),"-")</f>
        <v>Kaftan</v>
      </c>
      <c r="U689" t="str">
        <f>IFERROR(VLOOKUP(S689,Katalog!$A$15:$B$25,2,0),"-")</f>
        <v>Pakaian Wanita</v>
      </c>
      <c r="V689" t="str">
        <f t="shared" si="370"/>
        <v>1</v>
      </c>
      <c r="W689" s="28" t="str">
        <f t="shared" si="371"/>
        <v>3</v>
      </c>
      <c r="X689" s="18">
        <f>IFERROR(VLOOKUP(S689,Katalog!$C$3:$F$13,2,0),0)</f>
        <v>200000</v>
      </c>
      <c r="Y689" s="30">
        <f>IFERROR(VLOOKUP(S689,Katalog!$C$3:$F$13,3,0),0)</f>
        <v>100000</v>
      </c>
      <c r="Z689" s="2">
        <f t="shared" si="372"/>
        <v>5</v>
      </c>
      <c r="AA689" s="4">
        <f t="shared" si="373"/>
        <v>710000</v>
      </c>
      <c r="AB689" s="4">
        <f t="shared" si="374"/>
        <v>335000</v>
      </c>
      <c r="AC689" s="4" t="s">
        <v>31</v>
      </c>
      <c r="AD689" s="16">
        <f>IFERROR(VLOOKUP(AC689,'Kode Diskon'!$C$2:$D$9,2,0),0)</f>
        <v>0.15</v>
      </c>
      <c r="AE689" s="31">
        <f t="shared" si="375"/>
        <v>106500</v>
      </c>
      <c r="AF689" s="31">
        <f t="shared" si="376"/>
        <v>603500</v>
      </c>
      <c r="AG689" s="31">
        <f t="shared" si="377"/>
        <v>375000</v>
      </c>
      <c r="AH689" s="31">
        <f t="shared" si="378"/>
        <v>268500</v>
      </c>
      <c r="AI689" s="4" t="s">
        <v>8</v>
      </c>
      <c r="AJ689" s="4" t="s">
        <v>11</v>
      </c>
      <c r="AK689" s="4" t="str">
        <f>IFERROR(VLOOKUP(AJ689,'Guide '!$A$13:$B$16,2,0),"-")</f>
        <v>BL</v>
      </c>
      <c r="AL689" s="4" t="s">
        <v>925</v>
      </c>
      <c r="AM689" s="40">
        <v>45541</v>
      </c>
      <c r="AN689">
        <f t="shared" si="379"/>
        <v>29</v>
      </c>
      <c r="AO689">
        <f t="shared" si="380"/>
        <v>32</v>
      </c>
      <c r="AP689">
        <f t="shared" si="381"/>
        <v>40</v>
      </c>
      <c r="AQ689">
        <f t="shared" si="382"/>
        <v>43</v>
      </c>
      <c r="AR689" s="26">
        <f t="shared" si="383"/>
        <v>56</v>
      </c>
      <c r="AS689" s="26">
        <f t="shared" si="384"/>
        <v>63</v>
      </c>
      <c r="AT689" s="21">
        <f t="shared" si="385"/>
        <v>12</v>
      </c>
      <c r="AU689" s="21">
        <f t="shared" si="386"/>
        <v>19</v>
      </c>
      <c r="AV689">
        <f t="shared" si="387"/>
        <v>73</v>
      </c>
      <c r="AW689">
        <f t="shared" si="388"/>
        <v>76</v>
      </c>
      <c r="AX689">
        <f t="shared" si="389"/>
        <v>84</v>
      </c>
      <c r="AY689">
        <f t="shared" si="390"/>
        <v>87</v>
      </c>
      <c r="AZ689">
        <f t="shared" si="391"/>
        <v>100</v>
      </c>
      <c r="BA689">
        <f t="shared" si="392"/>
        <v>107</v>
      </c>
      <c r="BB689">
        <f t="shared" si="393"/>
        <v>117</v>
      </c>
      <c r="BC689">
        <f t="shared" si="394"/>
        <v>120</v>
      </c>
      <c r="BD689" s="29">
        <f t="shared" si="395"/>
        <v>128</v>
      </c>
      <c r="BE689" s="29">
        <f t="shared" si="396"/>
        <v>131</v>
      </c>
    </row>
    <row r="690" spans="1:57" ht="15" x14ac:dyDescent="0.2">
      <c r="A690" s="2">
        <v>844</v>
      </c>
      <c r="B690" s="2" t="str">
        <f t="shared" si="361"/>
        <v>0844</v>
      </c>
      <c r="C690" t="str">
        <f t="shared" si="362"/>
        <v>ORD-TK-0844-06/09/24</v>
      </c>
      <c r="D690" s="3" t="s">
        <v>274</v>
      </c>
      <c r="E690" t="str">
        <f t="shared" si="363"/>
        <v>SP002</v>
      </c>
      <c r="F690" t="str">
        <f>INDEX(Katalog!$B$4:$B$13,MATCH('Main Data'!E690,Katalog!$C$4:$C$13,0))</f>
        <v>Sandal Slip On</v>
      </c>
      <c r="G690" t="str">
        <f>VLOOKUP(E690,Katalog!$A$15:$B$25,2,0)</f>
        <v>Sepatu Pria</v>
      </c>
      <c r="H690" t="str">
        <f t="shared" si="364"/>
        <v>1</v>
      </c>
      <c r="I690" t="str">
        <f t="shared" si="365"/>
        <v>5</v>
      </c>
      <c r="J690" s="18">
        <f>VLOOKUP(E690,Katalog!$C$3:$F$13,2,0)</f>
        <v>120000</v>
      </c>
      <c r="K690" s="18">
        <f>VLOOKUP(E690,Katalog!$C$3:$F$13,3,0)</f>
        <v>60000</v>
      </c>
      <c r="L690" t="str">
        <f t="shared" si="366"/>
        <v>-</v>
      </c>
      <c r="M690" t="str">
        <f>IFERROR(INDEX(Katalog!$B$4:$B$13,MATCH('Main Data'!L690,Katalog!$C$4:$C$13,0)), "-")</f>
        <v>-</v>
      </c>
      <c r="N690" t="str">
        <f>IFERROR(VLOOKUP(L690,Katalog!$A$15:$B$25,2,0),"-")</f>
        <v>-</v>
      </c>
      <c r="O690">
        <f t="shared" si="367"/>
        <v>0</v>
      </c>
      <c r="P690" t="str">
        <f t="shared" si="368"/>
        <v>-</v>
      </c>
      <c r="Q690" s="18">
        <f>IFERROR(VLOOKUP(L690,Katalog!$C$3:$F$13,2,0),0)</f>
        <v>0</v>
      </c>
      <c r="R690" s="18">
        <f>IFERROR(VLOOKUP(L690,Katalog!$C$3:$F$13,3,0),0)</f>
        <v>0</v>
      </c>
      <c r="S690" t="str">
        <f t="shared" si="369"/>
        <v>-</v>
      </c>
      <c r="T690" t="str">
        <f>IFERROR(INDEX(Katalog!$B$4:$B$13,MATCH('Main Data'!S690,Katalog!$C$4:$C$13,0)),"-")</f>
        <v>-</v>
      </c>
      <c r="U690" t="str">
        <f>IFERROR(VLOOKUP(S690,Katalog!$A$15:$B$25,2,0),"-")</f>
        <v>-</v>
      </c>
      <c r="V690">
        <f t="shared" si="370"/>
        <v>0</v>
      </c>
      <c r="W690" s="28" t="str">
        <f t="shared" si="371"/>
        <v>-</v>
      </c>
      <c r="X690" s="18">
        <f>IFERROR(VLOOKUP(S690,Katalog!$C$3:$F$13,2,0),0)</f>
        <v>0</v>
      </c>
      <c r="Y690" s="30">
        <f>IFERROR(VLOOKUP(S690,Katalog!$C$3:$F$13,3,0),0)</f>
        <v>0</v>
      </c>
      <c r="Z690" s="2">
        <f t="shared" si="372"/>
        <v>1</v>
      </c>
      <c r="AA690" s="4">
        <f t="shared" si="373"/>
        <v>120000</v>
      </c>
      <c r="AB690" s="4">
        <f t="shared" si="374"/>
        <v>60000</v>
      </c>
      <c r="AC690" s="4" t="s">
        <v>30</v>
      </c>
      <c r="AD690" s="16">
        <f>IFERROR(VLOOKUP(AC690,'Kode Diskon'!$C$2:$D$9,2,0),0)</f>
        <v>0.1</v>
      </c>
      <c r="AE690" s="31">
        <f t="shared" si="375"/>
        <v>12000</v>
      </c>
      <c r="AF690" s="31">
        <f t="shared" si="376"/>
        <v>108000</v>
      </c>
      <c r="AG690" s="31">
        <f t="shared" si="377"/>
        <v>60000</v>
      </c>
      <c r="AH690" s="31">
        <f t="shared" si="378"/>
        <v>48000</v>
      </c>
      <c r="AI690" s="4" t="s">
        <v>8</v>
      </c>
      <c r="AJ690" s="4" t="s">
        <v>9</v>
      </c>
      <c r="AK690" s="4" t="str">
        <f>IFERROR(VLOOKUP(AJ690,'Guide '!$A$13:$B$16,2,0),"-")</f>
        <v>TK</v>
      </c>
      <c r="AL690" s="4" t="s">
        <v>925</v>
      </c>
      <c r="AM690" s="40">
        <v>45541</v>
      </c>
      <c r="AN690">
        <f t="shared" si="379"/>
        <v>29</v>
      </c>
      <c r="AO690">
        <f t="shared" si="380"/>
        <v>32</v>
      </c>
      <c r="AP690">
        <f t="shared" si="381"/>
        <v>40</v>
      </c>
      <c r="AQ690">
        <f t="shared" si="382"/>
        <v>43</v>
      </c>
      <c r="AR690" s="26" t="str">
        <f t="shared" si="383"/>
        <v>-</v>
      </c>
      <c r="AS690" s="26" t="str">
        <f t="shared" si="384"/>
        <v>-</v>
      </c>
      <c r="AT690" s="21">
        <f t="shared" si="385"/>
        <v>12</v>
      </c>
      <c r="AU690" s="21">
        <f t="shared" si="386"/>
        <v>19</v>
      </c>
      <c r="AV690" t="str">
        <f t="shared" si="387"/>
        <v>-</v>
      </c>
      <c r="AW690" t="str">
        <f t="shared" si="388"/>
        <v>-</v>
      </c>
      <c r="AX690" t="str">
        <f t="shared" si="389"/>
        <v>-</v>
      </c>
      <c r="AY690" t="str">
        <f t="shared" si="390"/>
        <v>-</v>
      </c>
      <c r="AZ690" t="str">
        <f t="shared" si="391"/>
        <v>-</v>
      </c>
      <c r="BA690" t="str">
        <f t="shared" si="392"/>
        <v>-</v>
      </c>
      <c r="BB690" t="str">
        <f t="shared" si="393"/>
        <v>-</v>
      </c>
      <c r="BC690" t="str">
        <f t="shared" si="394"/>
        <v>-</v>
      </c>
      <c r="BD690" s="29" t="str">
        <f t="shared" si="395"/>
        <v>-</v>
      </c>
      <c r="BE690" s="29" t="str">
        <f t="shared" si="396"/>
        <v>-</v>
      </c>
    </row>
    <row r="691" spans="1:57" ht="15" x14ac:dyDescent="0.2">
      <c r="A691" s="2">
        <v>869</v>
      </c>
      <c r="B691" s="2" t="str">
        <f t="shared" si="361"/>
        <v>0869</v>
      </c>
      <c r="C691" t="str">
        <f t="shared" si="362"/>
        <v>ORD-BL-0869-06/09/24</v>
      </c>
      <c r="D691" s="3" t="s">
        <v>814</v>
      </c>
      <c r="E691" t="str">
        <f t="shared" si="363"/>
        <v>SW001</v>
      </c>
      <c r="F691" t="str">
        <f>INDEX(Katalog!$B$4:$B$13,MATCH('Main Data'!E691,Katalog!$C$4:$C$13,0))</f>
        <v>Flat Shoes</v>
      </c>
      <c r="G691" t="str">
        <f>VLOOKUP(E691,Katalog!$A$15:$B$25,2,0)</f>
        <v>Sepatu Wanita</v>
      </c>
      <c r="H691" t="str">
        <f t="shared" si="364"/>
        <v>4</v>
      </c>
      <c r="I691" t="str">
        <f t="shared" si="365"/>
        <v>1</v>
      </c>
      <c r="J691" s="18">
        <f>VLOOKUP(E691,Katalog!$C$3:$F$13,2,0)</f>
        <v>150000</v>
      </c>
      <c r="K691" s="18">
        <f>VLOOKUP(E691,Katalog!$C$3:$F$13,3,0)</f>
        <v>70000</v>
      </c>
      <c r="L691" t="str">
        <f t="shared" si="366"/>
        <v>-</v>
      </c>
      <c r="M691" t="str">
        <f>IFERROR(INDEX(Katalog!$B$4:$B$13,MATCH('Main Data'!L691,Katalog!$C$4:$C$13,0)), "-")</f>
        <v>-</v>
      </c>
      <c r="N691" t="str">
        <f>IFERROR(VLOOKUP(L691,Katalog!$A$15:$B$25,2,0),"-")</f>
        <v>-</v>
      </c>
      <c r="O691">
        <f t="shared" si="367"/>
        <v>0</v>
      </c>
      <c r="P691" t="str">
        <f t="shared" si="368"/>
        <v>-</v>
      </c>
      <c r="Q691" s="18">
        <f>IFERROR(VLOOKUP(L691,Katalog!$C$3:$F$13,2,0),0)</f>
        <v>0</v>
      </c>
      <c r="R691" s="18">
        <f>IFERROR(VLOOKUP(L691,Katalog!$C$3:$F$13,3,0),0)</f>
        <v>0</v>
      </c>
      <c r="S691" t="str">
        <f t="shared" si="369"/>
        <v>-</v>
      </c>
      <c r="T691" t="str">
        <f>IFERROR(INDEX(Katalog!$B$4:$B$13,MATCH('Main Data'!S691,Katalog!$C$4:$C$13,0)),"-")</f>
        <v>-</v>
      </c>
      <c r="U691" t="str">
        <f>IFERROR(VLOOKUP(S691,Katalog!$A$15:$B$25,2,0),"-")</f>
        <v>-</v>
      </c>
      <c r="V691">
        <f t="shared" si="370"/>
        <v>0</v>
      </c>
      <c r="W691" s="28" t="str">
        <f t="shared" si="371"/>
        <v>-</v>
      </c>
      <c r="X691" s="18">
        <f>IFERROR(VLOOKUP(S691,Katalog!$C$3:$F$13,2,0),0)</f>
        <v>0</v>
      </c>
      <c r="Y691" s="30">
        <f>IFERROR(VLOOKUP(S691,Katalog!$C$3:$F$13,3,0),0)</f>
        <v>0</v>
      </c>
      <c r="Z691" s="2">
        <f t="shared" si="372"/>
        <v>4</v>
      </c>
      <c r="AA691" s="4">
        <f t="shared" si="373"/>
        <v>600000</v>
      </c>
      <c r="AB691" s="4">
        <f t="shared" si="374"/>
        <v>280000</v>
      </c>
      <c r="AC691" s="4" t="s">
        <v>31</v>
      </c>
      <c r="AD691" s="16">
        <f>IFERROR(VLOOKUP(AC691,'Kode Diskon'!$C$2:$D$9,2,0),0)</f>
        <v>0.15</v>
      </c>
      <c r="AE691" s="31">
        <f t="shared" si="375"/>
        <v>90000</v>
      </c>
      <c r="AF691" s="31">
        <f t="shared" si="376"/>
        <v>510000</v>
      </c>
      <c r="AG691" s="31">
        <f t="shared" si="377"/>
        <v>320000</v>
      </c>
      <c r="AH691" s="31">
        <f t="shared" si="378"/>
        <v>230000</v>
      </c>
      <c r="AI691" s="4" t="s">
        <v>8</v>
      </c>
      <c r="AJ691" s="4" t="s">
        <v>11</v>
      </c>
      <c r="AK691" s="4" t="str">
        <f>IFERROR(VLOOKUP(AJ691,'Guide '!$A$13:$B$16,2,0),"-")</f>
        <v>BL</v>
      </c>
      <c r="AL691" s="4" t="s">
        <v>923</v>
      </c>
      <c r="AM691" s="40">
        <v>45541</v>
      </c>
      <c r="AN691">
        <f t="shared" si="379"/>
        <v>29</v>
      </c>
      <c r="AO691">
        <f t="shared" si="380"/>
        <v>32</v>
      </c>
      <c r="AP691">
        <f t="shared" si="381"/>
        <v>40</v>
      </c>
      <c r="AQ691">
        <f t="shared" si="382"/>
        <v>43</v>
      </c>
      <c r="AR691" s="26" t="str">
        <f t="shared" si="383"/>
        <v>-</v>
      </c>
      <c r="AS691" s="26" t="str">
        <f t="shared" si="384"/>
        <v>-</v>
      </c>
      <c r="AT691" s="21">
        <f t="shared" si="385"/>
        <v>12</v>
      </c>
      <c r="AU691" s="21">
        <f t="shared" si="386"/>
        <v>19</v>
      </c>
      <c r="AV691" t="str">
        <f t="shared" si="387"/>
        <v>-</v>
      </c>
      <c r="AW691" t="str">
        <f t="shared" si="388"/>
        <v>-</v>
      </c>
      <c r="AX691" t="str">
        <f t="shared" si="389"/>
        <v>-</v>
      </c>
      <c r="AY691" t="str">
        <f t="shared" si="390"/>
        <v>-</v>
      </c>
      <c r="AZ691" t="str">
        <f t="shared" si="391"/>
        <v>-</v>
      </c>
      <c r="BA691" t="str">
        <f t="shared" si="392"/>
        <v>-</v>
      </c>
      <c r="BB691" t="str">
        <f t="shared" si="393"/>
        <v>-</v>
      </c>
      <c r="BC691" t="str">
        <f t="shared" si="394"/>
        <v>-</v>
      </c>
      <c r="BD691" s="29" t="str">
        <f t="shared" si="395"/>
        <v>-</v>
      </c>
      <c r="BE691" s="29" t="str">
        <f t="shared" si="396"/>
        <v>-</v>
      </c>
    </row>
    <row r="692" spans="1:57" ht="15" x14ac:dyDescent="0.2">
      <c r="A692" s="2">
        <v>934</v>
      </c>
      <c r="B692" s="2" t="str">
        <f t="shared" si="361"/>
        <v>0934</v>
      </c>
      <c r="C692" t="str">
        <f t="shared" si="362"/>
        <v>ORD-SP-0934-06/09/24</v>
      </c>
      <c r="D692" s="3" t="s">
        <v>866</v>
      </c>
      <c r="E692" t="str">
        <f t="shared" si="363"/>
        <v>SW001</v>
      </c>
      <c r="F692" t="str">
        <f>INDEX(Katalog!$B$4:$B$13,MATCH('Main Data'!E692,Katalog!$C$4:$C$13,0))</f>
        <v>Flat Shoes</v>
      </c>
      <c r="G692" t="str">
        <f>VLOOKUP(E692,Katalog!$A$15:$B$25,2,0)</f>
        <v>Sepatu Wanita</v>
      </c>
      <c r="H692" t="str">
        <f t="shared" si="364"/>
        <v>4</v>
      </c>
      <c r="I692" t="str">
        <f t="shared" si="365"/>
        <v>5</v>
      </c>
      <c r="J692" s="18">
        <f>VLOOKUP(E692,Katalog!$C$3:$F$13,2,0)</f>
        <v>150000</v>
      </c>
      <c r="K692" s="18">
        <f>VLOOKUP(E692,Katalog!$C$3:$F$13,3,0)</f>
        <v>70000</v>
      </c>
      <c r="L692" t="str">
        <f t="shared" si="366"/>
        <v>PP003</v>
      </c>
      <c r="M692" t="str">
        <f>IFERROR(INDEX(Katalog!$B$4:$B$13,MATCH('Main Data'!L692,Katalog!$C$4:$C$13,0)), "-")</f>
        <v>Jaket Jeans</v>
      </c>
      <c r="N692" t="str">
        <f>IFERROR(VLOOKUP(L692,Katalog!$A$15:$B$25,2,0),"-")</f>
        <v>Pakaian Pria</v>
      </c>
      <c r="O692" t="str">
        <f t="shared" si="367"/>
        <v>2</v>
      </c>
      <c r="P692" t="str">
        <f t="shared" si="368"/>
        <v>2</v>
      </c>
      <c r="Q692" s="18">
        <f>IFERROR(VLOOKUP(L692,Katalog!$C$3:$F$13,2,0),0)</f>
        <v>150000</v>
      </c>
      <c r="R692" s="18">
        <f>IFERROR(VLOOKUP(L692,Katalog!$C$3:$F$13,3,0),0)</f>
        <v>70000</v>
      </c>
      <c r="S692" t="str">
        <f t="shared" si="369"/>
        <v>-</v>
      </c>
      <c r="T692" t="str">
        <f>IFERROR(INDEX(Katalog!$B$4:$B$13,MATCH('Main Data'!S692,Katalog!$C$4:$C$13,0)),"-")</f>
        <v>-</v>
      </c>
      <c r="U692" t="str">
        <f>IFERROR(VLOOKUP(S692,Katalog!$A$15:$B$25,2,0),"-")</f>
        <v>-</v>
      </c>
      <c r="V692">
        <f t="shared" si="370"/>
        <v>0</v>
      </c>
      <c r="W692" s="28" t="str">
        <f t="shared" si="371"/>
        <v>-</v>
      </c>
      <c r="X692" s="18">
        <f>IFERROR(VLOOKUP(S692,Katalog!$C$3:$F$13,2,0),0)</f>
        <v>0</v>
      </c>
      <c r="Y692" s="30">
        <f>IFERROR(VLOOKUP(S692,Katalog!$C$3:$F$13,3,0),0)</f>
        <v>0</v>
      </c>
      <c r="Z692" s="2">
        <f t="shared" si="372"/>
        <v>6</v>
      </c>
      <c r="AA692" s="4">
        <f t="shared" si="373"/>
        <v>900000</v>
      </c>
      <c r="AB692" s="4">
        <f t="shared" si="374"/>
        <v>420000</v>
      </c>
      <c r="AC692" s="4" t="s">
        <v>12</v>
      </c>
      <c r="AD692" s="16">
        <f>IFERROR(VLOOKUP(AC692,'Kode Diskon'!$C$2:$D$9,2,0),0)</f>
        <v>0.15</v>
      </c>
      <c r="AE692" s="31">
        <f t="shared" si="375"/>
        <v>135000</v>
      </c>
      <c r="AF692" s="31">
        <f t="shared" si="376"/>
        <v>765000</v>
      </c>
      <c r="AG692" s="31">
        <f t="shared" si="377"/>
        <v>480000</v>
      </c>
      <c r="AH692" s="31">
        <f t="shared" si="378"/>
        <v>345000</v>
      </c>
      <c r="AI692" s="4" t="s">
        <v>28</v>
      </c>
      <c r="AJ692" s="4" t="s">
        <v>6</v>
      </c>
      <c r="AK692" s="4" t="str">
        <f>IFERROR(VLOOKUP(AJ692,'Guide '!$A$13:$B$16,2,0),"-")</f>
        <v>SP</v>
      </c>
      <c r="AL692" s="4" t="s">
        <v>921</v>
      </c>
      <c r="AM692" s="40">
        <v>45541</v>
      </c>
      <c r="AN692">
        <f t="shared" si="379"/>
        <v>29</v>
      </c>
      <c r="AO692">
        <f t="shared" si="380"/>
        <v>32</v>
      </c>
      <c r="AP692">
        <f t="shared" si="381"/>
        <v>40</v>
      </c>
      <c r="AQ692">
        <f t="shared" si="382"/>
        <v>43</v>
      </c>
      <c r="AR692" s="26">
        <f t="shared" si="383"/>
        <v>56</v>
      </c>
      <c r="AS692" s="26">
        <f t="shared" si="384"/>
        <v>63</v>
      </c>
      <c r="AT692" s="21">
        <f t="shared" si="385"/>
        <v>12</v>
      </c>
      <c r="AU692" s="21">
        <f t="shared" si="386"/>
        <v>19</v>
      </c>
      <c r="AV692">
        <f t="shared" si="387"/>
        <v>73</v>
      </c>
      <c r="AW692">
        <f t="shared" si="388"/>
        <v>76</v>
      </c>
      <c r="AX692">
        <f t="shared" si="389"/>
        <v>84</v>
      </c>
      <c r="AY692">
        <f t="shared" si="390"/>
        <v>87</v>
      </c>
      <c r="AZ692" t="str">
        <f t="shared" si="391"/>
        <v>-</v>
      </c>
      <c r="BA692" t="str">
        <f t="shared" si="392"/>
        <v>-</v>
      </c>
      <c r="BB692" t="str">
        <f t="shared" si="393"/>
        <v>-</v>
      </c>
      <c r="BC692" t="str">
        <f t="shared" si="394"/>
        <v>-</v>
      </c>
      <c r="BD692" s="29" t="str">
        <f t="shared" si="395"/>
        <v>-</v>
      </c>
      <c r="BE692" s="29" t="str">
        <f t="shared" si="396"/>
        <v>-</v>
      </c>
    </row>
    <row r="693" spans="1:57" ht="15" x14ac:dyDescent="0.2">
      <c r="A693" s="2">
        <v>985</v>
      </c>
      <c r="B693" s="2" t="str">
        <f t="shared" si="361"/>
        <v>0985</v>
      </c>
      <c r="C693" t="str">
        <f t="shared" si="362"/>
        <v>ORD-SP-0985-06/09/24</v>
      </c>
      <c r="D693" s="3" t="s">
        <v>339</v>
      </c>
      <c r="E693" t="str">
        <f t="shared" si="363"/>
        <v>SP002</v>
      </c>
      <c r="F693" t="str">
        <f>INDEX(Katalog!$B$4:$B$13,MATCH('Main Data'!E693,Katalog!$C$4:$C$13,0))</f>
        <v>Sandal Slip On</v>
      </c>
      <c r="G693" t="str">
        <f>VLOOKUP(E693,Katalog!$A$15:$B$25,2,0)</f>
        <v>Sepatu Pria</v>
      </c>
      <c r="H693" t="str">
        <f t="shared" si="364"/>
        <v>1</v>
      </c>
      <c r="I693" t="str">
        <f t="shared" si="365"/>
        <v>2</v>
      </c>
      <c r="J693" s="18">
        <f>VLOOKUP(E693,Katalog!$C$3:$F$13,2,0)</f>
        <v>120000</v>
      </c>
      <c r="K693" s="18">
        <f>VLOOKUP(E693,Katalog!$C$3:$F$13,3,0)</f>
        <v>60000</v>
      </c>
      <c r="L693" t="str">
        <f t="shared" si="366"/>
        <v>-</v>
      </c>
      <c r="M693" t="str">
        <f>IFERROR(INDEX(Katalog!$B$4:$B$13,MATCH('Main Data'!L693,Katalog!$C$4:$C$13,0)), "-")</f>
        <v>-</v>
      </c>
      <c r="N693" t="str">
        <f>IFERROR(VLOOKUP(L693,Katalog!$A$15:$B$25,2,0),"-")</f>
        <v>-</v>
      </c>
      <c r="O693">
        <f t="shared" si="367"/>
        <v>0</v>
      </c>
      <c r="P693" t="str">
        <f t="shared" si="368"/>
        <v>-</v>
      </c>
      <c r="Q693" s="18">
        <f>IFERROR(VLOOKUP(L693,Katalog!$C$3:$F$13,2,0),0)</f>
        <v>0</v>
      </c>
      <c r="R693" s="18">
        <f>IFERROR(VLOOKUP(L693,Katalog!$C$3:$F$13,3,0),0)</f>
        <v>0</v>
      </c>
      <c r="S693" t="str">
        <f t="shared" si="369"/>
        <v>-</v>
      </c>
      <c r="T693" t="str">
        <f>IFERROR(INDEX(Katalog!$B$4:$B$13,MATCH('Main Data'!S693,Katalog!$C$4:$C$13,0)),"-")</f>
        <v>-</v>
      </c>
      <c r="U693" t="str">
        <f>IFERROR(VLOOKUP(S693,Katalog!$A$15:$B$25,2,0),"-")</f>
        <v>-</v>
      </c>
      <c r="V693">
        <f t="shared" si="370"/>
        <v>0</v>
      </c>
      <c r="W693" s="28" t="str">
        <f t="shared" si="371"/>
        <v>-</v>
      </c>
      <c r="X693" s="18">
        <f>IFERROR(VLOOKUP(S693,Katalog!$C$3:$F$13,2,0),0)</f>
        <v>0</v>
      </c>
      <c r="Y693" s="30">
        <f>IFERROR(VLOOKUP(S693,Katalog!$C$3:$F$13,3,0),0)</f>
        <v>0</v>
      </c>
      <c r="Z693" s="2">
        <f t="shared" si="372"/>
        <v>1</v>
      </c>
      <c r="AA693" s="4">
        <f t="shared" si="373"/>
        <v>120000</v>
      </c>
      <c r="AB693" s="4">
        <f t="shared" si="374"/>
        <v>60000</v>
      </c>
      <c r="AC693" s="4" t="s">
        <v>5</v>
      </c>
      <c r="AD693" s="16">
        <f>IFERROR(VLOOKUP(AC693,'Kode Diskon'!$C$2:$D$9,2,0),0)</f>
        <v>0.1</v>
      </c>
      <c r="AE693" s="31">
        <f t="shared" si="375"/>
        <v>12000</v>
      </c>
      <c r="AF693" s="31">
        <f t="shared" si="376"/>
        <v>108000</v>
      </c>
      <c r="AG693" s="31">
        <f t="shared" si="377"/>
        <v>60000</v>
      </c>
      <c r="AH693" s="31">
        <f t="shared" si="378"/>
        <v>48000</v>
      </c>
      <c r="AI693" s="4" t="s">
        <v>28</v>
      </c>
      <c r="AJ693" s="4" t="s">
        <v>6</v>
      </c>
      <c r="AK693" s="4" t="str">
        <f>IFERROR(VLOOKUP(AJ693,'Guide '!$A$13:$B$16,2,0),"-")</f>
        <v>SP</v>
      </c>
      <c r="AL693" s="4" t="s">
        <v>924</v>
      </c>
      <c r="AM693" s="40">
        <v>45541</v>
      </c>
      <c r="AN693">
        <f t="shared" si="379"/>
        <v>29</v>
      </c>
      <c r="AO693">
        <f t="shared" si="380"/>
        <v>32</v>
      </c>
      <c r="AP693">
        <f t="shared" si="381"/>
        <v>40</v>
      </c>
      <c r="AQ693">
        <f t="shared" si="382"/>
        <v>43</v>
      </c>
      <c r="AR693" s="26" t="str">
        <f t="shared" si="383"/>
        <v>-</v>
      </c>
      <c r="AS693" s="26" t="str">
        <f t="shared" si="384"/>
        <v>-</v>
      </c>
      <c r="AT693" s="21">
        <f t="shared" si="385"/>
        <v>12</v>
      </c>
      <c r="AU693" s="21">
        <f t="shared" si="386"/>
        <v>19</v>
      </c>
      <c r="AV693" t="str">
        <f t="shared" si="387"/>
        <v>-</v>
      </c>
      <c r="AW693" t="str">
        <f t="shared" si="388"/>
        <v>-</v>
      </c>
      <c r="AX693" t="str">
        <f t="shared" si="389"/>
        <v>-</v>
      </c>
      <c r="AY693" t="str">
        <f t="shared" si="390"/>
        <v>-</v>
      </c>
      <c r="AZ693" t="str">
        <f t="shared" si="391"/>
        <v>-</v>
      </c>
      <c r="BA693" t="str">
        <f t="shared" si="392"/>
        <v>-</v>
      </c>
      <c r="BB693" t="str">
        <f t="shared" si="393"/>
        <v>-</v>
      </c>
      <c r="BC693" t="str">
        <f t="shared" si="394"/>
        <v>-</v>
      </c>
      <c r="BD693" s="29" t="str">
        <f t="shared" si="395"/>
        <v>-</v>
      </c>
      <c r="BE693" s="29" t="str">
        <f t="shared" si="396"/>
        <v>-</v>
      </c>
    </row>
    <row r="694" spans="1:57" ht="15" x14ac:dyDescent="0.2">
      <c r="A694" s="2">
        <v>798</v>
      </c>
      <c r="B694" s="2" t="str">
        <f t="shared" si="361"/>
        <v>0798</v>
      </c>
      <c r="C694" t="str">
        <f t="shared" si="362"/>
        <v>ORD-TK-0798-07/09/24</v>
      </c>
      <c r="D694" s="3" t="s">
        <v>765</v>
      </c>
      <c r="E694" t="str">
        <f t="shared" si="363"/>
        <v>SW001</v>
      </c>
      <c r="F694" t="str">
        <f>INDEX(Katalog!$B$4:$B$13,MATCH('Main Data'!E694,Katalog!$C$4:$C$13,0))</f>
        <v>Flat Shoes</v>
      </c>
      <c r="G694" t="str">
        <f>VLOOKUP(E694,Katalog!$A$15:$B$25,2,0)</f>
        <v>Sepatu Wanita</v>
      </c>
      <c r="H694" t="str">
        <f t="shared" si="364"/>
        <v>1</v>
      </c>
      <c r="I694" t="str">
        <f t="shared" si="365"/>
        <v>2</v>
      </c>
      <c r="J694" s="18">
        <f>VLOOKUP(E694,Katalog!$C$3:$F$13,2,0)</f>
        <v>150000</v>
      </c>
      <c r="K694" s="18">
        <f>VLOOKUP(E694,Katalog!$C$3:$F$13,3,0)</f>
        <v>70000</v>
      </c>
      <c r="L694" t="str">
        <f t="shared" si="366"/>
        <v>PW002</v>
      </c>
      <c r="M694" t="str">
        <f>IFERROR(INDEX(Katalog!$B$4:$B$13,MATCH('Main Data'!L694,Katalog!$C$4:$C$13,0)), "-")</f>
        <v>Blouse</v>
      </c>
      <c r="N694" t="str">
        <f>IFERROR(VLOOKUP(L694,Katalog!$A$15:$B$25,2,0),"-")</f>
        <v>Pakaian Wanita</v>
      </c>
      <c r="O694" t="str">
        <f t="shared" si="367"/>
        <v>1</v>
      </c>
      <c r="P694" t="str">
        <f t="shared" si="368"/>
        <v>1</v>
      </c>
      <c r="Q694" s="18">
        <f>IFERROR(VLOOKUP(L694,Katalog!$C$3:$F$13,2,0),0)</f>
        <v>125000</v>
      </c>
      <c r="R694" s="18">
        <f>IFERROR(VLOOKUP(L694,Katalog!$C$3:$F$13,3,0),0)</f>
        <v>50000</v>
      </c>
      <c r="S694" t="str">
        <f t="shared" si="369"/>
        <v>-</v>
      </c>
      <c r="T694" t="str">
        <f>IFERROR(INDEX(Katalog!$B$4:$B$13,MATCH('Main Data'!S694,Katalog!$C$4:$C$13,0)),"-")</f>
        <v>-</v>
      </c>
      <c r="U694" t="str">
        <f>IFERROR(VLOOKUP(S694,Katalog!$A$15:$B$25,2,0),"-")</f>
        <v>-</v>
      </c>
      <c r="V694">
        <f t="shared" si="370"/>
        <v>0</v>
      </c>
      <c r="W694" s="28" t="str">
        <f t="shared" si="371"/>
        <v>-</v>
      </c>
      <c r="X694" s="18">
        <f>IFERROR(VLOOKUP(S694,Katalog!$C$3:$F$13,2,0),0)</f>
        <v>0</v>
      </c>
      <c r="Y694" s="30">
        <f>IFERROR(VLOOKUP(S694,Katalog!$C$3:$F$13,3,0),0)</f>
        <v>0</v>
      </c>
      <c r="Z694" s="2">
        <f t="shared" si="372"/>
        <v>2</v>
      </c>
      <c r="AA694" s="4">
        <f t="shared" si="373"/>
        <v>275000</v>
      </c>
      <c r="AB694" s="4">
        <f t="shared" si="374"/>
        <v>120000</v>
      </c>
      <c r="AC694" s="4" t="s">
        <v>10</v>
      </c>
      <c r="AD694" s="16">
        <f>IFERROR(VLOOKUP(AC694,'Kode Diskon'!$C$2:$D$9,2,0),0)</f>
        <v>0</v>
      </c>
      <c r="AE694" s="31">
        <f t="shared" si="375"/>
        <v>0</v>
      </c>
      <c r="AF694" s="31">
        <f t="shared" si="376"/>
        <v>275000</v>
      </c>
      <c r="AG694" s="31">
        <f t="shared" si="377"/>
        <v>155000</v>
      </c>
      <c r="AH694" s="31">
        <f t="shared" si="378"/>
        <v>155000</v>
      </c>
      <c r="AI694" s="4" t="s">
        <v>10</v>
      </c>
      <c r="AJ694" s="4" t="s">
        <v>9</v>
      </c>
      <c r="AK694" s="4" t="str">
        <f>IFERROR(VLOOKUP(AJ694,'Guide '!$A$13:$B$16,2,0),"-")</f>
        <v>TK</v>
      </c>
      <c r="AL694" s="4" t="s">
        <v>923</v>
      </c>
      <c r="AM694" s="40">
        <v>45542</v>
      </c>
      <c r="AN694">
        <f t="shared" si="379"/>
        <v>29</v>
      </c>
      <c r="AO694">
        <f t="shared" si="380"/>
        <v>32</v>
      </c>
      <c r="AP694">
        <f t="shared" si="381"/>
        <v>40</v>
      </c>
      <c r="AQ694">
        <f t="shared" si="382"/>
        <v>43</v>
      </c>
      <c r="AR694" s="26">
        <f t="shared" si="383"/>
        <v>56</v>
      </c>
      <c r="AS694" s="26">
        <f t="shared" si="384"/>
        <v>63</v>
      </c>
      <c r="AT694" s="21">
        <f t="shared" si="385"/>
        <v>12</v>
      </c>
      <c r="AU694" s="21">
        <f t="shared" si="386"/>
        <v>19</v>
      </c>
      <c r="AV694">
        <f t="shared" si="387"/>
        <v>73</v>
      </c>
      <c r="AW694">
        <f t="shared" si="388"/>
        <v>76</v>
      </c>
      <c r="AX694">
        <f t="shared" si="389"/>
        <v>84</v>
      </c>
      <c r="AY694">
        <f t="shared" si="390"/>
        <v>87</v>
      </c>
      <c r="AZ694" t="str">
        <f t="shared" si="391"/>
        <v>-</v>
      </c>
      <c r="BA694" t="str">
        <f t="shared" si="392"/>
        <v>-</v>
      </c>
      <c r="BB694" t="str">
        <f t="shared" si="393"/>
        <v>-</v>
      </c>
      <c r="BC694" t="str">
        <f t="shared" si="394"/>
        <v>-</v>
      </c>
      <c r="BD694" s="29" t="str">
        <f t="shared" si="395"/>
        <v>-</v>
      </c>
      <c r="BE694" s="29" t="str">
        <f t="shared" si="396"/>
        <v>-</v>
      </c>
    </row>
    <row r="695" spans="1:57" ht="15" x14ac:dyDescent="0.2">
      <c r="A695" s="2">
        <v>839</v>
      </c>
      <c r="B695" s="2" t="str">
        <f t="shared" si="361"/>
        <v>0839</v>
      </c>
      <c r="C695" t="str">
        <f t="shared" si="362"/>
        <v>ORD-TK-0839-07/09/24</v>
      </c>
      <c r="D695" s="3" t="s">
        <v>794</v>
      </c>
      <c r="E695" t="str">
        <f t="shared" si="363"/>
        <v>PU001</v>
      </c>
      <c r="F695" t="str">
        <f>INDEX(Katalog!$B$4:$B$13,MATCH('Main Data'!E695,Katalog!$C$4:$C$13,0))</f>
        <v>Jaket Hoodie</v>
      </c>
      <c r="G695" t="str">
        <f>VLOOKUP(E695,Katalog!$A$15:$B$25,2,0)</f>
        <v>Pakaian Unisex</v>
      </c>
      <c r="H695" t="str">
        <f t="shared" si="364"/>
        <v>1</v>
      </c>
      <c r="I695" t="str">
        <f t="shared" si="365"/>
        <v>5</v>
      </c>
      <c r="J695" s="18">
        <f>VLOOKUP(E695,Katalog!$C$3:$F$13,2,0)</f>
        <v>160000</v>
      </c>
      <c r="K695" s="18">
        <f>VLOOKUP(E695,Katalog!$C$3:$F$13,3,0)</f>
        <v>60000</v>
      </c>
      <c r="L695" t="str">
        <f t="shared" si="366"/>
        <v>PW002</v>
      </c>
      <c r="M695" t="str">
        <f>IFERROR(INDEX(Katalog!$B$4:$B$13,MATCH('Main Data'!L695,Katalog!$C$4:$C$13,0)), "-")</f>
        <v>Blouse</v>
      </c>
      <c r="N695" t="str">
        <f>IFERROR(VLOOKUP(L695,Katalog!$A$15:$B$25,2,0),"-")</f>
        <v>Pakaian Wanita</v>
      </c>
      <c r="O695" t="str">
        <f t="shared" si="367"/>
        <v>1</v>
      </c>
      <c r="P695" t="str">
        <f t="shared" si="368"/>
        <v>1</v>
      </c>
      <c r="Q695" s="18">
        <f>IFERROR(VLOOKUP(L695,Katalog!$C$3:$F$13,2,0),0)</f>
        <v>125000</v>
      </c>
      <c r="R695" s="18">
        <f>IFERROR(VLOOKUP(L695,Katalog!$C$3:$F$13,3,0),0)</f>
        <v>50000</v>
      </c>
      <c r="S695" t="str">
        <f t="shared" si="369"/>
        <v>-</v>
      </c>
      <c r="T695" t="str">
        <f>IFERROR(INDEX(Katalog!$B$4:$B$13,MATCH('Main Data'!S695,Katalog!$C$4:$C$13,0)),"-")</f>
        <v>-</v>
      </c>
      <c r="U695" t="str">
        <f>IFERROR(VLOOKUP(S695,Katalog!$A$15:$B$25,2,0),"-")</f>
        <v>-</v>
      </c>
      <c r="V695">
        <f t="shared" si="370"/>
        <v>0</v>
      </c>
      <c r="W695" s="28" t="str">
        <f t="shared" si="371"/>
        <v>-</v>
      </c>
      <c r="X695" s="18">
        <f>IFERROR(VLOOKUP(S695,Katalog!$C$3:$F$13,2,0),0)</f>
        <v>0</v>
      </c>
      <c r="Y695" s="30">
        <f>IFERROR(VLOOKUP(S695,Katalog!$C$3:$F$13,3,0),0)</f>
        <v>0</v>
      </c>
      <c r="Z695" s="2">
        <f t="shared" si="372"/>
        <v>2</v>
      </c>
      <c r="AA695" s="4">
        <f t="shared" si="373"/>
        <v>285000</v>
      </c>
      <c r="AB695" s="4">
        <f t="shared" si="374"/>
        <v>110000</v>
      </c>
      <c r="AC695" s="4" t="s">
        <v>29</v>
      </c>
      <c r="AD695" s="16">
        <f>IFERROR(VLOOKUP(AC695,'Kode Diskon'!$C$2:$D$9,2,0),0)</f>
        <v>0.1</v>
      </c>
      <c r="AE695" s="31">
        <f t="shared" si="375"/>
        <v>28500</v>
      </c>
      <c r="AF695" s="31">
        <f t="shared" si="376"/>
        <v>256500</v>
      </c>
      <c r="AG695" s="31">
        <f t="shared" si="377"/>
        <v>175000</v>
      </c>
      <c r="AH695" s="31">
        <f t="shared" si="378"/>
        <v>146500</v>
      </c>
      <c r="AI695" s="4" t="s">
        <v>28</v>
      </c>
      <c r="AJ695" s="4" t="s">
        <v>9</v>
      </c>
      <c r="AK695" s="4" t="str">
        <f>IFERROR(VLOOKUP(AJ695,'Guide '!$A$13:$B$16,2,0),"-")</f>
        <v>TK</v>
      </c>
      <c r="AL695" s="4" t="s">
        <v>922</v>
      </c>
      <c r="AM695" s="40">
        <v>45542</v>
      </c>
      <c r="AN695">
        <f t="shared" si="379"/>
        <v>29</v>
      </c>
      <c r="AO695">
        <f t="shared" si="380"/>
        <v>32</v>
      </c>
      <c r="AP695">
        <f t="shared" si="381"/>
        <v>40</v>
      </c>
      <c r="AQ695">
        <f t="shared" si="382"/>
        <v>43</v>
      </c>
      <c r="AR695" s="26">
        <f t="shared" si="383"/>
        <v>56</v>
      </c>
      <c r="AS695" s="26">
        <f t="shared" si="384"/>
        <v>63</v>
      </c>
      <c r="AT695" s="21">
        <f t="shared" si="385"/>
        <v>12</v>
      </c>
      <c r="AU695" s="21">
        <f t="shared" si="386"/>
        <v>19</v>
      </c>
      <c r="AV695">
        <f t="shared" si="387"/>
        <v>73</v>
      </c>
      <c r="AW695">
        <f t="shared" si="388"/>
        <v>76</v>
      </c>
      <c r="AX695">
        <f t="shared" si="389"/>
        <v>84</v>
      </c>
      <c r="AY695">
        <f t="shared" si="390"/>
        <v>87</v>
      </c>
      <c r="AZ695" t="str">
        <f t="shared" si="391"/>
        <v>-</v>
      </c>
      <c r="BA695" t="str">
        <f t="shared" si="392"/>
        <v>-</v>
      </c>
      <c r="BB695" t="str">
        <f t="shared" si="393"/>
        <v>-</v>
      </c>
      <c r="BC695" t="str">
        <f t="shared" si="394"/>
        <v>-</v>
      </c>
      <c r="BD695" s="29" t="str">
        <f t="shared" si="395"/>
        <v>-</v>
      </c>
      <c r="BE695" s="29" t="str">
        <f t="shared" si="396"/>
        <v>-</v>
      </c>
    </row>
    <row r="696" spans="1:57" ht="15" x14ac:dyDescent="0.2">
      <c r="A696" s="2">
        <v>909</v>
      </c>
      <c r="B696" s="2" t="str">
        <f t="shared" si="361"/>
        <v>0909</v>
      </c>
      <c r="C696" t="str">
        <f t="shared" si="362"/>
        <v>ORD-TK-0909-07/09/24</v>
      </c>
      <c r="D696" s="3" t="s">
        <v>163</v>
      </c>
      <c r="E696" t="str">
        <f t="shared" si="363"/>
        <v>SP002</v>
      </c>
      <c r="F696" t="str">
        <f>INDEX(Katalog!$B$4:$B$13,MATCH('Main Data'!E696,Katalog!$C$4:$C$13,0))</f>
        <v>Sandal Slip On</v>
      </c>
      <c r="G696" t="str">
        <f>VLOOKUP(E696,Katalog!$A$15:$B$25,2,0)</f>
        <v>Sepatu Pria</v>
      </c>
      <c r="H696" t="str">
        <f t="shared" si="364"/>
        <v>1</v>
      </c>
      <c r="I696" t="str">
        <f t="shared" si="365"/>
        <v>1</v>
      </c>
      <c r="J696" s="18">
        <f>VLOOKUP(E696,Katalog!$C$3:$F$13,2,0)</f>
        <v>120000</v>
      </c>
      <c r="K696" s="18">
        <f>VLOOKUP(E696,Katalog!$C$3:$F$13,3,0)</f>
        <v>60000</v>
      </c>
      <c r="L696" t="str">
        <f t="shared" si="366"/>
        <v>-</v>
      </c>
      <c r="M696" t="str">
        <f>IFERROR(INDEX(Katalog!$B$4:$B$13,MATCH('Main Data'!L696,Katalog!$C$4:$C$13,0)), "-")</f>
        <v>-</v>
      </c>
      <c r="N696" t="str">
        <f>IFERROR(VLOOKUP(L696,Katalog!$A$15:$B$25,2,0),"-")</f>
        <v>-</v>
      </c>
      <c r="O696">
        <f t="shared" si="367"/>
        <v>0</v>
      </c>
      <c r="P696" t="str">
        <f t="shared" si="368"/>
        <v>-</v>
      </c>
      <c r="Q696" s="18">
        <f>IFERROR(VLOOKUP(L696,Katalog!$C$3:$F$13,2,0),0)</f>
        <v>0</v>
      </c>
      <c r="R696" s="18">
        <f>IFERROR(VLOOKUP(L696,Katalog!$C$3:$F$13,3,0),0)</f>
        <v>0</v>
      </c>
      <c r="S696" t="str">
        <f t="shared" si="369"/>
        <v>-</v>
      </c>
      <c r="T696" t="str">
        <f>IFERROR(INDEX(Katalog!$B$4:$B$13,MATCH('Main Data'!S696,Katalog!$C$4:$C$13,0)),"-")</f>
        <v>-</v>
      </c>
      <c r="U696" t="str">
        <f>IFERROR(VLOOKUP(S696,Katalog!$A$15:$B$25,2,0),"-")</f>
        <v>-</v>
      </c>
      <c r="V696">
        <f t="shared" si="370"/>
        <v>0</v>
      </c>
      <c r="W696" s="28" t="str">
        <f t="shared" si="371"/>
        <v>-</v>
      </c>
      <c r="X696" s="18">
        <f>IFERROR(VLOOKUP(S696,Katalog!$C$3:$F$13,2,0),0)</f>
        <v>0</v>
      </c>
      <c r="Y696" s="30">
        <f>IFERROR(VLOOKUP(S696,Katalog!$C$3:$F$13,3,0),0)</f>
        <v>0</v>
      </c>
      <c r="Z696" s="2">
        <f t="shared" si="372"/>
        <v>1</v>
      </c>
      <c r="AA696" s="4">
        <f t="shared" si="373"/>
        <v>120000</v>
      </c>
      <c r="AB696" s="4">
        <f t="shared" si="374"/>
        <v>60000</v>
      </c>
      <c r="AC696" s="4" t="s">
        <v>29</v>
      </c>
      <c r="AD696" s="16">
        <f>IFERROR(VLOOKUP(AC696,'Kode Diskon'!$C$2:$D$9,2,0),0)</f>
        <v>0.1</v>
      </c>
      <c r="AE696" s="31">
        <f t="shared" si="375"/>
        <v>12000</v>
      </c>
      <c r="AF696" s="31">
        <f t="shared" si="376"/>
        <v>108000</v>
      </c>
      <c r="AG696" s="31">
        <f t="shared" si="377"/>
        <v>60000</v>
      </c>
      <c r="AH696" s="31">
        <f t="shared" si="378"/>
        <v>48000</v>
      </c>
      <c r="AI696" s="4" t="s">
        <v>28</v>
      </c>
      <c r="AJ696" s="4" t="s">
        <v>9</v>
      </c>
      <c r="AK696" s="4" t="str">
        <f>IFERROR(VLOOKUP(AJ696,'Guide '!$A$13:$B$16,2,0),"-")</f>
        <v>TK</v>
      </c>
      <c r="AL696" s="4" t="s">
        <v>925</v>
      </c>
      <c r="AM696" s="40">
        <v>45542</v>
      </c>
      <c r="AN696">
        <f t="shared" si="379"/>
        <v>29</v>
      </c>
      <c r="AO696">
        <f t="shared" si="380"/>
        <v>32</v>
      </c>
      <c r="AP696">
        <f t="shared" si="381"/>
        <v>40</v>
      </c>
      <c r="AQ696">
        <f t="shared" si="382"/>
        <v>43</v>
      </c>
      <c r="AR696" s="26" t="str">
        <f t="shared" si="383"/>
        <v>-</v>
      </c>
      <c r="AS696" s="26" t="str">
        <f t="shared" si="384"/>
        <v>-</v>
      </c>
      <c r="AT696" s="21">
        <f t="shared" si="385"/>
        <v>12</v>
      </c>
      <c r="AU696" s="21">
        <f t="shared" si="386"/>
        <v>19</v>
      </c>
      <c r="AV696" t="str">
        <f t="shared" si="387"/>
        <v>-</v>
      </c>
      <c r="AW696" t="str">
        <f t="shared" si="388"/>
        <v>-</v>
      </c>
      <c r="AX696" t="str">
        <f t="shared" si="389"/>
        <v>-</v>
      </c>
      <c r="AY696" t="str">
        <f t="shared" si="390"/>
        <v>-</v>
      </c>
      <c r="AZ696" t="str">
        <f t="shared" si="391"/>
        <v>-</v>
      </c>
      <c r="BA696" t="str">
        <f t="shared" si="392"/>
        <v>-</v>
      </c>
      <c r="BB696" t="str">
        <f t="shared" si="393"/>
        <v>-</v>
      </c>
      <c r="BC696" t="str">
        <f t="shared" si="394"/>
        <v>-</v>
      </c>
      <c r="BD696" s="29" t="str">
        <f t="shared" si="395"/>
        <v>-</v>
      </c>
      <c r="BE696" s="29" t="str">
        <f t="shared" si="396"/>
        <v>-</v>
      </c>
    </row>
    <row r="697" spans="1:57" ht="15" x14ac:dyDescent="0.2">
      <c r="A697" s="2">
        <v>64</v>
      </c>
      <c r="B697" s="2" t="str">
        <f t="shared" si="361"/>
        <v>0064</v>
      </c>
      <c r="C697" t="str">
        <f t="shared" si="362"/>
        <v>ORD-BB-0064-08/09/24</v>
      </c>
      <c r="D697" s="3" t="s">
        <v>138</v>
      </c>
      <c r="E697" t="str">
        <f t="shared" si="363"/>
        <v>SP001</v>
      </c>
      <c r="F697" t="str">
        <f>INDEX(Katalog!$B$4:$B$13,MATCH('Main Data'!E697,Katalog!$C$4:$C$13,0))</f>
        <v>Sneakers</v>
      </c>
      <c r="G697" t="str">
        <f>VLOOKUP(E697,Katalog!$A$15:$B$25,2,0)</f>
        <v>Sepatu Pria</v>
      </c>
      <c r="H697" t="str">
        <f t="shared" si="364"/>
        <v>6</v>
      </c>
      <c r="I697" t="str">
        <f t="shared" si="365"/>
        <v>1</v>
      </c>
      <c r="J697" s="18">
        <f>VLOOKUP(E697,Katalog!$C$3:$F$13,2,0)</f>
        <v>300000</v>
      </c>
      <c r="K697" s="18">
        <f>VLOOKUP(E697,Katalog!$C$3:$F$13,3,0)</f>
        <v>100000</v>
      </c>
      <c r="L697" t="str">
        <f t="shared" si="366"/>
        <v>PP002</v>
      </c>
      <c r="M697" t="str">
        <f>IFERROR(INDEX(Katalog!$B$4:$B$13,MATCH('Main Data'!L697,Katalog!$C$4:$C$13,0)), "-")</f>
        <v>Celana Pendek</v>
      </c>
      <c r="N697" t="str">
        <f>IFERROR(VLOOKUP(L697,Katalog!$A$15:$B$25,2,0),"-")</f>
        <v>Pakaian Pria</v>
      </c>
      <c r="O697" t="str">
        <f t="shared" si="367"/>
        <v>1</v>
      </c>
      <c r="P697" t="str">
        <f t="shared" si="368"/>
        <v>2</v>
      </c>
      <c r="Q697" s="18">
        <f>IFERROR(VLOOKUP(L697,Katalog!$C$3:$F$13,2,0),0)</f>
        <v>60000</v>
      </c>
      <c r="R697" s="18">
        <f>IFERROR(VLOOKUP(L697,Katalog!$C$3:$F$13,3,0),0)</f>
        <v>25000</v>
      </c>
      <c r="S697" t="str">
        <f t="shared" si="369"/>
        <v>-</v>
      </c>
      <c r="T697" t="str">
        <f>IFERROR(INDEX(Katalog!$B$4:$B$13,MATCH('Main Data'!S697,Katalog!$C$4:$C$13,0)),"-")</f>
        <v>-</v>
      </c>
      <c r="U697" t="str">
        <f>IFERROR(VLOOKUP(S697,Katalog!$A$15:$B$25,2,0),"-")</f>
        <v>-</v>
      </c>
      <c r="V697">
        <f t="shared" si="370"/>
        <v>0</v>
      </c>
      <c r="W697" s="28" t="str">
        <f t="shared" si="371"/>
        <v>-</v>
      </c>
      <c r="X697" s="18">
        <f>IFERROR(VLOOKUP(S697,Katalog!$C$3:$F$13,2,0),0)</f>
        <v>0</v>
      </c>
      <c r="Y697" s="30">
        <f>IFERROR(VLOOKUP(S697,Katalog!$C$3:$F$13,3,0),0)</f>
        <v>0</v>
      </c>
      <c r="Z697" s="2">
        <f t="shared" si="372"/>
        <v>7</v>
      </c>
      <c r="AA697" s="4">
        <f t="shared" si="373"/>
        <v>1860000</v>
      </c>
      <c r="AB697" s="4">
        <f t="shared" si="374"/>
        <v>625000</v>
      </c>
      <c r="AC697" s="4" t="s">
        <v>10</v>
      </c>
      <c r="AD697" s="16">
        <f>IFERROR(VLOOKUP(AC697,'Kode Diskon'!$C$2:$D$9,2,0),0)</f>
        <v>0</v>
      </c>
      <c r="AE697" s="31">
        <f t="shared" si="375"/>
        <v>0</v>
      </c>
      <c r="AF697" s="31">
        <f t="shared" si="376"/>
        <v>1860000</v>
      </c>
      <c r="AG697" s="31">
        <f t="shared" si="377"/>
        <v>1235000</v>
      </c>
      <c r="AH697" s="31">
        <f t="shared" si="378"/>
        <v>1235000</v>
      </c>
      <c r="AI697" s="4" t="s">
        <v>10</v>
      </c>
      <c r="AJ697" s="4" t="s">
        <v>13</v>
      </c>
      <c r="AK697" s="4" t="str">
        <f>IFERROR(VLOOKUP(AJ697,'Guide '!$A$13:$B$16,2,0),"-")</f>
        <v>BB</v>
      </c>
      <c r="AL697" s="4" t="s">
        <v>921</v>
      </c>
      <c r="AM697" s="40">
        <v>45543</v>
      </c>
      <c r="AN697">
        <f t="shared" si="379"/>
        <v>29</v>
      </c>
      <c r="AO697">
        <f t="shared" si="380"/>
        <v>32</v>
      </c>
      <c r="AP697">
        <f t="shared" si="381"/>
        <v>40</v>
      </c>
      <c r="AQ697">
        <f t="shared" si="382"/>
        <v>43</v>
      </c>
      <c r="AR697" s="26">
        <f t="shared" si="383"/>
        <v>56</v>
      </c>
      <c r="AS697" s="26">
        <f t="shared" si="384"/>
        <v>63</v>
      </c>
      <c r="AT697" s="21">
        <f t="shared" si="385"/>
        <v>12</v>
      </c>
      <c r="AU697" s="21">
        <f t="shared" si="386"/>
        <v>19</v>
      </c>
      <c r="AV697">
        <f t="shared" si="387"/>
        <v>73</v>
      </c>
      <c r="AW697">
        <f t="shared" si="388"/>
        <v>76</v>
      </c>
      <c r="AX697">
        <f t="shared" si="389"/>
        <v>84</v>
      </c>
      <c r="AY697">
        <f t="shared" si="390"/>
        <v>87</v>
      </c>
      <c r="AZ697" t="str">
        <f t="shared" si="391"/>
        <v>-</v>
      </c>
      <c r="BA697" t="str">
        <f t="shared" si="392"/>
        <v>-</v>
      </c>
      <c r="BB697" t="str">
        <f t="shared" si="393"/>
        <v>-</v>
      </c>
      <c r="BC697" t="str">
        <f t="shared" si="394"/>
        <v>-</v>
      </c>
      <c r="BD697" s="29" t="str">
        <f t="shared" si="395"/>
        <v>-</v>
      </c>
      <c r="BE697" s="29" t="str">
        <f t="shared" si="396"/>
        <v>-</v>
      </c>
    </row>
    <row r="698" spans="1:57" ht="15" x14ac:dyDescent="0.2">
      <c r="A698" s="2">
        <v>357</v>
      </c>
      <c r="B698" s="2" t="str">
        <f t="shared" si="361"/>
        <v>0357</v>
      </c>
      <c r="C698" t="str">
        <f t="shared" si="362"/>
        <v>ORD-TK-0357-08/09/24</v>
      </c>
      <c r="D698" s="3" t="s">
        <v>408</v>
      </c>
      <c r="E698" t="str">
        <f t="shared" si="363"/>
        <v>SP001</v>
      </c>
      <c r="F698" t="str">
        <f>INDEX(Katalog!$B$4:$B$13,MATCH('Main Data'!E698,Katalog!$C$4:$C$13,0))</f>
        <v>Sneakers</v>
      </c>
      <c r="G698" t="str">
        <f>VLOOKUP(E698,Katalog!$A$15:$B$25,2,0)</f>
        <v>Sepatu Pria</v>
      </c>
      <c r="H698" t="str">
        <f t="shared" si="364"/>
        <v>5</v>
      </c>
      <c r="I698" t="str">
        <f t="shared" si="365"/>
        <v>1</v>
      </c>
      <c r="J698" s="18">
        <f>VLOOKUP(E698,Katalog!$C$3:$F$13,2,0)</f>
        <v>300000</v>
      </c>
      <c r="K698" s="18">
        <f>VLOOKUP(E698,Katalog!$C$3:$F$13,3,0)</f>
        <v>100000</v>
      </c>
      <c r="L698" t="str">
        <f t="shared" si="366"/>
        <v>PW001</v>
      </c>
      <c r="M698" t="str">
        <f>IFERROR(INDEX(Katalog!$B$4:$B$13,MATCH('Main Data'!L698,Katalog!$C$4:$C$13,0)), "-")</f>
        <v>Dress</v>
      </c>
      <c r="N698" t="str">
        <f>IFERROR(VLOOKUP(L698,Katalog!$A$15:$B$25,2,0),"-")</f>
        <v>Pakaian Wanita</v>
      </c>
      <c r="O698" t="str">
        <f t="shared" si="367"/>
        <v>1</v>
      </c>
      <c r="P698" t="str">
        <f t="shared" si="368"/>
        <v>1</v>
      </c>
      <c r="Q698" s="18">
        <f>IFERROR(VLOOKUP(L698,Katalog!$C$3:$F$13,2,0),0)</f>
        <v>150000</v>
      </c>
      <c r="R698" s="18">
        <f>IFERROR(VLOOKUP(L698,Katalog!$C$3:$F$13,3,0),0)</f>
        <v>55000</v>
      </c>
      <c r="S698" t="str">
        <f t="shared" si="369"/>
        <v>-</v>
      </c>
      <c r="T698" t="str">
        <f>IFERROR(INDEX(Katalog!$B$4:$B$13,MATCH('Main Data'!S698,Katalog!$C$4:$C$13,0)),"-")</f>
        <v>-</v>
      </c>
      <c r="U698" t="str">
        <f>IFERROR(VLOOKUP(S698,Katalog!$A$15:$B$25,2,0),"-")</f>
        <v>-</v>
      </c>
      <c r="V698">
        <f t="shared" si="370"/>
        <v>0</v>
      </c>
      <c r="W698" s="28" t="str">
        <f t="shared" si="371"/>
        <v>-</v>
      </c>
      <c r="X698" s="18">
        <f>IFERROR(VLOOKUP(S698,Katalog!$C$3:$F$13,2,0),0)</f>
        <v>0</v>
      </c>
      <c r="Y698" s="30">
        <f>IFERROR(VLOOKUP(S698,Katalog!$C$3:$F$13,3,0),0)</f>
        <v>0</v>
      </c>
      <c r="Z698" s="2">
        <f t="shared" si="372"/>
        <v>6</v>
      </c>
      <c r="AA698" s="4">
        <f t="shared" si="373"/>
        <v>1650000</v>
      </c>
      <c r="AB698" s="4">
        <f t="shared" si="374"/>
        <v>555000</v>
      </c>
      <c r="AC698" s="4" t="s">
        <v>29</v>
      </c>
      <c r="AD698" s="16">
        <f>IFERROR(VLOOKUP(AC698,'Kode Diskon'!$C$2:$D$9,2,0),0)</f>
        <v>0.1</v>
      </c>
      <c r="AE698" s="31">
        <f t="shared" si="375"/>
        <v>165000</v>
      </c>
      <c r="AF698" s="31">
        <f t="shared" si="376"/>
        <v>1485000</v>
      </c>
      <c r="AG698" s="31">
        <f t="shared" si="377"/>
        <v>1095000</v>
      </c>
      <c r="AH698" s="31">
        <f t="shared" si="378"/>
        <v>930000</v>
      </c>
      <c r="AI698" s="4" t="s">
        <v>28</v>
      </c>
      <c r="AJ698" s="4" t="s">
        <v>9</v>
      </c>
      <c r="AK698" s="4" t="str">
        <f>IFERROR(VLOOKUP(AJ698,'Guide '!$A$13:$B$16,2,0),"-")</f>
        <v>TK</v>
      </c>
      <c r="AL698" s="4" t="s">
        <v>1006</v>
      </c>
      <c r="AM698" s="40">
        <v>45543</v>
      </c>
      <c r="AN698">
        <f t="shared" si="379"/>
        <v>29</v>
      </c>
      <c r="AO698">
        <f t="shared" si="380"/>
        <v>32</v>
      </c>
      <c r="AP698">
        <f t="shared" si="381"/>
        <v>40</v>
      </c>
      <c r="AQ698">
        <f t="shared" si="382"/>
        <v>43</v>
      </c>
      <c r="AR698" s="26">
        <f t="shared" si="383"/>
        <v>56</v>
      </c>
      <c r="AS698" s="26">
        <f t="shared" si="384"/>
        <v>63</v>
      </c>
      <c r="AT698" s="21">
        <f t="shared" si="385"/>
        <v>12</v>
      </c>
      <c r="AU698" s="21">
        <f t="shared" si="386"/>
        <v>19</v>
      </c>
      <c r="AV698">
        <f t="shared" si="387"/>
        <v>73</v>
      </c>
      <c r="AW698">
        <f t="shared" si="388"/>
        <v>76</v>
      </c>
      <c r="AX698">
        <f t="shared" si="389"/>
        <v>84</v>
      </c>
      <c r="AY698">
        <f t="shared" si="390"/>
        <v>87</v>
      </c>
      <c r="AZ698" t="str">
        <f t="shared" si="391"/>
        <v>-</v>
      </c>
      <c r="BA698" t="str">
        <f t="shared" si="392"/>
        <v>-</v>
      </c>
      <c r="BB698" t="str">
        <f t="shared" si="393"/>
        <v>-</v>
      </c>
      <c r="BC698" t="str">
        <f t="shared" si="394"/>
        <v>-</v>
      </c>
      <c r="BD698" s="29" t="str">
        <f t="shared" si="395"/>
        <v>-</v>
      </c>
      <c r="BE698" s="29" t="str">
        <f t="shared" si="396"/>
        <v>-</v>
      </c>
    </row>
    <row r="699" spans="1:57" ht="15" x14ac:dyDescent="0.2">
      <c r="A699" s="2">
        <v>552</v>
      </c>
      <c r="B699" s="2" t="str">
        <f t="shared" si="361"/>
        <v>0552</v>
      </c>
      <c r="C699" t="str">
        <f t="shared" si="362"/>
        <v>ORD-TK-0552-08/09/24</v>
      </c>
      <c r="D699" s="3" t="s">
        <v>540</v>
      </c>
      <c r="E699" t="str">
        <f t="shared" si="363"/>
        <v>SP002</v>
      </c>
      <c r="F699" t="str">
        <f>INDEX(Katalog!$B$4:$B$13,MATCH('Main Data'!E699,Katalog!$C$4:$C$13,0))</f>
        <v>Sandal Slip On</v>
      </c>
      <c r="G699" t="str">
        <f>VLOOKUP(E699,Katalog!$A$15:$B$25,2,0)</f>
        <v>Sepatu Pria</v>
      </c>
      <c r="H699" t="str">
        <f t="shared" si="364"/>
        <v>1</v>
      </c>
      <c r="I699" t="str">
        <f t="shared" si="365"/>
        <v>3</v>
      </c>
      <c r="J699" s="18">
        <f>VLOOKUP(E699,Katalog!$C$3:$F$13,2,0)</f>
        <v>120000</v>
      </c>
      <c r="K699" s="18">
        <f>VLOOKUP(E699,Katalog!$C$3:$F$13,3,0)</f>
        <v>60000</v>
      </c>
      <c r="L699" t="str">
        <f t="shared" si="366"/>
        <v>-</v>
      </c>
      <c r="M699" t="str">
        <f>IFERROR(INDEX(Katalog!$B$4:$B$13,MATCH('Main Data'!L699,Katalog!$C$4:$C$13,0)), "-")</f>
        <v>-</v>
      </c>
      <c r="N699" t="str">
        <f>IFERROR(VLOOKUP(L699,Katalog!$A$15:$B$25,2,0),"-")</f>
        <v>-</v>
      </c>
      <c r="O699">
        <f t="shared" si="367"/>
        <v>0</v>
      </c>
      <c r="P699" t="str">
        <f t="shared" si="368"/>
        <v>-</v>
      </c>
      <c r="Q699" s="18">
        <f>IFERROR(VLOOKUP(L699,Katalog!$C$3:$F$13,2,0),0)</f>
        <v>0</v>
      </c>
      <c r="R699" s="18">
        <f>IFERROR(VLOOKUP(L699,Katalog!$C$3:$F$13,3,0),0)</f>
        <v>0</v>
      </c>
      <c r="S699" t="str">
        <f t="shared" si="369"/>
        <v>-</v>
      </c>
      <c r="T699" t="str">
        <f>IFERROR(INDEX(Katalog!$B$4:$B$13,MATCH('Main Data'!S699,Katalog!$C$4:$C$13,0)),"-")</f>
        <v>-</v>
      </c>
      <c r="U699" t="str">
        <f>IFERROR(VLOOKUP(S699,Katalog!$A$15:$B$25,2,0),"-")</f>
        <v>-</v>
      </c>
      <c r="V699">
        <f t="shared" si="370"/>
        <v>0</v>
      </c>
      <c r="W699" s="28" t="str">
        <f t="shared" si="371"/>
        <v>-</v>
      </c>
      <c r="X699" s="18">
        <f>IFERROR(VLOOKUP(S699,Katalog!$C$3:$F$13,2,0),0)</f>
        <v>0</v>
      </c>
      <c r="Y699" s="30">
        <f>IFERROR(VLOOKUP(S699,Katalog!$C$3:$F$13,3,0),0)</f>
        <v>0</v>
      </c>
      <c r="Z699" s="2">
        <f t="shared" si="372"/>
        <v>1</v>
      </c>
      <c r="AA699" s="4">
        <f t="shared" si="373"/>
        <v>120000</v>
      </c>
      <c r="AB699" s="4">
        <f t="shared" si="374"/>
        <v>60000</v>
      </c>
      <c r="AC699" s="4" t="s">
        <v>29</v>
      </c>
      <c r="AD699" s="16">
        <f>IFERROR(VLOOKUP(AC699,'Kode Diskon'!$C$2:$D$9,2,0),0)</f>
        <v>0.1</v>
      </c>
      <c r="AE699" s="31">
        <f t="shared" si="375"/>
        <v>12000</v>
      </c>
      <c r="AF699" s="31">
        <f t="shared" si="376"/>
        <v>108000</v>
      </c>
      <c r="AG699" s="31">
        <f t="shared" si="377"/>
        <v>60000</v>
      </c>
      <c r="AH699" s="31">
        <f t="shared" si="378"/>
        <v>48000</v>
      </c>
      <c r="AI699" s="4" t="s">
        <v>28</v>
      </c>
      <c r="AJ699" s="4" t="s">
        <v>9</v>
      </c>
      <c r="AK699" s="4" t="str">
        <f>IFERROR(VLOOKUP(AJ699,'Guide '!$A$13:$B$16,2,0),"-")</f>
        <v>TK</v>
      </c>
      <c r="AL699" s="4" t="s">
        <v>925</v>
      </c>
      <c r="AM699" s="40">
        <v>45543</v>
      </c>
      <c r="AN699">
        <f t="shared" si="379"/>
        <v>29</v>
      </c>
      <c r="AO699">
        <f t="shared" si="380"/>
        <v>32</v>
      </c>
      <c r="AP699">
        <f t="shared" si="381"/>
        <v>40</v>
      </c>
      <c r="AQ699">
        <f t="shared" si="382"/>
        <v>43</v>
      </c>
      <c r="AR699" s="26" t="str">
        <f t="shared" si="383"/>
        <v>-</v>
      </c>
      <c r="AS699" s="26" t="str">
        <f t="shared" si="384"/>
        <v>-</v>
      </c>
      <c r="AT699" s="21">
        <f t="shared" si="385"/>
        <v>12</v>
      </c>
      <c r="AU699" s="21">
        <f t="shared" si="386"/>
        <v>19</v>
      </c>
      <c r="AV699" t="str">
        <f t="shared" si="387"/>
        <v>-</v>
      </c>
      <c r="AW699" t="str">
        <f t="shared" si="388"/>
        <v>-</v>
      </c>
      <c r="AX699" t="str">
        <f t="shared" si="389"/>
        <v>-</v>
      </c>
      <c r="AY699" t="str">
        <f t="shared" si="390"/>
        <v>-</v>
      </c>
      <c r="AZ699" t="str">
        <f t="shared" si="391"/>
        <v>-</v>
      </c>
      <c r="BA699" t="str">
        <f t="shared" si="392"/>
        <v>-</v>
      </c>
      <c r="BB699" t="str">
        <f t="shared" si="393"/>
        <v>-</v>
      </c>
      <c r="BC699" t="str">
        <f t="shared" si="394"/>
        <v>-</v>
      </c>
      <c r="BD699" s="29" t="str">
        <f t="shared" si="395"/>
        <v>-</v>
      </c>
      <c r="BE699" s="29" t="str">
        <f t="shared" si="396"/>
        <v>-</v>
      </c>
    </row>
    <row r="700" spans="1:57" ht="15" x14ac:dyDescent="0.2">
      <c r="A700" s="2">
        <v>716</v>
      </c>
      <c r="B700" s="2" t="str">
        <f t="shared" si="361"/>
        <v>0716</v>
      </c>
      <c r="C700" t="str">
        <f t="shared" si="362"/>
        <v>ORD-SP-0716-08/09/24</v>
      </c>
      <c r="D700" s="3" t="s">
        <v>705</v>
      </c>
      <c r="E700" t="str">
        <f t="shared" si="363"/>
        <v>SP001</v>
      </c>
      <c r="F700" t="str">
        <f>INDEX(Katalog!$B$4:$B$13,MATCH('Main Data'!E700,Katalog!$C$4:$C$13,0))</f>
        <v>Sneakers</v>
      </c>
      <c r="G700" t="str">
        <f>VLOOKUP(E700,Katalog!$A$15:$B$25,2,0)</f>
        <v>Sepatu Pria</v>
      </c>
      <c r="H700" t="str">
        <f t="shared" si="364"/>
        <v>7</v>
      </c>
      <c r="I700" t="str">
        <f t="shared" si="365"/>
        <v>4</v>
      </c>
      <c r="J700" s="18">
        <f>VLOOKUP(E700,Katalog!$C$3:$F$13,2,0)</f>
        <v>300000</v>
      </c>
      <c r="K700" s="18">
        <f>VLOOKUP(E700,Katalog!$C$3:$F$13,3,0)</f>
        <v>100000</v>
      </c>
      <c r="L700" t="str">
        <f t="shared" si="366"/>
        <v>-</v>
      </c>
      <c r="M700" t="str">
        <f>IFERROR(INDEX(Katalog!$B$4:$B$13,MATCH('Main Data'!L700,Katalog!$C$4:$C$13,0)), "-")</f>
        <v>-</v>
      </c>
      <c r="N700" t="str">
        <f>IFERROR(VLOOKUP(L700,Katalog!$A$15:$B$25,2,0),"-")</f>
        <v>-</v>
      </c>
      <c r="O700">
        <f t="shared" si="367"/>
        <v>0</v>
      </c>
      <c r="P700" t="str">
        <f t="shared" si="368"/>
        <v>-</v>
      </c>
      <c r="Q700" s="18">
        <f>IFERROR(VLOOKUP(L700,Katalog!$C$3:$F$13,2,0),0)</f>
        <v>0</v>
      </c>
      <c r="R700" s="18">
        <f>IFERROR(VLOOKUP(L700,Katalog!$C$3:$F$13,3,0),0)</f>
        <v>0</v>
      </c>
      <c r="S700" t="str">
        <f t="shared" si="369"/>
        <v>-</v>
      </c>
      <c r="T700" t="str">
        <f>IFERROR(INDEX(Katalog!$B$4:$B$13,MATCH('Main Data'!S700,Katalog!$C$4:$C$13,0)),"-")</f>
        <v>-</v>
      </c>
      <c r="U700" t="str">
        <f>IFERROR(VLOOKUP(S700,Katalog!$A$15:$B$25,2,0),"-")</f>
        <v>-</v>
      </c>
      <c r="V700">
        <f t="shared" si="370"/>
        <v>0</v>
      </c>
      <c r="W700" s="28" t="str">
        <f t="shared" si="371"/>
        <v>-</v>
      </c>
      <c r="X700" s="18">
        <f>IFERROR(VLOOKUP(S700,Katalog!$C$3:$F$13,2,0),0)</f>
        <v>0</v>
      </c>
      <c r="Y700" s="30">
        <f>IFERROR(VLOOKUP(S700,Katalog!$C$3:$F$13,3,0),0)</f>
        <v>0</v>
      </c>
      <c r="Z700" s="2">
        <f t="shared" si="372"/>
        <v>7</v>
      </c>
      <c r="AA700" s="4">
        <f t="shared" si="373"/>
        <v>2100000</v>
      </c>
      <c r="AB700" s="4">
        <f t="shared" si="374"/>
        <v>700000</v>
      </c>
      <c r="AC700" s="4" t="s">
        <v>12</v>
      </c>
      <c r="AD700" s="16">
        <f>IFERROR(VLOOKUP(AC700,'Kode Diskon'!$C$2:$D$9,2,0),0)</f>
        <v>0.15</v>
      </c>
      <c r="AE700" s="31">
        <f t="shared" si="375"/>
        <v>315000</v>
      </c>
      <c r="AF700" s="31">
        <f t="shared" si="376"/>
        <v>1785000</v>
      </c>
      <c r="AG700" s="31">
        <f t="shared" si="377"/>
        <v>1400000</v>
      </c>
      <c r="AH700" s="31">
        <f t="shared" si="378"/>
        <v>1085000</v>
      </c>
      <c r="AI700" s="4" t="s">
        <v>28</v>
      </c>
      <c r="AJ700" s="4" t="s">
        <v>6</v>
      </c>
      <c r="AK700" s="4" t="str">
        <f>IFERROR(VLOOKUP(AJ700,'Guide '!$A$13:$B$16,2,0),"-")</f>
        <v>SP</v>
      </c>
      <c r="AL700" s="4" t="s">
        <v>925</v>
      </c>
      <c r="AM700" s="40">
        <v>45543</v>
      </c>
      <c r="AN700">
        <f t="shared" si="379"/>
        <v>29</v>
      </c>
      <c r="AO700">
        <f t="shared" si="380"/>
        <v>32</v>
      </c>
      <c r="AP700">
        <f t="shared" si="381"/>
        <v>40</v>
      </c>
      <c r="AQ700">
        <f t="shared" si="382"/>
        <v>43</v>
      </c>
      <c r="AR700" s="26" t="str">
        <f t="shared" si="383"/>
        <v>-</v>
      </c>
      <c r="AS700" s="26" t="str">
        <f t="shared" si="384"/>
        <v>-</v>
      </c>
      <c r="AT700" s="21">
        <f t="shared" si="385"/>
        <v>12</v>
      </c>
      <c r="AU700" s="21">
        <f t="shared" si="386"/>
        <v>19</v>
      </c>
      <c r="AV700" t="str">
        <f t="shared" si="387"/>
        <v>-</v>
      </c>
      <c r="AW700" t="str">
        <f t="shared" si="388"/>
        <v>-</v>
      </c>
      <c r="AX700" t="str">
        <f t="shared" si="389"/>
        <v>-</v>
      </c>
      <c r="AY700" t="str">
        <f t="shared" si="390"/>
        <v>-</v>
      </c>
      <c r="AZ700" t="str">
        <f t="shared" si="391"/>
        <v>-</v>
      </c>
      <c r="BA700" t="str">
        <f t="shared" si="392"/>
        <v>-</v>
      </c>
      <c r="BB700" t="str">
        <f t="shared" si="393"/>
        <v>-</v>
      </c>
      <c r="BC700" t="str">
        <f t="shared" si="394"/>
        <v>-</v>
      </c>
      <c r="BD700" s="29" t="str">
        <f t="shared" si="395"/>
        <v>-</v>
      </c>
      <c r="BE700" s="29" t="str">
        <f t="shared" si="396"/>
        <v>-</v>
      </c>
    </row>
    <row r="701" spans="1:57" ht="15" x14ac:dyDescent="0.2">
      <c r="A701" s="2">
        <v>150</v>
      </c>
      <c r="B701" s="2" t="str">
        <f t="shared" si="361"/>
        <v>0150</v>
      </c>
      <c r="C701" t="str">
        <f t="shared" si="362"/>
        <v>ORD-SP-0150-09/09/24</v>
      </c>
      <c r="D701" s="3" t="s">
        <v>220</v>
      </c>
      <c r="E701" t="str">
        <f t="shared" si="363"/>
        <v>PW001</v>
      </c>
      <c r="F701" t="str">
        <f>INDEX(Katalog!$B$4:$B$13,MATCH('Main Data'!E701,Katalog!$C$4:$C$13,0))</f>
        <v>Dress</v>
      </c>
      <c r="G701" t="str">
        <f>VLOOKUP(E701,Katalog!$A$15:$B$25,2,0)</f>
        <v>Pakaian Wanita</v>
      </c>
      <c r="H701" t="str">
        <f t="shared" si="364"/>
        <v>1</v>
      </c>
      <c r="I701" t="str">
        <f t="shared" si="365"/>
        <v>4</v>
      </c>
      <c r="J701" s="18">
        <f>VLOOKUP(E701,Katalog!$C$3:$F$13,2,0)</f>
        <v>150000</v>
      </c>
      <c r="K701" s="18">
        <f>VLOOKUP(E701,Katalog!$C$3:$F$13,3,0)</f>
        <v>55000</v>
      </c>
      <c r="L701" t="str">
        <f t="shared" si="366"/>
        <v>SP002</v>
      </c>
      <c r="M701" t="str">
        <f>IFERROR(INDEX(Katalog!$B$4:$B$13,MATCH('Main Data'!L701,Katalog!$C$4:$C$13,0)), "-")</f>
        <v>Sandal Slip On</v>
      </c>
      <c r="N701" t="str">
        <f>IFERROR(VLOOKUP(L701,Katalog!$A$15:$B$25,2,0),"-")</f>
        <v>Sepatu Pria</v>
      </c>
      <c r="O701" t="str">
        <f t="shared" si="367"/>
        <v>2</v>
      </c>
      <c r="P701" t="str">
        <f t="shared" si="368"/>
        <v>2</v>
      </c>
      <c r="Q701" s="18">
        <f>IFERROR(VLOOKUP(L701,Katalog!$C$3:$F$13,2,0),0)</f>
        <v>120000</v>
      </c>
      <c r="R701" s="18">
        <f>IFERROR(VLOOKUP(L701,Katalog!$C$3:$F$13,3,0),0)</f>
        <v>60000</v>
      </c>
      <c r="S701" t="str">
        <f t="shared" si="369"/>
        <v>PW002</v>
      </c>
      <c r="T701" t="str">
        <f>IFERROR(INDEX(Katalog!$B$4:$B$13,MATCH('Main Data'!S701,Katalog!$C$4:$C$13,0)),"-")</f>
        <v>Blouse</v>
      </c>
      <c r="U701" t="str">
        <f>IFERROR(VLOOKUP(S701,Katalog!$A$15:$B$25,2,0),"-")</f>
        <v>Pakaian Wanita</v>
      </c>
      <c r="V701" t="str">
        <f t="shared" si="370"/>
        <v>3</v>
      </c>
      <c r="W701" s="28" t="str">
        <f t="shared" si="371"/>
        <v>4</v>
      </c>
      <c r="X701" s="18">
        <f>IFERROR(VLOOKUP(S701,Katalog!$C$3:$F$13,2,0),0)</f>
        <v>125000</v>
      </c>
      <c r="Y701" s="30">
        <f>IFERROR(VLOOKUP(S701,Katalog!$C$3:$F$13,3,0),0)</f>
        <v>50000</v>
      </c>
      <c r="Z701" s="2">
        <f t="shared" si="372"/>
        <v>6</v>
      </c>
      <c r="AA701" s="4">
        <f t="shared" si="373"/>
        <v>765000</v>
      </c>
      <c r="AB701" s="4">
        <f t="shared" si="374"/>
        <v>325000</v>
      </c>
      <c r="AC701" s="4" t="s">
        <v>12</v>
      </c>
      <c r="AD701" s="16">
        <f>IFERROR(VLOOKUP(AC701,'Kode Diskon'!$C$2:$D$9,2,0),0)</f>
        <v>0.15</v>
      </c>
      <c r="AE701" s="31">
        <f t="shared" si="375"/>
        <v>114750</v>
      </c>
      <c r="AF701" s="31">
        <f t="shared" si="376"/>
        <v>650250</v>
      </c>
      <c r="AG701" s="31">
        <f t="shared" si="377"/>
        <v>440000</v>
      </c>
      <c r="AH701" s="31">
        <f t="shared" si="378"/>
        <v>325250</v>
      </c>
      <c r="AI701" s="4" t="s">
        <v>28</v>
      </c>
      <c r="AJ701" s="4" t="s">
        <v>6</v>
      </c>
      <c r="AK701" s="4" t="str">
        <f>IFERROR(VLOOKUP(AJ701,'Guide '!$A$13:$B$16,2,0),"-")</f>
        <v>SP</v>
      </c>
      <c r="AL701" s="4" t="s">
        <v>924</v>
      </c>
      <c r="AM701" s="40">
        <v>45544</v>
      </c>
      <c r="AN701">
        <f t="shared" si="379"/>
        <v>29</v>
      </c>
      <c r="AO701">
        <f t="shared" si="380"/>
        <v>32</v>
      </c>
      <c r="AP701">
        <f t="shared" si="381"/>
        <v>40</v>
      </c>
      <c r="AQ701">
        <f t="shared" si="382"/>
        <v>43</v>
      </c>
      <c r="AR701" s="26">
        <f t="shared" si="383"/>
        <v>56</v>
      </c>
      <c r="AS701" s="26">
        <f t="shared" si="384"/>
        <v>63</v>
      </c>
      <c r="AT701" s="21">
        <f t="shared" si="385"/>
        <v>12</v>
      </c>
      <c r="AU701" s="21">
        <f t="shared" si="386"/>
        <v>19</v>
      </c>
      <c r="AV701">
        <f t="shared" si="387"/>
        <v>73</v>
      </c>
      <c r="AW701">
        <f t="shared" si="388"/>
        <v>76</v>
      </c>
      <c r="AX701">
        <f t="shared" si="389"/>
        <v>84</v>
      </c>
      <c r="AY701">
        <f t="shared" si="390"/>
        <v>87</v>
      </c>
      <c r="AZ701">
        <f t="shared" si="391"/>
        <v>100</v>
      </c>
      <c r="BA701">
        <f t="shared" si="392"/>
        <v>107</v>
      </c>
      <c r="BB701">
        <f t="shared" si="393"/>
        <v>117</v>
      </c>
      <c r="BC701">
        <f t="shared" si="394"/>
        <v>120</v>
      </c>
      <c r="BD701" s="29">
        <f t="shared" si="395"/>
        <v>128</v>
      </c>
      <c r="BE701" s="29">
        <f t="shared" si="396"/>
        <v>131</v>
      </c>
    </row>
    <row r="702" spans="1:57" ht="15" x14ac:dyDescent="0.2">
      <c r="A702" s="2">
        <v>224</v>
      </c>
      <c r="B702" s="2" t="str">
        <f t="shared" si="361"/>
        <v>0224</v>
      </c>
      <c r="C702" t="str">
        <f t="shared" si="362"/>
        <v>ORD-SP-0224-09/09/24</v>
      </c>
      <c r="D702" s="3" t="s">
        <v>177</v>
      </c>
      <c r="E702" t="str">
        <f t="shared" si="363"/>
        <v>SP001</v>
      </c>
      <c r="F702" t="str">
        <f>INDEX(Katalog!$B$4:$B$13,MATCH('Main Data'!E702,Katalog!$C$4:$C$13,0))</f>
        <v>Sneakers</v>
      </c>
      <c r="G702" t="str">
        <f>VLOOKUP(E702,Katalog!$A$15:$B$25,2,0)</f>
        <v>Sepatu Pria</v>
      </c>
      <c r="H702" t="str">
        <f t="shared" si="364"/>
        <v>3</v>
      </c>
      <c r="I702" t="str">
        <f t="shared" si="365"/>
        <v>5</v>
      </c>
      <c r="J702" s="18">
        <f>VLOOKUP(E702,Katalog!$C$3:$F$13,2,0)</f>
        <v>300000</v>
      </c>
      <c r="K702" s="18">
        <f>VLOOKUP(E702,Katalog!$C$3:$F$13,3,0)</f>
        <v>100000</v>
      </c>
      <c r="L702" t="str">
        <f t="shared" si="366"/>
        <v>-</v>
      </c>
      <c r="M702" t="str">
        <f>IFERROR(INDEX(Katalog!$B$4:$B$13,MATCH('Main Data'!L702,Katalog!$C$4:$C$13,0)), "-")</f>
        <v>-</v>
      </c>
      <c r="N702" t="str">
        <f>IFERROR(VLOOKUP(L702,Katalog!$A$15:$B$25,2,0),"-")</f>
        <v>-</v>
      </c>
      <c r="O702">
        <f t="shared" si="367"/>
        <v>0</v>
      </c>
      <c r="P702" t="str">
        <f t="shared" si="368"/>
        <v>-</v>
      </c>
      <c r="Q702" s="18">
        <f>IFERROR(VLOOKUP(L702,Katalog!$C$3:$F$13,2,0),0)</f>
        <v>0</v>
      </c>
      <c r="R702" s="18">
        <f>IFERROR(VLOOKUP(L702,Katalog!$C$3:$F$13,3,0),0)</f>
        <v>0</v>
      </c>
      <c r="S702" t="str">
        <f t="shared" si="369"/>
        <v>-</v>
      </c>
      <c r="T702" t="str">
        <f>IFERROR(INDEX(Katalog!$B$4:$B$13,MATCH('Main Data'!S702,Katalog!$C$4:$C$13,0)),"-")</f>
        <v>-</v>
      </c>
      <c r="U702" t="str">
        <f>IFERROR(VLOOKUP(S702,Katalog!$A$15:$B$25,2,0),"-")</f>
        <v>-</v>
      </c>
      <c r="V702">
        <f t="shared" si="370"/>
        <v>0</v>
      </c>
      <c r="W702" s="28" t="str">
        <f t="shared" si="371"/>
        <v>-</v>
      </c>
      <c r="X702" s="18">
        <f>IFERROR(VLOOKUP(S702,Katalog!$C$3:$F$13,2,0),0)</f>
        <v>0</v>
      </c>
      <c r="Y702" s="30">
        <f>IFERROR(VLOOKUP(S702,Katalog!$C$3:$F$13,3,0),0)</f>
        <v>0</v>
      </c>
      <c r="Z702" s="2">
        <f t="shared" si="372"/>
        <v>3</v>
      </c>
      <c r="AA702" s="4">
        <f t="shared" si="373"/>
        <v>900000</v>
      </c>
      <c r="AB702" s="4">
        <f t="shared" si="374"/>
        <v>300000</v>
      </c>
      <c r="AC702" s="4" t="s">
        <v>7</v>
      </c>
      <c r="AD702" s="16">
        <f>IFERROR(VLOOKUP(AC702,'Kode Diskon'!$C$2:$D$9,2,0),0)</f>
        <v>0.2</v>
      </c>
      <c r="AE702" s="31">
        <f t="shared" si="375"/>
        <v>180000</v>
      </c>
      <c r="AF702" s="31">
        <f t="shared" si="376"/>
        <v>720000</v>
      </c>
      <c r="AG702" s="31">
        <f t="shared" si="377"/>
        <v>600000</v>
      </c>
      <c r="AH702" s="31">
        <f t="shared" si="378"/>
        <v>420000</v>
      </c>
      <c r="AI702" s="4" t="s">
        <v>8</v>
      </c>
      <c r="AJ702" s="4" t="s">
        <v>6</v>
      </c>
      <c r="AK702" s="4" t="str">
        <f>IFERROR(VLOOKUP(AJ702,'Guide '!$A$13:$B$16,2,0),"-")</f>
        <v>SP</v>
      </c>
      <c r="AL702" s="4" t="s">
        <v>1006</v>
      </c>
      <c r="AM702" s="40">
        <v>45544</v>
      </c>
      <c r="AN702">
        <f t="shared" si="379"/>
        <v>29</v>
      </c>
      <c r="AO702">
        <f t="shared" si="380"/>
        <v>32</v>
      </c>
      <c r="AP702">
        <f t="shared" si="381"/>
        <v>40</v>
      </c>
      <c r="AQ702">
        <f t="shared" si="382"/>
        <v>43</v>
      </c>
      <c r="AR702" s="26" t="str">
        <f t="shared" si="383"/>
        <v>-</v>
      </c>
      <c r="AS702" s="26" t="str">
        <f t="shared" si="384"/>
        <v>-</v>
      </c>
      <c r="AT702" s="21">
        <f t="shared" si="385"/>
        <v>12</v>
      </c>
      <c r="AU702" s="21">
        <f t="shared" si="386"/>
        <v>19</v>
      </c>
      <c r="AV702" t="str">
        <f t="shared" si="387"/>
        <v>-</v>
      </c>
      <c r="AW702" t="str">
        <f t="shared" si="388"/>
        <v>-</v>
      </c>
      <c r="AX702" t="str">
        <f t="shared" si="389"/>
        <v>-</v>
      </c>
      <c r="AY702" t="str">
        <f t="shared" si="390"/>
        <v>-</v>
      </c>
      <c r="AZ702" t="str">
        <f t="shared" si="391"/>
        <v>-</v>
      </c>
      <c r="BA702" t="str">
        <f t="shared" si="392"/>
        <v>-</v>
      </c>
      <c r="BB702" t="str">
        <f t="shared" si="393"/>
        <v>-</v>
      </c>
      <c r="BC702" t="str">
        <f t="shared" si="394"/>
        <v>-</v>
      </c>
      <c r="BD702" s="29" t="str">
        <f t="shared" si="395"/>
        <v>-</v>
      </c>
      <c r="BE702" s="29" t="str">
        <f t="shared" si="396"/>
        <v>-</v>
      </c>
    </row>
    <row r="703" spans="1:57" ht="15" x14ac:dyDescent="0.2">
      <c r="A703" s="2">
        <v>464</v>
      </c>
      <c r="B703" s="2" t="str">
        <f t="shared" si="361"/>
        <v>0464</v>
      </c>
      <c r="C703" t="str">
        <f t="shared" si="362"/>
        <v>ORD-TK-0464-09/09/24</v>
      </c>
      <c r="D703" s="3" t="s">
        <v>502</v>
      </c>
      <c r="E703" t="str">
        <f t="shared" si="363"/>
        <v>SP001</v>
      </c>
      <c r="F703" t="str">
        <f>INDEX(Katalog!$B$4:$B$13,MATCH('Main Data'!E703,Katalog!$C$4:$C$13,0))</f>
        <v>Sneakers</v>
      </c>
      <c r="G703" t="str">
        <f>VLOOKUP(E703,Katalog!$A$15:$B$25,2,0)</f>
        <v>Sepatu Pria</v>
      </c>
      <c r="H703" t="str">
        <f t="shared" si="364"/>
        <v>2</v>
      </c>
      <c r="I703" t="str">
        <f t="shared" si="365"/>
        <v>4</v>
      </c>
      <c r="J703" s="18">
        <f>VLOOKUP(E703,Katalog!$C$3:$F$13,2,0)</f>
        <v>300000</v>
      </c>
      <c r="K703" s="18">
        <f>VLOOKUP(E703,Katalog!$C$3:$F$13,3,0)</f>
        <v>100000</v>
      </c>
      <c r="L703" t="str">
        <f t="shared" si="366"/>
        <v>-</v>
      </c>
      <c r="M703" t="str">
        <f>IFERROR(INDEX(Katalog!$B$4:$B$13,MATCH('Main Data'!L703,Katalog!$C$4:$C$13,0)), "-")</f>
        <v>-</v>
      </c>
      <c r="N703" t="str">
        <f>IFERROR(VLOOKUP(L703,Katalog!$A$15:$B$25,2,0),"-")</f>
        <v>-</v>
      </c>
      <c r="O703">
        <f t="shared" si="367"/>
        <v>0</v>
      </c>
      <c r="P703" t="str">
        <f t="shared" si="368"/>
        <v>-</v>
      </c>
      <c r="Q703" s="18">
        <f>IFERROR(VLOOKUP(L703,Katalog!$C$3:$F$13,2,0),0)</f>
        <v>0</v>
      </c>
      <c r="R703" s="18">
        <f>IFERROR(VLOOKUP(L703,Katalog!$C$3:$F$13,3,0),0)</f>
        <v>0</v>
      </c>
      <c r="S703" t="str">
        <f t="shared" si="369"/>
        <v>-</v>
      </c>
      <c r="T703" t="str">
        <f>IFERROR(INDEX(Katalog!$B$4:$B$13,MATCH('Main Data'!S703,Katalog!$C$4:$C$13,0)),"-")</f>
        <v>-</v>
      </c>
      <c r="U703" t="str">
        <f>IFERROR(VLOOKUP(S703,Katalog!$A$15:$B$25,2,0),"-")</f>
        <v>-</v>
      </c>
      <c r="V703">
        <f t="shared" si="370"/>
        <v>0</v>
      </c>
      <c r="W703" s="28" t="str">
        <f t="shared" si="371"/>
        <v>-</v>
      </c>
      <c r="X703" s="18">
        <f>IFERROR(VLOOKUP(S703,Katalog!$C$3:$F$13,2,0),0)</f>
        <v>0</v>
      </c>
      <c r="Y703" s="30">
        <f>IFERROR(VLOOKUP(S703,Katalog!$C$3:$F$13,3,0),0)</f>
        <v>0</v>
      </c>
      <c r="Z703" s="2">
        <f t="shared" si="372"/>
        <v>2</v>
      </c>
      <c r="AA703" s="4">
        <f t="shared" si="373"/>
        <v>600000</v>
      </c>
      <c r="AB703" s="4">
        <f t="shared" si="374"/>
        <v>200000</v>
      </c>
      <c r="AC703" s="4" t="s">
        <v>29</v>
      </c>
      <c r="AD703" s="16">
        <f>IFERROR(VLOOKUP(AC703,'Kode Diskon'!$C$2:$D$9,2,0),0)</f>
        <v>0.1</v>
      </c>
      <c r="AE703" s="31">
        <f t="shared" si="375"/>
        <v>60000</v>
      </c>
      <c r="AF703" s="31">
        <f t="shared" si="376"/>
        <v>540000</v>
      </c>
      <c r="AG703" s="31">
        <f t="shared" si="377"/>
        <v>400000</v>
      </c>
      <c r="AH703" s="31">
        <f t="shared" si="378"/>
        <v>340000</v>
      </c>
      <c r="AI703" s="4" t="s">
        <v>28</v>
      </c>
      <c r="AJ703" s="4" t="s">
        <v>9</v>
      </c>
      <c r="AK703" s="4" t="str">
        <f>IFERROR(VLOOKUP(AJ703,'Guide '!$A$13:$B$16,2,0),"-")</f>
        <v>TK</v>
      </c>
      <c r="AL703" s="4" t="s">
        <v>925</v>
      </c>
      <c r="AM703" s="40">
        <v>45544</v>
      </c>
      <c r="AN703">
        <f t="shared" si="379"/>
        <v>29</v>
      </c>
      <c r="AO703">
        <f t="shared" si="380"/>
        <v>32</v>
      </c>
      <c r="AP703">
        <f t="shared" si="381"/>
        <v>40</v>
      </c>
      <c r="AQ703">
        <f t="shared" si="382"/>
        <v>43</v>
      </c>
      <c r="AR703" s="26" t="str">
        <f t="shared" si="383"/>
        <v>-</v>
      </c>
      <c r="AS703" s="26" t="str">
        <f t="shared" si="384"/>
        <v>-</v>
      </c>
      <c r="AT703" s="21">
        <f t="shared" si="385"/>
        <v>12</v>
      </c>
      <c r="AU703" s="21">
        <f t="shared" si="386"/>
        <v>19</v>
      </c>
      <c r="AV703" t="str">
        <f t="shared" si="387"/>
        <v>-</v>
      </c>
      <c r="AW703" t="str">
        <f t="shared" si="388"/>
        <v>-</v>
      </c>
      <c r="AX703" t="str">
        <f t="shared" si="389"/>
        <v>-</v>
      </c>
      <c r="AY703" t="str">
        <f t="shared" si="390"/>
        <v>-</v>
      </c>
      <c r="AZ703" t="str">
        <f t="shared" si="391"/>
        <v>-</v>
      </c>
      <c r="BA703" t="str">
        <f t="shared" si="392"/>
        <v>-</v>
      </c>
      <c r="BB703" t="str">
        <f t="shared" si="393"/>
        <v>-</v>
      </c>
      <c r="BC703" t="str">
        <f t="shared" si="394"/>
        <v>-</v>
      </c>
      <c r="BD703" s="29" t="str">
        <f t="shared" si="395"/>
        <v>-</v>
      </c>
      <c r="BE703" s="29" t="str">
        <f t="shared" si="396"/>
        <v>-</v>
      </c>
    </row>
    <row r="704" spans="1:57" ht="15" x14ac:dyDescent="0.2">
      <c r="A704" s="2">
        <v>881</v>
      </c>
      <c r="B704" s="2" t="str">
        <f t="shared" si="361"/>
        <v>0881</v>
      </c>
      <c r="C704" t="str">
        <f t="shared" si="362"/>
        <v>ORD-TK-0881-09/09/24</v>
      </c>
      <c r="D704" s="3" t="s">
        <v>823</v>
      </c>
      <c r="E704" t="str">
        <f t="shared" si="363"/>
        <v>PW003</v>
      </c>
      <c r="F704" t="str">
        <f>INDEX(Katalog!$B$4:$B$13,MATCH('Main Data'!E704,Katalog!$C$4:$C$13,0))</f>
        <v>Kaftan</v>
      </c>
      <c r="G704" t="str">
        <f>VLOOKUP(E704,Katalog!$A$15:$B$25,2,0)</f>
        <v>Pakaian Wanita</v>
      </c>
      <c r="H704" t="str">
        <f t="shared" si="364"/>
        <v>3</v>
      </c>
      <c r="I704" t="str">
        <f t="shared" si="365"/>
        <v>4</v>
      </c>
      <c r="J704" s="18">
        <f>VLOOKUP(E704,Katalog!$C$3:$F$13,2,0)</f>
        <v>200000</v>
      </c>
      <c r="K704" s="18">
        <f>VLOOKUP(E704,Katalog!$C$3:$F$13,3,0)</f>
        <v>100000</v>
      </c>
      <c r="L704" t="str">
        <f t="shared" si="366"/>
        <v>PP001</v>
      </c>
      <c r="M704" t="str">
        <f>IFERROR(INDEX(Katalog!$B$4:$B$13,MATCH('Main Data'!L704,Katalog!$C$4:$C$13,0)), "-")</f>
        <v>Kaos Polo</v>
      </c>
      <c r="N704" t="str">
        <f>IFERROR(VLOOKUP(L704,Katalog!$A$15:$B$25,2,0),"-")</f>
        <v>Pakaian Pria</v>
      </c>
      <c r="O704" t="str">
        <f t="shared" si="367"/>
        <v>1</v>
      </c>
      <c r="P704" t="str">
        <f t="shared" si="368"/>
        <v>1</v>
      </c>
      <c r="Q704" s="18">
        <f>IFERROR(VLOOKUP(L704,Katalog!$C$3:$F$13,2,0),0)</f>
        <v>80000</v>
      </c>
      <c r="R704" s="18">
        <f>IFERROR(VLOOKUP(L704,Katalog!$C$3:$F$13,3,0),0)</f>
        <v>30000</v>
      </c>
      <c r="S704" t="str">
        <f t="shared" si="369"/>
        <v>PP003</v>
      </c>
      <c r="T704" t="str">
        <f>IFERROR(INDEX(Katalog!$B$4:$B$13,MATCH('Main Data'!S704,Katalog!$C$4:$C$13,0)),"-")</f>
        <v>Jaket Jeans</v>
      </c>
      <c r="U704" t="str">
        <f>IFERROR(VLOOKUP(S704,Katalog!$A$15:$B$25,2,0),"-")</f>
        <v>Pakaian Pria</v>
      </c>
      <c r="V704" t="str">
        <f t="shared" si="370"/>
        <v>3</v>
      </c>
      <c r="W704" s="28" t="str">
        <f t="shared" si="371"/>
        <v>5</v>
      </c>
      <c r="X704" s="18">
        <f>IFERROR(VLOOKUP(S704,Katalog!$C$3:$F$13,2,0),0)</f>
        <v>150000</v>
      </c>
      <c r="Y704" s="30">
        <f>IFERROR(VLOOKUP(S704,Katalog!$C$3:$F$13,3,0),0)</f>
        <v>70000</v>
      </c>
      <c r="Z704" s="2">
        <f t="shared" si="372"/>
        <v>7</v>
      </c>
      <c r="AA704" s="4">
        <f t="shared" si="373"/>
        <v>1130000</v>
      </c>
      <c r="AB704" s="4">
        <f t="shared" si="374"/>
        <v>540000</v>
      </c>
      <c r="AC704" s="4" t="s">
        <v>30</v>
      </c>
      <c r="AD704" s="16">
        <f>IFERROR(VLOOKUP(AC704,'Kode Diskon'!$C$2:$D$9,2,0),0)</f>
        <v>0.1</v>
      </c>
      <c r="AE704" s="31">
        <f t="shared" si="375"/>
        <v>113000</v>
      </c>
      <c r="AF704" s="31">
        <f t="shared" si="376"/>
        <v>1017000</v>
      </c>
      <c r="AG704" s="31">
        <f t="shared" si="377"/>
        <v>590000</v>
      </c>
      <c r="AH704" s="31">
        <f t="shared" si="378"/>
        <v>477000</v>
      </c>
      <c r="AI704" s="4" t="s">
        <v>8</v>
      </c>
      <c r="AJ704" s="4" t="s">
        <v>9</v>
      </c>
      <c r="AK704" s="4" t="str">
        <f>IFERROR(VLOOKUP(AJ704,'Guide '!$A$13:$B$16,2,0),"-")</f>
        <v>TK</v>
      </c>
      <c r="AL704" s="4" t="s">
        <v>1006</v>
      </c>
      <c r="AM704" s="40">
        <v>45544</v>
      </c>
      <c r="AN704">
        <f t="shared" si="379"/>
        <v>29</v>
      </c>
      <c r="AO704">
        <f t="shared" si="380"/>
        <v>32</v>
      </c>
      <c r="AP704">
        <f t="shared" si="381"/>
        <v>40</v>
      </c>
      <c r="AQ704">
        <f t="shared" si="382"/>
        <v>43</v>
      </c>
      <c r="AR704" s="26">
        <f t="shared" si="383"/>
        <v>56</v>
      </c>
      <c r="AS704" s="26">
        <f t="shared" si="384"/>
        <v>63</v>
      </c>
      <c r="AT704" s="21">
        <f t="shared" si="385"/>
        <v>12</v>
      </c>
      <c r="AU704" s="21">
        <f t="shared" si="386"/>
        <v>19</v>
      </c>
      <c r="AV704">
        <f t="shared" si="387"/>
        <v>73</v>
      </c>
      <c r="AW704">
        <f t="shared" si="388"/>
        <v>76</v>
      </c>
      <c r="AX704">
        <f t="shared" si="389"/>
        <v>84</v>
      </c>
      <c r="AY704">
        <f t="shared" si="390"/>
        <v>87</v>
      </c>
      <c r="AZ704">
        <f t="shared" si="391"/>
        <v>100</v>
      </c>
      <c r="BA704">
        <f t="shared" si="392"/>
        <v>107</v>
      </c>
      <c r="BB704">
        <f t="shared" si="393"/>
        <v>117</v>
      </c>
      <c r="BC704">
        <f t="shared" si="394"/>
        <v>120</v>
      </c>
      <c r="BD704" s="29">
        <f t="shared" si="395"/>
        <v>128</v>
      </c>
      <c r="BE704" s="29">
        <f t="shared" si="396"/>
        <v>131</v>
      </c>
    </row>
    <row r="705" spans="1:57" ht="15" x14ac:dyDescent="0.2">
      <c r="A705" s="2">
        <v>191</v>
      </c>
      <c r="B705" s="2" t="str">
        <f t="shared" si="361"/>
        <v>0191</v>
      </c>
      <c r="C705" t="str">
        <f t="shared" si="362"/>
        <v>ORD-TK-0191-10/09/24</v>
      </c>
      <c r="D705" s="3" t="s">
        <v>260</v>
      </c>
      <c r="E705" t="str">
        <f t="shared" si="363"/>
        <v>PP001</v>
      </c>
      <c r="F705" t="str">
        <f>INDEX(Katalog!$B$4:$B$13,MATCH('Main Data'!E705,Katalog!$C$4:$C$13,0))</f>
        <v>Kaos Polo</v>
      </c>
      <c r="G705" t="str">
        <f>VLOOKUP(E705,Katalog!$A$15:$B$25,2,0)</f>
        <v>Pakaian Pria</v>
      </c>
      <c r="H705" t="str">
        <f t="shared" si="364"/>
        <v>3</v>
      </c>
      <c r="I705" t="str">
        <f t="shared" si="365"/>
        <v>2</v>
      </c>
      <c r="J705" s="18">
        <f>VLOOKUP(E705,Katalog!$C$3:$F$13,2,0)</f>
        <v>80000</v>
      </c>
      <c r="K705" s="18">
        <f>VLOOKUP(E705,Katalog!$C$3:$F$13,3,0)</f>
        <v>30000</v>
      </c>
      <c r="L705" t="str">
        <f t="shared" si="366"/>
        <v>PW003</v>
      </c>
      <c r="M705" t="str">
        <f>IFERROR(INDEX(Katalog!$B$4:$B$13,MATCH('Main Data'!L705,Katalog!$C$4:$C$13,0)), "-")</f>
        <v>Kaftan</v>
      </c>
      <c r="N705" t="str">
        <f>IFERROR(VLOOKUP(L705,Katalog!$A$15:$B$25,2,0),"-")</f>
        <v>Pakaian Wanita</v>
      </c>
      <c r="O705" t="str">
        <f t="shared" si="367"/>
        <v>2</v>
      </c>
      <c r="P705" t="str">
        <f t="shared" si="368"/>
        <v>5</v>
      </c>
      <c r="Q705" s="18">
        <f>IFERROR(VLOOKUP(L705,Katalog!$C$3:$F$13,2,0),0)</f>
        <v>200000</v>
      </c>
      <c r="R705" s="18">
        <f>IFERROR(VLOOKUP(L705,Katalog!$C$3:$F$13,3,0),0)</f>
        <v>100000</v>
      </c>
      <c r="S705" t="str">
        <f t="shared" si="369"/>
        <v>PW001</v>
      </c>
      <c r="T705" t="str">
        <f>IFERROR(INDEX(Katalog!$B$4:$B$13,MATCH('Main Data'!S705,Katalog!$C$4:$C$13,0)),"-")</f>
        <v>Dress</v>
      </c>
      <c r="U705" t="str">
        <f>IFERROR(VLOOKUP(S705,Katalog!$A$15:$B$25,2,0),"-")</f>
        <v>Pakaian Wanita</v>
      </c>
      <c r="V705" t="str">
        <f t="shared" si="370"/>
        <v>1</v>
      </c>
      <c r="W705" s="28" t="str">
        <f t="shared" si="371"/>
        <v>1</v>
      </c>
      <c r="X705" s="18">
        <f>IFERROR(VLOOKUP(S705,Katalog!$C$3:$F$13,2,0),0)</f>
        <v>150000</v>
      </c>
      <c r="Y705" s="30">
        <f>IFERROR(VLOOKUP(S705,Katalog!$C$3:$F$13,3,0),0)</f>
        <v>55000</v>
      </c>
      <c r="Z705" s="2">
        <f t="shared" si="372"/>
        <v>6</v>
      </c>
      <c r="AA705" s="4">
        <f t="shared" si="373"/>
        <v>790000</v>
      </c>
      <c r="AB705" s="4">
        <f t="shared" si="374"/>
        <v>345000</v>
      </c>
      <c r="AC705" s="4" t="s">
        <v>30</v>
      </c>
      <c r="AD705" s="16">
        <f>IFERROR(VLOOKUP(AC705,'Kode Diskon'!$C$2:$D$9,2,0),0)</f>
        <v>0.1</v>
      </c>
      <c r="AE705" s="31">
        <f t="shared" si="375"/>
        <v>79000</v>
      </c>
      <c r="AF705" s="31">
        <f t="shared" si="376"/>
        <v>711000</v>
      </c>
      <c r="AG705" s="31">
        <f t="shared" si="377"/>
        <v>445000</v>
      </c>
      <c r="AH705" s="31">
        <f t="shared" si="378"/>
        <v>366000</v>
      </c>
      <c r="AI705" s="4" t="s">
        <v>8</v>
      </c>
      <c r="AJ705" s="4" t="s">
        <v>9</v>
      </c>
      <c r="AK705" s="4" t="str">
        <f>IFERROR(VLOOKUP(AJ705,'Guide '!$A$13:$B$16,2,0),"-")</f>
        <v>TK</v>
      </c>
      <c r="AL705" s="4" t="s">
        <v>925</v>
      </c>
      <c r="AM705" s="40">
        <v>45545</v>
      </c>
      <c r="AN705">
        <f t="shared" si="379"/>
        <v>29</v>
      </c>
      <c r="AO705">
        <f t="shared" si="380"/>
        <v>32</v>
      </c>
      <c r="AP705">
        <f t="shared" si="381"/>
        <v>40</v>
      </c>
      <c r="AQ705">
        <f t="shared" si="382"/>
        <v>43</v>
      </c>
      <c r="AR705" s="26">
        <f t="shared" si="383"/>
        <v>56</v>
      </c>
      <c r="AS705" s="26">
        <f t="shared" si="384"/>
        <v>63</v>
      </c>
      <c r="AT705" s="21">
        <f t="shared" si="385"/>
        <v>12</v>
      </c>
      <c r="AU705" s="21">
        <f t="shared" si="386"/>
        <v>19</v>
      </c>
      <c r="AV705">
        <f t="shared" si="387"/>
        <v>73</v>
      </c>
      <c r="AW705">
        <f t="shared" si="388"/>
        <v>76</v>
      </c>
      <c r="AX705">
        <f t="shared" si="389"/>
        <v>84</v>
      </c>
      <c r="AY705">
        <f t="shared" si="390"/>
        <v>87</v>
      </c>
      <c r="AZ705">
        <f t="shared" si="391"/>
        <v>100</v>
      </c>
      <c r="BA705">
        <f t="shared" si="392"/>
        <v>107</v>
      </c>
      <c r="BB705">
        <f t="shared" si="393"/>
        <v>117</v>
      </c>
      <c r="BC705">
        <f t="shared" si="394"/>
        <v>120</v>
      </c>
      <c r="BD705" s="29">
        <f t="shared" si="395"/>
        <v>128</v>
      </c>
      <c r="BE705" s="29">
        <f t="shared" si="396"/>
        <v>131</v>
      </c>
    </row>
    <row r="706" spans="1:57" ht="15" x14ac:dyDescent="0.2">
      <c r="A706" s="2">
        <v>225</v>
      </c>
      <c r="B706" s="2" t="str">
        <f t="shared" si="361"/>
        <v>0225</v>
      </c>
      <c r="C706" t="str">
        <f t="shared" si="362"/>
        <v>ORD-SP-0225-10/09/24</v>
      </c>
      <c r="D706" s="3" t="s">
        <v>267</v>
      </c>
      <c r="E706" t="str">
        <f t="shared" si="363"/>
        <v>PW002</v>
      </c>
      <c r="F706" t="str">
        <f>INDEX(Katalog!$B$4:$B$13,MATCH('Main Data'!E706,Katalog!$C$4:$C$13,0))</f>
        <v>Blouse</v>
      </c>
      <c r="G706" t="str">
        <f>VLOOKUP(E706,Katalog!$A$15:$B$25,2,0)</f>
        <v>Pakaian Wanita</v>
      </c>
      <c r="H706" t="str">
        <f t="shared" si="364"/>
        <v>2</v>
      </c>
      <c r="I706" t="str">
        <f t="shared" si="365"/>
        <v>1</v>
      </c>
      <c r="J706" s="18">
        <f>VLOOKUP(E706,Katalog!$C$3:$F$13,2,0)</f>
        <v>125000</v>
      </c>
      <c r="K706" s="18">
        <f>VLOOKUP(E706,Katalog!$C$3:$F$13,3,0)</f>
        <v>50000</v>
      </c>
      <c r="L706" t="str">
        <f t="shared" si="366"/>
        <v>-</v>
      </c>
      <c r="M706" t="str">
        <f>IFERROR(INDEX(Katalog!$B$4:$B$13,MATCH('Main Data'!L706,Katalog!$C$4:$C$13,0)), "-")</f>
        <v>-</v>
      </c>
      <c r="N706" t="str">
        <f>IFERROR(VLOOKUP(L706,Katalog!$A$15:$B$25,2,0),"-")</f>
        <v>-</v>
      </c>
      <c r="O706">
        <f t="shared" si="367"/>
        <v>0</v>
      </c>
      <c r="P706" t="str">
        <f t="shared" si="368"/>
        <v>-</v>
      </c>
      <c r="Q706" s="18">
        <f>IFERROR(VLOOKUP(L706,Katalog!$C$3:$F$13,2,0),0)</f>
        <v>0</v>
      </c>
      <c r="R706" s="18">
        <f>IFERROR(VLOOKUP(L706,Katalog!$C$3:$F$13,3,0),0)</f>
        <v>0</v>
      </c>
      <c r="S706" t="str">
        <f t="shared" si="369"/>
        <v>-</v>
      </c>
      <c r="T706" t="str">
        <f>IFERROR(INDEX(Katalog!$B$4:$B$13,MATCH('Main Data'!S706,Katalog!$C$4:$C$13,0)),"-")</f>
        <v>-</v>
      </c>
      <c r="U706" t="str">
        <f>IFERROR(VLOOKUP(S706,Katalog!$A$15:$B$25,2,0),"-")</f>
        <v>-</v>
      </c>
      <c r="V706">
        <f t="shared" si="370"/>
        <v>0</v>
      </c>
      <c r="W706" s="28" t="str">
        <f t="shared" si="371"/>
        <v>-</v>
      </c>
      <c r="X706" s="18">
        <f>IFERROR(VLOOKUP(S706,Katalog!$C$3:$F$13,2,0),0)</f>
        <v>0</v>
      </c>
      <c r="Y706" s="30">
        <f>IFERROR(VLOOKUP(S706,Katalog!$C$3:$F$13,3,0),0)</f>
        <v>0</v>
      </c>
      <c r="Z706" s="2">
        <f t="shared" si="372"/>
        <v>2</v>
      </c>
      <c r="AA706" s="4">
        <f t="shared" si="373"/>
        <v>250000</v>
      </c>
      <c r="AB706" s="4">
        <f t="shared" si="374"/>
        <v>100000</v>
      </c>
      <c r="AC706" s="4" t="s">
        <v>7</v>
      </c>
      <c r="AD706" s="16">
        <f>IFERROR(VLOOKUP(AC706,'Kode Diskon'!$C$2:$D$9,2,0),0)</f>
        <v>0.2</v>
      </c>
      <c r="AE706" s="31">
        <f t="shared" si="375"/>
        <v>50000</v>
      </c>
      <c r="AF706" s="31">
        <f t="shared" si="376"/>
        <v>200000</v>
      </c>
      <c r="AG706" s="31">
        <f t="shared" si="377"/>
        <v>150000</v>
      </c>
      <c r="AH706" s="31">
        <f t="shared" si="378"/>
        <v>100000</v>
      </c>
      <c r="AI706" s="4" t="s">
        <v>8</v>
      </c>
      <c r="AJ706" s="4" t="s">
        <v>6</v>
      </c>
      <c r="AK706" s="4" t="str">
        <f>IFERROR(VLOOKUP(AJ706,'Guide '!$A$13:$B$16,2,0),"-")</f>
        <v>SP</v>
      </c>
      <c r="AL706" s="4" t="s">
        <v>1006</v>
      </c>
      <c r="AM706" s="40">
        <v>45545</v>
      </c>
      <c r="AN706">
        <f t="shared" si="379"/>
        <v>29</v>
      </c>
      <c r="AO706">
        <f t="shared" si="380"/>
        <v>32</v>
      </c>
      <c r="AP706">
        <f t="shared" si="381"/>
        <v>40</v>
      </c>
      <c r="AQ706">
        <f t="shared" si="382"/>
        <v>43</v>
      </c>
      <c r="AR706" s="26" t="str">
        <f t="shared" si="383"/>
        <v>-</v>
      </c>
      <c r="AS706" s="26" t="str">
        <f t="shared" si="384"/>
        <v>-</v>
      </c>
      <c r="AT706" s="21">
        <f t="shared" si="385"/>
        <v>12</v>
      </c>
      <c r="AU706" s="21">
        <f t="shared" si="386"/>
        <v>19</v>
      </c>
      <c r="AV706" t="str">
        <f t="shared" si="387"/>
        <v>-</v>
      </c>
      <c r="AW706" t="str">
        <f t="shared" si="388"/>
        <v>-</v>
      </c>
      <c r="AX706" t="str">
        <f t="shared" si="389"/>
        <v>-</v>
      </c>
      <c r="AY706" t="str">
        <f t="shared" si="390"/>
        <v>-</v>
      </c>
      <c r="AZ706" t="str">
        <f t="shared" si="391"/>
        <v>-</v>
      </c>
      <c r="BA706" t="str">
        <f t="shared" si="392"/>
        <v>-</v>
      </c>
      <c r="BB706" t="str">
        <f t="shared" si="393"/>
        <v>-</v>
      </c>
      <c r="BC706" t="str">
        <f t="shared" si="394"/>
        <v>-</v>
      </c>
      <c r="BD706" s="29" t="str">
        <f t="shared" si="395"/>
        <v>-</v>
      </c>
      <c r="BE706" s="29" t="str">
        <f t="shared" si="396"/>
        <v>-</v>
      </c>
    </row>
    <row r="707" spans="1:57" ht="15" x14ac:dyDescent="0.2">
      <c r="A707" s="2">
        <v>231</v>
      </c>
      <c r="B707" s="2" t="str">
        <f t="shared" ref="B707:B770" si="397">TEXT(A707,"0000")</f>
        <v>0231</v>
      </c>
      <c r="C707" t="str">
        <f t="shared" ref="C707:C770" si="398">CONCATENATE("ORD","-",AK707,"-",B707,"-",TEXT(AM707,"dd/mm/yy"))</f>
        <v>ORD-SP-0231-10/09/24</v>
      </c>
      <c r="D707" s="3" t="s">
        <v>297</v>
      </c>
      <c r="E707" t="str">
        <f t="shared" ref="E707:E770" si="399">MID(D707,AT707+2,AU707-AT707-2)</f>
        <v>PP002</v>
      </c>
      <c r="F707" t="str">
        <f>INDEX(Katalog!$B$4:$B$13,MATCH('Main Data'!E707,Katalog!$C$4:$C$13,0))</f>
        <v>Celana Pendek</v>
      </c>
      <c r="G707" t="str">
        <f>VLOOKUP(E707,Katalog!$A$15:$B$25,2,0)</f>
        <v>Pakaian Pria</v>
      </c>
      <c r="H707" t="str">
        <f t="shared" ref="H707:H770" si="400">MID(D707,AN707+2,AO707-AN707-2)</f>
        <v>2</v>
      </c>
      <c r="I707" t="str">
        <f t="shared" ref="I707:I770" si="401">MID(D707,AP707+2,AQ707-AP707-2)</f>
        <v>3</v>
      </c>
      <c r="J707" s="18">
        <f>VLOOKUP(E707,Katalog!$C$3:$F$13,2,0)</f>
        <v>60000</v>
      </c>
      <c r="K707" s="18">
        <f>VLOOKUP(E707,Katalog!$C$3:$F$13,3,0)</f>
        <v>25000</v>
      </c>
      <c r="L707" t="str">
        <f t="shared" ref="L707:L770" si="402">IFERROR(MID(D707,AR707+2,AS707-AR707-2),"-")</f>
        <v>SW001</v>
      </c>
      <c r="M707" t="str">
        <f>IFERROR(INDEX(Katalog!$B$4:$B$13,MATCH('Main Data'!L707,Katalog!$C$4:$C$13,0)), "-")</f>
        <v>Flat Shoes</v>
      </c>
      <c r="N707" t="str">
        <f>IFERROR(VLOOKUP(L707,Katalog!$A$15:$B$25,2,0),"-")</f>
        <v>Sepatu Wanita</v>
      </c>
      <c r="O707" t="str">
        <f t="shared" ref="O707:O770" si="403">IFERROR(MID(D707,AV707+2,AW707-AV707-2),0)</f>
        <v>2</v>
      </c>
      <c r="P707" t="str">
        <f t="shared" ref="P707:P770" si="404">IFERROR(MID(D707,AX707+2,AY707-AX707-2),"-")</f>
        <v>4</v>
      </c>
      <c r="Q707" s="18">
        <f>IFERROR(VLOOKUP(L707,Katalog!$C$3:$F$13,2,0),0)</f>
        <v>150000</v>
      </c>
      <c r="R707" s="18">
        <f>IFERROR(VLOOKUP(L707,Katalog!$C$3:$F$13,3,0),0)</f>
        <v>70000</v>
      </c>
      <c r="S707" t="str">
        <f t="shared" ref="S707:S770" si="405">IFERROR(MID(D707,AZ707+2,BA707-AZ707-2),"-")</f>
        <v>PP002</v>
      </c>
      <c r="T707" t="str">
        <f>IFERROR(INDEX(Katalog!$B$4:$B$13,MATCH('Main Data'!S707,Katalog!$C$4:$C$13,0)),"-")</f>
        <v>Celana Pendek</v>
      </c>
      <c r="U707" t="str">
        <f>IFERROR(VLOOKUP(S707,Katalog!$A$15:$B$25,2,0),"-")</f>
        <v>Pakaian Pria</v>
      </c>
      <c r="V707" t="str">
        <f t="shared" ref="V707:V770" si="406">IFERROR(MID(D707,BB707+2,BC707-BB707-2),0)</f>
        <v>1</v>
      </c>
      <c r="W707" s="28" t="str">
        <f t="shared" ref="W707:W770" si="407">IFERROR(MID(D707,BD707+2,BE707-BD707-2),"-")</f>
        <v>1</v>
      </c>
      <c r="X707" s="18">
        <f>IFERROR(VLOOKUP(S707,Katalog!$C$3:$F$13,2,0),0)</f>
        <v>60000</v>
      </c>
      <c r="Y707" s="30">
        <f>IFERROR(VLOOKUP(S707,Katalog!$C$3:$F$13,3,0),0)</f>
        <v>25000</v>
      </c>
      <c r="Z707" s="2">
        <f t="shared" ref="Z707:Z770" si="408">H707+O707+V707</f>
        <v>5</v>
      </c>
      <c r="AA707" s="4">
        <f t="shared" ref="AA707:AA770" si="409">J707*H707+Q707*O707+X707*V707</f>
        <v>480000</v>
      </c>
      <c r="AB707" s="4">
        <f t="shared" ref="AB707:AB770" si="410">K707*H707+R707*O707+Y707*V707</f>
        <v>215000</v>
      </c>
      <c r="AC707" s="4" t="s">
        <v>12</v>
      </c>
      <c r="AD707" s="16">
        <f>IFERROR(VLOOKUP(AC707,'Kode Diskon'!$C$2:$D$9,2,0),0)</f>
        <v>0.15</v>
      </c>
      <c r="AE707" s="31">
        <f t="shared" ref="AE707:AE770" si="411">AA707*AD707</f>
        <v>72000</v>
      </c>
      <c r="AF707" s="31">
        <f t="shared" ref="AF707:AF770" si="412">AA707-AE707</f>
        <v>408000</v>
      </c>
      <c r="AG707" s="31">
        <f t="shared" ref="AG707:AG770" si="413">AA707-AB707</f>
        <v>265000</v>
      </c>
      <c r="AH707" s="31">
        <f t="shared" ref="AH707:AH770" si="414">AF707-AB707</f>
        <v>193000</v>
      </c>
      <c r="AI707" s="4" t="s">
        <v>28</v>
      </c>
      <c r="AJ707" s="4" t="s">
        <v>6</v>
      </c>
      <c r="AK707" s="4" t="str">
        <f>IFERROR(VLOOKUP(AJ707,'Guide '!$A$13:$B$16,2,0),"-")</f>
        <v>SP</v>
      </c>
      <c r="AL707" s="4" t="s">
        <v>925</v>
      </c>
      <c r="AM707" s="40">
        <v>45545</v>
      </c>
      <c r="AN707">
        <f t="shared" ref="AN707:AN770" si="415">FIND(":",D707,AT707+1)</f>
        <v>29</v>
      </c>
      <c r="AO707">
        <f t="shared" ref="AO707:AO770" si="416">FIND(",",D707,AU707+1)</f>
        <v>32</v>
      </c>
      <c r="AP707">
        <f t="shared" ref="AP707:AP770" si="417">FIND(":",D707,AN707+1)</f>
        <v>40</v>
      </c>
      <c r="AQ707">
        <f t="shared" ref="AQ707:AQ770" si="418">FIND("}",D707,AO707+1)</f>
        <v>43</v>
      </c>
      <c r="AR707" s="26">
        <f t="shared" ref="AR707:AR770" si="419">IFERROR(FIND(":",D707,AP707+1),"-")</f>
        <v>56</v>
      </c>
      <c r="AS707" s="26">
        <f t="shared" ref="AS707:AS770" si="420">IFERROR(FIND(",",D707,AQ707+2),"-")</f>
        <v>63</v>
      </c>
      <c r="AT707" s="21">
        <f t="shared" ref="AT707:AT770" si="421">FIND(":",D707)</f>
        <v>12</v>
      </c>
      <c r="AU707" s="21">
        <f t="shared" ref="AU707:AU770" si="422">FIND(",",D707)</f>
        <v>19</v>
      </c>
      <c r="AV707">
        <f t="shared" ref="AV707:AV770" si="423">IFERROR(FIND(":",D707,AR707+1),"-")</f>
        <v>73</v>
      </c>
      <c r="AW707">
        <f t="shared" ref="AW707:AW770" si="424">IFERROR(FIND(",",D707,AS707+1),"-")</f>
        <v>76</v>
      </c>
      <c r="AX707">
        <f t="shared" ref="AX707:AX770" si="425">IFERROR(FIND(":",D707,AV707+1),"-")</f>
        <v>84</v>
      </c>
      <c r="AY707">
        <f t="shared" ref="AY707:AY770" si="426">IFERROR(FIND("}",D707,AW707+1),"-")</f>
        <v>87</v>
      </c>
      <c r="AZ707">
        <f t="shared" ref="AZ707:AZ770" si="427">IFERROR(FIND(":",D707,AX707+1),"-")</f>
        <v>100</v>
      </c>
      <c r="BA707">
        <f t="shared" ref="BA707:BA770" si="428">IFERROR(FIND(",",D707,AY707+2),"-")</f>
        <v>107</v>
      </c>
      <c r="BB707">
        <f t="shared" ref="BB707:BB770" si="429">IFERROR(FIND(":",D707,AZ707+1),"-")</f>
        <v>117</v>
      </c>
      <c r="BC707">
        <f t="shared" ref="BC707:BC770" si="430">IFERROR(FIND(",",D707,BA707+1),"-")</f>
        <v>120</v>
      </c>
      <c r="BD707" s="29">
        <f t="shared" ref="BD707:BD770" si="431">IFERROR(FIND(":",D707,BB707+1),"-")</f>
        <v>128</v>
      </c>
      <c r="BE707" s="29">
        <f t="shared" ref="BE707:BE770" si="432">IFERROR(FIND("}",D707,BC707+1),"-")</f>
        <v>131</v>
      </c>
    </row>
    <row r="708" spans="1:57" ht="15" x14ac:dyDescent="0.2">
      <c r="A708" s="2">
        <v>399</v>
      </c>
      <c r="B708" s="2" t="str">
        <f t="shared" si="397"/>
        <v>0399</v>
      </c>
      <c r="C708" t="str">
        <f t="shared" si="398"/>
        <v>ORD-BL-0399-10/09/24</v>
      </c>
      <c r="D708" s="3" t="s">
        <v>339</v>
      </c>
      <c r="E708" t="str">
        <f t="shared" si="399"/>
        <v>SP002</v>
      </c>
      <c r="F708" t="str">
        <f>INDEX(Katalog!$B$4:$B$13,MATCH('Main Data'!E708,Katalog!$C$4:$C$13,0))</f>
        <v>Sandal Slip On</v>
      </c>
      <c r="G708" t="str">
        <f>VLOOKUP(E708,Katalog!$A$15:$B$25,2,0)</f>
        <v>Sepatu Pria</v>
      </c>
      <c r="H708" t="str">
        <f t="shared" si="400"/>
        <v>1</v>
      </c>
      <c r="I708" t="str">
        <f t="shared" si="401"/>
        <v>2</v>
      </c>
      <c r="J708" s="18">
        <f>VLOOKUP(E708,Katalog!$C$3:$F$13,2,0)</f>
        <v>120000</v>
      </c>
      <c r="K708" s="18">
        <f>VLOOKUP(E708,Katalog!$C$3:$F$13,3,0)</f>
        <v>60000</v>
      </c>
      <c r="L708" t="str">
        <f t="shared" si="402"/>
        <v>-</v>
      </c>
      <c r="M708" t="str">
        <f>IFERROR(INDEX(Katalog!$B$4:$B$13,MATCH('Main Data'!L708,Katalog!$C$4:$C$13,0)), "-")</f>
        <v>-</v>
      </c>
      <c r="N708" t="str">
        <f>IFERROR(VLOOKUP(L708,Katalog!$A$15:$B$25,2,0),"-")</f>
        <v>-</v>
      </c>
      <c r="O708">
        <f t="shared" si="403"/>
        <v>0</v>
      </c>
      <c r="P708" t="str">
        <f t="shared" si="404"/>
        <v>-</v>
      </c>
      <c r="Q708" s="18">
        <f>IFERROR(VLOOKUP(L708,Katalog!$C$3:$F$13,2,0),0)</f>
        <v>0</v>
      </c>
      <c r="R708" s="18">
        <f>IFERROR(VLOOKUP(L708,Katalog!$C$3:$F$13,3,0),0)</f>
        <v>0</v>
      </c>
      <c r="S708" t="str">
        <f t="shared" si="405"/>
        <v>-</v>
      </c>
      <c r="T708" t="str">
        <f>IFERROR(INDEX(Katalog!$B$4:$B$13,MATCH('Main Data'!S708,Katalog!$C$4:$C$13,0)),"-")</f>
        <v>-</v>
      </c>
      <c r="U708" t="str">
        <f>IFERROR(VLOOKUP(S708,Katalog!$A$15:$B$25,2,0),"-")</f>
        <v>-</v>
      </c>
      <c r="V708">
        <f t="shared" si="406"/>
        <v>0</v>
      </c>
      <c r="W708" s="28" t="str">
        <f t="shared" si="407"/>
        <v>-</v>
      </c>
      <c r="X708" s="18">
        <f>IFERROR(VLOOKUP(S708,Katalog!$C$3:$F$13,2,0),0)</f>
        <v>0</v>
      </c>
      <c r="Y708" s="30">
        <f>IFERROR(VLOOKUP(S708,Katalog!$C$3:$F$13,3,0),0)</f>
        <v>0</v>
      </c>
      <c r="Z708" s="2">
        <f t="shared" si="408"/>
        <v>1</v>
      </c>
      <c r="AA708" s="4">
        <f t="shared" si="409"/>
        <v>120000</v>
      </c>
      <c r="AB708" s="4">
        <f t="shared" si="410"/>
        <v>60000</v>
      </c>
      <c r="AC708" s="4" t="s">
        <v>31</v>
      </c>
      <c r="AD708" s="16">
        <f>IFERROR(VLOOKUP(AC708,'Kode Diskon'!$C$2:$D$9,2,0),0)</f>
        <v>0.15</v>
      </c>
      <c r="AE708" s="31">
        <f t="shared" si="411"/>
        <v>18000</v>
      </c>
      <c r="AF708" s="31">
        <f t="shared" si="412"/>
        <v>102000</v>
      </c>
      <c r="AG708" s="31">
        <f t="shared" si="413"/>
        <v>60000</v>
      </c>
      <c r="AH708" s="31">
        <f t="shared" si="414"/>
        <v>42000</v>
      </c>
      <c r="AI708" s="4" t="s">
        <v>8</v>
      </c>
      <c r="AJ708" s="4" t="s">
        <v>11</v>
      </c>
      <c r="AK708" s="4" t="str">
        <f>IFERROR(VLOOKUP(AJ708,'Guide '!$A$13:$B$16,2,0),"-")</f>
        <v>BL</v>
      </c>
      <c r="AL708" s="4" t="s">
        <v>1006</v>
      </c>
      <c r="AM708" s="40">
        <v>45545</v>
      </c>
      <c r="AN708">
        <f t="shared" si="415"/>
        <v>29</v>
      </c>
      <c r="AO708">
        <f t="shared" si="416"/>
        <v>32</v>
      </c>
      <c r="AP708">
        <f t="shared" si="417"/>
        <v>40</v>
      </c>
      <c r="AQ708">
        <f t="shared" si="418"/>
        <v>43</v>
      </c>
      <c r="AR708" s="26" t="str">
        <f t="shared" si="419"/>
        <v>-</v>
      </c>
      <c r="AS708" s="26" t="str">
        <f t="shared" si="420"/>
        <v>-</v>
      </c>
      <c r="AT708" s="21">
        <f t="shared" si="421"/>
        <v>12</v>
      </c>
      <c r="AU708" s="21">
        <f t="shared" si="422"/>
        <v>19</v>
      </c>
      <c r="AV708" t="str">
        <f t="shared" si="423"/>
        <v>-</v>
      </c>
      <c r="AW708" t="str">
        <f t="shared" si="424"/>
        <v>-</v>
      </c>
      <c r="AX708" t="str">
        <f t="shared" si="425"/>
        <v>-</v>
      </c>
      <c r="AY708" t="str">
        <f t="shared" si="426"/>
        <v>-</v>
      </c>
      <c r="AZ708" t="str">
        <f t="shared" si="427"/>
        <v>-</v>
      </c>
      <c r="BA708" t="str">
        <f t="shared" si="428"/>
        <v>-</v>
      </c>
      <c r="BB708" t="str">
        <f t="shared" si="429"/>
        <v>-</v>
      </c>
      <c r="BC708" t="str">
        <f t="shared" si="430"/>
        <v>-</v>
      </c>
      <c r="BD708" s="29" t="str">
        <f t="shared" si="431"/>
        <v>-</v>
      </c>
      <c r="BE708" s="29" t="str">
        <f t="shared" si="432"/>
        <v>-</v>
      </c>
    </row>
    <row r="709" spans="1:57" ht="15" x14ac:dyDescent="0.2">
      <c r="A709" s="2">
        <v>299</v>
      </c>
      <c r="B709" s="2" t="str">
        <f t="shared" si="397"/>
        <v>0299</v>
      </c>
      <c r="C709" t="str">
        <f t="shared" si="398"/>
        <v>ORD-TK-0299-11/09/24</v>
      </c>
      <c r="D709" s="3" t="s">
        <v>355</v>
      </c>
      <c r="E709" t="str">
        <f t="shared" si="399"/>
        <v>PW002</v>
      </c>
      <c r="F709" t="str">
        <f>INDEX(Katalog!$B$4:$B$13,MATCH('Main Data'!E709,Katalog!$C$4:$C$13,0))</f>
        <v>Blouse</v>
      </c>
      <c r="G709" t="str">
        <f>VLOOKUP(E709,Katalog!$A$15:$B$25,2,0)</f>
        <v>Pakaian Wanita</v>
      </c>
      <c r="H709" t="str">
        <f t="shared" si="400"/>
        <v>2</v>
      </c>
      <c r="I709" t="str">
        <f t="shared" si="401"/>
        <v>4</v>
      </c>
      <c r="J709" s="18">
        <f>VLOOKUP(E709,Katalog!$C$3:$F$13,2,0)</f>
        <v>125000</v>
      </c>
      <c r="K709" s="18">
        <f>VLOOKUP(E709,Katalog!$C$3:$F$13,3,0)</f>
        <v>50000</v>
      </c>
      <c r="L709" t="str">
        <f t="shared" si="402"/>
        <v>PP001</v>
      </c>
      <c r="M709" t="str">
        <f>IFERROR(INDEX(Katalog!$B$4:$B$13,MATCH('Main Data'!L709,Katalog!$C$4:$C$13,0)), "-")</f>
        <v>Kaos Polo</v>
      </c>
      <c r="N709" t="str">
        <f>IFERROR(VLOOKUP(L709,Katalog!$A$15:$B$25,2,0),"-")</f>
        <v>Pakaian Pria</v>
      </c>
      <c r="O709" t="str">
        <f t="shared" si="403"/>
        <v>4</v>
      </c>
      <c r="P709" t="str">
        <f t="shared" si="404"/>
        <v>3</v>
      </c>
      <c r="Q709" s="18">
        <f>IFERROR(VLOOKUP(L709,Katalog!$C$3:$F$13,2,0),0)</f>
        <v>80000</v>
      </c>
      <c r="R709" s="18">
        <f>IFERROR(VLOOKUP(L709,Katalog!$C$3:$F$13,3,0),0)</f>
        <v>30000</v>
      </c>
      <c r="S709" t="str">
        <f t="shared" si="405"/>
        <v>-</v>
      </c>
      <c r="T709" t="str">
        <f>IFERROR(INDEX(Katalog!$B$4:$B$13,MATCH('Main Data'!S709,Katalog!$C$4:$C$13,0)),"-")</f>
        <v>-</v>
      </c>
      <c r="U709" t="str">
        <f>IFERROR(VLOOKUP(S709,Katalog!$A$15:$B$25,2,0),"-")</f>
        <v>-</v>
      </c>
      <c r="V709">
        <f t="shared" si="406"/>
        <v>0</v>
      </c>
      <c r="W709" s="28" t="str">
        <f t="shared" si="407"/>
        <v>-</v>
      </c>
      <c r="X709" s="18">
        <f>IFERROR(VLOOKUP(S709,Katalog!$C$3:$F$13,2,0),0)</f>
        <v>0</v>
      </c>
      <c r="Y709" s="30">
        <f>IFERROR(VLOOKUP(S709,Katalog!$C$3:$F$13,3,0),0)</f>
        <v>0</v>
      </c>
      <c r="Z709" s="2">
        <f t="shared" si="408"/>
        <v>6</v>
      </c>
      <c r="AA709" s="4">
        <f t="shared" si="409"/>
        <v>570000</v>
      </c>
      <c r="AB709" s="4">
        <f t="shared" si="410"/>
        <v>220000</v>
      </c>
      <c r="AC709" s="4" t="s">
        <v>30</v>
      </c>
      <c r="AD709" s="16">
        <f>IFERROR(VLOOKUP(AC709,'Kode Diskon'!$C$2:$D$9,2,0),0)</f>
        <v>0.1</v>
      </c>
      <c r="AE709" s="31">
        <f t="shared" si="411"/>
        <v>57000</v>
      </c>
      <c r="AF709" s="31">
        <f t="shared" si="412"/>
        <v>513000</v>
      </c>
      <c r="AG709" s="31">
        <f t="shared" si="413"/>
        <v>350000</v>
      </c>
      <c r="AH709" s="31">
        <f t="shared" si="414"/>
        <v>293000</v>
      </c>
      <c r="AI709" s="4" t="s">
        <v>8</v>
      </c>
      <c r="AJ709" s="4" t="s">
        <v>9</v>
      </c>
      <c r="AK709" s="4" t="str">
        <f>IFERROR(VLOOKUP(AJ709,'Guide '!$A$13:$B$16,2,0),"-")</f>
        <v>TK</v>
      </c>
      <c r="AL709" s="4" t="s">
        <v>924</v>
      </c>
      <c r="AM709" s="40">
        <v>45546</v>
      </c>
      <c r="AN709">
        <f t="shared" si="415"/>
        <v>29</v>
      </c>
      <c r="AO709">
        <f t="shared" si="416"/>
        <v>32</v>
      </c>
      <c r="AP709">
        <f t="shared" si="417"/>
        <v>40</v>
      </c>
      <c r="AQ709">
        <f t="shared" si="418"/>
        <v>43</v>
      </c>
      <c r="AR709" s="26">
        <f t="shared" si="419"/>
        <v>56</v>
      </c>
      <c r="AS709" s="26">
        <f t="shared" si="420"/>
        <v>63</v>
      </c>
      <c r="AT709" s="21">
        <f t="shared" si="421"/>
        <v>12</v>
      </c>
      <c r="AU709" s="21">
        <f t="shared" si="422"/>
        <v>19</v>
      </c>
      <c r="AV709">
        <f t="shared" si="423"/>
        <v>73</v>
      </c>
      <c r="AW709">
        <f t="shared" si="424"/>
        <v>76</v>
      </c>
      <c r="AX709">
        <f t="shared" si="425"/>
        <v>84</v>
      </c>
      <c r="AY709">
        <f t="shared" si="426"/>
        <v>87</v>
      </c>
      <c r="AZ709" t="str">
        <f t="shared" si="427"/>
        <v>-</v>
      </c>
      <c r="BA709" t="str">
        <f t="shared" si="428"/>
        <v>-</v>
      </c>
      <c r="BB709" t="str">
        <f t="shared" si="429"/>
        <v>-</v>
      </c>
      <c r="BC709" t="str">
        <f t="shared" si="430"/>
        <v>-</v>
      </c>
      <c r="BD709" s="29" t="str">
        <f t="shared" si="431"/>
        <v>-</v>
      </c>
      <c r="BE709" s="29" t="str">
        <f t="shared" si="432"/>
        <v>-</v>
      </c>
    </row>
    <row r="710" spans="1:57" ht="15" x14ac:dyDescent="0.2">
      <c r="A710" s="2">
        <v>386</v>
      </c>
      <c r="B710" s="2" t="str">
        <f t="shared" si="397"/>
        <v>0386</v>
      </c>
      <c r="C710" t="str">
        <f t="shared" si="398"/>
        <v>ORD-SP-0386-11/09/24</v>
      </c>
      <c r="D710" s="3" t="s">
        <v>435</v>
      </c>
      <c r="E710" t="str">
        <f t="shared" si="399"/>
        <v>PP003</v>
      </c>
      <c r="F710" t="str">
        <f>INDEX(Katalog!$B$4:$B$13,MATCH('Main Data'!E710,Katalog!$C$4:$C$13,0))</f>
        <v>Jaket Jeans</v>
      </c>
      <c r="G710" t="str">
        <f>VLOOKUP(E710,Katalog!$A$15:$B$25,2,0)</f>
        <v>Pakaian Pria</v>
      </c>
      <c r="H710" t="str">
        <f t="shared" si="400"/>
        <v>4</v>
      </c>
      <c r="I710" t="str">
        <f t="shared" si="401"/>
        <v>2</v>
      </c>
      <c r="J710" s="18">
        <f>VLOOKUP(E710,Katalog!$C$3:$F$13,2,0)</f>
        <v>150000</v>
      </c>
      <c r="K710" s="18">
        <f>VLOOKUP(E710,Katalog!$C$3:$F$13,3,0)</f>
        <v>70000</v>
      </c>
      <c r="L710" t="str">
        <f t="shared" si="402"/>
        <v>-</v>
      </c>
      <c r="M710" t="str">
        <f>IFERROR(INDEX(Katalog!$B$4:$B$13,MATCH('Main Data'!L710,Katalog!$C$4:$C$13,0)), "-")</f>
        <v>-</v>
      </c>
      <c r="N710" t="str">
        <f>IFERROR(VLOOKUP(L710,Katalog!$A$15:$B$25,2,0),"-")</f>
        <v>-</v>
      </c>
      <c r="O710">
        <f t="shared" si="403"/>
        <v>0</v>
      </c>
      <c r="P710" t="str">
        <f t="shared" si="404"/>
        <v>-</v>
      </c>
      <c r="Q710" s="18">
        <f>IFERROR(VLOOKUP(L710,Katalog!$C$3:$F$13,2,0),0)</f>
        <v>0</v>
      </c>
      <c r="R710" s="18">
        <f>IFERROR(VLOOKUP(L710,Katalog!$C$3:$F$13,3,0),0)</f>
        <v>0</v>
      </c>
      <c r="S710" t="str">
        <f t="shared" si="405"/>
        <v>-</v>
      </c>
      <c r="T710" t="str">
        <f>IFERROR(INDEX(Katalog!$B$4:$B$13,MATCH('Main Data'!S710,Katalog!$C$4:$C$13,0)),"-")</f>
        <v>-</v>
      </c>
      <c r="U710" t="str">
        <f>IFERROR(VLOOKUP(S710,Katalog!$A$15:$B$25,2,0),"-")</f>
        <v>-</v>
      </c>
      <c r="V710">
        <f t="shared" si="406"/>
        <v>0</v>
      </c>
      <c r="W710" s="28" t="str">
        <f t="shared" si="407"/>
        <v>-</v>
      </c>
      <c r="X710" s="18">
        <f>IFERROR(VLOOKUP(S710,Katalog!$C$3:$F$13,2,0),0)</f>
        <v>0</v>
      </c>
      <c r="Y710" s="30">
        <f>IFERROR(VLOOKUP(S710,Katalog!$C$3:$F$13,3,0),0)</f>
        <v>0</v>
      </c>
      <c r="Z710" s="2">
        <f t="shared" si="408"/>
        <v>4</v>
      </c>
      <c r="AA710" s="4">
        <f t="shared" si="409"/>
        <v>600000</v>
      </c>
      <c r="AB710" s="4">
        <f t="shared" si="410"/>
        <v>280000</v>
      </c>
      <c r="AC710" s="4" t="s">
        <v>5</v>
      </c>
      <c r="AD710" s="16">
        <f>IFERROR(VLOOKUP(AC710,'Kode Diskon'!$C$2:$D$9,2,0),0)</f>
        <v>0.1</v>
      </c>
      <c r="AE710" s="31">
        <f t="shared" si="411"/>
        <v>60000</v>
      </c>
      <c r="AF710" s="31">
        <f t="shared" si="412"/>
        <v>540000</v>
      </c>
      <c r="AG710" s="31">
        <f t="shared" si="413"/>
        <v>320000</v>
      </c>
      <c r="AH710" s="31">
        <f t="shared" si="414"/>
        <v>260000</v>
      </c>
      <c r="AI710" s="4" t="s">
        <v>28</v>
      </c>
      <c r="AJ710" s="4" t="s">
        <v>6</v>
      </c>
      <c r="AK710" s="4" t="str">
        <f>IFERROR(VLOOKUP(AJ710,'Guide '!$A$13:$B$16,2,0),"-")</f>
        <v>SP</v>
      </c>
      <c r="AL710" s="4" t="s">
        <v>925</v>
      </c>
      <c r="AM710" s="40">
        <v>45546</v>
      </c>
      <c r="AN710">
        <f t="shared" si="415"/>
        <v>29</v>
      </c>
      <c r="AO710">
        <f t="shared" si="416"/>
        <v>32</v>
      </c>
      <c r="AP710">
        <f t="shared" si="417"/>
        <v>40</v>
      </c>
      <c r="AQ710">
        <f t="shared" si="418"/>
        <v>43</v>
      </c>
      <c r="AR710" s="26" t="str">
        <f t="shared" si="419"/>
        <v>-</v>
      </c>
      <c r="AS710" s="26" t="str">
        <f t="shared" si="420"/>
        <v>-</v>
      </c>
      <c r="AT710" s="21">
        <f t="shared" si="421"/>
        <v>12</v>
      </c>
      <c r="AU710" s="21">
        <f t="shared" si="422"/>
        <v>19</v>
      </c>
      <c r="AV710" t="str">
        <f t="shared" si="423"/>
        <v>-</v>
      </c>
      <c r="AW710" t="str">
        <f t="shared" si="424"/>
        <v>-</v>
      </c>
      <c r="AX710" t="str">
        <f t="shared" si="425"/>
        <v>-</v>
      </c>
      <c r="AY710" t="str">
        <f t="shared" si="426"/>
        <v>-</v>
      </c>
      <c r="AZ710" t="str">
        <f t="shared" si="427"/>
        <v>-</v>
      </c>
      <c r="BA710" t="str">
        <f t="shared" si="428"/>
        <v>-</v>
      </c>
      <c r="BB710" t="str">
        <f t="shared" si="429"/>
        <v>-</v>
      </c>
      <c r="BC710" t="str">
        <f t="shared" si="430"/>
        <v>-</v>
      </c>
      <c r="BD710" s="29" t="str">
        <f t="shared" si="431"/>
        <v>-</v>
      </c>
      <c r="BE710" s="29" t="str">
        <f t="shared" si="432"/>
        <v>-</v>
      </c>
    </row>
    <row r="711" spans="1:57" ht="15" x14ac:dyDescent="0.2">
      <c r="A711" s="2">
        <v>953</v>
      </c>
      <c r="B711" s="2" t="str">
        <f t="shared" si="397"/>
        <v>0953</v>
      </c>
      <c r="C711" t="str">
        <f t="shared" si="398"/>
        <v>ORD-SP-0953-11/09/24</v>
      </c>
      <c r="D711" s="3" t="s">
        <v>883</v>
      </c>
      <c r="E711" t="str">
        <f t="shared" si="399"/>
        <v>SP001</v>
      </c>
      <c r="F711" t="str">
        <f>INDEX(Katalog!$B$4:$B$13,MATCH('Main Data'!E711,Katalog!$C$4:$C$13,0))</f>
        <v>Sneakers</v>
      </c>
      <c r="G711" t="str">
        <f>VLOOKUP(E711,Katalog!$A$15:$B$25,2,0)</f>
        <v>Sepatu Pria</v>
      </c>
      <c r="H711" t="str">
        <f t="shared" si="400"/>
        <v>5</v>
      </c>
      <c r="I711" t="str">
        <f t="shared" si="401"/>
        <v>5</v>
      </c>
      <c r="J711" s="18">
        <f>VLOOKUP(E711,Katalog!$C$3:$F$13,2,0)</f>
        <v>300000</v>
      </c>
      <c r="K711" s="18">
        <f>VLOOKUP(E711,Katalog!$C$3:$F$13,3,0)</f>
        <v>100000</v>
      </c>
      <c r="L711" t="str">
        <f t="shared" si="402"/>
        <v>PP003</v>
      </c>
      <c r="M711" t="str">
        <f>IFERROR(INDEX(Katalog!$B$4:$B$13,MATCH('Main Data'!L711,Katalog!$C$4:$C$13,0)), "-")</f>
        <v>Jaket Jeans</v>
      </c>
      <c r="N711" t="str">
        <f>IFERROR(VLOOKUP(L711,Katalog!$A$15:$B$25,2,0),"-")</f>
        <v>Pakaian Pria</v>
      </c>
      <c r="O711" t="str">
        <f t="shared" si="403"/>
        <v>1</v>
      </c>
      <c r="P711" t="str">
        <f t="shared" si="404"/>
        <v>5</v>
      </c>
      <c r="Q711" s="18">
        <f>IFERROR(VLOOKUP(L711,Katalog!$C$3:$F$13,2,0),0)</f>
        <v>150000</v>
      </c>
      <c r="R711" s="18">
        <f>IFERROR(VLOOKUP(L711,Katalog!$C$3:$F$13,3,0),0)</f>
        <v>70000</v>
      </c>
      <c r="S711" t="str">
        <f t="shared" si="405"/>
        <v>-</v>
      </c>
      <c r="T711" t="str">
        <f>IFERROR(INDEX(Katalog!$B$4:$B$13,MATCH('Main Data'!S711,Katalog!$C$4:$C$13,0)),"-")</f>
        <v>-</v>
      </c>
      <c r="U711" t="str">
        <f>IFERROR(VLOOKUP(S711,Katalog!$A$15:$B$25,2,0),"-")</f>
        <v>-</v>
      </c>
      <c r="V711">
        <f t="shared" si="406"/>
        <v>0</v>
      </c>
      <c r="W711" s="28" t="str">
        <f t="shared" si="407"/>
        <v>-</v>
      </c>
      <c r="X711" s="18">
        <f>IFERROR(VLOOKUP(S711,Katalog!$C$3:$F$13,2,0),0)</f>
        <v>0</v>
      </c>
      <c r="Y711" s="30">
        <f>IFERROR(VLOOKUP(S711,Katalog!$C$3:$F$13,3,0),0)</f>
        <v>0</v>
      </c>
      <c r="Z711" s="2">
        <f t="shared" si="408"/>
        <v>6</v>
      </c>
      <c r="AA711" s="4">
        <f t="shared" si="409"/>
        <v>1650000</v>
      </c>
      <c r="AB711" s="4">
        <f t="shared" si="410"/>
        <v>570000</v>
      </c>
      <c r="AC711" s="4" t="s">
        <v>12</v>
      </c>
      <c r="AD711" s="16">
        <f>IFERROR(VLOOKUP(AC711,'Kode Diskon'!$C$2:$D$9,2,0),0)</f>
        <v>0.15</v>
      </c>
      <c r="AE711" s="31">
        <f t="shared" si="411"/>
        <v>247500</v>
      </c>
      <c r="AF711" s="31">
        <f t="shared" si="412"/>
        <v>1402500</v>
      </c>
      <c r="AG711" s="31">
        <f t="shared" si="413"/>
        <v>1080000</v>
      </c>
      <c r="AH711" s="31">
        <f t="shared" si="414"/>
        <v>832500</v>
      </c>
      <c r="AI711" s="4" t="s">
        <v>28</v>
      </c>
      <c r="AJ711" s="4" t="s">
        <v>6</v>
      </c>
      <c r="AK711" s="4" t="str">
        <f>IFERROR(VLOOKUP(AJ711,'Guide '!$A$13:$B$16,2,0),"-")</f>
        <v>SP</v>
      </c>
      <c r="AL711" s="4" t="s">
        <v>925</v>
      </c>
      <c r="AM711" s="40">
        <v>45546</v>
      </c>
      <c r="AN711">
        <f t="shared" si="415"/>
        <v>29</v>
      </c>
      <c r="AO711">
        <f t="shared" si="416"/>
        <v>32</v>
      </c>
      <c r="AP711">
        <f t="shared" si="417"/>
        <v>40</v>
      </c>
      <c r="AQ711">
        <f t="shared" si="418"/>
        <v>43</v>
      </c>
      <c r="AR711" s="26">
        <f t="shared" si="419"/>
        <v>56</v>
      </c>
      <c r="AS711" s="26">
        <f t="shared" si="420"/>
        <v>63</v>
      </c>
      <c r="AT711" s="21">
        <f t="shared" si="421"/>
        <v>12</v>
      </c>
      <c r="AU711" s="21">
        <f t="shared" si="422"/>
        <v>19</v>
      </c>
      <c r="AV711">
        <f t="shared" si="423"/>
        <v>73</v>
      </c>
      <c r="AW711">
        <f t="shared" si="424"/>
        <v>76</v>
      </c>
      <c r="AX711">
        <f t="shared" si="425"/>
        <v>84</v>
      </c>
      <c r="AY711">
        <f t="shared" si="426"/>
        <v>87</v>
      </c>
      <c r="AZ711" t="str">
        <f t="shared" si="427"/>
        <v>-</v>
      </c>
      <c r="BA711" t="str">
        <f t="shared" si="428"/>
        <v>-</v>
      </c>
      <c r="BB711" t="str">
        <f t="shared" si="429"/>
        <v>-</v>
      </c>
      <c r="BC711" t="str">
        <f t="shared" si="430"/>
        <v>-</v>
      </c>
      <c r="BD711" s="29" t="str">
        <f t="shared" si="431"/>
        <v>-</v>
      </c>
      <c r="BE711" s="29" t="str">
        <f t="shared" si="432"/>
        <v>-</v>
      </c>
    </row>
    <row r="712" spans="1:57" ht="15" x14ac:dyDescent="0.2">
      <c r="A712" s="2">
        <v>969</v>
      </c>
      <c r="B712" s="2" t="str">
        <f t="shared" si="397"/>
        <v>0969</v>
      </c>
      <c r="C712" t="str">
        <f t="shared" si="398"/>
        <v>ORD-TK-0969-11/09/24</v>
      </c>
      <c r="D712" s="3" t="s">
        <v>896</v>
      </c>
      <c r="E712" t="str">
        <f t="shared" si="399"/>
        <v>PP003</v>
      </c>
      <c r="F712" t="str">
        <f>INDEX(Katalog!$B$4:$B$13,MATCH('Main Data'!E712,Katalog!$C$4:$C$13,0))</f>
        <v>Jaket Jeans</v>
      </c>
      <c r="G712" t="str">
        <f>VLOOKUP(E712,Katalog!$A$15:$B$25,2,0)</f>
        <v>Pakaian Pria</v>
      </c>
      <c r="H712" t="str">
        <f t="shared" si="400"/>
        <v>3</v>
      </c>
      <c r="I712" t="str">
        <f t="shared" si="401"/>
        <v>5</v>
      </c>
      <c r="J712" s="18">
        <f>VLOOKUP(E712,Katalog!$C$3:$F$13,2,0)</f>
        <v>150000</v>
      </c>
      <c r="K712" s="18">
        <f>VLOOKUP(E712,Katalog!$C$3:$F$13,3,0)</f>
        <v>70000</v>
      </c>
      <c r="L712" t="str">
        <f t="shared" si="402"/>
        <v>PW001</v>
      </c>
      <c r="M712" t="str">
        <f>IFERROR(INDEX(Katalog!$B$4:$B$13,MATCH('Main Data'!L712,Katalog!$C$4:$C$13,0)), "-")</f>
        <v>Dress</v>
      </c>
      <c r="N712" t="str">
        <f>IFERROR(VLOOKUP(L712,Katalog!$A$15:$B$25,2,0),"-")</f>
        <v>Pakaian Wanita</v>
      </c>
      <c r="O712" t="str">
        <f t="shared" si="403"/>
        <v>1</v>
      </c>
      <c r="P712" t="str">
        <f t="shared" si="404"/>
        <v>4</v>
      </c>
      <c r="Q712" s="18">
        <f>IFERROR(VLOOKUP(L712,Katalog!$C$3:$F$13,2,0),0)</f>
        <v>150000</v>
      </c>
      <c r="R712" s="18">
        <f>IFERROR(VLOOKUP(L712,Katalog!$C$3:$F$13,3,0),0)</f>
        <v>55000</v>
      </c>
      <c r="S712" t="str">
        <f t="shared" si="405"/>
        <v>PW002</v>
      </c>
      <c r="T712" t="str">
        <f>IFERROR(INDEX(Katalog!$B$4:$B$13,MATCH('Main Data'!S712,Katalog!$C$4:$C$13,0)),"-")</f>
        <v>Blouse</v>
      </c>
      <c r="U712" t="str">
        <f>IFERROR(VLOOKUP(S712,Katalog!$A$15:$B$25,2,0),"-")</f>
        <v>Pakaian Wanita</v>
      </c>
      <c r="V712" t="str">
        <f t="shared" si="406"/>
        <v>2</v>
      </c>
      <c r="W712" s="28" t="str">
        <f t="shared" si="407"/>
        <v>5</v>
      </c>
      <c r="X712" s="18">
        <f>IFERROR(VLOOKUP(S712,Katalog!$C$3:$F$13,2,0),0)</f>
        <v>125000</v>
      </c>
      <c r="Y712" s="30">
        <f>IFERROR(VLOOKUP(S712,Katalog!$C$3:$F$13,3,0),0)</f>
        <v>50000</v>
      </c>
      <c r="Z712" s="2">
        <f t="shared" si="408"/>
        <v>6</v>
      </c>
      <c r="AA712" s="4">
        <f t="shared" si="409"/>
        <v>850000</v>
      </c>
      <c r="AB712" s="4">
        <f t="shared" si="410"/>
        <v>365000</v>
      </c>
      <c r="AC712" s="4" t="s">
        <v>30</v>
      </c>
      <c r="AD712" s="16">
        <f>IFERROR(VLOOKUP(AC712,'Kode Diskon'!$C$2:$D$9,2,0),0)</f>
        <v>0.1</v>
      </c>
      <c r="AE712" s="31">
        <f t="shared" si="411"/>
        <v>85000</v>
      </c>
      <c r="AF712" s="31">
        <f t="shared" si="412"/>
        <v>765000</v>
      </c>
      <c r="AG712" s="31">
        <f t="shared" si="413"/>
        <v>485000</v>
      </c>
      <c r="AH712" s="31">
        <f t="shared" si="414"/>
        <v>400000</v>
      </c>
      <c r="AI712" s="4" t="s">
        <v>8</v>
      </c>
      <c r="AJ712" s="4" t="s">
        <v>9</v>
      </c>
      <c r="AK712" s="4" t="str">
        <f>IFERROR(VLOOKUP(AJ712,'Guide '!$A$13:$B$16,2,0),"-")</f>
        <v>TK</v>
      </c>
      <c r="AL712" s="4" t="s">
        <v>1006</v>
      </c>
      <c r="AM712" s="40">
        <v>45546</v>
      </c>
      <c r="AN712">
        <f t="shared" si="415"/>
        <v>29</v>
      </c>
      <c r="AO712">
        <f t="shared" si="416"/>
        <v>32</v>
      </c>
      <c r="AP712">
        <f t="shared" si="417"/>
        <v>40</v>
      </c>
      <c r="AQ712">
        <f t="shared" si="418"/>
        <v>43</v>
      </c>
      <c r="AR712" s="26">
        <f t="shared" si="419"/>
        <v>56</v>
      </c>
      <c r="AS712" s="26">
        <f t="shared" si="420"/>
        <v>63</v>
      </c>
      <c r="AT712" s="21">
        <f t="shared" si="421"/>
        <v>12</v>
      </c>
      <c r="AU712" s="21">
        <f t="shared" si="422"/>
        <v>19</v>
      </c>
      <c r="AV712">
        <f t="shared" si="423"/>
        <v>73</v>
      </c>
      <c r="AW712">
        <f t="shared" si="424"/>
        <v>76</v>
      </c>
      <c r="AX712">
        <f t="shared" si="425"/>
        <v>84</v>
      </c>
      <c r="AY712">
        <f t="shared" si="426"/>
        <v>87</v>
      </c>
      <c r="AZ712">
        <f t="shared" si="427"/>
        <v>100</v>
      </c>
      <c r="BA712">
        <f t="shared" si="428"/>
        <v>107</v>
      </c>
      <c r="BB712">
        <f t="shared" si="429"/>
        <v>117</v>
      </c>
      <c r="BC712">
        <f t="shared" si="430"/>
        <v>120</v>
      </c>
      <c r="BD712" s="29">
        <f t="shared" si="431"/>
        <v>128</v>
      </c>
      <c r="BE712" s="29">
        <f t="shared" si="432"/>
        <v>131</v>
      </c>
    </row>
    <row r="713" spans="1:57" ht="15" x14ac:dyDescent="0.2">
      <c r="A713" s="2">
        <v>43</v>
      </c>
      <c r="B713" s="2" t="str">
        <f t="shared" si="397"/>
        <v>0043</v>
      </c>
      <c r="C713" t="str">
        <f t="shared" si="398"/>
        <v>ORD-BB-0043-12/09/24</v>
      </c>
      <c r="D713" s="3" t="s">
        <v>117</v>
      </c>
      <c r="E713" t="str">
        <f t="shared" si="399"/>
        <v>SP001</v>
      </c>
      <c r="F713" t="str">
        <f>INDEX(Katalog!$B$4:$B$13,MATCH('Main Data'!E713,Katalog!$C$4:$C$13,0))</f>
        <v>Sneakers</v>
      </c>
      <c r="G713" t="str">
        <f>VLOOKUP(E713,Katalog!$A$15:$B$25,2,0)</f>
        <v>Sepatu Pria</v>
      </c>
      <c r="H713" t="str">
        <f t="shared" si="400"/>
        <v>5</v>
      </c>
      <c r="I713" t="str">
        <f t="shared" si="401"/>
        <v>1</v>
      </c>
      <c r="J713" s="18">
        <f>VLOOKUP(E713,Katalog!$C$3:$F$13,2,0)</f>
        <v>300000</v>
      </c>
      <c r="K713" s="18">
        <f>VLOOKUP(E713,Katalog!$C$3:$F$13,3,0)</f>
        <v>100000</v>
      </c>
      <c r="L713" t="str">
        <f t="shared" si="402"/>
        <v>PW002</v>
      </c>
      <c r="M713" t="str">
        <f>IFERROR(INDEX(Katalog!$B$4:$B$13,MATCH('Main Data'!L713,Katalog!$C$4:$C$13,0)), "-")</f>
        <v>Blouse</v>
      </c>
      <c r="N713" t="str">
        <f>IFERROR(VLOOKUP(L713,Katalog!$A$15:$B$25,2,0),"-")</f>
        <v>Pakaian Wanita</v>
      </c>
      <c r="O713" t="str">
        <f t="shared" si="403"/>
        <v>2</v>
      </c>
      <c r="P713" t="str">
        <f t="shared" si="404"/>
        <v>3</v>
      </c>
      <c r="Q713" s="18">
        <f>IFERROR(VLOOKUP(L713,Katalog!$C$3:$F$13,2,0),0)</f>
        <v>125000</v>
      </c>
      <c r="R713" s="18">
        <f>IFERROR(VLOOKUP(L713,Katalog!$C$3:$F$13,3,0),0)</f>
        <v>50000</v>
      </c>
      <c r="S713" t="str">
        <f t="shared" si="405"/>
        <v>-</v>
      </c>
      <c r="T713" t="str">
        <f>IFERROR(INDEX(Katalog!$B$4:$B$13,MATCH('Main Data'!S713,Katalog!$C$4:$C$13,0)),"-")</f>
        <v>-</v>
      </c>
      <c r="U713" t="str">
        <f>IFERROR(VLOOKUP(S713,Katalog!$A$15:$B$25,2,0),"-")</f>
        <v>-</v>
      </c>
      <c r="V713">
        <f t="shared" si="406"/>
        <v>0</v>
      </c>
      <c r="W713" s="28" t="str">
        <f t="shared" si="407"/>
        <v>-</v>
      </c>
      <c r="X713" s="18">
        <f>IFERROR(VLOOKUP(S713,Katalog!$C$3:$F$13,2,0),0)</f>
        <v>0</v>
      </c>
      <c r="Y713" s="30">
        <f>IFERROR(VLOOKUP(S713,Katalog!$C$3:$F$13,3,0),0)</f>
        <v>0</v>
      </c>
      <c r="Z713" s="2">
        <f t="shared" si="408"/>
        <v>7</v>
      </c>
      <c r="AA713" s="4">
        <f t="shared" si="409"/>
        <v>1750000</v>
      </c>
      <c r="AB713" s="4">
        <f t="shared" si="410"/>
        <v>600000</v>
      </c>
      <c r="AC713" s="4" t="s">
        <v>27</v>
      </c>
      <c r="AD713" s="16">
        <f>IFERROR(VLOOKUP(AC713,'Kode Diskon'!$C$2:$D$9,2,0),0)</f>
        <v>0.15</v>
      </c>
      <c r="AE713" s="31">
        <f t="shared" si="411"/>
        <v>262500</v>
      </c>
      <c r="AF713" s="31">
        <f t="shared" si="412"/>
        <v>1487500</v>
      </c>
      <c r="AG713" s="31">
        <f t="shared" si="413"/>
        <v>1150000</v>
      </c>
      <c r="AH713" s="31">
        <f t="shared" si="414"/>
        <v>887500</v>
      </c>
      <c r="AI713" s="4" t="s">
        <v>28</v>
      </c>
      <c r="AJ713" s="4" t="s">
        <v>13</v>
      </c>
      <c r="AK713" s="4" t="str">
        <f>IFERROR(VLOOKUP(AJ713,'Guide '!$A$13:$B$16,2,0),"-")</f>
        <v>BB</v>
      </c>
      <c r="AL713" s="4" t="s">
        <v>922</v>
      </c>
      <c r="AM713" s="40">
        <v>45547</v>
      </c>
      <c r="AN713">
        <f t="shared" si="415"/>
        <v>29</v>
      </c>
      <c r="AO713">
        <f t="shared" si="416"/>
        <v>32</v>
      </c>
      <c r="AP713">
        <f t="shared" si="417"/>
        <v>40</v>
      </c>
      <c r="AQ713">
        <f t="shared" si="418"/>
        <v>43</v>
      </c>
      <c r="AR713" s="26">
        <f t="shared" si="419"/>
        <v>56</v>
      </c>
      <c r="AS713" s="26">
        <f t="shared" si="420"/>
        <v>63</v>
      </c>
      <c r="AT713" s="21">
        <f t="shared" si="421"/>
        <v>12</v>
      </c>
      <c r="AU713" s="21">
        <f t="shared" si="422"/>
        <v>19</v>
      </c>
      <c r="AV713">
        <f t="shared" si="423"/>
        <v>73</v>
      </c>
      <c r="AW713">
        <f t="shared" si="424"/>
        <v>76</v>
      </c>
      <c r="AX713">
        <f t="shared" si="425"/>
        <v>84</v>
      </c>
      <c r="AY713">
        <f t="shared" si="426"/>
        <v>87</v>
      </c>
      <c r="AZ713" t="str">
        <f t="shared" si="427"/>
        <v>-</v>
      </c>
      <c r="BA713" t="str">
        <f t="shared" si="428"/>
        <v>-</v>
      </c>
      <c r="BB713" t="str">
        <f t="shared" si="429"/>
        <v>-</v>
      </c>
      <c r="BC713" t="str">
        <f t="shared" si="430"/>
        <v>-</v>
      </c>
      <c r="BD713" s="29" t="str">
        <f t="shared" si="431"/>
        <v>-</v>
      </c>
      <c r="BE713" s="29" t="str">
        <f t="shared" si="432"/>
        <v>-</v>
      </c>
    </row>
    <row r="714" spans="1:57" ht="15" x14ac:dyDescent="0.2">
      <c r="A714" s="2">
        <v>200</v>
      </c>
      <c r="B714" s="2" t="str">
        <f t="shared" si="397"/>
        <v>0200</v>
      </c>
      <c r="C714" t="str">
        <f t="shared" si="398"/>
        <v>ORD-SP-0200-12/09/24</v>
      </c>
      <c r="D714" s="3" t="s">
        <v>269</v>
      </c>
      <c r="E714" t="str">
        <f t="shared" si="399"/>
        <v>PW002</v>
      </c>
      <c r="F714" t="str">
        <f>INDEX(Katalog!$B$4:$B$13,MATCH('Main Data'!E714,Katalog!$C$4:$C$13,0))</f>
        <v>Blouse</v>
      </c>
      <c r="G714" t="str">
        <f>VLOOKUP(E714,Katalog!$A$15:$B$25,2,0)</f>
        <v>Pakaian Wanita</v>
      </c>
      <c r="H714" t="str">
        <f t="shared" si="400"/>
        <v>1</v>
      </c>
      <c r="I714" t="str">
        <f t="shared" si="401"/>
        <v>4</v>
      </c>
      <c r="J714" s="18">
        <f>VLOOKUP(E714,Katalog!$C$3:$F$13,2,0)</f>
        <v>125000</v>
      </c>
      <c r="K714" s="18">
        <f>VLOOKUP(E714,Katalog!$C$3:$F$13,3,0)</f>
        <v>50000</v>
      </c>
      <c r="L714" t="str">
        <f t="shared" si="402"/>
        <v>PU001</v>
      </c>
      <c r="M714" t="str">
        <f>IFERROR(INDEX(Katalog!$B$4:$B$13,MATCH('Main Data'!L714,Katalog!$C$4:$C$13,0)), "-")</f>
        <v>Jaket Hoodie</v>
      </c>
      <c r="N714" t="str">
        <f>IFERROR(VLOOKUP(L714,Katalog!$A$15:$B$25,2,0),"-")</f>
        <v>Pakaian Unisex</v>
      </c>
      <c r="O714" t="str">
        <f t="shared" si="403"/>
        <v>1</v>
      </c>
      <c r="P714" t="str">
        <f t="shared" si="404"/>
        <v>4</v>
      </c>
      <c r="Q714" s="18">
        <f>IFERROR(VLOOKUP(L714,Katalog!$C$3:$F$13,2,0),0)</f>
        <v>160000</v>
      </c>
      <c r="R714" s="18">
        <f>IFERROR(VLOOKUP(L714,Katalog!$C$3:$F$13,3,0),0)</f>
        <v>60000</v>
      </c>
      <c r="S714" t="str">
        <f t="shared" si="405"/>
        <v>SP001</v>
      </c>
      <c r="T714" t="str">
        <f>IFERROR(INDEX(Katalog!$B$4:$B$13,MATCH('Main Data'!S714,Katalog!$C$4:$C$13,0)),"-")</f>
        <v>Sneakers</v>
      </c>
      <c r="U714" t="str">
        <f>IFERROR(VLOOKUP(S714,Katalog!$A$15:$B$25,2,0),"-")</f>
        <v>Sepatu Pria</v>
      </c>
      <c r="V714" t="str">
        <f t="shared" si="406"/>
        <v>1</v>
      </c>
      <c r="W714" s="28" t="str">
        <f t="shared" si="407"/>
        <v>2</v>
      </c>
      <c r="X714" s="18">
        <f>IFERROR(VLOOKUP(S714,Katalog!$C$3:$F$13,2,0),0)</f>
        <v>300000</v>
      </c>
      <c r="Y714" s="30">
        <f>IFERROR(VLOOKUP(S714,Katalog!$C$3:$F$13,3,0),0)</f>
        <v>100000</v>
      </c>
      <c r="Z714" s="2">
        <f t="shared" si="408"/>
        <v>3</v>
      </c>
      <c r="AA714" s="4">
        <f t="shared" si="409"/>
        <v>585000</v>
      </c>
      <c r="AB714" s="4">
        <f t="shared" si="410"/>
        <v>210000</v>
      </c>
      <c r="AC714" s="4" t="s">
        <v>7</v>
      </c>
      <c r="AD714" s="16">
        <f>IFERROR(VLOOKUP(AC714,'Kode Diskon'!$C$2:$D$9,2,0),0)</f>
        <v>0.2</v>
      </c>
      <c r="AE714" s="31">
        <f t="shared" si="411"/>
        <v>117000</v>
      </c>
      <c r="AF714" s="31">
        <f t="shared" si="412"/>
        <v>468000</v>
      </c>
      <c r="AG714" s="31">
        <f t="shared" si="413"/>
        <v>375000</v>
      </c>
      <c r="AH714" s="31">
        <f t="shared" si="414"/>
        <v>258000</v>
      </c>
      <c r="AI714" s="4" t="s">
        <v>8</v>
      </c>
      <c r="AJ714" s="4" t="s">
        <v>6</v>
      </c>
      <c r="AK714" s="4" t="str">
        <f>IFERROR(VLOOKUP(AJ714,'Guide '!$A$13:$B$16,2,0),"-")</f>
        <v>SP</v>
      </c>
      <c r="AL714" s="4" t="s">
        <v>1006</v>
      </c>
      <c r="AM714" s="40">
        <v>45547</v>
      </c>
      <c r="AN714">
        <f t="shared" si="415"/>
        <v>29</v>
      </c>
      <c r="AO714">
        <f t="shared" si="416"/>
        <v>32</v>
      </c>
      <c r="AP714">
        <f t="shared" si="417"/>
        <v>40</v>
      </c>
      <c r="AQ714">
        <f t="shared" si="418"/>
        <v>43</v>
      </c>
      <c r="AR714" s="26">
        <f t="shared" si="419"/>
        <v>56</v>
      </c>
      <c r="AS714" s="26">
        <f t="shared" si="420"/>
        <v>63</v>
      </c>
      <c r="AT714" s="21">
        <f t="shared" si="421"/>
        <v>12</v>
      </c>
      <c r="AU714" s="21">
        <f t="shared" si="422"/>
        <v>19</v>
      </c>
      <c r="AV714">
        <f t="shared" si="423"/>
        <v>73</v>
      </c>
      <c r="AW714">
        <f t="shared" si="424"/>
        <v>76</v>
      </c>
      <c r="AX714">
        <f t="shared" si="425"/>
        <v>84</v>
      </c>
      <c r="AY714">
        <f t="shared" si="426"/>
        <v>87</v>
      </c>
      <c r="AZ714">
        <f t="shared" si="427"/>
        <v>100</v>
      </c>
      <c r="BA714">
        <f t="shared" si="428"/>
        <v>107</v>
      </c>
      <c r="BB714">
        <f t="shared" si="429"/>
        <v>117</v>
      </c>
      <c r="BC714">
        <f t="shared" si="430"/>
        <v>120</v>
      </c>
      <c r="BD714" s="29">
        <f t="shared" si="431"/>
        <v>128</v>
      </c>
      <c r="BE714" s="29">
        <f t="shared" si="432"/>
        <v>131</v>
      </c>
    </row>
    <row r="715" spans="1:57" ht="15" x14ac:dyDescent="0.2">
      <c r="A715" s="2">
        <v>965</v>
      </c>
      <c r="B715" s="2" t="str">
        <f t="shared" si="397"/>
        <v>0965</v>
      </c>
      <c r="C715" t="str">
        <f t="shared" si="398"/>
        <v>ORD-BL-0965-12/09/24</v>
      </c>
      <c r="D715" s="3" t="s">
        <v>701</v>
      </c>
      <c r="E715" t="str">
        <f t="shared" si="399"/>
        <v>SP001</v>
      </c>
      <c r="F715" t="str">
        <f>INDEX(Katalog!$B$4:$B$13,MATCH('Main Data'!E715,Katalog!$C$4:$C$13,0))</f>
        <v>Sneakers</v>
      </c>
      <c r="G715" t="str">
        <f>VLOOKUP(E715,Katalog!$A$15:$B$25,2,0)</f>
        <v>Sepatu Pria</v>
      </c>
      <c r="H715" t="str">
        <f t="shared" si="400"/>
        <v>4</v>
      </c>
      <c r="I715" t="str">
        <f t="shared" si="401"/>
        <v>5</v>
      </c>
      <c r="J715" s="18">
        <f>VLOOKUP(E715,Katalog!$C$3:$F$13,2,0)</f>
        <v>300000</v>
      </c>
      <c r="K715" s="18">
        <f>VLOOKUP(E715,Katalog!$C$3:$F$13,3,0)</f>
        <v>100000</v>
      </c>
      <c r="L715" t="str">
        <f t="shared" si="402"/>
        <v>-</v>
      </c>
      <c r="M715" t="str">
        <f>IFERROR(INDEX(Katalog!$B$4:$B$13,MATCH('Main Data'!L715,Katalog!$C$4:$C$13,0)), "-")</f>
        <v>-</v>
      </c>
      <c r="N715" t="str">
        <f>IFERROR(VLOOKUP(L715,Katalog!$A$15:$B$25,2,0),"-")</f>
        <v>-</v>
      </c>
      <c r="O715">
        <f t="shared" si="403"/>
        <v>0</v>
      </c>
      <c r="P715" t="str">
        <f t="shared" si="404"/>
        <v>-</v>
      </c>
      <c r="Q715" s="18">
        <f>IFERROR(VLOOKUP(L715,Katalog!$C$3:$F$13,2,0),0)</f>
        <v>0</v>
      </c>
      <c r="R715" s="18">
        <f>IFERROR(VLOOKUP(L715,Katalog!$C$3:$F$13,3,0),0)</f>
        <v>0</v>
      </c>
      <c r="S715" t="str">
        <f t="shared" si="405"/>
        <v>-</v>
      </c>
      <c r="T715" t="str">
        <f>IFERROR(INDEX(Katalog!$B$4:$B$13,MATCH('Main Data'!S715,Katalog!$C$4:$C$13,0)),"-")</f>
        <v>-</v>
      </c>
      <c r="U715" t="str">
        <f>IFERROR(VLOOKUP(S715,Katalog!$A$15:$B$25,2,0),"-")</f>
        <v>-</v>
      </c>
      <c r="V715">
        <f t="shared" si="406"/>
        <v>0</v>
      </c>
      <c r="W715" s="28" t="str">
        <f t="shared" si="407"/>
        <v>-</v>
      </c>
      <c r="X715" s="18">
        <f>IFERROR(VLOOKUP(S715,Katalog!$C$3:$F$13,2,0),0)</f>
        <v>0</v>
      </c>
      <c r="Y715" s="30">
        <f>IFERROR(VLOOKUP(S715,Katalog!$C$3:$F$13,3,0),0)</f>
        <v>0</v>
      </c>
      <c r="Z715" s="2">
        <f t="shared" si="408"/>
        <v>4</v>
      </c>
      <c r="AA715" s="4">
        <f t="shared" si="409"/>
        <v>1200000</v>
      </c>
      <c r="AB715" s="4">
        <f t="shared" si="410"/>
        <v>400000</v>
      </c>
      <c r="AC715" s="4" t="s">
        <v>31</v>
      </c>
      <c r="AD715" s="16">
        <f>IFERROR(VLOOKUP(AC715,'Kode Diskon'!$C$2:$D$9,2,0),0)</f>
        <v>0.15</v>
      </c>
      <c r="AE715" s="31">
        <f t="shared" si="411"/>
        <v>180000</v>
      </c>
      <c r="AF715" s="31">
        <f t="shared" si="412"/>
        <v>1020000</v>
      </c>
      <c r="AG715" s="31">
        <f t="shared" si="413"/>
        <v>800000</v>
      </c>
      <c r="AH715" s="31">
        <f t="shared" si="414"/>
        <v>620000</v>
      </c>
      <c r="AI715" s="4" t="s">
        <v>8</v>
      </c>
      <c r="AJ715" s="4" t="s">
        <v>11</v>
      </c>
      <c r="AK715" s="4" t="str">
        <f>IFERROR(VLOOKUP(AJ715,'Guide '!$A$13:$B$16,2,0),"-")</f>
        <v>BL</v>
      </c>
      <c r="AL715" s="4" t="s">
        <v>1006</v>
      </c>
      <c r="AM715" s="40">
        <v>45547</v>
      </c>
      <c r="AN715">
        <f t="shared" si="415"/>
        <v>29</v>
      </c>
      <c r="AO715">
        <f t="shared" si="416"/>
        <v>32</v>
      </c>
      <c r="AP715">
        <f t="shared" si="417"/>
        <v>40</v>
      </c>
      <c r="AQ715">
        <f t="shared" si="418"/>
        <v>43</v>
      </c>
      <c r="AR715" s="26" t="str">
        <f t="shared" si="419"/>
        <v>-</v>
      </c>
      <c r="AS715" s="26" t="str">
        <f t="shared" si="420"/>
        <v>-</v>
      </c>
      <c r="AT715" s="21">
        <f t="shared" si="421"/>
        <v>12</v>
      </c>
      <c r="AU715" s="21">
        <f t="shared" si="422"/>
        <v>19</v>
      </c>
      <c r="AV715" t="str">
        <f t="shared" si="423"/>
        <v>-</v>
      </c>
      <c r="AW715" t="str">
        <f t="shared" si="424"/>
        <v>-</v>
      </c>
      <c r="AX715" t="str">
        <f t="shared" si="425"/>
        <v>-</v>
      </c>
      <c r="AY715" t="str">
        <f t="shared" si="426"/>
        <v>-</v>
      </c>
      <c r="AZ715" t="str">
        <f t="shared" si="427"/>
        <v>-</v>
      </c>
      <c r="BA715" t="str">
        <f t="shared" si="428"/>
        <v>-</v>
      </c>
      <c r="BB715" t="str">
        <f t="shared" si="429"/>
        <v>-</v>
      </c>
      <c r="BC715" t="str">
        <f t="shared" si="430"/>
        <v>-</v>
      </c>
      <c r="BD715" s="29" t="str">
        <f t="shared" si="431"/>
        <v>-</v>
      </c>
      <c r="BE715" s="29" t="str">
        <f t="shared" si="432"/>
        <v>-</v>
      </c>
    </row>
    <row r="716" spans="1:57" ht="15" x14ac:dyDescent="0.2">
      <c r="A716" s="2">
        <v>50</v>
      </c>
      <c r="B716" s="2" t="str">
        <f t="shared" si="397"/>
        <v>0050</v>
      </c>
      <c r="C716" t="str">
        <f t="shared" si="398"/>
        <v>ORD-SP-0050-13/09/24</v>
      </c>
      <c r="D716" s="3" t="s">
        <v>124</v>
      </c>
      <c r="E716" t="str">
        <f t="shared" si="399"/>
        <v>PP001</v>
      </c>
      <c r="F716" t="str">
        <f>INDEX(Katalog!$B$4:$B$13,MATCH('Main Data'!E716,Katalog!$C$4:$C$13,0))</f>
        <v>Kaos Polo</v>
      </c>
      <c r="G716" t="str">
        <f>VLOOKUP(E716,Katalog!$A$15:$B$25,2,0)</f>
        <v>Pakaian Pria</v>
      </c>
      <c r="H716" t="str">
        <f t="shared" si="400"/>
        <v>1</v>
      </c>
      <c r="I716" t="str">
        <f t="shared" si="401"/>
        <v>2</v>
      </c>
      <c r="J716" s="18">
        <f>VLOOKUP(E716,Katalog!$C$3:$F$13,2,0)</f>
        <v>80000</v>
      </c>
      <c r="K716" s="18">
        <f>VLOOKUP(E716,Katalog!$C$3:$F$13,3,0)</f>
        <v>30000</v>
      </c>
      <c r="L716" t="str">
        <f t="shared" si="402"/>
        <v>SW001</v>
      </c>
      <c r="M716" t="str">
        <f>IFERROR(INDEX(Katalog!$B$4:$B$13,MATCH('Main Data'!L716,Katalog!$C$4:$C$13,0)), "-")</f>
        <v>Flat Shoes</v>
      </c>
      <c r="N716" t="str">
        <f>IFERROR(VLOOKUP(L716,Katalog!$A$15:$B$25,2,0),"-")</f>
        <v>Sepatu Wanita</v>
      </c>
      <c r="O716" t="str">
        <f t="shared" si="403"/>
        <v>3</v>
      </c>
      <c r="P716" t="str">
        <f t="shared" si="404"/>
        <v>5</v>
      </c>
      <c r="Q716" s="18">
        <f>IFERROR(VLOOKUP(L716,Katalog!$C$3:$F$13,2,0),0)</f>
        <v>150000</v>
      </c>
      <c r="R716" s="18">
        <f>IFERROR(VLOOKUP(L716,Katalog!$C$3:$F$13,3,0),0)</f>
        <v>70000</v>
      </c>
      <c r="S716" t="str">
        <f t="shared" si="405"/>
        <v>SP001</v>
      </c>
      <c r="T716" t="str">
        <f>IFERROR(INDEX(Katalog!$B$4:$B$13,MATCH('Main Data'!S716,Katalog!$C$4:$C$13,0)),"-")</f>
        <v>Sneakers</v>
      </c>
      <c r="U716" t="str">
        <f>IFERROR(VLOOKUP(S716,Katalog!$A$15:$B$25,2,0),"-")</f>
        <v>Sepatu Pria</v>
      </c>
      <c r="V716" t="str">
        <f t="shared" si="406"/>
        <v>3</v>
      </c>
      <c r="W716" s="28" t="str">
        <f t="shared" si="407"/>
        <v>2</v>
      </c>
      <c r="X716" s="18">
        <f>IFERROR(VLOOKUP(S716,Katalog!$C$3:$F$13,2,0),0)</f>
        <v>300000</v>
      </c>
      <c r="Y716" s="30">
        <f>IFERROR(VLOOKUP(S716,Katalog!$C$3:$F$13,3,0),0)</f>
        <v>100000</v>
      </c>
      <c r="Z716" s="2">
        <f t="shared" si="408"/>
        <v>7</v>
      </c>
      <c r="AA716" s="4">
        <f t="shared" si="409"/>
        <v>1430000</v>
      </c>
      <c r="AB716" s="4">
        <f t="shared" si="410"/>
        <v>540000</v>
      </c>
      <c r="AC716" s="4" t="s">
        <v>12</v>
      </c>
      <c r="AD716" s="16">
        <f>IFERROR(VLOOKUP(AC716,'Kode Diskon'!$C$2:$D$9,2,0),0)</f>
        <v>0.15</v>
      </c>
      <c r="AE716" s="31">
        <f t="shared" si="411"/>
        <v>214500</v>
      </c>
      <c r="AF716" s="31">
        <f t="shared" si="412"/>
        <v>1215500</v>
      </c>
      <c r="AG716" s="31">
        <f t="shared" si="413"/>
        <v>890000</v>
      </c>
      <c r="AH716" s="31">
        <f t="shared" si="414"/>
        <v>675500</v>
      </c>
      <c r="AI716" s="4" t="s">
        <v>28</v>
      </c>
      <c r="AJ716" s="4" t="s">
        <v>6</v>
      </c>
      <c r="AK716" s="4" t="str">
        <f>IFERROR(VLOOKUP(AJ716,'Guide '!$A$13:$B$16,2,0),"-")</f>
        <v>SP</v>
      </c>
      <c r="AL716" s="4" t="s">
        <v>922</v>
      </c>
      <c r="AM716" s="40">
        <v>45548</v>
      </c>
      <c r="AN716">
        <f t="shared" si="415"/>
        <v>29</v>
      </c>
      <c r="AO716">
        <f t="shared" si="416"/>
        <v>32</v>
      </c>
      <c r="AP716">
        <f t="shared" si="417"/>
        <v>40</v>
      </c>
      <c r="AQ716">
        <f t="shared" si="418"/>
        <v>43</v>
      </c>
      <c r="AR716" s="26">
        <f t="shared" si="419"/>
        <v>56</v>
      </c>
      <c r="AS716" s="26">
        <f t="shared" si="420"/>
        <v>63</v>
      </c>
      <c r="AT716" s="21">
        <f t="shared" si="421"/>
        <v>12</v>
      </c>
      <c r="AU716" s="21">
        <f t="shared" si="422"/>
        <v>19</v>
      </c>
      <c r="AV716">
        <f t="shared" si="423"/>
        <v>73</v>
      </c>
      <c r="AW716">
        <f t="shared" si="424"/>
        <v>76</v>
      </c>
      <c r="AX716">
        <f t="shared" si="425"/>
        <v>84</v>
      </c>
      <c r="AY716">
        <f t="shared" si="426"/>
        <v>87</v>
      </c>
      <c r="AZ716">
        <f t="shared" si="427"/>
        <v>100</v>
      </c>
      <c r="BA716">
        <f t="shared" si="428"/>
        <v>107</v>
      </c>
      <c r="BB716">
        <f t="shared" si="429"/>
        <v>117</v>
      </c>
      <c r="BC716">
        <f t="shared" si="430"/>
        <v>120</v>
      </c>
      <c r="BD716" s="29">
        <f t="shared" si="431"/>
        <v>128</v>
      </c>
      <c r="BE716" s="29">
        <f t="shared" si="432"/>
        <v>131</v>
      </c>
    </row>
    <row r="717" spans="1:57" ht="15" x14ac:dyDescent="0.2">
      <c r="A717" s="2">
        <v>56</v>
      </c>
      <c r="B717" s="2" t="str">
        <f t="shared" si="397"/>
        <v>0056</v>
      </c>
      <c r="C717" t="str">
        <f t="shared" si="398"/>
        <v>ORD-BB-0056-13/09/24</v>
      </c>
      <c r="D717" s="3" t="s">
        <v>130</v>
      </c>
      <c r="E717" t="str">
        <f t="shared" si="399"/>
        <v>PP002</v>
      </c>
      <c r="F717" t="str">
        <f>INDEX(Katalog!$B$4:$B$13,MATCH('Main Data'!E717,Katalog!$C$4:$C$13,0))</f>
        <v>Celana Pendek</v>
      </c>
      <c r="G717" t="str">
        <f>VLOOKUP(E717,Katalog!$A$15:$B$25,2,0)</f>
        <v>Pakaian Pria</v>
      </c>
      <c r="H717" t="str">
        <f t="shared" si="400"/>
        <v>1</v>
      </c>
      <c r="I717" t="str">
        <f t="shared" si="401"/>
        <v>5</v>
      </c>
      <c r="J717" s="18">
        <f>VLOOKUP(E717,Katalog!$C$3:$F$13,2,0)</f>
        <v>60000</v>
      </c>
      <c r="K717" s="18">
        <f>VLOOKUP(E717,Katalog!$C$3:$F$13,3,0)</f>
        <v>25000</v>
      </c>
      <c r="L717" t="str">
        <f t="shared" si="402"/>
        <v>PU001</v>
      </c>
      <c r="M717" t="str">
        <f>IFERROR(INDEX(Katalog!$B$4:$B$13,MATCH('Main Data'!L717,Katalog!$C$4:$C$13,0)), "-")</f>
        <v>Jaket Hoodie</v>
      </c>
      <c r="N717" t="str">
        <f>IFERROR(VLOOKUP(L717,Katalog!$A$15:$B$25,2,0),"-")</f>
        <v>Pakaian Unisex</v>
      </c>
      <c r="O717" t="str">
        <f t="shared" si="403"/>
        <v>1</v>
      </c>
      <c r="P717" t="str">
        <f t="shared" si="404"/>
        <v>5</v>
      </c>
      <c r="Q717" s="18">
        <f>IFERROR(VLOOKUP(L717,Katalog!$C$3:$F$13,2,0),0)</f>
        <v>160000</v>
      </c>
      <c r="R717" s="18">
        <f>IFERROR(VLOOKUP(L717,Katalog!$C$3:$F$13,3,0),0)</f>
        <v>60000</v>
      </c>
      <c r="S717" t="str">
        <f t="shared" si="405"/>
        <v>-</v>
      </c>
      <c r="T717" t="str">
        <f>IFERROR(INDEX(Katalog!$B$4:$B$13,MATCH('Main Data'!S717,Katalog!$C$4:$C$13,0)),"-")</f>
        <v>-</v>
      </c>
      <c r="U717" t="str">
        <f>IFERROR(VLOOKUP(S717,Katalog!$A$15:$B$25,2,0),"-")</f>
        <v>-</v>
      </c>
      <c r="V717">
        <f t="shared" si="406"/>
        <v>0</v>
      </c>
      <c r="W717" s="28" t="str">
        <f t="shared" si="407"/>
        <v>-</v>
      </c>
      <c r="X717" s="18">
        <f>IFERROR(VLOOKUP(S717,Katalog!$C$3:$F$13,2,0),0)</f>
        <v>0</v>
      </c>
      <c r="Y717" s="30">
        <f>IFERROR(VLOOKUP(S717,Katalog!$C$3:$F$13,3,0),0)</f>
        <v>0</v>
      </c>
      <c r="Z717" s="2">
        <f t="shared" si="408"/>
        <v>2</v>
      </c>
      <c r="AA717" s="4">
        <f t="shared" si="409"/>
        <v>220000</v>
      </c>
      <c r="AB717" s="4">
        <f t="shared" si="410"/>
        <v>85000</v>
      </c>
      <c r="AC717" s="4" t="s">
        <v>27</v>
      </c>
      <c r="AD717" s="16">
        <f>IFERROR(VLOOKUP(AC717,'Kode Diskon'!$C$2:$D$9,2,0),0)</f>
        <v>0.15</v>
      </c>
      <c r="AE717" s="31">
        <f t="shared" si="411"/>
        <v>33000</v>
      </c>
      <c r="AF717" s="31">
        <f t="shared" si="412"/>
        <v>187000</v>
      </c>
      <c r="AG717" s="31">
        <f t="shared" si="413"/>
        <v>135000</v>
      </c>
      <c r="AH717" s="31">
        <f t="shared" si="414"/>
        <v>102000</v>
      </c>
      <c r="AI717" s="4" t="s">
        <v>28</v>
      </c>
      <c r="AJ717" s="4" t="s">
        <v>13</v>
      </c>
      <c r="AK717" s="4" t="str">
        <f>IFERROR(VLOOKUP(AJ717,'Guide '!$A$13:$B$16,2,0),"-")</f>
        <v>BB</v>
      </c>
      <c r="AL717" s="4" t="s">
        <v>921</v>
      </c>
      <c r="AM717" s="40">
        <v>45548</v>
      </c>
      <c r="AN717">
        <f t="shared" si="415"/>
        <v>29</v>
      </c>
      <c r="AO717">
        <f t="shared" si="416"/>
        <v>32</v>
      </c>
      <c r="AP717">
        <f t="shared" si="417"/>
        <v>40</v>
      </c>
      <c r="AQ717">
        <f t="shared" si="418"/>
        <v>43</v>
      </c>
      <c r="AR717" s="26">
        <f t="shared" si="419"/>
        <v>56</v>
      </c>
      <c r="AS717" s="26">
        <f t="shared" si="420"/>
        <v>63</v>
      </c>
      <c r="AT717" s="21">
        <f t="shared" si="421"/>
        <v>12</v>
      </c>
      <c r="AU717" s="21">
        <f t="shared" si="422"/>
        <v>19</v>
      </c>
      <c r="AV717">
        <f t="shared" si="423"/>
        <v>73</v>
      </c>
      <c r="AW717">
        <f t="shared" si="424"/>
        <v>76</v>
      </c>
      <c r="AX717">
        <f t="shared" si="425"/>
        <v>84</v>
      </c>
      <c r="AY717">
        <f t="shared" si="426"/>
        <v>87</v>
      </c>
      <c r="AZ717" t="str">
        <f t="shared" si="427"/>
        <v>-</v>
      </c>
      <c r="BA717" t="str">
        <f t="shared" si="428"/>
        <v>-</v>
      </c>
      <c r="BB717" t="str">
        <f t="shared" si="429"/>
        <v>-</v>
      </c>
      <c r="BC717" t="str">
        <f t="shared" si="430"/>
        <v>-</v>
      </c>
      <c r="BD717" s="29" t="str">
        <f t="shared" si="431"/>
        <v>-</v>
      </c>
      <c r="BE717" s="29" t="str">
        <f t="shared" si="432"/>
        <v>-</v>
      </c>
    </row>
    <row r="718" spans="1:57" ht="15" x14ac:dyDescent="0.2">
      <c r="A718" s="2">
        <v>168</v>
      </c>
      <c r="B718" s="2" t="str">
        <f t="shared" si="397"/>
        <v>0168</v>
      </c>
      <c r="C718" t="str">
        <f t="shared" si="398"/>
        <v>ORD-TK-0168-13/09/24</v>
      </c>
      <c r="D718" s="3" t="s">
        <v>237</v>
      </c>
      <c r="E718" t="str">
        <f t="shared" si="399"/>
        <v>PW001</v>
      </c>
      <c r="F718" t="str">
        <f>INDEX(Katalog!$B$4:$B$13,MATCH('Main Data'!E718,Katalog!$C$4:$C$13,0))</f>
        <v>Dress</v>
      </c>
      <c r="G718" t="str">
        <f>VLOOKUP(E718,Katalog!$A$15:$B$25,2,0)</f>
        <v>Pakaian Wanita</v>
      </c>
      <c r="H718" t="str">
        <f t="shared" si="400"/>
        <v>2</v>
      </c>
      <c r="I718" t="str">
        <f t="shared" si="401"/>
        <v>3</v>
      </c>
      <c r="J718" s="18">
        <f>VLOOKUP(E718,Katalog!$C$3:$F$13,2,0)</f>
        <v>150000</v>
      </c>
      <c r="K718" s="18">
        <f>VLOOKUP(E718,Katalog!$C$3:$F$13,3,0)</f>
        <v>55000</v>
      </c>
      <c r="L718" t="str">
        <f t="shared" si="402"/>
        <v>PW003</v>
      </c>
      <c r="M718" t="str">
        <f>IFERROR(INDEX(Katalog!$B$4:$B$13,MATCH('Main Data'!L718,Katalog!$C$4:$C$13,0)), "-")</f>
        <v>Kaftan</v>
      </c>
      <c r="N718" t="str">
        <f>IFERROR(VLOOKUP(L718,Katalog!$A$15:$B$25,2,0),"-")</f>
        <v>Pakaian Wanita</v>
      </c>
      <c r="O718" t="str">
        <f t="shared" si="403"/>
        <v>1</v>
      </c>
      <c r="P718" t="str">
        <f t="shared" si="404"/>
        <v>4</v>
      </c>
      <c r="Q718" s="18">
        <f>IFERROR(VLOOKUP(L718,Katalog!$C$3:$F$13,2,0),0)</f>
        <v>200000</v>
      </c>
      <c r="R718" s="18">
        <f>IFERROR(VLOOKUP(L718,Katalog!$C$3:$F$13,3,0),0)</f>
        <v>100000</v>
      </c>
      <c r="S718" t="str">
        <f t="shared" si="405"/>
        <v>-</v>
      </c>
      <c r="T718" t="str">
        <f>IFERROR(INDEX(Katalog!$B$4:$B$13,MATCH('Main Data'!S718,Katalog!$C$4:$C$13,0)),"-")</f>
        <v>-</v>
      </c>
      <c r="U718" t="str">
        <f>IFERROR(VLOOKUP(S718,Katalog!$A$15:$B$25,2,0),"-")</f>
        <v>-</v>
      </c>
      <c r="V718">
        <f t="shared" si="406"/>
        <v>0</v>
      </c>
      <c r="W718" s="28" t="str">
        <f t="shared" si="407"/>
        <v>-</v>
      </c>
      <c r="X718" s="18">
        <f>IFERROR(VLOOKUP(S718,Katalog!$C$3:$F$13,2,0),0)</f>
        <v>0</v>
      </c>
      <c r="Y718" s="30">
        <f>IFERROR(VLOOKUP(S718,Katalog!$C$3:$F$13,3,0),0)</f>
        <v>0</v>
      </c>
      <c r="Z718" s="2">
        <f t="shared" si="408"/>
        <v>3</v>
      </c>
      <c r="AA718" s="4">
        <f t="shared" si="409"/>
        <v>500000</v>
      </c>
      <c r="AB718" s="4">
        <f t="shared" si="410"/>
        <v>210000</v>
      </c>
      <c r="AC718" s="4" t="s">
        <v>10</v>
      </c>
      <c r="AD718" s="16">
        <f>IFERROR(VLOOKUP(AC718,'Kode Diskon'!$C$2:$D$9,2,0),0)</f>
        <v>0</v>
      </c>
      <c r="AE718" s="31">
        <f t="shared" si="411"/>
        <v>0</v>
      </c>
      <c r="AF718" s="31">
        <f t="shared" si="412"/>
        <v>500000</v>
      </c>
      <c r="AG718" s="31">
        <f t="shared" si="413"/>
        <v>290000</v>
      </c>
      <c r="AH718" s="31">
        <f t="shared" si="414"/>
        <v>290000</v>
      </c>
      <c r="AI718" s="4" t="s">
        <v>10</v>
      </c>
      <c r="AJ718" s="4" t="s">
        <v>9</v>
      </c>
      <c r="AK718" s="4" t="str">
        <f>IFERROR(VLOOKUP(AJ718,'Guide '!$A$13:$B$16,2,0),"-")</f>
        <v>TK</v>
      </c>
      <c r="AL718" s="4" t="s">
        <v>922</v>
      </c>
      <c r="AM718" s="40">
        <v>45548</v>
      </c>
      <c r="AN718">
        <f t="shared" si="415"/>
        <v>29</v>
      </c>
      <c r="AO718">
        <f t="shared" si="416"/>
        <v>32</v>
      </c>
      <c r="AP718">
        <f t="shared" si="417"/>
        <v>40</v>
      </c>
      <c r="AQ718">
        <f t="shared" si="418"/>
        <v>43</v>
      </c>
      <c r="AR718" s="26">
        <f t="shared" si="419"/>
        <v>56</v>
      </c>
      <c r="AS718" s="26">
        <f t="shared" si="420"/>
        <v>63</v>
      </c>
      <c r="AT718" s="21">
        <f t="shared" si="421"/>
        <v>12</v>
      </c>
      <c r="AU718" s="21">
        <f t="shared" si="422"/>
        <v>19</v>
      </c>
      <c r="AV718">
        <f t="shared" si="423"/>
        <v>73</v>
      </c>
      <c r="AW718">
        <f t="shared" si="424"/>
        <v>76</v>
      </c>
      <c r="AX718">
        <f t="shared" si="425"/>
        <v>84</v>
      </c>
      <c r="AY718">
        <f t="shared" si="426"/>
        <v>87</v>
      </c>
      <c r="AZ718" t="str">
        <f t="shared" si="427"/>
        <v>-</v>
      </c>
      <c r="BA718" t="str">
        <f t="shared" si="428"/>
        <v>-</v>
      </c>
      <c r="BB718" t="str">
        <f t="shared" si="429"/>
        <v>-</v>
      </c>
      <c r="BC718" t="str">
        <f t="shared" si="430"/>
        <v>-</v>
      </c>
      <c r="BD718" s="29" t="str">
        <f t="shared" si="431"/>
        <v>-</v>
      </c>
      <c r="BE718" s="29" t="str">
        <f t="shared" si="432"/>
        <v>-</v>
      </c>
    </row>
    <row r="719" spans="1:57" ht="15" x14ac:dyDescent="0.2">
      <c r="A719" s="2">
        <v>315</v>
      </c>
      <c r="B719" s="2" t="str">
        <f t="shared" si="397"/>
        <v>0315</v>
      </c>
      <c r="C719" t="str">
        <f t="shared" si="398"/>
        <v>ORD-BB-0315-13/09/24</v>
      </c>
      <c r="D719" s="3" t="s">
        <v>370</v>
      </c>
      <c r="E719" t="str">
        <f t="shared" si="399"/>
        <v>SP002</v>
      </c>
      <c r="F719" t="str">
        <f>INDEX(Katalog!$B$4:$B$13,MATCH('Main Data'!E719,Katalog!$C$4:$C$13,0))</f>
        <v>Sandal Slip On</v>
      </c>
      <c r="G719" t="str">
        <f>VLOOKUP(E719,Katalog!$A$15:$B$25,2,0)</f>
        <v>Sepatu Pria</v>
      </c>
      <c r="H719" t="str">
        <f t="shared" si="400"/>
        <v>1</v>
      </c>
      <c r="I719" t="str">
        <f t="shared" si="401"/>
        <v>5</v>
      </c>
      <c r="J719" s="18">
        <f>VLOOKUP(E719,Katalog!$C$3:$F$13,2,0)</f>
        <v>120000</v>
      </c>
      <c r="K719" s="18">
        <f>VLOOKUP(E719,Katalog!$C$3:$F$13,3,0)</f>
        <v>60000</v>
      </c>
      <c r="L719" t="str">
        <f t="shared" si="402"/>
        <v>PP001</v>
      </c>
      <c r="M719" t="str">
        <f>IFERROR(INDEX(Katalog!$B$4:$B$13,MATCH('Main Data'!L719,Katalog!$C$4:$C$13,0)), "-")</f>
        <v>Kaos Polo</v>
      </c>
      <c r="N719" t="str">
        <f>IFERROR(VLOOKUP(L719,Katalog!$A$15:$B$25,2,0),"-")</f>
        <v>Pakaian Pria</v>
      </c>
      <c r="O719" t="str">
        <f t="shared" si="403"/>
        <v>1</v>
      </c>
      <c r="P719" t="str">
        <f t="shared" si="404"/>
        <v>1</v>
      </c>
      <c r="Q719" s="18">
        <f>IFERROR(VLOOKUP(L719,Katalog!$C$3:$F$13,2,0),0)</f>
        <v>80000</v>
      </c>
      <c r="R719" s="18">
        <f>IFERROR(VLOOKUP(L719,Katalog!$C$3:$F$13,3,0),0)</f>
        <v>30000</v>
      </c>
      <c r="S719" t="str">
        <f t="shared" si="405"/>
        <v>PW001</v>
      </c>
      <c r="T719" t="str">
        <f>IFERROR(INDEX(Katalog!$B$4:$B$13,MATCH('Main Data'!S719,Katalog!$C$4:$C$13,0)),"-")</f>
        <v>Dress</v>
      </c>
      <c r="U719" t="str">
        <f>IFERROR(VLOOKUP(S719,Katalog!$A$15:$B$25,2,0),"-")</f>
        <v>Pakaian Wanita</v>
      </c>
      <c r="V719" t="str">
        <f t="shared" si="406"/>
        <v>1</v>
      </c>
      <c r="W719" s="28" t="str">
        <f t="shared" si="407"/>
        <v>1</v>
      </c>
      <c r="X719" s="18">
        <f>IFERROR(VLOOKUP(S719,Katalog!$C$3:$F$13,2,0),0)</f>
        <v>150000</v>
      </c>
      <c r="Y719" s="30">
        <f>IFERROR(VLOOKUP(S719,Katalog!$C$3:$F$13,3,0),0)</f>
        <v>55000</v>
      </c>
      <c r="Z719" s="2">
        <f t="shared" si="408"/>
        <v>3</v>
      </c>
      <c r="AA719" s="4">
        <f t="shared" si="409"/>
        <v>350000</v>
      </c>
      <c r="AB719" s="4">
        <f t="shared" si="410"/>
        <v>145000</v>
      </c>
      <c r="AC719" s="4" t="s">
        <v>27</v>
      </c>
      <c r="AD719" s="16">
        <f>IFERROR(VLOOKUP(AC719,'Kode Diskon'!$C$2:$D$9,2,0),0)</f>
        <v>0.15</v>
      </c>
      <c r="AE719" s="31">
        <f t="shared" si="411"/>
        <v>52500</v>
      </c>
      <c r="AF719" s="31">
        <f t="shared" si="412"/>
        <v>297500</v>
      </c>
      <c r="AG719" s="31">
        <f t="shared" si="413"/>
        <v>205000</v>
      </c>
      <c r="AH719" s="31">
        <f t="shared" si="414"/>
        <v>152500</v>
      </c>
      <c r="AI719" s="4" t="s">
        <v>28</v>
      </c>
      <c r="AJ719" s="4" t="s">
        <v>13</v>
      </c>
      <c r="AK719" s="4" t="str">
        <f>IFERROR(VLOOKUP(AJ719,'Guide '!$A$13:$B$16,2,0),"-")</f>
        <v>BB</v>
      </c>
      <c r="AL719" s="4" t="s">
        <v>922</v>
      </c>
      <c r="AM719" s="40">
        <v>45548</v>
      </c>
      <c r="AN719">
        <f t="shared" si="415"/>
        <v>29</v>
      </c>
      <c r="AO719">
        <f t="shared" si="416"/>
        <v>32</v>
      </c>
      <c r="AP719">
        <f t="shared" si="417"/>
        <v>40</v>
      </c>
      <c r="AQ719">
        <f t="shared" si="418"/>
        <v>43</v>
      </c>
      <c r="AR719" s="26">
        <f t="shared" si="419"/>
        <v>56</v>
      </c>
      <c r="AS719" s="26">
        <f t="shared" si="420"/>
        <v>63</v>
      </c>
      <c r="AT719" s="21">
        <f t="shared" si="421"/>
        <v>12</v>
      </c>
      <c r="AU719" s="21">
        <f t="shared" si="422"/>
        <v>19</v>
      </c>
      <c r="AV719">
        <f t="shared" si="423"/>
        <v>73</v>
      </c>
      <c r="AW719">
        <f t="shared" si="424"/>
        <v>76</v>
      </c>
      <c r="AX719">
        <f t="shared" si="425"/>
        <v>84</v>
      </c>
      <c r="AY719">
        <f t="shared" si="426"/>
        <v>87</v>
      </c>
      <c r="AZ719">
        <f t="shared" si="427"/>
        <v>100</v>
      </c>
      <c r="BA719">
        <f t="shared" si="428"/>
        <v>107</v>
      </c>
      <c r="BB719">
        <f t="shared" si="429"/>
        <v>117</v>
      </c>
      <c r="BC719">
        <f t="shared" si="430"/>
        <v>120</v>
      </c>
      <c r="BD719" s="29">
        <f t="shared" si="431"/>
        <v>128</v>
      </c>
      <c r="BE719" s="29">
        <f t="shared" si="432"/>
        <v>131</v>
      </c>
    </row>
    <row r="720" spans="1:57" ht="15" x14ac:dyDescent="0.2">
      <c r="A720" s="2">
        <v>904</v>
      </c>
      <c r="B720" s="2" t="str">
        <f t="shared" si="397"/>
        <v>0904</v>
      </c>
      <c r="C720" t="str">
        <f t="shared" si="398"/>
        <v>ORD-TK-0904-13/09/24</v>
      </c>
      <c r="D720" s="3" t="s">
        <v>842</v>
      </c>
      <c r="E720" t="str">
        <f t="shared" si="399"/>
        <v>SP001</v>
      </c>
      <c r="F720" t="str">
        <f>INDEX(Katalog!$B$4:$B$13,MATCH('Main Data'!E720,Katalog!$C$4:$C$13,0))</f>
        <v>Sneakers</v>
      </c>
      <c r="G720" t="str">
        <f>VLOOKUP(E720,Katalog!$A$15:$B$25,2,0)</f>
        <v>Sepatu Pria</v>
      </c>
      <c r="H720" t="str">
        <f t="shared" si="400"/>
        <v>4</v>
      </c>
      <c r="I720" t="str">
        <f t="shared" si="401"/>
        <v>4</v>
      </c>
      <c r="J720" s="18">
        <f>VLOOKUP(E720,Katalog!$C$3:$F$13,2,0)</f>
        <v>300000</v>
      </c>
      <c r="K720" s="18">
        <f>VLOOKUP(E720,Katalog!$C$3:$F$13,3,0)</f>
        <v>100000</v>
      </c>
      <c r="L720" t="str">
        <f t="shared" si="402"/>
        <v>SP002</v>
      </c>
      <c r="M720" t="str">
        <f>IFERROR(INDEX(Katalog!$B$4:$B$13,MATCH('Main Data'!L720,Katalog!$C$4:$C$13,0)), "-")</f>
        <v>Sandal Slip On</v>
      </c>
      <c r="N720" t="str">
        <f>IFERROR(VLOOKUP(L720,Katalog!$A$15:$B$25,2,0),"-")</f>
        <v>Sepatu Pria</v>
      </c>
      <c r="O720" t="str">
        <f t="shared" si="403"/>
        <v>1</v>
      </c>
      <c r="P720" t="str">
        <f t="shared" si="404"/>
        <v>5</v>
      </c>
      <c r="Q720" s="18">
        <f>IFERROR(VLOOKUP(L720,Katalog!$C$3:$F$13,2,0),0)</f>
        <v>120000</v>
      </c>
      <c r="R720" s="18">
        <f>IFERROR(VLOOKUP(L720,Katalog!$C$3:$F$13,3,0),0)</f>
        <v>60000</v>
      </c>
      <c r="S720" t="str">
        <f t="shared" si="405"/>
        <v>PP003</v>
      </c>
      <c r="T720" t="str">
        <f>IFERROR(INDEX(Katalog!$B$4:$B$13,MATCH('Main Data'!S720,Katalog!$C$4:$C$13,0)),"-")</f>
        <v>Jaket Jeans</v>
      </c>
      <c r="U720" t="str">
        <f>IFERROR(VLOOKUP(S720,Katalog!$A$15:$B$25,2,0),"-")</f>
        <v>Pakaian Pria</v>
      </c>
      <c r="V720" t="str">
        <f t="shared" si="406"/>
        <v>1</v>
      </c>
      <c r="W720" s="28" t="str">
        <f t="shared" si="407"/>
        <v>4</v>
      </c>
      <c r="X720" s="18">
        <f>IFERROR(VLOOKUP(S720,Katalog!$C$3:$F$13,2,0),0)</f>
        <v>150000</v>
      </c>
      <c r="Y720" s="30">
        <f>IFERROR(VLOOKUP(S720,Katalog!$C$3:$F$13,3,0),0)</f>
        <v>70000</v>
      </c>
      <c r="Z720" s="2">
        <f t="shared" si="408"/>
        <v>6</v>
      </c>
      <c r="AA720" s="4">
        <f t="shared" si="409"/>
        <v>1470000</v>
      </c>
      <c r="AB720" s="4">
        <f t="shared" si="410"/>
        <v>530000</v>
      </c>
      <c r="AC720" s="4" t="s">
        <v>30</v>
      </c>
      <c r="AD720" s="16">
        <f>IFERROR(VLOOKUP(AC720,'Kode Diskon'!$C$2:$D$9,2,0),0)</f>
        <v>0.1</v>
      </c>
      <c r="AE720" s="31">
        <f t="shared" si="411"/>
        <v>147000</v>
      </c>
      <c r="AF720" s="31">
        <f t="shared" si="412"/>
        <v>1323000</v>
      </c>
      <c r="AG720" s="31">
        <f t="shared" si="413"/>
        <v>940000</v>
      </c>
      <c r="AH720" s="31">
        <f t="shared" si="414"/>
        <v>793000</v>
      </c>
      <c r="AI720" s="4" t="s">
        <v>8</v>
      </c>
      <c r="AJ720" s="4" t="s">
        <v>9</v>
      </c>
      <c r="AK720" s="4" t="str">
        <f>IFERROR(VLOOKUP(AJ720,'Guide '!$A$13:$B$16,2,0),"-")</f>
        <v>TK</v>
      </c>
      <c r="AL720" s="4" t="s">
        <v>925</v>
      </c>
      <c r="AM720" s="40">
        <v>45548</v>
      </c>
      <c r="AN720">
        <f t="shared" si="415"/>
        <v>29</v>
      </c>
      <c r="AO720">
        <f t="shared" si="416"/>
        <v>32</v>
      </c>
      <c r="AP720">
        <f t="shared" si="417"/>
        <v>40</v>
      </c>
      <c r="AQ720">
        <f t="shared" si="418"/>
        <v>43</v>
      </c>
      <c r="AR720" s="26">
        <f t="shared" si="419"/>
        <v>56</v>
      </c>
      <c r="AS720" s="26">
        <f t="shared" si="420"/>
        <v>63</v>
      </c>
      <c r="AT720" s="21">
        <f t="shared" si="421"/>
        <v>12</v>
      </c>
      <c r="AU720" s="21">
        <f t="shared" si="422"/>
        <v>19</v>
      </c>
      <c r="AV720">
        <f t="shared" si="423"/>
        <v>73</v>
      </c>
      <c r="AW720">
        <f t="shared" si="424"/>
        <v>76</v>
      </c>
      <c r="AX720">
        <f t="shared" si="425"/>
        <v>84</v>
      </c>
      <c r="AY720">
        <f t="shared" si="426"/>
        <v>87</v>
      </c>
      <c r="AZ720">
        <f t="shared" si="427"/>
        <v>100</v>
      </c>
      <c r="BA720">
        <f t="shared" si="428"/>
        <v>107</v>
      </c>
      <c r="BB720">
        <f t="shared" si="429"/>
        <v>117</v>
      </c>
      <c r="BC720">
        <f t="shared" si="430"/>
        <v>120</v>
      </c>
      <c r="BD720" s="29">
        <f t="shared" si="431"/>
        <v>128</v>
      </c>
      <c r="BE720" s="29">
        <f t="shared" si="432"/>
        <v>131</v>
      </c>
    </row>
    <row r="721" spans="1:57" ht="15" x14ac:dyDescent="0.2">
      <c r="A721" s="2">
        <v>61</v>
      </c>
      <c r="B721" s="2" t="str">
        <f t="shared" si="397"/>
        <v>0061</v>
      </c>
      <c r="C721" t="str">
        <f t="shared" si="398"/>
        <v>ORD-SP-0061-15/09/24</v>
      </c>
      <c r="D721" s="3" t="s">
        <v>135</v>
      </c>
      <c r="E721" t="str">
        <f t="shared" si="399"/>
        <v>SP001</v>
      </c>
      <c r="F721" t="str">
        <f>INDEX(Katalog!$B$4:$B$13,MATCH('Main Data'!E721,Katalog!$C$4:$C$13,0))</f>
        <v>Sneakers</v>
      </c>
      <c r="G721" t="str">
        <f>VLOOKUP(E721,Katalog!$A$15:$B$25,2,0)</f>
        <v>Sepatu Pria</v>
      </c>
      <c r="H721" t="str">
        <f t="shared" si="400"/>
        <v>2</v>
      </c>
      <c r="I721" t="str">
        <f t="shared" si="401"/>
        <v>1</v>
      </c>
      <c r="J721" s="18">
        <f>VLOOKUP(E721,Katalog!$C$3:$F$13,2,0)</f>
        <v>300000</v>
      </c>
      <c r="K721" s="18">
        <f>VLOOKUP(E721,Katalog!$C$3:$F$13,3,0)</f>
        <v>100000</v>
      </c>
      <c r="L721" t="str">
        <f t="shared" si="402"/>
        <v>PP001</v>
      </c>
      <c r="M721" t="str">
        <f>IFERROR(INDEX(Katalog!$B$4:$B$13,MATCH('Main Data'!L721,Katalog!$C$4:$C$13,0)), "-")</f>
        <v>Kaos Polo</v>
      </c>
      <c r="N721" t="str">
        <f>IFERROR(VLOOKUP(L721,Katalog!$A$15:$B$25,2,0),"-")</f>
        <v>Pakaian Pria</v>
      </c>
      <c r="O721" t="str">
        <f t="shared" si="403"/>
        <v>1</v>
      </c>
      <c r="P721" t="str">
        <f t="shared" si="404"/>
        <v>4</v>
      </c>
      <c r="Q721" s="18">
        <f>IFERROR(VLOOKUP(L721,Katalog!$C$3:$F$13,2,0),0)</f>
        <v>80000</v>
      </c>
      <c r="R721" s="18">
        <f>IFERROR(VLOOKUP(L721,Katalog!$C$3:$F$13,3,0),0)</f>
        <v>30000</v>
      </c>
      <c r="S721" t="str">
        <f t="shared" si="405"/>
        <v>-</v>
      </c>
      <c r="T721" t="str">
        <f>IFERROR(INDEX(Katalog!$B$4:$B$13,MATCH('Main Data'!S721,Katalog!$C$4:$C$13,0)),"-")</f>
        <v>-</v>
      </c>
      <c r="U721" t="str">
        <f>IFERROR(VLOOKUP(S721,Katalog!$A$15:$B$25,2,0),"-")</f>
        <v>-</v>
      </c>
      <c r="V721">
        <f t="shared" si="406"/>
        <v>0</v>
      </c>
      <c r="W721" s="28" t="str">
        <f t="shared" si="407"/>
        <v>-</v>
      </c>
      <c r="X721" s="18">
        <f>IFERROR(VLOOKUP(S721,Katalog!$C$3:$F$13,2,0),0)</f>
        <v>0</v>
      </c>
      <c r="Y721" s="30">
        <f>IFERROR(VLOOKUP(S721,Katalog!$C$3:$F$13,3,0),0)</f>
        <v>0</v>
      </c>
      <c r="Z721" s="2">
        <f t="shared" si="408"/>
        <v>3</v>
      </c>
      <c r="AA721" s="4">
        <f t="shared" si="409"/>
        <v>680000</v>
      </c>
      <c r="AB721" s="4">
        <f t="shared" si="410"/>
        <v>230000</v>
      </c>
      <c r="AC721" s="4" t="s">
        <v>5</v>
      </c>
      <c r="AD721" s="16">
        <f>IFERROR(VLOOKUP(AC721,'Kode Diskon'!$C$2:$D$9,2,0),0)</f>
        <v>0.1</v>
      </c>
      <c r="AE721" s="31">
        <f t="shared" si="411"/>
        <v>68000</v>
      </c>
      <c r="AF721" s="31">
        <f t="shared" si="412"/>
        <v>612000</v>
      </c>
      <c r="AG721" s="31">
        <f t="shared" si="413"/>
        <v>450000</v>
      </c>
      <c r="AH721" s="31">
        <f t="shared" si="414"/>
        <v>382000</v>
      </c>
      <c r="AI721" s="4" t="s">
        <v>28</v>
      </c>
      <c r="AJ721" s="4" t="s">
        <v>6</v>
      </c>
      <c r="AK721" s="4" t="str">
        <f>IFERROR(VLOOKUP(AJ721,'Guide '!$A$13:$B$16,2,0),"-")</f>
        <v>SP</v>
      </c>
      <c r="AL721" s="4" t="s">
        <v>922</v>
      </c>
      <c r="AM721" s="40">
        <v>45550</v>
      </c>
      <c r="AN721">
        <f t="shared" si="415"/>
        <v>29</v>
      </c>
      <c r="AO721">
        <f t="shared" si="416"/>
        <v>32</v>
      </c>
      <c r="AP721">
        <f t="shared" si="417"/>
        <v>40</v>
      </c>
      <c r="AQ721">
        <f t="shared" si="418"/>
        <v>43</v>
      </c>
      <c r="AR721" s="26">
        <f t="shared" si="419"/>
        <v>56</v>
      </c>
      <c r="AS721" s="26">
        <f t="shared" si="420"/>
        <v>63</v>
      </c>
      <c r="AT721" s="21">
        <f t="shared" si="421"/>
        <v>12</v>
      </c>
      <c r="AU721" s="21">
        <f t="shared" si="422"/>
        <v>19</v>
      </c>
      <c r="AV721">
        <f t="shared" si="423"/>
        <v>73</v>
      </c>
      <c r="AW721">
        <f t="shared" si="424"/>
        <v>76</v>
      </c>
      <c r="AX721">
        <f t="shared" si="425"/>
        <v>84</v>
      </c>
      <c r="AY721">
        <f t="shared" si="426"/>
        <v>87</v>
      </c>
      <c r="AZ721" t="str">
        <f t="shared" si="427"/>
        <v>-</v>
      </c>
      <c r="BA721" t="str">
        <f t="shared" si="428"/>
        <v>-</v>
      </c>
      <c r="BB721" t="str">
        <f t="shared" si="429"/>
        <v>-</v>
      </c>
      <c r="BC721" t="str">
        <f t="shared" si="430"/>
        <v>-</v>
      </c>
      <c r="BD721" s="29" t="str">
        <f t="shared" si="431"/>
        <v>-</v>
      </c>
      <c r="BE721" s="29" t="str">
        <f t="shared" si="432"/>
        <v>-</v>
      </c>
    </row>
    <row r="722" spans="1:57" ht="15" x14ac:dyDescent="0.2">
      <c r="A722" s="2">
        <v>369</v>
      </c>
      <c r="B722" s="2" t="str">
        <f t="shared" si="397"/>
        <v>0369</v>
      </c>
      <c r="C722" t="str">
        <f t="shared" si="398"/>
        <v>ORD-SP-0369-15/09/24</v>
      </c>
      <c r="D722" s="3" t="s">
        <v>419</v>
      </c>
      <c r="E722" t="str">
        <f t="shared" si="399"/>
        <v>PW001</v>
      </c>
      <c r="F722" t="str">
        <f>INDEX(Katalog!$B$4:$B$13,MATCH('Main Data'!E722,Katalog!$C$4:$C$13,0))</f>
        <v>Dress</v>
      </c>
      <c r="G722" t="str">
        <f>VLOOKUP(E722,Katalog!$A$15:$B$25,2,0)</f>
        <v>Pakaian Wanita</v>
      </c>
      <c r="H722" t="str">
        <f t="shared" si="400"/>
        <v>1</v>
      </c>
      <c r="I722" t="str">
        <f t="shared" si="401"/>
        <v>1</v>
      </c>
      <c r="J722" s="18">
        <f>VLOOKUP(E722,Katalog!$C$3:$F$13,2,0)</f>
        <v>150000</v>
      </c>
      <c r="K722" s="18">
        <f>VLOOKUP(E722,Katalog!$C$3:$F$13,3,0)</f>
        <v>55000</v>
      </c>
      <c r="L722" t="str">
        <f t="shared" si="402"/>
        <v>-</v>
      </c>
      <c r="M722" t="str">
        <f>IFERROR(INDEX(Katalog!$B$4:$B$13,MATCH('Main Data'!L722,Katalog!$C$4:$C$13,0)), "-")</f>
        <v>-</v>
      </c>
      <c r="N722" t="str">
        <f>IFERROR(VLOOKUP(L722,Katalog!$A$15:$B$25,2,0),"-")</f>
        <v>-</v>
      </c>
      <c r="O722">
        <f t="shared" si="403"/>
        <v>0</v>
      </c>
      <c r="P722" t="str">
        <f t="shared" si="404"/>
        <v>-</v>
      </c>
      <c r="Q722" s="18">
        <f>IFERROR(VLOOKUP(L722,Katalog!$C$3:$F$13,2,0),0)</f>
        <v>0</v>
      </c>
      <c r="R722" s="18">
        <f>IFERROR(VLOOKUP(L722,Katalog!$C$3:$F$13,3,0),0)</f>
        <v>0</v>
      </c>
      <c r="S722" t="str">
        <f t="shared" si="405"/>
        <v>-</v>
      </c>
      <c r="T722" t="str">
        <f>IFERROR(INDEX(Katalog!$B$4:$B$13,MATCH('Main Data'!S722,Katalog!$C$4:$C$13,0)),"-")</f>
        <v>-</v>
      </c>
      <c r="U722" t="str">
        <f>IFERROR(VLOOKUP(S722,Katalog!$A$15:$B$25,2,0),"-")</f>
        <v>-</v>
      </c>
      <c r="V722">
        <f t="shared" si="406"/>
        <v>0</v>
      </c>
      <c r="W722" s="28" t="str">
        <f t="shared" si="407"/>
        <v>-</v>
      </c>
      <c r="X722" s="18">
        <f>IFERROR(VLOOKUP(S722,Katalog!$C$3:$F$13,2,0),0)</f>
        <v>0</v>
      </c>
      <c r="Y722" s="30">
        <f>IFERROR(VLOOKUP(S722,Katalog!$C$3:$F$13,3,0),0)</f>
        <v>0</v>
      </c>
      <c r="Z722" s="2">
        <f t="shared" si="408"/>
        <v>1</v>
      </c>
      <c r="AA722" s="4">
        <f t="shared" si="409"/>
        <v>150000</v>
      </c>
      <c r="AB722" s="4">
        <f t="shared" si="410"/>
        <v>55000</v>
      </c>
      <c r="AC722" s="4" t="s">
        <v>10</v>
      </c>
      <c r="AD722" s="16">
        <f>IFERROR(VLOOKUP(AC722,'Kode Diskon'!$C$2:$D$9,2,0),0)</f>
        <v>0</v>
      </c>
      <c r="AE722" s="31">
        <f t="shared" si="411"/>
        <v>0</v>
      </c>
      <c r="AF722" s="31">
        <f t="shared" si="412"/>
        <v>150000</v>
      </c>
      <c r="AG722" s="31">
        <f t="shared" si="413"/>
        <v>95000</v>
      </c>
      <c r="AH722" s="31">
        <f t="shared" si="414"/>
        <v>95000</v>
      </c>
      <c r="AI722" s="4" t="s">
        <v>10</v>
      </c>
      <c r="AJ722" s="4" t="s">
        <v>6</v>
      </c>
      <c r="AK722" s="4" t="str">
        <f>IFERROR(VLOOKUP(AJ722,'Guide '!$A$13:$B$16,2,0),"-")</f>
        <v>SP</v>
      </c>
      <c r="AL722" s="4" t="s">
        <v>921</v>
      </c>
      <c r="AM722" s="40">
        <v>45550</v>
      </c>
      <c r="AN722">
        <f t="shared" si="415"/>
        <v>29</v>
      </c>
      <c r="AO722">
        <f t="shared" si="416"/>
        <v>32</v>
      </c>
      <c r="AP722">
        <f t="shared" si="417"/>
        <v>40</v>
      </c>
      <c r="AQ722">
        <f t="shared" si="418"/>
        <v>43</v>
      </c>
      <c r="AR722" s="26" t="str">
        <f t="shared" si="419"/>
        <v>-</v>
      </c>
      <c r="AS722" s="26" t="str">
        <f t="shared" si="420"/>
        <v>-</v>
      </c>
      <c r="AT722" s="21">
        <f t="shared" si="421"/>
        <v>12</v>
      </c>
      <c r="AU722" s="21">
        <f t="shared" si="422"/>
        <v>19</v>
      </c>
      <c r="AV722" t="str">
        <f t="shared" si="423"/>
        <v>-</v>
      </c>
      <c r="AW722" t="str">
        <f t="shared" si="424"/>
        <v>-</v>
      </c>
      <c r="AX722" t="str">
        <f t="shared" si="425"/>
        <v>-</v>
      </c>
      <c r="AY722" t="str">
        <f t="shared" si="426"/>
        <v>-</v>
      </c>
      <c r="AZ722" t="str">
        <f t="shared" si="427"/>
        <v>-</v>
      </c>
      <c r="BA722" t="str">
        <f t="shared" si="428"/>
        <v>-</v>
      </c>
      <c r="BB722" t="str">
        <f t="shared" si="429"/>
        <v>-</v>
      </c>
      <c r="BC722" t="str">
        <f t="shared" si="430"/>
        <v>-</v>
      </c>
      <c r="BD722" s="29" t="str">
        <f t="shared" si="431"/>
        <v>-</v>
      </c>
      <c r="BE722" s="29" t="str">
        <f t="shared" si="432"/>
        <v>-</v>
      </c>
    </row>
    <row r="723" spans="1:57" ht="15" x14ac:dyDescent="0.2">
      <c r="A723" s="2">
        <v>550</v>
      </c>
      <c r="B723" s="2" t="str">
        <f t="shared" si="397"/>
        <v>0550</v>
      </c>
      <c r="C723" t="str">
        <f t="shared" si="398"/>
        <v>ORD-SP-0550-15/09/24</v>
      </c>
      <c r="D723" s="3" t="s">
        <v>90</v>
      </c>
      <c r="E723" t="str">
        <f t="shared" si="399"/>
        <v>PP001</v>
      </c>
      <c r="F723" t="str">
        <f>INDEX(Katalog!$B$4:$B$13,MATCH('Main Data'!E723,Katalog!$C$4:$C$13,0))</f>
        <v>Kaos Polo</v>
      </c>
      <c r="G723" t="str">
        <f>VLOOKUP(E723,Katalog!$A$15:$B$25,2,0)</f>
        <v>Pakaian Pria</v>
      </c>
      <c r="H723" t="str">
        <f t="shared" si="400"/>
        <v>1</v>
      </c>
      <c r="I723" t="str">
        <f t="shared" si="401"/>
        <v>1</v>
      </c>
      <c r="J723" s="18">
        <f>VLOOKUP(E723,Katalog!$C$3:$F$13,2,0)</f>
        <v>80000</v>
      </c>
      <c r="K723" s="18">
        <f>VLOOKUP(E723,Katalog!$C$3:$F$13,3,0)</f>
        <v>30000</v>
      </c>
      <c r="L723" t="str">
        <f t="shared" si="402"/>
        <v>-</v>
      </c>
      <c r="M723" t="str">
        <f>IFERROR(INDEX(Katalog!$B$4:$B$13,MATCH('Main Data'!L723,Katalog!$C$4:$C$13,0)), "-")</f>
        <v>-</v>
      </c>
      <c r="N723" t="str">
        <f>IFERROR(VLOOKUP(L723,Katalog!$A$15:$B$25,2,0),"-")</f>
        <v>-</v>
      </c>
      <c r="O723">
        <f t="shared" si="403"/>
        <v>0</v>
      </c>
      <c r="P723" t="str">
        <f t="shared" si="404"/>
        <v>-</v>
      </c>
      <c r="Q723" s="18">
        <f>IFERROR(VLOOKUP(L723,Katalog!$C$3:$F$13,2,0),0)</f>
        <v>0</v>
      </c>
      <c r="R723" s="18">
        <f>IFERROR(VLOOKUP(L723,Katalog!$C$3:$F$13,3,0),0)</f>
        <v>0</v>
      </c>
      <c r="S723" t="str">
        <f t="shared" si="405"/>
        <v>-</v>
      </c>
      <c r="T723" t="str">
        <f>IFERROR(INDEX(Katalog!$B$4:$B$13,MATCH('Main Data'!S723,Katalog!$C$4:$C$13,0)),"-")</f>
        <v>-</v>
      </c>
      <c r="U723" t="str">
        <f>IFERROR(VLOOKUP(S723,Katalog!$A$15:$B$25,2,0),"-")</f>
        <v>-</v>
      </c>
      <c r="V723">
        <f t="shared" si="406"/>
        <v>0</v>
      </c>
      <c r="W723" s="28" t="str">
        <f t="shared" si="407"/>
        <v>-</v>
      </c>
      <c r="X723" s="18">
        <f>IFERROR(VLOOKUP(S723,Katalog!$C$3:$F$13,2,0),0)</f>
        <v>0</v>
      </c>
      <c r="Y723" s="30">
        <f>IFERROR(VLOOKUP(S723,Katalog!$C$3:$F$13,3,0),0)</f>
        <v>0</v>
      </c>
      <c r="Z723" s="2">
        <f t="shared" si="408"/>
        <v>1</v>
      </c>
      <c r="AA723" s="4">
        <f t="shared" si="409"/>
        <v>80000</v>
      </c>
      <c r="AB723" s="4">
        <f t="shared" si="410"/>
        <v>30000</v>
      </c>
      <c r="AC723" s="4" t="s">
        <v>12</v>
      </c>
      <c r="AD723" s="16">
        <f>IFERROR(VLOOKUP(AC723,'Kode Diskon'!$C$2:$D$9,2,0),0)</f>
        <v>0.15</v>
      </c>
      <c r="AE723" s="31">
        <f t="shared" si="411"/>
        <v>12000</v>
      </c>
      <c r="AF723" s="31">
        <f t="shared" si="412"/>
        <v>68000</v>
      </c>
      <c r="AG723" s="31">
        <f t="shared" si="413"/>
        <v>50000</v>
      </c>
      <c r="AH723" s="31">
        <f t="shared" si="414"/>
        <v>38000</v>
      </c>
      <c r="AI723" s="4" t="s">
        <v>28</v>
      </c>
      <c r="AJ723" s="4" t="s">
        <v>6</v>
      </c>
      <c r="AK723" s="4" t="str">
        <f>IFERROR(VLOOKUP(AJ723,'Guide '!$A$13:$B$16,2,0),"-")</f>
        <v>SP</v>
      </c>
      <c r="AL723" s="4" t="s">
        <v>923</v>
      </c>
      <c r="AM723" s="40">
        <v>45550</v>
      </c>
      <c r="AN723">
        <f t="shared" si="415"/>
        <v>29</v>
      </c>
      <c r="AO723">
        <f t="shared" si="416"/>
        <v>32</v>
      </c>
      <c r="AP723">
        <f t="shared" si="417"/>
        <v>40</v>
      </c>
      <c r="AQ723">
        <f t="shared" si="418"/>
        <v>43</v>
      </c>
      <c r="AR723" s="26" t="str">
        <f t="shared" si="419"/>
        <v>-</v>
      </c>
      <c r="AS723" s="26" t="str">
        <f t="shared" si="420"/>
        <v>-</v>
      </c>
      <c r="AT723" s="21">
        <f t="shared" si="421"/>
        <v>12</v>
      </c>
      <c r="AU723" s="21">
        <f t="shared" si="422"/>
        <v>19</v>
      </c>
      <c r="AV723" t="str">
        <f t="shared" si="423"/>
        <v>-</v>
      </c>
      <c r="AW723" t="str">
        <f t="shared" si="424"/>
        <v>-</v>
      </c>
      <c r="AX723" t="str">
        <f t="shared" si="425"/>
        <v>-</v>
      </c>
      <c r="AY723" t="str">
        <f t="shared" si="426"/>
        <v>-</v>
      </c>
      <c r="AZ723" t="str">
        <f t="shared" si="427"/>
        <v>-</v>
      </c>
      <c r="BA723" t="str">
        <f t="shared" si="428"/>
        <v>-</v>
      </c>
      <c r="BB723" t="str">
        <f t="shared" si="429"/>
        <v>-</v>
      </c>
      <c r="BC723" t="str">
        <f t="shared" si="430"/>
        <v>-</v>
      </c>
      <c r="BD723" s="29" t="str">
        <f t="shared" si="431"/>
        <v>-</v>
      </c>
      <c r="BE723" s="29" t="str">
        <f t="shared" si="432"/>
        <v>-</v>
      </c>
    </row>
    <row r="724" spans="1:57" ht="15" x14ac:dyDescent="0.2">
      <c r="A724" s="2">
        <v>248</v>
      </c>
      <c r="B724" s="2" t="str">
        <f t="shared" si="397"/>
        <v>0248</v>
      </c>
      <c r="C724" t="str">
        <f t="shared" si="398"/>
        <v>ORD-BL-0248-16/09/24</v>
      </c>
      <c r="D724" s="3" t="s">
        <v>313</v>
      </c>
      <c r="E724" t="str">
        <f t="shared" si="399"/>
        <v>PW003</v>
      </c>
      <c r="F724" t="str">
        <f>INDEX(Katalog!$B$4:$B$13,MATCH('Main Data'!E724,Katalog!$C$4:$C$13,0))</f>
        <v>Kaftan</v>
      </c>
      <c r="G724" t="str">
        <f>VLOOKUP(E724,Katalog!$A$15:$B$25,2,0)</f>
        <v>Pakaian Wanita</v>
      </c>
      <c r="H724" t="str">
        <f t="shared" si="400"/>
        <v>1</v>
      </c>
      <c r="I724" t="str">
        <f t="shared" si="401"/>
        <v>2</v>
      </c>
      <c r="J724" s="18">
        <f>VLOOKUP(E724,Katalog!$C$3:$F$13,2,0)</f>
        <v>200000</v>
      </c>
      <c r="K724" s="18">
        <f>VLOOKUP(E724,Katalog!$C$3:$F$13,3,0)</f>
        <v>100000</v>
      </c>
      <c r="L724" t="str">
        <f t="shared" si="402"/>
        <v>PP002</v>
      </c>
      <c r="M724" t="str">
        <f>IFERROR(INDEX(Katalog!$B$4:$B$13,MATCH('Main Data'!L724,Katalog!$C$4:$C$13,0)), "-")</f>
        <v>Celana Pendek</v>
      </c>
      <c r="N724" t="str">
        <f>IFERROR(VLOOKUP(L724,Katalog!$A$15:$B$25,2,0),"-")</f>
        <v>Pakaian Pria</v>
      </c>
      <c r="O724" t="str">
        <f t="shared" si="403"/>
        <v>1</v>
      </c>
      <c r="P724" t="str">
        <f t="shared" si="404"/>
        <v>3</v>
      </c>
      <c r="Q724" s="18">
        <f>IFERROR(VLOOKUP(L724,Katalog!$C$3:$F$13,2,0),0)</f>
        <v>60000</v>
      </c>
      <c r="R724" s="18">
        <f>IFERROR(VLOOKUP(L724,Katalog!$C$3:$F$13,3,0),0)</f>
        <v>25000</v>
      </c>
      <c r="S724" t="str">
        <f t="shared" si="405"/>
        <v>PP001</v>
      </c>
      <c r="T724" t="str">
        <f>IFERROR(INDEX(Katalog!$B$4:$B$13,MATCH('Main Data'!S724,Katalog!$C$4:$C$13,0)),"-")</f>
        <v>Kaos Polo</v>
      </c>
      <c r="U724" t="str">
        <f>IFERROR(VLOOKUP(S724,Katalog!$A$15:$B$25,2,0),"-")</f>
        <v>Pakaian Pria</v>
      </c>
      <c r="V724" t="str">
        <f t="shared" si="406"/>
        <v>5</v>
      </c>
      <c r="W724" s="28" t="str">
        <f t="shared" si="407"/>
        <v>4</v>
      </c>
      <c r="X724" s="18">
        <f>IFERROR(VLOOKUP(S724,Katalog!$C$3:$F$13,2,0),0)</f>
        <v>80000</v>
      </c>
      <c r="Y724" s="30">
        <f>IFERROR(VLOOKUP(S724,Katalog!$C$3:$F$13,3,0),0)</f>
        <v>30000</v>
      </c>
      <c r="Z724" s="2">
        <f t="shared" si="408"/>
        <v>7</v>
      </c>
      <c r="AA724" s="4">
        <f t="shared" si="409"/>
        <v>660000</v>
      </c>
      <c r="AB724" s="4">
        <f t="shared" si="410"/>
        <v>275000</v>
      </c>
      <c r="AC724" s="4" t="s">
        <v>31</v>
      </c>
      <c r="AD724" s="16">
        <f>IFERROR(VLOOKUP(AC724,'Kode Diskon'!$C$2:$D$9,2,0),0)</f>
        <v>0.15</v>
      </c>
      <c r="AE724" s="31">
        <f t="shared" si="411"/>
        <v>99000</v>
      </c>
      <c r="AF724" s="31">
        <f t="shared" si="412"/>
        <v>561000</v>
      </c>
      <c r="AG724" s="31">
        <f t="shared" si="413"/>
        <v>385000</v>
      </c>
      <c r="AH724" s="31">
        <f t="shared" si="414"/>
        <v>286000</v>
      </c>
      <c r="AI724" s="4" t="s">
        <v>8</v>
      </c>
      <c r="AJ724" s="4" t="s">
        <v>11</v>
      </c>
      <c r="AK724" s="4" t="str">
        <f>IFERROR(VLOOKUP(AJ724,'Guide '!$A$13:$B$16,2,0),"-")</f>
        <v>BL</v>
      </c>
      <c r="AL724" s="4" t="s">
        <v>1006</v>
      </c>
      <c r="AM724" s="40">
        <v>45551</v>
      </c>
      <c r="AN724">
        <f t="shared" si="415"/>
        <v>29</v>
      </c>
      <c r="AO724">
        <f t="shared" si="416"/>
        <v>32</v>
      </c>
      <c r="AP724">
        <f t="shared" si="417"/>
        <v>40</v>
      </c>
      <c r="AQ724">
        <f t="shared" si="418"/>
        <v>43</v>
      </c>
      <c r="AR724" s="26">
        <f t="shared" si="419"/>
        <v>56</v>
      </c>
      <c r="AS724" s="26">
        <f t="shared" si="420"/>
        <v>63</v>
      </c>
      <c r="AT724" s="21">
        <f t="shared" si="421"/>
        <v>12</v>
      </c>
      <c r="AU724" s="21">
        <f t="shared" si="422"/>
        <v>19</v>
      </c>
      <c r="AV724">
        <f t="shared" si="423"/>
        <v>73</v>
      </c>
      <c r="AW724">
        <f t="shared" si="424"/>
        <v>76</v>
      </c>
      <c r="AX724">
        <f t="shared" si="425"/>
        <v>84</v>
      </c>
      <c r="AY724">
        <f t="shared" si="426"/>
        <v>87</v>
      </c>
      <c r="AZ724">
        <f t="shared" si="427"/>
        <v>100</v>
      </c>
      <c r="BA724">
        <f t="shared" si="428"/>
        <v>107</v>
      </c>
      <c r="BB724">
        <f t="shared" si="429"/>
        <v>117</v>
      </c>
      <c r="BC724">
        <f t="shared" si="430"/>
        <v>120</v>
      </c>
      <c r="BD724" s="29">
        <f t="shared" si="431"/>
        <v>128</v>
      </c>
      <c r="BE724" s="29">
        <f t="shared" si="432"/>
        <v>131</v>
      </c>
    </row>
    <row r="725" spans="1:57" ht="15" x14ac:dyDescent="0.2">
      <c r="A725" s="2">
        <v>361</v>
      </c>
      <c r="B725" s="2" t="str">
        <f t="shared" si="397"/>
        <v>0361</v>
      </c>
      <c r="C725" t="str">
        <f t="shared" si="398"/>
        <v>ORD-TK-0361-17/09/24</v>
      </c>
      <c r="D725" s="3" t="s">
        <v>412</v>
      </c>
      <c r="E725" t="str">
        <f t="shared" si="399"/>
        <v>PW001</v>
      </c>
      <c r="F725" t="str">
        <f>INDEX(Katalog!$B$4:$B$13,MATCH('Main Data'!E725,Katalog!$C$4:$C$13,0))</f>
        <v>Dress</v>
      </c>
      <c r="G725" t="str">
        <f>VLOOKUP(E725,Katalog!$A$15:$B$25,2,0)</f>
        <v>Pakaian Wanita</v>
      </c>
      <c r="H725" t="str">
        <f t="shared" si="400"/>
        <v>2</v>
      </c>
      <c r="I725" t="str">
        <f t="shared" si="401"/>
        <v>2</v>
      </c>
      <c r="J725" s="18">
        <f>VLOOKUP(E725,Katalog!$C$3:$F$13,2,0)</f>
        <v>150000</v>
      </c>
      <c r="K725" s="18">
        <f>VLOOKUP(E725,Katalog!$C$3:$F$13,3,0)</f>
        <v>55000</v>
      </c>
      <c r="L725" t="str">
        <f t="shared" si="402"/>
        <v>PP003</v>
      </c>
      <c r="M725" t="str">
        <f>IFERROR(INDEX(Katalog!$B$4:$B$13,MATCH('Main Data'!L725,Katalog!$C$4:$C$13,0)), "-")</f>
        <v>Jaket Jeans</v>
      </c>
      <c r="N725" t="str">
        <f>IFERROR(VLOOKUP(L725,Katalog!$A$15:$B$25,2,0),"-")</f>
        <v>Pakaian Pria</v>
      </c>
      <c r="O725" t="str">
        <f t="shared" si="403"/>
        <v>3</v>
      </c>
      <c r="P725" t="str">
        <f t="shared" si="404"/>
        <v>2</v>
      </c>
      <c r="Q725" s="18">
        <f>IFERROR(VLOOKUP(L725,Katalog!$C$3:$F$13,2,0),0)</f>
        <v>150000</v>
      </c>
      <c r="R725" s="18">
        <f>IFERROR(VLOOKUP(L725,Katalog!$C$3:$F$13,3,0),0)</f>
        <v>70000</v>
      </c>
      <c r="S725" t="str">
        <f t="shared" si="405"/>
        <v>-</v>
      </c>
      <c r="T725" t="str">
        <f>IFERROR(INDEX(Katalog!$B$4:$B$13,MATCH('Main Data'!S725,Katalog!$C$4:$C$13,0)),"-")</f>
        <v>-</v>
      </c>
      <c r="U725" t="str">
        <f>IFERROR(VLOOKUP(S725,Katalog!$A$15:$B$25,2,0),"-")</f>
        <v>-</v>
      </c>
      <c r="V725">
        <f t="shared" si="406"/>
        <v>0</v>
      </c>
      <c r="W725" s="28" t="str">
        <f t="shared" si="407"/>
        <v>-</v>
      </c>
      <c r="X725" s="18">
        <f>IFERROR(VLOOKUP(S725,Katalog!$C$3:$F$13,2,0),0)</f>
        <v>0</v>
      </c>
      <c r="Y725" s="30">
        <f>IFERROR(VLOOKUP(S725,Katalog!$C$3:$F$13,3,0),0)</f>
        <v>0</v>
      </c>
      <c r="Z725" s="2">
        <f t="shared" si="408"/>
        <v>5</v>
      </c>
      <c r="AA725" s="4">
        <f t="shared" si="409"/>
        <v>750000</v>
      </c>
      <c r="AB725" s="4">
        <f t="shared" si="410"/>
        <v>320000</v>
      </c>
      <c r="AC725" s="4" t="s">
        <v>30</v>
      </c>
      <c r="AD725" s="16">
        <f>IFERROR(VLOOKUP(AC725,'Kode Diskon'!$C$2:$D$9,2,0),0)</f>
        <v>0.1</v>
      </c>
      <c r="AE725" s="31">
        <f t="shared" si="411"/>
        <v>75000</v>
      </c>
      <c r="AF725" s="31">
        <f t="shared" si="412"/>
        <v>675000</v>
      </c>
      <c r="AG725" s="31">
        <f t="shared" si="413"/>
        <v>430000</v>
      </c>
      <c r="AH725" s="31">
        <f t="shared" si="414"/>
        <v>355000</v>
      </c>
      <c r="AI725" s="4" t="s">
        <v>8</v>
      </c>
      <c r="AJ725" s="4" t="s">
        <v>9</v>
      </c>
      <c r="AK725" s="4" t="str">
        <f>IFERROR(VLOOKUP(AJ725,'Guide '!$A$13:$B$16,2,0),"-")</f>
        <v>TK</v>
      </c>
      <c r="AL725" s="4" t="s">
        <v>925</v>
      </c>
      <c r="AM725" s="40">
        <v>45552</v>
      </c>
      <c r="AN725">
        <f t="shared" si="415"/>
        <v>29</v>
      </c>
      <c r="AO725">
        <f t="shared" si="416"/>
        <v>32</v>
      </c>
      <c r="AP725">
        <f t="shared" si="417"/>
        <v>40</v>
      </c>
      <c r="AQ725">
        <f t="shared" si="418"/>
        <v>43</v>
      </c>
      <c r="AR725" s="26">
        <f t="shared" si="419"/>
        <v>56</v>
      </c>
      <c r="AS725" s="26">
        <f t="shared" si="420"/>
        <v>63</v>
      </c>
      <c r="AT725" s="21">
        <f t="shared" si="421"/>
        <v>12</v>
      </c>
      <c r="AU725" s="21">
        <f t="shared" si="422"/>
        <v>19</v>
      </c>
      <c r="AV725">
        <f t="shared" si="423"/>
        <v>73</v>
      </c>
      <c r="AW725">
        <f t="shared" si="424"/>
        <v>76</v>
      </c>
      <c r="AX725">
        <f t="shared" si="425"/>
        <v>84</v>
      </c>
      <c r="AY725">
        <f t="shared" si="426"/>
        <v>87</v>
      </c>
      <c r="AZ725" t="str">
        <f t="shared" si="427"/>
        <v>-</v>
      </c>
      <c r="BA725" t="str">
        <f t="shared" si="428"/>
        <v>-</v>
      </c>
      <c r="BB725" t="str">
        <f t="shared" si="429"/>
        <v>-</v>
      </c>
      <c r="BC725" t="str">
        <f t="shared" si="430"/>
        <v>-</v>
      </c>
      <c r="BD725" s="29" t="str">
        <f t="shared" si="431"/>
        <v>-</v>
      </c>
      <c r="BE725" s="29" t="str">
        <f t="shared" si="432"/>
        <v>-</v>
      </c>
    </row>
    <row r="726" spans="1:57" ht="15" x14ac:dyDescent="0.2">
      <c r="A726" s="2">
        <v>670</v>
      </c>
      <c r="B726" s="2" t="str">
        <f t="shared" si="397"/>
        <v>0670</v>
      </c>
      <c r="C726" t="str">
        <f t="shared" si="398"/>
        <v>ORD-BB-0670-17/09/24</v>
      </c>
      <c r="D726" s="3" t="s">
        <v>670</v>
      </c>
      <c r="E726" t="str">
        <f t="shared" si="399"/>
        <v>PU001</v>
      </c>
      <c r="F726" t="str">
        <f>INDEX(Katalog!$B$4:$B$13,MATCH('Main Data'!E726,Katalog!$C$4:$C$13,0))</f>
        <v>Jaket Hoodie</v>
      </c>
      <c r="G726" t="str">
        <f>VLOOKUP(E726,Katalog!$A$15:$B$25,2,0)</f>
        <v>Pakaian Unisex</v>
      </c>
      <c r="H726" t="str">
        <f t="shared" si="400"/>
        <v>4</v>
      </c>
      <c r="I726" t="str">
        <f t="shared" si="401"/>
        <v>5</v>
      </c>
      <c r="J726" s="18">
        <f>VLOOKUP(E726,Katalog!$C$3:$F$13,2,0)</f>
        <v>160000</v>
      </c>
      <c r="K726" s="18">
        <f>VLOOKUP(E726,Katalog!$C$3:$F$13,3,0)</f>
        <v>60000</v>
      </c>
      <c r="L726" t="str">
        <f t="shared" si="402"/>
        <v>SP001</v>
      </c>
      <c r="M726" t="str">
        <f>IFERROR(INDEX(Katalog!$B$4:$B$13,MATCH('Main Data'!L726,Katalog!$C$4:$C$13,0)), "-")</f>
        <v>Sneakers</v>
      </c>
      <c r="N726" t="str">
        <f>IFERROR(VLOOKUP(L726,Katalog!$A$15:$B$25,2,0),"-")</f>
        <v>Sepatu Pria</v>
      </c>
      <c r="O726" t="str">
        <f t="shared" si="403"/>
        <v>1</v>
      </c>
      <c r="P726" t="str">
        <f t="shared" si="404"/>
        <v>4</v>
      </c>
      <c r="Q726" s="18">
        <f>IFERROR(VLOOKUP(L726,Katalog!$C$3:$F$13,2,0),0)</f>
        <v>300000</v>
      </c>
      <c r="R726" s="18">
        <f>IFERROR(VLOOKUP(L726,Katalog!$C$3:$F$13,3,0),0)</f>
        <v>100000</v>
      </c>
      <c r="S726" t="str">
        <f t="shared" si="405"/>
        <v>SP002</v>
      </c>
      <c r="T726" t="str">
        <f>IFERROR(INDEX(Katalog!$B$4:$B$13,MATCH('Main Data'!S726,Katalog!$C$4:$C$13,0)),"-")</f>
        <v>Sandal Slip On</v>
      </c>
      <c r="U726" t="str">
        <f>IFERROR(VLOOKUP(S726,Katalog!$A$15:$B$25,2,0),"-")</f>
        <v>Sepatu Pria</v>
      </c>
      <c r="V726" t="str">
        <f t="shared" si="406"/>
        <v>1</v>
      </c>
      <c r="W726" s="28" t="str">
        <f t="shared" si="407"/>
        <v>2</v>
      </c>
      <c r="X726" s="18">
        <f>IFERROR(VLOOKUP(S726,Katalog!$C$3:$F$13,2,0),0)</f>
        <v>120000</v>
      </c>
      <c r="Y726" s="30">
        <f>IFERROR(VLOOKUP(S726,Katalog!$C$3:$F$13,3,0),0)</f>
        <v>60000</v>
      </c>
      <c r="Z726" s="2">
        <f t="shared" si="408"/>
        <v>6</v>
      </c>
      <c r="AA726" s="4">
        <f t="shared" si="409"/>
        <v>1060000</v>
      </c>
      <c r="AB726" s="4">
        <f t="shared" si="410"/>
        <v>400000</v>
      </c>
      <c r="AC726" s="4" t="s">
        <v>27</v>
      </c>
      <c r="AD726" s="16">
        <f>IFERROR(VLOOKUP(AC726,'Kode Diskon'!$C$2:$D$9,2,0),0)</f>
        <v>0.15</v>
      </c>
      <c r="AE726" s="31">
        <f t="shared" si="411"/>
        <v>159000</v>
      </c>
      <c r="AF726" s="31">
        <f t="shared" si="412"/>
        <v>901000</v>
      </c>
      <c r="AG726" s="31">
        <f t="shared" si="413"/>
        <v>660000</v>
      </c>
      <c r="AH726" s="31">
        <f t="shared" si="414"/>
        <v>501000</v>
      </c>
      <c r="AI726" s="4" t="s">
        <v>28</v>
      </c>
      <c r="AJ726" s="4" t="s">
        <v>13</v>
      </c>
      <c r="AK726" s="4" t="str">
        <f>IFERROR(VLOOKUP(AJ726,'Guide '!$A$13:$B$16,2,0),"-")</f>
        <v>BB</v>
      </c>
      <c r="AL726" s="4" t="s">
        <v>1006</v>
      </c>
      <c r="AM726" s="40">
        <v>45552</v>
      </c>
      <c r="AN726">
        <f t="shared" si="415"/>
        <v>29</v>
      </c>
      <c r="AO726">
        <f t="shared" si="416"/>
        <v>32</v>
      </c>
      <c r="AP726">
        <f t="shared" si="417"/>
        <v>40</v>
      </c>
      <c r="AQ726">
        <f t="shared" si="418"/>
        <v>43</v>
      </c>
      <c r="AR726" s="26">
        <f t="shared" si="419"/>
        <v>56</v>
      </c>
      <c r="AS726" s="26">
        <f t="shared" si="420"/>
        <v>63</v>
      </c>
      <c r="AT726" s="21">
        <f t="shared" si="421"/>
        <v>12</v>
      </c>
      <c r="AU726" s="21">
        <f t="shared" si="422"/>
        <v>19</v>
      </c>
      <c r="AV726">
        <f t="shared" si="423"/>
        <v>73</v>
      </c>
      <c r="AW726">
        <f t="shared" si="424"/>
        <v>76</v>
      </c>
      <c r="AX726">
        <f t="shared" si="425"/>
        <v>84</v>
      </c>
      <c r="AY726">
        <f t="shared" si="426"/>
        <v>87</v>
      </c>
      <c r="AZ726">
        <f t="shared" si="427"/>
        <v>100</v>
      </c>
      <c r="BA726">
        <f t="shared" si="428"/>
        <v>107</v>
      </c>
      <c r="BB726">
        <f t="shared" si="429"/>
        <v>117</v>
      </c>
      <c r="BC726">
        <f t="shared" si="430"/>
        <v>120</v>
      </c>
      <c r="BD726" s="29">
        <f t="shared" si="431"/>
        <v>128</v>
      </c>
      <c r="BE726" s="29">
        <f t="shared" si="432"/>
        <v>131</v>
      </c>
    </row>
    <row r="727" spans="1:57" ht="15" x14ac:dyDescent="0.2">
      <c r="A727" s="2">
        <v>676</v>
      </c>
      <c r="B727" s="2" t="str">
        <f t="shared" si="397"/>
        <v>0676</v>
      </c>
      <c r="C727" t="str">
        <f t="shared" si="398"/>
        <v>ORD-TK-0676-17/09/24</v>
      </c>
      <c r="D727" s="3" t="s">
        <v>674</v>
      </c>
      <c r="E727" t="str">
        <f t="shared" si="399"/>
        <v>PP001</v>
      </c>
      <c r="F727" t="str">
        <f>INDEX(Katalog!$B$4:$B$13,MATCH('Main Data'!E727,Katalog!$C$4:$C$13,0))</f>
        <v>Kaos Polo</v>
      </c>
      <c r="G727" t="str">
        <f>VLOOKUP(E727,Katalog!$A$15:$B$25,2,0)</f>
        <v>Pakaian Pria</v>
      </c>
      <c r="H727" t="str">
        <f t="shared" si="400"/>
        <v>3</v>
      </c>
      <c r="I727" t="str">
        <f t="shared" si="401"/>
        <v>4</v>
      </c>
      <c r="J727" s="18">
        <f>VLOOKUP(E727,Katalog!$C$3:$F$13,2,0)</f>
        <v>80000</v>
      </c>
      <c r="K727" s="18">
        <f>VLOOKUP(E727,Katalog!$C$3:$F$13,3,0)</f>
        <v>30000</v>
      </c>
      <c r="L727" t="str">
        <f t="shared" si="402"/>
        <v>PP003</v>
      </c>
      <c r="M727" t="str">
        <f>IFERROR(INDEX(Katalog!$B$4:$B$13,MATCH('Main Data'!L727,Katalog!$C$4:$C$13,0)), "-")</f>
        <v>Jaket Jeans</v>
      </c>
      <c r="N727" t="str">
        <f>IFERROR(VLOOKUP(L727,Katalog!$A$15:$B$25,2,0),"-")</f>
        <v>Pakaian Pria</v>
      </c>
      <c r="O727" t="str">
        <f t="shared" si="403"/>
        <v>2</v>
      </c>
      <c r="P727" t="str">
        <f t="shared" si="404"/>
        <v>4</v>
      </c>
      <c r="Q727" s="18">
        <f>IFERROR(VLOOKUP(L727,Katalog!$C$3:$F$13,2,0),0)</f>
        <v>150000</v>
      </c>
      <c r="R727" s="18">
        <f>IFERROR(VLOOKUP(L727,Katalog!$C$3:$F$13,3,0),0)</f>
        <v>70000</v>
      </c>
      <c r="S727" t="str">
        <f t="shared" si="405"/>
        <v>-</v>
      </c>
      <c r="T727" t="str">
        <f>IFERROR(INDEX(Katalog!$B$4:$B$13,MATCH('Main Data'!S727,Katalog!$C$4:$C$13,0)),"-")</f>
        <v>-</v>
      </c>
      <c r="U727" t="str">
        <f>IFERROR(VLOOKUP(S727,Katalog!$A$15:$B$25,2,0),"-")</f>
        <v>-</v>
      </c>
      <c r="V727">
        <f t="shared" si="406"/>
        <v>0</v>
      </c>
      <c r="W727" s="28" t="str">
        <f t="shared" si="407"/>
        <v>-</v>
      </c>
      <c r="X727" s="18">
        <f>IFERROR(VLOOKUP(S727,Katalog!$C$3:$F$13,2,0),0)</f>
        <v>0</v>
      </c>
      <c r="Y727" s="30">
        <f>IFERROR(VLOOKUP(S727,Katalog!$C$3:$F$13,3,0),0)</f>
        <v>0</v>
      </c>
      <c r="Z727" s="2">
        <f t="shared" si="408"/>
        <v>5</v>
      </c>
      <c r="AA727" s="4">
        <f t="shared" si="409"/>
        <v>540000</v>
      </c>
      <c r="AB727" s="4">
        <f t="shared" si="410"/>
        <v>230000</v>
      </c>
      <c r="AC727" s="4" t="s">
        <v>30</v>
      </c>
      <c r="AD727" s="16">
        <f>IFERROR(VLOOKUP(AC727,'Kode Diskon'!$C$2:$D$9,2,0),0)</f>
        <v>0.1</v>
      </c>
      <c r="AE727" s="31">
        <f t="shared" si="411"/>
        <v>54000</v>
      </c>
      <c r="AF727" s="31">
        <f t="shared" si="412"/>
        <v>486000</v>
      </c>
      <c r="AG727" s="31">
        <f t="shared" si="413"/>
        <v>310000</v>
      </c>
      <c r="AH727" s="31">
        <f t="shared" si="414"/>
        <v>256000</v>
      </c>
      <c r="AI727" s="4" t="s">
        <v>8</v>
      </c>
      <c r="AJ727" s="4" t="s">
        <v>9</v>
      </c>
      <c r="AK727" s="4" t="str">
        <f>IFERROR(VLOOKUP(AJ727,'Guide '!$A$13:$B$16,2,0),"-")</f>
        <v>TK</v>
      </c>
      <c r="AL727" s="4" t="s">
        <v>924</v>
      </c>
      <c r="AM727" s="40">
        <v>45552</v>
      </c>
      <c r="AN727">
        <f t="shared" si="415"/>
        <v>29</v>
      </c>
      <c r="AO727">
        <f t="shared" si="416"/>
        <v>32</v>
      </c>
      <c r="AP727">
        <f t="shared" si="417"/>
        <v>40</v>
      </c>
      <c r="AQ727">
        <f t="shared" si="418"/>
        <v>43</v>
      </c>
      <c r="AR727" s="26">
        <f t="shared" si="419"/>
        <v>56</v>
      </c>
      <c r="AS727" s="26">
        <f t="shared" si="420"/>
        <v>63</v>
      </c>
      <c r="AT727" s="21">
        <f t="shared" si="421"/>
        <v>12</v>
      </c>
      <c r="AU727" s="21">
        <f t="shared" si="422"/>
        <v>19</v>
      </c>
      <c r="AV727">
        <f t="shared" si="423"/>
        <v>73</v>
      </c>
      <c r="AW727">
        <f t="shared" si="424"/>
        <v>76</v>
      </c>
      <c r="AX727">
        <f t="shared" si="425"/>
        <v>84</v>
      </c>
      <c r="AY727">
        <f t="shared" si="426"/>
        <v>87</v>
      </c>
      <c r="AZ727" t="str">
        <f t="shared" si="427"/>
        <v>-</v>
      </c>
      <c r="BA727" t="str">
        <f t="shared" si="428"/>
        <v>-</v>
      </c>
      <c r="BB727" t="str">
        <f t="shared" si="429"/>
        <v>-</v>
      </c>
      <c r="BC727" t="str">
        <f t="shared" si="430"/>
        <v>-</v>
      </c>
      <c r="BD727" s="29" t="str">
        <f t="shared" si="431"/>
        <v>-</v>
      </c>
      <c r="BE727" s="29" t="str">
        <f t="shared" si="432"/>
        <v>-</v>
      </c>
    </row>
    <row r="728" spans="1:57" ht="15" x14ac:dyDescent="0.2">
      <c r="A728" s="2">
        <v>899</v>
      </c>
      <c r="B728" s="2" t="str">
        <f t="shared" si="397"/>
        <v>0899</v>
      </c>
      <c r="C728" t="str">
        <f t="shared" si="398"/>
        <v>ORD-BL-0899-17/09/24</v>
      </c>
      <c r="D728" s="3" t="s">
        <v>214</v>
      </c>
      <c r="E728" t="str">
        <f t="shared" si="399"/>
        <v>PU001</v>
      </c>
      <c r="F728" t="str">
        <f>INDEX(Katalog!$B$4:$B$13,MATCH('Main Data'!E728,Katalog!$C$4:$C$13,0))</f>
        <v>Jaket Hoodie</v>
      </c>
      <c r="G728" t="str">
        <f>VLOOKUP(E728,Katalog!$A$15:$B$25,2,0)</f>
        <v>Pakaian Unisex</v>
      </c>
      <c r="H728" t="str">
        <f t="shared" si="400"/>
        <v>1</v>
      </c>
      <c r="I728" t="str">
        <f t="shared" si="401"/>
        <v>1</v>
      </c>
      <c r="J728" s="18">
        <f>VLOOKUP(E728,Katalog!$C$3:$F$13,2,0)</f>
        <v>160000</v>
      </c>
      <c r="K728" s="18">
        <f>VLOOKUP(E728,Katalog!$C$3:$F$13,3,0)</f>
        <v>60000</v>
      </c>
      <c r="L728" t="str">
        <f t="shared" si="402"/>
        <v>-</v>
      </c>
      <c r="M728" t="str">
        <f>IFERROR(INDEX(Katalog!$B$4:$B$13,MATCH('Main Data'!L728,Katalog!$C$4:$C$13,0)), "-")</f>
        <v>-</v>
      </c>
      <c r="N728" t="str">
        <f>IFERROR(VLOOKUP(L728,Katalog!$A$15:$B$25,2,0),"-")</f>
        <v>-</v>
      </c>
      <c r="O728">
        <f t="shared" si="403"/>
        <v>0</v>
      </c>
      <c r="P728" t="str">
        <f t="shared" si="404"/>
        <v>-</v>
      </c>
      <c r="Q728" s="18">
        <f>IFERROR(VLOOKUP(L728,Katalog!$C$3:$F$13,2,0),0)</f>
        <v>0</v>
      </c>
      <c r="R728" s="18">
        <f>IFERROR(VLOOKUP(L728,Katalog!$C$3:$F$13,3,0),0)</f>
        <v>0</v>
      </c>
      <c r="S728" t="str">
        <f t="shared" si="405"/>
        <v>-</v>
      </c>
      <c r="T728" t="str">
        <f>IFERROR(INDEX(Katalog!$B$4:$B$13,MATCH('Main Data'!S728,Katalog!$C$4:$C$13,0)),"-")</f>
        <v>-</v>
      </c>
      <c r="U728" t="str">
        <f>IFERROR(VLOOKUP(S728,Katalog!$A$15:$B$25,2,0),"-")</f>
        <v>-</v>
      </c>
      <c r="V728">
        <f t="shared" si="406"/>
        <v>0</v>
      </c>
      <c r="W728" s="28" t="str">
        <f t="shared" si="407"/>
        <v>-</v>
      </c>
      <c r="X728" s="18">
        <f>IFERROR(VLOOKUP(S728,Katalog!$C$3:$F$13,2,0),0)</f>
        <v>0</v>
      </c>
      <c r="Y728" s="30">
        <f>IFERROR(VLOOKUP(S728,Katalog!$C$3:$F$13,3,0),0)</f>
        <v>0</v>
      </c>
      <c r="Z728" s="2">
        <f t="shared" si="408"/>
        <v>1</v>
      </c>
      <c r="AA728" s="4">
        <f t="shared" si="409"/>
        <v>160000</v>
      </c>
      <c r="AB728" s="4">
        <f t="shared" si="410"/>
        <v>60000</v>
      </c>
      <c r="AC728" s="4" t="s">
        <v>31</v>
      </c>
      <c r="AD728" s="16">
        <f>IFERROR(VLOOKUP(AC728,'Kode Diskon'!$C$2:$D$9,2,0),0)</f>
        <v>0.15</v>
      </c>
      <c r="AE728" s="31">
        <f t="shared" si="411"/>
        <v>24000</v>
      </c>
      <c r="AF728" s="31">
        <f t="shared" si="412"/>
        <v>136000</v>
      </c>
      <c r="AG728" s="31">
        <f t="shared" si="413"/>
        <v>100000</v>
      </c>
      <c r="AH728" s="31">
        <f t="shared" si="414"/>
        <v>76000</v>
      </c>
      <c r="AI728" s="4" t="s">
        <v>8</v>
      </c>
      <c r="AJ728" s="4" t="s">
        <v>11</v>
      </c>
      <c r="AK728" s="4" t="str">
        <f>IFERROR(VLOOKUP(AJ728,'Guide '!$A$13:$B$16,2,0),"-")</f>
        <v>BL</v>
      </c>
      <c r="AL728" s="4" t="s">
        <v>923</v>
      </c>
      <c r="AM728" s="40">
        <v>45552</v>
      </c>
      <c r="AN728">
        <f t="shared" si="415"/>
        <v>29</v>
      </c>
      <c r="AO728">
        <f t="shared" si="416"/>
        <v>32</v>
      </c>
      <c r="AP728">
        <f t="shared" si="417"/>
        <v>40</v>
      </c>
      <c r="AQ728">
        <f t="shared" si="418"/>
        <v>43</v>
      </c>
      <c r="AR728" s="26" t="str">
        <f t="shared" si="419"/>
        <v>-</v>
      </c>
      <c r="AS728" s="26" t="str">
        <f t="shared" si="420"/>
        <v>-</v>
      </c>
      <c r="AT728" s="21">
        <f t="shared" si="421"/>
        <v>12</v>
      </c>
      <c r="AU728" s="21">
        <f t="shared" si="422"/>
        <v>19</v>
      </c>
      <c r="AV728" t="str">
        <f t="shared" si="423"/>
        <v>-</v>
      </c>
      <c r="AW728" t="str">
        <f t="shared" si="424"/>
        <v>-</v>
      </c>
      <c r="AX728" t="str">
        <f t="shared" si="425"/>
        <v>-</v>
      </c>
      <c r="AY728" t="str">
        <f t="shared" si="426"/>
        <v>-</v>
      </c>
      <c r="AZ728" t="str">
        <f t="shared" si="427"/>
        <v>-</v>
      </c>
      <c r="BA728" t="str">
        <f t="shared" si="428"/>
        <v>-</v>
      </c>
      <c r="BB728" t="str">
        <f t="shared" si="429"/>
        <v>-</v>
      </c>
      <c r="BC728" t="str">
        <f t="shared" si="430"/>
        <v>-</v>
      </c>
      <c r="BD728" s="29" t="str">
        <f t="shared" si="431"/>
        <v>-</v>
      </c>
      <c r="BE728" s="29" t="str">
        <f t="shared" si="432"/>
        <v>-</v>
      </c>
    </row>
    <row r="729" spans="1:57" ht="15" x14ac:dyDescent="0.2">
      <c r="A729" s="2">
        <v>221</v>
      </c>
      <c r="B729" s="2" t="str">
        <f t="shared" si="397"/>
        <v>0221</v>
      </c>
      <c r="C729" t="str">
        <f t="shared" si="398"/>
        <v>ORD-SP-0221-19/09/24</v>
      </c>
      <c r="D729" s="3" t="s">
        <v>289</v>
      </c>
      <c r="E729" t="str">
        <f t="shared" si="399"/>
        <v>SP001</v>
      </c>
      <c r="F729" t="str">
        <f>INDEX(Katalog!$B$4:$B$13,MATCH('Main Data'!E729,Katalog!$C$4:$C$13,0))</f>
        <v>Sneakers</v>
      </c>
      <c r="G729" t="str">
        <f>VLOOKUP(E729,Katalog!$A$15:$B$25,2,0)</f>
        <v>Sepatu Pria</v>
      </c>
      <c r="H729" t="str">
        <f t="shared" si="400"/>
        <v>2</v>
      </c>
      <c r="I729" t="str">
        <f t="shared" si="401"/>
        <v>2</v>
      </c>
      <c r="J729" s="18">
        <f>VLOOKUP(E729,Katalog!$C$3:$F$13,2,0)</f>
        <v>300000</v>
      </c>
      <c r="K729" s="18">
        <f>VLOOKUP(E729,Katalog!$C$3:$F$13,3,0)</f>
        <v>100000</v>
      </c>
      <c r="L729" t="str">
        <f t="shared" si="402"/>
        <v>PP001</v>
      </c>
      <c r="M729" t="str">
        <f>IFERROR(INDEX(Katalog!$B$4:$B$13,MATCH('Main Data'!L729,Katalog!$C$4:$C$13,0)), "-")</f>
        <v>Kaos Polo</v>
      </c>
      <c r="N729" t="str">
        <f>IFERROR(VLOOKUP(L729,Katalog!$A$15:$B$25,2,0),"-")</f>
        <v>Pakaian Pria</v>
      </c>
      <c r="O729" t="str">
        <f t="shared" si="403"/>
        <v>1</v>
      </c>
      <c r="P729" t="str">
        <f t="shared" si="404"/>
        <v>4</v>
      </c>
      <c r="Q729" s="18">
        <f>IFERROR(VLOOKUP(L729,Katalog!$C$3:$F$13,2,0),0)</f>
        <v>80000</v>
      </c>
      <c r="R729" s="18">
        <f>IFERROR(VLOOKUP(L729,Katalog!$C$3:$F$13,3,0),0)</f>
        <v>30000</v>
      </c>
      <c r="S729" t="str">
        <f t="shared" si="405"/>
        <v>-</v>
      </c>
      <c r="T729" t="str">
        <f>IFERROR(INDEX(Katalog!$B$4:$B$13,MATCH('Main Data'!S729,Katalog!$C$4:$C$13,0)),"-")</f>
        <v>-</v>
      </c>
      <c r="U729" t="str">
        <f>IFERROR(VLOOKUP(S729,Katalog!$A$15:$B$25,2,0),"-")</f>
        <v>-</v>
      </c>
      <c r="V729">
        <f t="shared" si="406"/>
        <v>0</v>
      </c>
      <c r="W729" s="28" t="str">
        <f t="shared" si="407"/>
        <v>-</v>
      </c>
      <c r="X729" s="18">
        <f>IFERROR(VLOOKUP(S729,Katalog!$C$3:$F$13,2,0),0)</f>
        <v>0</v>
      </c>
      <c r="Y729" s="30">
        <f>IFERROR(VLOOKUP(S729,Katalog!$C$3:$F$13,3,0),0)</f>
        <v>0</v>
      </c>
      <c r="Z729" s="2">
        <f t="shared" si="408"/>
        <v>3</v>
      </c>
      <c r="AA729" s="4">
        <f t="shared" si="409"/>
        <v>680000</v>
      </c>
      <c r="AB729" s="4">
        <f t="shared" si="410"/>
        <v>230000</v>
      </c>
      <c r="AC729" s="4" t="s">
        <v>5</v>
      </c>
      <c r="AD729" s="16">
        <f>IFERROR(VLOOKUP(AC729,'Kode Diskon'!$C$2:$D$9,2,0),0)</f>
        <v>0.1</v>
      </c>
      <c r="AE729" s="31">
        <f t="shared" si="411"/>
        <v>68000</v>
      </c>
      <c r="AF729" s="31">
        <f t="shared" si="412"/>
        <v>612000</v>
      </c>
      <c r="AG729" s="31">
        <f t="shared" si="413"/>
        <v>450000</v>
      </c>
      <c r="AH729" s="31">
        <f t="shared" si="414"/>
        <v>382000</v>
      </c>
      <c r="AI729" s="4" t="s">
        <v>28</v>
      </c>
      <c r="AJ729" s="4" t="s">
        <v>6</v>
      </c>
      <c r="AK729" s="4" t="str">
        <f>IFERROR(VLOOKUP(AJ729,'Guide '!$A$13:$B$16,2,0),"-")</f>
        <v>SP</v>
      </c>
      <c r="AL729" s="4" t="s">
        <v>922</v>
      </c>
      <c r="AM729" s="40">
        <v>45554</v>
      </c>
      <c r="AN729">
        <f t="shared" si="415"/>
        <v>29</v>
      </c>
      <c r="AO729">
        <f t="shared" si="416"/>
        <v>32</v>
      </c>
      <c r="AP729">
        <f t="shared" si="417"/>
        <v>40</v>
      </c>
      <c r="AQ729">
        <f t="shared" si="418"/>
        <v>43</v>
      </c>
      <c r="AR729" s="26">
        <f t="shared" si="419"/>
        <v>56</v>
      </c>
      <c r="AS729" s="26">
        <f t="shared" si="420"/>
        <v>63</v>
      </c>
      <c r="AT729" s="21">
        <f t="shared" si="421"/>
        <v>12</v>
      </c>
      <c r="AU729" s="21">
        <f t="shared" si="422"/>
        <v>19</v>
      </c>
      <c r="AV729">
        <f t="shared" si="423"/>
        <v>73</v>
      </c>
      <c r="AW729">
        <f t="shared" si="424"/>
        <v>76</v>
      </c>
      <c r="AX729">
        <f t="shared" si="425"/>
        <v>84</v>
      </c>
      <c r="AY729">
        <f t="shared" si="426"/>
        <v>87</v>
      </c>
      <c r="AZ729" t="str">
        <f t="shared" si="427"/>
        <v>-</v>
      </c>
      <c r="BA729" t="str">
        <f t="shared" si="428"/>
        <v>-</v>
      </c>
      <c r="BB729" t="str">
        <f t="shared" si="429"/>
        <v>-</v>
      </c>
      <c r="BC729" t="str">
        <f t="shared" si="430"/>
        <v>-</v>
      </c>
      <c r="BD729" s="29" t="str">
        <f t="shared" si="431"/>
        <v>-</v>
      </c>
      <c r="BE729" s="29" t="str">
        <f t="shared" si="432"/>
        <v>-</v>
      </c>
    </row>
    <row r="730" spans="1:57" ht="15" x14ac:dyDescent="0.2">
      <c r="A730" s="2">
        <v>796</v>
      </c>
      <c r="B730" s="2" t="str">
        <f t="shared" si="397"/>
        <v>0796</v>
      </c>
      <c r="C730" t="str">
        <f t="shared" si="398"/>
        <v>ORD-BL-0796-19/09/24</v>
      </c>
      <c r="D730" s="3" t="s">
        <v>444</v>
      </c>
      <c r="E730" t="str">
        <f t="shared" si="399"/>
        <v>SP001</v>
      </c>
      <c r="F730" t="str">
        <f>INDEX(Katalog!$B$4:$B$13,MATCH('Main Data'!E730,Katalog!$C$4:$C$13,0))</f>
        <v>Sneakers</v>
      </c>
      <c r="G730" t="str">
        <f>VLOOKUP(E730,Katalog!$A$15:$B$25,2,0)</f>
        <v>Sepatu Pria</v>
      </c>
      <c r="H730" t="str">
        <f t="shared" si="400"/>
        <v>1</v>
      </c>
      <c r="I730" t="str">
        <f t="shared" si="401"/>
        <v>3</v>
      </c>
      <c r="J730" s="18">
        <f>VLOOKUP(E730,Katalog!$C$3:$F$13,2,0)</f>
        <v>300000</v>
      </c>
      <c r="K730" s="18">
        <f>VLOOKUP(E730,Katalog!$C$3:$F$13,3,0)</f>
        <v>100000</v>
      </c>
      <c r="L730" t="str">
        <f t="shared" si="402"/>
        <v>-</v>
      </c>
      <c r="M730" t="str">
        <f>IFERROR(INDEX(Katalog!$B$4:$B$13,MATCH('Main Data'!L730,Katalog!$C$4:$C$13,0)), "-")</f>
        <v>-</v>
      </c>
      <c r="N730" t="str">
        <f>IFERROR(VLOOKUP(L730,Katalog!$A$15:$B$25,2,0),"-")</f>
        <v>-</v>
      </c>
      <c r="O730">
        <f t="shared" si="403"/>
        <v>0</v>
      </c>
      <c r="P730" t="str">
        <f t="shared" si="404"/>
        <v>-</v>
      </c>
      <c r="Q730" s="18">
        <f>IFERROR(VLOOKUP(L730,Katalog!$C$3:$F$13,2,0),0)</f>
        <v>0</v>
      </c>
      <c r="R730" s="18">
        <f>IFERROR(VLOOKUP(L730,Katalog!$C$3:$F$13,3,0),0)</f>
        <v>0</v>
      </c>
      <c r="S730" t="str">
        <f t="shared" si="405"/>
        <v>-</v>
      </c>
      <c r="T730" t="str">
        <f>IFERROR(INDEX(Katalog!$B$4:$B$13,MATCH('Main Data'!S730,Katalog!$C$4:$C$13,0)),"-")</f>
        <v>-</v>
      </c>
      <c r="U730" t="str">
        <f>IFERROR(VLOOKUP(S730,Katalog!$A$15:$B$25,2,0),"-")</f>
        <v>-</v>
      </c>
      <c r="V730">
        <f t="shared" si="406"/>
        <v>0</v>
      </c>
      <c r="W730" s="28" t="str">
        <f t="shared" si="407"/>
        <v>-</v>
      </c>
      <c r="X730" s="18">
        <f>IFERROR(VLOOKUP(S730,Katalog!$C$3:$F$13,2,0),0)</f>
        <v>0</v>
      </c>
      <c r="Y730" s="30">
        <f>IFERROR(VLOOKUP(S730,Katalog!$C$3:$F$13,3,0),0)</f>
        <v>0</v>
      </c>
      <c r="Z730" s="2">
        <f t="shared" si="408"/>
        <v>1</v>
      </c>
      <c r="AA730" s="4">
        <f t="shared" si="409"/>
        <v>300000</v>
      </c>
      <c r="AB730" s="4">
        <f t="shared" si="410"/>
        <v>100000</v>
      </c>
      <c r="AC730" s="4" t="s">
        <v>31</v>
      </c>
      <c r="AD730" s="16">
        <f>IFERROR(VLOOKUP(AC730,'Kode Diskon'!$C$2:$D$9,2,0),0)</f>
        <v>0.15</v>
      </c>
      <c r="AE730" s="31">
        <f t="shared" si="411"/>
        <v>45000</v>
      </c>
      <c r="AF730" s="31">
        <f t="shared" si="412"/>
        <v>255000</v>
      </c>
      <c r="AG730" s="31">
        <f t="shared" si="413"/>
        <v>200000</v>
      </c>
      <c r="AH730" s="31">
        <f t="shared" si="414"/>
        <v>155000</v>
      </c>
      <c r="AI730" s="4" t="s">
        <v>8</v>
      </c>
      <c r="AJ730" s="4" t="s">
        <v>11</v>
      </c>
      <c r="AK730" s="4" t="str">
        <f>IFERROR(VLOOKUP(AJ730,'Guide '!$A$13:$B$16,2,0),"-")</f>
        <v>BL</v>
      </c>
      <c r="AL730" s="4" t="s">
        <v>924</v>
      </c>
      <c r="AM730" s="40">
        <v>45554</v>
      </c>
      <c r="AN730">
        <f t="shared" si="415"/>
        <v>29</v>
      </c>
      <c r="AO730">
        <f t="shared" si="416"/>
        <v>32</v>
      </c>
      <c r="AP730">
        <f t="shared" si="417"/>
        <v>40</v>
      </c>
      <c r="AQ730">
        <f t="shared" si="418"/>
        <v>43</v>
      </c>
      <c r="AR730" s="26" t="str">
        <f t="shared" si="419"/>
        <v>-</v>
      </c>
      <c r="AS730" s="26" t="str">
        <f t="shared" si="420"/>
        <v>-</v>
      </c>
      <c r="AT730" s="21">
        <f t="shared" si="421"/>
        <v>12</v>
      </c>
      <c r="AU730" s="21">
        <f t="shared" si="422"/>
        <v>19</v>
      </c>
      <c r="AV730" t="str">
        <f t="shared" si="423"/>
        <v>-</v>
      </c>
      <c r="AW730" t="str">
        <f t="shared" si="424"/>
        <v>-</v>
      </c>
      <c r="AX730" t="str">
        <f t="shared" si="425"/>
        <v>-</v>
      </c>
      <c r="AY730" t="str">
        <f t="shared" si="426"/>
        <v>-</v>
      </c>
      <c r="AZ730" t="str">
        <f t="shared" si="427"/>
        <v>-</v>
      </c>
      <c r="BA730" t="str">
        <f t="shared" si="428"/>
        <v>-</v>
      </c>
      <c r="BB730" t="str">
        <f t="shared" si="429"/>
        <v>-</v>
      </c>
      <c r="BC730" t="str">
        <f t="shared" si="430"/>
        <v>-</v>
      </c>
      <c r="BD730" s="29" t="str">
        <f t="shared" si="431"/>
        <v>-</v>
      </c>
      <c r="BE730" s="29" t="str">
        <f t="shared" si="432"/>
        <v>-</v>
      </c>
    </row>
    <row r="731" spans="1:57" ht="15" x14ac:dyDescent="0.2">
      <c r="A731" s="2">
        <v>339</v>
      </c>
      <c r="B731" s="2" t="str">
        <f t="shared" si="397"/>
        <v>0339</v>
      </c>
      <c r="C731" t="str">
        <f t="shared" si="398"/>
        <v>ORD-SP-0339-21/09/24</v>
      </c>
      <c r="D731" s="3" t="s">
        <v>391</v>
      </c>
      <c r="E731" t="str">
        <f t="shared" si="399"/>
        <v>PP002</v>
      </c>
      <c r="F731" t="str">
        <f>INDEX(Katalog!$B$4:$B$13,MATCH('Main Data'!E731,Katalog!$C$4:$C$13,0))</f>
        <v>Celana Pendek</v>
      </c>
      <c r="G731" t="str">
        <f>VLOOKUP(E731,Katalog!$A$15:$B$25,2,0)</f>
        <v>Pakaian Pria</v>
      </c>
      <c r="H731" t="str">
        <f t="shared" si="400"/>
        <v>2</v>
      </c>
      <c r="I731" t="str">
        <f t="shared" si="401"/>
        <v>5</v>
      </c>
      <c r="J731" s="18">
        <f>VLOOKUP(E731,Katalog!$C$3:$F$13,2,0)</f>
        <v>60000</v>
      </c>
      <c r="K731" s="18">
        <f>VLOOKUP(E731,Katalog!$C$3:$F$13,3,0)</f>
        <v>25000</v>
      </c>
      <c r="L731" t="str">
        <f t="shared" si="402"/>
        <v>-</v>
      </c>
      <c r="M731" t="str">
        <f>IFERROR(INDEX(Katalog!$B$4:$B$13,MATCH('Main Data'!L731,Katalog!$C$4:$C$13,0)), "-")</f>
        <v>-</v>
      </c>
      <c r="N731" t="str">
        <f>IFERROR(VLOOKUP(L731,Katalog!$A$15:$B$25,2,0),"-")</f>
        <v>-</v>
      </c>
      <c r="O731">
        <f t="shared" si="403"/>
        <v>0</v>
      </c>
      <c r="P731" t="str">
        <f t="shared" si="404"/>
        <v>-</v>
      </c>
      <c r="Q731" s="18">
        <f>IFERROR(VLOOKUP(L731,Katalog!$C$3:$F$13,2,0),0)</f>
        <v>0</v>
      </c>
      <c r="R731" s="18">
        <f>IFERROR(VLOOKUP(L731,Katalog!$C$3:$F$13,3,0),0)</f>
        <v>0</v>
      </c>
      <c r="S731" t="str">
        <f t="shared" si="405"/>
        <v>-</v>
      </c>
      <c r="T731" t="str">
        <f>IFERROR(INDEX(Katalog!$B$4:$B$13,MATCH('Main Data'!S731,Katalog!$C$4:$C$13,0)),"-")</f>
        <v>-</v>
      </c>
      <c r="U731" t="str">
        <f>IFERROR(VLOOKUP(S731,Katalog!$A$15:$B$25,2,0),"-")</f>
        <v>-</v>
      </c>
      <c r="V731">
        <f t="shared" si="406"/>
        <v>0</v>
      </c>
      <c r="W731" s="28" t="str">
        <f t="shared" si="407"/>
        <v>-</v>
      </c>
      <c r="X731" s="18">
        <f>IFERROR(VLOOKUP(S731,Katalog!$C$3:$F$13,2,0),0)</f>
        <v>0</v>
      </c>
      <c r="Y731" s="30">
        <f>IFERROR(VLOOKUP(S731,Katalog!$C$3:$F$13,3,0),0)</f>
        <v>0</v>
      </c>
      <c r="Z731" s="2">
        <f t="shared" si="408"/>
        <v>2</v>
      </c>
      <c r="AA731" s="4">
        <f t="shared" si="409"/>
        <v>120000</v>
      </c>
      <c r="AB731" s="4">
        <f t="shared" si="410"/>
        <v>50000</v>
      </c>
      <c r="AC731" s="4" t="s">
        <v>5</v>
      </c>
      <c r="AD731" s="16">
        <f>IFERROR(VLOOKUP(AC731,'Kode Diskon'!$C$2:$D$9,2,0),0)</f>
        <v>0.1</v>
      </c>
      <c r="AE731" s="31">
        <f t="shared" si="411"/>
        <v>12000</v>
      </c>
      <c r="AF731" s="31">
        <f t="shared" si="412"/>
        <v>108000</v>
      </c>
      <c r="AG731" s="31">
        <f t="shared" si="413"/>
        <v>70000</v>
      </c>
      <c r="AH731" s="31">
        <f t="shared" si="414"/>
        <v>58000</v>
      </c>
      <c r="AI731" s="4" t="s">
        <v>28</v>
      </c>
      <c r="AJ731" s="4" t="s">
        <v>6</v>
      </c>
      <c r="AK731" s="4" t="str">
        <f>IFERROR(VLOOKUP(AJ731,'Guide '!$A$13:$B$16,2,0),"-")</f>
        <v>SP</v>
      </c>
      <c r="AL731" s="4" t="s">
        <v>921</v>
      </c>
      <c r="AM731" s="40">
        <v>45556</v>
      </c>
      <c r="AN731">
        <f t="shared" si="415"/>
        <v>29</v>
      </c>
      <c r="AO731">
        <f t="shared" si="416"/>
        <v>32</v>
      </c>
      <c r="AP731">
        <f t="shared" si="417"/>
        <v>40</v>
      </c>
      <c r="AQ731">
        <f t="shared" si="418"/>
        <v>43</v>
      </c>
      <c r="AR731" s="26" t="str">
        <f t="shared" si="419"/>
        <v>-</v>
      </c>
      <c r="AS731" s="26" t="str">
        <f t="shared" si="420"/>
        <v>-</v>
      </c>
      <c r="AT731" s="21">
        <f t="shared" si="421"/>
        <v>12</v>
      </c>
      <c r="AU731" s="21">
        <f t="shared" si="422"/>
        <v>19</v>
      </c>
      <c r="AV731" t="str">
        <f t="shared" si="423"/>
        <v>-</v>
      </c>
      <c r="AW731" t="str">
        <f t="shared" si="424"/>
        <v>-</v>
      </c>
      <c r="AX731" t="str">
        <f t="shared" si="425"/>
        <v>-</v>
      </c>
      <c r="AY731" t="str">
        <f t="shared" si="426"/>
        <v>-</v>
      </c>
      <c r="AZ731" t="str">
        <f t="shared" si="427"/>
        <v>-</v>
      </c>
      <c r="BA731" t="str">
        <f t="shared" si="428"/>
        <v>-</v>
      </c>
      <c r="BB731" t="str">
        <f t="shared" si="429"/>
        <v>-</v>
      </c>
      <c r="BC731" t="str">
        <f t="shared" si="430"/>
        <v>-</v>
      </c>
      <c r="BD731" s="29" t="str">
        <f t="shared" si="431"/>
        <v>-</v>
      </c>
      <c r="BE731" s="29" t="str">
        <f t="shared" si="432"/>
        <v>-</v>
      </c>
    </row>
    <row r="732" spans="1:57" ht="15" x14ac:dyDescent="0.2">
      <c r="A732" s="2">
        <v>164</v>
      </c>
      <c r="B732" s="2" t="str">
        <f t="shared" si="397"/>
        <v>0164</v>
      </c>
      <c r="C732" t="str">
        <f t="shared" si="398"/>
        <v>ORD-SP-0164-22/09/24</v>
      </c>
      <c r="D732" s="3" t="s">
        <v>233</v>
      </c>
      <c r="E732" t="str">
        <f t="shared" si="399"/>
        <v>PP003</v>
      </c>
      <c r="F732" t="str">
        <f>INDEX(Katalog!$B$4:$B$13,MATCH('Main Data'!E732,Katalog!$C$4:$C$13,0))</f>
        <v>Jaket Jeans</v>
      </c>
      <c r="G732" t="str">
        <f>VLOOKUP(E732,Katalog!$A$15:$B$25,2,0)</f>
        <v>Pakaian Pria</v>
      </c>
      <c r="H732" t="str">
        <f t="shared" si="400"/>
        <v>2</v>
      </c>
      <c r="I732" t="str">
        <f t="shared" si="401"/>
        <v>5</v>
      </c>
      <c r="J732" s="18">
        <f>VLOOKUP(E732,Katalog!$C$3:$F$13,2,0)</f>
        <v>150000</v>
      </c>
      <c r="K732" s="18">
        <f>VLOOKUP(E732,Katalog!$C$3:$F$13,3,0)</f>
        <v>70000</v>
      </c>
      <c r="L732" t="str">
        <f t="shared" si="402"/>
        <v>-</v>
      </c>
      <c r="M732" t="str">
        <f>IFERROR(INDEX(Katalog!$B$4:$B$13,MATCH('Main Data'!L732,Katalog!$C$4:$C$13,0)), "-")</f>
        <v>-</v>
      </c>
      <c r="N732" t="str">
        <f>IFERROR(VLOOKUP(L732,Katalog!$A$15:$B$25,2,0),"-")</f>
        <v>-</v>
      </c>
      <c r="O732">
        <f t="shared" si="403"/>
        <v>0</v>
      </c>
      <c r="P732" t="str">
        <f t="shared" si="404"/>
        <v>-</v>
      </c>
      <c r="Q732" s="18">
        <f>IFERROR(VLOOKUP(L732,Katalog!$C$3:$F$13,2,0),0)</f>
        <v>0</v>
      </c>
      <c r="R732" s="18">
        <f>IFERROR(VLOOKUP(L732,Katalog!$C$3:$F$13,3,0),0)</f>
        <v>0</v>
      </c>
      <c r="S732" t="str">
        <f t="shared" si="405"/>
        <v>-</v>
      </c>
      <c r="T732" t="str">
        <f>IFERROR(INDEX(Katalog!$B$4:$B$13,MATCH('Main Data'!S732,Katalog!$C$4:$C$13,0)),"-")</f>
        <v>-</v>
      </c>
      <c r="U732" t="str">
        <f>IFERROR(VLOOKUP(S732,Katalog!$A$15:$B$25,2,0),"-")</f>
        <v>-</v>
      </c>
      <c r="V732">
        <f t="shared" si="406"/>
        <v>0</v>
      </c>
      <c r="W732" s="28" t="str">
        <f t="shared" si="407"/>
        <v>-</v>
      </c>
      <c r="X732" s="18">
        <f>IFERROR(VLOOKUP(S732,Katalog!$C$3:$F$13,2,0),0)</f>
        <v>0</v>
      </c>
      <c r="Y732" s="30">
        <f>IFERROR(VLOOKUP(S732,Katalog!$C$3:$F$13,3,0),0)</f>
        <v>0</v>
      </c>
      <c r="Z732" s="2">
        <f t="shared" si="408"/>
        <v>2</v>
      </c>
      <c r="AA732" s="4">
        <f t="shared" si="409"/>
        <v>300000</v>
      </c>
      <c r="AB732" s="4">
        <f t="shared" si="410"/>
        <v>140000</v>
      </c>
      <c r="AC732" s="4" t="s">
        <v>5</v>
      </c>
      <c r="AD732" s="16">
        <f>IFERROR(VLOOKUP(AC732,'Kode Diskon'!$C$2:$D$9,2,0),0)</f>
        <v>0.1</v>
      </c>
      <c r="AE732" s="31">
        <f t="shared" si="411"/>
        <v>30000</v>
      </c>
      <c r="AF732" s="31">
        <f t="shared" si="412"/>
        <v>270000</v>
      </c>
      <c r="AG732" s="31">
        <f t="shared" si="413"/>
        <v>160000</v>
      </c>
      <c r="AH732" s="31">
        <f t="shared" si="414"/>
        <v>130000</v>
      </c>
      <c r="AI732" s="4" t="s">
        <v>28</v>
      </c>
      <c r="AJ732" s="4" t="s">
        <v>6</v>
      </c>
      <c r="AK732" s="4" t="str">
        <f>IFERROR(VLOOKUP(AJ732,'Guide '!$A$13:$B$16,2,0),"-")</f>
        <v>SP</v>
      </c>
      <c r="AL732" s="4" t="s">
        <v>1006</v>
      </c>
      <c r="AM732" s="40">
        <v>45557</v>
      </c>
      <c r="AN732">
        <f t="shared" si="415"/>
        <v>29</v>
      </c>
      <c r="AO732">
        <f t="shared" si="416"/>
        <v>32</v>
      </c>
      <c r="AP732">
        <f t="shared" si="417"/>
        <v>40</v>
      </c>
      <c r="AQ732">
        <f t="shared" si="418"/>
        <v>43</v>
      </c>
      <c r="AR732" s="26" t="str">
        <f t="shared" si="419"/>
        <v>-</v>
      </c>
      <c r="AS732" s="26" t="str">
        <f t="shared" si="420"/>
        <v>-</v>
      </c>
      <c r="AT732" s="21">
        <f t="shared" si="421"/>
        <v>12</v>
      </c>
      <c r="AU732" s="21">
        <f t="shared" si="422"/>
        <v>19</v>
      </c>
      <c r="AV732" t="str">
        <f t="shared" si="423"/>
        <v>-</v>
      </c>
      <c r="AW732" t="str">
        <f t="shared" si="424"/>
        <v>-</v>
      </c>
      <c r="AX732" t="str">
        <f t="shared" si="425"/>
        <v>-</v>
      </c>
      <c r="AY732" t="str">
        <f t="shared" si="426"/>
        <v>-</v>
      </c>
      <c r="AZ732" t="str">
        <f t="shared" si="427"/>
        <v>-</v>
      </c>
      <c r="BA732" t="str">
        <f t="shared" si="428"/>
        <v>-</v>
      </c>
      <c r="BB732" t="str">
        <f t="shared" si="429"/>
        <v>-</v>
      </c>
      <c r="BC732" t="str">
        <f t="shared" si="430"/>
        <v>-</v>
      </c>
      <c r="BD732" s="29" t="str">
        <f t="shared" si="431"/>
        <v>-</v>
      </c>
      <c r="BE732" s="29" t="str">
        <f t="shared" si="432"/>
        <v>-</v>
      </c>
    </row>
    <row r="733" spans="1:57" ht="15" x14ac:dyDescent="0.2">
      <c r="A733" s="2">
        <v>380</v>
      </c>
      <c r="B733" s="2" t="str">
        <f t="shared" si="397"/>
        <v>0380</v>
      </c>
      <c r="C733" t="str">
        <f t="shared" si="398"/>
        <v>ORD-SP-0380-22/09/24</v>
      </c>
      <c r="D733" s="3" t="s">
        <v>429</v>
      </c>
      <c r="E733" t="str">
        <f t="shared" si="399"/>
        <v>SP001</v>
      </c>
      <c r="F733" t="str">
        <f>INDEX(Katalog!$B$4:$B$13,MATCH('Main Data'!E733,Katalog!$C$4:$C$13,0))</f>
        <v>Sneakers</v>
      </c>
      <c r="G733" t="str">
        <f>VLOOKUP(E733,Katalog!$A$15:$B$25,2,0)</f>
        <v>Sepatu Pria</v>
      </c>
      <c r="H733" t="str">
        <f t="shared" si="400"/>
        <v>1</v>
      </c>
      <c r="I733" t="str">
        <f t="shared" si="401"/>
        <v>2</v>
      </c>
      <c r="J733" s="18">
        <f>VLOOKUP(E733,Katalog!$C$3:$F$13,2,0)</f>
        <v>300000</v>
      </c>
      <c r="K733" s="18">
        <f>VLOOKUP(E733,Katalog!$C$3:$F$13,3,0)</f>
        <v>100000</v>
      </c>
      <c r="L733" t="str">
        <f t="shared" si="402"/>
        <v>PP003</v>
      </c>
      <c r="M733" t="str">
        <f>IFERROR(INDEX(Katalog!$B$4:$B$13,MATCH('Main Data'!L733,Katalog!$C$4:$C$13,0)), "-")</f>
        <v>Jaket Jeans</v>
      </c>
      <c r="N733" t="str">
        <f>IFERROR(VLOOKUP(L733,Katalog!$A$15:$B$25,2,0),"-")</f>
        <v>Pakaian Pria</v>
      </c>
      <c r="O733" t="str">
        <f t="shared" si="403"/>
        <v>2</v>
      </c>
      <c r="P733" t="str">
        <f t="shared" si="404"/>
        <v>2</v>
      </c>
      <c r="Q733" s="18">
        <f>IFERROR(VLOOKUP(L733,Katalog!$C$3:$F$13,2,0),0)</f>
        <v>150000</v>
      </c>
      <c r="R733" s="18">
        <f>IFERROR(VLOOKUP(L733,Katalog!$C$3:$F$13,3,0),0)</f>
        <v>70000</v>
      </c>
      <c r="S733" t="str">
        <f t="shared" si="405"/>
        <v>PW003</v>
      </c>
      <c r="T733" t="str">
        <f>IFERROR(INDEX(Katalog!$B$4:$B$13,MATCH('Main Data'!S733,Katalog!$C$4:$C$13,0)),"-")</f>
        <v>Kaftan</v>
      </c>
      <c r="U733" t="str">
        <f>IFERROR(VLOOKUP(S733,Katalog!$A$15:$B$25,2,0),"-")</f>
        <v>Pakaian Wanita</v>
      </c>
      <c r="V733" t="str">
        <f t="shared" si="406"/>
        <v>1</v>
      </c>
      <c r="W733" s="28" t="str">
        <f t="shared" si="407"/>
        <v>1</v>
      </c>
      <c r="X733" s="18">
        <f>IFERROR(VLOOKUP(S733,Katalog!$C$3:$F$13,2,0),0)</f>
        <v>200000</v>
      </c>
      <c r="Y733" s="30">
        <f>IFERROR(VLOOKUP(S733,Katalog!$C$3:$F$13,3,0),0)</f>
        <v>100000</v>
      </c>
      <c r="Z733" s="2">
        <f t="shared" si="408"/>
        <v>4</v>
      </c>
      <c r="AA733" s="4">
        <f t="shared" si="409"/>
        <v>800000</v>
      </c>
      <c r="AB733" s="4">
        <f t="shared" si="410"/>
        <v>340000</v>
      </c>
      <c r="AC733" s="4" t="s">
        <v>7</v>
      </c>
      <c r="AD733" s="16">
        <f>IFERROR(VLOOKUP(AC733,'Kode Diskon'!$C$2:$D$9,2,0),0)</f>
        <v>0.2</v>
      </c>
      <c r="AE733" s="31">
        <f t="shared" si="411"/>
        <v>160000</v>
      </c>
      <c r="AF733" s="31">
        <f t="shared" si="412"/>
        <v>640000</v>
      </c>
      <c r="AG733" s="31">
        <f t="shared" si="413"/>
        <v>460000</v>
      </c>
      <c r="AH733" s="31">
        <f t="shared" si="414"/>
        <v>300000</v>
      </c>
      <c r="AI733" s="4" t="s">
        <v>8</v>
      </c>
      <c r="AJ733" s="4" t="s">
        <v>6</v>
      </c>
      <c r="AK733" s="4" t="str">
        <f>IFERROR(VLOOKUP(AJ733,'Guide '!$A$13:$B$16,2,0),"-")</f>
        <v>SP</v>
      </c>
      <c r="AL733" s="4" t="s">
        <v>925</v>
      </c>
      <c r="AM733" s="40">
        <v>45557</v>
      </c>
      <c r="AN733">
        <f t="shared" si="415"/>
        <v>29</v>
      </c>
      <c r="AO733">
        <f t="shared" si="416"/>
        <v>32</v>
      </c>
      <c r="AP733">
        <f t="shared" si="417"/>
        <v>40</v>
      </c>
      <c r="AQ733">
        <f t="shared" si="418"/>
        <v>43</v>
      </c>
      <c r="AR733" s="26">
        <f t="shared" si="419"/>
        <v>56</v>
      </c>
      <c r="AS733" s="26">
        <f t="shared" si="420"/>
        <v>63</v>
      </c>
      <c r="AT733" s="21">
        <f t="shared" si="421"/>
        <v>12</v>
      </c>
      <c r="AU733" s="21">
        <f t="shared" si="422"/>
        <v>19</v>
      </c>
      <c r="AV733">
        <f t="shared" si="423"/>
        <v>73</v>
      </c>
      <c r="AW733">
        <f t="shared" si="424"/>
        <v>76</v>
      </c>
      <c r="AX733">
        <f t="shared" si="425"/>
        <v>84</v>
      </c>
      <c r="AY733">
        <f t="shared" si="426"/>
        <v>87</v>
      </c>
      <c r="AZ733">
        <f t="shared" si="427"/>
        <v>100</v>
      </c>
      <c r="BA733">
        <f t="shared" si="428"/>
        <v>107</v>
      </c>
      <c r="BB733">
        <f t="shared" si="429"/>
        <v>117</v>
      </c>
      <c r="BC733">
        <f t="shared" si="430"/>
        <v>120</v>
      </c>
      <c r="BD733" s="29">
        <f t="shared" si="431"/>
        <v>128</v>
      </c>
      <c r="BE733" s="29">
        <f t="shared" si="432"/>
        <v>131</v>
      </c>
    </row>
    <row r="734" spans="1:57" ht="15" x14ac:dyDescent="0.2">
      <c r="A734" s="2">
        <v>441</v>
      </c>
      <c r="B734" s="2" t="str">
        <f t="shared" si="397"/>
        <v>0441</v>
      </c>
      <c r="C734" t="str">
        <f t="shared" si="398"/>
        <v>ORD-TK-0441-22/09/24</v>
      </c>
      <c r="D734" s="3" t="s">
        <v>481</v>
      </c>
      <c r="E734" t="str">
        <f t="shared" si="399"/>
        <v>PW001</v>
      </c>
      <c r="F734" t="str">
        <f>INDEX(Katalog!$B$4:$B$13,MATCH('Main Data'!E734,Katalog!$C$4:$C$13,0))</f>
        <v>Dress</v>
      </c>
      <c r="G734" t="str">
        <f>VLOOKUP(E734,Katalog!$A$15:$B$25,2,0)</f>
        <v>Pakaian Wanita</v>
      </c>
      <c r="H734" t="str">
        <f t="shared" si="400"/>
        <v>1</v>
      </c>
      <c r="I734" t="str">
        <f t="shared" si="401"/>
        <v>4</v>
      </c>
      <c r="J734" s="18">
        <f>VLOOKUP(E734,Katalog!$C$3:$F$13,2,0)</f>
        <v>150000</v>
      </c>
      <c r="K734" s="18">
        <f>VLOOKUP(E734,Katalog!$C$3:$F$13,3,0)</f>
        <v>55000</v>
      </c>
      <c r="L734" t="str">
        <f t="shared" si="402"/>
        <v>PP003</v>
      </c>
      <c r="M734" t="str">
        <f>IFERROR(INDEX(Katalog!$B$4:$B$13,MATCH('Main Data'!L734,Katalog!$C$4:$C$13,0)), "-")</f>
        <v>Jaket Jeans</v>
      </c>
      <c r="N734" t="str">
        <f>IFERROR(VLOOKUP(L734,Katalog!$A$15:$B$25,2,0),"-")</f>
        <v>Pakaian Pria</v>
      </c>
      <c r="O734" t="str">
        <f t="shared" si="403"/>
        <v>1</v>
      </c>
      <c r="P734" t="str">
        <f t="shared" si="404"/>
        <v>4</v>
      </c>
      <c r="Q734" s="18">
        <f>IFERROR(VLOOKUP(L734,Katalog!$C$3:$F$13,2,0),0)</f>
        <v>150000</v>
      </c>
      <c r="R734" s="18">
        <f>IFERROR(VLOOKUP(L734,Katalog!$C$3:$F$13,3,0),0)</f>
        <v>70000</v>
      </c>
      <c r="S734" t="str">
        <f t="shared" si="405"/>
        <v>-</v>
      </c>
      <c r="T734" t="str">
        <f>IFERROR(INDEX(Katalog!$B$4:$B$13,MATCH('Main Data'!S734,Katalog!$C$4:$C$13,0)),"-")</f>
        <v>-</v>
      </c>
      <c r="U734" t="str">
        <f>IFERROR(VLOOKUP(S734,Katalog!$A$15:$B$25,2,0),"-")</f>
        <v>-</v>
      </c>
      <c r="V734">
        <f t="shared" si="406"/>
        <v>0</v>
      </c>
      <c r="W734" s="28" t="str">
        <f t="shared" si="407"/>
        <v>-</v>
      </c>
      <c r="X734" s="18">
        <f>IFERROR(VLOOKUP(S734,Katalog!$C$3:$F$13,2,0),0)</f>
        <v>0</v>
      </c>
      <c r="Y734" s="30">
        <f>IFERROR(VLOOKUP(S734,Katalog!$C$3:$F$13,3,0),0)</f>
        <v>0</v>
      </c>
      <c r="Z734" s="2">
        <f t="shared" si="408"/>
        <v>2</v>
      </c>
      <c r="AA734" s="4">
        <f t="shared" si="409"/>
        <v>300000</v>
      </c>
      <c r="AB734" s="4">
        <f t="shared" si="410"/>
        <v>125000</v>
      </c>
      <c r="AC734" s="4" t="s">
        <v>10</v>
      </c>
      <c r="AD734" s="16">
        <f>IFERROR(VLOOKUP(AC734,'Kode Diskon'!$C$2:$D$9,2,0),0)</f>
        <v>0</v>
      </c>
      <c r="AE734" s="31">
        <f t="shared" si="411"/>
        <v>0</v>
      </c>
      <c r="AF734" s="31">
        <f t="shared" si="412"/>
        <v>300000</v>
      </c>
      <c r="AG734" s="31">
        <f t="shared" si="413"/>
        <v>175000</v>
      </c>
      <c r="AH734" s="31">
        <f t="shared" si="414"/>
        <v>175000</v>
      </c>
      <c r="AI734" s="4" t="s">
        <v>10</v>
      </c>
      <c r="AJ734" s="4" t="s">
        <v>9</v>
      </c>
      <c r="AK734" s="4" t="str">
        <f>IFERROR(VLOOKUP(AJ734,'Guide '!$A$13:$B$16,2,0),"-")</f>
        <v>TK</v>
      </c>
      <c r="AL734" s="4" t="s">
        <v>925</v>
      </c>
      <c r="AM734" s="40">
        <v>45557</v>
      </c>
      <c r="AN734">
        <f t="shared" si="415"/>
        <v>29</v>
      </c>
      <c r="AO734">
        <f t="shared" si="416"/>
        <v>32</v>
      </c>
      <c r="AP734">
        <f t="shared" si="417"/>
        <v>40</v>
      </c>
      <c r="AQ734">
        <f t="shared" si="418"/>
        <v>43</v>
      </c>
      <c r="AR734" s="26">
        <f t="shared" si="419"/>
        <v>56</v>
      </c>
      <c r="AS734" s="26">
        <f t="shared" si="420"/>
        <v>63</v>
      </c>
      <c r="AT734" s="21">
        <f t="shared" si="421"/>
        <v>12</v>
      </c>
      <c r="AU734" s="21">
        <f t="shared" si="422"/>
        <v>19</v>
      </c>
      <c r="AV734">
        <f t="shared" si="423"/>
        <v>73</v>
      </c>
      <c r="AW734">
        <f t="shared" si="424"/>
        <v>76</v>
      </c>
      <c r="AX734">
        <f t="shared" si="425"/>
        <v>84</v>
      </c>
      <c r="AY734">
        <f t="shared" si="426"/>
        <v>87</v>
      </c>
      <c r="AZ734" t="str">
        <f t="shared" si="427"/>
        <v>-</v>
      </c>
      <c r="BA734" t="str">
        <f t="shared" si="428"/>
        <v>-</v>
      </c>
      <c r="BB734" t="str">
        <f t="shared" si="429"/>
        <v>-</v>
      </c>
      <c r="BC734" t="str">
        <f t="shared" si="430"/>
        <v>-</v>
      </c>
      <c r="BD734" s="29" t="str">
        <f t="shared" si="431"/>
        <v>-</v>
      </c>
      <c r="BE734" s="29" t="str">
        <f t="shared" si="432"/>
        <v>-</v>
      </c>
    </row>
    <row r="735" spans="1:57" ht="15" x14ac:dyDescent="0.2">
      <c r="A735" s="2">
        <v>489</v>
      </c>
      <c r="B735" s="2" t="str">
        <f t="shared" si="397"/>
        <v>0489</v>
      </c>
      <c r="C735" t="str">
        <f t="shared" si="398"/>
        <v>ORD-SP-0489-22/09/24</v>
      </c>
      <c r="D735" s="3" t="s">
        <v>139</v>
      </c>
      <c r="E735" t="str">
        <f t="shared" si="399"/>
        <v>PW001</v>
      </c>
      <c r="F735" t="str">
        <f>INDEX(Katalog!$B$4:$B$13,MATCH('Main Data'!E735,Katalog!$C$4:$C$13,0))</f>
        <v>Dress</v>
      </c>
      <c r="G735" t="str">
        <f>VLOOKUP(E735,Katalog!$A$15:$B$25,2,0)</f>
        <v>Pakaian Wanita</v>
      </c>
      <c r="H735" t="str">
        <f t="shared" si="400"/>
        <v>1</v>
      </c>
      <c r="I735" t="str">
        <f t="shared" si="401"/>
        <v>5</v>
      </c>
      <c r="J735" s="18">
        <f>VLOOKUP(E735,Katalog!$C$3:$F$13,2,0)</f>
        <v>150000</v>
      </c>
      <c r="K735" s="18">
        <f>VLOOKUP(E735,Katalog!$C$3:$F$13,3,0)</f>
        <v>55000</v>
      </c>
      <c r="L735" t="str">
        <f t="shared" si="402"/>
        <v>-</v>
      </c>
      <c r="M735" t="str">
        <f>IFERROR(INDEX(Katalog!$B$4:$B$13,MATCH('Main Data'!L735,Katalog!$C$4:$C$13,0)), "-")</f>
        <v>-</v>
      </c>
      <c r="N735" t="str">
        <f>IFERROR(VLOOKUP(L735,Katalog!$A$15:$B$25,2,0),"-")</f>
        <v>-</v>
      </c>
      <c r="O735">
        <f t="shared" si="403"/>
        <v>0</v>
      </c>
      <c r="P735" t="str">
        <f t="shared" si="404"/>
        <v>-</v>
      </c>
      <c r="Q735" s="18">
        <f>IFERROR(VLOOKUP(L735,Katalog!$C$3:$F$13,2,0),0)</f>
        <v>0</v>
      </c>
      <c r="R735" s="18">
        <f>IFERROR(VLOOKUP(L735,Katalog!$C$3:$F$13,3,0),0)</f>
        <v>0</v>
      </c>
      <c r="S735" t="str">
        <f t="shared" si="405"/>
        <v>-</v>
      </c>
      <c r="T735" t="str">
        <f>IFERROR(INDEX(Katalog!$B$4:$B$13,MATCH('Main Data'!S735,Katalog!$C$4:$C$13,0)),"-")</f>
        <v>-</v>
      </c>
      <c r="U735" t="str">
        <f>IFERROR(VLOOKUP(S735,Katalog!$A$15:$B$25,2,0),"-")</f>
        <v>-</v>
      </c>
      <c r="V735">
        <f t="shared" si="406"/>
        <v>0</v>
      </c>
      <c r="W735" s="28" t="str">
        <f t="shared" si="407"/>
        <v>-</v>
      </c>
      <c r="X735" s="18">
        <f>IFERROR(VLOOKUP(S735,Katalog!$C$3:$F$13,2,0),0)</f>
        <v>0</v>
      </c>
      <c r="Y735" s="30">
        <f>IFERROR(VLOOKUP(S735,Katalog!$C$3:$F$13,3,0),0)</f>
        <v>0</v>
      </c>
      <c r="Z735" s="2">
        <f t="shared" si="408"/>
        <v>1</v>
      </c>
      <c r="AA735" s="4">
        <f t="shared" si="409"/>
        <v>150000</v>
      </c>
      <c r="AB735" s="4">
        <f t="shared" si="410"/>
        <v>55000</v>
      </c>
      <c r="AC735" s="4" t="s">
        <v>10</v>
      </c>
      <c r="AD735" s="16">
        <f>IFERROR(VLOOKUP(AC735,'Kode Diskon'!$C$2:$D$9,2,0),0)</f>
        <v>0</v>
      </c>
      <c r="AE735" s="31">
        <f t="shared" si="411"/>
        <v>0</v>
      </c>
      <c r="AF735" s="31">
        <f t="shared" si="412"/>
        <v>150000</v>
      </c>
      <c r="AG735" s="31">
        <f t="shared" si="413"/>
        <v>95000</v>
      </c>
      <c r="AH735" s="31">
        <f t="shared" si="414"/>
        <v>95000</v>
      </c>
      <c r="AI735" s="4" t="s">
        <v>10</v>
      </c>
      <c r="AJ735" s="4" t="s">
        <v>6</v>
      </c>
      <c r="AK735" s="4" t="str">
        <f>IFERROR(VLOOKUP(AJ735,'Guide '!$A$13:$B$16,2,0),"-")</f>
        <v>SP</v>
      </c>
      <c r="AL735" s="4" t="s">
        <v>922</v>
      </c>
      <c r="AM735" s="40">
        <v>45557</v>
      </c>
      <c r="AN735">
        <f t="shared" si="415"/>
        <v>29</v>
      </c>
      <c r="AO735">
        <f t="shared" si="416"/>
        <v>32</v>
      </c>
      <c r="AP735">
        <f t="shared" si="417"/>
        <v>40</v>
      </c>
      <c r="AQ735">
        <f t="shared" si="418"/>
        <v>43</v>
      </c>
      <c r="AR735" s="26" t="str">
        <f t="shared" si="419"/>
        <v>-</v>
      </c>
      <c r="AS735" s="26" t="str">
        <f t="shared" si="420"/>
        <v>-</v>
      </c>
      <c r="AT735" s="21">
        <f t="shared" si="421"/>
        <v>12</v>
      </c>
      <c r="AU735" s="21">
        <f t="shared" si="422"/>
        <v>19</v>
      </c>
      <c r="AV735" t="str">
        <f t="shared" si="423"/>
        <v>-</v>
      </c>
      <c r="AW735" t="str">
        <f t="shared" si="424"/>
        <v>-</v>
      </c>
      <c r="AX735" t="str">
        <f t="shared" si="425"/>
        <v>-</v>
      </c>
      <c r="AY735" t="str">
        <f t="shared" si="426"/>
        <v>-</v>
      </c>
      <c r="AZ735" t="str">
        <f t="shared" si="427"/>
        <v>-</v>
      </c>
      <c r="BA735" t="str">
        <f t="shared" si="428"/>
        <v>-</v>
      </c>
      <c r="BB735" t="str">
        <f t="shared" si="429"/>
        <v>-</v>
      </c>
      <c r="BC735" t="str">
        <f t="shared" si="430"/>
        <v>-</v>
      </c>
      <c r="BD735" s="29" t="str">
        <f t="shared" si="431"/>
        <v>-</v>
      </c>
      <c r="BE735" s="29" t="str">
        <f t="shared" si="432"/>
        <v>-</v>
      </c>
    </row>
    <row r="736" spans="1:57" ht="15" x14ac:dyDescent="0.2">
      <c r="A736" s="2">
        <v>495</v>
      </c>
      <c r="B736" s="2" t="str">
        <f t="shared" si="397"/>
        <v>0495</v>
      </c>
      <c r="C736" t="str">
        <f t="shared" si="398"/>
        <v>ORD-SP-0495-22/09/24</v>
      </c>
      <c r="D736" s="3" t="s">
        <v>526</v>
      </c>
      <c r="E736" t="str">
        <f t="shared" si="399"/>
        <v>PU001</v>
      </c>
      <c r="F736" t="str">
        <f>INDEX(Katalog!$B$4:$B$13,MATCH('Main Data'!E736,Katalog!$C$4:$C$13,0))</f>
        <v>Jaket Hoodie</v>
      </c>
      <c r="G736" t="str">
        <f>VLOOKUP(E736,Katalog!$A$15:$B$25,2,0)</f>
        <v>Pakaian Unisex</v>
      </c>
      <c r="H736" t="str">
        <f t="shared" si="400"/>
        <v>1</v>
      </c>
      <c r="I736" t="str">
        <f t="shared" si="401"/>
        <v>5</v>
      </c>
      <c r="J736" s="18">
        <f>VLOOKUP(E736,Katalog!$C$3:$F$13,2,0)</f>
        <v>160000</v>
      </c>
      <c r="K736" s="18">
        <f>VLOOKUP(E736,Katalog!$C$3:$F$13,3,0)</f>
        <v>60000</v>
      </c>
      <c r="L736" t="str">
        <f t="shared" si="402"/>
        <v>PW002</v>
      </c>
      <c r="M736" t="str">
        <f>IFERROR(INDEX(Katalog!$B$4:$B$13,MATCH('Main Data'!L736,Katalog!$C$4:$C$13,0)), "-")</f>
        <v>Blouse</v>
      </c>
      <c r="N736" t="str">
        <f>IFERROR(VLOOKUP(L736,Katalog!$A$15:$B$25,2,0),"-")</f>
        <v>Pakaian Wanita</v>
      </c>
      <c r="O736" t="str">
        <f t="shared" si="403"/>
        <v>1</v>
      </c>
      <c r="P736" t="str">
        <f t="shared" si="404"/>
        <v>3</v>
      </c>
      <c r="Q736" s="18">
        <f>IFERROR(VLOOKUP(L736,Katalog!$C$3:$F$13,2,0),0)</f>
        <v>125000</v>
      </c>
      <c r="R736" s="18">
        <f>IFERROR(VLOOKUP(L736,Katalog!$C$3:$F$13,3,0),0)</f>
        <v>50000</v>
      </c>
      <c r="S736" t="str">
        <f t="shared" si="405"/>
        <v>SW001</v>
      </c>
      <c r="T736" t="str">
        <f>IFERROR(INDEX(Katalog!$B$4:$B$13,MATCH('Main Data'!S736,Katalog!$C$4:$C$13,0)),"-")</f>
        <v>Flat Shoes</v>
      </c>
      <c r="U736" t="str">
        <f>IFERROR(VLOOKUP(S736,Katalog!$A$15:$B$25,2,0),"-")</f>
        <v>Sepatu Wanita</v>
      </c>
      <c r="V736" t="str">
        <f t="shared" si="406"/>
        <v>5</v>
      </c>
      <c r="W736" s="28" t="str">
        <f t="shared" si="407"/>
        <v>3</v>
      </c>
      <c r="X736" s="18">
        <f>IFERROR(VLOOKUP(S736,Katalog!$C$3:$F$13,2,0),0)</f>
        <v>150000</v>
      </c>
      <c r="Y736" s="30">
        <f>IFERROR(VLOOKUP(S736,Katalog!$C$3:$F$13,3,0),0)</f>
        <v>70000</v>
      </c>
      <c r="Z736" s="2">
        <f t="shared" si="408"/>
        <v>7</v>
      </c>
      <c r="AA736" s="4">
        <f t="shared" si="409"/>
        <v>1035000</v>
      </c>
      <c r="AB736" s="4">
        <f t="shared" si="410"/>
        <v>460000</v>
      </c>
      <c r="AC736" s="4" t="s">
        <v>12</v>
      </c>
      <c r="AD736" s="16">
        <f>IFERROR(VLOOKUP(AC736,'Kode Diskon'!$C$2:$D$9,2,0),0)</f>
        <v>0.15</v>
      </c>
      <c r="AE736" s="31">
        <f t="shared" si="411"/>
        <v>155250</v>
      </c>
      <c r="AF736" s="31">
        <f t="shared" si="412"/>
        <v>879750</v>
      </c>
      <c r="AG736" s="31">
        <f t="shared" si="413"/>
        <v>575000</v>
      </c>
      <c r="AH736" s="31">
        <f t="shared" si="414"/>
        <v>419750</v>
      </c>
      <c r="AI736" s="4" t="s">
        <v>28</v>
      </c>
      <c r="AJ736" s="4" t="s">
        <v>6</v>
      </c>
      <c r="AK736" s="4" t="str">
        <f>IFERROR(VLOOKUP(AJ736,'Guide '!$A$13:$B$16,2,0),"-")</f>
        <v>SP</v>
      </c>
      <c r="AL736" s="4" t="s">
        <v>925</v>
      </c>
      <c r="AM736" s="40">
        <v>45557</v>
      </c>
      <c r="AN736">
        <f t="shared" si="415"/>
        <v>29</v>
      </c>
      <c r="AO736">
        <f t="shared" si="416"/>
        <v>32</v>
      </c>
      <c r="AP736">
        <f t="shared" si="417"/>
        <v>40</v>
      </c>
      <c r="AQ736">
        <f t="shared" si="418"/>
        <v>43</v>
      </c>
      <c r="AR736" s="26">
        <f t="shared" si="419"/>
        <v>56</v>
      </c>
      <c r="AS736" s="26">
        <f t="shared" si="420"/>
        <v>63</v>
      </c>
      <c r="AT736" s="21">
        <f t="shared" si="421"/>
        <v>12</v>
      </c>
      <c r="AU736" s="21">
        <f t="shared" si="422"/>
        <v>19</v>
      </c>
      <c r="AV736">
        <f t="shared" si="423"/>
        <v>73</v>
      </c>
      <c r="AW736">
        <f t="shared" si="424"/>
        <v>76</v>
      </c>
      <c r="AX736">
        <f t="shared" si="425"/>
        <v>84</v>
      </c>
      <c r="AY736">
        <f t="shared" si="426"/>
        <v>87</v>
      </c>
      <c r="AZ736">
        <f t="shared" si="427"/>
        <v>100</v>
      </c>
      <c r="BA736">
        <f t="shared" si="428"/>
        <v>107</v>
      </c>
      <c r="BB736">
        <f t="shared" si="429"/>
        <v>117</v>
      </c>
      <c r="BC736">
        <f t="shared" si="430"/>
        <v>120</v>
      </c>
      <c r="BD736" s="29">
        <f t="shared" si="431"/>
        <v>128</v>
      </c>
      <c r="BE736" s="29">
        <f t="shared" si="432"/>
        <v>131</v>
      </c>
    </row>
    <row r="737" spans="1:57" ht="15" x14ac:dyDescent="0.2">
      <c r="A737" s="2">
        <v>657</v>
      </c>
      <c r="B737" s="2" t="str">
        <f t="shared" si="397"/>
        <v>0657</v>
      </c>
      <c r="C737" t="str">
        <f t="shared" si="398"/>
        <v>ORD-TK-0657-22/09/24</v>
      </c>
      <c r="D737" s="3" t="s">
        <v>658</v>
      </c>
      <c r="E737" t="str">
        <f t="shared" si="399"/>
        <v>SP002</v>
      </c>
      <c r="F737" t="str">
        <f>INDEX(Katalog!$B$4:$B$13,MATCH('Main Data'!E737,Katalog!$C$4:$C$13,0))</f>
        <v>Sandal Slip On</v>
      </c>
      <c r="G737" t="str">
        <f>VLOOKUP(E737,Katalog!$A$15:$B$25,2,0)</f>
        <v>Sepatu Pria</v>
      </c>
      <c r="H737" t="str">
        <f t="shared" si="400"/>
        <v>5</v>
      </c>
      <c r="I737" t="str">
        <f t="shared" si="401"/>
        <v>2</v>
      </c>
      <c r="J737" s="18">
        <f>VLOOKUP(E737,Katalog!$C$3:$F$13,2,0)</f>
        <v>120000</v>
      </c>
      <c r="K737" s="18">
        <f>VLOOKUP(E737,Katalog!$C$3:$F$13,3,0)</f>
        <v>60000</v>
      </c>
      <c r="L737" t="str">
        <f t="shared" si="402"/>
        <v>SW001</v>
      </c>
      <c r="M737" t="str">
        <f>IFERROR(INDEX(Katalog!$B$4:$B$13,MATCH('Main Data'!L737,Katalog!$C$4:$C$13,0)), "-")</f>
        <v>Flat Shoes</v>
      </c>
      <c r="N737" t="str">
        <f>IFERROR(VLOOKUP(L737,Katalog!$A$15:$B$25,2,0),"-")</f>
        <v>Sepatu Wanita</v>
      </c>
      <c r="O737" t="str">
        <f t="shared" si="403"/>
        <v>1</v>
      </c>
      <c r="P737" t="str">
        <f t="shared" si="404"/>
        <v>2</v>
      </c>
      <c r="Q737" s="18">
        <f>IFERROR(VLOOKUP(L737,Katalog!$C$3:$F$13,2,0),0)</f>
        <v>150000</v>
      </c>
      <c r="R737" s="18">
        <f>IFERROR(VLOOKUP(L737,Katalog!$C$3:$F$13,3,0),0)</f>
        <v>70000</v>
      </c>
      <c r="S737" t="str">
        <f t="shared" si="405"/>
        <v>-</v>
      </c>
      <c r="T737" t="str">
        <f>IFERROR(INDEX(Katalog!$B$4:$B$13,MATCH('Main Data'!S737,Katalog!$C$4:$C$13,0)),"-")</f>
        <v>-</v>
      </c>
      <c r="U737" t="str">
        <f>IFERROR(VLOOKUP(S737,Katalog!$A$15:$B$25,2,0),"-")</f>
        <v>-</v>
      </c>
      <c r="V737">
        <f t="shared" si="406"/>
        <v>0</v>
      </c>
      <c r="W737" s="28" t="str">
        <f t="shared" si="407"/>
        <v>-</v>
      </c>
      <c r="X737" s="18">
        <f>IFERROR(VLOOKUP(S737,Katalog!$C$3:$F$13,2,0),0)</f>
        <v>0</v>
      </c>
      <c r="Y737" s="30">
        <f>IFERROR(VLOOKUP(S737,Katalog!$C$3:$F$13,3,0),0)</f>
        <v>0</v>
      </c>
      <c r="Z737" s="2">
        <f t="shared" si="408"/>
        <v>6</v>
      </c>
      <c r="AA737" s="4">
        <f t="shared" si="409"/>
        <v>750000</v>
      </c>
      <c r="AB737" s="4">
        <f t="shared" si="410"/>
        <v>370000</v>
      </c>
      <c r="AC737" s="4" t="s">
        <v>29</v>
      </c>
      <c r="AD737" s="16">
        <f>IFERROR(VLOOKUP(AC737,'Kode Diskon'!$C$2:$D$9,2,0),0)</f>
        <v>0.1</v>
      </c>
      <c r="AE737" s="31">
        <f t="shared" si="411"/>
        <v>75000</v>
      </c>
      <c r="AF737" s="31">
        <f t="shared" si="412"/>
        <v>675000</v>
      </c>
      <c r="AG737" s="31">
        <f t="shared" si="413"/>
        <v>380000</v>
      </c>
      <c r="AH737" s="31">
        <f t="shared" si="414"/>
        <v>305000</v>
      </c>
      <c r="AI737" s="4" t="s">
        <v>28</v>
      </c>
      <c r="AJ737" s="4" t="s">
        <v>9</v>
      </c>
      <c r="AK737" s="4" t="str">
        <f>IFERROR(VLOOKUP(AJ737,'Guide '!$A$13:$B$16,2,0),"-")</f>
        <v>TK</v>
      </c>
      <c r="AL737" s="4" t="s">
        <v>1006</v>
      </c>
      <c r="AM737" s="40">
        <v>45557</v>
      </c>
      <c r="AN737">
        <f t="shared" si="415"/>
        <v>29</v>
      </c>
      <c r="AO737">
        <f t="shared" si="416"/>
        <v>32</v>
      </c>
      <c r="AP737">
        <f t="shared" si="417"/>
        <v>40</v>
      </c>
      <c r="AQ737">
        <f t="shared" si="418"/>
        <v>43</v>
      </c>
      <c r="AR737" s="26">
        <f t="shared" si="419"/>
        <v>56</v>
      </c>
      <c r="AS737" s="26">
        <f t="shared" si="420"/>
        <v>63</v>
      </c>
      <c r="AT737" s="21">
        <f t="shared" si="421"/>
        <v>12</v>
      </c>
      <c r="AU737" s="21">
        <f t="shared" si="422"/>
        <v>19</v>
      </c>
      <c r="AV737">
        <f t="shared" si="423"/>
        <v>73</v>
      </c>
      <c r="AW737">
        <f t="shared" si="424"/>
        <v>76</v>
      </c>
      <c r="AX737">
        <f t="shared" si="425"/>
        <v>84</v>
      </c>
      <c r="AY737">
        <f t="shared" si="426"/>
        <v>87</v>
      </c>
      <c r="AZ737" t="str">
        <f t="shared" si="427"/>
        <v>-</v>
      </c>
      <c r="BA737" t="str">
        <f t="shared" si="428"/>
        <v>-</v>
      </c>
      <c r="BB737" t="str">
        <f t="shared" si="429"/>
        <v>-</v>
      </c>
      <c r="BC737" t="str">
        <f t="shared" si="430"/>
        <v>-</v>
      </c>
      <c r="BD737" s="29" t="str">
        <f t="shared" si="431"/>
        <v>-</v>
      </c>
      <c r="BE737" s="29" t="str">
        <f t="shared" si="432"/>
        <v>-</v>
      </c>
    </row>
    <row r="738" spans="1:57" ht="15" x14ac:dyDescent="0.2">
      <c r="A738" s="2">
        <v>78</v>
      </c>
      <c r="B738" s="2" t="str">
        <f t="shared" si="397"/>
        <v>0078</v>
      </c>
      <c r="C738" t="str">
        <f t="shared" si="398"/>
        <v>ORD-SP-0078-23/09/24</v>
      </c>
      <c r="D738" s="3" t="s">
        <v>151</v>
      </c>
      <c r="E738" t="str">
        <f t="shared" si="399"/>
        <v>SW001</v>
      </c>
      <c r="F738" t="str">
        <f>INDEX(Katalog!$B$4:$B$13,MATCH('Main Data'!E738,Katalog!$C$4:$C$13,0))</f>
        <v>Flat Shoes</v>
      </c>
      <c r="G738" t="str">
        <f>VLOOKUP(E738,Katalog!$A$15:$B$25,2,0)</f>
        <v>Sepatu Wanita</v>
      </c>
      <c r="H738" t="str">
        <f t="shared" si="400"/>
        <v>2</v>
      </c>
      <c r="I738" t="str">
        <f t="shared" si="401"/>
        <v>5</v>
      </c>
      <c r="J738" s="18">
        <f>VLOOKUP(E738,Katalog!$C$3:$F$13,2,0)</f>
        <v>150000</v>
      </c>
      <c r="K738" s="18">
        <f>VLOOKUP(E738,Katalog!$C$3:$F$13,3,0)</f>
        <v>70000</v>
      </c>
      <c r="L738" t="str">
        <f t="shared" si="402"/>
        <v>SP002</v>
      </c>
      <c r="M738" t="str">
        <f>IFERROR(INDEX(Katalog!$B$4:$B$13,MATCH('Main Data'!L738,Katalog!$C$4:$C$13,0)), "-")</f>
        <v>Sandal Slip On</v>
      </c>
      <c r="N738" t="str">
        <f>IFERROR(VLOOKUP(L738,Katalog!$A$15:$B$25,2,0),"-")</f>
        <v>Sepatu Pria</v>
      </c>
      <c r="O738" t="str">
        <f t="shared" si="403"/>
        <v>2</v>
      </c>
      <c r="P738" t="str">
        <f t="shared" si="404"/>
        <v>5</v>
      </c>
      <c r="Q738" s="18">
        <f>IFERROR(VLOOKUP(L738,Katalog!$C$3:$F$13,2,0),0)</f>
        <v>120000</v>
      </c>
      <c r="R738" s="18">
        <f>IFERROR(VLOOKUP(L738,Katalog!$C$3:$F$13,3,0),0)</f>
        <v>60000</v>
      </c>
      <c r="S738" t="str">
        <f t="shared" si="405"/>
        <v>PW003</v>
      </c>
      <c r="T738" t="str">
        <f>IFERROR(INDEX(Katalog!$B$4:$B$13,MATCH('Main Data'!S738,Katalog!$C$4:$C$13,0)),"-")</f>
        <v>Kaftan</v>
      </c>
      <c r="U738" t="str">
        <f>IFERROR(VLOOKUP(S738,Katalog!$A$15:$B$25,2,0),"-")</f>
        <v>Pakaian Wanita</v>
      </c>
      <c r="V738" t="str">
        <f t="shared" si="406"/>
        <v>1</v>
      </c>
      <c r="W738" s="28" t="str">
        <f t="shared" si="407"/>
        <v>3</v>
      </c>
      <c r="X738" s="18">
        <f>IFERROR(VLOOKUP(S738,Katalog!$C$3:$F$13,2,0),0)</f>
        <v>200000</v>
      </c>
      <c r="Y738" s="30">
        <f>IFERROR(VLOOKUP(S738,Katalog!$C$3:$F$13,3,0),0)</f>
        <v>100000</v>
      </c>
      <c r="Z738" s="2">
        <f t="shared" si="408"/>
        <v>5</v>
      </c>
      <c r="AA738" s="4">
        <f t="shared" si="409"/>
        <v>740000</v>
      </c>
      <c r="AB738" s="4">
        <f t="shared" si="410"/>
        <v>360000</v>
      </c>
      <c r="AC738" s="4" t="s">
        <v>7</v>
      </c>
      <c r="AD738" s="16">
        <f>IFERROR(VLOOKUP(AC738,'Kode Diskon'!$C$2:$D$9,2,0),0)</f>
        <v>0.2</v>
      </c>
      <c r="AE738" s="31">
        <f t="shared" si="411"/>
        <v>148000</v>
      </c>
      <c r="AF738" s="31">
        <f t="shared" si="412"/>
        <v>592000</v>
      </c>
      <c r="AG738" s="31">
        <f t="shared" si="413"/>
        <v>380000</v>
      </c>
      <c r="AH738" s="31">
        <f t="shared" si="414"/>
        <v>232000</v>
      </c>
      <c r="AI738" s="4" t="s">
        <v>8</v>
      </c>
      <c r="AJ738" s="4" t="s">
        <v>6</v>
      </c>
      <c r="AK738" s="4" t="str">
        <f>IFERROR(VLOOKUP(AJ738,'Guide '!$A$13:$B$16,2,0),"-")</f>
        <v>SP</v>
      </c>
      <c r="AL738" s="4" t="s">
        <v>925</v>
      </c>
      <c r="AM738" s="40">
        <v>45558</v>
      </c>
      <c r="AN738">
        <f t="shared" si="415"/>
        <v>29</v>
      </c>
      <c r="AO738">
        <f t="shared" si="416"/>
        <v>32</v>
      </c>
      <c r="AP738">
        <f t="shared" si="417"/>
        <v>40</v>
      </c>
      <c r="AQ738">
        <f t="shared" si="418"/>
        <v>43</v>
      </c>
      <c r="AR738" s="26">
        <f t="shared" si="419"/>
        <v>56</v>
      </c>
      <c r="AS738" s="26">
        <f t="shared" si="420"/>
        <v>63</v>
      </c>
      <c r="AT738" s="21">
        <f t="shared" si="421"/>
        <v>12</v>
      </c>
      <c r="AU738" s="21">
        <f t="shared" si="422"/>
        <v>19</v>
      </c>
      <c r="AV738">
        <f t="shared" si="423"/>
        <v>73</v>
      </c>
      <c r="AW738">
        <f t="shared" si="424"/>
        <v>76</v>
      </c>
      <c r="AX738">
        <f t="shared" si="425"/>
        <v>84</v>
      </c>
      <c r="AY738">
        <f t="shared" si="426"/>
        <v>87</v>
      </c>
      <c r="AZ738">
        <f t="shared" si="427"/>
        <v>100</v>
      </c>
      <c r="BA738">
        <f t="shared" si="428"/>
        <v>107</v>
      </c>
      <c r="BB738">
        <f t="shared" si="429"/>
        <v>117</v>
      </c>
      <c r="BC738">
        <f t="shared" si="430"/>
        <v>120</v>
      </c>
      <c r="BD738" s="29">
        <f t="shared" si="431"/>
        <v>128</v>
      </c>
      <c r="BE738" s="29">
        <f t="shared" si="432"/>
        <v>131</v>
      </c>
    </row>
    <row r="739" spans="1:57" ht="15" x14ac:dyDescent="0.2">
      <c r="A739" s="2">
        <v>668</v>
      </c>
      <c r="B739" s="2" t="str">
        <f t="shared" si="397"/>
        <v>0668</v>
      </c>
      <c r="C739" t="str">
        <f t="shared" si="398"/>
        <v>ORD-BL-0668-23/09/24</v>
      </c>
      <c r="D739" s="3" t="s">
        <v>668</v>
      </c>
      <c r="E739" t="str">
        <f t="shared" si="399"/>
        <v>SW001</v>
      </c>
      <c r="F739" t="str">
        <f>INDEX(Katalog!$B$4:$B$13,MATCH('Main Data'!E739,Katalog!$C$4:$C$13,0))</f>
        <v>Flat Shoes</v>
      </c>
      <c r="G739" t="str">
        <f>VLOOKUP(E739,Katalog!$A$15:$B$25,2,0)</f>
        <v>Sepatu Wanita</v>
      </c>
      <c r="H739" t="str">
        <f t="shared" si="400"/>
        <v>3</v>
      </c>
      <c r="I739" t="str">
        <f t="shared" si="401"/>
        <v>1</v>
      </c>
      <c r="J739" s="18">
        <f>VLOOKUP(E739,Katalog!$C$3:$F$13,2,0)</f>
        <v>150000</v>
      </c>
      <c r="K739" s="18">
        <f>VLOOKUP(E739,Katalog!$C$3:$F$13,3,0)</f>
        <v>70000</v>
      </c>
      <c r="L739" t="str">
        <f t="shared" si="402"/>
        <v>SP002</v>
      </c>
      <c r="M739" t="str">
        <f>IFERROR(INDEX(Katalog!$B$4:$B$13,MATCH('Main Data'!L739,Katalog!$C$4:$C$13,0)), "-")</f>
        <v>Sandal Slip On</v>
      </c>
      <c r="N739" t="str">
        <f>IFERROR(VLOOKUP(L739,Katalog!$A$15:$B$25,2,0),"-")</f>
        <v>Sepatu Pria</v>
      </c>
      <c r="O739" t="str">
        <f t="shared" si="403"/>
        <v>1</v>
      </c>
      <c r="P739" t="str">
        <f t="shared" si="404"/>
        <v>2</v>
      </c>
      <c r="Q739" s="18">
        <f>IFERROR(VLOOKUP(L739,Katalog!$C$3:$F$13,2,0),0)</f>
        <v>120000</v>
      </c>
      <c r="R739" s="18">
        <f>IFERROR(VLOOKUP(L739,Katalog!$C$3:$F$13,3,0),0)</f>
        <v>60000</v>
      </c>
      <c r="S739" t="str">
        <f t="shared" si="405"/>
        <v>-</v>
      </c>
      <c r="T739" t="str">
        <f>IFERROR(INDEX(Katalog!$B$4:$B$13,MATCH('Main Data'!S739,Katalog!$C$4:$C$13,0)),"-")</f>
        <v>-</v>
      </c>
      <c r="U739" t="str">
        <f>IFERROR(VLOOKUP(S739,Katalog!$A$15:$B$25,2,0),"-")</f>
        <v>-</v>
      </c>
      <c r="V739">
        <f t="shared" si="406"/>
        <v>0</v>
      </c>
      <c r="W739" s="28" t="str">
        <f t="shared" si="407"/>
        <v>-</v>
      </c>
      <c r="X739" s="18">
        <f>IFERROR(VLOOKUP(S739,Katalog!$C$3:$F$13,2,0),0)</f>
        <v>0</v>
      </c>
      <c r="Y739" s="30">
        <f>IFERROR(VLOOKUP(S739,Katalog!$C$3:$F$13,3,0),0)</f>
        <v>0</v>
      </c>
      <c r="Z739" s="2">
        <f t="shared" si="408"/>
        <v>4</v>
      </c>
      <c r="AA739" s="4">
        <f t="shared" si="409"/>
        <v>570000</v>
      </c>
      <c r="AB739" s="4">
        <f t="shared" si="410"/>
        <v>270000</v>
      </c>
      <c r="AC739" s="4" t="s">
        <v>31</v>
      </c>
      <c r="AD739" s="16">
        <f>IFERROR(VLOOKUP(AC739,'Kode Diskon'!$C$2:$D$9,2,0),0)</f>
        <v>0.15</v>
      </c>
      <c r="AE739" s="31">
        <f t="shared" si="411"/>
        <v>85500</v>
      </c>
      <c r="AF739" s="31">
        <f t="shared" si="412"/>
        <v>484500</v>
      </c>
      <c r="AG739" s="31">
        <f t="shared" si="413"/>
        <v>300000</v>
      </c>
      <c r="AH739" s="31">
        <f t="shared" si="414"/>
        <v>214500</v>
      </c>
      <c r="AI739" s="4" t="s">
        <v>8</v>
      </c>
      <c r="AJ739" s="4" t="s">
        <v>11</v>
      </c>
      <c r="AK739" s="4" t="str">
        <f>IFERROR(VLOOKUP(AJ739,'Guide '!$A$13:$B$16,2,0),"-")</f>
        <v>BL</v>
      </c>
      <c r="AL739" s="4" t="s">
        <v>921</v>
      </c>
      <c r="AM739" s="40">
        <v>45558</v>
      </c>
      <c r="AN739">
        <f t="shared" si="415"/>
        <v>29</v>
      </c>
      <c r="AO739">
        <f t="shared" si="416"/>
        <v>32</v>
      </c>
      <c r="AP739">
        <f t="shared" si="417"/>
        <v>40</v>
      </c>
      <c r="AQ739">
        <f t="shared" si="418"/>
        <v>43</v>
      </c>
      <c r="AR739" s="26">
        <f t="shared" si="419"/>
        <v>56</v>
      </c>
      <c r="AS739" s="26">
        <f t="shared" si="420"/>
        <v>63</v>
      </c>
      <c r="AT739" s="21">
        <f t="shared" si="421"/>
        <v>12</v>
      </c>
      <c r="AU739" s="21">
        <f t="shared" si="422"/>
        <v>19</v>
      </c>
      <c r="AV739">
        <f t="shared" si="423"/>
        <v>73</v>
      </c>
      <c r="AW739">
        <f t="shared" si="424"/>
        <v>76</v>
      </c>
      <c r="AX739">
        <f t="shared" si="425"/>
        <v>84</v>
      </c>
      <c r="AY739">
        <f t="shared" si="426"/>
        <v>87</v>
      </c>
      <c r="AZ739" t="str">
        <f t="shared" si="427"/>
        <v>-</v>
      </c>
      <c r="BA739" t="str">
        <f t="shared" si="428"/>
        <v>-</v>
      </c>
      <c r="BB739" t="str">
        <f t="shared" si="429"/>
        <v>-</v>
      </c>
      <c r="BC739" t="str">
        <f t="shared" si="430"/>
        <v>-</v>
      </c>
      <c r="BD739" s="29" t="str">
        <f t="shared" si="431"/>
        <v>-</v>
      </c>
      <c r="BE739" s="29" t="str">
        <f t="shared" si="432"/>
        <v>-</v>
      </c>
    </row>
    <row r="740" spans="1:57" ht="15" x14ac:dyDescent="0.2">
      <c r="A740" s="2">
        <v>388</v>
      </c>
      <c r="B740" s="2" t="str">
        <f t="shared" si="397"/>
        <v>0388</v>
      </c>
      <c r="C740" t="str">
        <f t="shared" si="398"/>
        <v>ORD-TK-0388-24/09/24</v>
      </c>
      <c r="D740" s="3" t="s">
        <v>437</v>
      </c>
      <c r="E740" t="str">
        <f t="shared" si="399"/>
        <v>PW002</v>
      </c>
      <c r="F740" t="str">
        <f>INDEX(Katalog!$B$4:$B$13,MATCH('Main Data'!E740,Katalog!$C$4:$C$13,0))</f>
        <v>Blouse</v>
      </c>
      <c r="G740" t="str">
        <f>VLOOKUP(E740,Katalog!$A$15:$B$25,2,0)</f>
        <v>Pakaian Wanita</v>
      </c>
      <c r="H740" t="str">
        <f t="shared" si="400"/>
        <v>3</v>
      </c>
      <c r="I740" t="str">
        <f t="shared" si="401"/>
        <v>5</v>
      </c>
      <c r="J740" s="18">
        <f>VLOOKUP(E740,Katalog!$C$3:$F$13,2,0)</f>
        <v>125000</v>
      </c>
      <c r="K740" s="18">
        <f>VLOOKUP(E740,Katalog!$C$3:$F$13,3,0)</f>
        <v>50000</v>
      </c>
      <c r="L740" t="str">
        <f t="shared" si="402"/>
        <v>-</v>
      </c>
      <c r="M740" t="str">
        <f>IFERROR(INDEX(Katalog!$B$4:$B$13,MATCH('Main Data'!L740,Katalog!$C$4:$C$13,0)), "-")</f>
        <v>-</v>
      </c>
      <c r="N740" t="str">
        <f>IFERROR(VLOOKUP(L740,Katalog!$A$15:$B$25,2,0),"-")</f>
        <v>-</v>
      </c>
      <c r="O740">
        <f t="shared" si="403"/>
        <v>0</v>
      </c>
      <c r="P740" t="str">
        <f t="shared" si="404"/>
        <v>-</v>
      </c>
      <c r="Q740" s="18">
        <f>IFERROR(VLOOKUP(L740,Katalog!$C$3:$F$13,2,0),0)</f>
        <v>0</v>
      </c>
      <c r="R740" s="18">
        <f>IFERROR(VLOOKUP(L740,Katalog!$C$3:$F$13,3,0),0)</f>
        <v>0</v>
      </c>
      <c r="S740" t="str">
        <f t="shared" si="405"/>
        <v>-</v>
      </c>
      <c r="T740" t="str">
        <f>IFERROR(INDEX(Katalog!$B$4:$B$13,MATCH('Main Data'!S740,Katalog!$C$4:$C$13,0)),"-")</f>
        <v>-</v>
      </c>
      <c r="U740" t="str">
        <f>IFERROR(VLOOKUP(S740,Katalog!$A$15:$B$25,2,0),"-")</f>
        <v>-</v>
      </c>
      <c r="V740">
        <f t="shared" si="406"/>
        <v>0</v>
      </c>
      <c r="W740" s="28" t="str">
        <f t="shared" si="407"/>
        <v>-</v>
      </c>
      <c r="X740" s="18">
        <f>IFERROR(VLOOKUP(S740,Katalog!$C$3:$F$13,2,0),0)</f>
        <v>0</v>
      </c>
      <c r="Y740" s="30">
        <f>IFERROR(VLOOKUP(S740,Katalog!$C$3:$F$13,3,0),0)</f>
        <v>0</v>
      </c>
      <c r="Z740" s="2">
        <f t="shared" si="408"/>
        <v>3</v>
      </c>
      <c r="AA740" s="4">
        <f t="shared" si="409"/>
        <v>375000</v>
      </c>
      <c r="AB740" s="4">
        <f t="shared" si="410"/>
        <v>150000</v>
      </c>
      <c r="AC740" s="4" t="s">
        <v>30</v>
      </c>
      <c r="AD740" s="16">
        <f>IFERROR(VLOOKUP(AC740,'Kode Diskon'!$C$2:$D$9,2,0),0)</f>
        <v>0.1</v>
      </c>
      <c r="AE740" s="31">
        <f t="shared" si="411"/>
        <v>37500</v>
      </c>
      <c r="AF740" s="31">
        <f t="shared" si="412"/>
        <v>337500</v>
      </c>
      <c r="AG740" s="31">
        <f t="shared" si="413"/>
        <v>225000</v>
      </c>
      <c r="AH740" s="31">
        <f t="shared" si="414"/>
        <v>187500</v>
      </c>
      <c r="AI740" s="4" t="s">
        <v>8</v>
      </c>
      <c r="AJ740" s="4" t="s">
        <v>9</v>
      </c>
      <c r="AK740" s="4" t="str">
        <f>IFERROR(VLOOKUP(AJ740,'Guide '!$A$13:$B$16,2,0),"-")</f>
        <v>TK</v>
      </c>
      <c r="AL740" s="4" t="s">
        <v>922</v>
      </c>
      <c r="AM740" s="40">
        <v>45559</v>
      </c>
      <c r="AN740">
        <f t="shared" si="415"/>
        <v>29</v>
      </c>
      <c r="AO740">
        <f t="shared" si="416"/>
        <v>32</v>
      </c>
      <c r="AP740">
        <f t="shared" si="417"/>
        <v>40</v>
      </c>
      <c r="AQ740">
        <f t="shared" si="418"/>
        <v>43</v>
      </c>
      <c r="AR740" s="26" t="str">
        <f t="shared" si="419"/>
        <v>-</v>
      </c>
      <c r="AS740" s="26" t="str">
        <f t="shared" si="420"/>
        <v>-</v>
      </c>
      <c r="AT740" s="21">
        <f t="shared" si="421"/>
        <v>12</v>
      </c>
      <c r="AU740" s="21">
        <f t="shared" si="422"/>
        <v>19</v>
      </c>
      <c r="AV740" t="str">
        <f t="shared" si="423"/>
        <v>-</v>
      </c>
      <c r="AW740" t="str">
        <f t="shared" si="424"/>
        <v>-</v>
      </c>
      <c r="AX740" t="str">
        <f t="shared" si="425"/>
        <v>-</v>
      </c>
      <c r="AY740" t="str">
        <f t="shared" si="426"/>
        <v>-</v>
      </c>
      <c r="AZ740" t="str">
        <f t="shared" si="427"/>
        <v>-</v>
      </c>
      <c r="BA740" t="str">
        <f t="shared" si="428"/>
        <v>-</v>
      </c>
      <c r="BB740" t="str">
        <f t="shared" si="429"/>
        <v>-</v>
      </c>
      <c r="BC740" t="str">
        <f t="shared" si="430"/>
        <v>-</v>
      </c>
      <c r="BD740" s="29" t="str">
        <f t="shared" si="431"/>
        <v>-</v>
      </c>
      <c r="BE740" s="29" t="str">
        <f t="shared" si="432"/>
        <v>-</v>
      </c>
    </row>
    <row r="741" spans="1:57" ht="15" x14ac:dyDescent="0.2">
      <c r="A741" s="2">
        <v>501</v>
      </c>
      <c r="B741" s="2" t="str">
        <f t="shared" si="397"/>
        <v>0501</v>
      </c>
      <c r="C741" t="str">
        <f t="shared" si="398"/>
        <v>ORD-BL-0501-24/09/24</v>
      </c>
      <c r="D741" s="3" t="s">
        <v>530</v>
      </c>
      <c r="E741" t="str">
        <f t="shared" si="399"/>
        <v>SP002</v>
      </c>
      <c r="F741" t="str">
        <f>INDEX(Katalog!$B$4:$B$13,MATCH('Main Data'!E741,Katalog!$C$4:$C$13,0))</f>
        <v>Sandal Slip On</v>
      </c>
      <c r="G741" t="str">
        <f>VLOOKUP(E741,Katalog!$A$15:$B$25,2,0)</f>
        <v>Sepatu Pria</v>
      </c>
      <c r="H741" t="str">
        <f t="shared" si="400"/>
        <v>1</v>
      </c>
      <c r="I741" t="str">
        <f t="shared" si="401"/>
        <v>3</v>
      </c>
      <c r="J741" s="18">
        <f>VLOOKUP(E741,Katalog!$C$3:$F$13,2,0)</f>
        <v>120000</v>
      </c>
      <c r="K741" s="18">
        <f>VLOOKUP(E741,Katalog!$C$3:$F$13,3,0)</f>
        <v>60000</v>
      </c>
      <c r="L741" t="str">
        <f t="shared" si="402"/>
        <v>PP002</v>
      </c>
      <c r="M741" t="str">
        <f>IFERROR(INDEX(Katalog!$B$4:$B$13,MATCH('Main Data'!L741,Katalog!$C$4:$C$13,0)), "-")</f>
        <v>Celana Pendek</v>
      </c>
      <c r="N741" t="str">
        <f>IFERROR(VLOOKUP(L741,Katalog!$A$15:$B$25,2,0),"-")</f>
        <v>Pakaian Pria</v>
      </c>
      <c r="O741" t="str">
        <f t="shared" si="403"/>
        <v>1</v>
      </c>
      <c r="P741" t="str">
        <f t="shared" si="404"/>
        <v>2</v>
      </c>
      <c r="Q741" s="18">
        <f>IFERROR(VLOOKUP(L741,Katalog!$C$3:$F$13,2,0),0)</f>
        <v>60000</v>
      </c>
      <c r="R741" s="18">
        <f>IFERROR(VLOOKUP(L741,Katalog!$C$3:$F$13,3,0),0)</f>
        <v>25000</v>
      </c>
      <c r="S741" t="str">
        <f t="shared" si="405"/>
        <v>-</v>
      </c>
      <c r="T741" t="str">
        <f>IFERROR(INDEX(Katalog!$B$4:$B$13,MATCH('Main Data'!S741,Katalog!$C$4:$C$13,0)),"-")</f>
        <v>-</v>
      </c>
      <c r="U741" t="str">
        <f>IFERROR(VLOOKUP(S741,Katalog!$A$15:$B$25,2,0),"-")</f>
        <v>-</v>
      </c>
      <c r="V741">
        <f t="shared" si="406"/>
        <v>0</v>
      </c>
      <c r="W741" s="28" t="str">
        <f t="shared" si="407"/>
        <v>-</v>
      </c>
      <c r="X741" s="18">
        <f>IFERROR(VLOOKUP(S741,Katalog!$C$3:$F$13,2,0),0)</f>
        <v>0</v>
      </c>
      <c r="Y741" s="30">
        <f>IFERROR(VLOOKUP(S741,Katalog!$C$3:$F$13,3,0),0)</f>
        <v>0</v>
      </c>
      <c r="Z741" s="2">
        <f t="shared" si="408"/>
        <v>2</v>
      </c>
      <c r="AA741" s="4">
        <f t="shared" si="409"/>
        <v>180000</v>
      </c>
      <c r="AB741" s="4">
        <f t="shared" si="410"/>
        <v>85000</v>
      </c>
      <c r="AC741" s="4" t="s">
        <v>31</v>
      </c>
      <c r="AD741" s="16">
        <f>IFERROR(VLOOKUP(AC741,'Kode Diskon'!$C$2:$D$9,2,0),0)</f>
        <v>0.15</v>
      </c>
      <c r="AE741" s="31">
        <f t="shared" si="411"/>
        <v>27000</v>
      </c>
      <c r="AF741" s="31">
        <f t="shared" si="412"/>
        <v>153000</v>
      </c>
      <c r="AG741" s="31">
        <f t="shared" si="413"/>
        <v>95000</v>
      </c>
      <c r="AH741" s="31">
        <f t="shared" si="414"/>
        <v>68000</v>
      </c>
      <c r="AI741" s="4" t="s">
        <v>8</v>
      </c>
      <c r="AJ741" s="4" t="s">
        <v>11</v>
      </c>
      <c r="AK741" s="4" t="str">
        <f>IFERROR(VLOOKUP(AJ741,'Guide '!$A$13:$B$16,2,0),"-")</f>
        <v>BL</v>
      </c>
      <c r="AL741" s="4" t="s">
        <v>922</v>
      </c>
      <c r="AM741" s="40">
        <v>45559</v>
      </c>
      <c r="AN741">
        <f t="shared" si="415"/>
        <v>29</v>
      </c>
      <c r="AO741">
        <f t="shared" si="416"/>
        <v>32</v>
      </c>
      <c r="AP741">
        <f t="shared" si="417"/>
        <v>40</v>
      </c>
      <c r="AQ741">
        <f t="shared" si="418"/>
        <v>43</v>
      </c>
      <c r="AR741" s="26">
        <f t="shared" si="419"/>
        <v>56</v>
      </c>
      <c r="AS741" s="26">
        <f t="shared" si="420"/>
        <v>63</v>
      </c>
      <c r="AT741" s="21">
        <f t="shared" si="421"/>
        <v>12</v>
      </c>
      <c r="AU741" s="21">
        <f t="shared" si="422"/>
        <v>19</v>
      </c>
      <c r="AV741">
        <f t="shared" si="423"/>
        <v>73</v>
      </c>
      <c r="AW741">
        <f t="shared" si="424"/>
        <v>76</v>
      </c>
      <c r="AX741">
        <f t="shared" si="425"/>
        <v>84</v>
      </c>
      <c r="AY741">
        <f t="shared" si="426"/>
        <v>87</v>
      </c>
      <c r="AZ741" t="str">
        <f t="shared" si="427"/>
        <v>-</v>
      </c>
      <c r="BA741" t="str">
        <f t="shared" si="428"/>
        <v>-</v>
      </c>
      <c r="BB741" t="str">
        <f t="shared" si="429"/>
        <v>-</v>
      </c>
      <c r="BC741" t="str">
        <f t="shared" si="430"/>
        <v>-</v>
      </c>
      <c r="BD741" s="29" t="str">
        <f t="shared" si="431"/>
        <v>-</v>
      </c>
      <c r="BE741" s="29" t="str">
        <f t="shared" si="432"/>
        <v>-</v>
      </c>
    </row>
    <row r="742" spans="1:57" ht="15" x14ac:dyDescent="0.2">
      <c r="A742" s="2">
        <v>702</v>
      </c>
      <c r="B742" s="2" t="str">
        <f t="shared" si="397"/>
        <v>0702</v>
      </c>
      <c r="C742" t="str">
        <f t="shared" si="398"/>
        <v>ORD-SP-0702-24/09/24</v>
      </c>
      <c r="D742" s="3" t="s">
        <v>694</v>
      </c>
      <c r="E742" t="str">
        <f t="shared" si="399"/>
        <v>SW001</v>
      </c>
      <c r="F742" t="str">
        <f>INDEX(Katalog!$B$4:$B$13,MATCH('Main Data'!E742,Katalog!$C$4:$C$13,0))</f>
        <v>Flat Shoes</v>
      </c>
      <c r="G742" t="str">
        <f>VLOOKUP(E742,Katalog!$A$15:$B$25,2,0)</f>
        <v>Sepatu Wanita</v>
      </c>
      <c r="H742" t="str">
        <f t="shared" si="400"/>
        <v>1</v>
      </c>
      <c r="I742" t="str">
        <f t="shared" si="401"/>
        <v>1</v>
      </c>
      <c r="J742" s="18">
        <f>VLOOKUP(E742,Katalog!$C$3:$F$13,2,0)</f>
        <v>150000</v>
      </c>
      <c r="K742" s="18">
        <f>VLOOKUP(E742,Katalog!$C$3:$F$13,3,0)</f>
        <v>70000</v>
      </c>
      <c r="L742" t="str">
        <f t="shared" si="402"/>
        <v>PW001</v>
      </c>
      <c r="M742" t="str">
        <f>IFERROR(INDEX(Katalog!$B$4:$B$13,MATCH('Main Data'!L742,Katalog!$C$4:$C$13,0)), "-")</f>
        <v>Dress</v>
      </c>
      <c r="N742" t="str">
        <f>IFERROR(VLOOKUP(L742,Katalog!$A$15:$B$25,2,0),"-")</f>
        <v>Pakaian Wanita</v>
      </c>
      <c r="O742" t="str">
        <f t="shared" si="403"/>
        <v>2</v>
      </c>
      <c r="P742" t="str">
        <f t="shared" si="404"/>
        <v>3</v>
      </c>
      <c r="Q742" s="18">
        <f>IFERROR(VLOOKUP(L742,Katalog!$C$3:$F$13,2,0),0)</f>
        <v>150000</v>
      </c>
      <c r="R742" s="18">
        <f>IFERROR(VLOOKUP(L742,Katalog!$C$3:$F$13,3,0),0)</f>
        <v>55000</v>
      </c>
      <c r="S742" t="str">
        <f t="shared" si="405"/>
        <v>PP002</v>
      </c>
      <c r="T742" t="str">
        <f>IFERROR(INDEX(Katalog!$B$4:$B$13,MATCH('Main Data'!S742,Katalog!$C$4:$C$13,0)),"-")</f>
        <v>Celana Pendek</v>
      </c>
      <c r="U742" t="str">
        <f>IFERROR(VLOOKUP(S742,Katalog!$A$15:$B$25,2,0),"-")</f>
        <v>Pakaian Pria</v>
      </c>
      <c r="V742" t="str">
        <f t="shared" si="406"/>
        <v>1</v>
      </c>
      <c r="W742" s="28" t="str">
        <f t="shared" si="407"/>
        <v>4</v>
      </c>
      <c r="X742" s="18">
        <f>IFERROR(VLOOKUP(S742,Katalog!$C$3:$F$13,2,0),0)</f>
        <v>60000</v>
      </c>
      <c r="Y742" s="30">
        <f>IFERROR(VLOOKUP(S742,Katalog!$C$3:$F$13,3,0),0)</f>
        <v>25000</v>
      </c>
      <c r="Z742" s="2">
        <f t="shared" si="408"/>
        <v>4</v>
      </c>
      <c r="AA742" s="4">
        <f t="shared" si="409"/>
        <v>510000</v>
      </c>
      <c r="AB742" s="4">
        <f t="shared" si="410"/>
        <v>205000</v>
      </c>
      <c r="AC742" s="4" t="s">
        <v>7</v>
      </c>
      <c r="AD742" s="16">
        <f>IFERROR(VLOOKUP(AC742,'Kode Diskon'!$C$2:$D$9,2,0),0)</f>
        <v>0.2</v>
      </c>
      <c r="AE742" s="31">
        <f t="shared" si="411"/>
        <v>102000</v>
      </c>
      <c r="AF742" s="31">
        <f t="shared" si="412"/>
        <v>408000</v>
      </c>
      <c r="AG742" s="31">
        <f t="shared" si="413"/>
        <v>305000</v>
      </c>
      <c r="AH742" s="31">
        <f t="shared" si="414"/>
        <v>203000</v>
      </c>
      <c r="AI742" s="4" t="s">
        <v>8</v>
      </c>
      <c r="AJ742" s="4" t="s">
        <v>6</v>
      </c>
      <c r="AK742" s="4" t="str">
        <f>IFERROR(VLOOKUP(AJ742,'Guide '!$A$13:$B$16,2,0),"-")</f>
        <v>SP</v>
      </c>
      <c r="AL742" s="4" t="s">
        <v>1006</v>
      </c>
      <c r="AM742" s="40">
        <v>45559</v>
      </c>
      <c r="AN742">
        <f t="shared" si="415"/>
        <v>29</v>
      </c>
      <c r="AO742">
        <f t="shared" si="416"/>
        <v>32</v>
      </c>
      <c r="AP742">
        <f t="shared" si="417"/>
        <v>40</v>
      </c>
      <c r="AQ742">
        <f t="shared" si="418"/>
        <v>43</v>
      </c>
      <c r="AR742" s="26">
        <f t="shared" si="419"/>
        <v>56</v>
      </c>
      <c r="AS742" s="26">
        <f t="shared" si="420"/>
        <v>63</v>
      </c>
      <c r="AT742" s="21">
        <f t="shared" si="421"/>
        <v>12</v>
      </c>
      <c r="AU742" s="21">
        <f t="shared" si="422"/>
        <v>19</v>
      </c>
      <c r="AV742">
        <f t="shared" si="423"/>
        <v>73</v>
      </c>
      <c r="AW742">
        <f t="shared" si="424"/>
        <v>76</v>
      </c>
      <c r="AX742">
        <f t="shared" si="425"/>
        <v>84</v>
      </c>
      <c r="AY742">
        <f t="shared" si="426"/>
        <v>87</v>
      </c>
      <c r="AZ742">
        <f t="shared" si="427"/>
        <v>100</v>
      </c>
      <c r="BA742">
        <f t="shared" si="428"/>
        <v>107</v>
      </c>
      <c r="BB742">
        <f t="shared" si="429"/>
        <v>117</v>
      </c>
      <c r="BC742">
        <f t="shared" si="430"/>
        <v>120</v>
      </c>
      <c r="BD742" s="29">
        <f t="shared" si="431"/>
        <v>128</v>
      </c>
      <c r="BE742" s="29">
        <f t="shared" si="432"/>
        <v>131</v>
      </c>
    </row>
    <row r="743" spans="1:57" ht="15" x14ac:dyDescent="0.2">
      <c r="A743" s="2">
        <v>792</v>
      </c>
      <c r="B743" s="2" t="str">
        <f t="shared" si="397"/>
        <v>0792</v>
      </c>
      <c r="C743" t="str">
        <f t="shared" si="398"/>
        <v>ORD-SP-0792-24/09/24</v>
      </c>
      <c r="D743" s="3" t="s">
        <v>122</v>
      </c>
      <c r="E743" t="str">
        <f t="shared" si="399"/>
        <v>PP001</v>
      </c>
      <c r="F743" t="str">
        <f>INDEX(Katalog!$B$4:$B$13,MATCH('Main Data'!E743,Katalog!$C$4:$C$13,0))</f>
        <v>Kaos Polo</v>
      </c>
      <c r="G743" t="str">
        <f>VLOOKUP(E743,Katalog!$A$15:$B$25,2,0)</f>
        <v>Pakaian Pria</v>
      </c>
      <c r="H743" t="str">
        <f t="shared" si="400"/>
        <v>4</v>
      </c>
      <c r="I743" t="str">
        <f t="shared" si="401"/>
        <v>1</v>
      </c>
      <c r="J743" s="18">
        <f>VLOOKUP(E743,Katalog!$C$3:$F$13,2,0)</f>
        <v>80000</v>
      </c>
      <c r="K743" s="18">
        <f>VLOOKUP(E743,Katalog!$C$3:$F$13,3,0)</f>
        <v>30000</v>
      </c>
      <c r="L743" t="str">
        <f t="shared" si="402"/>
        <v>-</v>
      </c>
      <c r="M743" t="str">
        <f>IFERROR(INDEX(Katalog!$B$4:$B$13,MATCH('Main Data'!L743,Katalog!$C$4:$C$13,0)), "-")</f>
        <v>-</v>
      </c>
      <c r="N743" t="str">
        <f>IFERROR(VLOOKUP(L743,Katalog!$A$15:$B$25,2,0),"-")</f>
        <v>-</v>
      </c>
      <c r="O743">
        <f t="shared" si="403"/>
        <v>0</v>
      </c>
      <c r="P743" t="str">
        <f t="shared" si="404"/>
        <v>-</v>
      </c>
      <c r="Q743" s="18">
        <f>IFERROR(VLOOKUP(L743,Katalog!$C$3:$F$13,2,0),0)</f>
        <v>0</v>
      </c>
      <c r="R743" s="18">
        <f>IFERROR(VLOOKUP(L743,Katalog!$C$3:$F$13,3,0),0)</f>
        <v>0</v>
      </c>
      <c r="S743" t="str">
        <f t="shared" si="405"/>
        <v>-</v>
      </c>
      <c r="T743" t="str">
        <f>IFERROR(INDEX(Katalog!$B$4:$B$13,MATCH('Main Data'!S743,Katalog!$C$4:$C$13,0)),"-")</f>
        <v>-</v>
      </c>
      <c r="U743" t="str">
        <f>IFERROR(VLOOKUP(S743,Katalog!$A$15:$B$25,2,0),"-")</f>
        <v>-</v>
      </c>
      <c r="V743">
        <f t="shared" si="406"/>
        <v>0</v>
      </c>
      <c r="W743" s="28" t="str">
        <f t="shared" si="407"/>
        <v>-</v>
      </c>
      <c r="X743" s="18">
        <f>IFERROR(VLOOKUP(S743,Katalog!$C$3:$F$13,2,0),0)</f>
        <v>0</v>
      </c>
      <c r="Y743" s="30">
        <f>IFERROR(VLOOKUP(S743,Katalog!$C$3:$F$13,3,0),0)</f>
        <v>0</v>
      </c>
      <c r="Z743" s="2">
        <f t="shared" si="408"/>
        <v>4</v>
      </c>
      <c r="AA743" s="4">
        <f t="shared" si="409"/>
        <v>320000</v>
      </c>
      <c r="AB743" s="4">
        <f t="shared" si="410"/>
        <v>120000</v>
      </c>
      <c r="AC743" s="4" t="s">
        <v>12</v>
      </c>
      <c r="AD743" s="16">
        <f>IFERROR(VLOOKUP(AC743,'Kode Diskon'!$C$2:$D$9,2,0),0)</f>
        <v>0.15</v>
      </c>
      <c r="AE743" s="31">
        <f t="shared" si="411"/>
        <v>48000</v>
      </c>
      <c r="AF743" s="31">
        <f t="shared" si="412"/>
        <v>272000</v>
      </c>
      <c r="AG743" s="31">
        <f t="shared" si="413"/>
        <v>200000</v>
      </c>
      <c r="AH743" s="31">
        <f t="shared" si="414"/>
        <v>152000</v>
      </c>
      <c r="AI743" s="4" t="s">
        <v>28</v>
      </c>
      <c r="AJ743" s="4" t="s">
        <v>6</v>
      </c>
      <c r="AK743" s="4" t="str">
        <f>IFERROR(VLOOKUP(AJ743,'Guide '!$A$13:$B$16,2,0),"-")</f>
        <v>SP</v>
      </c>
      <c r="AL743" s="4" t="s">
        <v>925</v>
      </c>
      <c r="AM743" s="40">
        <v>45559</v>
      </c>
      <c r="AN743">
        <f t="shared" si="415"/>
        <v>29</v>
      </c>
      <c r="AO743">
        <f t="shared" si="416"/>
        <v>32</v>
      </c>
      <c r="AP743">
        <f t="shared" si="417"/>
        <v>40</v>
      </c>
      <c r="AQ743">
        <f t="shared" si="418"/>
        <v>43</v>
      </c>
      <c r="AR743" s="26" t="str">
        <f t="shared" si="419"/>
        <v>-</v>
      </c>
      <c r="AS743" s="26" t="str">
        <f t="shared" si="420"/>
        <v>-</v>
      </c>
      <c r="AT743" s="21">
        <f t="shared" si="421"/>
        <v>12</v>
      </c>
      <c r="AU743" s="21">
        <f t="shared" si="422"/>
        <v>19</v>
      </c>
      <c r="AV743" t="str">
        <f t="shared" si="423"/>
        <v>-</v>
      </c>
      <c r="AW743" t="str">
        <f t="shared" si="424"/>
        <v>-</v>
      </c>
      <c r="AX743" t="str">
        <f t="shared" si="425"/>
        <v>-</v>
      </c>
      <c r="AY743" t="str">
        <f t="shared" si="426"/>
        <v>-</v>
      </c>
      <c r="AZ743" t="str">
        <f t="shared" si="427"/>
        <v>-</v>
      </c>
      <c r="BA743" t="str">
        <f t="shared" si="428"/>
        <v>-</v>
      </c>
      <c r="BB743" t="str">
        <f t="shared" si="429"/>
        <v>-</v>
      </c>
      <c r="BC743" t="str">
        <f t="shared" si="430"/>
        <v>-</v>
      </c>
      <c r="BD743" s="29" t="str">
        <f t="shared" si="431"/>
        <v>-</v>
      </c>
      <c r="BE743" s="29" t="str">
        <f t="shared" si="432"/>
        <v>-</v>
      </c>
    </row>
    <row r="744" spans="1:57" ht="15" x14ac:dyDescent="0.2">
      <c r="A744" s="2">
        <v>958</v>
      </c>
      <c r="B744" s="2" t="str">
        <f t="shared" si="397"/>
        <v>0958</v>
      </c>
      <c r="C744" t="str">
        <f t="shared" si="398"/>
        <v>ORD-TK-0958-24/09/24</v>
      </c>
      <c r="D744" s="3" t="s">
        <v>888</v>
      </c>
      <c r="E744" t="str">
        <f t="shared" si="399"/>
        <v>SP001</v>
      </c>
      <c r="F744" t="str">
        <f>INDEX(Katalog!$B$4:$B$13,MATCH('Main Data'!E744,Katalog!$C$4:$C$13,0))</f>
        <v>Sneakers</v>
      </c>
      <c r="G744" t="str">
        <f>VLOOKUP(E744,Katalog!$A$15:$B$25,2,0)</f>
        <v>Sepatu Pria</v>
      </c>
      <c r="H744" t="str">
        <f t="shared" si="400"/>
        <v>6</v>
      </c>
      <c r="I744" t="str">
        <f t="shared" si="401"/>
        <v>2</v>
      </c>
      <c r="J744" s="18">
        <f>VLOOKUP(E744,Katalog!$C$3:$F$13,2,0)</f>
        <v>300000</v>
      </c>
      <c r="K744" s="18">
        <f>VLOOKUP(E744,Katalog!$C$3:$F$13,3,0)</f>
        <v>100000</v>
      </c>
      <c r="L744" t="str">
        <f t="shared" si="402"/>
        <v>PP003</v>
      </c>
      <c r="M744" t="str">
        <f>IFERROR(INDEX(Katalog!$B$4:$B$13,MATCH('Main Data'!L744,Katalog!$C$4:$C$13,0)), "-")</f>
        <v>Jaket Jeans</v>
      </c>
      <c r="N744" t="str">
        <f>IFERROR(VLOOKUP(L744,Katalog!$A$15:$B$25,2,0),"-")</f>
        <v>Pakaian Pria</v>
      </c>
      <c r="O744" t="str">
        <f t="shared" si="403"/>
        <v>1</v>
      </c>
      <c r="P744" t="str">
        <f t="shared" si="404"/>
        <v>1</v>
      </c>
      <c r="Q744" s="18">
        <f>IFERROR(VLOOKUP(L744,Katalog!$C$3:$F$13,2,0),0)</f>
        <v>150000</v>
      </c>
      <c r="R744" s="18">
        <f>IFERROR(VLOOKUP(L744,Katalog!$C$3:$F$13,3,0),0)</f>
        <v>70000</v>
      </c>
      <c r="S744" t="str">
        <f t="shared" si="405"/>
        <v>-</v>
      </c>
      <c r="T744" t="str">
        <f>IFERROR(INDEX(Katalog!$B$4:$B$13,MATCH('Main Data'!S744,Katalog!$C$4:$C$13,0)),"-")</f>
        <v>-</v>
      </c>
      <c r="U744" t="str">
        <f>IFERROR(VLOOKUP(S744,Katalog!$A$15:$B$25,2,0),"-")</f>
        <v>-</v>
      </c>
      <c r="V744">
        <f t="shared" si="406"/>
        <v>0</v>
      </c>
      <c r="W744" s="28" t="str">
        <f t="shared" si="407"/>
        <v>-</v>
      </c>
      <c r="X744" s="18">
        <f>IFERROR(VLOOKUP(S744,Katalog!$C$3:$F$13,2,0),0)</f>
        <v>0</v>
      </c>
      <c r="Y744" s="30">
        <f>IFERROR(VLOOKUP(S744,Katalog!$C$3:$F$13,3,0),0)</f>
        <v>0</v>
      </c>
      <c r="Z744" s="2">
        <f t="shared" si="408"/>
        <v>7</v>
      </c>
      <c r="AA744" s="4">
        <f t="shared" si="409"/>
        <v>1950000</v>
      </c>
      <c r="AB744" s="4">
        <f t="shared" si="410"/>
        <v>670000</v>
      </c>
      <c r="AC744" s="4" t="s">
        <v>30</v>
      </c>
      <c r="AD744" s="16">
        <f>IFERROR(VLOOKUP(AC744,'Kode Diskon'!$C$2:$D$9,2,0),0)</f>
        <v>0.1</v>
      </c>
      <c r="AE744" s="31">
        <f t="shared" si="411"/>
        <v>195000</v>
      </c>
      <c r="AF744" s="31">
        <f t="shared" si="412"/>
        <v>1755000</v>
      </c>
      <c r="AG744" s="31">
        <f t="shared" si="413"/>
        <v>1280000</v>
      </c>
      <c r="AH744" s="31">
        <f t="shared" si="414"/>
        <v>1085000</v>
      </c>
      <c r="AI744" s="4" t="s">
        <v>8</v>
      </c>
      <c r="AJ744" s="4" t="s">
        <v>9</v>
      </c>
      <c r="AK744" s="4" t="str">
        <f>IFERROR(VLOOKUP(AJ744,'Guide '!$A$13:$B$16,2,0),"-")</f>
        <v>TK</v>
      </c>
      <c r="AL744" s="4" t="s">
        <v>1006</v>
      </c>
      <c r="AM744" s="40">
        <v>45559</v>
      </c>
      <c r="AN744">
        <f t="shared" si="415"/>
        <v>29</v>
      </c>
      <c r="AO744">
        <f t="shared" si="416"/>
        <v>32</v>
      </c>
      <c r="AP744">
        <f t="shared" si="417"/>
        <v>40</v>
      </c>
      <c r="AQ744">
        <f t="shared" si="418"/>
        <v>43</v>
      </c>
      <c r="AR744" s="26">
        <f t="shared" si="419"/>
        <v>56</v>
      </c>
      <c r="AS744" s="26">
        <f t="shared" si="420"/>
        <v>63</v>
      </c>
      <c r="AT744" s="21">
        <f t="shared" si="421"/>
        <v>12</v>
      </c>
      <c r="AU744" s="21">
        <f t="shared" si="422"/>
        <v>19</v>
      </c>
      <c r="AV744">
        <f t="shared" si="423"/>
        <v>73</v>
      </c>
      <c r="AW744">
        <f t="shared" si="424"/>
        <v>76</v>
      </c>
      <c r="AX744">
        <f t="shared" si="425"/>
        <v>84</v>
      </c>
      <c r="AY744">
        <f t="shared" si="426"/>
        <v>87</v>
      </c>
      <c r="AZ744" t="str">
        <f t="shared" si="427"/>
        <v>-</v>
      </c>
      <c r="BA744" t="str">
        <f t="shared" si="428"/>
        <v>-</v>
      </c>
      <c r="BB744" t="str">
        <f t="shared" si="429"/>
        <v>-</v>
      </c>
      <c r="BC744" t="str">
        <f t="shared" si="430"/>
        <v>-</v>
      </c>
      <c r="BD744" s="29" t="str">
        <f t="shared" si="431"/>
        <v>-</v>
      </c>
      <c r="BE744" s="29" t="str">
        <f t="shared" si="432"/>
        <v>-</v>
      </c>
    </row>
    <row r="745" spans="1:57" ht="15" x14ac:dyDescent="0.2">
      <c r="A745" s="2">
        <v>102</v>
      </c>
      <c r="B745" s="2" t="str">
        <f t="shared" si="397"/>
        <v>0102</v>
      </c>
      <c r="C745" t="str">
        <f t="shared" si="398"/>
        <v>ORD-TK-0102-25/09/24</v>
      </c>
      <c r="D745" s="3" t="s">
        <v>174</v>
      </c>
      <c r="E745" t="str">
        <f t="shared" si="399"/>
        <v>PP003</v>
      </c>
      <c r="F745" t="str">
        <f>INDEX(Katalog!$B$4:$B$13,MATCH('Main Data'!E745,Katalog!$C$4:$C$13,0))</f>
        <v>Jaket Jeans</v>
      </c>
      <c r="G745" t="str">
        <f>VLOOKUP(E745,Katalog!$A$15:$B$25,2,0)</f>
        <v>Pakaian Pria</v>
      </c>
      <c r="H745" t="str">
        <f t="shared" si="400"/>
        <v>3</v>
      </c>
      <c r="I745" t="str">
        <f t="shared" si="401"/>
        <v>4</v>
      </c>
      <c r="J745" s="18">
        <f>VLOOKUP(E745,Katalog!$C$3:$F$13,2,0)</f>
        <v>150000</v>
      </c>
      <c r="K745" s="18">
        <f>VLOOKUP(E745,Katalog!$C$3:$F$13,3,0)</f>
        <v>70000</v>
      </c>
      <c r="L745" t="str">
        <f t="shared" si="402"/>
        <v>SW001</v>
      </c>
      <c r="M745" t="str">
        <f>IFERROR(INDEX(Katalog!$B$4:$B$13,MATCH('Main Data'!L745,Katalog!$C$4:$C$13,0)), "-")</f>
        <v>Flat Shoes</v>
      </c>
      <c r="N745" t="str">
        <f>IFERROR(VLOOKUP(L745,Katalog!$A$15:$B$25,2,0),"-")</f>
        <v>Sepatu Wanita</v>
      </c>
      <c r="O745" t="str">
        <f t="shared" si="403"/>
        <v>1</v>
      </c>
      <c r="P745" t="str">
        <f t="shared" si="404"/>
        <v>1</v>
      </c>
      <c r="Q745" s="18">
        <f>IFERROR(VLOOKUP(L745,Katalog!$C$3:$F$13,2,0),0)</f>
        <v>150000</v>
      </c>
      <c r="R745" s="18">
        <f>IFERROR(VLOOKUP(L745,Katalog!$C$3:$F$13,3,0),0)</f>
        <v>70000</v>
      </c>
      <c r="S745" t="str">
        <f t="shared" si="405"/>
        <v>SP001</v>
      </c>
      <c r="T745" t="str">
        <f>IFERROR(INDEX(Katalog!$B$4:$B$13,MATCH('Main Data'!S745,Katalog!$C$4:$C$13,0)),"-")</f>
        <v>Sneakers</v>
      </c>
      <c r="U745" t="str">
        <f>IFERROR(VLOOKUP(S745,Katalog!$A$15:$B$25,2,0),"-")</f>
        <v>Sepatu Pria</v>
      </c>
      <c r="V745" t="str">
        <f t="shared" si="406"/>
        <v>1</v>
      </c>
      <c r="W745" s="28" t="str">
        <f t="shared" si="407"/>
        <v>5</v>
      </c>
      <c r="X745" s="18">
        <f>IFERROR(VLOOKUP(S745,Katalog!$C$3:$F$13,2,0),0)</f>
        <v>300000</v>
      </c>
      <c r="Y745" s="30">
        <f>IFERROR(VLOOKUP(S745,Katalog!$C$3:$F$13,3,0),0)</f>
        <v>100000</v>
      </c>
      <c r="Z745" s="2">
        <f t="shared" si="408"/>
        <v>5</v>
      </c>
      <c r="AA745" s="4">
        <f t="shared" si="409"/>
        <v>900000</v>
      </c>
      <c r="AB745" s="4">
        <f t="shared" si="410"/>
        <v>380000</v>
      </c>
      <c r="AC745" s="4" t="s">
        <v>29</v>
      </c>
      <c r="AD745" s="16">
        <f>IFERROR(VLOOKUP(AC745,'Kode Diskon'!$C$2:$D$9,2,0),0)</f>
        <v>0.1</v>
      </c>
      <c r="AE745" s="31">
        <f t="shared" si="411"/>
        <v>90000</v>
      </c>
      <c r="AF745" s="31">
        <f t="shared" si="412"/>
        <v>810000</v>
      </c>
      <c r="AG745" s="31">
        <f t="shared" si="413"/>
        <v>520000</v>
      </c>
      <c r="AH745" s="31">
        <f t="shared" si="414"/>
        <v>430000</v>
      </c>
      <c r="AI745" s="4" t="s">
        <v>28</v>
      </c>
      <c r="AJ745" s="4" t="s">
        <v>9</v>
      </c>
      <c r="AK745" s="4" t="str">
        <f>IFERROR(VLOOKUP(AJ745,'Guide '!$A$13:$B$16,2,0),"-")</f>
        <v>TK</v>
      </c>
      <c r="AL745" s="4" t="s">
        <v>925</v>
      </c>
      <c r="AM745" s="40">
        <v>45560</v>
      </c>
      <c r="AN745">
        <f t="shared" si="415"/>
        <v>29</v>
      </c>
      <c r="AO745">
        <f t="shared" si="416"/>
        <v>32</v>
      </c>
      <c r="AP745">
        <f t="shared" si="417"/>
        <v>40</v>
      </c>
      <c r="AQ745">
        <f t="shared" si="418"/>
        <v>43</v>
      </c>
      <c r="AR745" s="26">
        <f t="shared" si="419"/>
        <v>56</v>
      </c>
      <c r="AS745" s="26">
        <f t="shared" si="420"/>
        <v>63</v>
      </c>
      <c r="AT745" s="21">
        <f t="shared" si="421"/>
        <v>12</v>
      </c>
      <c r="AU745" s="21">
        <f t="shared" si="422"/>
        <v>19</v>
      </c>
      <c r="AV745">
        <f t="shared" si="423"/>
        <v>73</v>
      </c>
      <c r="AW745">
        <f t="shared" si="424"/>
        <v>76</v>
      </c>
      <c r="AX745">
        <f t="shared" si="425"/>
        <v>84</v>
      </c>
      <c r="AY745">
        <f t="shared" si="426"/>
        <v>87</v>
      </c>
      <c r="AZ745">
        <f t="shared" si="427"/>
        <v>100</v>
      </c>
      <c r="BA745">
        <f t="shared" si="428"/>
        <v>107</v>
      </c>
      <c r="BB745">
        <f t="shared" si="429"/>
        <v>117</v>
      </c>
      <c r="BC745">
        <f t="shared" si="430"/>
        <v>120</v>
      </c>
      <c r="BD745" s="29">
        <f t="shared" si="431"/>
        <v>128</v>
      </c>
      <c r="BE745" s="29">
        <f t="shared" si="432"/>
        <v>131</v>
      </c>
    </row>
    <row r="746" spans="1:57" ht="15" x14ac:dyDescent="0.2">
      <c r="A746" s="2">
        <v>502</v>
      </c>
      <c r="B746" s="2" t="str">
        <f t="shared" si="397"/>
        <v>0502</v>
      </c>
      <c r="C746" t="str">
        <f t="shared" si="398"/>
        <v>ORD-SP-0502-25/09/24</v>
      </c>
      <c r="D746" s="3" t="s">
        <v>531</v>
      </c>
      <c r="E746" t="str">
        <f t="shared" si="399"/>
        <v>PP003</v>
      </c>
      <c r="F746" t="str">
        <f>INDEX(Katalog!$B$4:$B$13,MATCH('Main Data'!E746,Katalog!$C$4:$C$13,0))</f>
        <v>Jaket Jeans</v>
      </c>
      <c r="G746" t="str">
        <f>VLOOKUP(E746,Katalog!$A$15:$B$25,2,0)</f>
        <v>Pakaian Pria</v>
      </c>
      <c r="H746" t="str">
        <f t="shared" si="400"/>
        <v>2</v>
      </c>
      <c r="I746" t="str">
        <f t="shared" si="401"/>
        <v>2</v>
      </c>
      <c r="J746" s="18">
        <f>VLOOKUP(E746,Katalog!$C$3:$F$13,2,0)</f>
        <v>150000</v>
      </c>
      <c r="K746" s="18">
        <f>VLOOKUP(E746,Katalog!$C$3:$F$13,3,0)</f>
        <v>70000</v>
      </c>
      <c r="L746" t="str">
        <f t="shared" si="402"/>
        <v>PP001</v>
      </c>
      <c r="M746" t="str">
        <f>IFERROR(INDEX(Katalog!$B$4:$B$13,MATCH('Main Data'!L746,Katalog!$C$4:$C$13,0)), "-")</f>
        <v>Kaos Polo</v>
      </c>
      <c r="N746" t="str">
        <f>IFERROR(VLOOKUP(L746,Katalog!$A$15:$B$25,2,0),"-")</f>
        <v>Pakaian Pria</v>
      </c>
      <c r="O746" t="str">
        <f t="shared" si="403"/>
        <v>2</v>
      </c>
      <c r="P746" t="str">
        <f t="shared" si="404"/>
        <v>4</v>
      </c>
      <c r="Q746" s="18">
        <f>IFERROR(VLOOKUP(L746,Katalog!$C$3:$F$13,2,0),0)</f>
        <v>80000</v>
      </c>
      <c r="R746" s="18">
        <f>IFERROR(VLOOKUP(L746,Katalog!$C$3:$F$13,3,0),0)</f>
        <v>30000</v>
      </c>
      <c r="S746" t="str">
        <f t="shared" si="405"/>
        <v>-</v>
      </c>
      <c r="T746" t="str">
        <f>IFERROR(INDEX(Katalog!$B$4:$B$13,MATCH('Main Data'!S746,Katalog!$C$4:$C$13,0)),"-")</f>
        <v>-</v>
      </c>
      <c r="U746" t="str">
        <f>IFERROR(VLOOKUP(S746,Katalog!$A$15:$B$25,2,0),"-")</f>
        <v>-</v>
      </c>
      <c r="V746">
        <f t="shared" si="406"/>
        <v>0</v>
      </c>
      <c r="W746" s="28" t="str">
        <f t="shared" si="407"/>
        <v>-</v>
      </c>
      <c r="X746" s="18">
        <f>IFERROR(VLOOKUP(S746,Katalog!$C$3:$F$13,2,0),0)</f>
        <v>0</v>
      </c>
      <c r="Y746" s="30">
        <f>IFERROR(VLOOKUP(S746,Katalog!$C$3:$F$13,3,0),0)</f>
        <v>0</v>
      </c>
      <c r="Z746" s="2">
        <f t="shared" si="408"/>
        <v>4</v>
      </c>
      <c r="AA746" s="4">
        <f t="shared" si="409"/>
        <v>460000</v>
      </c>
      <c r="AB746" s="4">
        <f t="shared" si="410"/>
        <v>200000</v>
      </c>
      <c r="AC746" s="4" t="s">
        <v>10</v>
      </c>
      <c r="AD746" s="16">
        <f>IFERROR(VLOOKUP(AC746,'Kode Diskon'!$C$2:$D$9,2,0),0)</f>
        <v>0</v>
      </c>
      <c r="AE746" s="31">
        <f t="shared" si="411"/>
        <v>0</v>
      </c>
      <c r="AF746" s="31">
        <f t="shared" si="412"/>
        <v>460000</v>
      </c>
      <c r="AG746" s="31">
        <f t="shared" si="413"/>
        <v>260000</v>
      </c>
      <c r="AH746" s="31">
        <f t="shared" si="414"/>
        <v>260000</v>
      </c>
      <c r="AI746" s="4" t="s">
        <v>10</v>
      </c>
      <c r="AJ746" s="4" t="s">
        <v>6</v>
      </c>
      <c r="AK746" s="4" t="str">
        <f>IFERROR(VLOOKUP(AJ746,'Guide '!$A$13:$B$16,2,0),"-")</f>
        <v>SP</v>
      </c>
      <c r="AL746" s="4" t="s">
        <v>924</v>
      </c>
      <c r="AM746" s="40">
        <v>45560</v>
      </c>
      <c r="AN746">
        <f t="shared" si="415"/>
        <v>29</v>
      </c>
      <c r="AO746">
        <f t="shared" si="416"/>
        <v>32</v>
      </c>
      <c r="AP746">
        <f t="shared" si="417"/>
        <v>40</v>
      </c>
      <c r="AQ746">
        <f t="shared" si="418"/>
        <v>43</v>
      </c>
      <c r="AR746" s="26">
        <f t="shared" si="419"/>
        <v>56</v>
      </c>
      <c r="AS746" s="26">
        <f t="shared" si="420"/>
        <v>63</v>
      </c>
      <c r="AT746" s="21">
        <f t="shared" si="421"/>
        <v>12</v>
      </c>
      <c r="AU746" s="21">
        <f t="shared" si="422"/>
        <v>19</v>
      </c>
      <c r="AV746">
        <f t="shared" si="423"/>
        <v>73</v>
      </c>
      <c r="AW746">
        <f t="shared" si="424"/>
        <v>76</v>
      </c>
      <c r="AX746">
        <f t="shared" si="425"/>
        <v>84</v>
      </c>
      <c r="AY746">
        <f t="shared" si="426"/>
        <v>87</v>
      </c>
      <c r="AZ746" t="str">
        <f t="shared" si="427"/>
        <v>-</v>
      </c>
      <c r="BA746" t="str">
        <f t="shared" si="428"/>
        <v>-</v>
      </c>
      <c r="BB746" t="str">
        <f t="shared" si="429"/>
        <v>-</v>
      </c>
      <c r="BC746" t="str">
        <f t="shared" si="430"/>
        <v>-</v>
      </c>
      <c r="BD746" s="29" t="str">
        <f t="shared" si="431"/>
        <v>-</v>
      </c>
      <c r="BE746" s="29" t="str">
        <f t="shared" si="432"/>
        <v>-</v>
      </c>
    </row>
    <row r="747" spans="1:57" ht="15" x14ac:dyDescent="0.2">
      <c r="A747" s="2">
        <v>508</v>
      </c>
      <c r="B747" s="2" t="str">
        <f t="shared" si="397"/>
        <v>0508</v>
      </c>
      <c r="C747" t="str">
        <f t="shared" si="398"/>
        <v>ORD-BL-0508-25/09/24</v>
      </c>
      <c r="D747" s="3" t="s">
        <v>537</v>
      </c>
      <c r="E747" t="str">
        <f t="shared" si="399"/>
        <v>SP002</v>
      </c>
      <c r="F747" t="str">
        <f>INDEX(Katalog!$B$4:$B$13,MATCH('Main Data'!E747,Katalog!$C$4:$C$13,0))</f>
        <v>Sandal Slip On</v>
      </c>
      <c r="G747" t="str">
        <f>VLOOKUP(E747,Katalog!$A$15:$B$25,2,0)</f>
        <v>Sepatu Pria</v>
      </c>
      <c r="H747" t="str">
        <f t="shared" si="400"/>
        <v>2</v>
      </c>
      <c r="I747" t="str">
        <f t="shared" si="401"/>
        <v>3</v>
      </c>
      <c r="J747" s="18">
        <f>VLOOKUP(E747,Katalog!$C$3:$F$13,2,0)</f>
        <v>120000</v>
      </c>
      <c r="K747" s="18">
        <f>VLOOKUP(E747,Katalog!$C$3:$F$13,3,0)</f>
        <v>60000</v>
      </c>
      <c r="L747" t="str">
        <f t="shared" si="402"/>
        <v>PW003</v>
      </c>
      <c r="M747" t="str">
        <f>IFERROR(INDEX(Katalog!$B$4:$B$13,MATCH('Main Data'!L747,Katalog!$C$4:$C$13,0)), "-")</f>
        <v>Kaftan</v>
      </c>
      <c r="N747" t="str">
        <f>IFERROR(VLOOKUP(L747,Katalog!$A$15:$B$25,2,0),"-")</f>
        <v>Pakaian Wanita</v>
      </c>
      <c r="O747" t="str">
        <f t="shared" si="403"/>
        <v>1</v>
      </c>
      <c r="P747" t="str">
        <f t="shared" si="404"/>
        <v>5</v>
      </c>
      <c r="Q747" s="18">
        <f>IFERROR(VLOOKUP(L747,Katalog!$C$3:$F$13,2,0),0)</f>
        <v>200000</v>
      </c>
      <c r="R747" s="18">
        <f>IFERROR(VLOOKUP(L747,Katalog!$C$3:$F$13,3,0),0)</f>
        <v>100000</v>
      </c>
      <c r="S747" t="str">
        <f t="shared" si="405"/>
        <v>PW002</v>
      </c>
      <c r="T747" t="str">
        <f>IFERROR(INDEX(Katalog!$B$4:$B$13,MATCH('Main Data'!S747,Katalog!$C$4:$C$13,0)),"-")</f>
        <v>Blouse</v>
      </c>
      <c r="U747" t="str">
        <f>IFERROR(VLOOKUP(S747,Katalog!$A$15:$B$25,2,0),"-")</f>
        <v>Pakaian Wanita</v>
      </c>
      <c r="V747" t="str">
        <f t="shared" si="406"/>
        <v>2</v>
      </c>
      <c r="W747" s="28" t="str">
        <f t="shared" si="407"/>
        <v>2</v>
      </c>
      <c r="X747" s="18">
        <f>IFERROR(VLOOKUP(S747,Katalog!$C$3:$F$13,2,0),0)</f>
        <v>125000</v>
      </c>
      <c r="Y747" s="30">
        <f>IFERROR(VLOOKUP(S747,Katalog!$C$3:$F$13,3,0),0)</f>
        <v>50000</v>
      </c>
      <c r="Z747" s="2">
        <f t="shared" si="408"/>
        <v>5</v>
      </c>
      <c r="AA747" s="4">
        <f t="shared" si="409"/>
        <v>690000</v>
      </c>
      <c r="AB747" s="4">
        <f t="shared" si="410"/>
        <v>320000</v>
      </c>
      <c r="AC747" s="4" t="s">
        <v>31</v>
      </c>
      <c r="AD747" s="16">
        <f>IFERROR(VLOOKUP(AC747,'Kode Diskon'!$C$2:$D$9,2,0),0)</f>
        <v>0.15</v>
      </c>
      <c r="AE747" s="31">
        <f t="shared" si="411"/>
        <v>103500</v>
      </c>
      <c r="AF747" s="31">
        <f t="shared" si="412"/>
        <v>586500</v>
      </c>
      <c r="AG747" s="31">
        <f t="shared" si="413"/>
        <v>370000</v>
      </c>
      <c r="AH747" s="31">
        <f t="shared" si="414"/>
        <v>266500</v>
      </c>
      <c r="AI747" s="4" t="s">
        <v>8</v>
      </c>
      <c r="AJ747" s="4" t="s">
        <v>11</v>
      </c>
      <c r="AK747" s="4" t="str">
        <f>IFERROR(VLOOKUP(AJ747,'Guide '!$A$13:$B$16,2,0),"-")</f>
        <v>BL</v>
      </c>
      <c r="AL747" s="4" t="s">
        <v>924</v>
      </c>
      <c r="AM747" s="40">
        <v>45560</v>
      </c>
      <c r="AN747">
        <f t="shared" si="415"/>
        <v>29</v>
      </c>
      <c r="AO747">
        <f t="shared" si="416"/>
        <v>32</v>
      </c>
      <c r="AP747">
        <f t="shared" si="417"/>
        <v>40</v>
      </c>
      <c r="AQ747">
        <f t="shared" si="418"/>
        <v>43</v>
      </c>
      <c r="AR747" s="26">
        <f t="shared" si="419"/>
        <v>56</v>
      </c>
      <c r="AS747" s="26">
        <f t="shared" si="420"/>
        <v>63</v>
      </c>
      <c r="AT747" s="21">
        <f t="shared" si="421"/>
        <v>12</v>
      </c>
      <c r="AU747" s="21">
        <f t="shared" si="422"/>
        <v>19</v>
      </c>
      <c r="AV747">
        <f t="shared" si="423"/>
        <v>73</v>
      </c>
      <c r="AW747">
        <f t="shared" si="424"/>
        <v>76</v>
      </c>
      <c r="AX747">
        <f t="shared" si="425"/>
        <v>84</v>
      </c>
      <c r="AY747">
        <f t="shared" si="426"/>
        <v>87</v>
      </c>
      <c r="AZ747">
        <f t="shared" si="427"/>
        <v>100</v>
      </c>
      <c r="BA747">
        <f t="shared" si="428"/>
        <v>107</v>
      </c>
      <c r="BB747">
        <f t="shared" si="429"/>
        <v>117</v>
      </c>
      <c r="BC747">
        <f t="shared" si="430"/>
        <v>120</v>
      </c>
      <c r="BD747" s="29">
        <f t="shared" si="431"/>
        <v>128</v>
      </c>
      <c r="BE747" s="29">
        <f t="shared" si="432"/>
        <v>131</v>
      </c>
    </row>
    <row r="748" spans="1:57" ht="15" x14ac:dyDescent="0.2">
      <c r="A748" s="2">
        <v>891</v>
      </c>
      <c r="B748" s="2" t="str">
        <f t="shared" si="397"/>
        <v>0891</v>
      </c>
      <c r="C748" t="str">
        <f t="shared" si="398"/>
        <v>ORD-TK-0891-25/09/24</v>
      </c>
      <c r="D748" s="3" t="s">
        <v>831</v>
      </c>
      <c r="E748" t="str">
        <f t="shared" si="399"/>
        <v>SP001</v>
      </c>
      <c r="F748" t="str">
        <f>INDEX(Katalog!$B$4:$B$13,MATCH('Main Data'!E748,Katalog!$C$4:$C$13,0))</f>
        <v>Sneakers</v>
      </c>
      <c r="G748" t="str">
        <f>VLOOKUP(E748,Katalog!$A$15:$B$25,2,0)</f>
        <v>Sepatu Pria</v>
      </c>
      <c r="H748" t="str">
        <f t="shared" si="400"/>
        <v>3</v>
      </c>
      <c r="I748" t="str">
        <f t="shared" si="401"/>
        <v>4</v>
      </c>
      <c r="J748" s="18">
        <f>VLOOKUP(E748,Katalog!$C$3:$F$13,2,0)</f>
        <v>300000</v>
      </c>
      <c r="K748" s="18">
        <f>VLOOKUP(E748,Katalog!$C$3:$F$13,3,0)</f>
        <v>100000</v>
      </c>
      <c r="L748" t="str">
        <f t="shared" si="402"/>
        <v>SP002</v>
      </c>
      <c r="M748" t="str">
        <f>IFERROR(INDEX(Katalog!$B$4:$B$13,MATCH('Main Data'!L748,Katalog!$C$4:$C$13,0)), "-")</f>
        <v>Sandal Slip On</v>
      </c>
      <c r="N748" t="str">
        <f>IFERROR(VLOOKUP(L748,Katalog!$A$15:$B$25,2,0),"-")</f>
        <v>Sepatu Pria</v>
      </c>
      <c r="O748" t="str">
        <f t="shared" si="403"/>
        <v>2</v>
      </c>
      <c r="P748" t="str">
        <f t="shared" si="404"/>
        <v>3</v>
      </c>
      <c r="Q748" s="18">
        <f>IFERROR(VLOOKUP(L748,Katalog!$C$3:$F$13,2,0),0)</f>
        <v>120000</v>
      </c>
      <c r="R748" s="18">
        <f>IFERROR(VLOOKUP(L748,Katalog!$C$3:$F$13,3,0),0)</f>
        <v>60000</v>
      </c>
      <c r="S748" t="str">
        <f t="shared" si="405"/>
        <v>-</v>
      </c>
      <c r="T748" t="str">
        <f>IFERROR(INDEX(Katalog!$B$4:$B$13,MATCH('Main Data'!S748,Katalog!$C$4:$C$13,0)),"-")</f>
        <v>-</v>
      </c>
      <c r="U748" t="str">
        <f>IFERROR(VLOOKUP(S748,Katalog!$A$15:$B$25,2,0),"-")</f>
        <v>-</v>
      </c>
      <c r="V748">
        <f t="shared" si="406"/>
        <v>0</v>
      </c>
      <c r="W748" s="28" t="str">
        <f t="shared" si="407"/>
        <v>-</v>
      </c>
      <c r="X748" s="18">
        <f>IFERROR(VLOOKUP(S748,Katalog!$C$3:$F$13,2,0),0)</f>
        <v>0</v>
      </c>
      <c r="Y748" s="30">
        <f>IFERROR(VLOOKUP(S748,Katalog!$C$3:$F$13,3,0),0)</f>
        <v>0</v>
      </c>
      <c r="Z748" s="2">
        <f t="shared" si="408"/>
        <v>5</v>
      </c>
      <c r="AA748" s="4">
        <f t="shared" si="409"/>
        <v>1140000</v>
      </c>
      <c r="AB748" s="4">
        <f t="shared" si="410"/>
        <v>420000</v>
      </c>
      <c r="AC748" s="4" t="s">
        <v>29</v>
      </c>
      <c r="AD748" s="16">
        <f>IFERROR(VLOOKUP(AC748,'Kode Diskon'!$C$2:$D$9,2,0),0)</f>
        <v>0.1</v>
      </c>
      <c r="AE748" s="31">
        <f t="shared" si="411"/>
        <v>114000</v>
      </c>
      <c r="AF748" s="31">
        <f t="shared" si="412"/>
        <v>1026000</v>
      </c>
      <c r="AG748" s="31">
        <f t="shared" si="413"/>
        <v>720000</v>
      </c>
      <c r="AH748" s="31">
        <f t="shared" si="414"/>
        <v>606000</v>
      </c>
      <c r="AI748" s="4" t="s">
        <v>28</v>
      </c>
      <c r="AJ748" s="4" t="s">
        <v>9</v>
      </c>
      <c r="AK748" s="4" t="str">
        <f>IFERROR(VLOOKUP(AJ748,'Guide '!$A$13:$B$16,2,0),"-")</f>
        <v>TK</v>
      </c>
      <c r="AL748" s="4" t="s">
        <v>921</v>
      </c>
      <c r="AM748" s="40">
        <v>45560</v>
      </c>
      <c r="AN748">
        <f t="shared" si="415"/>
        <v>29</v>
      </c>
      <c r="AO748">
        <f t="shared" si="416"/>
        <v>32</v>
      </c>
      <c r="AP748">
        <f t="shared" si="417"/>
        <v>40</v>
      </c>
      <c r="AQ748">
        <f t="shared" si="418"/>
        <v>43</v>
      </c>
      <c r="AR748" s="26">
        <f t="shared" si="419"/>
        <v>56</v>
      </c>
      <c r="AS748" s="26">
        <f t="shared" si="420"/>
        <v>63</v>
      </c>
      <c r="AT748" s="21">
        <f t="shared" si="421"/>
        <v>12</v>
      </c>
      <c r="AU748" s="21">
        <f t="shared" si="422"/>
        <v>19</v>
      </c>
      <c r="AV748">
        <f t="shared" si="423"/>
        <v>73</v>
      </c>
      <c r="AW748">
        <f t="shared" si="424"/>
        <v>76</v>
      </c>
      <c r="AX748">
        <f t="shared" si="425"/>
        <v>84</v>
      </c>
      <c r="AY748">
        <f t="shared" si="426"/>
        <v>87</v>
      </c>
      <c r="AZ748" t="str">
        <f t="shared" si="427"/>
        <v>-</v>
      </c>
      <c r="BA748" t="str">
        <f t="shared" si="428"/>
        <v>-</v>
      </c>
      <c r="BB748" t="str">
        <f t="shared" si="429"/>
        <v>-</v>
      </c>
      <c r="BC748" t="str">
        <f t="shared" si="430"/>
        <v>-</v>
      </c>
      <c r="BD748" s="29" t="str">
        <f t="shared" si="431"/>
        <v>-</v>
      </c>
      <c r="BE748" s="29" t="str">
        <f t="shared" si="432"/>
        <v>-</v>
      </c>
    </row>
    <row r="749" spans="1:57" ht="15" x14ac:dyDescent="0.2">
      <c r="A749" s="2">
        <v>345</v>
      </c>
      <c r="B749" s="2" t="str">
        <f t="shared" si="397"/>
        <v>0345</v>
      </c>
      <c r="C749" t="str">
        <f t="shared" si="398"/>
        <v>ORD-TK-0345-26/09/24</v>
      </c>
      <c r="D749" s="3" t="s">
        <v>397</v>
      </c>
      <c r="E749" t="str">
        <f t="shared" si="399"/>
        <v>PW001</v>
      </c>
      <c r="F749" t="str">
        <f>INDEX(Katalog!$B$4:$B$13,MATCH('Main Data'!E749,Katalog!$C$4:$C$13,0))</f>
        <v>Dress</v>
      </c>
      <c r="G749" t="str">
        <f>VLOOKUP(E749,Katalog!$A$15:$B$25,2,0)</f>
        <v>Pakaian Wanita</v>
      </c>
      <c r="H749" t="str">
        <f t="shared" si="400"/>
        <v>4</v>
      </c>
      <c r="I749" t="str">
        <f t="shared" si="401"/>
        <v>5</v>
      </c>
      <c r="J749" s="18">
        <f>VLOOKUP(E749,Katalog!$C$3:$F$13,2,0)</f>
        <v>150000</v>
      </c>
      <c r="K749" s="18">
        <f>VLOOKUP(E749,Katalog!$C$3:$F$13,3,0)</f>
        <v>55000</v>
      </c>
      <c r="L749" t="str">
        <f t="shared" si="402"/>
        <v>SP001</v>
      </c>
      <c r="M749" t="str">
        <f>IFERROR(INDEX(Katalog!$B$4:$B$13,MATCH('Main Data'!L749,Katalog!$C$4:$C$13,0)), "-")</f>
        <v>Sneakers</v>
      </c>
      <c r="N749" t="str">
        <f>IFERROR(VLOOKUP(L749,Katalog!$A$15:$B$25,2,0),"-")</f>
        <v>Sepatu Pria</v>
      </c>
      <c r="O749" t="str">
        <f t="shared" si="403"/>
        <v>1</v>
      </c>
      <c r="P749" t="str">
        <f t="shared" si="404"/>
        <v>5</v>
      </c>
      <c r="Q749" s="18">
        <f>IFERROR(VLOOKUP(L749,Katalog!$C$3:$F$13,2,0),0)</f>
        <v>300000</v>
      </c>
      <c r="R749" s="18">
        <f>IFERROR(VLOOKUP(L749,Katalog!$C$3:$F$13,3,0),0)</f>
        <v>100000</v>
      </c>
      <c r="S749" t="str">
        <f t="shared" si="405"/>
        <v>PW001</v>
      </c>
      <c r="T749" t="str">
        <f>IFERROR(INDEX(Katalog!$B$4:$B$13,MATCH('Main Data'!S749,Katalog!$C$4:$C$13,0)),"-")</f>
        <v>Dress</v>
      </c>
      <c r="U749" t="str">
        <f>IFERROR(VLOOKUP(S749,Katalog!$A$15:$B$25,2,0),"-")</f>
        <v>Pakaian Wanita</v>
      </c>
      <c r="V749" t="str">
        <f t="shared" si="406"/>
        <v>1</v>
      </c>
      <c r="W749" s="28" t="str">
        <f t="shared" si="407"/>
        <v>2</v>
      </c>
      <c r="X749" s="18">
        <f>IFERROR(VLOOKUP(S749,Katalog!$C$3:$F$13,2,0),0)</f>
        <v>150000</v>
      </c>
      <c r="Y749" s="30">
        <f>IFERROR(VLOOKUP(S749,Katalog!$C$3:$F$13,3,0),0)</f>
        <v>55000</v>
      </c>
      <c r="Z749" s="2">
        <f t="shared" si="408"/>
        <v>6</v>
      </c>
      <c r="AA749" s="4">
        <f t="shared" si="409"/>
        <v>1050000</v>
      </c>
      <c r="AB749" s="4">
        <f t="shared" si="410"/>
        <v>375000</v>
      </c>
      <c r="AC749" s="4" t="s">
        <v>30</v>
      </c>
      <c r="AD749" s="16">
        <f>IFERROR(VLOOKUP(AC749,'Kode Diskon'!$C$2:$D$9,2,0),0)</f>
        <v>0.1</v>
      </c>
      <c r="AE749" s="31">
        <f t="shared" si="411"/>
        <v>105000</v>
      </c>
      <c r="AF749" s="31">
        <f t="shared" si="412"/>
        <v>945000</v>
      </c>
      <c r="AG749" s="31">
        <f t="shared" si="413"/>
        <v>675000</v>
      </c>
      <c r="AH749" s="31">
        <f t="shared" si="414"/>
        <v>570000</v>
      </c>
      <c r="AI749" s="4" t="s">
        <v>8</v>
      </c>
      <c r="AJ749" s="4" t="s">
        <v>9</v>
      </c>
      <c r="AK749" s="4" t="str">
        <f>IFERROR(VLOOKUP(AJ749,'Guide '!$A$13:$B$16,2,0),"-")</f>
        <v>TK</v>
      </c>
      <c r="AL749" s="4" t="s">
        <v>924</v>
      </c>
      <c r="AM749" s="40">
        <v>45561</v>
      </c>
      <c r="AN749">
        <f t="shared" si="415"/>
        <v>29</v>
      </c>
      <c r="AO749">
        <f t="shared" si="416"/>
        <v>32</v>
      </c>
      <c r="AP749">
        <f t="shared" si="417"/>
        <v>40</v>
      </c>
      <c r="AQ749">
        <f t="shared" si="418"/>
        <v>43</v>
      </c>
      <c r="AR749" s="26">
        <f t="shared" si="419"/>
        <v>56</v>
      </c>
      <c r="AS749" s="26">
        <f t="shared" si="420"/>
        <v>63</v>
      </c>
      <c r="AT749" s="21">
        <f t="shared" si="421"/>
        <v>12</v>
      </c>
      <c r="AU749" s="21">
        <f t="shared" si="422"/>
        <v>19</v>
      </c>
      <c r="AV749">
        <f t="shared" si="423"/>
        <v>73</v>
      </c>
      <c r="AW749">
        <f t="shared" si="424"/>
        <v>76</v>
      </c>
      <c r="AX749">
        <f t="shared" si="425"/>
        <v>84</v>
      </c>
      <c r="AY749">
        <f t="shared" si="426"/>
        <v>87</v>
      </c>
      <c r="AZ749">
        <f t="shared" si="427"/>
        <v>100</v>
      </c>
      <c r="BA749">
        <f t="shared" si="428"/>
        <v>107</v>
      </c>
      <c r="BB749">
        <f t="shared" si="429"/>
        <v>117</v>
      </c>
      <c r="BC749">
        <f t="shared" si="430"/>
        <v>120</v>
      </c>
      <c r="BD749" s="29">
        <f t="shared" si="431"/>
        <v>128</v>
      </c>
      <c r="BE749" s="29">
        <f t="shared" si="432"/>
        <v>131</v>
      </c>
    </row>
    <row r="750" spans="1:57" ht="15" x14ac:dyDescent="0.2">
      <c r="A750" s="2">
        <v>92</v>
      </c>
      <c r="B750" s="2" t="str">
        <f t="shared" si="397"/>
        <v>0092</v>
      </c>
      <c r="C750" t="str">
        <f t="shared" si="398"/>
        <v>ORD-TK-0092-27/09/24</v>
      </c>
      <c r="D750" s="3" t="s">
        <v>164</v>
      </c>
      <c r="E750" t="str">
        <f t="shared" si="399"/>
        <v>PP001</v>
      </c>
      <c r="F750" t="str">
        <f>INDEX(Katalog!$B$4:$B$13,MATCH('Main Data'!E750,Katalog!$C$4:$C$13,0))</f>
        <v>Kaos Polo</v>
      </c>
      <c r="G750" t="str">
        <f>VLOOKUP(E750,Katalog!$A$15:$B$25,2,0)</f>
        <v>Pakaian Pria</v>
      </c>
      <c r="H750" t="str">
        <f t="shared" si="400"/>
        <v>3</v>
      </c>
      <c r="I750" t="str">
        <f t="shared" si="401"/>
        <v>1</v>
      </c>
      <c r="J750" s="18">
        <f>VLOOKUP(E750,Katalog!$C$3:$F$13,2,0)</f>
        <v>80000</v>
      </c>
      <c r="K750" s="18">
        <f>VLOOKUP(E750,Katalog!$C$3:$F$13,3,0)</f>
        <v>30000</v>
      </c>
      <c r="L750" t="str">
        <f t="shared" si="402"/>
        <v>PW003</v>
      </c>
      <c r="M750" t="str">
        <f>IFERROR(INDEX(Katalog!$B$4:$B$13,MATCH('Main Data'!L750,Katalog!$C$4:$C$13,0)), "-")</f>
        <v>Kaftan</v>
      </c>
      <c r="N750" t="str">
        <f>IFERROR(VLOOKUP(L750,Katalog!$A$15:$B$25,2,0),"-")</f>
        <v>Pakaian Wanita</v>
      </c>
      <c r="O750" t="str">
        <f t="shared" si="403"/>
        <v>1</v>
      </c>
      <c r="P750" t="str">
        <f t="shared" si="404"/>
        <v>2</v>
      </c>
      <c r="Q750" s="18">
        <f>IFERROR(VLOOKUP(L750,Katalog!$C$3:$F$13,2,0),0)</f>
        <v>200000</v>
      </c>
      <c r="R750" s="18">
        <f>IFERROR(VLOOKUP(L750,Katalog!$C$3:$F$13,3,0),0)</f>
        <v>100000</v>
      </c>
      <c r="S750" t="str">
        <f t="shared" si="405"/>
        <v>-</v>
      </c>
      <c r="T750" t="str">
        <f>IFERROR(INDEX(Katalog!$B$4:$B$13,MATCH('Main Data'!S750,Katalog!$C$4:$C$13,0)),"-")</f>
        <v>-</v>
      </c>
      <c r="U750" t="str">
        <f>IFERROR(VLOOKUP(S750,Katalog!$A$15:$B$25,2,0),"-")</f>
        <v>-</v>
      </c>
      <c r="V750">
        <f t="shared" si="406"/>
        <v>0</v>
      </c>
      <c r="W750" s="28" t="str">
        <f t="shared" si="407"/>
        <v>-</v>
      </c>
      <c r="X750" s="18">
        <f>IFERROR(VLOOKUP(S750,Katalog!$C$3:$F$13,2,0),0)</f>
        <v>0</v>
      </c>
      <c r="Y750" s="30">
        <f>IFERROR(VLOOKUP(S750,Katalog!$C$3:$F$13,3,0),0)</f>
        <v>0</v>
      </c>
      <c r="Z750" s="2">
        <f t="shared" si="408"/>
        <v>4</v>
      </c>
      <c r="AA750" s="4">
        <f t="shared" si="409"/>
        <v>440000</v>
      </c>
      <c r="AB750" s="4">
        <f t="shared" si="410"/>
        <v>190000</v>
      </c>
      <c r="AC750" s="4" t="s">
        <v>10</v>
      </c>
      <c r="AD750" s="16">
        <f>IFERROR(VLOOKUP(AC750,'Kode Diskon'!$C$2:$D$9,2,0),0)</f>
        <v>0</v>
      </c>
      <c r="AE750" s="31">
        <f t="shared" si="411"/>
        <v>0</v>
      </c>
      <c r="AF750" s="31">
        <f t="shared" si="412"/>
        <v>440000</v>
      </c>
      <c r="AG750" s="31">
        <f t="shared" si="413"/>
        <v>250000</v>
      </c>
      <c r="AH750" s="31">
        <f t="shared" si="414"/>
        <v>250000</v>
      </c>
      <c r="AI750" s="4" t="s">
        <v>10</v>
      </c>
      <c r="AJ750" s="4" t="s">
        <v>9</v>
      </c>
      <c r="AK750" s="4" t="str">
        <f>IFERROR(VLOOKUP(AJ750,'Guide '!$A$13:$B$16,2,0),"-")</f>
        <v>TK</v>
      </c>
      <c r="AL750" s="4" t="s">
        <v>925</v>
      </c>
      <c r="AM750" s="40">
        <v>45562</v>
      </c>
      <c r="AN750">
        <f t="shared" si="415"/>
        <v>29</v>
      </c>
      <c r="AO750">
        <f t="shared" si="416"/>
        <v>32</v>
      </c>
      <c r="AP750">
        <f t="shared" si="417"/>
        <v>40</v>
      </c>
      <c r="AQ750">
        <f t="shared" si="418"/>
        <v>43</v>
      </c>
      <c r="AR750" s="26">
        <f t="shared" si="419"/>
        <v>56</v>
      </c>
      <c r="AS750" s="26">
        <f t="shared" si="420"/>
        <v>63</v>
      </c>
      <c r="AT750" s="21">
        <f t="shared" si="421"/>
        <v>12</v>
      </c>
      <c r="AU750" s="21">
        <f t="shared" si="422"/>
        <v>19</v>
      </c>
      <c r="AV750">
        <f t="shared" si="423"/>
        <v>73</v>
      </c>
      <c r="AW750">
        <f t="shared" si="424"/>
        <v>76</v>
      </c>
      <c r="AX750">
        <f t="shared" si="425"/>
        <v>84</v>
      </c>
      <c r="AY750">
        <f t="shared" si="426"/>
        <v>87</v>
      </c>
      <c r="AZ750" t="str">
        <f t="shared" si="427"/>
        <v>-</v>
      </c>
      <c r="BA750" t="str">
        <f t="shared" si="428"/>
        <v>-</v>
      </c>
      <c r="BB750" t="str">
        <f t="shared" si="429"/>
        <v>-</v>
      </c>
      <c r="BC750" t="str">
        <f t="shared" si="430"/>
        <v>-</v>
      </c>
      <c r="BD750" s="29" t="str">
        <f t="shared" si="431"/>
        <v>-</v>
      </c>
      <c r="BE750" s="29" t="str">
        <f t="shared" si="432"/>
        <v>-</v>
      </c>
    </row>
    <row r="751" spans="1:57" ht="15" x14ac:dyDescent="0.2">
      <c r="A751" s="2">
        <v>551</v>
      </c>
      <c r="B751" s="2" t="str">
        <f t="shared" si="397"/>
        <v>0551</v>
      </c>
      <c r="C751" t="str">
        <f t="shared" si="398"/>
        <v>ORD-SP-0551-27/09/24</v>
      </c>
      <c r="D751" s="3" t="s">
        <v>574</v>
      </c>
      <c r="E751" t="str">
        <f t="shared" si="399"/>
        <v>PP001</v>
      </c>
      <c r="F751" t="str">
        <f>INDEX(Katalog!$B$4:$B$13,MATCH('Main Data'!E751,Katalog!$C$4:$C$13,0))</f>
        <v>Kaos Polo</v>
      </c>
      <c r="G751" t="str">
        <f>VLOOKUP(E751,Katalog!$A$15:$B$25,2,0)</f>
        <v>Pakaian Pria</v>
      </c>
      <c r="H751" t="str">
        <f t="shared" si="400"/>
        <v>3</v>
      </c>
      <c r="I751" t="str">
        <f t="shared" si="401"/>
        <v>3</v>
      </c>
      <c r="J751" s="18">
        <f>VLOOKUP(E751,Katalog!$C$3:$F$13,2,0)</f>
        <v>80000</v>
      </c>
      <c r="K751" s="18">
        <f>VLOOKUP(E751,Katalog!$C$3:$F$13,3,0)</f>
        <v>30000</v>
      </c>
      <c r="L751" t="str">
        <f t="shared" si="402"/>
        <v>PW003</v>
      </c>
      <c r="M751" t="str">
        <f>IFERROR(INDEX(Katalog!$B$4:$B$13,MATCH('Main Data'!L751,Katalog!$C$4:$C$13,0)), "-")</f>
        <v>Kaftan</v>
      </c>
      <c r="N751" t="str">
        <f>IFERROR(VLOOKUP(L751,Katalog!$A$15:$B$25,2,0),"-")</f>
        <v>Pakaian Wanita</v>
      </c>
      <c r="O751" t="str">
        <f t="shared" si="403"/>
        <v>1</v>
      </c>
      <c r="P751" t="str">
        <f t="shared" si="404"/>
        <v>2</v>
      </c>
      <c r="Q751" s="18">
        <f>IFERROR(VLOOKUP(L751,Katalog!$C$3:$F$13,2,0),0)</f>
        <v>200000</v>
      </c>
      <c r="R751" s="18">
        <f>IFERROR(VLOOKUP(L751,Katalog!$C$3:$F$13,3,0),0)</f>
        <v>100000</v>
      </c>
      <c r="S751" t="str">
        <f t="shared" si="405"/>
        <v>PW002</v>
      </c>
      <c r="T751" t="str">
        <f>IFERROR(INDEX(Katalog!$B$4:$B$13,MATCH('Main Data'!S751,Katalog!$C$4:$C$13,0)),"-")</f>
        <v>Blouse</v>
      </c>
      <c r="U751" t="str">
        <f>IFERROR(VLOOKUP(S751,Katalog!$A$15:$B$25,2,0),"-")</f>
        <v>Pakaian Wanita</v>
      </c>
      <c r="V751" t="str">
        <f t="shared" si="406"/>
        <v>1</v>
      </c>
      <c r="W751" s="28" t="str">
        <f t="shared" si="407"/>
        <v>5</v>
      </c>
      <c r="X751" s="18">
        <f>IFERROR(VLOOKUP(S751,Katalog!$C$3:$F$13,2,0),0)</f>
        <v>125000</v>
      </c>
      <c r="Y751" s="30">
        <f>IFERROR(VLOOKUP(S751,Katalog!$C$3:$F$13,3,0),0)</f>
        <v>50000</v>
      </c>
      <c r="Z751" s="2">
        <f t="shared" si="408"/>
        <v>5</v>
      </c>
      <c r="AA751" s="4">
        <f t="shared" si="409"/>
        <v>565000</v>
      </c>
      <c r="AB751" s="4">
        <f t="shared" si="410"/>
        <v>240000</v>
      </c>
      <c r="AC751" s="4" t="s">
        <v>7</v>
      </c>
      <c r="AD751" s="16">
        <f>IFERROR(VLOOKUP(AC751,'Kode Diskon'!$C$2:$D$9,2,0),0)</f>
        <v>0.2</v>
      </c>
      <c r="AE751" s="31">
        <f t="shared" si="411"/>
        <v>113000</v>
      </c>
      <c r="AF751" s="31">
        <f t="shared" si="412"/>
        <v>452000</v>
      </c>
      <c r="AG751" s="31">
        <f t="shared" si="413"/>
        <v>325000</v>
      </c>
      <c r="AH751" s="31">
        <f t="shared" si="414"/>
        <v>212000</v>
      </c>
      <c r="AI751" s="4" t="s">
        <v>8</v>
      </c>
      <c r="AJ751" s="4" t="s">
        <v>6</v>
      </c>
      <c r="AK751" s="4" t="str">
        <f>IFERROR(VLOOKUP(AJ751,'Guide '!$A$13:$B$16,2,0),"-")</f>
        <v>SP</v>
      </c>
      <c r="AL751" s="4" t="s">
        <v>922</v>
      </c>
      <c r="AM751" s="40">
        <v>45562</v>
      </c>
      <c r="AN751">
        <f t="shared" si="415"/>
        <v>29</v>
      </c>
      <c r="AO751">
        <f t="shared" si="416"/>
        <v>32</v>
      </c>
      <c r="AP751">
        <f t="shared" si="417"/>
        <v>40</v>
      </c>
      <c r="AQ751">
        <f t="shared" si="418"/>
        <v>43</v>
      </c>
      <c r="AR751" s="26">
        <f t="shared" si="419"/>
        <v>56</v>
      </c>
      <c r="AS751" s="26">
        <f t="shared" si="420"/>
        <v>63</v>
      </c>
      <c r="AT751" s="21">
        <f t="shared" si="421"/>
        <v>12</v>
      </c>
      <c r="AU751" s="21">
        <f t="shared" si="422"/>
        <v>19</v>
      </c>
      <c r="AV751">
        <f t="shared" si="423"/>
        <v>73</v>
      </c>
      <c r="AW751">
        <f t="shared" si="424"/>
        <v>76</v>
      </c>
      <c r="AX751">
        <f t="shared" si="425"/>
        <v>84</v>
      </c>
      <c r="AY751">
        <f t="shared" si="426"/>
        <v>87</v>
      </c>
      <c r="AZ751">
        <f t="shared" si="427"/>
        <v>100</v>
      </c>
      <c r="BA751">
        <f t="shared" si="428"/>
        <v>107</v>
      </c>
      <c r="BB751">
        <f t="shared" si="429"/>
        <v>117</v>
      </c>
      <c r="BC751">
        <f t="shared" si="430"/>
        <v>120</v>
      </c>
      <c r="BD751" s="29">
        <f t="shared" si="431"/>
        <v>128</v>
      </c>
      <c r="BE751" s="29">
        <f t="shared" si="432"/>
        <v>131</v>
      </c>
    </row>
    <row r="752" spans="1:57" ht="15" x14ac:dyDescent="0.2">
      <c r="A752" s="2">
        <v>713</v>
      </c>
      <c r="B752" s="2" t="str">
        <f t="shared" si="397"/>
        <v>0713</v>
      </c>
      <c r="C752" t="str">
        <f t="shared" si="398"/>
        <v>ORD-SP-0713-27/09/24</v>
      </c>
      <c r="D752" s="3" t="s">
        <v>702</v>
      </c>
      <c r="E752" t="str">
        <f t="shared" si="399"/>
        <v>PP002</v>
      </c>
      <c r="F752" t="str">
        <f>INDEX(Katalog!$B$4:$B$13,MATCH('Main Data'!E752,Katalog!$C$4:$C$13,0))</f>
        <v>Celana Pendek</v>
      </c>
      <c r="G752" t="str">
        <f>VLOOKUP(E752,Katalog!$A$15:$B$25,2,0)</f>
        <v>Pakaian Pria</v>
      </c>
      <c r="H752" t="str">
        <f t="shared" si="400"/>
        <v>4</v>
      </c>
      <c r="I752" t="str">
        <f t="shared" si="401"/>
        <v>1</v>
      </c>
      <c r="J752" s="18">
        <f>VLOOKUP(E752,Katalog!$C$3:$F$13,2,0)</f>
        <v>60000</v>
      </c>
      <c r="K752" s="18">
        <f>VLOOKUP(E752,Katalog!$C$3:$F$13,3,0)</f>
        <v>25000</v>
      </c>
      <c r="L752" t="str">
        <f t="shared" si="402"/>
        <v>PP001</v>
      </c>
      <c r="M752" t="str">
        <f>IFERROR(INDEX(Katalog!$B$4:$B$13,MATCH('Main Data'!L752,Katalog!$C$4:$C$13,0)), "-")</f>
        <v>Kaos Polo</v>
      </c>
      <c r="N752" t="str">
        <f>IFERROR(VLOOKUP(L752,Katalog!$A$15:$B$25,2,0),"-")</f>
        <v>Pakaian Pria</v>
      </c>
      <c r="O752" t="str">
        <f t="shared" si="403"/>
        <v>3</v>
      </c>
      <c r="P752" t="str">
        <f t="shared" si="404"/>
        <v>2</v>
      </c>
      <c r="Q752" s="18">
        <f>IFERROR(VLOOKUP(L752,Katalog!$C$3:$F$13,2,0),0)</f>
        <v>80000</v>
      </c>
      <c r="R752" s="18">
        <f>IFERROR(VLOOKUP(L752,Katalog!$C$3:$F$13,3,0),0)</f>
        <v>30000</v>
      </c>
      <c r="S752" t="str">
        <f t="shared" si="405"/>
        <v>-</v>
      </c>
      <c r="T752" t="str">
        <f>IFERROR(INDEX(Katalog!$B$4:$B$13,MATCH('Main Data'!S752,Katalog!$C$4:$C$13,0)),"-")</f>
        <v>-</v>
      </c>
      <c r="U752" t="str">
        <f>IFERROR(VLOOKUP(S752,Katalog!$A$15:$B$25,2,0),"-")</f>
        <v>-</v>
      </c>
      <c r="V752">
        <f t="shared" si="406"/>
        <v>0</v>
      </c>
      <c r="W752" s="28" t="str">
        <f t="shared" si="407"/>
        <v>-</v>
      </c>
      <c r="X752" s="18">
        <f>IFERROR(VLOOKUP(S752,Katalog!$C$3:$F$13,2,0),0)</f>
        <v>0</v>
      </c>
      <c r="Y752" s="30">
        <f>IFERROR(VLOOKUP(S752,Katalog!$C$3:$F$13,3,0),0)</f>
        <v>0</v>
      </c>
      <c r="Z752" s="2">
        <f t="shared" si="408"/>
        <v>7</v>
      </c>
      <c r="AA752" s="4">
        <f t="shared" si="409"/>
        <v>480000</v>
      </c>
      <c r="AB752" s="4">
        <f t="shared" si="410"/>
        <v>190000</v>
      </c>
      <c r="AC752" s="4" t="s">
        <v>12</v>
      </c>
      <c r="AD752" s="16">
        <f>IFERROR(VLOOKUP(AC752,'Kode Diskon'!$C$2:$D$9,2,0),0)</f>
        <v>0.15</v>
      </c>
      <c r="AE752" s="31">
        <f t="shared" si="411"/>
        <v>72000</v>
      </c>
      <c r="AF752" s="31">
        <f t="shared" si="412"/>
        <v>408000</v>
      </c>
      <c r="AG752" s="31">
        <f t="shared" si="413"/>
        <v>290000</v>
      </c>
      <c r="AH752" s="31">
        <f t="shared" si="414"/>
        <v>218000</v>
      </c>
      <c r="AI752" s="4" t="s">
        <v>28</v>
      </c>
      <c r="AJ752" s="4" t="s">
        <v>6</v>
      </c>
      <c r="AK752" s="4" t="str">
        <f>IFERROR(VLOOKUP(AJ752,'Guide '!$A$13:$B$16,2,0),"-")</f>
        <v>SP</v>
      </c>
      <c r="AL752" s="4" t="s">
        <v>923</v>
      </c>
      <c r="AM752" s="40">
        <v>45562</v>
      </c>
      <c r="AN752">
        <f t="shared" si="415"/>
        <v>29</v>
      </c>
      <c r="AO752">
        <f t="shared" si="416"/>
        <v>32</v>
      </c>
      <c r="AP752">
        <f t="shared" si="417"/>
        <v>40</v>
      </c>
      <c r="AQ752">
        <f t="shared" si="418"/>
        <v>43</v>
      </c>
      <c r="AR752" s="26">
        <f t="shared" si="419"/>
        <v>56</v>
      </c>
      <c r="AS752" s="26">
        <f t="shared" si="420"/>
        <v>63</v>
      </c>
      <c r="AT752" s="21">
        <f t="shared" si="421"/>
        <v>12</v>
      </c>
      <c r="AU752" s="21">
        <f t="shared" si="422"/>
        <v>19</v>
      </c>
      <c r="AV752">
        <f t="shared" si="423"/>
        <v>73</v>
      </c>
      <c r="AW752">
        <f t="shared" si="424"/>
        <v>76</v>
      </c>
      <c r="AX752">
        <f t="shared" si="425"/>
        <v>84</v>
      </c>
      <c r="AY752">
        <f t="shared" si="426"/>
        <v>87</v>
      </c>
      <c r="AZ752" t="str">
        <f t="shared" si="427"/>
        <v>-</v>
      </c>
      <c r="BA752" t="str">
        <f t="shared" si="428"/>
        <v>-</v>
      </c>
      <c r="BB752" t="str">
        <f t="shared" si="429"/>
        <v>-</v>
      </c>
      <c r="BC752" t="str">
        <f t="shared" si="430"/>
        <v>-</v>
      </c>
      <c r="BD752" s="29" t="str">
        <f t="shared" si="431"/>
        <v>-</v>
      </c>
      <c r="BE752" s="29" t="str">
        <f t="shared" si="432"/>
        <v>-</v>
      </c>
    </row>
    <row r="753" spans="1:57" ht="15" x14ac:dyDescent="0.2">
      <c r="A753" s="2">
        <v>747</v>
      </c>
      <c r="B753" s="2" t="str">
        <f t="shared" si="397"/>
        <v>0747</v>
      </c>
      <c r="C753" t="str">
        <f t="shared" si="398"/>
        <v>ORD-SP-0747-27/09/24</v>
      </c>
      <c r="D753" s="3" t="s">
        <v>729</v>
      </c>
      <c r="E753" t="str">
        <f t="shared" si="399"/>
        <v>PW003</v>
      </c>
      <c r="F753" t="str">
        <f>INDEX(Katalog!$B$4:$B$13,MATCH('Main Data'!E753,Katalog!$C$4:$C$13,0))</f>
        <v>Kaftan</v>
      </c>
      <c r="G753" t="str">
        <f>VLOOKUP(E753,Katalog!$A$15:$B$25,2,0)</f>
        <v>Pakaian Wanita</v>
      </c>
      <c r="H753" t="str">
        <f t="shared" si="400"/>
        <v>2</v>
      </c>
      <c r="I753" t="str">
        <f t="shared" si="401"/>
        <v>4</v>
      </c>
      <c r="J753" s="18">
        <f>VLOOKUP(E753,Katalog!$C$3:$F$13,2,0)</f>
        <v>200000</v>
      </c>
      <c r="K753" s="18">
        <f>VLOOKUP(E753,Katalog!$C$3:$F$13,3,0)</f>
        <v>100000</v>
      </c>
      <c r="L753" t="str">
        <f t="shared" si="402"/>
        <v>PW001</v>
      </c>
      <c r="M753" t="str">
        <f>IFERROR(INDEX(Katalog!$B$4:$B$13,MATCH('Main Data'!L753,Katalog!$C$4:$C$13,0)), "-")</f>
        <v>Dress</v>
      </c>
      <c r="N753" t="str">
        <f>IFERROR(VLOOKUP(L753,Katalog!$A$15:$B$25,2,0),"-")</f>
        <v>Pakaian Wanita</v>
      </c>
      <c r="O753" t="str">
        <f t="shared" si="403"/>
        <v>1</v>
      </c>
      <c r="P753" t="str">
        <f t="shared" si="404"/>
        <v>3</v>
      </c>
      <c r="Q753" s="18">
        <f>IFERROR(VLOOKUP(L753,Katalog!$C$3:$F$13,2,0),0)</f>
        <v>150000</v>
      </c>
      <c r="R753" s="18">
        <f>IFERROR(VLOOKUP(L753,Katalog!$C$3:$F$13,3,0),0)</f>
        <v>55000</v>
      </c>
      <c r="S753" t="str">
        <f t="shared" si="405"/>
        <v>SW001</v>
      </c>
      <c r="T753" t="str">
        <f>IFERROR(INDEX(Katalog!$B$4:$B$13,MATCH('Main Data'!S753,Katalog!$C$4:$C$13,0)),"-")</f>
        <v>Flat Shoes</v>
      </c>
      <c r="U753" t="str">
        <f>IFERROR(VLOOKUP(S753,Katalog!$A$15:$B$25,2,0),"-")</f>
        <v>Sepatu Wanita</v>
      </c>
      <c r="V753" t="str">
        <f t="shared" si="406"/>
        <v>3</v>
      </c>
      <c r="W753" s="28" t="str">
        <f t="shared" si="407"/>
        <v>5</v>
      </c>
      <c r="X753" s="18">
        <f>IFERROR(VLOOKUP(S753,Katalog!$C$3:$F$13,2,0),0)</f>
        <v>150000</v>
      </c>
      <c r="Y753" s="30">
        <f>IFERROR(VLOOKUP(S753,Katalog!$C$3:$F$13,3,0),0)</f>
        <v>70000</v>
      </c>
      <c r="Z753" s="2">
        <f t="shared" si="408"/>
        <v>6</v>
      </c>
      <c r="AA753" s="4">
        <f t="shared" si="409"/>
        <v>1000000</v>
      </c>
      <c r="AB753" s="4">
        <f t="shared" si="410"/>
        <v>465000</v>
      </c>
      <c r="AC753" s="4" t="s">
        <v>7</v>
      </c>
      <c r="AD753" s="16">
        <f>IFERROR(VLOOKUP(AC753,'Kode Diskon'!$C$2:$D$9,2,0),0)</f>
        <v>0.2</v>
      </c>
      <c r="AE753" s="31">
        <f t="shared" si="411"/>
        <v>200000</v>
      </c>
      <c r="AF753" s="31">
        <f t="shared" si="412"/>
        <v>800000</v>
      </c>
      <c r="AG753" s="31">
        <f t="shared" si="413"/>
        <v>535000</v>
      </c>
      <c r="AH753" s="31">
        <f t="shared" si="414"/>
        <v>335000</v>
      </c>
      <c r="AI753" s="4" t="s">
        <v>8</v>
      </c>
      <c r="AJ753" s="4" t="s">
        <v>6</v>
      </c>
      <c r="AK753" s="4" t="str">
        <f>IFERROR(VLOOKUP(AJ753,'Guide '!$A$13:$B$16,2,0),"-")</f>
        <v>SP</v>
      </c>
      <c r="AL753" s="4" t="s">
        <v>924</v>
      </c>
      <c r="AM753" s="40">
        <v>45562</v>
      </c>
      <c r="AN753">
        <f t="shared" si="415"/>
        <v>29</v>
      </c>
      <c r="AO753">
        <f t="shared" si="416"/>
        <v>32</v>
      </c>
      <c r="AP753">
        <f t="shared" si="417"/>
        <v>40</v>
      </c>
      <c r="AQ753">
        <f t="shared" si="418"/>
        <v>43</v>
      </c>
      <c r="AR753" s="26">
        <f t="shared" si="419"/>
        <v>56</v>
      </c>
      <c r="AS753" s="26">
        <f t="shared" si="420"/>
        <v>63</v>
      </c>
      <c r="AT753" s="21">
        <f t="shared" si="421"/>
        <v>12</v>
      </c>
      <c r="AU753" s="21">
        <f t="shared" si="422"/>
        <v>19</v>
      </c>
      <c r="AV753">
        <f t="shared" si="423"/>
        <v>73</v>
      </c>
      <c r="AW753">
        <f t="shared" si="424"/>
        <v>76</v>
      </c>
      <c r="AX753">
        <f t="shared" si="425"/>
        <v>84</v>
      </c>
      <c r="AY753">
        <f t="shared" si="426"/>
        <v>87</v>
      </c>
      <c r="AZ753">
        <f t="shared" si="427"/>
        <v>100</v>
      </c>
      <c r="BA753">
        <f t="shared" si="428"/>
        <v>107</v>
      </c>
      <c r="BB753">
        <f t="shared" si="429"/>
        <v>117</v>
      </c>
      <c r="BC753">
        <f t="shared" si="430"/>
        <v>120</v>
      </c>
      <c r="BD753" s="29">
        <f t="shared" si="431"/>
        <v>128</v>
      </c>
      <c r="BE753" s="29">
        <f t="shared" si="432"/>
        <v>131</v>
      </c>
    </row>
    <row r="754" spans="1:57" ht="15" x14ac:dyDescent="0.2">
      <c r="A754" s="2">
        <v>765</v>
      </c>
      <c r="B754" s="2" t="str">
        <f t="shared" si="397"/>
        <v>0765</v>
      </c>
      <c r="C754" t="str">
        <f t="shared" si="398"/>
        <v>ORD-SP-0765-27/09/24</v>
      </c>
      <c r="D754" s="3" t="s">
        <v>743</v>
      </c>
      <c r="E754" t="str">
        <f t="shared" si="399"/>
        <v>PP001</v>
      </c>
      <c r="F754" t="str">
        <f>INDEX(Katalog!$B$4:$B$13,MATCH('Main Data'!E754,Katalog!$C$4:$C$13,0))</f>
        <v>Kaos Polo</v>
      </c>
      <c r="G754" t="str">
        <f>VLOOKUP(E754,Katalog!$A$15:$B$25,2,0)</f>
        <v>Pakaian Pria</v>
      </c>
      <c r="H754" t="str">
        <f t="shared" si="400"/>
        <v>4</v>
      </c>
      <c r="I754" t="str">
        <f t="shared" si="401"/>
        <v>1</v>
      </c>
      <c r="J754" s="18">
        <f>VLOOKUP(E754,Katalog!$C$3:$F$13,2,0)</f>
        <v>80000</v>
      </c>
      <c r="K754" s="18">
        <f>VLOOKUP(E754,Katalog!$C$3:$F$13,3,0)</f>
        <v>30000</v>
      </c>
      <c r="L754" t="str">
        <f t="shared" si="402"/>
        <v>PP002</v>
      </c>
      <c r="M754" t="str">
        <f>IFERROR(INDEX(Katalog!$B$4:$B$13,MATCH('Main Data'!L754,Katalog!$C$4:$C$13,0)), "-")</f>
        <v>Celana Pendek</v>
      </c>
      <c r="N754" t="str">
        <f>IFERROR(VLOOKUP(L754,Katalog!$A$15:$B$25,2,0),"-")</f>
        <v>Pakaian Pria</v>
      </c>
      <c r="O754" t="str">
        <f t="shared" si="403"/>
        <v>1</v>
      </c>
      <c r="P754" t="str">
        <f t="shared" si="404"/>
        <v>4</v>
      </c>
      <c r="Q754" s="18">
        <f>IFERROR(VLOOKUP(L754,Katalog!$C$3:$F$13,2,0),0)</f>
        <v>60000</v>
      </c>
      <c r="R754" s="18">
        <f>IFERROR(VLOOKUP(L754,Katalog!$C$3:$F$13,3,0),0)</f>
        <v>25000</v>
      </c>
      <c r="S754" t="str">
        <f t="shared" si="405"/>
        <v>-</v>
      </c>
      <c r="T754" t="str">
        <f>IFERROR(INDEX(Katalog!$B$4:$B$13,MATCH('Main Data'!S754,Katalog!$C$4:$C$13,0)),"-")</f>
        <v>-</v>
      </c>
      <c r="U754" t="str">
        <f>IFERROR(VLOOKUP(S754,Katalog!$A$15:$B$25,2,0),"-")</f>
        <v>-</v>
      </c>
      <c r="V754">
        <f t="shared" si="406"/>
        <v>0</v>
      </c>
      <c r="W754" s="28" t="str">
        <f t="shared" si="407"/>
        <v>-</v>
      </c>
      <c r="X754" s="18">
        <f>IFERROR(VLOOKUP(S754,Katalog!$C$3:$F$13,2,0),0)</f>
        <v>0</v>
      </c>
      <c r="Y754" s="30">
        <f>IFERROR(VLOOKUP(S754,Katalog!$C$3:$F$13,3,0),0)</f>
        <v>0</v>
      </c>
      <c r="Z754" s="2">
        <f t="shared" si="408"/>
        <v>5</v>
      </c>
      <c r="AA754" s="4">
        <f t="shared" si="409"/>
        <v>380000</v>
      </c>
      <c r="AB754" s="4">
        <f t="shared" si="410"/>
        <v>145000</v>
      </c>
      <c r="AC754" s="4" t="s">
        <v>7</v>
      </c>
      <c r="AD754" s="16">
        <f>IFERROR(VLOOKUP(AC754,'Kode Diskon'!$C$2:$D$9,2,0),0)</f>
        <v>0.2</v>
      </c>
      <c r="AE754" s="31">
        <f t="shared" si="411"/>
        <v>76000</v>
      </c>
      <c r="AF754" s="31">
        <f t="shared" si="412"/>
        <v>304000</v>
      </c>
      <c r="AG754" s="31">
        <f t="shared" si="413"/>
        <v>235000</v>
      </c>
      <c r="AH754" s="31">
        <f t="shared" si="414"/>
        <v>159000</v>
      </c>
      <c r="AI754" s="4" t="s">
        <v>8</v>
      </c>
      <c r="AJ754" s="4" t="s">
        <v>6</v>
      </c>
      <c r="AK754" s="4" t="str">
        <f>IFERROR(VLOOKUP(AJ754,'Guide '!$A$13:$B$16,2,0),"-")</f>
        <v>SP</v>
      </c>
      <c r="AL754" s="4" t="s">
        <v>925</v>
      </c>
      <c r="AM754" s="40">
        <v>45562</v>
      </c>
      <c r="AN754">
        <f t="shared" si="415"/>
        <v>29</v>
      </c>
      <c r="AO754">
        <f t="shared" si="416"/>
        <v>32</v>
      </c>
      <c r="AP754">
        <f t="shared" si="417"/>
        <v>40</v>
      </c>
      <c r="AQ754">
        <f t="shared" si="418"/>
        <v>43</v>
      </c>
      <c r="AR754" s="26">
        <f t="shared" si="419"/>
        <v>56</v>
      </c>
      <c r="AS754" s="26">
        <f t="shared" si="420"/>
        <v>63</v>
      </c>
      <c r="AT754" s="21">
        <f t="shared" si="421"/>
        <v>12</v>
      </c>
      <c r="AU754" s="21">
        <f t="shared" si="422"/>
        <v>19</v>
      </c>
      <c r="AV754">
        <f t="shared" si="423"/>
        <v>73</v>
      </c>
      <c r="AW754">
        <f t="shared" si="424"/>
        <v>76</v>
      </c>
      <c r="AX754">
        <f t="shared" si="425"/>
        <v>84</v>
      </c>
      <c r="AY754">
        <f t="shared" si="426"/>
        <v>87</v>
      </c>
      <c r="AZ754" t="str">
        <f t="shared" si="427"/>
        <v>-</v>
      </c>
      <c r="BA754" t="str">
        <f t="shared" si="428"/>
        <v>-</v>
      </c>
      <c r="BB754" t="str">
        <f t="shared" si="429"/>
        <v>-</v>
      </c>
      <c r="BC754" t="str">
        <f t="shared" si="430"/>
        <v>-</v>
      </c>
      <c r="BD754" s="29" t="str">
        <f t="shared" si="431"/>
        <v>-</v>
      </c>
      <c r="BE754" s="29" t="str">
        <f t="shared" si="432"/>
        <v>-</v>
      </c>
    </row>
    <row r="755" spans="1:57" ht="15" x14ac:dyDescent="0.2">
      <c r="A755" s="2">
        <v>854</v>
      </c>
      <c r="B755" s="2" t="str">
        <f t="shared" si="397"/>
        <v>0854</v>
      </c>
      <c r="C755" t="str">
        <f t="shared" si="398"/>
        <v>ORD-TK-0854-27/09/24</v>
      </c>
      <c r="D755" s="3" t="s">
        <v>464</v>
      </c>
      <c r="E755" t="str">
        <f t="shared" si="399"/>
        <v>PW003</v>
      </c>
      <c r="F755" t="str">
        <f>INDEX(Katalog!$B$4:$B$13,MATCH('Main Data'!E755,Katalog!$C$4:$C$13,0))</f>
        <v>Kaftan</v>
      </c>
      <c r="G755" t="str">
        <f>VLOOKUP(E755,Katalog!$A$15:$B$25,2,0)</f>
        <v>Pakaian Wanita</v>
      </c>
      <c r="H755" t="str">
        <f t="shared" si="400"/>
        <v>1</v>
      </c>
      <c r="I755" t="str">
        <f t="shared" si="401"/>
        <v>4</v>
      </c>
      <c r="J755" s="18">
        <f>VLOOKUP(E755,Katalog!$C$3:$F$13,2,0)</f>
        <v>200000</v>
      </c>
      <c r="K755" s="18">
        <f>VLOOKUP(E755,Katalog!$C$3:$F$13,3,0)</f>
        <v>100000</v>
      </c>
      <c r="L755" t="str">
        <f t="shared" si="402"/>
        <v>-</v>
      </c>
      <c r="M755" t="str">
        <f>IFERROR(INDEX(Katalog!$B$4:$B$13,MATCH('Main Data'!L755,Katalog!$C$4:$C$13,0)), "-")</f>
        <v>-</v>
      </c>
      <c r="N755" t="str">
        <f>IFERROR(VLOOKUP(L755,Katalog!$A$15:$B$25,2,0),"-")</f>
        <v>-</v>
      </c>
      <c r="O755">
        <f t="shared" si="403"/>
        <v>0</v>
      </c>
      <c r="P755" t="str">
        <f t="shared" si="404"/>
        <v>-</v>
      </c>
      <c r="Q755" s="18">
        <f>IFERROR(VLOOKUP(L755,Katalog!$C$3:$F$13,2,0),0)</f>
        <v>0</v>
      </c>
      <c r="R755" s="18">
        <f>IFERROR(VLOOKUP(L755,Katalog!$C$3:$F$13,3,0),0)</f>
        <v>0</v>
      </c>
      <c r="S755" t="str">
        <f t="shared" si="405"/>
        <v>-</v>
      </c>
      <c r="T755" t="str">
        <f>IFERROR(INDEX(Katalog!$B$4:$B$13,MATCH('Main Data'!S755,Katalog!$C$4:$C$13,0)),"-")</f>
        <v>-</v>
      </c>
      <c r="U755" t="str">
        <f>IFERROR(VLOOKUP(S755,Katalog!$A$15:$B$25,2,0),"-")</f>
        <v>-</v>
      </c>
      <c r="V755">
        <f t="shared" si="406"/>
        <v>0</v>
      </c>
      <c r="W755" s="28" t="str">
        <f t="shared" si="407"/>
        <v>-</v>
      </c>
      <c r="X755" s="18">
        <f>IFERROR(VLOOKUP(S755,Katalog!$C$3:$F$13,2,0),0)</f>
        <v>0</v>
      </c>
      <c r="Y755" s="30">
        <f>IFERROR(VLOOKUP(S755,Katalog!$C$3:$F$13,3,0),0)</f>
        <v>0</v>
      </c>
      <c r="Z755" s="2">
        <f t="shared" si="408"/>
        <v>1</v>
      </c>
      <c r="AA755" s="4">
        <f t="shared" si="409"/>
        <v>200000</v>
      </c>
      <c r="AB755" s="4">
        <f t="shared" si="410"/>
        <v>100000</v>
      </c>
      <c r="AC755" s="4" t="s">
        <v>29</v>
      </c>
      <c r="AD755" s="16">
        <f>IFERROR(VLOOKUP(AC755,'Kode Diskon'!$C$2:$D$9,2,0),0)</f>
        <v>0.1</v>
      </c>
      <c r="AE755" s="31">
        <f t="shared" si="411"/>
        <v>20000</v>
      </c>
      <c r="AF755" s="31">
        <f t="shared" si="412"/>
        <v>180000</v>
      </c>
      <c r="AG755" s="31">
        <f t="shared" si="413"/>
        <v>100000</v>
      </c>
      <c r="AH755" s="31">
        <f t="shared" si="414"/>
        <v>80000</v>
      </c>
      <c r="AI755" s="4" t="s">
        <v>28</v>
      </c>
      <c r="AJ755" s="4" t="s">
        <v>9</v>
      </c>
      <c r="AK755" s="4" t="str">
        <f>IFERROR(VLOOKUP(AJ755,'Guide '!$A$13:$B$16,2,0),"-")</f>
        <v>TK</v>
      </c>
      <c r="AL755" s="4" t="s">
        <v>925</v>
      </c>
      <c r="AM755" s="40">
        <v>45562</v>
      </c>
      <c r="AN755">
        <f t="shared" si="415"/>
        <v>29</v>
      </c>
      <c r="AO755">
        <f t="shared" si="416"/>
        <v>32</v>
      </c>
      <c r="AP755">
        <f t="shared" si="417"/>
        <v>40</v>
      </c>
      <c r="AQ755">
        <f t="shared" si="418"/>
        <v>43</v>
      </c>
      <c r="AR755" s="26" t="str">
        <f t="shared" si="419"/>
        <v>-</v>
      </c>
      <c r="AS755" s="26" t="str">
        <f t="shared" si="420"/>
        <v>-</v>
      </c>
      <c r="AT755" s="21">
        <f t="shared" si="421"/>
        <v>12</v>
      </c>
      <c r="AU755" s="21">
        <f t="shared" si="422"/>
        <v>19</v>
      </c>
      <c r="AV755" t="str">
        <f t="shared" si="423"/>
        <v>-</v>
      </c>
      <c r="AW755" t="str">
        <f t="shared" si="424"/>
        <v>-</v>
      </c>
      <c r="AX755" t="str">
        <f t="shared" si="425"/>
        <v>-</v>
      </c>
      <c r="AY755" t="str">
        <f t="shared" si="426"/>
        <v>-</v>
      </c>
      <c r="AZ755" t="str">
        <f t="shared" si="427"/>
        <v>-</v>
      </c>
      <c r="BA755" t="str">
        <f t="shared" si="428"/>
        <v>-</v>
      </c>
      <c r="BB755" t="str">
        <f t="shared" si="429"/>
        <v>-</v>
      </c>
      <c r="BC755" t="str">
        <f t="shared" si="430"/>
        <v>-</v>
      </c>
      <c r="BD755" s="29" t="str">
        <f t="shared" si="431"/>
        <v>-</v>
      </c>
      <c r="BE755" s="29" t="str">
        <f t="shared" si="432"/>
        <v>-</v>
      </c>
    </row>
    <row r="756" spans="1:57" ht="15" x14ac:dyDescent="0.2">
      <c r="A756" s="2">
        <v>967</v>
      </c>
      <c r="B756" s="2" t="str">
        <f t="shared" si="397"/>
        <v>0967</v>
      </c>
      <c r="C756" t="str">
        <f t="shared" si="398"/>
        <v>ORD-TK-0967-27/09/24</v>
      </c>
      <c r="D756" s="3" t="s">
        <v>894</v>
      </c>
      <c r="E756" t="str">
        <f t="shared" si="399"/>
        <v>PU001</v>
      </c>
      <c r="F756" t="str">
        <f>INDEX(Katalog!$B$4:$B$13,MATCH('Main Data'!E756,Katalog!$C$4:$C$13,0))</f>
        <v>Jaket Hoodie</v>
      </c>
      <c r="G756" t="str">
        <f>VLOOKUP(E756,Katalog!$A$15:$B$25,2,0)</f>
        <v>Pakaian Unisex</v>
      </c>
      <c r="H756" t="str">
        <f t="shared" si="400"/>
        <v>2</v>
      </c>
      <c r="I756" t="str">
        <f t="shared" si="401"/>
        <v>4</v>
      </c>
      <c r="J756" s="18">
        <f>VLOOKUP(E756,Katalog!$C$3:$F$13,2,0)</f>
        <v>160000</v>
      </c>
      <c r="K756" s="18">
        <f>VLOOKUP(E756,Katalog!$C$3:$F$13,3,0)</f>
        <v>60000</v>
      </c>
      <c r="L756" t="str">
        <f t="shared" si="402"/>
        <v>SW001</v>
      </c>
      <c r="M756" t="str">
        <f>IFERROR(INDEX(Katalog!$B$4:$B$13,MATCH('Main Data'!L756,Katalog!$C$4:$C$13,0)), "-")</f>
        <v>Flat Shoes</v>
      </c>
      <c r="N756" t="str">
        <f>IFERROR(VLOOKUP(L756,Katalog!$A$15:$B$25,2,0),"-")</f>
        <v>Sepatu Wanita</v>
      </c>
      <c r="O756" t="str">
        <f t="shared" si="403"/>
        <v>2</v>
      </c>
      <c r="P756" t="str">
        <f t="shared" si="404"/>
        <v>1</v>
      </c>
      <c r="Q756" s="18">
        <f>IFERROR(VLOOKUP(L756,Katalog!$C$3:$F$13,2,0),0)</f>
        <v>150000</v>
      </c>
      <c r="R756" s="18">
        <f>IFERROR(VLOOKUP(L756,Katalog!$C$3:$F$13,3,0),0)</f>
        <v>70000</v>
      </c>
      <c r="S756" t="str">
        <f t="shared" si="405"/>
        <v>PW001</v>
      </c>
      <c r="T756" t="str">
        <f>IFERROR(INDEX(Katalog!$B$4:$B$13,MATCH('Main Data'!S756,Katalog!$C$4:$C$13,0)),"-")</f>
        <v>Dress</v>
      </c>
      <c r="U756" t="str">
        <f>IFERROR(VLOOKUP(S756,Katalog!$A$15:$B$25,2,0),"-")</f>
        <v>Pakaian Wanita</v>
      </c>
      <c r="V756" t="str">
        <f t="shared" si="406"/>
        <v>1</v>
      </c>
      <c r="W756" s="28" t="str">
        <f t="shared" si="407"/>
        <v>4</v>
      </c>
      <c r="X756" s="18">
        <f>IFERROR(VLOOKUP(S756,Katalog!$C$3:$F$13,2,0),0)</f>
        <v>150000</v>
      </c>
      <c r="Y756" s="30">
        <f>IFERROR(VLOOKUP(S756,Katalog!$C$3:$F$13,3,0),0)</f>
        <v>55000</v>
      </c>
      <c r="Z756" s="2">
        <f t="shared" si="408"/>
        <v>5</v>
      </c>
      <c r="AA756" s="4">
        <f t="shared" si="409"/>
        <v>770000</v>
      </c>
      <c r="AB756" s="4">
        <f t="shared" si="410"/>
        <v>315000</v>
      </c>
      <c r="AC756" s="4" t="s">
        <v>30</v>
      </c>
      <c r="AD756" s="16">
        <f>IFERROR(VLOOKUP(AC756,'Kode Diskon'!$C$2:$D$9,2,0),0)</f>
        <v>0.1</v>
      </c>
      <c r="AE756" s="31">
        <f t="shared" si="411"/>
        <v>77000</v>
      </c>
      <c r="AF756" s="31">
        <f t="shared" si="412"/>
        <v>693000</v>
      </c>
      <c r="AG756" s="31">
        <f t="shared" si="413"/>
        <v>455000</v>
      </c>
      <c r="AH756" s="31">
        <f t="shared" si="414"/>
        <v>378000</v>
      </c>
      <c r="AI756" s="4" t="s">
        <v>8</v>
      </c>
      <c r="AJ756" s="4" t="s">
        <v>9</v>
      </c>
      <c r="AK756" s="4" t="str">
        <f>IFERROR(VLOOKUP(AJ756,'Guide '!$A$13:$B$16,2,0),"-")</f>
        <v>TK</v>
      </c>
      <c r="AL756" s="4" t="s">
        <v>925</v>
      </c>
      <c r="AM756" s="40">
        <v>45562</v>
      </c>
      <c r="AN756">
        <f t="shared" si="415"/>
        <v>29</v>
      </c>
      <c r="AO756">
        <f t="shared" si="416"/>
        <v>32</v>
      </c>
      <c r="AP756">
        <f t="shared" si="417"/>
        <v>40</v>
      </c>
      <c r="AQ756">
        <f t="shared" si="418"/>
        <v>43</v>
      </c>
      <c r="AR756" s="26">
        <f t="shared" si="419"/>
        <v>56</v>
      </c>
      <c r="AS756" s="26">
        <f t="shared" si="420"/>
        <v>63</v>
      </c>
      <c r="AT756" s="21">
        <f t="shared" si="421"/>
        <v>12</v>
      </c>
      <c r="AU756" s="21">
        <f t="shared" si="422"/>
        <v>19</v>
      </c>
      <c r="AV756">
        <f t="shared" si="423"/>
        <v>73</v>
      </c>
      <c r="AW756">
        <f t="shared" si="424"/>
        <v>76</v>
      </c>
      <c r="AX756">
        <f t="shared" si="425"/>
        <v>84</v>
      </c>
      <c r="AY756">
        <f t="shared" si="426"/>
        <v>87</v>
      </c>
      <c r="AZ756">
        <f t="shared" si="427"/>
        <v>100</v>
      </c>
      <c r="BA756">
        <f t="shared" si="428"/>
        <v>107</v>
      </c>
      <c r="BB756">
        <f t="shared" si="429"/>
        <v>117</v>
      </c>
      <c r="BC756">
        <f t="shared" si="430"/>
        <v>120</v>
      </c>
      <c r="BD756" s="29">
        <f t="shared" si="431"/>
        <v>128</v>
      </c>
      <c r="BE756" s="29">
        <f t="shared" si="432"/>
        <v>131</v>
      </c>
    </row>
    <row r="757" spans="1:57" ht="15" x14ac:dyDescent="0.2">
      <c r="A757" s="2">
        <v>375</v>
      </c>
      <c r="B757" s="2" t="str">
        <f t="shared" si="397"/>
        <v>0375</v>
      </c>
      <c r="C757" t="str">
        <f t="shared" si="398"/>
        <v>ORD-BB-0375-28/09/24</v>
      </c>
      <c r="D757" s="3" t="s">
        <v>425</v>
      </c>
      <c r="E757" t="str">
        <f t="shared" si="399"/>
        <v>PP001</v>
      </c>
      <c r="F757" t="str">
        <f>INDEX(Katalog!$B$4:$B$13,MATCH('Main Data'!E757,Katalog!$C$4:$C$13,0))</f>
        <v>Kaos Polo</v>
      </c>
      <c r="G757" t="str">
        <f>VLOOKUP(E757,Katalog!$A$15:$B$25,2,0)</f>
        <v>Pakaian Pria</v>
      </c>
      <c r="H757" t="str">
        <f t="shared" si="400"/>
        <v>4</v>
      </c>
      <c r="I757" t="str">
        <f t="shared" si="401"/>
        <v>3</v>
      </c>
      <c r="J757" s="18">
        <f>VLOOKUP(E757,Katalog!$C$3:$F$13,2,0)</f>
        <v>80000</v>
      </c>
      <c r="K757" s="18">
        <f>VLOOKUP(E757,Katalog!$C$3:$F$13,3,0)</f>
        <v>30000</v>
      </c>
      <c r="L757" t="str">
        <f t="shared" si="402"/>
        <v>-</v>
      </c>
      <c r="M757" t="str">
        <f>IFERROR(INDEX(Katalog!$B$4:$B$13,MATCH('Main Data'!L757,Katalog!$C$4:$C$13,0)), "-")</f>
        <v>-</v>
      </c>
      <c r="N757" t="str">
        <f>IFERROR(VLOOKUP(L757,Katalog!$A$15:$B$25,2,0),"-")</f>
        <v>-</v>
      </c>
      <c r="O757">
        <f t="shared" si="403"/>
        <v>0</v>
      </c>
      <c r="P757" t="str">
        <f t="shared" si="404"/>
        <v>-</v>
      </c>
      <c r="Q757" s="18">
        <f>IFERROR(VLOOKUP(L757,Katalog!$C$3:$F$13,2,0),0)</f>
        <v>0</v>
      </c>
      <c r="R757" s="18">
        <f>IFERROR(VLOOKUP(L757,Katalog!$C$3:$F$13,3,0),0)</f>
        <v>0</v>
      </c>
      <c r="S757" t="str">
        <f t="shared" si="405"/>
        <v>-</v>
      </c>
      <c r="T757" t="str">
        <f>IFERROR(INDEX(Katalog!$B$4:$B$13,MATCH('Main Data'!S757,Katalog!$C$4:$C$13,0)),"-")</f>
        <v>-</v>
      </c>
      <c r="U757" t="str">
        <f>IFERROR(VLOOKUP(S757,Katalog!$A$15:$B$25,2,0),"-")</f>
        <v>-</v>
      </c>
      <c r="V757">
        <f t="shared" si="406"/>
        <v>0</v>
      </c>
      <c r="W757" s="28" t="str">
        <f t="shared" si="407"/>
        <v>-</v>
      </c>
      <c r="X757" s="18">
        <f>IFERROR(VLOOKUP(S757,Katalog!$C$3:$F$13,2,0),0)</f>
        <v>0</v>
      </c>
      <c r="Y757" s="30">
        <f>IFERROR(VLOOKUP(S757,Katalog!$C$3:$F$13,3,0),0)</f>
        <v>0</v>
      </c>
      <c r="Z757" s="2">
        <f t="shared" si="408"/>
        <v>4</v>
      </c>
      <c r="AA757" s="4">
        <f t="shared" si="409"/>
        <v>320000</v>
      </c>
      <c r="AB757" s="4">
        <f t="shared" si="410"/>
        <v>120000</v>
      </c>
      <c r="AC757" s="4" t="s">
        <v>27</v>
      </c>
      <c r="AD757" s="16">
        <f>IFERROR(VLOOKUP(AC757,'Kode Diskon'!$C$2:$D$9,2,0),0)</f>
        <v>0.15</v>
      </c>
      <c r="AE757" s="31">
        <f t="shared" si="411"/>
        <v>48000</v>
      </c>
      <c r="AF757" s="31">
        <f t="shared" si="412"/>
        <v>272000</v>
      </c>
      <c r="AG757" s="31">
        <f t="shared" si="413"/>
        <v>200000</v>
      </c>
      <c r="AH757" s="31">
        <f t="shared" si="414"/>
        <v>152000</v>
      </c>
      <c r="AI757" s="4" t="s">
        <v>28</v>
      </c>
      <c r="AJ757" s="4" t="s">
        <v>13</v>
      </c>
      <c r="AK757" s="4" t="str">
        <f>IFERROR(VLOOKUP(AJ757,'Guide '!$A$13:$B$16,2,0),"-")</f>
        <v>BB</v>
      </c>
      <c r="AL757" s="4" t="s">
        <v>923</v>
      </c>
      <c r="AM757" s="40">
        <v>45563</v>
      </c>
      <c r="AN757">
        <f t="shared" si="415"/>
        <v>29</v>
      </c>
      <c r="AO757">
        <f t="shared" si="416"/>
        <v>32</v>
      </c>
      <c r="AP757">
        <f t="shared" si="417"/>
        <v>40</v>
      </c>
      <c r="AQ757">
        <f t="shared" si="418"/>
        <v>43</v>
      </c>
      <c r="AR757" s="26" t="str">
        <f t="shared" si="419"/>
        <v>-</v>
      </c>
      <c r="AS757" s="26" t="str">
        <f t="shared" si="420"/>
        <v>-</v>
      </c>
      <c r="AT757" s="21">
        <f t="shared" si="421"/>
        <v>12</v>
      </c>
      <c r="AU757" s="21">
        <f t="shared" si="422"/>
        <v>19</v>
      </c>
      <c r="AV757" t="str">
        <f t="shared" si="423"/>
        <v>-</v>
      </c>
      <c r="AW757" t="str">
        <f t="shared" si="424"/>
        <v>-</v>
      </c>
      <c r="AX757" t="str">
        <f t="shared" si="425"/>
        <v>-</v>
      </c>
      <c r="AY757" t="str">
        <f t="shared" si="426"/>
        <v>-</v>
      </c>
      <c r="AZ757" t="str">
        <f t="shared" si="427"/>
        <v>-</v>
      </c>
      <c r="BA757" t="str">
        <f t="shared" si="428"/>
        <v>-</v>
      </c>
      <c r="BB757" t="str">
        <f t="shared" si="429"/>
        <v>-</v>
      </c>
      <c r="BC757" t="str">
        <f t="shared" si="430"/>
        <v>-</v>
      </c>
      <c r="BD757" s="29" t="str">
        <f t="shared" si="431"/>
        <v>-</v>
      </c>
      <c r="BE757" s="29" t="str">
        <f t="shared" si="432"/>
        <v>-</v>
      </c>
    </row>
    <row r="758" spans="1:57" ht="15" x14ac:dyDescent="0.2">
      <c r="A758" s="2">
        <v>346</v>
      </c>
      <c r="B758" s="2" t="str">
        <f t="shared" si="397"/>
        <v>0346</v>
      </c>
      <c r="C758" t="str">
        <f t="shared" si="398"/>
        <v>ORD-SP-0346-29/09/24</v>
      </c>
      <c r="D758" s="3" t="s">
        <v>398</v>
      </c>
      <c r="E758" t="str">
        <f t="shared" si="399"/>
        <v>SP001</v>
      </c>
      <c r="F758" t="str">
        <f>INDEX(Katalog!$B$4:$B$13,MATCH('Main Data'!E758,Katalog!$C$4:$C$13,0))</f>
        <v>Sneakers</v>
      </c>
      <c r="G758" t="str">
        <f>VLOOKUP(E758,Katalog!$A$15:$B$25,2,0)</f>
        <v>Sepatu Pria</v>
      </c>
      <c r="H758" t="str">
        <f t="shared" si="400"/>
        <v>3</v>
      </c>
      <c r="I758" t="str">
        <f t="shared" si="401"/>
        <v>2</v>
      </c>
      <c r="J758" s="18">
        <f>VLOOKUP(E758,Katalog!$C$3:$F$13,2,0)</f>
        <v>300000</v>
      </c>
      <c r="K758" s="18">
        <f>VLOOKUP(E758,Katalog!$C$3:$F$13,3,0)</f>
        <v>100000</v>
      </c>
      <c r="L758" t="str">
        <f t="shared" si="402"/>
        <v>PU001</v>
      </c>
      <c r="M758" t="str">
        <f>IFERROR(INDEX(Katalog!$B$4:$B$13,MATCH('Main Data'!L758,Katalog!$C$4:$C$13,0)), "-")</f>
        <v>Jaket Hoodie</v>
      </c>
      <c r="N758" t="str">
        <f>IFERROR(VLOOKUP(L758,Katalog!$A$15:$B$25,2,0),"-")</f>
        <v>Pakaian Unisex</v>
      </c>
      <c r="O758" t="str">
        <f t="shared" si="403"/>
        <v>1</v>
      </c>
      <c r="P758" t="str">
        <f t="shared" si="404"/>
        <v>2</v>
      </c>
      <c r="Q758" s="18">
        <f>IFERROR(VLOOKUP(L758,Katalog!$C$3:$F$13,2,0),0)</f>
        <v>160000</v>
      </c>
      <c r="R758" s="18">
        <f>IFERROR(VLOOKUP(L758,Katalog!$C$3:$F$13,3,0),0)</f>
        <v>60000</v>
      </c>
      <c r="S758" t="str">
        <f t="shared" si="405"/>
        <v>-</v>
      </c>
      <c r="T758" t="str">
        <f>IFERROR(INDEX(Katalog!$B$4:$B$13,MATCH('Main Data'!S758,Katalog!$C$4:$C$13,0)),"-")</f>
        <v>-</v>
      </c>
      <c r="U758" t="str">
        <f>IFERROR(VLOOKUP(S758,Katalog!$A$15:$B$25,2,0),"-")</f>
        <v>-</v>
      </c>
      <c r="V758">
        <f t="shared" si="406"/>
        <v>0</v>
      </c>
      <c r="W758" s="28" t="str">
        <f t="shared" si="407"/>
        <v>-</v>
      </c>
      <c r="X758" s="18">
        <f>IFERROR(VLOOKUP(S758,Katalog!$C$3:$F$13,2,0),0)</f>
        <v>0</v>
      </c>
      <c r="Y758" s="30">
        <f>IFERROR(VLOOKUP(S758,Katalog!$C$3:$F$13,3,0),0)</f>
        <v>0</v>
      </c>
      <c r="Z758" s="2">
        <f t="shared" si="408"/>
        <v>4</v>
      </c>
      <c r="AA758" s="4">
        <f t="shared" si="409"/>
        <v>1060000</v>
      </c>
      <c r="AB758" s="4">
        <f t="shared" si="410"/>
        <v>360000</v>
      </c>
      <c r="AC758" s="4" t="s">
        <v>12</v>
      </c>
      <c r="AD758" s="16">
        <f>IFERROR(VLOOKUP(AC758,'Kode Diskon'!$C$2:$D$9,2,0),0)</f>
        <v>0.15</v>
      </c>
      <c r="AE758" s="31">
        <f t="shared" si="411"/>
        <v>159000</v>
      </c>
      <c r="AF758" s="31">
        <f t="shared" si="412"/>
        <v>901000</v>
      </c>
      <c r="AG758" s="31">
        <f t="shared" si="413"/>
        <v>700000</v>
      </c>
      <c r="AH758" s="31">
        <f t="shared" si="414"/>
        <v>541000</v>
      </c>
      <c r="AI758" s="4" t="s">
        <v>28</v>
      </c>
      <c r="AJ758" s="4" t="s">
        <v>6</v>
      </c>
      <c r="AK758" s="4" t="str">
        <f>IFERROR(VLOOKUP(AJ758,'Guide '!$A$13:$B$16,2,0),"-")</f>
        <v>SP</v>
      </c>
      <c r="AL758" s="4" t="s">
        <v>925</v>
      </c>
      <c r="AM758" s="40">
        <v>45564</v>
      </c>
      <c r="AN758">
        <f t="shared" si="415"/>
        <v>29</v>
      </c>
      <c r="AO758">
        <f t="shared" si="416"/>
        <v>32</v>
      </c>
      <c r="AP758">
        <f t="shared" si="417"/>
        <v>40</v>
      </c>
      <c r="AQ758">
        <f t="shared" si="418"/>
        <v>43</v>
      </c>
      <c r="AR758" s="26">
        <f t="shared" si="419"/>
        <v>56</v>
      </c>
      <c r="AS758" s="26">
        <f t="shared" si="420"/>
        <v>63</v>
      </c>
      <c r="AT758" s="21">
        <f t="shared" si="421"/>
        <v>12</v>
      </c>
      <c r="AU758" s="21">
        <f t="shared" si="422"/>
        <v>19</v>
      </c>
      <c r="AV758">
        <f t="shared" si="423"/>
        <v>73</v>
      </c>
      <c r="AW758">
        <f t="shared" si="424"/>
        <v>76</v>
      </c>
      <c r="AX758">
        <f t="shared" si="425"/>
        <v>84</v>
      </c>
      <c r="AY758">
        <f t="shared" si="426"/>
        <v>87</v>
      </c>
      <c r="AZ758" t="str">
        <f t="shared" si="427"/>
        <v>-</v>
      </c>
      <c r="BA758" t="str">
        <f t="shared" si="428"/>
        <v>-</v>
      </c>
      <c r="BB758" t="str">
        <f t="shared" si="429"/>
        <v>-</v>
      </c>
      <c r="BC758" t="str">
        <f t="shared" si="430"/>
        <v>-</v>
      </c>
      <c r="BD758" s="29" t="str">
        <f t="shared" si="431"/>
        <v>-</v>
      </c>
      <c r="BE758" s="29" t="str">
        <f t="shared" si="432"/>
        <v>-</v>
      </c>
    </row>
    <row r="759" spans="1:57" ht="15" x14ac:dyDescent="0.2">
      <c r="A759" s="2">
        <v>994</v>
      </c>
      <c r="B759" s="2" t="str">
        <f t="shared" si="397"/>
        <v>0994</v>
      </c>
      <c r="C759" t="str">
        <f t="shared" si="398"/>
        <v>ORD-BB-0994-29/09/24</v>
      </c>
      <c r="D759" s="3" t="s">
        <v>915</v>
      </c>
      <c r="E759" t="str">
        <f t="shared" si="399"/>
        <v>PW003</v>
      </c>
      <c r="F759" t="str">
        <f>INDEX(Katalog!$B$4:$B$13,MATCH('Main Data'!E759,Katalog!$C$4:$C$13,0))</f>
        <v>Kaftan</v>
      </c>
      <c r="G759" t="str">
        <f>VLOOKUP(E759,Katalog!$A$15:$B$25,2,0)</f>
        <v>Pakaian Wanita</v>
      </c>
      <c r="H759" t="str">
        <f t="shared" si="400"/>
        <v>1</v>
      </c>
      <c r="I759" t="str">
        <f t="shared" si="401"/>
        <v>4</v>
      </c>
      <c r="J759" s="18">
        <f>VLOOKUP(E759,Katalog!$C$3:$F$13,2,0)</f>
        <v>200000</v>
      </c>
      <c r="K759" s="18">
        <f>VLOOKUP(E759,Katalog!$C$3:$F$13,3,0)</f>
        <v>100000</v>
      </c>
      <c r="L759" t="str">
        <f t="shared" si="402"/>
        <v>PW002</v>
      </c>
      <c r="M759" t="str">
        <f>IFERROR(INDEX(Katalog!$B$4:$B$13,MATCH('Main Data'!L759,Katalog!$C$4:$C$13,0)), "-")</f>
        <v>Blouse</v>
      </c>
      <c r="N759" t="str">
        <f>IFERROR(VLOOKUP(L759,Katalog!$A$15:$B$25,2,0),"-")</f>
        <v>Pakaian Wanita</v>
      </c>
      <c r="O759" t="str">
        <f t="shared" si="403"/>
        <v>1</v>
      </c>
      <c r="P759" t="str">
        <f t="shared" si="404"/>
        <v>5</v>
      </c>
      <c r="Q759" s="18">
        <f>IFERROR(VLOOKUP(L759,Katalog!$C$3:$F$13,2,0),0)</f>
        <v>125000</v>
      </c>
      <c r="R759" s="18">
        <f>IFERROR(VLOOKUP(L759,Katalog!$C$3:$F$13,3,0),0)</f>
        <v>50000</v>
      </c>
      <c r="S759" t="str">
        <f t="shared" si="405"/>
        <v>-</v>
      </c>
      <c r="T759" t="str">
        <f>IFERROR(INDEX(Katalog!$B$4:$B$13,MATCH('Main Data'!S759,Katalog!$C$4:$C$13,0)),"-")</f>
        <v>-</v>
      </c>
      <c r="U759" t="str">
        <f>IFERROR(VLOOKUP(S759,Katalog!$A$15:$B$25,2,0),"-")</f>
        <v>-</v>
      </c>
      <c r="V759">
        <f t="shared" si="406"/>
        <v>0</v>
      </c>
      <c r="W759" s="28" t="str">
        <f t="shared" si="407"/>
        <v>-</v>
      </c>
      <c r="X759" s="18">
        <f>IFERROR(VLOOKUP(S759,Katalog!$C$3:$F$13,2,0),0)</f>
        <v>0</v>
      </c>
      <c r="Y759" s="30">
        <f>IFERROR(VLOOKUP(S759,Katalog!$C$3:$F$13,3,0),0)</f>
        <v>0</v>
      </c>
      <c r="Z759" s="2">
        <f t="shared" si="408"/>
        <v>2</v>
      </c>
      <c r="AA759" s="4">
        <f t="shared" si="409"/>
        <v>325000</v>
      </c>
      <c r="AB759" s="4">
        <f t="shared" si="410"/>
        <v>150000</v>
      </c>
      <c r="AC759" s="4" t="s">
        <v>27</v>
      </c>
      <c r="AD759" s="16">
        <f>IFERROR(VLOOKUP(AC759,'Kode Diskon'!$C$2:$D$9,2,0),0)</f>
        <v>0.15</v>
      </c>
      <c r="AE759" s="31">
        <f t="shared" si="411"/>
        <v>48750</v>
      </c>
      <c r="AF759" s="31">
        <f t="shared" si="412"/>
        <v>276250</v>
      </c>
      <c r="AG759" s="31">
        <f t="shared" si="413"/>
        <v>175000</v>
      </c>
      <c r="AH759" s="31">
        <f t="shared" si="414"/>
        <v>126250</v>
      </c>
      <c r="AI759" s="4" t="s">
        <v>28</v>
      </c>
      <c r="AJ759" s="4" t="s">
        <v>13</v>
      </c>
      <c r="AK759" s="4" t="str">
        <f>IFERROR(VLOOKUP(AJ759,'Guide '!$A$13:$B$16,2,0),"-")</f>
        <v>BB</v>
      </c>
      <c r="AL759" s="4" t="s">
        <v>1006</v>
      </c>
      <c r="AM759" s="40">
        <v>45564</v>
      </c>
      <c r="AN759">
        <f t="shared" si="415"/>
        <v>29</v>
      </c>
      <c r="AO759">
        <f t="shared" si="416"/>
        <v>32</v>
      </c>
      <c r="AP759">
        <f t="shared" si="417"/>
        <v>40</v>
      </c>
      <c r="AQ759">
        <f t="shared" si="418"/>
        <v>43</v>
      </c>
      <c r="AR759" s="26">
        <f t="shared" si="419"/>
        <v>56</v>
      </c>
      <c r="AS759" s="26">
        <f t="shared" si="420"/>
        <v>63</v>
      </c>
      <c r="AT759" s="21">
        <f t="shared" si="421"/>
        <v>12</v>
      </c>
      <c r="AU759" s="21">
        <f t="shared" si="422"/>
        <v>19</v>
      </c>
      <c r="AV759">
        <f t="shared" si="423"/>
        <v>73</v>
      </c>
      <c r="AW759">
        <f t="shared" si="424"/>
        <v>76</v>
      </c>
      <c r="AX759">
        <f t="shared" si="425"/>
        <v>84</v>
      </c>
      <c r="AY759">
        <f t="shared" si="426"/>
        <v>87</v>
      </c>
      <c r="AZ759" t="str">
        <f t="shared" si="427"/>
        <v>-</v>
      </c>
      <c r="BA759" t="str">
        <f t="shared" si="428"/>
        <v>-</v>
      </c>
      <c r="BB759" t="str">
        <f t="shared" si="429"/>
        <v>-</v>
      </c>
      <c r="BC759" t="str">
        <f t="shared" si="430"/>
        <v>-</v>
      </c>
      <c r="BD759" s="29" t="str">
        <f t="shared" si="431"/>
        <v>-</v>
      </c>
      <c r="BE759" s="29" t="str">
        <f t="shared" si="432"/>
        <v>-</v>
      </c>
    </row>
    <row r="760" spans="1:57" ht="15" x14ac:dyDescent="0.2">
      <c r="A760" s="2">
        <v>320</v>
      </c>
      <c r="B760" s="2" t="str">
        <f t="shared" si="397"/>
        <v>0320</v>
      </c>
      <c r="C760" t="str">
        <f t="shared" si="398"/>
        <v>ORD-BL-0320-30/09/24</v>
      </c>
      <c r="D760" s="3" t="s">
        <v>375</v>
      </c>
      <c r="E760" t="str">
        <f t="shared" si="399"/>
        <v>SP002</v>
      </c>
      <c r="F760" t="str">
        <f>INDEX(Katalog!$B$4:$B$13,MATCH('Main Data'!E760,Katalog!$C$4:$C$13,0))</f>
        <v>Sandal Slip On</v>
      </c>
      <c r="G760" t="str">
        <f>VLOOKUP(E760,Katalog!$A$15:$B$25,2,0)</f>
        <v>Sepatu Pria</v>
      </c>
      <c r="H760" t="str">
        <f t="shared" si="400"/>
        <v>1</v>
      </c>
      <c r="I760" t="str">
        <f t="shared" si="401"/>
        <v>4</v>
      </c>
      <c r="J760" s="18">
        <f>VLOOKUP(E760,Katalog!$C$3:$F$13,2,0)</f>
        <v>120000</v>
      </c>
      <c r="K760" s="18">
        <f>VLOOKUP(E760,Katalog!$C$3:$F$13,3,0)</f>
        <v>60000</v>
      </c>
      <c r="L760" t="str">
        <f t="shared" si="402"/>
        <v>PW001</v>
      </c>
      <c r="M760" t="str">
        <f>IFERROR(INDEX(Katalog!$B$4:$B$13,MATCH('Main Data'!L760,Katalog!$C$4:$C$13,0)), "-")</f>
        <v>Dress</v>
      </c>
      <c r="N760" t="str">
        <f>IFERROR(VLOOKUP(L760,Katalog!$A$15:$B$25,2,0),"-")</f>
        <v>Pakaian Wanita</v>
      </c>
      <c r="O760" t="str">
        <f t="shared" si="403"/>
        <v>1</v>
      </c>
      <c r="P760" t="str">
        <f t="shared" si="404"/>
        <v>1</v>
      </c>
      <c r="Q760" s="18">
        <f>IFERROR(VLOOKUP(L760,Katalog!$C$3:$F$13,2,0),0)</f>
        <v>150000</v>
      </c>
      <c r="R760" s="18">
        <f>IFERROR(VLOOKUP(L760,Katalog!$C$3:$F$13,3,0),0)</f>
        <v>55000</v>
      </c>
      <c r="S760" t="str">
        <f t="shared" si="405"/>
        <v>-</v>
      </c>
      <c r="T760" t="str">
        <f>IFERROR(INDEX(Katalog!$B$4:$B$13,MATCH('Main Data'!S760,Katalog!$C$4:$C$13,0)),"-")</f>
        <v>-</v>
      </c>
      <c r="U760" t="str">
        <f>IFERROR(VLOOKUP(S760,Katalog!$A$15:$B$25,2,0),"-")</f>
        <v>-</v>
      </c>
      <c r="V760">
        <f t="shared" si="406"/>
        <v>0</v>
      </c>
      <c r="W760" s="28" t="str">
        <f t="shared" si="407"/>
        <v>-</v>
      </c>
      <c r="X760" s="18">
        <f>IFERROR(VLOOKUP(S760,Katalog!$C$3:$F$13,2,0),0)</f>
        <v>0</v>
      </c>
      <c r="Y760" s="30">
        <f>IFERROR(VLOOKUP(S760,Katalog!$C$3:$F$13,3,0),0)</f>
        <v>0</v>
      </c>
      <c r="Z760" s="2">
        <f t="shared" si="408"/>
        <v>2</v>
      </c>
      <c r="AA760" s="4">
        <f t="shared" si="409"/>
        <v>270000</v>
      </c>
      <c r="AB760" s="4">
        <f t="shared" si="410"/>
        <v>115000</v>
      </c>
      <c r="AC760" s="4" t="s">
        <v>31</v>
      </c>
      <c r="AD760" s="16">
        <f>IFERROR(VLOOKUP(AC760,'Kode Diskon'!$C$2:$D$9,2,0),0)</f>
        <v>0.15</v>
      </c>
      <c r="AE760" s="31">
        <f t="shared" si="411"/>
        <v>40500</v>
      </c>
      <c r="AF760" s="31">
        <f t="shared" si="412"/>
        <v>229500</v>
      </c>
      <c r="AG760" s="31">
        <f t="shared" si="413"/>
        <v>155000</v>
      </c>
      <c r="AH760" s="31">
        <f t="shared" si="414"/>
        <v>114500</v>
      </c>
      <c r="AI760" s="4" t="s">
        <v>8</v>
      </c>
      <c r="AJ760" s="4" t="s">
        <v>11</v>
      </c>
      <c r="AK760" s="4" t="str">
        <f>IFERROR(VLOOKUP(AJ760,'Guide '!$A$13:$B$16,2,0),"-")</f>
        <v>BL</v>
      </c>
      <c r="AL760" s="4" t="s">
        <v>1006</v>
      </c>
      <c r="AM760" s="40">
        <v>45565</v>
      </c>
      <c r="AN760">
        <f t="shared" si="415"/>
        <v>29</v>
      </c>
      <c r="AO760">
        <f t="shared" si="416"/>
        <v>32</v>
      </c>
      <c r="AP760">
        <f t="shared" si="417"/>
        <v>40</v>
      </c>
      <c r="AQ760">
        <f t="shared" si="418"/>
        <v>43</v>
      </c>
      <c r="AR760" s="26">
        <f t="shared" si="419"/>
        <v>56</v>
      </c>
      <c r="AS760" s="26">
        <f t="shared" si="420"/>
        <v>63</v>
      </c>
      <c r="AT760" s="21">
        <f t="shared" si="421"/>
        <v>12</v>
      </c>
      <c r="AU760" s="21">
        <f t="shared" si="422"/>
        <v>19</v>
      </c>
      <c r="AV760">
        <f t="shared" si="423"/>
        <v>73</v>
      </c>
      <c r="AW760">
        <f t="shared" si="424"/>
        <v>76</v>
      </c>
      <c r="AX760">
        <f t="shared" si="425"/>
        <v>84</v>
      </c>
      <c r="AY760">
        <f t="shared" si="426"/>
        <v>87</v>
      </c>
      <c r="AZ760" t="str">
        <f t="shared" si="427"/>
        <v>-</v>
      </c>
      <c r="BA760" t="str">
        <f t="shared" si="428"/>
        <v>-</v>
      </c>
      <c r="BB760" t="str">
        <f t="shared" si="429"/>
        <v>-</v>
      </c>
      <c r="BC760" t="str">
        <f t="shared" si="430"/>
        <v>-</v>
      </c>
      <c r="BD760" s="29" t="str">
        <f t="shared" si="431"/>
        <v>-</v>
      </c>
      <c r="BE760" s="29" t="str">
        <f t="shared" si="432"/>
        <v>-</v>
      </c>
    </row>
    <row r="761" spans="1:57" ht="15" x14ac:dyDescent="0.2">
      <c r="A761" s="2">
        <v>450</v>
      </c>
      <c r="B761" s="2" t="str">
        <f t="shared" si="397"/>
        <v>0450</v>
      </c>
      <c r="C761" t="str">
        <f t="shared" si="398"/>
        <v>ORD-TK-0450-30/09/24</v>
      </c>
      <c r="D761" s="3" t="s">
        <v>489</v>
      </c>
      <c r="E761" t="str">
        <f t="shared" si="399"/>
        <v>SP002</v>
      </c>
      <c r="F761" t="str">
        <f>INDEX(Katalog!$B$4:$B$13,MATCH('Main Data'!E761,Katalog!$C$4:$C$13,0))</f>
        <v>Sandal Slip On</v>
      </c>
      <c r="G761" t="str">
        <f>VLOOKUP(E761,Katalog!$A$15:$B$25,2,0)</f>
        <v>Sepatu Pria</v>
      </c>
      <c r="H761" t="str">
        <f t="shared" si="400"/>
        <v>6</v>
      </c>
      <c r="I761" t="str">
        <f t="shared" si="401"/>
        <v>3</v>
      </c>
      <c r="J761" s="18">
        <f>VLOOKUP(E761,Katalog!$C$3:$F$13,2,0)</f>
        <v>120000</v>
      </c>
      <c r="K761" s="18">
        <f>VLOOKUP(E761,Katalog!$C$3:$F$13,3,0)</f>
        <v>60000</v>
      </c>
      <c r="L761" t="str">
        <f t="shared" si="402"/>
        <v>-</v>
      </c>
      <c r="M761" t="str">
        <f>IFERROR(INDEX(Katalog!$B$4:$B$13,MATCH('Main Data'!L761,Katalog!$C$4:$C$13,0)), "-")</f>
        <v>-</v>
      </c>
      <c r="N761" t="str">
        <f>IFERROR(VLOOKUP(L761,Katalog!$A$15:$B$25,2,0),"-")</f>
        <v>-</v>
      </c>
      <c r="O761">
        <f t="shared" si="403"/>
        <v>0</v>
      </c>
      <c r="P761" t="str">
        <f t="shared" si="404"/>
        <v>-</v>
      </c>
      <c r="Q761" s="18">
        <f>IFERROR(VLOOKUP(L761,Katalog!$C$3:$F$13,2,0),0)</f>
        <v>0</v>
      </c>
      <c r="R761" s="18">
        <f>IFERROR(VLOOKUP(L761,Katalog!$C$3:$F$13,3,0),0)</f>
        <v>0</v>
      </c>
      <c r="S761" t="str">
        <f t="shared" si="405"/>
        <v>-</v>
      </c>
      <c r="T761" t="str">
        <f>IFERROR(INDEX(Katalog!$B$4:$B$13,MATCH('Main Data'!S761,Katalog!$C$4:$C$13,0)),"-")</f>
        <v>-</v>
      </c>
      <c r="U761" t="str">
        <f>IFERROR(VLOOKUP(S761,Katalog!$A$15:$B$25,2,0),"-")</f>
        <v>-</v>
      </c>
      <c r="V761">
        <f t="shared" si="406"/>
        <v>0</v>
      </c>
      <c r="W761" s="28" t="str">
        <f t="shared" si="407"/>
        <v>-</v>
      </c>
      <c r="X761" s="18">
        <f>IFERROR(VLOOKUP(S761,Katalog!$C$3:$F$13,2,0),0)</f>
        <v>0</v>
      </c>
      <c r="Y761" s="30">
        <f>IFERROR(VLOOKUP(S761,Katalog!$C$3:$F$13,3,0),0)</f>
        <v>0</v>
      </c>
      <c r="Z761" s="2">
        <f t="shared" si="408"/>
        <v>6</v>
      </c>
      <c r="AA761" s="4">
        <f t="shared" si="409"/>
        <v>720000</v>
      </c>
      <c r="AB761" s="4">
        <f t="shared" si="410"/>
        <v>360000</v>
      </c>
      <c r="AC761" s="4" t="s">
        <v>30</v>
      </c>
      <c r="AD761" s="16">
        <f>IFERROR(VLOOKUP(AC761,'Kode Diskon'!$C$2:$D$9,2,0),0)</f>
        <v>0.1</v>
      </c>
      <c r="AE761" s="31">
        <f t="shared" si="411"/>
        <v>72000</v>
      </c>
      <c r="AF761" s="31">
        <f t="shared" si="412"/>
        <v>648000</v>
      </c>
      <c r="AG761" s="31">
        <f t="shared" si="413"/>
        <v>360000</v>
      </c>
      <c r="AH761" s="31">
        <f t="shared" si="414"/>
        <v>288000</v>
      </c>
      <c r="AI761" s="4" t="s">
        <v>8</v>
      </c>
      <c r="AJ761" s="4" t="s">
        <v>9</v>
      </c>
      <c r="AK761" s="4" t="str">
        <f>IFERROR(VLOOKUP(AJ761,'Guide '!$A$13:$B$16,2,0),"-")</f>
        <v>TK</v>
      </c>
      <c r="AL761" s="4" t="s">
        <v>925</v>
      </c>
      <c r="AM761" s="40">
        <v>45565</v>
      </c>
      <c r="AN761">
        <f t="shared" si="415"/>
        <v>29</v>
      </c>
      <c r="AO761">
        <f t="shared" si="416"/>
        <v>32</v>
      </c>
      <c r="AP761">
        <f t="shared" si="417"/>
        <v>40</v>
      </c>
      <c r="AQ761">
        <f t="shared" si="418"/>
        <v>43</v>
      </c>
      <c r="AR761" s="26" t="str">
        <f t="shared" si="419"/>
        <v>-</v>
      </c>
      <c r="AS761" s="26" t="str">
        <f t="shared" si="420"/>
        <v>-</v>
      </c>
      <c r="AT761" s="21">
        <f t="shared" si="421"/>
        <v>12</v>
      </c>
      <c r="AU761" s="21">
        <f t="shared" si="422"/>
        <v>19</v>
      </c>
      <c r="AV761" t="str">
        <f t="shared" si="423"/>
        <v>-</v>
      </c>
      <c r="AW761" t="str">
        <f t="shared" si="424"/>
        <v>-</v>
      </c>
      <c r="AX761" t="str">
        <f t="shared" si="425"/>
        <v>-</v>
      </c>
      <c r="AY761" t="str">
        <f t="shared" si="426"/>
        <v>-</v>
      </c>
      <c r="AZ761" t="str">
        <f t="shared" si="427"/>
        <v>-</v>
      </c>
      <c r="BA761" t="str">
        <f t="shared" si="428"/>
        <v>-</v>
      </c>
      <c r="BB761" t="str">
        <f t="shared" si="429"/>
        <v>-</v>
      </c>
      <c r="BC761" t="str">
        <f t="shared" si="430"/>
        <v>-</v>
      </c>
      <c r="BD761" s="29" t="str">
        <f t="shared" si="431"/>
        <v>-</v>
      </c>
      <c r="BE761" s="29" t="str">
        <f t="shared" si="432"/>
        <v>-</v>
      </c>
    </row>
    <row r="762" spans="1:57" ht="15" x14ac:dyDescent="0.2">
      <c r="A762" s="2">
        <v>925</v>
      </c>
      <c r="B762" s="2" t="str">
        <f t="shared" si="397"/>
        <v>0925</v>
      </c>
      <c r="C762" t="str">
        <f t="shared" si="398"/>
        <v>ORD-SP-0925-30/09/24</v>
      </c>
      <c r="D762" s="3" t="s">
        <v>858</v>
      </c>
      <c r="E762" t="str">
        <f t="shared" si="399"/>
        <v>PW001</v>
      </c>
      <c r="F762" t="str">
        <f>INDEX(Katalog!$B$4:$B$13,MATCH('Main Data'!E762,Katalog!$C$4:$C$13,0))</f>
        <v>Dress</v>
      </c>
      <c r="G762" t="str">
        <f>VLOOKUP(E762,Katalog!$A$15:$B$25,2,0)</f>
        <v>Pakaian Wanita</v>
      </c>
      <c r="H762" t="str">
        <f t="shared" si="400"/>
        <v>4</v>
      </c>
      <c r="I762" t="str">
        <f t="shared" si="401"/>
        <v>4</v>
      </c>
      <c r="J762" s="18">
        <f>VLOOKUP(E762,Katalog!$C$3:$F$13,2,0)</f>
        <v>150000</v>
      </c>
      <c r="K762" s="18">
        <f>VLOOKUP(E762,Katalog!$C$3:$F$13,3,0)</f>
        <v>55000</v>
      </c>
      <c r="L762" t="str">
        <f t="shared" si="402"/>
        <v>PW002</v>
      </c>
      <c r="M762" t="str">
        <f>IFERROR(INDEX(Katalog!$B$4:$B$13,MATCH('Main Data'!L762,Katalog!$C$4:$C$13,0)), "-")</f>
        <v>Blouse</v>
      </c>
      <c r="N762" t="str">
        <f>IFERROR(VLOOKUP(L762,Katalog!$A$15:$B$25,2,0),"-")</f>
        <v>Pakaian Wanita</v>
      </c>
      <c r="O762" t="str">
        <f t="shared" si="403"/>
        <v>3</v>
      </c>
      <c r="P762" t="str">
        <f t="shared" si="404"/>
        <v>4</v>
      </c>
      <c r="Q762" s="18">
        <f>IFERROR(VLOOKUP(L762,Katalog!$C$3:$F$13,2,0),0)</f>
        <v>125000</v>
      </c>
      <c r="R762" s="18">
        <f>IFERROR(VLOOKUP(L762,Katalog!$C$3:$F$13,3,0),0)</f>
        <v>50000</v>
      </c>
      <c r="S762" t="str">
        <f t="shared" si="405"/>
        <v>-</v>
      </c>
      <c r="T762" t="str">
        <f>IFERROR(INDEX(Katalog!$B$4:$B$13,MATCH('Main Data'!S762,Katalog!$C$4:$C$13,0)),"-")</f>
        <v>-</v>
      </c>
      <c r="U762" t="str">
        <f>IFERROR(VLOOKUP(S762,Katalog!$A$15:$B$25,2,0),"-")</f>
        <v>-</v>
      </c>
      <c r="V762">
        <f t="shared" si="406"/>
        <v>0</v>
      </c>
      <c r="W762" s="28" t="str">
        <f t="shared" si="407"/>
        <v>-</v>
      </c>
      <c r="X762" s="18">
        <f>IFERROR(VLOOKUP(S762,Katalog!$C$3:$F$13,2,0),0)</f>
        <v>0</v>
      </c>
      <c r="Y762" s="30">
        <f>IFERROR(VLOOKUP(S762,Katalog!$C$3:$F$13,3,0),0)</f>
        <v>0</v>
      </c>
      <c r="Z762" s="2">
        <f t="shared" si="408"/>
        <v>7</v>
      </c>
      <c r="AA762" s="4">
        <f t="shared" si="409"/>
        <v>975000</v>
      </c>
      <c r="AB762" s="4">
        <f t="shared" si="410"/>
        <v>370000</v>
      </c>
      <c r="AC762" s="4" t="s">
        <v>5</v>
      </c>
      <c r="AD762" s="16">
        <f>IFERROR(VLOOKUP(AC762,'Kode Diskon'!$C$2:$D$9,2,0),0)</f>
        <v>0.1</v>
      </c>
      <c r="AE762" s="31">
        <f t="shared" si="411"/>
        <v>97500</v>
      </c>
      <c r="AF762" s="31">
        <f t="shared" si="412"/>
        <v>877500</v>
      </c>
      <c r="AG762" s="31">
        <f t="shared" si="413"/>
        <v>605000</v>
      </c>
      <c r="AH762" s="31">
        <f t="shared" si="414"/>
        <v>507500</v>
      </c>
      <c r="AI762" s="4" t="s">
        <v>28</v>
      </c>
      <c r="AJ762" s="4" t="s">
        <v>6</v>
      </c>
      <c r="AK762" s="4" t="str">
        <f>IFERROR(VLOOKUP(AJ762,'Guide '!$A$13:$B$16,2,0),"-")</f>
        <v>SP</v>
      </c>
      <c r="AL762" s="4" t="s">
        <v>921</v>
      </c>
      <c r="AM762" s="40">
        <v>45565</v>
      </c>
      <c r="AN762">
        <f t="shared" si="415"/>
        <v>29</v>
      </c>
      <c r="AO762">
        <f t="shared" si="416"/>
        <v>32</v>
      </c>
      <c r="AP762">
        <f t="shared" si="417"/>
        <v>40</v>
      </c>
      <c r="AQ762">
        <f t="shared" si="418"/>
        <v>43</v>
      </c>
      <c r="AR762" s="26">
        <f t="shared" si="419"/>
        <v>56</v>
      </c>
      <c r="AS762" s="26">
        <f t="shared" si="420"/>
        <v>63</v>
      </c>
      <c r="AT762" s="21">
        <f t="shared" si="421"/>
        <v>12</v>
      </c>
      <c r="AU762" s="21">
        <f t="shared" si="422"/>
        <v>19</v>
      </c>
      <c r="AV762">
        <f t="shared" si="423"/>
        <v>73</v>
      </c>
      <c r="AW762">
        <f t="shared" si="424"/>
        <v>76</v>
      </c>
      <c r="AX762">
        <f t="shared" si="425"/>
        <v>84</v>
      </c>
      <c r="AY762">
        <f t="shared" si="426"/>
        <v>87</v>
      </c>
      <c r="AZ762" t="str">
        <f t="shared" si="427"/>
        <v>-</v>
      </c>
      <c r="BA762" t="str">
        <f t="shared" si="428"/>
        <v>-</v>
      </c>
      <c r="BB762" t="str">
        <f t="shared" si="429"/>
        <v>-</v>
      </c>
      <c r="BC762" t="str">
        <f t="shared" si="430"/>
        <v>-</v>
      </c>
      <c r="BD762" s="29" t="str">
        <f t="shared" si="431"/>
        <v>-</v>
      </c>
      <c r="BE762" s="29" t="str">
        <f t="shared" si="432"/>
        <v>-</v>
      </c>
    </row>
    <row r="763" spans="1:57" ht="15" x14ac:dyDescent="0.2">
      <c r="A763" s="2">
        <v>216</v>
      </c>
      <c r="B763" s="2" t="str">
        <f t="shared" si="397"/>
        <v>0216</v>
      </c>
      <c r="C763" t="str">
        <f t="shared" si="398"/>
        <v>ORD-BB-0216-01/10/24</v>
      </c>
      <c r="D763" s="3" t="s">
        <v>284</v>
      </c>
      <c r="E763" t="str">
        <f t="shared" si="399"/>
        <v>PP003</v>
      </c>
      <c r="F763" t="str">
        <f>INDEX(Katalog!$B$4:$B$13,MATCH('Main Data'!E763,Katalog!$C$4:$C$13,0))</f>
        <v>Jaket Jeans</v>
      </c>
      <c r="G763" t="str">
        <f>VLOOKUP(E763,Katalog!$A$15:$B$25,2,0)</f>
        <v>Pakaian Pria</v>
      </c>
      <c r="H763" t="str">
        <f t="shared" si="400"/>
        <v>2</v>
      </c>
      <c r="I763" t="str">
        <f t="shared" si="401"/>
        <v>3</v>
      </c>
      <c r="J763" s="18">
        <f>VLOOKUP(E763,Katalog!$C$3:$F$13,2,0)</f>
        <v>150000</v>
      </c>
      <c r="K763" s="18">
        <f>VLOOKUP(E763,Katalog!$C$3:$F$13,3,0)</f>
        <v>70000</v>
      </c>
      <c r="L763" t="str">
        <f t="shared" si="402"/>
        <v>PW001</v>
      </c>
      <c r="M763" t="str">
        <f>IFERROR(INDEX(Katalog!$B$4:$B$13,MATCH('Main Data'!L763,Katalog!$C$4:$C$13,0)), "-")</f>
        <v>Dress</v>
      </c>
      <c r="N763" t="str">
        <f>IFERROR(VLOOKUP(L763,Katalog!$A$15:$B$25,2,0),"-")</f>
        <v>Pakaian Wanita</v>
      </c>
      <c r="O763" t="str">
        <f t="shared" si="403"/>
        <v>1</v>
      </c>
      <c r="P763" t="str">
        <f t="shared" si="404"/>
        <v>2</v>
      </c>
      <c r="Q763" s="18">
        <f>IFERROR(VLOOKUP(L763,Katalog!$C$3:$F$13,2,0),0)</f>
        <v>150000</v>
      </c>
      <c r="R763" s="18">
        <f>IFERROR(VLOOKUP(L763,Katalog!$C$3:$F$13,3,0),0)</f>
        <v>55000</v>
      </c>
      <c r="S763" t="str">
        <f t="shared" si="405"/>
        <v>PW002</v>
      </c>
      <c r="T763" t="str">
        <f>IFERROR(INDEX(Katalog!$B$4:$B$13,MATCH('Main Data'!S763,Katalog!$C$4:$C$13,0)),"-")</f>
        <v>Blouse</v>
      </c>
      <c r="U763" t="str">
        <f>IFERROR(VLOOKUP(S763,Katalog!$A$15:$B$25,2,0),"-")</f>
        <v>Pakaian Wanita</v>
      </c>
      <c r="V763" t="str">
        <f t="shared" si="406"/>
        <v>2</v>
      </c>
      <c r="W763" s="28" t="str">
        <f t="shared" si="407"/>
        <v>2</v>
      </c>
      <c r="X763" s="18">
        <f>IFERROR(VLOOKUP(S763,Katalog!$C$3:$F$13,2,0),0)</f>
        <v>125000</v>
      </c>
      <c r="Y763" s="30">
        <f>IFERROR(VLOOKUP(S763,Katalog!$C$3:$F$13,3,0),0)</f>
        <v>50000</v>
      </c>
      <c r="Z763" s="2">
        <f t="shared" si="408"/>
        <v>5</v>
      </c>
      <c r="AA763" s="4">
        <f t="shared" si="409"/>
        <v>700000</v>
      </c>
      <c r="AB763" s="4">
        <f t="shared" si="410"/>
        <v>295000</v>
      </c>
      <c r="AC763" s="4" t="s">
        <v>10</v>
      </c>
      <c r="AD763" s="16">
        <f>IFERROR(VLOOKUP(AC763,'Kode Diskon'!$C$2:$D$9,2,0),0)</f>
        <v>0</v>
      </c>
      <c r="AE763" s="31">
        <f t="shared" si="411"/>
        <v>0</v>
      </c>
      <c r="AF763" s="31">
        <f t="shared" si="412"/>
        <v>700000</v>
      </c>
      <c r="AG763" s="31">
        <f t="shared" si="413"/>
        <v>405000</v>
      </c>
      <c r="AH763" s="31">
        <f t="shared" si="414"/>
        <v>405000</v>
      </c>
      <c r="AI763" s="4" t="s">
        <v>10</v>
      </c>
      <c r="AJ763" s="4" t="s">
        <v>13</v>
      </c>
      <c r="AK763" s="4" t="str">
        <f>IFERROR(VLOOKUP(AJ763,'Guide '!$A$13:$B$16,2,0),"-")</f>
        <v>BB</v>
      </c>
      <c r="AL763" s="4" t="s">
        <v>925</v>
      </c>
      <c r="AM763" s="40">
        <v>45566</v>
      </c>
      <c r="AN763">
        <f t="shared" si="415"/>
        <v>29</v>
      </c>
      <c r="AO763">
        <f t="shared" si="416"/>
        <v>32</v>
      </c>
      <c r="AP763">
        <f t="shared" si="417"/>
        <v>40</v>
      </c>
      <c r="AQ763">
        <f t="shared" si="418"/>
        <v>43</v>
      </c>
      <c r="AR763" s="26">
        <f t="shared" si="419"/>
        <v>56</v>
      </c>
      <c r="AS763" s="26">
        <f t="shared" si="420"/>
        <v>63</v>
      </c>
      <c r="AT763" s="21">
        <f t="shared" si="421"/>
        <v>12</v>
      </c>
      <c r="AU763" s="21">
        <f t="shared" si="422"/>
        <v>19</v>
      </c>
      <c r="AV763">
        <f t="shared" si="423"/>
        <v>73</v>
      </c>
      <c r="AW763">
        <f t="shared" si="424"/>
        <v>76</v>
      </c>
      <c r="AX763">
        <f t="shared" si="425"/>
        <v>84</v>
      </c>
      <c r="AY763">
        <f t="shared" si="426"/>
        <v>87</v>
      </c>
      <c r="AZ763">
        <f t="shared" si="427"/>
        <v>100</v>
      </c>
      <c r="BA763">
        <f t="shared" si="428"/>
        <v>107</v>
      </c>
      <c r="BB763">
        <f t="shared" si="429"/>
        <v>117</v>
      </c>
      <c r="BC763">
        <f t="shared" si="430"/>
        <v>120</v>
      </c>
      <c r="BD763" s="29">
        <f t="shared" si="431"/>
        <v>128</v>
      </c>
      <c r="BE763" s="29">
        <f t="shared" si="432"/>
        <v>131</v>
      </c>
    </row>
    <row r="764" spans="1:57" ht="15" x14ac:dyDescent="0.2">
      <c r="A764" s="2">
        <v>251</v>
      </c>
      <c r="B764" s="2" t="str">
        <f t="shared" si="397"/>
        <v>0251</v>
      </c>
      <c r="C764" t="str">
        <f t="shared" si="398"/>
        <v>ORD-TK-0251-01/10/24</v>
      </c>
      <c r="D764" s="3" t="s">
        <v>316</v>
      </c>
      <c r="E764" t="str">
        <f t="shared" si="399"/>
        <v>SP002</v>
      </c>
      <c r="F764" t="str">
        <f>INDEX(Katalog!$B$4:$B$13,MATCH('Main Data'!E764,Katalog!$C$4:$C$13,0))</f>
        <v>Sandal Slip On</v>
      </c>
      <c r="G764" t="str">
        <f>VLOOKUP(E764,Katalog!$A$15:$B$25,2,0)</f>
        <v>Sepatu Pria</v>
      </c>
      <c r="H764" t="str">
        <f t="shared" si="400"/>
        <v>2</v>
      </c>
      <c r="I764" t="str">
        <f t="shared" si="401"/>
        <v>5</v>
      </c>
      <c r="J764" s="18">
        <f>VLOOKUP(E764,Katalog!$C$3:$F$13,2,0)</f>
        <v>120000</v>
      </c>
      <c r="K764" s="18">
        <f>VLOOKUP(E764,Katalog!$C$3:$F$13,3,0)</f>
        <v>60000</v>
      </c>
      <c r="L764" t="str">
        <f t="shared" si="402"/>
        <v>-</v>
      </c>
      <c r="M764" t="str">
        <f>IFERROR(INDEX(Katalog!$B$4:$B$13,MATCH('Main Data'!L764,Katalog!$C$4:$C$13,0)), "-")</f>
        <v>-</v>
      </c>
      <c r="N764" t="str">
        <f>IFERROR(VLOOKUP(L764,Katalog!$A$15:$B$25,2,0),"-")</f>
        <v>-</v>
      </c>
      <c r="O764">
        <f t="shared" si="403"/>
        <v>0</v>
      </c>
      <c r="P764" t="str">
        <f t="shared" si="404"/>
        <v>-</v>
      </c>
      <c r="Q764" s="18">
        <f>IFERROR(VLOOKUP(L764,Katalog!$C$3:$F$13,2,0),0)</f>
        <v>0</v>
      </c>
      <c r="R764" s="18">
        <f>IFERROR(VLOOKUP(L764,Katalog!$C$3:$F$13,3,0),0)</f>
        <v>0</v>
      </c>
      <c r="S764" t="str">
        <f t="shared" si="405"/>
        <v>-</v>
      </c>
      <c r="T764" t="str">
        <f>IFERROR(INDEX(Katalog!$B$4:$B$13,MATCH('Main Data'!S764,Katalog!$C$4:$C$13,0)),"-")</f>
        <v>-</v>
      </c>
      <c r="U764" t="str">
        <f>IFERROR(VLOOKUP(S764,Katalog!$A$15:$B$25,2,0),"-")</f>
        <v>-</v>
      </c>
      <c r="V764">
        <f t="shared" si="406"/>
        <v>0</v>
      </c>
      <c r="W764" s="28" t="str">
        <f t="shared" si="407"/>
        <v>-</v>
      </c>
      <c r="X764" s="18">
        <f>IFERROR(VLOOKUP(S764,Katalog!$C$3:$F$13,2,0),0)</f>
        <v>0</v>
      </c>
      <c r="Y764" s="30">
        <f>IFERROR(VLOOKUP(S764,Katalog!$C$3:$F$13,3,0),0)</f>
        <v>0</v>
      </c>
      <c r="Z764" s="2">
        <f t="shared" si="408"/>
        <v>2</v>
      </c>
      <c r="AA764" s="4">
        <f t="shared" si="409"/>
        <v>240000</v>
      </c>
      <c r="AB764" s="4">
        <f t="shared" si="410"/>
        <v>120000</v>
      </c>
      <c r="AC764" s="4" t="s">
        <v>30</v>
      </c>
      <c r="AD764" s="16">
        <f>IFERROR(VLOOKUP(AC764,'Kode Diskon'!$C$2:$D$9,2,0),0)</f>
        <v>0.1</v>
      </c>
      <c r="AE764" s="31">
        <f t="shared" si="411"/>
        <v>24000</v>
      </c>
      <c r="AF764" s="31">
        <f t="shared" si="412"/>
        <v>216000</v>
      </c>
      <c r="AG764" s="31">
        <f t="shared" si="413"/>
        <v>120000</v>
      </c>
      <c r="AH764" s="31">
        <f t="shared" si="414"/>
        <v>96000</v>
      </c>
      <c r="AI764" s="4" t="s">
        <v>8</v>
      </c>
      <c r="AJ764" s="4" t="s">
        <v>9</v>
      </c>
      <c r="AK764" s="4" t="str">
        <f>IFERROR(VLOOKUP(AJ764,'Guide '!$A$13:$B$16,2,0),"-")</f>
        <v>TK</v>
      </c>
      <c r="AL764" s="4" t="s">
        <v>921</v>
      </c>
      <c r="AM764" s="40">
        <v>45566</v>
      </c>
      <c r="AN764">
        <f t="shared" si="415"/>
        <v>29</v>
      </c>
      <c r="AO764">
        <f t="shared" si="416"/>
        <v>32</v>
      </c>
      <c r="AP764">
        <f t="shared" si="417"/>
        <v>40</v>
      </c>
      <c r="AQ764">
        <f t="shared" si="418"/>
        <v>43</v>
      </c>
      <c r="AR764" s="26" t="str">
        <f t="shared" si="419"/>
        <v>-</v>
      </c>
      <c r="AS764" s="26" t="str">
        <f t="shared" si="420"/>
        <v>-</v>
      </c>
      <c r="AT764" s="21">
        <f t="shared" si="421"/>
        <v>12</v>
      </c>
      <c r="AU764" s="21">
        <f t="shared" si="422"/>
        <v>19</v>
      </c>
      <c r="AV764" t="str">
        <f t="shared" si="423"/>
        <v>-</v>
      </c>
      <c r="AW764" t="str">
        <f t="shared" si="424"/>
        <v>-</v>
      </c>
      <c r="AX764" t="str">
        <f t="shared" si="425"/>
        <v>-</v>
      </c>
      <c r="AY764" t="str">
        <f t="shared" si="426"/>
        <v>-</v>
      </c>
      <c r="AZ764" t="str">
        <f t="shared" si="427"/>
        <v>-</v>
      </c>
      <c r="BA764" t="str">
        <f t="shared" si="428"/>
        <v>-</v>
      </c>
      <c r="BB764" t="str">
        <f t="shared" si="429"/>
        <v>-</v>
      </c>
      <c r="BC764" t="str">
        <f t="shared" si="430"/>
        <v>-</v>
      </c>
      <c r="BD764" s="29" t="str">
        <f t="shared" si="431"/>
        <v>-</v>
      </c>
      <c r="BE764" s="29" t="str">
        <f t="shared" si="432"/>
        <v>-</v>
      </c>
    </row>
    <row r="765" spans="1:57" ht="15" x14ac:dyDescent="0.2">
      <c r="A765" s="2">
        <v>734</v>
      </c>
      <c r="B765" s="2" t="str">
        <f t="shared" si="397"/>
        <v>0734</v>
      </c>
      <c r="C765" t="str">
        <f t="shared" si="398"/>
        <v>ORD-TK-0734-01/10/24</v>
      </c>
      <c r="D765" s="3" t="s">
        <v>719</v>
      </c>
      <c r="E765" t="str">
        <f t="shared" si="399"/>
        <v>SP001</v>
      </c>
      <c r="F765" t="str">
        <f>INDEX(Katalog!$B$4:$B$13,MATCH('Main Data'!E765,Katalog!$C$4:$C$13,0))</f>
        <v>Sneakers</v>
      </c>
      <c r="G765" t="str">
        <f>VLOOKUP(E765,Katalog!$A$15:$B$25,2,0)</f>
        <v>Sepatu Pria</v>
      </c>
      <c r="H765" t="str">
        <f t="shared" si="400"/>
        <v>2</v>
      </c>
      <c r="I765" t="str">
        <f t="shared" si="401"/>
        <v>1</v>
      </c>
      <c r="J765" s="18">
        <f>VLOOKUP(E765,Katalog!$C$3:$F$13,2,0)</f>
        <v>300000</v>
      </c>
      <c r="K765" s="18">
        <f>VLOOKUP(E765,Katalog!$C$3:$F$13,3,0)</f>
        <v>100000</v>
      </c>
      <c r="L765" t="str">
        <f t="shared" si="402"/>
        <v>SW001</v>
      </c>
      <c r="M765" t="str">
        <f>IFERROR(INDEX(Katalog!$B$4:$B$13,MATCH('Main Data'!L765,Katalog!$C$4:$C$13,0)), "-")</f>
        <v>Flat Shoes</v>
      </c>
      <c r="N765" t="str">
        <f>IFERROR(VLOOKUP(L765,Katalog!$A$15:$B$25,2,0),"-")</f>
        <v>Sepatu Wanita</v>
      </c>
      <c r="O765" t="str">
        <f t="shared" si="403"/>
        <v>2</v>
      </c>
      <c r="P765" t="str">
        <f t="shared" si="404"/>
        <v>3</v>
      </c>
      <c r="Q765" s="18">
        <f>IFERROR(VLOOKUP(L765,Katalog!$C$3:$F$13,2,0),0)</f>
        <v>150000</v>
      </c>
      <c r="R765" s="18">
        <f>IFERROR(VLOOKUP(L765,Katalog!$C$3:$F$13,3,0),0)</f>
        <v>70000</v>
      </c>
      <c r="S765" t="str">
        <f t="shared" si="405"/>
        <v>-</v>
      </c>
      <c r="T765" t="str">
        <f>IFERROR(INDEX(Katalog!$B$4:$B$13,MATCH('Main Data'!S765,Katalog!$C$4:$C$13,0)),"-")</f>
        <v>-</v>
      </c>
      <c r="U765" t="str">
        <f>IFERROR(VLOOKUP(S765,Katalog!$A$15:$B$25,2,0),"-")</f>
        <v>-</v>
      </c>
      <c r="V765">
        <f t="shared" si="406"/>
        <v>0</v>
      </c>
      <c r="W765" s="28" t="str">
        <f t="shared" si="407"/>
        <v>-</v>
      </c>
      <c r="X765" s="18">
        <f>IFERROR(VLOOKUP(S765,Katalog!$C$3:$F$13,2,0),0)</f>
        <v>0</v>
      </c>
      <c r="Y765" s="30">
        <f>IFERROR(VLOOKUP(S765,Katalog!$C$3:$F$13,3,0),0)</f>
        <v>0</v>
      </c>
      <c r="Z765" s="2">
        <f t="shared" si="408"/>
        <v>4</v>
      </c>
      <c r="AA765" s="4">
        <f t="shared" si="409"/>
        <v>900000</v>
      </c>
      <c r="AB765" s="4">
        <f t="shared" si="410"/>
        <v>340000</v>
      </c>
      <c r="AC765" s="4" t="s">
        <v>29</v>
      </c>
      <c r="AD765" s="16">
        <f>IFERROR(VLOOKUP(AC765,'Kode Diskon'!$C$2:$D$9,2,0),0)</f>
        <v>0.1</v>
      </c>
      <c r="AE765" s="31">
        <f t="shared" si="411"/>
        <v>90000</v>
      </c>
      <c r="AF765" s="31">
        <f t="shared" si="412"/>
        <v>810000</v>
      </c>
      <c r="AG765" s="31">
        <f t="shared" si="413"/>
        <v>560000</v>
      </c>
      <c r="AH765" s="31">
        <f t="shared" si="414"/>
        <v>470000</v>
      </c>
      <c r="AI765" s="4" t="s">
        <v>28</v>
      </c>
      <c r="AJ765" s="4" t="s">
        <v>9</v>
      </c>
      <c r="AK765" s="4" t="str">
        <f>IFERROR(VLOOKUP(AJ765,'Guide '!$A$13:$B$16,2,0),"-")</f>
        <v>TK</v>
      </c>
      <c r="AL765" s="4" t="s">
        <v>921</v>
      </c>
      <c r="AM765" s="40">
        <v>45566</v>
      </c>
      <c r="AN765">
        <f t="shared" si="415"/>
        <v>29</v>
      </c>
      <c r="AO765">
        <f t="shared" si="416"/>
        <v>32</v>
      </c>
      <c r="AP765">
        <f t="shared" si="417"/>
        <v>40</v>
      </c>
      <c r="AQ765">
        <f t="shared" si="418"/>
        <v>43</v>
      </c>
      <c r="AR765" s="26">
        <f t="shared" si="419"/>
        <v>56</v>
      </c>
      <c r="AS765" s="26">
        <f t="shared" si="420"/>
        <v>63</v>
      </c>
      <c r="AT765" s="21">
        <f t="shared" si="421"/>
        <v>12</v>
      </c>
      <c r="AU765" s="21">
        <f t="shared" si="422"/>
        <v>19</v>
      </c>
      <c r="AV765">
        <f t="shared" si="423"/>
        <v>73</v>
      </c>
      <c r="AW765">
        <f t="shared" si="424"/>
        <v>76</v>
      </c>
      <c r="AX765">
        <f t="shared" si="425"/>
        <v>84</v>
      </c>
      <c r="AY765">
        <f t="shared" si="426"/>
        <v>87</v>
      </c>
      <c r="AZ765" t="str">
        <f t="shared" si="427"/>
        <v>-</v>
      </c>
      <c r="BA765" t="str">
        <f t="shared" si="428"/>
        <v>-</v>
      </c>
      <c r="BB765" t="str">
        <f t="shared" si="429"/>
        <v>-</v>
      </c>
      <c r="BC765" t="str">
        <f t="shared" si="430"/>
        <v>-</v>
      </c>
      <c r="BD765" s="29" t="str">
        <f t="shared" si="431"/>
        <v>-</v>
      </c>
      <c r="BE765" s="29" t="str">
        <f t="shared" si="432"/>
        <v>-</v>
      </c>
    </row>
    <row r="766" spans="1:57" ht="15" x14ac:dyDescent="0.2">
      <c r="A766" s="2">
        <v>863</v>
      </c>
      <c r="B766" s="2" t="str">
        <f t="shared" si="397"/>
        <v>0863</v>
      </c>
      <c r="C766" t="str">
        <f t="shared" si="398"/>
        <v>ORD-TK-0863-01/10/24</v>
      </c>
      <c r="D766" s="3" t="s">
        <v>811</v>
      </c>
      <c r="E766" t="str">
        <f t="shared" si="399"/>
        <v>PP001</v>
      </c>
      <c r="F766" t="str">
        <f>INDEX(Katalog!$B$4:$B$13,MATCH('Main Data'!E766,Katalog!$C$4:$C$13,0))</f>
        <v>Kaos Polo</v>
      </c>
      <c r="G766" t="str">
        <f>VLOOKUP(E766,Katalog!$A$15:$B$25,2,0)</f>
        <v>Pakaian Pria</v>
      </c>
      <c r="H766" t="str">
        <f t="shared" si="400"/>
        <v>2</v>
      </c>
      <c r="I766" t="str">
        <f t="shared" si="401"/>
        <v>2</v>
      </c>
      <c r="J766" s="18">
        <f>VLOOKUP(E766,Katalog!$C$3:$F$13,2,0)</f>
        <v>80000</v>
      </c>
      <c r="K766" s="18">
        <f>VLOOKUP(E766,Katalog!$C$3:$F$13,3,0)</f>
        <v>30000</v>
      </c>
      <c r="L766" t="str">
        <f t="shared" si="402"/>
        <v>-</v>
      </c>
      <c r="M766" t="str">
        <f>IFERROR(INDEX(Katalog!$B$4:$B$13,MATCH('Main Data'!L766,Katalog!$C$4:$C$13,0)), "-")</f>
        <v>-</v>
      </c>
      <c r="N766" t="str">
        <f>IFERROR(VLOOKUP(L766,Katalog!$A$15:$B$25,2,0),"-")</f>
        <v>-</v>
      </c>
      <c r="O766">
        <f t="shared" si="403"/>
        <v>0</v>
      </c>
      <c r="P766" t="str">
        <f t="shared" si="404"/>
        <v>-</v>
      </c>
      <c r="Q766" s="18">
        <f>IFERROR(VLOOKUP(L766,Katalog!$C$3:$F$13,2,0),0)</f>
        <v>0</v>
      </c>
      <c r="R766" s="18">
        <f>IFERROR(VLOOKUP(L766,Katalog!$C$3:$F$13,3,0),0)</f>
        <v>0</v>
      </c>
      <c r="S766" t="str">
        <f t="shared" si="405"/>
        <v>-</v>
      </c>
      <c r="T766" t="str">
        <f>IFERROR(INDEX(Katalog!$B$4:$B$13,MATCH('Main Data'!S766,Katalog!$C$4:$C$13,0)),"-")</f>
        <v>-</v>
      </c>
      <c r="U766" t="str">
        <f>IFERROR(VLOOKUP(S766,Katalog!$A$15:$B$25,2,0),"-")</f>
        <v>-</v>
      </c>
      <c r="V766">
        <f t="shared" si="406"/>
        <v>0</v>
      </c>
      <c r="W766" s="28" t="str">
        <f t="shared" si="407"/>
        <v>-</v>
      </c>
      <c r="X766" s="18">
        <f>IFERROR(VLOOKUP(S766,Katalog!$C$3:$F$13,2,0),0)</f>
        <v>0</v>
      </c>
      <c r="Y766" s="30">
        <f>IFERROR(VLOOKUP(S766,Katalog!$C$3:$F$13,3,0),0)</f>
        <v>0</v>
      </c>
      <c r="Z766" s="2">
        <f t="shared" si="408"/>
        <v>2</v>
      </c>
      <c r="AA766" s="4">
        <f t="shared" si="409"/>
        <v>160000</v>
      </c>
      <c r="AB766" s="4">
        <f t="shared" si="410"/>
        <v>60000</v>
      </c>
      <c r="AC766" s="4" t="s">
        <v>10</v>
      </c>
      <c r="AD766" s="16">
        <f>IFERROR(VLOOKUP(AC766,'Kode Diskon'!$C$2:$D$9,2,0),0)</f>
        <v>0</v>
      </c>
      <c r="AE766" s="31">
        <f t="shared" si="411"/>
        <v>0</v>
      </c>
      <c r="AF766" s="31">
        <f t="shared" si="412"/>
        <v>160000</v>
      </c>
      <c r="AG766" s="31">
        <f t="shared" si="413"/>
        <v>100000</v>
      </c>
      <c r="AH766" s="31">
        <f t="shared" si="414"/>
        <v>100000</v>
      </c>
      <c r="AI766" s="4" t="s">
        <v>10</v>
      </c>
      <c r="AJ766" s="4" t="s">
        <v>9</v>
      </c>
      <c r="AK766" s="4" t="str">
        <f>IFERROR(VLOOKUP(AJ766,'Guide '!$A$13:$B$16,2,0),"-")</f>
        <v>TK</v>
      </c>
      <c r="AL766" s="4" t="s">
        <v>922</v>
      </c>
      <c r="AM766" s="40">
        <v>45566</v>
      </c>
      <c r="AN766">
        <f t="shared" si="415"/>
        <v>29</v>
      </c>
      <c r="AO766">
        <f t="shared" si="416"/>
        <v>32</v>
      </c>
      <c r="AP766">
        <f t="shared" si="417"/>
        <v>40</v>
      </c>
      <c r="AQ766">
        <f t="shared" si="418"/>
        <v>43</v>
      </c>
      <c r="AR766" s="26" t="str">
        <f t="shared" si="419"/>
        <v>-</v>
      </c>
      <c r="AS766" s="26" t="str">
        <f t="shared" si="420"/>
        <v>-</v>
      </c>
      <c r="AT766" s="21">
        <f t="shared" si="421"/>
        <v>12</v>
      </c>
      <c r="AU766" s="21">
        <f t="shared" si="422"/>
        <v>19</v>
      </c>
      <c r="AV766" t="str">
        <f t="shared" si="423"/>
        <v>-</v>
      </c>
      <c r="AW766" t="str">
        <f t="shared" si="424"/>
        <v>-</v>
      </c>
      <c r="AX766" t="str">
        <f t="shared" si="425"/>
        <v>-</v>
      </c>
      <c r="AY766" t="str">
        <f t="shared" si="426"/>
        <v>-</v>
      </c>
      <c r="AZ766" t="str">
        <f t="shared" si="427"/>
        <v>-</v>
      </c>
      <c r="BA766" t="str">
        <f t="shared" si="428"/>
        <v>-</v>
      </c>
      <c r="BB766" t="str">
        <f t="shared" si="429"/>
        <v>-</v>
      </c>
      <c r="BC766" t="str">
        <f t="shared" si="430"/>
        <v>-</v>
      </c>
      <c r="BD766" s="29" t="str">
        <f t="shared" si="431"/>
        <v>-</v>
      </c>
      <c r="BE766" s="29" t="str">
        <f t="shared" si="432"/>
        <v>-</v>
      </c>
    </row>
    <row r="767" spans="1:57" ht="15" x14ac:dyDescent="0.2">
      <c r="A767" s="2">
        <v>937</v>
      </c>
      <c r="B767" s="2" t="str">
        <f t="shared" si="397"/>
        <v>0937</v>
      </c>
      <c r="C767" t="str">
        <f t="shared" si="398"/>
        <v>ORD-SP-0937-01/10/24</v>
      </c>
      <c r="D767" s="3" t="s">
        <v>869</v>
      </c>
      <c r="E767" t="str">
        <f t="shared" si="399"/>
        <v>PP002</v>
      </c>
      <c r="F767" t="str">
        <f>INDEX(Katalog!$B$4:$B$13,MATCH('Main Data'!E767,Katalog!$C$4:$C$13,0))</f>
        <v>Celana Pendek</v>
      </c>
      <c r="G767" t="str">
        <f>VLOOKUP(E767,Katalog!$A$15:$B$25,2,0)</f>
        <v>Pakaian Pria</v>
      </c>
      <c r="H767" t="str">
        <f t="shared" si="400"/>
        <v>2</v>
      </c>
      <c r="I767" t="str">
        <f t="shared" si="401"/>
        <v>4</v>
      </c>
      <c r="J767" s="18">
        <f>VLOOKUP(E767,Katalog!$C$3:$F$13,2,0)</f>
        <v>60000</v>
      </c>
      <c r="K767" s="18">
        <f>VLOOKUP(E767,Katalog!$C$3:$F$13,3,0)</f>
        <v>25000</v>
      </c>
      <c r="L767" t="str">
        <f t="shared" si="402"/>
        <v>SP002</v>
      </c>
      <c r="M767" t="str">
        <f>IFERROR(INDEX(Katalog!$B$4:$B$13,MATCH('Main Data'!L767,Katalog!$C$4:$C$13,0)), "-")</f>
        <v>Sandal Slip On</v>
      </c>
      <c r="N767" t="str">
        <f>IFERROR(VLOOKUP(L767,Katalog!$A$15:$B$25,2,0),"-")</f>
        <v>Sepatu Pria</v>
      </c>
      <c r="O767" t="str">
        <f t="shared" si="403"/>
        <v>2</v>
      </c>
      <c r="P767" t="str">
        <f t="shared" si="404"/>
        <v>2</v>
      </c>
      <c r="Q767" s="18">
        <f>IFERROR(VLOOKUP(L767,Katalog!$C$3:$F$13,2,0),0)</f>
        <v>120000</v>
      </c>
      <c r="R767" s="18">
        <f>IFERROR(VLOOKUP(L767,Katalog!$C$3:$F$13,3,0),0)</f>
        <v>60000</v>
      </c>
      <c r="S767" t="str">
        <f t="shared" si="405"/>
        <v>SP001</v>
      </c>
      <c r="T767" t="str">
        <f>IFERROR(INDEX(Katalog!$B$4:$B$13,MATCH('Main Data'!S767,Katalog!$C$4:$C$13,0)),"-")</f>
        <v>Sneakers</v>
      </c>
      <c r="U767" t="str">
        <f>IFERROR(VLOOKUP(S767,Katalog!$A$15:$B$25,2,0),"-")</f>
        <v>Sepatu Pria</v>
      </c>
      <c r="V767" t="str">
        <f t="shared" si="406"/>
        <v>1</v>
      </c>
      <c r="W767" s="28" t="str">
        <f t="shared" si="407"/>
        <v>4</v>
      </c>
      <c r="X767" s="18">
        <f>IFERROR(VLOOKUP(S767,Katalog!$C$3:$F$13,2,0),0)</f>
        <v>300000</v>
      </c>
      <c r="Y767" s="30">
        <f>IFERROR(VLOOKUP(S767,Katalog!$C$3:$F$13,3,0),0)</f>
        <v>100000</v>
      </c>
      <c r="Z767" s="2">
        <f t="shared" si="408"/>
        <v>5</v>
      </c>
      <c r="AA767" s="4">
        <f t="shared" si="409"/>
        <v>660000</v>
      </c>
      <c r="AB767" s="4">
        <f t="shared" si="410"/>
        <v>270000</v>
      </c>
      <c r="AC767" s="4" t="s">
        <v>5</v>
      </c>
      <c r="AD767" s="16">
        <f>IFERROR(VLOOKUP(AC767,'Kode Diskon'!$C$2:$D$9,2,0),0)</f>
        <v>0.1</v>
      </c>
      <c r="AE767" s="31">
        <f t="shared" si="411"/>
        <v>66000</v>
      </c>
      <c r="AF767" s="31">
        <f t="shared" si="412"/>
        <v>594000</v>
      </c>
      <c r="AG767" s="31">
        <f t="shared" si="413"/>
        <v>390000</v>
      </c>
      <c r="AH767" s="31">
        <f t="shared" si="414"/>
        <v>324000</v>
      </c>
      <c r="AI767" s="4" t="s">
        <v>28</v>
      </c>
      <c r="AJ767" s="4" t="s">
        <v>6</v>
      </c>
      <c r="AK767" s="4" t="str">
        <f>IFERROR(VLOOKUP(AJ767,'Guide '!$A$13:$B$16,2,0),"-")</f>
        <v>SP</v>
      </c>
      <c r="AL767" s="4" t="s">
        <v>924</v>
      </c>
      <c r="AM767" s="40">
        <v>45566</v>
      </c>
      <c r="AN767">
        <f t="shared" si="415"/>
        <v>29</v>
      </c>
      <c r="AO767">
        <f t="shared" si="416"/>
        <v>32</v>
      </c>
      <c r="AP767">
        <f t="shared" si="417"/>
        <v>40</v>
      </c>
      <c r="AQ767">
        <f t="shared" si="418"/>
        <v>43</v>
      </c>
      <c r="AR767" s="26">
        <f t="shared" si="419"/>
        <v>56</v>
      </c>
      <c r="AS767" s="26">
        <f t="shared" si="420"/>
        <v>63</v>
      </c>
      <c r="AT767" s="21">
        <f t="shared" si="421"/>
        <v>12</v>
      </c>
      <c r="AU767" s="21">
        <f t="shared" si="422"/>
        <v>19</v>
      </c>
      <c r="AV767">
        <f t="shared" si="423"/>
        <v>73</v>
      </c>
      <c r="AW767">
        <f t="shared" si="424"/>
        <v>76</v>
      </c>
      <c r="AX767">
        <f t="shared" si="425"/>
        <v>84</v>
      </c>
      <c r="AY767">
        <f t="shared" si="426"/>
        <v>87</v>
      </c>
      <c r="AZ767">
        <f t="shared" si="427"/>
        <v>100</v>
      </c>
      <c r="BA767">
        <f t="shared" si="428"/>
        <v>107</v>
      </c>
      <c r="BB767">
        <f t="shared" si="429"/>
        <v>117</v>
      </c>
      <c r="BC767">
        <f t="shared" si="430"/>
        <v>120</v>
      </c>
      <c r="BD767" s="29">
        <f t="shared" si="431"/>
        <v>128</v>
      </c>
      <c r="BE767" s="29">
        <f t="shared" si="432"/>
        <v>131</v>
      </c>
    </row>
    <row r="768" spans="1:57" ht="15" x14ac:dyDescent="0.2">
      <c r="A768" s="2">
        <v>1000</v>
      </c>
      <c r="B768" s="2" t="str">
        <f t="shared" si="397"/>
        <v>1000</v>
      </c>
      <c r="C768" t="str">
        <f t="shared" si="398"/>
        <v>ORD-SP-1000-01/10/24</v>
      </c>
      <c r="D768" s="3" t="s">
        <v>918</v>
      </c>
      <c r="E768" t="str">
        <f t="shared" si="399"/>
        <v>SP001</v>
      </c>
      <c r="F768" t="str">
        <f>INDEX(Katalog!$B$4:$B$13,MATCH('Main Data'!E768,Katalog!$C$4:$C$13,0))</f>
        <v>Sneakers</v>
      </c>
      <c r="G768" t="str">
        <f>VLOOKUP(E768,Katalog!$A$15:$B$25,2,0)</f>
        <v>Sepatu Pria</v>
      </c>
      <c r="H768" t="str">
        <f t="shared" si="400"/>
        <v>3</v>
      </c>
      <c r="I768" t="str">
        <f t="shared" si="401"/>
        <v>3</v>
      </c>
      <c r="J768" s="18">
        <f>VLOOKUP(E768,Katalog!$C$3:$F$13,2,0)</f>
        <v>300000</v>
      </c>
      <c r="K768" s="18">
        <f>VLOOKUP(E768,Katalog!$C$3:$F$13,3,0)</f>
        <v>100000</v>
      </c>
      <c r="L768" t="str">
        <f t="shared" si="402"/>
        <v>PW001</v>
      </c>
      <c r="M768" t="str">
        <f>IFERROR(INDEX(Katalog!$B$4:$B$13,MATCH('Main Data'!L768,Katalog!$C$4:$C$13,0)), "-")</f>
        <v>Dress</v>
      </c>
      <c r="N768" t="str">
        <f>IFERROR(VLOOKUP(L768,Katalog!$A$15:$B$25,2,0),"-")</f>
        <v>Pakaian Wanita</v>
      </c>
      <c r="O768" t="str">
        <f t="shared" si="403"/>
        <v>2</v>
      </c>
      <c r="P768" t="str">
        <f t="shared" si="404"/>
        <v>5</v>
      </c>
      <c r="Q768" s="18">
        <f>IFERROR(VLOOKUP(L768,Katalog!$C$3:$F$13,2,0),0)</f>
        <v>150000</v>
      </c>
      <c r="R768" s="18">
        <f>IFERROR(VLOOKUP(L768,Katalog!$C$3:$F$13,3,0),0)</f>
        <v>55000</v>
      </c>
      <c r="S768" t="str">
        <f t="shared" si="405"/>
        <v>PP001</v>
      </c>
      <c r="T768" t="str">
        <f>IFERROR(INDEX(Katalog!$B$4:$B$13,MATCH('Main Data'!S768,Katalog!$C$4:$C$13,0)),"-")</f>
        <v>Kaos Polo</v>
      </c>
      <c r="U768" t="str">
        <f>IFERROR(VLOOKUP(S768,Katalog!$A$15:$B$25,2,0),"-")</f>
        <v>Pakaian Pria</v>
      </c>
      <c r="V768" t="str">
        <f t="shared" si="406"/>
        <v>1</v>
      </c>
      <c r="W768" s="28" t="str">
        <f t="shared" si="407"/>
        <v>2</v>
      </c>
      <c r="X768" s="18">
        <f>IFERROR(VLOOKUP(S768,Katalog!$C$3:$F$13,2,0),0)</f>
        <v>80000</v>
      </c>
      <c r="Y768" s="30">
        <f>IFERROR(VLOOKUP(S768,Katalog!$C$3:$F$13,3,0),0)</f>
        <v>30000</v>
      </c>
      <c r="Z768" s="2">
        <f t="shared" si="408"/>
        <v>6</v>
      </c>
      <c r="AA768" s="4">
        <f t="shared" si="409"/>
        <v>1280000</v>
      </c>
      <c r="AB768" s="4">
        <f t="shared" si="410"/>
        <v>440000</v>
      </c>
      <c r="AC768" s="4" t="s">
        <v>12</v>
      </c>
      <c r="AD768" s="16">
        <f>IFERROR(VLOOKUP(AC768,'Kode Diskon'!$C$2:$D$9,2,0),0)</f>
        <v>0.15</v>
      </c>
      <c r="AE768" s="31">
        <f t="shared" si="411"/>
        <v>192000</v>
      </c>
      <c r="AF768" s="31">
        <f t="shared" si="412"/>
        <v>1088000</v>
      </c>
      <c r="AG768" s="31">
        <f t="shared" si="413"/>
        <v>840000</v>
      </c>
      <c r="AH768" s="31">
        <f t="shared" si="414"/>
        <v>648000</v>
      </c>
      <c r="AI768" s="4" t="s">
        <v>28</v>
      </c>
      <c r="AJ768" s="4" t="s">
        <v>6</v>
      </c>
      <c r="AK768" s="4" t="str">
        <f>IFERROR(VLOOKUP(AJ768,'Guide '!$A$13:$B$16,2,0),"-")</f>
        <v>SP</v>
      </c>
      <c r="AL768" s="4" t="s">
        <v>922</v>
      </c>
      <c r="AM768" s="40">
        <v>45566</v>
      </c>
      <c r="AN768">
        <f t="shared" si="415"/>
        <v>29</v>
      </c>
      <c r="AO768">
        <f t="shared" si="416"/>
        <v>32</v>
      </c>
      <c r="AP768">
        <f t="shared" si="417"/>
        <v>40</v>
      </c>
      <c r="AQ768">
        <f t="shared" si="418"/>
        <v>43</v>
      </c>
      <c r="AR768" s="26">
        <f t="shared" si="419"/>
        <v>56</v>
      </c>
      <c r="AS768" s="26">
        <f t="shared" si="420"/>
        <v>63</v>
      </c>
      <c r="AT768" s="21">
        <f t="shared" si="421"/>
        <v>12</v>
      </c>
      <c r="AU768" s="21">
        <f t="shared" si="422"/>
        <v>19</v>
      </c>
      <c r="AV768">
        <f t="shared" si="423"/>
        <v>73</v>
      </c>
      <c r="AW768">
        <f t="shared" si="424"/>
        <v>76</v>
      </c>
      <c r="AX768">
        <f t="shared" si="425"/>
        <v>84</v>
      </c>
      <c r="AY768">
        <f t="shared" si="426"/>
        <v>87</v>
      </c>
      <c r="AZ768">
        <f t="shared" si="427"/>
        <v>100</v>
      </c>
      <c r="BA768">
        <f t="shared" si="428"/>
        <v>107</v>
      </c>
      <c r="BB768">
        <f t="shared" si="429"/>
        <v>117</v>
      </c>
      <c r="BC768">
        <f t="shared" si="430"/>
        <v>120</v>
      </c>
      <c r="BD768" s="29">
        <f t="shared" si="431"/>
        <v>128</v>
      </c>
      <c r="BE768" s="29">
        <f t="shared" si="432"/>
        <v>131</v>
      </c>
    </row>
    <row r="769" spans="1:57" ht="15" x14ac:dyDescent="0.2">
      <c r="A769" s="2">
        <v>162</v>
      </c>
      <c r="B769" s="2" t="str">
        <f t="shared" si="397"/>
        <v>0162</v>
      </c>
      <c r="C769" t="str">
        <f t="shared" si="398"/>
        <v>ORD-SP-0162-02/10/24</v>
      </c>
      <c r="D769" s="3" t="s">
        <v>231</v>
      </c>
      <c r="E769" t="str">
        <f t="shared" si="399"/>
        <v>PU001</v>
      </c>
      <c r="F769" t="str">
        <f>INDEX(Katalog!$B$4:$B$13,MATCH('Main Data'!E769,Katalog!$C$4:$C$13,0))</f>
        <v>Jaket Hoodie</v>
      </c>
      <c r="G769" t="str">
        <f>VLOOKUP(E769,Katalog!$A$15:$B$25,2,0)</f>
        <v>Pakaian Unisex</v>
      </c>
      <c r="H769" t="str">
        <f t="shared" si="400"/>
        <v>2</v>
      </c>
      <c r="I769" t="str">
        <f t="shared" si="401"/>
        <v>3</v>
      </c>
      <c r="J769" s="18">
        <f>VLOOKUP(E769,Katalog!$C$3:$F$13,2,0)</f>
        <v>160000</v>
      </c>
      <c r="K769" s="18">
        <f>VLOOKUP(E769,Katalog!$C$3:$F$13,3,0)</f>
        <v>60000</v>
      </c>
      <c r="L769" t="str">
        <f t="shared" si="402"/>
        <v>PU001</v>
      </c>
      <c r="M769" t="str">
        <f>IFERROR(INDEX(Katalog!$B$4:$B$13,MATCH('Main Data'!L769,Katalog!$C$4:$C$13,0)), "-")</f>
        <v>Jaket Hoodie</v>
      </c>
      <c r="N769" t="str">
        <f>IFERROR(VLOOKUP(L769,Katalog!$A$15:$B$25,2,0),"-")</f>
        <v>Pakaian Unisex</v>
      </c>
      <c r="O769" t="str">
        <f t="shared" si="403"/>
        <v>2</v>
      </c>
      <c r="P769" t="str">
        <f t="shared" si="404"/>
        <v>1</v>
      </c>
      <c r="Q769" s="18">
        <f>IFERROR(VLOOKUP(L769,Katalog!$C$3:$F$13,2,0),0)</f>
        <v>160000</v>
      </c>
      <c r="R769" s="18">
        <f>IFERROR(VLOOKUP(L769,Katalog!$C$3:$F$13,3,0),0)</f>
        <v>60000</v>
      </c>
      <c r="S769" t="str">
        <f t="shared" si="405"/>
        <v>PU001</v>
      </c>
      <c r="T769" t="str">
        <f>IFERROR(INDEX(Katalog!$B$4:$B$13,MATCH('Main Data'!S769,Katalog!$C$4:$C$13,0)),"-")</f>
        <v>Jaket Hoodie</v>
      </c>
      <c r="U769" t="str">
        <f>IFERROR(VLOOKUP(S769,Katalog!$A$15:$B$25,2,0),"-")</f>
        <v>Pakaian Unisex</v>
      </c>
      <c r="V769" t="str">
        <f t="shared" si="406"/>
        <v>2</v>
      </c>
      <c r="W769" s="28" t="str">
        <f t="shared" si="407"/>
        <v>4</v>
      </c>
      <c r="X769" s="18">
        <f>IFERROR(VLOOKUP(S769,Katalog!$C$3:$F$13,2,0),0)</f>
        <v>160000</v>
      </c>
      <c r="Y769" s="30">
        <f>IFERROR(VLOOKUP(S769,Katalog!$C$3:$F$13,3,0),0)</f>
        <v>60000</v>
      </c>
      <c r="Z769" s="2">
        <f t="shared" si="408"/>
        <v>6</v>
      </c>
      <c r="AA769" s="4">
        <f t="shared" si="409"/>
        <v>960000</v>
      </c>
      <c r="AB769" s="4">
        <f t="shared" si="410"/>
        <v>360000</v>
      </c>
      <c r="AC769" s="4" t="s">
        <v>5</v>
      </c>
      <c r="AD769" s="16">
        <f>IFERROR(VLOOKUP(AC769,'Kode Diskon'!$C$2:$D$9,2,0),0)</f>
        <v>0.1</v>
      </c>
      <c r="AE769" s="31">
        <f t="shared" si="411"/>
        <v>96000</v>
      </c>
      <c r="AF769" s="31">
        <f t="shared" si="412"/>
        <v>864000</v>
      </c>
      <c r="AG769" s="31">
        <f t="shared" si="413"/>
        <v>600000</v>
      </c>
      <c r="AH769" s="31">
        <f t="shared" si="414"/>
        <v>504000</v>
      </c>
      <c r="AI769" s="4" t="s">
        <v>28</v>
      </c>
      <c r="AJ769" s="4" t="s">
        <v>6</v>
      </c>
      <c r="AK769" s="4" t="str">
        <f>IFERROR(VLOOKUP(AJ769,'Guide '!$A$13:$B$16,2,0),"-")</f>
        <v>SP</v>
      </c>
      <c r="AL769" s="4" t="s">
        <v>923</v>
      </c>
      <c r="AM769" s="40">
        <v>45567</v>
      </c>
      <c r="AN769">
        <f t="shared" si="415"/>
        <v>29</v>
      </c>
      <c r="AO769">
        <f t="shared" si="416"/>
        <v>32</v>
      </c>
      <c r="AP769">
        <f t="shared" si="417"/>
        <v>40</v>
      </c>
      <c r="AQ769">
        <f t="shared" si="418"/>
        <v>43</v>
      </c>
      <c r="AR769" s="26">
        <f t="shared" si="419"/>
        <v>56</v>
      </c>
      <c r="AS769" s="26">
        <f t="shared" si="420"/>
        <v>63</v>
      </c>
      <c r="AT769" s="21">
        <f t="shared" si="421"/>
        <v>12</v>
      </c>
      <c r="AU769" s="21">
        <f t="shared" si="422"/>
        <v>19</v>
      </c>
      <c r="AV769">
        <f t="shared" si="423"/>
        <v>73</v>
      </c>
      <c r="AW769">
        <f t="shared" si="424"/>
        <v>76</v>
      </c>
      <c r="AX769">
        <f t="shared" si="425"/>
        <v>84</v>
      </c>
      <c r="AY769">
        <f t="shared" si="426"/>
        <v>87</v>
      </c>
      <c r="AZ769">
        <f t="shared" si="427"/>
        <v>100</v>
      </c>
      <c r="BA769">
        <f t="shared" si="428"/>
        <v>107</v>
      </c>
      <c r="BB769">
        <f t="shared" si="429"/>
        <v>117</v>
      </c>
      <c r="BC769">
        <f t="shared" si="430"/>
        <v>120</v>
      </c>
      <c r="BD769" s="29">
        <f t="shared" si="431"/>
        <v>128</v>
      </c>
      <c r="BE769" s="29">
        <f t="shared" si="432"/>
        <v>131</v>
      </c>
    </row>
    <row r="770" spans="1:57" ht="15" x14ac:dyDescent="0.2">
      <c r="A770" s="2">
        <v>683</v>
      </c>
      <c r="B770" s="2" t="str">
        <f t="shared" si="397"/>
        <v>0683</v>
      </c>
      <c r="C770" t="str">
        <f t="shared" si="398"/>
        <v>ORD-SP-0683-02/10/24</v>
      </c>
      <c r="D770" s="3" t="s">
        <v>680</v>
      </c>
      <c r="E770" t="str">
        <f t="shared" si="399"/>
        <v>PP001</v>
      </c>
      <c r="F770" t="str">
        <f>INDEX(Katalog!$B$4:$B$13,MATCH('Main Data'!E770,Katalog!$C$4:$C$13,0))</f>
        <v>Kaos Polo</v>
      </c>
      <c r="G770" t="str">
        <f>VLOOKUP(E770,Katalog!$A$15:$B$25,2,0)</f>
        <v>Pakaian Pria</v>
      </c>
      <c r="H770" t="str">
        <f t="shared" si="400"/>
        <v>5</v>
      </c>
      <c r="I770" t="str">
        <f t="shared" si="401"/>
        <v>4</v>
      </c>
      <c r="J770" s="18">
        <f>VLOOKUP(E770,Katalog!$C$3:$F$13,2,0)</f>
        <v>80000</v>
      </c>
      <c r="K770" s="18">
        <f>VLOOKUP(E770,Katalog!$C$3:$F$13,3,0)</f>
        <v>30000</v>
      </c>
      <c r="L770" t="str">
        <f t="shared" si="402"/>
        <v>SP002</v>
      </c>
      <c r="M770" t="str">
        <f>IFERROR(INDEX(Katalog!$B$4:$B$13,MATCH('Main Data'!L770,Katalog!$C$4:$C$13,0)), "-")</f>
        <v>Sandal Slip On</v>
      </c>
      <c r="N770" t="str">
        <f>IFERROR(VLOOKUP(L770,Katalog!$A$15:$B$25,2,0),"-")</f>
        <v>Sepatu Pria</v>
      </c>
      <c r="O770" t="str">
        <f t="shared" si="403"/>
        <v>1</v>
      </c>
      <c r="P770" t="str">
        <f t="shared" si="404"/>
        <v>4</v>
      </c>
      <c r="Q770" s="18">
        <f>IFERROR(VLOOKUP(L770,Katalog!$C$3:$F$13,2,0),0)</f>
        <v>120000</v>
      </c>
      <c r="R770" s="18">
        <f>IFERROR(VLOOKUP(L770,Katalog!$C$3:$F$13,3,0),0)</f>
        <v>60000</v>
      </c>
      <c r="S770" t="str">
        <f t="shared" si="405"/>
        <v>-</v>
      </c>
      <c r="T770" t="str">
        <f>IFERROR(INDEX(Katalog!$B$4:$B$13,MATCH('Main Data'!S770,Katalog!$C$4:$C$13,0)),"-")</f>
        <v>-</v>
      </c>
      <c r="U770" t="str">
        <f>IFERROR(VLOOKUP(S770,Katalog!$A$15:$B$25,2,0),"-")</f>
        <v>-</v>
      </c>
      <c r="V770">
        <f t="shared" si="406"/>
        <v>0</v>
      </c>
      <c r="W770" s="28" t="str">
        <f t="shared" si="407"/>
        <v>-</v>
      </c>
      <c r="X770" s="18">
        <f>IFERROR(VLOOKUP(S770,Katalog!$C$3:$F$13,2,0),0)</f>
        <v>0</v>
      </c>
      <c r="Y770" s="30">
        <f>IFERROR(VLOOKUP(S770,Katalog!$C$3:$F$13,3,0),0)</f>
        <v>0</v>
      </c>
      <c r="Z770" s="2">
        <f t="shared" si="408"/>
        <v>6</v>
      </c>
      <c r="AA770" s="4">
        <f t="shared" si="409"/>
        <v>520000</v>
      </c>
      <c r="AB770" s="4">
        <f t="shared" si="410"/>
        <v>210000</v>
      </c>
      <c r="AC770" s="4" t="s">
        <v>7</v>
      </c>
      <c r="AD770" s="16">
        <f>IFERROR(VLOOKUP(AC770,'Kode Diskon'!$C$2:$D$9,2,0),0)</f>
        <v>0.2</v>
      </c>
      <c r="AE770" s="31">
        <f t="shared" si="411"/>
        <v>104000</v>
      </c>
      <c r="AF770" s="31">
        <f t="shared" si="412"/>
        <v>416000</v>
      </c>
      <c r="AG770" s="31">
        <f t="shared" si="413"/>
        <v>310000</v>
      </c>
      <c r="AH770" s="31">
        <f t="shared" si="414"/>
        <v>206000</v>
      </c>
      <c r="AI770" s="4" t="s">
        <v>8</v>
      </c>
      <c r="AJ770" s="4" t="s">
        <v>6</v>
      </c>
      <c r="AK770" s="4" t="str">
        <f>IFERROR(VLOOKUP(AJ770,'Guide '!$A$13:$B$16,2,0),"-")</f>
        <v>SP</v>
      </c>
      <c r="AL770" s="4" t="s">
        <v>923</v>
      </c>
      <c r="AM770" s="40">
        <v>45567</v>
      </c>
      <c r="AN770">
        <f t="shared" si="415"/>
        <v>29</v>
      </c>
      <c r="AO770">
        <f t="shared" si="416"/>
        <v>32</v>
      </c>
      <c r="AP770">
        <f t="shared" si="417"/>
        <v>40</v>
      </c>
      <c r="AQ770">
        <f t="shared" si="418"/>
        <v>43</v>
      </c>
      <c r="AR770" s="26">
        <f t="shared" si="419"/>
        <v>56</v>
      </c>
      <c r="AS770" s="26">
        <f t="shared" si="420"/>
        <v>63</v>
      </c>
      <c r="AT770" s="21">
        <f t="shared" si="421"/>
        <v>12</v>
      </c>
      <c r="AU770" s="21">
        <f t="shared" si="422"/>
        <v>19</v>
      </c>
      <c r="AV770">
        <f t="shared" si="423"/>
        <v>73</v>
      </c>
      <c r="AW770">
        <f t="shared" si="424"/>
        <v>76</v>
      </c>
      <c r="AX770">
        <f t="shared" si="425"/>
        <v>84</v>
      </c>
      <c r="AY770">
        <f t="shared" si="426"/>
        <v>87</v>
      </c>
      <c r="AZ770" t="str">
        <f t="shared" si="427"/>
        <v>-</v>
      </c>
      <c r="BA770" t="str">
        <f t="shared" si="428"/>
        <v>-</v>
      </c>
      <c r="BB770" t="str">
        <f t="shared" si="429"/>
        <v>-</v>
      </c>
      <c r="BC770" t="str">
        <f t="shared" si="430"/>
        <v>-</v>
      </c>
      <c r="BD770" s="29" t="str">
        <f t="shared" si="431"/>
        <v>-</v>
      </c>
      <c r="BE770" s="29" t="str">
        <f t="shared" si="432"/>
        <v>-</v>
      </c>
    </row>
    <row r="771" spans="1:57" ht="15" x14ac:dyDescent="0.2">
      <c r="A771" s="2">
        <v>762</v>
      </c>
      <c r="B771" s="2" t="str">
        <f t="shared" ref="B771:B834" si="433">TEXT(A771,"0000")</f>
        <v>0762</v>
      </c>
      <c r="C771" t="str">
        <f t="shared" ref="C771:C834" si="434">CONCATENATE("ORD","-",AK771,"-",B771,"-",TEXT(AM771,"dd/mm/yy"))</f>
        <v>ORD-TK-0762-02/10/24</v>
      </c>
      <c r="D771" s="3" t="s">
        <v>740</v>
      </c>
      <c r="E771" t="str">
        <f t="shared" ref="E771:E834" si="435">MID(D771,AT771+2,AU771-AT771-2)</f>
        <v>SP002</v>
      </c>
      <c r="F771" t="str">
        <f>INDEX(Katalog!$B$4:$B$13,MATCH('Main Data'!E771,Katalog!$C$4:$C$13,0))</f>
        <v>Sandal Slip On</v>
      </c>
      <c r="G771" t="str">
        <f>VLOOKUP(E771,Katalog!$A$15:$B$25,2,0)</f>
        <v>Sepatu Pria</v>
      </c>
      <c r="H771" t="str">
        <f t="shared" ref="H771:H834" si="436">MID(D771,AN771+2,AO771-AN771-2)</f>
        <v>2</v>
      </c>
      <c r="I771" t="str">
        <f t="shared" ref="I771:I834" si="437">MID(D771,AP771+2,AQ771-AP771-2)</f>
        <v>1</v>
      </c>
      <c r="J771" s="18">
        <f>VLOOKUP(E771,Katalog!$C$3:$F$13,2,0)</f>
        <v>120000</v>
      </c>
      <c r="K771" s="18">
        <f>VLOOKUP(E771,Katalog!$C$3:$F$13,3,0)</f>
        <v>60000</v>
      </c>
      <c r="L771" t="str">
        <f t="shared" ref="L771:L834" si="438">IFERROR(MID(D771,AR771+2,AS771-AR771-2),"-")</f>
        <v>-</v>
      </c>
      <c r="M771" t="str">
        <f>IFERROR(INDEX(Katalog!$B$4:$B$13,MATCH('Main Data'!L771,Katalog!$C$4:$C$13,0)), "-")</f>
        <v>-</v>
      </c>
      <c r="N771" t="str">
        <f>IFERROR(VLOOKUP(L771,Katalog!$A$15:$B$25,2,0),"-")</f>
        <v>-</v>
      </c>
      <c r="O771">
        <f t="shared" ref="O771:O834" si="439">IFERROR(MID(D771,AV771+2,AW771-AV771-2),0)</f>
        <v>0</v>
      </c>
      <c r="P771" t="str">
        <f t="shared" ref="P771:P834" si="440">IFERROR(MID(D771,AX771+2,AY771-AX771-2),"-")</f>
        <v>-</v>
      </c>
      <c r="Q771" s="18">
        <f>IFERROR(VLOOKUP(L771,Katalog!$C$3:$F$13,2,0),0)</f>
        <v>0</v>
      </c>
      <c r="R771" s="18">
        <f>IFERROR(VLOOKUP(L771,Katalog!$C$3:$F$13,3,0),0)</f>
        <v>0</v>
      </c>
      <c r="S771" t="str">
        <f t="shared" ref="S771:S834" si="441">IFERROR(MID(D771,AZ771+2,BA771-AZ771-2),"-")</f>
        <v>-</v>
      </c>
      <c r="T771" t="str">
        <f>IFERROR(INDEX(Katalog!$B$4:$B$13,MATCH('Main Data'!S771,Katalog!$C$4:$C$13,0)),"-")</f>
        <v>-</v>
      </c>
      <c r="U771" t="str">
        <f>IFERROR(VLOOKUP(S771,Katalog!$A$15:$B$25,2,0),"-")</f>
        <v>-</v>
      </c>
      <c r="V771">
        <f t="shared" ref="V771:V834" si="442">IFERROR(MID(D771,BB771+2,BC771-BB771-2),0)</f>
        <v>0</v>
      </c>
      <c r="W771" s="28" t="str">
        <f t="shared" ref="W771:W834" si="443">IFERROR(MID(D771,BD771+2,BE771-BD771-2),"-")</f>
        <v>-</v>
      </c>
      <c r="X771" s="18">
        <f>IFERROR(VLOOKUP(S771,Katalog!$C$3:$F$13,2,0),0)</f>
        <v>0</v>
      </c>
      <c r="Y771" s="30">
        <f>IFERROR(VLOOKUP(S771,Katalog!$C$3:$F$13,3,0),0)</f>
        <v>0</v>
      </c>
      <c r="Z771" s="2">
        <f t="shared" ref="Z771:Z834" si="444">H771+O771+V771</f>
        <v>2</v>
      </c>
      <c r="AA771" s="4">
        <f t="shared" ref="AA771:AA834" si="445">J771*H771+Q771*O771+X771*V771</f>
        <v>240000</v>
      </c>
      <c r="AB771" s="4">
        <f t="shared" ref="AB771:AB834" si="446">K771*H771+R771*O771+Y771*V771</f>
        <v>120000</v>
      </c>
      <c r="AC771" s="4" t="s">
        <v>10</v>
      </c>
      <c r="AD771" s="16">
        <f>IFERROR(VLOOKUP(AC771,'Kode Diskon'!$C$2:$D$9,2,0),0)</f>
        <v>0</v>
      </c>
      <c r="AE771" s="31">
        <f t="shared" ref="AE771:AE834" si="447">AA771*AD771</f>
        <v>0</v>
      </c>
      <c r="AF771" s="31">
        <f t="shared" ref="AF771:AF834" si="448">AA771-AE771</f>
        <v>240000</v>
      </c>
      <c r="AG771" s="31">
        <f t="shared" ref="AG771:AG834" si="449">AA771-AB771</f>
        <v>120000</v>
      </c>
      <c r="AH771" s="31">
        <f t="shared" ref="AH771:AH834" si="450">AF771-AB771</f>
        <v>120000</v>
      </c>
      <c r="AI771" s="4" t="s">
        <v>10</v>
      </c>
      <c r="AJ771" s="4" t="s">
        <v>9</v>
      </c>
      <c r="AK771" s="4" t="str">
        <f>IFERROR(VLOOKUP(AJ771,'Guide '!$A$13:$B$16,2,0),"-")</f>
        <v>TK</v>
      </c>
      <c r="AL771" s="4" t="s">
        <v>1006</v>
      </c>
      <c r="AM771" s="40">
        <v>45567</v>
      </c>
      <c r="AN771">
        <f t="shared" ref="AN771:AN834" si="451">FIND(":",D771,AT771+1)</f>
        <v>29</v>
      </c>
      <c r="AO771">
        <f t="shared" ref="AO771:AO834" si="452">FIND(",",D771,AU771+1)</f>
        <v>32</v>
      </c>
      <c r="AP771">
        <f t="shared" ref="AP771:AP834" si="453">FIND(":",D771,AN771+1)</f>
        <v>40</v>
      </c>
      <c r="AQ771">
        <f t="shared" ref="AQ771:AQ834" si="454">FIND("}",D771,AO771+1)</f>
        <v>43</v>
      </c>
      <c r="AR771" s="26" t="str">
        <f t="shared" ref="AR771:AR834" si="455">IFERROR(FIND(":",D771,AP771+1),"-")</f>
        <v>-</v>
      </c>
      <c r="AS771" s="26" t="str">
        <f t="shared" ref="AS771:AS834" si="456">IFERROR(FIND(",",D771,AQ771+2),"-")</f>
        <v>-</v>
      </c>
      <c r="AT771" s="21">
        <f t="shared" ref="AT771:AT834" si="457">FIND(":",D771)</f>
        <v>12</v>
      </c>
      <c r="AU771" s="21">
        <f t="shared" ref="AU771:AU834" si="458">FIND(",",D771)</f>
        <v>19</v>
      </c>
      <c r="AV771" t="str">
        <f t="shared" ref="AV771:AV834" si="459">IFERROR(FIND(":",D771,AR771+1),"-")</f>
        <v>-</v>
      </c>
      <c r="AW771" t="str">
        <f t="shared" ref="AW771:AW834" si="460">IFERROR(FIND(",",D771,AS771+1),"-")</f>
        <v>-</v>
      </c>
      <c r="AX771" t="str">
        <f t="shared" ref="AX771:AX834" si="461">IFERROR(FIND(":",D771,AV771+1),"-")</f>
        <v>-</v>
      </c>
      <c r="AY771" t="str">
        <f t="shared" ref="AY771:AY834" si="462">IFERROR(FIND("}",D771,AW771+1),"-")</f>
        <v>-</v>
      </c>
      <c r="AZ771" t="str">
        <f t="shared" ref="AZ771:AZ834" si="463">IFERROR(FIND(":",D771,AX771+1),"-")</f>
        <v>-</v>
      </c>
      <c r="BA771" t="str">
        <f t="shared" ref="BA771:BA834" si="464">IFERROR(FIND(",",D771,AY771+2),"-")</f>
        <v>-</v>
      </c>
      <c r="BB771" t="str">
        <f t="shared" ref="BB771:BB834" si="465">IFERROR(FIND(":",D771,AZ771+1),"-")</f>
        <v>-</v>
      </c>
      <c r="BC771" t="str">
        <f t="shared" ref="BC771:BC834" si="466">IFERROR(FIND(",",D771,BA771+1),"-")</f>
        <v>-</v>
      </c>
      <c r="BD771" s="29" t="str">
        <f t="shared" ref="BD771:BD834" si="467">IFERROR(FIND(":",D771,BB771+1),"-")</f>
        <v>-</v>
      </c>
      <c r="BE771" s="29" t="str">
        <f t="shared" ref="BE771:BE834" si="468">IFERROR(FIND("}",D771,BC771+1),"-")</f>
        <v>-</v>
      </c>
    </row>
    <row r="772" spans="1:57" ht="15" x14ac:dyDescent="0.2">
      <c r="A772" s="2">
        <v>766</v>
      </c>
      <c r="B772" s="2" t="str">
        <f t="shared" si="433"/>
        <v>0766</v>
      </c>
      <c r="C772" t="str">
        <f t="shared" si="434"/>
        <v>ORD-BL-0766-02/10/24</v>
      </c>
      <c r="D772" s="3" t="s">
        <v>744</v>
      </c>
      <c r="E772" t="str">
        <f t="shared" si="435"/>
        <v>PW001</v>
      </c>
      <c r="F772" t="str">
        <f>INDEX(Katalog!$B$4:$B$13,MATCH('Main Data'!E772,Katalog!$C$4:$C$13,0))</f>
        <v>Dress</v>
      </c>
      <c r="G772" t="str">
        <f>VLOOKUP(E772,Katalog!$A$15:$B$25,2,0)</f>
        <v>Pakaian Wanita</v>
      </c>
      <c r="H772" t="str">
        <f t="shared" si="436"/>
        <v>3</v>
      </c>
      <c r="I772" t="str">
        <f t="shared" si="437"/>
        <v>1</v>
      </c>
      <c r="J772" s="18">
        <f>VLOOKUP(E772,Katalog!$C$3:$F$13,2,0)</f>
        <v>150000</v>
      </c>
      <c r="K772" s="18">
        <f>VLOOKUP(E772,Katalog!$C$3:$F$13,3,0)</f>
        <v>55000</v>
      </c>
      <c r="L772" t="str">
        <f t="shared" si="438"/>
        <v>PU001</v>
      </c>
      <c r="M772" t="str">
        <f>IFERROR(INDEX(Katalog!$B$4:$B$13,MATCH('Main Data'!L772,Katalog!$C$4:$C$13,0)), "-")</f>
        <v>Jaket Hoodie</v>
      </c>
      <c r="N772" t="str">
        <f>IFERROR(VLOOKUP(L772,Katalog!$A$15:$B$25,2,0),"-")</f>
        <v>Pakaian Unisex</v>
      </c>
      <c r="O772" t="str">
        <f t="shared" si="439"/>
        <v>4</v>
      </c>
      <c r="P772" t="str">
        <f t="shared" si="440"/>
        <v>1</v>
      </c>
      <c r="Q772" s="18">
        <f>IFERROR(VLOOKUP(L772,Katalog!$C$3:$F$13,2,0),0)</f>
        <v>160000</v>
      </c>
      <c r="R772" s="18">
        <f>IFERROR(VLOOKUP(L772,Katalog!$C$3:$F$13,3,0),0)</f>
        <v>60000</v>
      </c>
      <c r="S772" t="str">
        <f t="shared" si="441"/>
        <v>-</v>
      </c>
      <c r="T772" t="str">
        <f>IFERROR(INDEX(Katalog!$B$4:$B$13,MATCH('Main Data'!S772,Katalog!$C$4:$C$13,0)),"-")</f>
        <v>-</v>
      </c>
      <c r="U772" t="str">
        <f>IFERROR(VLOOKUP(S772,Katalog!$A$15:$B$25,2,0),"-")</f>
        <v>-</v>
      </c>
      <c r="V772">
        <f t="shared" si="442"/>
        <v>0</v>
      </c>
      <c r="W772" s="28" t="str">
        <f t="shared" si="443"/>
        <v>-</v>
      </c>
      <c r="X772" s="18">
        <f>IFERROR(VLOOKUP(S772,Katalog!$C$3:$F$13,2,0),0)</f>
        <v>0</v>
      </c>
      <c r="Y772" s="30">
        <f>IFERROR(VLOOKUP(S772,Katalog!$C$3:$F$13,3,0),0)</f>
        <v>0</v>
      </c>
      <c r="Z772" s="2">
        <f t="shared" si="444"/>
        <v>7</v>
      </c>
      <c r="AA772" s="4">
        <f t="shared" si="445"/>
        <v>1090000</v>
      </c>
      <c r="AB772" s="4">
        <f t="shared" si="446"/>
        <v>405000</v>
      </c>
      <c r="AC772" s="4" t="s">
        <v>31</v>
      </c>
      <c r="AD772" s="16">
        <f>IFERROR(VLOOKUP(AC772,'Kode Diskon'!$C$2:$D$9,2,0),0)</f>
        <v>0.15</v>
      </c>
      <c r="AE772" s="31">
        <f t="shared" si="447"/>
        <v>163500</v>
      </c>
      <c r="AF772" s="31">
        <f t="shared" si="448"/>
        <v>926500</v>
      </c>
      <c r="AG772" s="31">
        <f t="shared" si="449"/>
        <v>685000</v>
      </c>
      <c r="AH772" s="31">
        <f t="shared" si="450"/>
        <v>521500</v>
      </c>
      <c r="AI772" s="4" t="s">
        <v>8</v>
      </c>
      <c r="AJ772" s="4" t="s">
        <v>11</v>
      </c>
      <c r="AK772" s="4" t="str">
        <f>IFERROR(VLOOKUP(AJ772,'Guide '!$A$13:$B$16,2,0),"-")</f>
        <v>BL</v>
      </c>
      <c r="AL772" s="4" t="s">
        <v>925</v>
      </c>
      <c r="AM772" s="40">
        <v>45567</v>
      </c>
      <c r="AN772">
        <f t="shared" si="451"/>
        <v>29</v>
      </c>
      <c r="AO772">
        <f t="shared" si="452"/>
        <v>32</v>
      </c>
      <c r="AP772">
        <f t="shared" si="453"/>
        <v>40</v>
      </c>
      <c r="AQ772">
        <f t="shared" si="454"/>
        <v>43</v>
      </c>
      <c r="AR772" s="26">
        <f t="shared" si="455"/>
        <v>56</v>
      </c>
      <c r="AS772" s="26">
        <f t="shared" si="456"/>
        <v>63</v>
      </c>
      <c r="AT772" s="21">
        <f t="shared" si="457"/>
        <v>12</v>
      </c>
      <c r="AU772" s="21">
        <f t="shared" si="458"/>
        <v>19</v>
      </c>
      <c r="AV772">
        <f t="shared" si="459"/>
        <v>73</v>
      </c>
      <c r="AW772">
        <f t="shared" si="460"/>
        <v>76</v>
      </c>
      <c r="AX772">
        <f t="shared" si="461"/>
        <v>84</v>
      </c>
      <c r="AY772">
        <f t="shared" si="462"/>
        <v>87</v>
      </c>
      <c r="AZ772" t="str">
        <f t="shared" si="463"/>
        <v>-</v>
      </c>
      <c r="BA772" t="str">
        <f t="shared" si="464"/>
        <v>-</v>
      </c>
      <c r="BB772" t="str">
        <f t="shared" si="465"/>
        <v>-</v>
      </c>
      <c r="BC772" t="str">
        <f t="shared" si="466"/>
        <v>-</v>
      </c>
      <c r="BD772" s="29" t="str">
        <f t="shared" si="467"/>
        <v>-</v>
      </c>
      <c r="BE772" s="29" t="str">
        <f t="shared" si="468"/>
        <v>-</v>
      </c>
    </row>
    <row r="773" spans="1:57" ht="15" x14ac:dyDescent="0.2">
      <c r="A773" s="2">
        <v>882</v>
      </c>
      <c r="B773" s="2" t="str">
        <f t="shared" si="433"/>
        <v>0882</v>
      </c>
      <c r="C773" t="str">
        <f t="shared" si="434"/>
        <v>ORD-TK-0882-02/10/24</v>
      </c>
      <c r="D773" s="3" t="s">
        <v>323</v>
      </c>
      <c r="E773" t="str">
        <f t="shared" si="435"/>
        <v>PU001</v>
      </c>
      <c r="F773" t="str">
        <f>INDEX(Katalog!$B$4:$B$13,MATCH('Main Data'!E773,Katalog!$C$4:$C$13,0))</f>
        <v>Jaket Hoodie</v>
      </c>
      <c r="G773" t="str">
        <f>VLOOKUP(E773,Katalog!$A$15:$B$25,2,0)</f>
        <v>Pakaian Unisex</v>
      </c>
      <c r="H773" t="str">
        <f t="shared" si="436"/>
        <v>2</v>
      </c>
      <c r="I773" t="str">
        <f t="shared" si="437"/>
        <v>2</v>
      </c>
      <c r="J773" s="18">
        <f>VLOOKUP(E773,Katalog!$C$3:$F$13,2,0)</f>
        <v>160000</v>
      </c>
      <c r="K773" s="18">
        <f>VLOOKUP(E773,Katalog!$C$3:$F$13,3,0)</f>
        <v>60000</v>
      </c>
      <c r="L773" t="str">
        <f t="shared" si="438"/>
        <v>-</v>
      </c>
      <c r="M773" t="str">
        <f>IFERROR(INDEX(Katalog!$B$4:$B$13,MATCH('Main Data'!L773,Katalog!$C$4:$C$13,0)), "-")</f>
        <v>-</v>
      </c>
      <c r="N773" t="str">
        <f>IFERROR(VLOOKUP(L773,Katalog!$A$15:$B$25,2,0),"-")</f>
        <v>-</v>
      </c>
      <c r="O773">
        <f t="shared" si="439"/>
        <v>0</v>
      </c>
      <c r="P773" t="str">
        <f t="shared" si="440"/>
        <v>-</v>
      </c>
      <c r="Q773" s="18">
        <f>IFERROR(VLOOKUP(L773,Katalog!$C$3:$F$13,2,0),0)</f>
        <v>0</v>
      </c>
      <c r="R773" s="18">
        <f>IFERROR(VLOOKUP(L773,Katalog!$C$3:$F$13,3,0),0)</f>
        <v>0</v>
      </c>
      <c r="S773" t="str">
        <f t="shared" si="441"/>
        <v>-</v>
      </c>
      <c r="T773" t="str">
        <f>IFERROR(INDEX(Katalog!$B$4:$B$13,MATCH('Main Data'!S773,Katalog!$C$4:$C$13,0)),"-")</f>
        <v>-</v>
      </c>
      <c r="U773" t="str">
        <f>IFERROR(VLOOKUP(S773,Katalog!$A$15:$B$25,2,0),"-")</f>
        <v>-</v>
      </c>
      <c r="V773">
        <f t="shared" si="442"/>
        <v>0</v>
      </c>
      <c r="W773" s="28" t="str">
        <f t="shared" si="443"/>
        <v>-</v>
      </c>
      <c r="X773" s="18">
        <f>IFERROR(VLOOKUP(S773,Katalog!$C$3:$F$13,2,0),0)</f>
        <v>0</v>
      </c>
      <c r="Y773" s="30">
        <f>IFERROR(VLOOKUP(S773,Katalog!$C$3:$F$13,3,0),0)</f>
        <v>0</v>
      </c>
      <c r="Z773" s="2">
        <f t="shared" si="444"/>
        <v>2</v>
      </c>
      <c r="AA773" s="4">
        <f t="shared" si="445"/>
        <v>320000</v>
      </c>
      <c r="AB773" s="4">
        <f t="shared" si="446"/>
        <v>120000</v>
      </c>
      <c r="AC773" s="4" t="s">
        <v>29</v>
      </c>
      <c r="AD773" s="16">
        <f>IFERROR(VLOOKUP(AC773,'Kode Diskon'!$C$2:$D$9,2,0),0)</f>
        <v>0.1</v>
      </c>
      <c r="AE773" s="31">
        <f t="shared" si="447"/>
        <v>32000</v>
      </c>
      <c r="AF773" s="31">
        <f t="shared" si="448"/>
        <v>288000</v>
      </c>
      <c r="AG773" s="31">
        <f t="shared" si="449"/>
        <v>200000</v>
      </c>
      <c r="AH773" s="31">
        <f t="shared" si="450"/>
        <v>168000</v>
      </c>
      <c r="AI773" s="4" t="s">
        <v>28</v>
      </c>
      <c r="AJ773" s="4" t="s">
        <v>9</v>
      </c>
      <c r="AK773" s="4" t="str">
        <f>IFERROR(VLOOKUP(AJ773,'Guide '!$A$13:$B$16,2,0),"-")</f>
        <v>TK</v>
      </c>
      <c r="AL773" s="4" t="s">
        <v>925</v>
      </c>
      <c r="AM773" s="40">
        <v>45567</v>
      </c>
      <c r="AN773">
        <f t="shared" si="451"/>
        <v>29</v>
      </c>
      <c r="AO773">
        <f t="shared" si="452"/>
        <v>32</v>
      </c>
      <c r="AP773">
        <f t="shared" si="453"/>
        <v>40</v>
      </c>
      <c r="AQ773">
        <f t="shared" si="454"/>
        <v>43</v>
      </c>
      <c r="AR773" s="26" t="str">
        <f t="shared" si="455"/>
        <v>-</v>
      </c>
      <c r="AS773" s="26" t="str">
        <f t="shared" si="456"/>
        <v>-</v>
      </c>
      <c r="AT773" s="21">
        <f t="shared" si="457"/>
        <v>12</v>
      </c>
      <c r="AU773" s="21">
        <f t="shared" si="458"/>
        <v>19</v>
      </c>
      <c r="AV773" t="str">
        <f t="shared" si="459"/>
        <v>-</v>
      </c>
      <c r="AW773" t="str">
        <f t="shared" si="460"/>
        <v>-</v>
      </c>
      <c r="AX773" t="str">
        <f t="shared" si="461"/>
        <v>-</v>
      </c>
      <c r="AY773" t="str">
        <f t="shared" si="462"/>
        <v>-</v>
      </c>
      <c r="AZ773" t="str">
        <f t="shared" si="463"/>
        <v>-</v>
      </c>
      <c r="BA773" t="str">
        <f t="shared" si="464"/>
        <v>-</v>
      </c>
      <c r="BB773" t="str">
        <f t="shared" si="465"/>
        <v>-</v>
      </c>
      <c r="BC773" t="str">
        <f t="shared" si="466"/>
        <v>-</v>
      </c>
      <c r="BD773" s="29" t="str">
        <f t="shared" si="467"/>
        <v>-</v>
      </c>
      <c r="BE773" s="29" t="str">
        <f t="shared" si="468"/>
        <v>-</v>
      </c>
    </row>
    <row r="774" spans="1:57" ht="15" x14ac:dyDescent="0.2">
      <c r="A774" s="2">
        <v>966</v>
      </c>
      <c r="B774" s="2" t="str">
        <f t="shared" si="433"/>
        <v>0966</v>
      </c>
      <c r="C774" t="str">
        <f t="shared" si="434"/>
        <v>ORD-SP-0966-02/10/24</v>
      </c>
      <c r="D774" s="3" t="s">
        <v>893</v>
      </c>
      <c r="E774" t="str">
        <f t="shared" si="435"/>
        <v>PP001</v>
      </c>
      <c r="F774" t="str">
        <f>INDEX(Katalog!$B$4:$B$13,MATCH('Main Data'!E774,Katalog!$C$4:$C$13,0))</f>
        <v>Kaos Polo</v>
      </c>
      <c r="G774" t="str">
        <f>VLOOKUP(E774,Katalog!$A$15:$B$25,2,0)</f>
        <v>Pakaian Pria</v>
      </c>
      <c r="H774" t="str">
        <f t="shared" si="436"/>
        <v>2</v>
      </c>
      <c r="I774" t="str">
        <f t="shared" si="437"/>
        <v>1</v>
      </c>
      <c r="J774" s="18">
        <f>VLOOKUP(E774,Katalog!$C$3:$F$13,2,0)</f>
        <v>80000</v>
      </c>
      <c r="K774" s="18">
        <f>VLOOKUP(E774,Katalog!$C$3:$F$13,3,0)</f>
        <v>30000</v>
      </c>
      <c r="L774" t="str">
        <f t="shared" si="438"/>
        <v>PW003</v>
      </c>
      <c r="M774" t="str">
        <f>IFERROR(INDEX(Katalog!$B$4:$B$13,MATCH('Main Data'!L774,Katalog!$C$4:$C$13,0)), "-")</f>
        <v>Kaftan</v>
      </c>
      <c r="N774" t="str">
        <f>IFERROR(VLOOKUP(L774,Katalog!$A$15:$B$25,2,0),"-")</f>
        <v>Pakaian Wanita</v>
      </c>
      <c r="O774" t="str">
        <f t="shared" si="439"/>
        <v>1</v>
      </c>
      <c r="P774" t="str">
        <f t="shared" si="440"/>
        <v>4</v>
      </c>
      <c r="Q774" s="18">
        <f>IFERROR(VLOOKUP(L774,Katalog!$C$3:$F$13,2,0),0)</f>
        <v>200000</v>
      </c>
      <c r="R774" s="18">
        <f>IFERROR(VLOOKUP(L774,Katalog!$C$3:$F$13,3,0),0)</f>
        <v>100000</v>
      </c>
      <c r="S774" t="str">
        <f t="shared" si="441"/>
        <v>SW001</v>
      </c>
      <c r="T774" t="str">
        <f>IFERROR(INDEX(Katalog!$B$4:$B$13,MATCH('Main Data'!S774,Katalog!$C$4:$C$13,0)),"-")</f>
        <v>Flat Shoes</v>
      </c>
      <c r="U774" t="str">
        <f>IFERROR(VLOOKUP(S774,Katalog!$A$15:$B$25,2,0),"-")</f>
        <v>Sepatu Wanita</v>
      </c>
      <c r="V774" t="str">
        <f t="shared" si="442"/>
        <v>1</v>
      </c>
      <c r="W774" s="28" t="str">
        <f t="shared" si="443"/>
        <v>3</v>
      </c>
      <c r="X774" s="18">
        <f>IFERROR(VLOOKUP(S774,Katalog!$C$3:$F$13,2,0),0)</f>
        <v>150000</v>
      </c>
      <c r="Y774" s="30">
        <f>IFERROR(VLOOKUP(S774,Katalog!$C$3:$F$13,3,0),0)</f>
        <v>70000</v>
      </c>
      <c r="Z774" s="2">
        <f t="shared" si="444"/>
        <v>4</v>
      </c>
      <c r="AA774" s="4">
        <f t="shared" si="445"/>
        <v>510000</v>
      </c>
      <c r="AB774" s="4">
        <f t="shared" si="446"/>
        <v>230000</v>
      </c>
      <c r="AC774" s="4" t="s">
        <v>10</v>
      </c>
      <c r="AD774" s="16">
        <f>IFERROR(VLOOKUP(AC774,'Kode Diskon'!$C$2:$D$9,2,0),0)</f>
        <v>0</v>
      </c>
      <c r="AE774" s="31">
        <f t="shared" si="447"/>
        <v>0</v>
      </c>
      <c r="AF774" s="31">
        <f t="shared" si="448"/>
        <v>510000</v>
      </c>
      <c r="AG774" s="31">
        <f t="shared" si="449"/>
        <v>280000</v>
      </c>
      <c r="AH774" s="31">
        <f t="shared" si="450"/>
        <v>280000</v>
      </c>
      <c r="AI774" s="4" t="s">
        <v>10</v>
      </c>
      <c r="AJ774" s="4" t="s">
        <v>6</v>
      </c>
      <c r="AK774" s="4" t="str">
        <f>IFERROR(VLOOKUP(AJ774,'Guide '!$A$13:$B$16,2,0),"-")</f>
        <v>SP</v>
      </c>
      <c r="AL774" s="4" t="s">
        <v>921</v>
      </c>
      <c r="AM774" s="40">
        <v>45567</v>
      </c>
      <c r="AN774">
        <f t="shared" si="451"/>
        <v>29</v>
      </c>
      <c r="AO774">
        <f t="shared" si="452"/>
        <v>32</v>
      </c>
      <c r="AP774">
        <f t="shared" si="453"/>
        <v>40</v>
      </c>
      <c r="AQ774">
        <f t="shared" si="454"/>
        <v>43</v>
      </c>
      <c r="AR774" s="26">
        <f t="shared" si="455"/>
        <v>56</v>
      </c>
      <c r="AS774" s="26">
        <f t="shared" si="456"/>
        <v>63</v>
      </c>
      <c r="AT774" s="21">
        <f t="shared" si="457"/>
        <v>12</v>
      </c>
      <c r="AU774" s="21">
        <f t="shared" si="458"/>
        <v>19</v>
      </c>
      <c r="AV774">
        <f t="shared" si="459"/>
        <v>73</v>
      </c>
      <c r="AW774">
        <f t="shared" si="460"/>
        <v>76</v>
      </c>
      <c r="AX774">
        <f t="shared" si="461"/>
        <v>84</v>
      </c>
      <c r="AY774">
        <f t="shared" si="462"/>
        <v>87</v>
      </c>
      <c r="AZ774">
        <f t="shared" si="463"/>
        <v>100</v>
      </c>
      <c r="BA774">
        <f t="shared" si="464"/>
        <v>107</v>
      </c>
      <c r="BB774">
        <f t="shared" si="465"/>
        <v>117</v>
      </c>
      <c r="BC774">
        <f t="shared" si="466"/>
        <v>120</v>
      </c>
      <c r="BD774" s="29">
        <f t="shared" si="467"/>
        <v>128</v>
      </c>
      <c r="BE774" s="29">
        <f t="shared" si="468"/>
        <v>131</v>
      </c>
    </row>
    <row r="775" spans="1:57" ht="15" x14ac:dyDescent="0.2">
      <c r="A775" s="2">
        <v>110</v>
      </c>
      <c r="B775" s="2" t="str">
        <f t="shared" si="433"/>
        <v>0110</v>
      </c>
      <c r="C775" t="str">
        <f t="shared" si="434"/>
        <v>ORD-SP-0110-03/10/24</v>
      </c>
      <c r="D775" s="3" t="s">
        <v>182</v>
      </c>
      <c r="E775" t="str">
        <f t="shared" si="435"/>
        <v>PW001</v>
      </c>
      <c r="F775" t="str">
        <f>INDEX(Katalog!$B$4:$B$13,MATCH('Main Data'!E775,Katalog!$C$4:$C$13,0))</f>
        <v>Dress</v>
      </c>
      <c r="G775" t="str">
        <f>VLOOKUP(E775,Katalog!$A$15:$B$25,2,0)</f>
        <v>Pakaian Wanita</v>
      </c>
      <c r="H775" t="str">
        <f t="shared" si="436"/>
        <v>4</v>
      </c>
      <c r="I775" t="str">
        <f t="shared" si="437"/>
        <v>2</v>
      </c>
      <c r="J775" s="18">
        <f>VLOOKUP(E775,Katalog!$C$3:$F$13,2,0)</f>
        <v>150000</v>
      </c>
      <c r="K775" s="18">
        <f>VLOOKUP(E775,Katalog!$C$3:$F$13,3,0)</f>
        <v>55000</v>
      </c>
      <c r="L775" t="str">
        <f t="shared" si="438"/>
        <v>-</v>
      </c>
      <c r="M775" t="str">
        <f>IFERROR(INDEX(Katalog!$B$4:$B$13,MATCH('Main Data'!L775,Katalog!$C$4:$C$13,0)), "-")</f>
        <v>-</v>
      </c>
      <c r="N775" t="str">
        <f>IFERROR(VLOOKUP(L775,Katalog!$A$15:$B$25,2,0),"-")</f>
        <v>-</v>
      </c>
      <c r="O775">
        <f t="shared" si="439"/>
        <v>0</v>
      </c>
      <c r="P775" t="str">
        <f t="shared" si="440"/>
        <v>-</v>
      </c>
      <c r="Q775" s="18">
        <f>IFERROR(VLOOKUP(L775,Katalog!$C$3:$F$13,2,0),0)</f>
        <v>0</v>
      </c>
      <c r="R775" s="18">
        <f>IFERROR(VLOOKUP(L775,Katalog!$C$3:$F$13,3,0),0)</f>
        <v>0</v>
      </c>
      <c r="S775" t="str">
        <f t="shared" si="441"/>
        <v>-</v>
      </c>
      <c r="T775" t="str">
        <f>IFERROR(INDEX(Katalog!$B$4:$B$13,MATCH('Main Data'!S775,Katalog!$C$4:$C$13,0)),"-")</f>
        <v>-</v>
      </c>
      <c r="U775" t="str">
        <f>IFERROR(VLOOKUP(S775,Katalog!$A$15:$B$25,2,0),"-")</f>
        <v>-</v>
      </c>
      <c r="V775">
        <f t="shared" si="442"/>
        <v>0</v>
      </c>
      <c r="W775" s="28" t="str">
        <f t="shared" si="443"/>
        <v>-</v>
      </c>
      <c r="X775" s="18">
        <f>IFERROR(VLOOKUP(S775,Katalog!$C$3:$F$13,2,0),0)</f>
        <v>0</v>
      </c>
      <c r="Y775" s="30">
        <f>IFERROR(VLOOKUP(S775,Katalog!$C$3:$F$13,3,0),0)</f>
        <v>0</v>
      </c>
      <c r="Z775" s="2">
        <f t="shared" si="444"/>
        <v>4</v>
      </c>
      <c r="AA775" s="4">
        <f t="shared" si="445"/>
        <v>600000</v>
      </c>
      <c r="AB775" s="4">
        <f t="shared" si="446"/>
        <v>220000</v>
      </c>
      <c r="AC775" s="4" t="s">
        <v>5</v>
      </c>
      <c r="AD775" s="16">
        <f>IFERROR(VLOOKUP(AC775,'Kode Diskon'!$C$2:$D$9,2,0),0)</f>
        <v>0.1</v>
      </c>
      <c r="AE775" s="31">
        <f t="shared" si="447"/>
        <v>60000</v>
      </c>
      <c r="AF775" s="31">
        <f t="shared" si="448"/>
        <v>540000</v>
      </c>
      <c r="AG775" s="31">
        <f t="shared" si="449"/>
        <v>380000</v>
      </c>
      <c r="AH775" s="31">
        <f t="shared" si="450"/>
        <v>320000</v>
      </c>
      <c r="AI775" s="4" t="s">
        <v>28</v>
      </c>
      <c r="AJ775" s="4" t="s">
        <v>6</v>
      </c>
      <c r="AK775" s="4" t="str">
        <f>IFERROR(VLOOKUP(AJ775,'Guide '!$A$13:$B$16,2,0),"-")</f>
        <v>SP</v>
      </c>
      <c r="AL775" s="4" t="s">
        <v>1006</v>
      </c>
      <c r="AM775" s="40">
        <v>45568</v>
      </c>
      <c r="AN775">
        <f t="shared" si="451"/>
        <v>29</v>
      </c>
      <c r="AO775">
        <f t="shared" si="452"/>
        <v>32</v>
      </c>
      <c r="AP775">
        <f t="shared" si="453"/>
        <v>40</v>
      </c>
      <c r="AQ775">
        <f t="shared" si="454"/>
        <v>43</v>
      </c>
      <c r="AR775" s="26" t="str">
        <f t="shared" si="455"/>
        <v>-</v>
      </c>
      <c r="AS775" s="26" t="str">
        <f t="shared" si="456"/>
        <v>-</v>
      </c>
      <c r="AT775" s="21">
        <f t="shared" si="457"/>
        <v>12</v>
      </c>
      <c r="AU775" s="21">
        <f t="shared" si="458"/>
        <v>19</v>
      </c>
      <c r="AV775" t="str">
        <f t="shared" si="459"/>
        <v>-</v>
      </c>
      <c r="AW775" t="str">
        <f t="shared" si="460"/>
        <v>-</v>
      </c>
      <c r="AX775" t="str">
        <f t="shared" si="461"/>
        <v>-</v>
      </c>
      <c r="AY775" t="str">
        <f t="shared" si="462"/>
        <v>-</v>
      </c>
      <c r="AZ775" t="str">
        <f t="shared" si="463"/>
        <v>-</v>
      </c>
      <c r="BA775" t="str">
        <f t="shared" si="464"/>
        <v>-</v>
      </c>
      <c r="BB775" t="str">
        <f t="shared" si="465"/>
        <v>-</v>
      </c>
      <c r="BC775" t="str">
        <f t="shared" si="466"/>
        <v>-</v>
      </c>
      <c r="BD775" s="29" t="str">
        <f t="shared" si="467"/>
        <v>-</v>
      </c>
      <c r="BE775" s="29" t="str">
        <f t="shared" si="468"/>
        <v>-</v>
      </c>
    </row>
    <row r="776" spans="1:57" ht="15" x14ac:dyDescent="0.2">
      <c r="A776" s="2">
        <v>411</v>
      </c>
      <c r="B776" s="2" t="str">
        <f t="shared" si="433"/>
        <v>0411</v>
      </c>
      <c r="C776" t="str">
        <f t="shared" si="434"/>
        <v>ORD-TK-0411-03/10/24</v>
      </c>
      <c r="D776" s="3" t="s">
        <v>139</v>
      </c>
      <c r="E776" t="str">
        <f t="shared" si="435"/>
        <v>PW001</v>
      </c>
      <c r="F776" t="str">
        <f>INDEX(Katalog!$B$4:$B$13,MATCH('Main Data'!E776,Katalog!$C$4:$C$13,0))</f>
        <v>Dress</v>
      </c>
      <c r="G776" t="str">
        <f>VLOOKUP(E776,Katalog!$A$15:$B$25,2,0)</f>
        <v>Pakaian Wanita</v>
      </c>
      <c r="H776" t="str">
        <f t="shared" si="436"/>
        <v>1</v>
      </c>
      <c r="I776" t="str">
        <f t="shared" si="437"/>
        <v>5</v>
      </c>
      <c r="J776" s="18">
        <f>VLOOKUP(E776,Katalog!$C$3:$F$13,2,0)</f>
        <v>150000</v>
      </c>
      <c r="K776" s="18">
        <f>VLOOKUP(E776,Katalog!$C$3:$F$13,3,0)</f>
        <v>55000</v>
      </c>
      <c r="L776" t="str">
        <f t="shared" si="438"/>
        <v>-</v>
      </c>
      <c r="M776" t="str">
        <f>IFERROR(INDEX(Katalog!$B$4:$B$13,MATCH('Main Data'!L776,Katalog!$C$4:$C$13,0)), "-")</f>
        <v>-</v>
      </c>
      <c r="N776" t="str">
        <f>IFERROR(VLOOKUP(L776,Katalog!$A$15:$B$25,2,0),"-")</f>
        <v>-</v>
      </c>
      <c r="O776">
        <f t="shared" si="439"/>
        <v>0</v>
      </c>
      <c r="P776" t="str">
        <f t="shared" si="440"/>
        <v>-</v>
      </c>
      <c r="Q776" s="18">
        <f>IFERROR(VLOOKUP(L776,Katalog!$C$3:$F$13,2,0),0)</f>
        <v>0</v>
      </c>
      <c r="R776" s="18">
        <f>IFERROR(VLOOKUP(L776,Katalog!$C$3:$F$13,3,0),0)</f>
        <v>0</v>
      </c>
      <c r="S776" t="str">
        <f t="shared" si="441"/>
        <v>-</v>
      </c>
      <c r="T776" t="str">
        <f>IFERROR(INDEX(Katalog!$B$4:$B$13,MATCH('Main Data'!S776,Katalog!$C$4:$C$13,0)),"-")</f>
        <v>-</v>
      </c>
      <c r="U776" t="str">
        <f>IFERROR(VLOOKUP(S776,Katalog!$A$15:$B$25,2,0),"-")</f>
        <v>-</v>
      </c>
      <c r="V776">
        <f t="shared" si="442"/>
        <v>0</v>
      </c>
      <c r="W776" s="28" t="str">
        <f t="shared" si="443"/>
        <v>-</v>
      </c>
      <c r="X776" s="18">
        <f>IFERROR(VLOOKUP(S776,Katalog!$C$3:$F$13,2,0),0)</f>
        <v>0</v>
      </c>
      <c r="Y776" s="30">
        <f>IFERROR(VLOOKUP(S776,Katalog!$C$3:$F$13,3,0),0)</f>
        <v>0</v>
      </c>
      <c r="Z776" s="2">
        <f t="shared" si="444"/>
        <v>1</v>
      </c>
      <c r="AA776" s="4">
        <f t="shared" si="445"/>
        <v>150000</v>
      </c>
      <c r="AB776" s="4">
        <f t="shared" si="446"/>
        <v>55000</v>
      </c>
      <c r="AC776" s="4" t="s">
        <v>29</v>
      </c>
      <c r="AD776" s="16">
        <f>IFERROR(VLOOKUP(AC776,'Kode Diskon'!$C$2:$D$9,2,0),0)</f>
        <v>0.1</v>
      </c>
      <c r="AE776" s="31">
        <f t="shared" si="447"/>
        <v>15000</v>
      </c>
      <c r="AF776" s="31">
        <f t="shared" si="448"/>
        <v>135000</v>
      </c>
      <c r="AG776" s="31">
        <f t="shared" si="449"/>
        <v>95000</v>
      </c>
      <c r="AH776" s="31">
        <f t="shared" si="450"/>
        <v>80000</v>
      </c>
      <c r="AI776" s="4" t="s">
        <v>28</v>
      </c>
      <c r="AJ776" s="4" t="s">
        <v>9</v>
      </c>
      <c r="AK776" s="4" t="str">
        <f>IFERROR(VLOOKUP(AJ776,'Guide '!$A$13:$B$16,2,0),"-")</f>
        <v>TK</v>
      </c>
      <c r="AL776" s="4" t="s">
        <v>921</v>
      </c>
      <c r="AM776" s="40">
        <v>45568</v>
      </c>
      <c r="AN776">
        <f t="shared" si="451"/>
        <v>29</v>
      </c>
      <c r="AO776">
        <f t="shared" si="452"/>
        <v>32</v>
      </c>
      <c r="AP776">
        <f t="shared" si="453"/>
        <v>40</v>
      </c>
      <c r="AQ776">
        <f t="shared" si="454"/>
        <v>43</v>
      </c>
      <c r="AR776" s="26" t="str">
        <f t="shared" si="455"/>
        <v>-</v>
      </c>
      <c r="AS776" s="26" t="str">
        <f t="shared" si="456"/>
        <v>-</v>
      </c>
      <c r="AT776" s="21">
        <f t="shared" si="457"/>
        <v>12</v>
      </c>
      <c r="AU776" s="21">
        <f t="shared" si="458"/>
        <v>19</v>
      </c>
      <c r="AV776" t="str">
        <f t="shared" si="459"/>
        <v>-</v>
      </c>
      <c r="AW776" t="str">
        <f t="shared" si="460"/>
        <v>-</v>
      </c>
      <c r="AX776" t="str">
        <f t="shared" si="461"/>
        <v>-</v>
      </c>
      <c r="AY776" t="str">
        <f t="shared" si="462"/>
        <v>-</v>
      </c>
      <c r="AZ776" t="str">
        <f t="shared" si="463"/>
        <v>-</v>
      </c>
      <c r="BA776" t="str">
        <f t="shared" si="464"/>
        <v>-</v>
      </c>
      <c r="BB776" t="str">
        <f t="shared" si="465"/>
        <v>-</v>
      </c>
      <c r="BC776" t="str">
        <f t="shared" si="466"/>
        <v>-</v>
      </c>
      <c r="BD776" s="29" t="str">
        <f t="shared" si="467"/>
        <v>-</v>
      </c>
      <c r="BE776" s="29" t="str">
        <f t="shared" si="468"/>
        <v>-</v>
      </c>
    </row>
    <row r="777" spans="1:57" ht="15" x14ac:dyDescent="0.2">
      <c r="A777" s="2">
        <v>185</v>
      </c>
      <c r="B777" s="2" t="str">
        <f t="shared" si="433"/>
        <v>0185</v>
      </c>
      <c r="C777" t="str">
        <f t="shared" si="434"/>
        <v>ORD-SP-0185-04/10/24</v>
      </c>
      <c r="D777" s="3" t="s">
        <v>254</v>
      </c>
      <c r="E777" t="str">
        <f t="shared" si="435"/>
        <v>PP003</v>
      </c>
      <c r="F777" t="str">
        <f>INDEX(Katalog!$B$4:$B$13,MATCH('Main Data'!E777,Katalog!$C$4:$C$13,0))</f>
        <v>Jaket Jeans</v>
      </c>
      <c r="G777" t="str">
        <f>VLOOKUP(E777,Katalog!$A$15:$B$25,2,0)</f>
        <v>Pakaian Pria</v>
      </c>
      <c r="H777" t="str">
        <f t="shared" si="436"/>
        <v>3</v>
      </c>
      <c r="I777" t="str">
        <f t="shared" si="437"/>
        <v>2</v>
      </c>
      <c r="J777" s="18">
        <f>VLOOKUP(E777,Katalog!$C$3:$F$13,2,0)</f>
        <v>150000</v>
      </c>
      <c r="K777" s="18">
        <f>VLOOKUP(E777,Katalog!$C$3:$F$13,3,0)</f>
        <v>70000</v>
      </c>
      <c r="L777" t="str">
        <f t="shared" si="438"/>
        <v>SP001</v>
      </c>
      <c r="M777" t="str">
        <f>IFERROR(INDEX(Katalog!$B$4:$B$13,MATCH('Main Data'!L777,Katalog!$C$4:$C$13,0)), "-")</f>
        <v>Sneakers</v>
      </c>
      <c r="N777" t="str">
        <f>IFERROR(VLOOKUP(L777,Katalog!$A$15:$B$25,2,0),"-")</f>
        <v>Sepatu Pria</v>
      </c>
      <c r="O777" t="str">
        <f t="shared" si="439"/>
        <v>1</v>
      </c>
      <c r="P777" t="str">
        <f t="shared" si="440"/>
        <v>5</v>
      </c>
      <c r="Q777" s="18">
        <f>IFERROR(VLOOKUP(L777,Katalog!$C$3:$F$13,2,0),0)</f>
        <v>300000</v>
      </c>
      <c r="R777" s="18">
        <f>IFERROR(VLOOKUP(L777,Katalog!$C$3:$F$13,3,0),0)</f>
        <v>100000</v>
      </c>
      <c r="S777" t="str">
        <f t="shared" si="441"/>
        <v>-</v>
      </c>
      <c r="T777" t="str">
        <f>IFERROR(INDEX(Katalog!$B$4:$B$13,MATCH('Main Data'!S777,Katalog!$C$4:$C$13,0)),"-")</f>
        <v>-</v>
      </c>
      <c r="U777" t="str">
        <f>IFERROR(VLOOKUP(S777,Katalog!$A$15:$B$25,2,0),"-")</f>
        <v>-</v>
      </c>
      <c r="V777">
        <f t="shared" si="442"/>
        <v>0</v>
      </c>
      <c r="W777" s="28" t="str">
        <f t="shared" si="443"/>
        <v>-</v>
      </c>
      <c r="X777" s="18">
        <f>IFERROR(VLOOKUP(S777,Katalog!$C$3:$F$13,2,0),0)</f>
        <v>0</v>
      </c>
      <c r="Y777" s="30">
        <f>IFERROR(VLOOKUP(S777,Katalog!$C$3:$F$13,3,0),0)</f>
        <v>0</v>
      </c>
      <c r="Z777" s="2">
        <f t="shared" si="444"/>
        <v>4</v>
      </c>
      <c r="AA777" s="4">
        <f t="shared" si="445"/>
        <v>750000</v>
      </c>
      <c r="AB777" s="4">
        <f t="shared" si="446"/>
        <v>310000</v>
      </c>
      <c r="AC777" s="4" t="s">
        <v>12</v>
      </c>
      <c r="AD777" s="16">
        <f>IFERROR(VLOOKUP(AC777,'Kode Diskon'!$C$2:$D$9,2,0),0)</f>
        <v>0.15</v>
      </c>
      <c r="AE777" s="31">
        <f t="shared" si="447"/>
        <v>112500</v>
      </c>
      <c r="AF777" s="31">
        <f t="shared" si="448"/>
        <v>637500</v>
      </c>
      <c r="AG777" s="31">
        <f t="shared" si="449"/>
        <v>440000</v>
      </c>
      <c r="AH777" s="31">
        <f t="shared" si="450"/>
        <v>327500</v>
      </c>
      <c r="AI777" s="4" t="s">
        <v>28</v>
      </c>
      <c r="AJ777" s="4" t="s">
        <v>6</v>
      </c>
      <c r="AK777" s="4" t="str">
        <f>IFERROR(VLOOKUP(AJ777,'Guide '!$A$13:$B$16,2,0),"-")</f>
        <v>SP</v>
      </c>
      <c r="AL777" s="4" t="s">
        <v>1006</v>
      </c>
      <c r="AM777" s="40">
        <v>45569</v>
      </c>
      <c r="AN777">
        <f t="shared" si="451"/>
        <v>29</v>
      </c>
      <c r="AO777">
        <f t="shared" si="452"/>
        <v>32</v>
      </c>
      <c r="AP777">
        <f t="shared" si="453"/>
        <v>40</v>
      </c>
      <c r="AQ777">
        <f t="shared" si="454"/>
        <v>43</v>
      </c>
      <c r="AR777" s="26">
        <f t="shared" si="455"/>
        <v>56</v>
      </c>
      <c r="AS777" s="26">
        <f t="shared" si="456"/>
        <v>63</v>
      </c>
      <c r="AT777" s="21">
        <f t="shared" si="457"/>
        <v>12</v>
      </c>
      <c r="AU777" s="21">
        <f t="shared" si="458"/>
        <v>19</v>
      </c>
      <c r="AV777">
        <f t="shared" si="459"/>
        <v>73</v>
      </c>
      <c r="AW777">
        <f t="shared" si="460"/>
        <v>76</v>
      </c>
      <c r="AX777">
        <f t="shared" si="461"/>
        <v>84</v>
      </c>
      <c r="AY777">
        <f t="shared" si="462"/>
        <v>87</v>
      </c>
      <c r="AZ777" t="str">
        <f t="shared" si="463"/>
        <v>-</v>
      </c>
      <c r="BA777" t="str">
        <f t="shared" si="464"/>
        <v>-</v>
      </c>
      <c r="BB777" t="str">
        <f t="shared" si="465"/>
        <v>-</v>
      </c>
      <c r="BC777" t="str">
        <f t="shared" si="466"/>
        <v>-</v>
      </c>
      <c r="BD777" s="29" t="str">
        <f t="shared" si="467"/>
        <v>-</v>
      </c>
      <c r="BE777" s="29" t="str">
        <f t="shared" si="468"/>
        <v>-</v>
      </c>
    </row>
    <row r="778" spans="1:57" ht="15" x14ac:dyDescent="0.2">
      <c r="A778" s="2">
        <v>417</v>
      </c>
      <c r="B778" s="2" t="str">
        <f t="shared" si="433"/>
        <v>0417</v>
      </c>
      <c r="C778" t="str">
        <f t="shared" si="434"/>
        <v>ORD-TK-0417-04/10/24</v>
      </c>
      <c r="D778" s="3" t="s">
        <v>461</v>
      </c>
      <c r="E778" t="str">
        <f t="shared" si="435"/>
        <v>PP001</v>
      </c>
      <c r="F778" t="str">
        <f>INDEX(Katalog!$B$4:$B$13,MATCH('Main Data'!E778,Katalog!$C$4:$C$13,0))</f>
        <v>Kaos Polo</v>
      </c>
      <c r="G778" t="str">
        <f>VLOOKUP(E778,Katalog!$A$15:$B$25,2,0)</f>
        <v>Pakaian Pria</v>
      </c>
      <c r="H778" t="str">
        <f t="shared" si="436"/>
        <v>5</v>
      </c>
      <c r="I778" t="str">
        <f t="shared" si="437"/>
        <v>4</v>
      </c>
      <c r="J778" s="18">
        <f>VLOOKUP(E778,Katalog!$C$3:$F$13,2,0)</f>
        <v>80000</v>
      </c>
      <c r="K778" s="18">
        <f>VLOOKUP(E778,Katalog!$C$3:$F$13,3,0)</f>
        <v>30000</v>
      </c>
      <c r="L778" t="str">
        <f t="shared" si="438"/>
        <v>PP002</v>
      </c>
      <c r="M778" t="str">
        <f>IFERROR(INDEX(Katalog!$B$4:$B$13,MATCH('Main Data'!L778,Katalog!$C$4:$C$13,0)), "-")</f>
        <v>Celana Pendek</v>
      </c>
      <c r="N778" t="str">
        <f>IFERROR(VLOOKUP(L778,Katalog!$A$15:$B$25,2,0),"-")</f>
        <v>Pakaian Pria</v>
      </c>
      <c r="O778" t="str">
        <f t="shared" si="439"/>
        <v>1</v>
      </c>
      <c r="P778" t="str">
        <f t="shared" si="440"/>
        <v>3</v>
      </c>
      <c r="Q778" s="18">
        <f>IFERROR(VLOOKUP(L778,Katalog!$C$3:$F$13,2,0),0)</f>
        <v>60000</v>
      </c>
      <c r="R778" s="18">
        <f>IFERROR(VLOOKUP(L778,Katalog!$C$3:$F$13,3,0),0)</f>
        <v>25000</v>
      </c>
      <c r="S778" t="str">
        <f t="shared" si="441"/>
        <v>-</v>
      </c>
      <c r="T778" t="str">
        <f>IFERROR(INDEX(Katalog!$B$4:$B$13,MATCH('Main Data'!S778,Katalog!$C$4:$C$13,0)),"-")</f>
        <v>-</v>
      </c>
      <c r="U778" t="str">
        <f>IFERROR(VLOOKUP(S778,Katalog!$A$15:$B$25,2,0),"-")</f>
        <v>-</v>
      </c>
      <c r="V778">
        <f t="shared" si="442"/>
        <v>0</v>
      </c>
      <c r="W778" s="28" t="str">
        <f t="shared" si="443"/>
        <v>-</v>
      </c>
      <c r="X778" s="18">
        <f>IFERROR(VLOOKUP(S778,Katalog!$C$3:$F$13,2,0),0)</f>
        <v>0</v>
      </c>
      <c r="Y778" s="30">
        <f>IFERROR(VLOOKUP(S778,Katalog!$C$3:$F$13,3,0),0)</f>
        <v>0</v>
      </c>
      <c r="Z778" s="2">
        <f t="shared" si="444"/>
        <v>6</v>
      </c>
      <c r="AA778" s="4">
        <f t="shared" si="445"/>
        <v>460000</v>
      </c>
      <c r="AB778" s="4">
        <f t="shared" si="446"/>
        <v>175000</v>
      </c>
      <c r="AC778" s="4" t="s">
        <v>30</v>
      </c>
      <c r="AD778" s="16">
        <f>IFERROR(VLOOKUP(AC778,'Kode Diskon'!$C$2:$D$9,2,0),0)</f>
        <v>0.1</v>
      </c>
      <c r="AE778" s="31">
        <f t="shared" si="447"/>
        <v>46000</v>
      </c>
      <c r="AF778" s="31">
        <f t="shared" si="448"/>
        <v>414000</v>
      </c>
      <c r="AG778" s="31">
        <f t="shared" si="449"/>
        <v>285000</v>
      </c>
      <c r="AH778" s="31">
        <f t="shared" si="450"/>
        <v>239000</v>
      </c>
      <c r="AI778" s="4" t="s">
        <v>8</v>
      </c>
      <c r="AJ778" s="4" t="s">
        <v>9</v>
      </c>
      <c r="AK778" s="4" t="str">
        <f>IFERROR(VLOOKUP(AJ778,'Guide '!$A$13:$B$16,2,0),"-")</f>
        <v>TK</v>
      </c>
      <c r="AL778" s="4" t="s">
        <v>925</v>
      </c>
      <c r="AM778" s="40">
        <v>45569</v>
      </c>
      <c r="AN778">
        <f t="shared" si="451"/>
        <v>29</v>
      </c>
      <c r="AO778">
        <f t="shared" si="452"/>
        <v>32</v>
      </c>
      <c r="AP778">
        <f t="shared" si="453"/>
        <v>40</v>
      </c>
      <c r="AQ778">
        <f t="shared" si="454"/>
        <v>43</v>
      </c>
      <c r="AR778" s="26">
        <f t="shared" si="455"/>
        <v>56</v>
      </c>
      <c r="AS778" s="26">
        <f t="shared" si="456"/>
        <v>63</v>
      </c>
      <c r="AT778" s="21">
        <f t="shared" si="457"/>
        <v>12</v>
      </c>
      <c r="AU778" s="21">
        <f t="shared" si="458"/>
        <v>19</v>
      </c>
      <c r="AV778">
        <f t="shared" si="459"/>
        <v>73</v>
      </c>
      <c r="AW778">
        <f t="shared" si="460"/>
        <v>76</v>
      </c>
      <c r="AX778">
        <f t="shared" si="461"/>
        <v>84</v>
      </c>
      <c r="AY778">
        <f t="shared" si="462"/>
        <v>87</v>
      </c>
      <c r="AZ778" t="str">
        <f t="shared" si="463"/>
        <v>-</v>
      </c>
      <c r="BA778" t="str">
        <f t="shared" si="464"/>
        <v>-</v>
      </c>
      <c r="BB778" t="str">
        <f t="shared" si="465"/>
        <v>-</v>
      </c>
      <c r="BC778" t="str">
        <f t="shared" si="466"/>
        <v>-</v>
      </c>
      <c r="BD778" s="29" t="str">
        <f t="shared" si="467"/>
        <v>-</v>
      </c>
      <c r="BE778" s="29" t="str">
        <f t="shared" si="468"/>
        <v>-</v>
      </c>
    </row>
    <row r="779" spans="1:57" ht="15" x14ac:dyDescent="0.2">
      <c r="A779" s="2">
        <v>955</v>
      </c>
      <c r="B779" s="2" t="str">
        <f t="shared" si="433"/>
        <v>0955</v>
      </c>
      <c r="C779" t="str">
        <f t="shared" si="434"/>
        <v>ORD-TK-0955-04/10/24</v>
      </c>
      <c r="D779" s="3" t="s">
        <v>885</v>
      </c>
      <c r="E779" t="str">
        <f t="shared" si="435"/>
        <v>SP002</v>
      </c>
      <c r="F779" t="str">
        <f>INDEX(Katalog!$B$4:$B$13,MATCH('Main Data'!E779,Katalog!$C$4:$C$13,0))</f>
        <v>Sandal Slip On</v>
      </c>
      <c r="G779" t="str">
        <f>VLOOKUP(E779,Katalog!$A$15:$B$25,2,0)</f>
        <v>Sepatu Pria</v>
      </c>
      <c r="H779" t="str">
        <f t="shared" si="436"/>
        <v>1</v>
      </c>
      <c r="I779" t="str">
        <f t="shared" si="437"/>
        <v>3</v>
      </c>
      <c r="J779" s="18">
        <f>VLOOKUP(E779,Katalog!$C$3:$F$13,2,0)</f>
        <v>120000</v>
      </c>
      <c r="K779" s="18">
        <f>VLOOKUP(E779,Katalog!$C$3:$F$13,3,0)</f>
        <v>60000</v>
      </c>
      <c r="L779" t="str">
        <f t="shared" si="438"/>
        <v>PP002</v>
      </c>
      <c r="M779" t="str">
        <f>IFERROR(INDEX(Katalog!$B$4:$B$13,MATCH('Main Data'!L779,Katalog!$C$4:$C$13,0)), "-")</f>
        <v>Celana Pendek</v>
      </c>
      <c r="N779" t="str">
        <f>IFERROR(VLOOKUP(L779,Katalog!$A$15:$B$25,2,0),"-")</f>
        <v>Pakaian Pria</v>
      </c>
      <c r="O779" t="str">
        <f t="shared" si="439"/>
        <v>3</v>
      </c>
      <c r="P779" t="str">
        <f t="shared" si="440"/>
        <v>2</v>
      </c>
      <c r="Q779" s="18">
        <f>IFERROR(VLOOKUP(L779,Katalog!$C$3:$F$13,2,0),0)</f>
        <v>60000</v>
      </c>
      <c r="R779" s="18">
        <f>IFERROR(VLOOKUP(L779,Katalog!$C$3:$F$13,3,0),0)</f>
        <v>25000</v>
      </c>
      <c r="S779" t="str">
        <f t="shared" si="441"/>
        <v>SW001</v>
      </c>
      <c r="T779" t="str">
        <f>IFERROR(INDEX(Katalog!$B$4:$B$13,MATCH('Main Data'!S779,Katalog!$C$4:$C$13,0)),"-")</f>
        <v>Flat Shoes</v>
      </c>
      <c r="U779" t="str">
        <f>IFERROR(VLOOKUP(S779,Katalog!$A$15:$B$25,2,0),"-")</f>
        <v>Sepatu Wanita</v>
      </c>
      <c r="V779" t="str">
        <f t="shared" si="442"/>
        <v>1</v>
      </c>
      <c r="W779" s="28" t="str">
        <f t="shared" si="443"/>
        <v>1</v>
      </c>
      <c r="X779" s="18">
        <f>IFERROR(VLOOKUP(S779,Katalog!$C$3:$F$13,2,0),0)</f>
        <v>150000</v>
      </c>
      <c r="Y779" s="30">
        <f>IFERROR(VLOOKUP(S779,Katalog!$C$3:$F$13,3,0),0)</f>
        <v>70000</v>
      </c>
      <c r="Z779" s="2">
        <f t="shared" si="444"/>
        <v>5</v>
      </c>
      <c r="AA779" s="4">
        <f t="shared" si="445"/>
        <v>450000</v>
      </c>
      <c r="AB779" s="4">
        <f t="shared" si="446"/>
        <v>205000</v>
      </c>
      <c r="AC779" s="4" t="s">
        <v>29</v>
      </c>
      <c r="AD779" s="16">
        <f>IFERROR(VLOOKUP(AC779,'Kode Diskon'!$C$2:$D$9,2,0),0)</f>
        <v>0.1</v>
      </c>
      <c r="AE779" s="31">
        <f t="shared" si="447"/>
        <v>45000</v>
      </c>
      <c r="AF779" s="31">
        <f t="shared" si="448"/>
        <v>405000</v>
      </c>
      <c r="AG779" s="31">
        <f t="shared" si="449"/>
        <v>245000</v>
      </c>
      <c r="AH779" s="31">
        <f t="shared" si="450"/>
        <v>200000</v>
      </c>
      <c r="AI779" s="4" t="s">
        <v>28</v>
      </c>
      <c r="AJ779" s="4" t="s">
        <v>9</v>
      </c>
      <c r="AK779" s="4" t="str">
        <f>IFERROR(VLOOKUP(AJ779,'Guide '!$A$13:$B$16,2,0),"-")</f>
        <v>TK</v>
      </c>
      <c r="AL779" s="4" t="s">
        <v>921</v>
      </c>
      <c r="AM779" s="40">
        <v>45569</v>
      </c>
      <c r="AN779">
        <f t="shared" si="451"/>
        <v>29</v>
      </c>
      <c r="AO779">
        <f t="shared" si="452"/>
        <v>32</v>
      </c>
      <c r="AP779">
        <f t="shared" si="453"/>
        <v>40</v>
      </c>
      <c r="AQ779">
        <f t="shared" si="454"/>
        <v>43</v>
      </c>
      <c r="AR779" s="26">
        <f t="shared" si="455"/>
        <v>56</v>
      </c>
      <c r="AS779" s="26">
        <f t="shared" si="456"/>
        <v>63</v>
      </c>
      <c r="AT779" s="21">
        <f t="shared" si="457"/>
        <v>12</v>
      </c>
      <c r="AU779" s="21">
        <f t="shared" si="458"/>
        <v>19</v>
      </c>
      <c r="AV779">
        <f t="shared" si="459"/>
        <v>73</v>
      </c>
      <c r="AW779">
        <f t="shared" si="460"/>
        <v>76</v>
      </c>
      <c r="AX779">
        <f t="shared" si="461"/>
        <v>84</v>
      </c>
      <c r="AY779">
        <f t="shared" si="462"/>
        <v>87</v>
      </c>
      <c r="AZ779">
        <f t="shared" si="463"/>
        <v>100</v>
      </c>
      <c r="BA779">
        <f t="shared" si="464"/>
        <v>107</v>
      </c>
      <c r="BB779">
        <f t="shared" si="465"/>
        <v>117</v>
      </c>
      <c r="BC779">
        <f t="shared" si="466"/>
        <v>120</v>
      </c>
      <c r="BD779" s="29">
        <f t="shared" si="467"/>
        <v>128</v>
      </c>
      <c r="BE779" s="29">
        <f t="shared" si="468"/>
        <v>131</v>
      </c>
    </row>
    <row r="780" spans="1:57" ht="15" x14ac:dyDescent="0.2">
      <c r="A780" s="2">
        <v>257</v>
      </c>
      <c r="B780" s="2" t="str">
        <f t="shared" si="433"/>
        <v>0257</v>
      </c>
      <c r="C780" t="str">
        <f t="shared" si="434"/>
        <v>ORD-BB-0257-05/10/24</v>
      </c>
      <c r="D780" s="3" t="s">
        <v>321</v>
      </c>
      <c r="E780" t="str">
        <f t="shared" si="435"/>
        <v>SP001</v>
      </c>
      <c r="F780" t="str">
        <f>INDEX(Katalog!$B$4:$B$13,MATCH('Main Data'!E780,Katalog!$C$4:$C$13,0))</f>
        <v>Sneakers</v>
      </c>
      <c r="G780" t="str">
        <f>VLOOKUP(E780,Katalog!$A$15:$B$25,2,0)</f>
        <v>Sepatu Pria</v>
      </c>
      <c r="H780" t="str">
        <f t="shared" si="436"/>
        <v>3</v>
      </c>
      <c r="I780" t="str">
        <f t="shared" si="437"/>
        <v>3</v>
      </c>
      <c r="J780" s="18">
        <f>VLOOKUP(E780,Katalog!$C$3:$F$13,2,0)</f>
        <v>300000</v>
      </c>
      <c r="K780" s="18">
        <f>VLOOKUP(E780,Katalog!$C$3:$F$13,3,0)</f>
        <v>100000</v>
      </c>
      <c r="L780" t="str">
        <f t="shared" si="438"/>
        <v>-</v>
      </c>
      <c r="M780" t="str">
        <f>IFERROR(INDEX(Katalog!$B$4:$B$13,MATCH('Main Data'!L780,Katalog!$C$4:$C$13,0)), "-")</f>
        <v>-</v>
      </c>
      <c r="N780" t="str">
        <f>IFERROR(VLOOKUP(L780,Katalog!$A$15:$B$25,2,0),"-")</f>
        <v>-</v>
      </c>
      <c r="O780">
        <f t="shared" si="439"/>
        <v>0</v>
      </c>
      <c r="P780" t="str">
        <f t="shared" si="440"/>
        <v>-</v>
      </c>
      <c r="Q780" s="18">
        <f>IFERROR(VLOOKUP(L780,Katalog!$C$3:$F$13,2,0),0)</f>
        <v>0</v>
      </c>
      <c r="R780" s="18">
        <f>IFERROR(VLOOKUP(L780,Katalog!$C$3:$F$13,3,0),0)</f>
        <v>0</v>
      </c>
      <c r="S780" t="str">
        <f t="shared" si="441"/>
        <v>-</v>
      </c>
      <c r="T780" t="str">
        <f>IFERROR(INDEX(Katalog!$B$4:$B$13,MATCH('Main Data'!S780,Katalog!$C$4:$C$13,0)),"-")</f>
        <v>-</v>
      </c>
      <c r="U780" t="str">
        <f>IFERROR(VLOOKUP(S780,Katalog!$A$15:$B$25,2,0),"-")</f>
        <v>-</v>
      </c>
      <c r="V780">
        <f t="shared" si="442"/>
        <v>0</v>
      </c>
      <c r="W780" s="28" t="str">
        <f t="shared" si="443"/>
        <v>-</v>
      </c>
      <c r="X780" s="18">
        <f>IFERROR(VLOOKUP(S780,Katalog!$C$3:$F$13,2,0),0)</f>
        <v>0</v>
      </c>
      <c r="Y780" s="30">
        <f>IFERROR(VLOOKUP(S780,Katalog!$C$3:$F$13,3,0),0)</f>
        <v>0</v>
      </c>
      <c r="Z780" s="2">
        <f t="shared" si="444"/>
        <v>3</v>
      </c>
      <c r="AA780" s="4">
        <f t="shared" si="445"/>
        <v>900000</v>
      </c>
      <c r="AB780" s="4">
        <f t="shared" si="446"/>
        <v>300000</v>
      </c>
      <c r="AC780" s="4" t="s">
        <v>27</v>
      </c>
      <c r="AD780" s="16">
        <f>IFERROR(VLOOKUP(AC780,'Kode Diskon'!$C$2:$D$9,2,0),0)</f>
        <v>0.15</v>
      </c>
      <c r="AE780" s="31">
        <f t="shared" si="447"/>
        <v>135000</v>
      </c>
      <c r="AF780" s="31">
        <f t="shared" si="448"/>
        <v>765000</v>
      </c>
      <c r="AG780" s="31">
        <f t="shared" si="449"/>
        <v>600000</v>
      </c>
      <c r="AH780" s="31">
        <f t="shared" si="450"/>
        <v>465000</v>
      </c>
      <c r="AI780" s="4" t="s">
        <v>28</v>
      </c>
      <c r="AJ780" s="4" t="s">
        <v>13</v>
      </c>
      <c r="AK780" s="4" t="str">
        <f>IFERROR(VLOOKUP(AJ780,'Guide '!$A$13:$B$16,2,0),"-")</f>
        <v>BB</v>
      </c>
      <c r="AL780" s="4" t="s">
        <v>925</v>
      </c>
      <c r="AM780" s="40">
        <v>45570</v>
      </c>
      <c r="AN780">
        <f t="shared" si="451"/>
        <v>29</v>
      </c>
      <c r="AO780">
        <f t="shared" si="452"/>
        <v>32</v>
      </c>
      <c r="AP780">
        <f t="shared" si="453"/>
        <v>40</v>
      </c>
      <c r="AQ780">
        <f t="shared" si="454"/>
        <v>43</v>
      </c>
      <c r="AR780" s="26" t="str">
        <f t="shared" si="455"/>
        <v>-</v>
      </c>
      <c r="AS780" s="26" t="str">
        <f t="shared" si="456"/>
        <v>-</v>
      </c>
      <c r="AT780" s="21">
        <f t="shared" si="457"/>
        <v>12</v>
      </c>
      <c r="AU780" s="21">
        <f t="shared" si="458"/>
        <v>19</v>
      </c>
      <c r="AV780" t="str">
        <f t="shared" si="459"/>
        <v>-</v>
      </c>
      <c r="AW780" t="str">
        <f t="shared" si="460"/>
        <v>-</v>
      </c>
      <c r="AX780" t="str">
        <f t="shared" si="461"/>
        <v>-</v>
      </c>
      <c r="AY780" t="str">
        <f t="shared" si="462"/>
        <v>-</v>
      </c>
      <c r="AZ780" t="str">
        <f t="shared" si="463"/>
        <v>-</v>
      </c>
      <c r="BA780" t="str">
        <f t="shared" si="464"/>
        <v>-</v>
      </c>
      <c r="BB780" t="str">
        <f t="shared" si="465"/>
        <v>-</v>
      </c>
      <c r="BC780" t="str">
        <f t="shared" si="466"/>
        <v>-</v>
      </c>
      <c r="BD780" s="29" t="str">
        <f t="shared" si="467"/>
        <v>-</v>
      </c>
      <c r="BE780" s="29" t="str">
        <f t="shared" si="468"/>
        <v>-</v>
      </c>
    </row>
    <row r="781" spans="1:57" ht="15" x14ac:dyDescent="0.2">
      <c r="A781" s="2">
        <v>402</v>
      </c>
      <c r="B781" s="2" t="str">
        <f t="shared" si="433"/>
        <v>0402</v>
      </c>
      <c r="C781" t="str">
        <f t="shared" si="434"/>
        <v>ORD-SP-0402-05/10/24</v>
      </c>
      <c r="D781" s="3" t="s">
        <v>449</v>
      </c>
      <c r="E781" t="str">
        <f t="shared" si="435"/>
        <v>PP003</v>
      </c>
      <c r="F781" t="str">
        <f>INDEX(Katalog!$B$4:$B$13,MATCH('Main Data'!E781,Katalog!$C$4:$C$13,0))</f>
        <v>Jaket Jeans</v>
      </c>
      <c r="G781" t="str">
        <f>VLOOKUP(E781,Katalog!$A$15:$B$25,2,0)</f>
        <v>Pakaian Pria</v>
      </c>
      <c r="H781" t="str">
        <f t="shared" si="436"/>
        <v>6</v>
      </c>
      <c r="I781" t="str">
        <f t="shared" si="437"/>
        <v>4</v>
      </c>
      <c r="J781" s="18">
        <f>VLOOKUP(E781,Katalog!$C$3:$F$13,2,0)</f>
        <v>150000</v>
      </c>
      <c r="K781" s="18">
        <f>VLOOKUP(E781,Katalog!$C$3:$F$13,3,0)</f>
        <v>70000</v>
      </c>
      <c r="L781" t="str">
        <f t="shared" si="438"/>
        <v>-</v>
      </c>
      <c r="M781" t="str">
        <f>IFERROR(INDEX(Katalog!$B$4:$B$13,MATCH('Main Data'!L781,Katalog!$C$4:$C$13,0)), "-")</f>
        <v>-</v>
      </c>
      <c r="N781" t="str">
        <f>IFERROR(VLOOKUP(L781,Katalog!$A$15:$B$25,2,0),"-")</f>
        <v>-</v>
      </c>
      <c r="O781">
        <f t="shared" si="439"/>
        <v>0</v>
      </c>
      <c r="P781" t="str">
        <f t="shared" si="440"/>
        <v>-</v>
      </c>
      <c r="Q781" s="18">
        <f>IFERROR(VLOOKUP(L781,Katalog!$C$3:$F$13,2,0),0)</f>
        <v>0</v>
      </c>
      <c r="R781" s="18">
        <f>IFERROR(VLOOKUP(L781,Katalog!$C$3:$F$13,3,0),0)</f>
        <v>0</v>
      </c>
      <c r="S781" t="str">
        <f t="shared" si="441"/>
        <v>-</v>
      </c>
      <c r="T781" t="str">
        <f>IFERROR(INDEX(Katalog!$B$4:$B$13,MATCH('Main Data'!S781,Katalog!$C$4:$C$13,0)),"-")</f>
        <v>-</v>
      </c>
      <c r="U781" t="str">
        <f>IFERROR(VLOOKUP(S781,Katalog!$A$15:$B$25,2,0),"-")</f>
        <v>-</v>
      </c>
      <c r="V781">
        <f t="shared" si="442"/>
        <v>0</v>
      </c>
      <c r="W781" s="28" t="str">
        <f t="shared" si="443"/>
        <v>-</v>
      </c>
      <c r="X781" s="18">
        <f>IFERROR(VLOOKUP(S781,Katalog!$C$3:$F$13,2,0),0)</f>
        <v>0</v>
      </c>
      <c r="Y781" s="30">
        <f>IFERROR(VLOOKUP(S781,Katalog!$C$3:$F$13,3,0),0)</f>
        <v>0</v>
      </c>
      <c r="Z781" s="2">
        <f t="shared" si="444"/>
        <v>6</v>
      </c>
      <c r="AA781" s="4">
        <f t="shared" si="445"/>
        <v>900000</v>
      </c>
      <c r="AB781" s="4">
        <f t="shared" si="446"/>
        <v>420000</v>
      </c>
      <c r="AC781" s="4" t="s">
        <v>5</v>
      </c>
      <c r="AD781" s="16">
        <f>IFERROR(VLOOKUP(AC781,'Kode Diskon'!$C$2:$D$9,2,0),0)</f>
        <v>0.1</v>
      </c>
      <c r="AE781" s="31">
        <f t="shared" si="447"/>
        <v>90000</v>
      </c>
      <c r="AF781" s="31">
        <f t="shared" si="448"/>
        <v>810000</v>
      </c>
      <c r="AG781" s="31">
        <f t="shared" si="449"/>
        <v>480000</v>
      </c>
      <c r="AH781" s="31">
        <f t="shared" si="450"/>
        <v>390000</v>
      </c>
      <c r="AI781" s="4" t="s">
        <v>28</v>
      </c>
      <c r="AJ781" s="4" t="s">
        <v>6</v>
      </c>
      <c r="AK781" s="4" t="str">
        <f>IFERROR(VLOOKUP(AJ781,'Guide '!$A$13:$B$16,2,0),"-")</f>
        <v>SP</v>
      </c>
      <c r="AL781" s="4" t="s">
        <v>924</v>
      </c>
      <c r="AM781" s="40">
        <v>45570</v>
      </c>
      <c r="AN781">
        <f t="shared" si="451"/>
        <v>29</v>
      </c>
      <c r="AO781">
        <f t="shared" si="452"/>
        <v>32</v>
      </c>
      <c r="AP781">
        <f t="shared" si="453"/>
        <v>40</v>
      </c>
      <c r="AQ781">
        <f t="shared" si="454"/>
        <v>43</v>
      </c>
      <c r="AR781" s="26" t="str">
        <f t="shared" si="455"/>
        <v>-</v>
      </c>
      <c r="AS781" s="26" t="str">
        <f t="shared" si="456"/>
        <v>-</v>
      </c>
      <c r="AT781" s="21">
        <f t="shared" si="457"/>
        <v>12</v>
      </c>
      <c r="AU781" s="21">
        <f t="shared" si="458"/>
        <v>19</v>
      </c>
      <c r="AV781" t="str">
        <f t="shared" si="459"/>
        <v>-</v>
      </c>
      <c r="AW781" t="str">
        <f t="shared" si="460"/>
        <v>-</v>
      </c>
      <c r="AX781" t="str">
        <f t="shared" si="461"/>
        <v>-</v>
      </c>
      <c r="AY781" t="str">
        <f t="shared" si="462"/>
        <v>-</v>
      </c>
      <c r="AZ781" t="str">
        <f t="shared" si="463"/>
        <v>-</v>
      </c>
      <c r="BA781" t="str">
        <f t="shared" si="464"/>
        <v>-</v>
      </c>
      <c r="BB781" t="str">
        <f t="shared" si="465"/>
        <v>-</v>
      </c>
      <c r="BC781" t="str">
        <f t="shared" si="466"/>
        <v>-</v>
      </c>
      <c r="BD781" s="29" t="str">
        <f t="shared" si="467"/>
        <v>-</v>
      </c>
      <c r="BE781" s="29" t="str">
        <f t="shared" si="468"/>
        <v>-</v>
      </c>
    </row>
    <row r="782" spans="1:57" ht="15" x14ac:dyDescent="0.2">
      <c r="A782" s="2">
        <v>488</v>
      </c>
      <c r="B782" s="2" t="str">
        <f t="shared" si="433"/>
        <v>0488</v>
      </c>
      <c r="C782" t="str">
        <f t="shared" si="434"/>
        <v>ORD-BL-0488-05/10/24</v>
      </c>
      <c r="D782" s="3" t="s">
        <v>520</v>
      </c>
      <c r="E782" t="str">
        <f t="shared" si="435"/>
        <v>SP002</v>
      </c>
      <c r="F782" t="str">
        <f>INDEX(Katalog!$B$4:$B$13,MATCH('Main Data'!E782,Katalog!$C$4:$C$13,0))</f>
        <v>Sandal Slip On</v>
      </c>
      <c r="G782" t="str">
        <f>VLOOKUP(E782,Katalog!$A$15:$B$25,2,0)</f>
        <v>Sepatu Pria</v>
      </c>
      <c r="H782" t="str">
        <f t="shared" si="436"/>
        <v>2</v>
      </c>
      <c r="I782" t="str">
        <f t="shared" si="437"/>
        <v>3</v>
      </c>
      <c r="J782" s="18">
        <f>VLOOKUP(E782,Katalog!$C$3:$F$13,2,0)</f>
        <v>120000</v>
      </c>
      <c r="K782" s="18">
        <f>VLOOKUP(E782,Katalog!$C$3:$F$13,3,0)</f>
        <v>60000</v>
      </c>
      <c r="L782" t="str">
        <f t="shared" si="438"/>
        <v>PW002</v>
      </c>
      <c r="M782" t="str">
        <f>IFERROR(INDEX(Katalog!$B$4:$B$13,MATCH('Main Data'!L782,Katalog!$C$4:$C$13,0)), "-")</f>
        <v>Blouse</v>
      </c>
      <c r="N782" t="str">
        <f>IFERROR(VLOOKUP(L782,Katalog!$A$15:$B$25,2,0),"-")</f>
        <v>Pakaian Wanita</v>
      </c>
      <c r="O782" t="str">
        <f t="shared" si="439"/>
        <v>1</v>
      </c>
      <c r="P782" t="str">
        <f t="shared" si="440"/>
        <v>3</v>
      </c>
      <c r="Q782" s="18">
        <f>IFERROR(VLOOKUP(L782,Katalog!$C$3:$F$13,2,0),0)</f>
        <v>125000</v>
      </c>
      <c r="R782" s="18">
        <f>IFERROR(VLOOKUP(L782,Katalog!$C$3:$F$13,3,0),0)</f>
        <v>50000</v>
      </c>
      <c r="S782" t="str">
        <f t="shared" si="441"/>
        <v>-</v>
      </c>
      <c r="T782" t="str">
        <f>IFERROR(INDEX(Katalog!$B$4:$B$13,MATCH('Main Data'!S782,Katalog!$C$4:$C$13,0)),"-")</f>
        <v>-</v>
      </c>
      <c r="U782" t="str">
        <f>IFERROR(VLOOKUP(S782,Katalog!$A$15:$B$25,2,0),"-")</f>
        <v>-</v>
      </c>
      <c r="V782">
        <f t="shared" si="442"/>
        <v>0</v>
      </c>
      <c r="W782" s="28" t="str">
        <f t="shared" si="443"/>
        <v>-</v>
      </c>
      <c r="X782" s="18">
        <f>IFERROR(VLOOKUP(S782,Katalog!$C$3:$F$13,2,0),0)</f>
        <v>0</v>
      </c>
      <c r="Y782" s="30">
        <f>IFERROR(VLOOKUP(S782,Katalog!$C$3:$F$13,3,0),0)</f>
        <v>0</v>
      </c>
      <c r="Z782" s="2">
        <f t="shared" si="444"/>
        <v>3</v>
      </c>
      <c r="AA782" s="4">
        <f t="shared" si="445"/>
        <v>365000</v>
      </c>
      <c r="AB782" s="4">
        <f t="shared" si="446"/>
        <v>170000</v>
      </c>
      <c r="AC782" s="4" t="s">
        <v>10</v>
      </c>
      <c r="AD782" s="16">
        <f>IFERROR(VLOOKUP(AC782,'Kode Diskon'!$C$2:$D$9,2,0),0)</f>
        <v>0</v>
      </c>
      <c r="AE782" s="31">
        <f t="shared" si="447"/>
        <v>0</v>
      </c>
      <c r="AF782" s="31">
        <f t="shared" si="448"/>
        <v>365000</v>
      </c>
      <c r="AG782" s="31">
        <f t="shared" si="449"/>
        <v>195000</v>
      </c>
      <c r="AH782" s="31">
        <f t="shared" si="450"/>
        <v>195000</v>
      </c>
      <c r="AI782" s="4" t="s">
        <v>10</v>
      </c>
      <c r="AJ782" s="4" t="s">
        <v>11</v>
      </c>
      <c r="AK782" s="4" t="str">
        <f>IFERROR(VLOOKUP(AJ782,'Guide '!$A$13:$B$16,2,0),"-")</f>
        <v>BL</v>
      </c>
      <c r="AL782" s="4" t="s">
        <v>1006</v>
      </c>
      <c r="AM782" s="40">
        <v>45570</v>
      </c>
      <c r="AN782">
        <f t="shared" si="451"/>
        <v>29</v>
      </c>
      <c r="AO782">
        <f t="shared" si="452"/>
        <v>32</v>
      </c>
      <c r="AP782">
        <f t="shared" si="453"/>
        <v>40</v>
      </c>
      <c r="AQ782">
        <f t="shared" si="454"/>
        <v>43</v>
      </c>
      <c r="AR782" s="26">
        <f t="shared" si="455"/>
        <v>56</v>
      </c>
      <c r="AS782" s="26">
        <f t="shared" si="456"/>
        <v>63</v>
      </c>
      <c r="AT782" s="21">
        <f t="shared" si="457"/>
        <v>12</v>
      </c>
      <c r="AU782" s="21">
        <f t="shared" si="458"/>
        <v>19</v>
      </c>
      <c r="AV782">
        <f t="shared" si="459"/>
        <v>73</v>
      </c>
      <c r="AW782">
        <f t="shared" si="460"/>
        <v>76</v>
      </c>
      <c r="AX782">
        <f t="shared" si="461"/>
        <v>84</v>
      </c>
      <c r="AY782">
        <f t="shared" si="462"/>
        <v>87</v>
      </c>
      <c r="AZ782" t="str">
        <f t="shared" si="463"/>
        <v>-</v>
      </c>
      <c r="BA782" t="str">
        <f t="shared" si="464"/>
        <v>-</v>
      </c>
      <c r="BB782" t="str">
        <f t="shared" si="465"/>
        <v>-</v>
      </c>
      <c r="BC782" t="str">
        <f t="shared" si="466"/>
        <v>-</v>
      </c>
      <c r="BD782" s="29" t="str">
        <f t="shared" si="467"/>
        <v>-</v>
      </c>
      <c r="BE782" s="29" t="str">
        <f t="shared" si="468"/>
        <v>-</v>
      </c>
    </row>
    <row r="783" spans="1:57" ht="15" x14ac:dyDescent="0.2">
      <c r="A783" s="2">
        <v>496</v>
      </c>
      <c r="B783" s="2" t="str">
        <f t="shared" si="433"/>
        <v>0496</v>
      </c>
      <c r="C783" t="str">
        <f t="shared" si="434"/>
        <v>ORD-TK-0496-05/10/24</v>
      </c>
      <c r="D783" s="3" t="s">
        <v>527</v>
      </c>
      <c r="E783" t="str">
        <f t="shared" si="435"/>
        <v>PW001</v>
      </c>
      <c r="F783" t="str">
        <f>INDEX(Katalog!$B$4:$B$13,MATCH('Main Data'!E783,Katalog!$C$4:$C$13,0))</f>
        <v>Dress</v>
      </c>
      <c r="G783" t="str">
        <f>VLOOKUP(E783,Katalog!$A$15:$B$25,2,0)</f>
        <v>Pakaian Wanita</v>
      </c>
      <c r="H783" t="str">
        <f t="shared" si="436"/>
        <v>3</v>
      </c>
      <c r="I783" t="str">
        <f t="shared" si="437"/>
        <v>3</v>
      </c>
      <c r="J783" s="18">
        <f>VLOOKUP(E783,Katalog!$C$3:$F$13,2,0)</f>
        <v>150000</v>
      </c>
      <c r="K783" s="18">
        <f>VLOOKUP(E783,Katalog!$C$3:$F$13,3,0)</f>
        <v>55000</v>
      </c>
      <c r="L783" t="str">
        <f t="shared" si="438"/>
        <v>PW002</v>
      </c>
      <c r="M783" t="str">
        <f>IFERROR(INDEX(Katalog!$B$4:$B$13,MATCH('Main Data'!L783,Katalog!$C$4:$C$13,0)), "-")</f>
        <v>Blouse</v>
      </c>
      <c r="N783" t="str">
        <f>IFERROR(VLOOKUP(L783,Katalog!$A$15:$B$25,2,0),"-")</f>
        <v>Pakaian Wanita</v>
      </c>
      <c r="O783" t="str">
        <f t="shared" si="439"/>
        <v>1</v>
      </c>
      <c r="P783" t="str">
        <f t="shared" si="440"/>
        <v>1</v>
      </c>
      <c r="Q783" s="18">
        <f>IFERROR(VLOOKUP(L783,Katalog!$C$3:$F$13,2,0),0)</f>
        <v>125000</v>
      </c>
      <c r="R783" s="18">
        <f>IFERROR(VLOOKUP(L783,Katalog!$C$3:$F$13,3,0),0)</f>
        <v>50000</v>
      </c>
      <c r="S783" t="str">
        <f t="shared" si="441"/>
        <v>SW001</v>
      </c>
      <c r="T783" t="str">
        <f>IFERROR(INDEX(Katalog!$B$4:$B$13,MATCH('Main Data'!S783,Katalog!$C$4:$C$13,0)),"-")</f>
        <v>Flat Shoes</v>
      </c>
      <c r="U783" t="str">
        <f>IFERROR(VLOOKUP(S783,Katalog!$A$15:$B$25,2,0),"-")</f>
        <v>Sepatu Wanita</v>
      </c>
      <c r="V783" t="str">
        <f t="shared" si="442"/>
        <v>3</v>
      </c>
      <c r="W783" s="28" t="str">
        <f t="shared" si="443"/>
        <v>1</v>
      </c>
      <c r="X783" s="18">
        <f>IFERROR(VLOOKUP(S783,Katalog!$C$3:$F$13,2,0),0)</f>
        <v>150000</v>
      </c>
      <c r="Y783" s="30">
        <f>IFERROR(VLOOKUP(S783,Katalog!$C$3:$F$13,3,0),0)</f>
        <v>70000</v>
      </c>
      <c r="Z783" s="2">
        <f t="shared" si="444"/>
        <v>7</v>
      </c>
      <c r="AA783" s="4">
        <f t="shared" si="445"/>
        <v>1025000</v>
      </c>
      <c r="AB783" s="4">
        <f t="shared" si="446"/>
        <v>425000</v>
      </c>
      <c r="AC783" s="4" t="s">
        <v>10</v>
      </c>
      <c r="AD783" s="16">
        <f>IFERROR(VLOOKUP(AC783,'Kode Diskon'!$C$2:$D$9,2,0),0)</f>
        <v>0</v>
      </c>
      <c r="AE783" s="31">
        <f t="shared" si="447"/>
        <v>0</v>
      </c>
      <c r="AF783" s="31">
        <f t="shared" si="448"/>
        <v>1025000</v>
      </c>
      <c r="AG783" s="31">
        <f t="shared" si="449"/>
        <v>600000</v>
      </c>
      <c r="AH783" s="31">
        <f t="shared" si="450"/>
        <v>600000</v>
      </c>
      <c r="AI783" s="4" t="s">
        <v>10</v>
      </c>
      <c r="AJ783" s="4" t="s">
        <v>9</v>
      </c>
      <c r="AK783" s="4" t="str">
        <f>IFERROR(VLOOKUP(AJ783,'Guide '!$A$13:$B$16,2,0),"-")</f>
        <v>TK</v>
      </c>
      <c r="AL783" s="4" t="s">
        <v>924</v>
      </c>
      <c r="AM783" s="40">
        <v>45570</v>
      </c>
      <c r="AN783">
        <f t="shared" si="451"/>
        <v>29</v>
      </c>
      <c r="AO783">
        <f t="shared" si="452"/>
        <v>32</v>
      </c>
      <c r="AP783">
        <f t="shared" si="453"/>
        <v>40</v>
      </c>
      <c r="AQ783">
        <f t="shared" si="454"/>
        <v>43</v>
      </c>
      <c r="AR783" s="26">
        <f t="shared" si="455"/>
        <v>56</v>
      </c>
      <c r="AS783" s="26">
        <f t="shared" si="456"/>
        <v>63</v>
      </c>
      <c r="AT783" s="21">
        <f t="shared" si="457"/>
        <v>12</v>
      </c>
      <c r="AU783" s="21">
        <f t="shared" si="458"/>
        <v>19</v>
      </c>
      <c r="AV783">
        <f t="shared" si="459"/>
        <v>73</v>
      </c>
      <c r="AW783">
        <f t="shared" si="460"/>
        <v>76</v>
      </c>
      <c r="AX783">
        <f t="shared" si="461"/>
        <v>84</v>
      </c>
      <c r="AY783">
        <f t="shared" si="462"/>
        <v>87</v>
      </c>
      <c r="AZ783">
        <f t="shared" si="463"/>
        <v>100</v>
      </c>
      <c r="BA783">
        <f t="shared" si="464"/>
        <v>107</v>
      </c>
      <c r="BB783">
        <f t="shared" si="465"/>
        <v>117</v>
      </c>
      <c r="BC783">
        <f t="shared" si="466"/>
        <v>120</v>
      </c>
      <c r="BD783" s="29">
        <f t="shared" si="467"/>
        <v>128</v>
      </c>
      <c r="BE783" s="29">
        <f t="shared" si="468"/>
        <v>131</v>
      </c>
    </row>
    <row r="784" spans="1:57" ht="15" x14ac:dyDescent="0.2">
      <c r="A784" s="2">
        <v>949</v>
      </c>
      <c r="B784" s="2" t="str">
        <f t="shared" si="433"/>
        <v>0949</v>
      </c>
      <c r="C784" t="str">
        <f t="shared" si="434"/>
        <v>ORD-BL-0949-05/10/24</v>
      </c>
      <c r="D784" s="3" t="s">
        <v>880</v>
      </c>
      <c r="E784" t="str">
        <f t="shared" si="435"/>
        <v>PW002</v>
      </c>
      <c r="F784" t="str">
        <f>INDEX(Katalog!$B$4:$B$13,MATCH('Main Data'!E784,Katalog!$C$4:$C$13,0))</f>
        <v>Blouse</v>
      </c>
      <c r="G784" t="str">
        <f>VLOOKUP(E784,Katalog!$A$15:$B$25,2,0)</f>
        <v>Pakaian Wanita</v>
      </c>
      <c r="H784" t="str">
        <f t="shared" si="436"/>
        <v>3</v>
      </c>
      <c r="I784" t="str">
        <f t="shared" si="437"/>
        <v>3</v>
      </c>
      <c r="J784" s="18">
        <f>VLOOKUP(E784,Katalog!$C$3:$F$13,2,0)</f>
        <v>125000</v>
      </c>
      <c r="K784" s="18">
        <f>VLOOKUP(E784,Katalog!$C$3:$F$13,3,0)</f>
        <v>50000</v>
      </c>
      <c r="L784" t="str">
        <f t="shared" si="438"/>
        <v>PW001</v>
      </c>
      <c r="M784" t="str">
        <f>IFERROR(INDEX(Katalog!$B$4:$B$13,MATCH('Main Data'!L784,Katalog!$C$4:$C$13,0)), "-")</f>
        <v>Dress</v>
      </c>
      <c r="N784" t="str">
        <f>IFERROR(VLOOKUP(L784,Katalog!$A$15:$B$25,2,0),"-")</f>
        <v>Pakaian Wanita</v>
      </c>
      <c r="O784" t="str">
        <f t="shared" si="439"/>
        <v>2</v>
      </c>
      <c r="P784" t="str">
        <f t="shared" si="440"/>
        <v>3</v>
      </c>
      <c r="Q784" s="18">
        <f>IFERROR(VLOOKUP(L784,Katalog!$C$3:$F$13,2,0),0)</f>
        <v>150000</v>
      </c>
      <c r="R784" s="18">
        <f>IFERROR(VLOOKUP(L784,Katalog!$C$3:$F$13,3,0),0)</f>
        <v>55000</v>
      </c>
      <c r="S784" t="str">
        <f t="shared" si="441"/>
        <v>PP001</v>
      </c>
      <c r="T784" t="str">
        <f>IFERROR(INDEX(Katalog!$B$4:$B$13,MATCH('Main Data'!S784,Katalog!$C$4:$C$13,0)),"-")</f>
        <v>Kaos Polo</v>
      </c>
      <c r="U784" t="str">
        <f>IFERROR(VLOOKUP(S784,Katalog!$A$15:$B$25,2,0),"-")</f>
        <v>Pakaian Pria</v>
      </c>
      <c r="V784" t="str">
        <f t="shared" si="442"/>
        <v>1</v>
      </c>
      <c r="W784" s="28" t="str">
        <f t="shared" si="443"/>
        <v>3</v>
      </c>
      <c r="X784" s="18">
        <f>IFERROR(VLOOKUP(S784,Katalog!$C$3:$F$13,2,0),0)</f>
        <v>80000</v>
      </c>
      <c r="Y784" s="30">
        <f>IFERROR(VLOOKUP(S784,Katalog!$C$3:$F$13,3,0),0)</f>
        <v>30000</v>
      </c>
      <c r="Z784" s="2">
        <f t="shared" si="444"/>
        <v>6</v>
      </c>
      <c r="AA784" s="4">
        <f t="shared" si="445"/>
        <v>755000</v>
      </c>
      <c r="AB784" s="4">
        <f t="shared" si="446"/>
        <v>290000</v>
      </c>
      <c r="AC784" s="4" t="s">
        <v>31</v>
      </c>
      <c r="AD784" s="16">
        <f>IFERROR(VLOOKUP(AC784,'Kode Diskon'!$C$2:$D$9,2,0),0)</f>
        <v>0.15</v>
      </c>
      <c r="AE784" s="31">
        <f t="shared" si="447"/>
        <v>113250</v>
      </c>
      <c r="AF784" s="31">
        <f t="shared" si="448"/>
        <v>641750</v>
      </c>
      <c r="AG784" s="31">
        <f t="shared" si="449"/>
        <v>465000</v>
      </c>
      <c r="AH784" s="31">
        <f t="shared" si="450"/>
        <v>351750</v>
      </c>
      <c r="AI784" s="4" t="s">
        <v>8</v>
      </c>
      <c r="AJ784" s="4" t="s">
        <v>11</v>
      </c>
      <c r="AK784" s="4" t="str">
        <f>IFERROR(VLOOKUP(AJ784,'Guide '!$A$13:$B$16,2,0),"-")</f>
        <v>BL</v>
      </c>
      <c r="AL784" s="4" t="s">
        <v>925</v>
      </c>
      <c r="AM784" s="40">
        <v>45570</v>
      </c>
      <c r="AN784">
        <f t="shared" si="451"/>
        <v>29</v>
      </c>
      <c r="AO784">
        <f t="shared" si="452"/>
        <v>32</v>
      </c>
      <c r="AP784">
        <f t="shared" si="453"/>
        <v>40</v>
      </c>
      <c r="AQ784">
        <f t="shared" si="454"/>
        <v>43</v>
      </c>
      <c r="AR784" s="26">
        <f t="shared" si="455"/>
        <v>56</v>
      </c>
      <c r="AS784" s="26">
        <f t="shared" si="456"/>
        <v>63</v>
      </c>
      <c r="AT784" s="21">
        <f t="shared" si="457"/>
        <v>12</v>
      </c>
      <c r="AU784" s="21">
        <f t="shared" si="458"/>
        <v>19</v>
      </c>
      <c r="AV784">
        <f t="shared" si="459"/>
        <v>73</v>
      </c>
      <c r="AW784">
        <f t="shared" si="460"/>
        <v>76</v>
      </c>
      <c r="AX784">
        <f t="shared" si="461"/>
        <v>84</v>
      </c>
      <c r="AY784">
        <f t="shared" si="462"/>
        <v>87</v>
      </c>
      <c r="AZ784">
        <f t="shared" si="463"/>
        <v>100</v>
      </c>
      <c r="BA784">
        <f t="shared" si="464"/>
        <v>107</v>
      </c>
      <c r="BB784">
        <f t="shared" si="465"/>
        <v>117</v>
      </c>
      <c r="BC784">
        <f t="shared" si="466"/>
        <v>120</v>
      </c>
      <c r="BD784" s="29">
        <f t="shared" si="467"/>
        <v>128</v>
      </c>
      <c r="BE784" s="29">
        <f t="shared" si="468"/>
        <v>131</v>
      </c>
    </row>
    <row r="785" spans="1:57" ht="15" x14ac:dyDescent="0.2">
      <c r="A785" s="2">
        <v>293</v>
      </c>
      <c r="B785" s="2" t="str">
        <f t="shared" si="433"/>
        <v>0293</v>
      </c>
      <c r="C785" t="str">
        <f t="shared" si="434"/>
        <v>ORD-SP-0293-07/10/24</v>
      </c>
      <c r="D785" s="3" t="s">
        <v>349</v>
      </c>
      <c r="E785" t="str">
        <f t="shared" si="435"/>
        <v>PP003</v>
      </c>
      <c r="F785" t="str">
        <f>INDEX(Katalog!$B$4:$B$13,MATCH('Main Data'!E785,Katalog!$C$4:$C$13,0))</f>
        <v>Jaket Jeans</v>
      </c>
      <c r="G785" t="str">
        <f>VLOOKUP(E785,Katalog!$A$15:$B$25,2,0)</f>
        <v>Pakaian Pria</v>
      </c>
      <c r="H785" t="str">
        <f t="shared" si="436"/>
        <v>2</v>
      </c>
      <c r="I785" t="str">
        <f t="shared" si="437"/>
        <v>2</v>
      </c>
      <c r="J785" s="18">
        <f>VLOOKUP(E785,Katalog!$C$3:$F$13,2,0)</f>
        <v>150000</v>
      </c>
      <c r="K785" s="18">
        <f>VLOOKUP(E785,Katalog!$C$3:$F$13,3,0)</f>
        <v>70000</v>
      </c>
      <c r="L785" t="str">
        <f t="shared" si="438"/>
        <v>PW003</v>
      </c>
      <c r="M785" t="str">
        <f>IFERROR(INDEX(Katalog!$B$4:$B$13,MATCH('Main Data'!L785,Katalog!$C$4:$C$13,0)), "-")</f>
        <v>Kaftan</v>
      </c>
      <c r="N785" t="str">
        <f>IFERROR(VLOOKUP(L785,Katalog!$A$15:$B$25,2,0),"-")</f>
        <v>Pakaian Wanita</v>
      </c>
      <c r="O785" t="str">
        <f t="shared" si="439"/>
        <v>2</v>
      </c>
      <c r="P785" t="str">
        <f t="shared" si="440"/>
        <v>1</v>
      </c>
      <c r="Q785" s="18">
        <f>IFERROR(VLOOKUP(L785,Katalog!$C$3:$F$13,2,0),0)</f>
        <v>200000</v>
      </c>
      <c r="R785" s="18">
        <f>IFERROR(VLOOKUP(L785,Katalog!$C$3:$F$13,3,0),0)</f>
        <v>100000</v>
      </c>
      <c r="S785" t="str">
        <f t="shared" si="441"/>
        <v>PW002</v>
      </c>
      <c r="T785" t="str">
        <f>IFERROR(INDEX(Katalog!$B$4:$B$13,MATCH('Main Data'!S785,Katalog!$C$4:$C$13,0)),"-")</f>
        <v>Blouse</v>
      </c>
      <c r="U785" t="str">
        <f>IFERROR(VLOOKUP(S785,Katalog!$A$15:$B$25,2,0),"-")</f>
        <v>Pakaian Wanita</v>
      </c>
      <c r="V785" t="str">
        <f t="shared" si="442"/>
        <v>3</v>
      </c>
      <c r="W785" s="28" t="str">
        <f t="shared" si="443"/>
        <v>2</v>
      </c>
      <c r="X785" s="18">
        <f>IFERROR(VLOOKUP(S785,Katalog!$C$3:$F$13,2,0),0)</f>
        <v>125000</v>
      </c>
      <c r="Y785" s="30">
        <f>IFERROR(VLOOKUP(S785,Katalog!$C$3:$F$13,3,0),0)</f>
        <v>50000</v>
      </c>
      <c r="Z785" s="2">
        <f t="shared" si="444"/>
        <v>7</v>
      </c>
      <c r="AA785" s="4">
        <f t="shared" si="445"/>
        <v>1075000</v>
      </c>
      <c r="AB785" s="4">
        <f t="shared" si="446"/>
        <v>490000</v>
      </c>
      <c r="AC785" s="4" t="s">
        <v>12</v>
      </c>
      <c r="AD785" s="16">
        <f>IFERROR(VLOOKUP(AC785,'Kode Diskon'!$C$2:$D$9,2,0),0)</f>
        <v>0.15</v>
      </c>
      <c r="AE785" s="31">
        <f t="shared" si="447"/>
        <v>161250</v>
      </c>
      <c r="AF785" s="31">
        <f t="shared" si="448"/>
        <v>913750</v>
      </c>
      <c r="AG785" s="31">
        <f t="shared" si="449"/>
        <v>585000</v>
      </c>
      <c r="AH785" s="31">
        <f t="shared" si="450"/>
        <v>423750</v>
      </c>
      <c r="AI785" s="4" t="s">
        <v>28</v>
      </c>
      <c r="AJ785" s="4" t="s">
        <v>6</v>
      </c>
      <c r="AK785" s="4" t="str">
        <f>IFERROR(VLOOKUP(AJ785,'Guide '!$A$13:$B$16,2,0),"-")</f>
        <v>SP</v>
      </c>
      <c r="AL785" s="4" t="s">
        <v>924</v>
      </c>
      <c r="AM785" s="40">
        <v>45572</v>
      </c>
      <c r="AN785">
        <f t="shared" si="451"/>
        <v>29</v>
      </c>
      <c r="AO785">
        <f t="shared" si="452"/>
        <v>32</v>
      </c>
      <c r="AP785">
        <f t="shared" si="453"/>
        <v>40</v>
      </c>
      <c r="AQ785">
        <f t="shared" si="454"/>
        <v>43</v>
      </c>
      <c r="AR785" s="26">
        <f t="shared" si="455"/>
        <v>56</v>
      </c>
      <c r="AS785" s="26">
        <f t="shared" si="456"/>
        <v>63</v>
      </c>
      <c r="AT785" s="21">
        <f t="shared" si="457"/>
        <v>12</v>
      </c>
      <c r="AU785" s="21">
        <f t="shared" si="458"/>
        <v>19</v>
      </c>
      <c r="AV785">
        <f t="shared" si="459"/>
        <v>73</v>
      </c>
      <c r="AW785">
        <f t="shared" si="460"/>
        <v>76</v>
      </c>
      <c r="AX785">
        <f t="shared" si="461"/>
        <v>84</v>
      </c>
      <c r="AY785">
        <f t="shared" si="462"/>
        <v>87</v>
      </c>
      <c r="AZ785">
        <f t="shared" si="463"/>
        <v>100</v>
      </c>
      <c r="BA785">
        <f t="shared" si="464"/>
        <v>107</v>
      </c>
      <c r="BB785">
        <f t="shared" si="465"/>
        <v>117</v>
      </c>
      <c r="BC785">
        <f t="shared" si="466"/>
        <v>120</v>
      </c>
      <c r="BD785" s="29">
        <f t="shared" si="467"/>
        <v>128</v>
      </c>
      <c r="BE785" s="29">
        <f t="shared" si="468"/>
        <v>131</v>
      </c>
    </row>
    <row r="786" spans="1:57" ht="15" x14ac:dyDescent="0.2">
      <c r="A786" s="2">
        <v>722</v>
      </c>
      <c r="B786" s="2" t="str">
        <f t="shared" si="433"/>
        <v>0722</v>
      </c>
      <c r="C786" t="str">
        <f t="shared" si="434"/>
        <v>ORD-TK-0722-07/10/24</v>
      </c>
      <c r="D786" s="3" t="s">
        <v>709</v>
      </c>
      <c r="E786" t="str">
        <f t="shared" si="435"/>
        <v>SP002</v>
      </c>
      <c r="F786" t="str">
        <f>INDEX(Katalog!$B$4:$B$13,MATCH('Main Data'!E786,Katalog!$C$4:$C$13,0))</f>
        <v>Sandal Slip On</v>
      </c>
      <c r="G786" t="str">
        <f>VLOOKUP(E786,Katalog!$A$15:$B$25,2,0)</f>
        <v>Sepatu Pria</v>
      </c>
      <c r="H786" t="str">
        <f t="shared" si="436"/>
        <v>4</v>
      </c>
      <c r="I786" t="str">
        <f t="shared" si="437"/>
        <v>2</v>
      </c>
      <c r="J786" s="18">
        <f>VLOOKUP(E786,Katalog!$C$3:$F$13,2,0)</f>
        <v>120000</v>
      </c>
      <c r="K786" s="18">
        <f>VLOOKUP(E786,Katalog!$C$3:$F$13,3,0)</f>
        <v>60000</v>
      </c>
      <c r="L786" t="str">
        <f t="shared" si="438"/>
        <v>-</v>
      </c>
      <c r="M786" t="str">
        <f>IFERROR(INDEX(Katalog!$B$4:$B$13,MATCH('Main Data'!L786,Katalog!$C$4:$C$13,0)), "-")</f>
        <v>-</v>
      </c>
      <c r="N786" t="str">
        <f>IFERROR(VLOOKUP(L786,Katalog!$A$15:$B$25,2,0),"-")</f>
        <v>-</v>
      </c>
      <c r="O786">
        <f t="shared" si="439"/>
        <v>0</v>
      </c>
      <c r="P786" t="str">
        <f t="shared" si="440"/>
        <v>-</v>
      </c>
      <c r="Q786" s="18">
        <f>IFERROR(VLOOKUP(L786,Katalog!$C$3:$F$13,2,0),0)</f>
        <v>0</v>
      </c>
      <c r="R786" s="18">
        <f>IFERROR(VLOOKUP(L786,Katalog!$C$3:$F$13,3,0),0)</f>
        <v>0</v>
      </c>
      <c r="S786" t="str">
        <f t="shared" si="441"/>
        <v>-</v>
      </c>
      <c r="T786" t="str">
        <f>IFERROR(INDEX(Katalog!$B$4:$B$13,MATCH('Main Data'!S786,Katalog!$C$4:$C$13,0)),"-")</f>
        <v>-</v>
      </c>
      <c r="U786" t="str">
        <f>IFERROR(VLOOKUP(S786,Katalog!$A$15:$B$25,2,0),"-")</f>
        <v>-</v>
      </c>
      <c r="V786">
        <f t="shared" si="442"/>
        <v>0</v>
      </c>
      <c r="W786" s="28" t="str">
        <f t="shared" si="443"/>
        <v>-</v>
      </c>
      <c r="X786" s="18">
        <f>IFERROR(VLOOKUP(S786,Katalog!$C$3:$F$13,2,0),0)</f>
        <v>0</v>
      </c>
      <c r="Y786" s="30">
        <f>IFERROR(VLOOKUP(S786,Katalog!$C$3:$F$13,3,0),0)</f>
        <v>0</v>
      </c>
      <c r="Z786" s="2">
        <f t="shared" si="444"/>
        <v>4</v>
      </c>
      <c r="AA786" s="4">
        <f t="shared" si="445"/>
        <v>480000</v>
      </c>
      <c r="AB786" s="4">
        <f t="shared" si="446"/>
        <v>240000</v>
      </c>
      <c r="AC786" s="4" t="s">
        <v>29</v>
      </c>
      <c r="AD786" s="16">
        <f>IFERROR(VLOOKUP(AC786,'Kode Diskon'!$C$2:$D$9,2,0),0)</f>
        <v>0.1</v>
      </c>
      <c r="AE786" s="31">
        <f t="shared" si="447"/>
        <v>48000</v>
      </c>
      <c r="AF786" s="31">
        <f t="shared" si="448"/>
        <v>432000</v>
      </c>
      <c r="AG786" s="31">
        <f t="shared" si="449"/>
        <v>240000</v>
      </c>
      <c r="AH786" s="31">
        <f t="shared" si="450"/>
        <v>192000</v>
      </c>
      <c r="AI786" s="4" t="s">
        <v>28</v>
      </c>
      <c r="AJ786" s="4" t="s">
        <v>9</v>
      </c>
      <c r="AK786" s="4" t="str">
        <f>IFERROR(VLOOKUP(AJ786,'Guide '!$A$13:$B$16,2,0),"-")</f>
        <v>TK</v>
      </c>
      <c r="AL786" s="4" t="s">
        <v>925</v>
      </c>
      <c r="AM786" s="40">
        <v>45572</v>
      </c>
      <c r="AN786">
        <f t="shared" si="451"/>
        <v>29</v>
      </c>
      <c r="AO786">
        <f t="shared" si="452"/>
        <v>32</v>
      </c>
      <c r="AP786">
        <f t="shared" si="453"/>
        <v>40</v>
      </c>
      <c r="AQ786">
        <f t="shared" si="454"/>
        <v>43</v>
      </c>
      <c r="AR786" s="26" t="str">
        <f t="shared" si="455"/>
        <v>-</v>
      </c>
      <c r="AS786" s="26" t="str">
        <f t="shared" si="456"/>
        <v>-</v>
      </c>
      <c r="AT786" s="21">
        <f t="shared" si="457"/>
        <v>12</v>
      </c>
      <c r="AU786" s="21">
        <f t="shared" si="458"/>
        <v>19</v>
      </c>
      <c r="AV786" t="str">
        <f t="shared" si="459"/>
        <v>-</v>
      </c>
      <c r="AW786" t="str">
        <f t="shared" si="460"/>
        <v>-</v>
      </c>
      <c r="AX786" t="str">
        <f t="shared" si="461"/>
        <v>-</v>
      </c>
      <c r="AY786" t="str">
        <f t="shared" si="462"/>
        <v>-</v>
      </c>
      <c r="AZ786" t="str">
        <f t="shared" si="463"/>
        <v>-</v>
      </c>
      <c r="BA786" t="str">
        <f t="shared" si="464"/>
        <v>-</v>
      </c>
      <c r="BB786" t="str">
        <f t="shared" si="465"/>
        <v>-</v>
      </c>
      <c r="BC786" t="str">
        <f t="shared" si="466"/>
        <v>-</v>
      </c>
      <c r="BD786" s="29" t="str">
        <f t="shared" si="467"/>
        <v>-</v>
      </c>
      <c r="BE786" s="29" t="str">
        <f t="shared" si="468"/>
        <v>-</v>
      </c>
    </row>
    <row r="787" spans="1:57" ht="15" x14ac:dyDescent="0.2">
      <c r="A787" s="2">
        <v>735</v>
      </c>
      <c r="B787" s="2" t="str">
        <f t="shared" si="433"/>
        <v>0735</v>
      </c>
      <c r="C787" t="str">
        <f t="shared" si="434"/>
        <v>ORD-TK-0735-07/10/24</v>
      </c>
      <c r="D787" s="3" t="s">
        <v>720</v>
      </c>
      <c r="E787" t="str">
        <f t="shared" si="435"/>
        <v>PW001</v>
      </c>
      <c r="F787" t="str">
        <f>INDEX(Katalog!$B$4:$B$13,MATCH('Main Data'!E787,Katalog!$C$4:$C$13,0))</f>
        <v>Dress</v>
      </c>
      <c r="G787" t="str">
        <f>VLOOKUP(E787,Katalog!$A$15:$B$25,2,0)</f>
        <v>Pakaian Wanita</v>
      </c>
      <c r="H787" t="str">
        <f t="shared" si="436"/>
        <v>1</v>
      </c>
      <c r="I787" t="str">
        <f t="shared" si="437"/>
        <v>4</v>
      </c>
      <c r="J787" s="18">
        <f>VLOOKUP(E787,Katalog!$C$3:$F$13,2,0)</f>
        <v>150000</v>
      </c>
      <c r="K787" s="18">
        <f>VLOOKUP(E787,Katalog!$C$3:$F$13,3,0)</f>
        <v>55000</v>
      </c>
      <c r="L787" t="str">
        <f t="shared" si="438"/>
        <v>PU001</v>
      </c>
      <c r="M787" t="str">
        <f>IFERROR(INDEX(Katalog!$B$4:$B$13,MATCH('Main Data'!L787,Katalog!$C$4:$C$13,0)), "-")</f>
        <v>Jaket Hoodie</v>
      </c>
      <c r="N787" t="str">
        <f>IFERROR(VLOOKUP(L787,Katalog!$A$15:$B$25,2,0),"-")</f>
        <v>Pakaian Unisex</v>
      </c>
      <c r="O787" t="str">
        <f t="shared" si="439"/>
        <v>1</v>
      </c>
      <c r="P787" t="str">
        <f t="shared" si="440"/>
        <v>4</v>
      </c>
      <c r="Q787" s="18">
        <f>IFERROR(VLOOKUP(L787,Katalog!$C$3:$F$13,2,0),0)</f>
        <v>160000</v>
      </c>
      <c r="R787" s="18">
        <f>IFERROR(VLOOKUP(L787,Katalog!$C$3:$F$13,3,0),0)</f>
        <v>60000</v>
      </c>
      <c r="S787" t="str">
        <f t="shared" si="441"/>
        <v>PP001</v>
      </c>
      <c r="T787" t="str">
        <f>IFERROR(INDEX(Katalog!$B$4:$B$13,MATCH('Main Data'!S787,Katalog!$C$4:$C$13,0)),"-")</f>
        <v>Kaos Polo</v>
      </c>
      <c r="U787" t="str">
        <f>IFERROR(VLOOKUP(S787,Katalog!$A$15:$B$25,2,0),"-")</f>
        <v>Pakaian Pria</v>
      </c>
      <c r="V787" t="str">
        <f t="shared" si="442"/>
        <v>5</v>
      </c>
      <c r="W787" s="28" t="str">
        <f t="shared" si="443"/>
        <v>2</v>
      </c>
      <c r="X787" s="18">
        <f>IFERROR(VLOOKUP(S787,Katalog!$C$3:$F$13,2,0),0)</f>
        <v>80000</v>
      </c>
      <c r="Y787" s="30">
        <f>IFERROR(VLOOKUP(S787,Katalog!$C$3:$F$13,3,0),0)</f>
        <v>30000</v>
      </c>
      <c r="Z787" s="2">
        <f t="shared" si="444"/>
        <v>7</v>
      </c>
      <c r="AA787" s="4">
        <f t="shared" si="445"/>
        <v>710000</v>
      </c>
      <c r="AB787" s="4">
        <f t="shared" si="446"/>
        <v>265000</v>
      </c>
      <c r="AC787" s="4" t="s">
        <v>29</v>
      </c>
      <c r="AD787" s="16">
        <f>IFERROR(VLOOKUP(AC787,'Kode Diskon'!$C$2:$D$9,2,0),0)</f>
        <v>0.1</v>
      </c>
      <c r="AE787" s="31">
        <f t="shared" si="447"/>
        <v>71000</v>
      </c>
      <c r="AF787" s="31">
        <f t="shared" si="448"/>
        <v>639000</v>
      </c>
      <c r="AG787" s="31">
        <f t="shared" si="449"/>
        <v>445000</v>
      </c>
      <c r="AH787" s="31">
        <f t="shared" si="450"/>
        <v>374000</v>
      </c>
      <c r="AI787" s="4" t="s">
        <v>28</v>
      </c>
      <c r="AJ787" s="4" t="s">
        <v>9</v>
      </c>
      <c r="AK787" s="4" t="str">
        <f>IFERROR(VLOOKUP(AJ787,'Guide '!$A$13:$B$16,2,0),"-")</f>
        <v>TK</v>
      </c>
      <c r="AL787" s="4" t="s">
        <v>921</v>
      </c>
      <c r="AM787" s="40">
        <v>45572</v>
      </c>
      <c r="AN787">
        <f t="shared" si="451"/>
        <v>29</v>
      </c>
      <c r="AO787">
        <f t="shared" si="452"/>
        <v>32</v>
      </c>
      <c r="AP787">
        <f t="shared" si="453"/>
        <v>40</v>
      </c>
      <c r="AQ787">
        <f t="shared" si="454"/>
        <v>43</v>
      </c>
      <c r="AR787" s="26">
        <f t="shared" si="455"/>
        <v>56</v>
      </c>
      <c r="AS787" s="26">
        <f t="shared" si="456"/>
        <v>63</v>
      </c>
      <c r="AT787" s="21">
        <f t="shared" si="457"/>
        <v>12</v>
      </c>
      <c r="AU787" s="21">
        <f t="shared" si="458"/>
        <v>19</v>
      </c>
      <c r="AV787">
        <f t="shared" si="459"/>
        <v>73</v>
      </c>
      <c r="AW787">
        <f t="shared" si="460"/>
        <v>76</v>
      </c>
      <c r="AX787">
        <f t="shared" si="461"/>
        <v>84</v>
      </c>
      <c r="AY787">
        <f t="shared" si="462"/>
        <v>87</v>
      </c>
      <c r="AZ787">
        <f t="shared" si="463"/>
        <v>100</v>
      </c>
      <c r="BA787">
        <f t="shared" si="464"/>
        <v>107</v>
      </c>
      <c r="BB787">
        <f t="shared" si="465"/>
        <v>117</v>
      </c>
      <c r="BC787">
        <f t="shared" si="466"/>
        <v>120</v>
      </c>
      <c r="BD787" s="29">
        <f t="shared" si="467"/>
        <v>128</v>
      </c>
      <c r="BE787" s="29">
        <f t="shared" si="468"/>
        <v>131</v>
      </c>
    </row>
    <row r="788" spans="1:57" ht="15" x14ac:dyDescent="0.2">
      <c r="A788" s="2">
        <v>393</v>
      </c>
      <c r="B788" s="2" t="str">
        <f t="shared" si="433"/>
        <v>0393</v>
      </c>
      <c r="C788" t="str">
        <f t="shared" si="434"/>
        <v>ORD-BL-0393-08/10/24</v>
      </c>
      <c r="D788" s="3" t="s">
        <v>442</v>
      </c>
      <c r="E788" t="str">
        <f t="shared" si="435"/>
        <v>PU001</v>
      </c>
      <c r="F788" t="str">
        <f>INDEX(Katalog!$B$4:$B$13,MATCH('Main Data'!E788,Katalog!$C$4:$C$13,0))</f>
        <v>Jaket Hoodie</v>
      </c>
      <c r="G788" t="str">
        <f>VLOOKUP(E788,Katalog!$A$15:$B$25,2,0)</f>
        <v>Pakaian Unisex</v>
      </c>
      <c r="H788" t="str">
        <f t="shared" si="436"/>
        <v>4</v>
      </c>
      <c r="I788" t="str">
        <f t="shared" si="437"/>
        <v>2</v>
      </c>
      <c r="J788" s="18">
        <f>VLOOKUP(E788,Katalog!$C$3:$F$13,2,0)</f>
        <v>160000</v>
      </c>
      <c r="K788" s="18">
        <f>VLOOKUP(E788,Katalog!$C$3:$F$13,3,0)</f>
        <v>60000</v>
      </c>
      <c r="L788" t="str">
        <f t="shared" si="438"/>
        <v>PP003</v>
      </c>
      <c r="M788" t="str">
        <f>IFERROR(INDEX(Katalog!$B$4:$B$13,MATCH('Main Data'!L788,Katalog!$C$4:$C$13,0)), "-")</f>
        <v>Jaket Jeans</v>
      </c>
      <c r="N788" t="str">
        <f>IFERROR(VLOOKUP(L788,Katalog!$A$15:$B$25,2,0),"-")</f>
        <v>Pakaian Pria</v>
      </c>
      <c r="O788" t="str">
        <f t="shared" si="439"/>
        <v>2</v>
      </c>
      <c r="P788" t="str">
        <f t="shared" si="440"/>
        <v>4</v>
      </c>
      <c r="Q788" s="18">
        <f>IFERROR(VLOOKUP(L788,Katalog!$C$3:$F$13,2,0),0)</f>
        <v>150000</v>
      </c>
      <c r="R788" s="18">
        <f>IFERROR(VLOOKUP(L788,Katalog!$C$3:$F$13,3,0),0)</f>
        <v>70000</v>
      </c>
      <c r="S788" t="str">
        <f t="shared" si="441"/>
        <v>PU001</v>
      </c>
      <c r="T788" t="str">
        <f>IFERROR(INDEX(Katalog!$B$4:$B$13,MATCH('Main Data'!S788,Katalog!$C$4:$C$13,0)),"-")</f>
        <v>Jaket Hoodie</v>
      </c>
      <c r="U788" t="str">
        <f>IFERROR(VLOOKUP(S788,Katalog!$A$15:$B$25,2,0),"-")</f>
        <v>Pakaian Unisex</v>
      </c>
      <c r="V788" t="str">
        <f t="shared" si="442"/>
        <v>1</v>
      </c>
      <c r="W788" s="28" t="str">
        <f t="shared" si="443"/>
        <v>5</v>
      </c>
      <c r="X788" s="18">
        <f>IFERROR(VLOOKUP(S788,Katalog!$C$3:$F$13,2,0),0)</f>
        <v>160000</v>
      </c>
      <c r="Y788" s="30">
        <f>IFERROR(VLOOKUP(S788,Katalog!$C$3:$F$13,3,0),0)</f>
        <v>60000</v>
      </c>
      <c r="Z788" s="2">
        <f t="shared" si="444"/>
        <v>7</v>
      </c>
      <c r="AA788" s="4">
        <f t="shared" si="445"/>
        <v>1100000</v>
      </c>
      <c r="AB788" s="4">
        <f t="shared" si="446"/>
        <v>440000</v>
      </c>
      <c r="AC788" s="4" t="s">
        <v>31</v>
      </c>
      <c r="AD788" s="16">
        <f>IFERROR(VLOOKUP(AC788,'Kode Diskon'!$C$2:$D$9,2,0),0)</f>
        <v>0.15</v>
      </c>
      <c r="AE788" s="31">
        <f t="shared" si="447"/>
        <v>165000</v>
      </c>
      <c r="AF788" s="31">
        <f t="shared" si="448"/>
        <v>935000</v>
      </c>
      <c r="AG788" s="31">
        <f t="shared" si="449"/>
        <v>660000</v>
      </c>
      <c r="AH788" s="31">
        <f t="shared" si="450"/>
        <v>495000</v>
      </c>
      <c r="AI788" s="4" t="s">
        <v>8</v>
      </c>
      <c r="AJ788" s="4" t="s">
        <v>11</v>
      </c>
      <c r="AK788" s="4" t="str">
        <f>IFERROR(VLOOKUP(AJ788,'Guide '!$A$13:$B$16,2,0),"-")</f>
        <v>BL</v>
      </c>
      <c r="AL788" s="4" t="s">
        <v>921</v>
      </c>
      <c r="AM788" s="40">
        <v>45573</v>
      </c>
      <c r="AN788">
        <f t="shared" si="451"/>
        <v>29</v>
      </c>
      <c r="AO788">
        <f t="shared" si="452"/>
        <v>32</v>
      </c>
      <c r="AP788">
        <f t="shared" si="453"/>
        <v>40</v>
      </c>
      <c r="AQ788">
        <f t="shared" si="454"/>
        <v>43</v>
      </c>
      <c r="AR788" s="26">
        <f t="shared" si="455"/>
        <v>56</v>
      </c>
      <c r="AS788" s="26">
        <f t="shared" si="456"/>
        <v>63</v>
      </c>
      <c r="AT788" s="21">
        <f t="shared" si="457"/>
        <v>12</v>
      </c>
      <c r="AU788" s="21">
        <f t="shared" si="458"/>
        <v>19</v>
      </c>
      <c r="AV788">
        <f t="shared" si="459"/>
        <v>73</v>
      </c>
      <c r="AW788">
        <f t="shared" si="460"/>
        <v>76</v>
      </c>
      <c r="AX788">
        <f t="shared" si="461"/>
        <v>84</v>
      </c>
      <c r="AY788">
        <f t="shared" si="462"/>
        <v>87</v>
      </c>
      <c r="AZ788">
        <f t="shared" si="463"/>
        <v>100</v>
      </c>
      <c r="BA788">
        <f t="shared" si="464"/>
        <v>107</v>
      </c>
      <c r="BB788">
        <f t="shared" si="465"/>
        <v>117</v>
      </c>
      <c r="BC788">
        <f t="shared" si="466"/>
        <v>120</v>
      </c>
      <c r="BD788" s="29">
        <f t="shared" si="467"/>
        <v>128</v>
      </c>
      <c r="BE788" s="29">
        <f t="shared" si="468"/>
        <v>131</v>
      </c>
    </row>
    <row r="789" spans="1:57" ht="15" x14ac:dyDescent="0.2">
      <c r="A789" s="2">
        <v>960</v>
      </c>
      <c r="B789" s="2" t="str">
        <f t="shared" si="433"/>
        <v>0960</v>
      </c>
      <c r="C789" t="str">
        <f t="shared" si="434"/>
        <v>ORD-SP-0960-08/10/24</v>
      </c>
      <c r="D789" s="3" t="s">
        <v>890</v>
      </c>
      <c r="E789" t="str">
        <f t="shared" si="435"/>
        <v>PP002</v>
      </c>
      <c r="F789" t="str">
        <f>INDEX(Katalog!$B$4:$B$13,MATCH('Main Data'!E789,Katalog!$C$4:$C$13,0))</f>
        <v>Celana Pendek</v>
      </c>
      <c r="G789" t="str">
        <f>VLOOKUP(E789,Katalog!$A$15:$B$25,2,0)</f>
        <v>Pakaian Pria</v>
      </c>
      <c r="H789" t="str">
        <f t="shared" si="436"/>
        <v>4</v>
      </c>
      <c r="I789" t="str">
        <f t="shared" si="437"/>
        <v>5</v>
      </c>
      <c r="J789" s="18">
        <f>VLOOKUP(E789,Katalog!$C$3:$F$13,2,0)</f>
        <v>60000</v>
      </c>
      <c r="K789" s="18">
        <f>VLOOKUP(E789,Katalog!$C$3:$F$13,3,0)</f>
        <v>25000</v>
      </c>
      <c r="L789" t="str">
        <f t="shared" si="438"/>
        <v>PW001</v>
      </c>
      <c r="M789" t="str">
        <f>IFERROR(INDEX(Katalog!$B$4:$B$13,MATCH('Main Data'!L789,Katalog!$C$4:$C$13,0)), "-")</f>
        <v>Dress</v>
      </c>
      <c r="N789" t="str">
        <f>IFERROR(VLOOKUP(L789,Katalog!$A$15:$B$25,2,0),"-")</f>
        <v>Pakaian Wanita</v>
      </c>
      <c r="O789" t="str">
        <f t="shared" si="439"/>
        <v>1</v>
      </c>
      <c r="P789" t="str">
        <f t="shared" si="440"/>
        <v>2</v>
      </c>
      <c r="Q789" s="18">
        <f>IFERROR(VLOOKUP(L789,Katalog!$C$3:$F$13,2,0),0)</f>
        <v>150000</v>
      </c>
      <c r="R789" s="18">
        <f>IFERROR(VLOOKUP(L789,Katalog!$C$3:$F$13,3,0),0)</f>
        <v>55000</v>
      </c>
      <c r="S789" t="str">
        <f t="shared" si="441"/>
        <v>PP002</v>
      </c>
      <c r="T789" t="str">
        <f>IFERROR(INDEX(Katalog!$B$4:$B$13,MATCH('Main Data'!S789,Katalog!$C$4:$C$13,0)),"-")</f>
        <v>Celana Pendek</v>
      </c>
      <c r="U789" t="str">
        <f>IFERROR(VLOOKUP(S789,Katalog!$A$15:$B$25,2,0),"-")</f>
        <v>Pakaian Pria</v>
      </c>
      <c r="V789" t="str">
        <f t="shared" si="442"/>
        <v>1</v>
      </c>
      <c r="W789" s="28" t="str">
        <f t="shared" si="443"/>
        <v>3</v>
      </c>
      <c r="X789" s="18">
        <f>IFERROR(VLOOKUP(S789,Katalog!$C$3:$F$13,2,0),0)</f>
        <v>60000</v>
      </c>
      <c r="Y789" s="30">
        <f>IFERROR(VLOOKUP(S789,Katalog!$C$3:$F$13,3,0),0)</f>
        <v>25000</v>
      </c>
      <c r="Z789" s="2">
        <f t="shared" si="444"/>
        <v>6</v>
      </c>
      <c r="AA789" s="4">
        <f t="shared" si="445"/>
        <v>450000</v>
      </c>
      <c r="AB789" s="4">
        <f t="shared" si="446"/>
        <v>180000</v>
      </c>
      <c r="AC789" s="4" t="s">
        <v>10</v>
      </c>
      <c r="AD789" s="16">
        <f>IFERROR(VLOOKUP(AC789,'Kode Diskon'!$C$2:$D$9,2,0),0)</f>
        <v>0</v>
      </c>
      <c r="AE789" s="31">
        <f t="shared" si="447"/>
        <v>0</v>
      </c>
      <c r="AF789" s="31">
        <f t="shared" si="448"/>
        <v>450000</v>
      </c>
      <c r="AG789" s="31">
        <f t="shared" si="449"/>
        <v>270000</v>
      </c>
      <c r="AH789" s="31">
        <f t="shared" si="450"/>
        <v>270000</v>
      </c>
      <c r="AI789" s="4" t="s">
        <v>10</v>
      </c>
      <c r="AJ789" s="4" t="s">
        <v>6</v>
      </c>
      <c r="AK789" s="4" t="str">
        <f>IFERROR(VLOOKUP(AJ789,'Guide '!$A$13:$B$16,2,0),"-")</f>
        <v>SP</v>
      </c>
      <c r="AL789" s="4" t="s">
        <v>923</v>
      </c>
      <c r="AM789" s="40">
        <v>45573</v>
      </c>
      <c r="AN789">
        <f t="shared" si="451"/>
        <v>29</v>
      </c>
      <c r="AO789">
        <f t="shared" si="452"/>
        <v>32</v>
      </c>
      <c r="AP789">
        <f t="shared" si="453"/>
        <v>40</v>
      </c>
      <c r="AQ789">
        <f t="shared" si="454"/>
        <v>43</v>
      </c>
      <c r="AR789" s="26">
        <f t="shared" si="455"/>
        <v>56</v>
      </c>
      <c r="AS789" s="26">
        <f t="shared" si="456"/>
        <v>63</v>
      </c>
      <c r="AT789" s="21">
        <f t="shared" si="457"/>
        <v>12</v>
      </c>
      <c r="AU789" s="21">
        <f t="shared" si="458"/>
        <v>19</v>
      </c>
      <c r="AV789">
        <f t="shared" si="459"/>
        <v>73</v>
      </c>
      <c r="AW789">
        <f t="shared" si="460"/>
        <v>76</v>
      </c>
      <c r="AX789">
        <f t="shared" si="461"/>
        <v>84</v>
      </c>
      <c r="AY789">
        <f t="shared" si="462"/>
        <v>87</v>
      </c>
      <c r="AZ789">
        <f t="shared" si="463"/>
        <v>100</v>
      </c>
      <c r="BA789">
        <f t="shared" si="464"/>
        <v>107</v>
      </c>
      <c r="BB789">
        <f t="shared" si="465"/>
        <v>117</v>
      </c>
      <c r="BC789">
        <f t="shared" si="466"/>
        <v>120</v>
      </c>
      <c r="BD789" s="29">
        <f t="shared" si="467"/>
        <v>128</v>
      </c>
      <c r="BE789" s="29">
        <f t="shared" si="468"/>
        <v>131</v>
      </c>
    </row>
    <row r="790" spans="1:57" ht="15" x14ac:dyDescent="0.2">
      <c r="A790" s="2">
        <v>479</v>
      </c>
      <c r="B790" s="2" t="str">
        <f t="shared" si="433"/>
        <v>0479</v>
      </c>
      <c r="C790" t="str">
        <f t="shared" si="434"/>
        <v>ORD-TK-0479-09/10/24</v>
      </c>
      <c r="D790" s="3" t="s">
        <v>515</v>
      </c>
      <c r="E790" t="str">
        <f t="shared" si="435"/>
        <v>PP003</v>
      </c>
      <c r="F790" t="str">
        <f>INDEX(Katalog!$B$4:$B$13,MATCH('Main Data'!E790,Katalog!$C$4:$C$13,0))</f>
        <v>Jaket Jeans</v>
      </c>
      <c r="G790" t="str">
        <f>VLOOKUP(E790,Katalog!$A$15:$B$25,2,0)</f>
        <v>Pakaian Pria</v>
      </c>
      <c r="H790" t="str">
        <f t="shared" si="436"/>
        <v>2</v>
      </c>
      <c r="I790" t="str">
        <f t="shared" si="437"/>
        <v>1</v>
      </c>
      <c r="J790" s="18">
        <f>VLOOKUP(E790,Katalog!$C$3:$F$13,2,0)</f>
        <v>150000</v>
      </c>
      <c r="K790" s="18">
        <f>VLOOKUP(E790,Katalog!$C$3:$F$13,3,0)</f>
        <v>70000</v>
      </c>
      <c r="L790" t="str">
        <f t="shared" si="438"/>
        <v>SP001</v>
      </c>
      <c r="M790" t="str">
        <f>IFERROR(INDEX(Katalog!$B$4:$B$13,MATCH('Main Data'!L790,Katalog!$C$4:$C$13,0)), "-")</f>
        <v>Sneakers</v>
      </c>
      <c r="N790" t="str">
        <f>IFERROR(VLOOKUP(L790,Katalog!$A$15:$B$25,2,0),"-")</f>
        <v>Sepatu Pria</v>
      </c>
      <c r="O790" t="str">
        <f t="shared" si="439"/>
        <v>2</v>
      </c>
      <c r="P790" t="str">
        <f t="shared" si="440"/>
        <v>3</v>
      </c>
      <c r="Q790" s="18">
        <f>IFERROR(VLOOKUP(L790,Katalog!$C$3:$F$13,2,0),0)</f>
        <v>300000</v>
      </c>
      <c r="R790" s="18">
        <f>IFERROR(VLOOKUP(L790,Katalog!$C$3:$F$13,3,0),0)</f>
        <v>100000</v>
      </c>
      <c r="S790" t="str">
        <f t="shared" si="441"/>
        <v>-</v>
      </c>
      <c r="T790" t="str">
        <f>IFERROR(INDEX(Katalog!$B$4:$B$13,MATCH('Main Data'!S790,Katalog!$C$4:$C$13,0)),"-")</f>
        <v>-</v>
      </c>
      <c r="U790" t="str">
        <f>IFERROR(VLOOKUP(S790,Katalog!$A$15:$B$25,2,0),"-")</f>
        <v>-</v>
      </c>
      <c r="V790">
        <f t="shared" si="442"/>
        <v>0</v>
      </c>
      <c r="W790" s="28" t="str">
        <f t="shared" si="443"/>
        <v>-</v>
      </c>
      <c r="X790" s="18">
        <f>IFERROR(VLOOKUP(S790,Katalog!$C$3:$F$13,2,0),0)</f>
        <v>0</v>
      </c>
      <c r="Y790" s="30">
        <f>IFERROR(VLOOKUP(S790,Katalog!$C$3:$F$13,3,0),0)</f>
        <v>0</v>
      </c>
      <c r="Z790" s="2">
        <f t="shared" si="444"/>
        <v>4</v>
      </c>
      <c r="AA790" s="4">
        <f t="shared" si="445"/>
        <v>900000</v>
      </c>
      <c r="AB790" s="4">
        <f t="shared" si="446"/>
        <v>340000</v>
      </c>
      <c r="AC790" s="4" t="s">
        <v>30</v>
      </c>
      <c r="AD790" s="16">
        <f>IFERROR(VLOOKUP(AC790,'Kode Diskon'!$C$2:$D$9,2,0),0)</f>
        <v>0.1</v>
      </c>
      <c r="AE790" s="31">
        <f t="shared" si="447"/>
        <v>90000</v>
      </c>
      <c r="AF790" s="31">
        <f t="shared" si="448"/>
        <v>810000</v>
      </c>
      <c r="AG790" s="31">
        <f t="shared" si="449"/>
        <v>560000</v>
      </c>
      <c r="AH790" s="31">
        <f t="shared" si="450"/>
        <v>470000</v>
      </c>
      <c r="AI790" s="4" t="s">
        <v>8</v>
      </c>
      <c r="AJ790" s="4" t="s">
        <v>9</v>
      </c>
      <c r="AK790" s="4" t="str">
        <f>IFERROR(VLOOKUP(AJ790,'Guide '!$A$13:$B$16,2,0),"-")</f>
        <v>TK</v>
      </c>
      <c r="AL790" s="4" t="s">
        <v>925</v>
      </c>
      <c r="AM790" s="40">
        <v>45574</v>
      </c>
      <c r="AN790">
        <f t="shared" si="451"/>
        <v>29</v>
      </c>
      <c r="AO790">
        <f t="shared" si="452"/>
        <v>32</v>
      </c>
      <c r="AP790">
        <f t="shared" si="453"/>
        <v>40</v>
      </c>
      <c r="AQ790">
        <f t="shared" si="454"/>
        <v>43</v>
      </c>
      <c r="AR790" s="26">
        <f t="shared" si="455"/>
        <v>56</v>
      </c>
      <c r="AS790" s="26">
        <f t="shared" si="456"/>
        <v>63</v>
      </c>
      <c r="AT790" s="21">
        <f t="shared" si="457"/>
        <v>12</v>
      </c>
      <c r="AU790" s="21">
        <f t="shared" si="458"/>
        <v>19</v>
      </c>
      <c r="AV790">
        <f t="shared" si="459"/>
        <v>73</v>
      </c>
      <c r="AW790">
        <f t="shared" si="460"/>
        <v>76</v>
      </c>
      <c r="AX790">
        <f t="shared" si="461"/>
        <v>84</v>
      </c>
      <c r="AY790">
        <f t="shared" si="462"/>
        <v>87</v>
      </c>
      <c r="AZ790" t="str">
        <f t="shared" si="463"/>
        <v>-</v>
      </c>
      <c r="BA790" t="str">
        <f t="shared" si="464"/>
        <v>-</v>
      </c>
      <c r="BB790" t="str">
        <f t="shared" si="465"/>
        <v>-</v>
      </c>
      <c r="BC790" t="str">
        <f t="shared" si="466"/>
        <v>-</v>
      </c>
      <c r="BD790" s="29" t="str">
        <f t="shared" si="467"/>
        <v>-</v>
      </c>
      <c r="BE790" s="29" t="str">
        <f t="shared" si="468"/>
        <v>-</v>
      </c>
    </row>
    <row r="791" spans="1:57" ht="15" x14ac:dyDescent="0.2">
      <c r="A791" s="2">
        <v>770</v>
      </c>
      <c r="B791" s="2" t="str">
        <f t="shared" si="433"/>
        <v>0770</v>
      </c>
      <c r="C791" t="str">
        <f t="shared" si="434"/>
        <v>ORD-TK-0770-09/10/24</v>
      </c>
      <c r="D791" s="3" t="s">
        <v>200</v>
      </c>
      <c r="E791" t="str">
        <f t="shared" si="435"/>
        <v>SP002</v>
      </c>
      <c r="F791" t="str">
        <f>INDEX(Katalog!$B$4:$B$13,MATCH('Main Data'!E791,Katalog!$C$4:$C$13,0))</f>
        <v>Sandal Slip On</v>
      </c>
      <c r="G791" t="str">
        <f>VLOOKUP(E791,Katalog!$A$15:$B$25,2,0)</f>
        <v>Sepatu Pria</v>
      </c>
      <c r="H791" t="str">
        <f t="shared" si="436"/>
        <v>2</v>
      </c>
      <c r="I791" t="str">
        <f t="shared" si="437"/>
        <v>2</v>
      </c>
      <c r="J791" s="18">
        <f>VLOOKUP(E791,Katalog!$C$3:$F$13,2,0)</f>
        <v>120000</v>
      </c>
      <c r="K791" s="18">
        <f>VLOOKUP(E791,Katalog!$C$3:$F$13,3,0)</f>
        <v>60000</v>
      </c>
      <c r="L791" t="str">
        <f t="shared" si="438"/>
        <v>-</v>
      </c>
      <c r="M791" t="str">
        <f>IFERROR(INDEX(Katalog!$B$4:$B$13,MATCH('Main Data'!L791,Katalog!$C$4:$C$13,0)), "-")</f>
        <v>-</v>
      </c>
      <c r="N791" t="str">
        <f>IFERROR(VLOOKUP(L791,Katalog!$A$15:$B$25,2,0),"-")</f>
        <v>-</v>
      </c>
      <c r="O791">
        <f t="shared" si="439"/>
        <v>0</v>
      </c>
      <c r="P791" t="str">
        <f t="shared" si="440"/>
        <v>-</v>
      </c>
      <c r="Q791" s="18">
        <f>IFERROR(VLOOKUP(L791,Katalog!$C$3:$F$13,2,0),0)</f>
        <v>0</v>
      </c>
      <c r="R791" s="18">
        <f>IFERROR(VLOOKUP(L791,Katalog!$C$3:$F$13,3,0),0)</f>
        <v>0</v>
      </c>
      <c r="S791" t="str">
        <f t="shared" si="441"/>
        <v>-</v>
      </c>
      <c r="T791" t="str">
        <f>IFERROR(INDEX(Katalog!$B$4:$B$13,MATCH('Main Data'!S791,Katalog!$C$4:$C$13,0)),"-")</f>
        <v>-</v>
      </c>
      <c r="U791" t="str">
        <f>IFERROR(VLOOKUP(S791,Katalog!$A$15:$B$25,2,0),"-")</f>
        <v>-</v>
      </c>
      <c r="V791">
        <f t="shared" si="442"/>
        <v>0</v>
      </c>
      <c r="W791" s="28" t="str">
        <f t="shared" si="443"/>
        <v>-</v>
      </c>
      <c r="X791" s="18">
        <f>IFERROR(VLOOKUP(S791,Katalog!$C$3:$F$13,2,0),0)</f>
        <v>0</v>
      </c>
      <c r="Y791" s="30">
        <f>IFERROR(VLOOKUP(S791,Katalog!$C$3:$F$13,3,0),0)</f>
        <v>0</v>
      </c>
      <c r="Z791" s="2">
        <f t="shared" si="444"/>
        <v>2</v>
      </c>
      <c r="AA791" s="4">
        <f t="shared" si="445"/>
        <v>240000</v>
      </c>
      <c r="AB791" s="4">
        <f t="shared" si="446"/>
        <v>120000</v>
      </c>
      <c r="AC791" s="4" t="s">
        <v>30</v>
      </c>
      <c r="AD791" s="16">
        <f>IFERROR(VLOOKUP(AC791,'Kode Diskon'!$C$2:$D$9,2,0),0)</f>
        <v>0.1</v>
      </c>
      <c r="AE791" s="31">
        <f t="shared" si="447"/>
        <v>24000</v>
      </c>
      <c r="AF791" s="31">
        <f t="shared" si="448"/>
        <v>216000</v>
      </c>
      <c r="AG791" s="31">
        <f t="shared" si="449"/>
        <v>120000</v>
      </c>
      <c r="AH791" s="31">
        <f t="shared" si="450"/>
        <v>96000</v>
      </c>
      <c r="AI791" s="4" t="s">
        <v>8</v>
      </c>
      <c r="AJ791" s="4" t="s">
        <v>9</v>
      </c>
      <c r="AK791" s="4" t="str">
        <f>IFERROR(VLOOKUP(AJ791,'Guide '!$A$13:$B$16,2,0),"-")</f>
        <v>TK</v>
      </c>
      <c r="AL791" s="4" t="s">
        <v>925</v>
      </c>
      <c r="AM791" s="40">
        <v>45574</v>
      </c>
      <c r="AN791">
        <f t="shared" si="451"/>
        <v>29</v>
      </c>
      <c r="AO791">
        <f t="shared" si="452"/>
        <v>32</v>
      </c>
      <c r="AP791">
        <f t="shared" si="453"/>
        <v>40</v>
      </c>
      <c r="AQ791">
        <f t="shared" si="454"/>
        <v>43</v>
      </c>
      <c r="AR791" s="26" t="str">
        <f t="shared" si="455"/>
        <v>-</v>
      </c>
      <c r="AS791" s="26" t="str">
        <f t="shared" si="456"/>
        <v>-</v>
      </c>
      <c r="AT791" s="21">
        <f t="shared" si="457"/>
        <v>12</v>
      </c>
      <c r="AU791" s="21">
        <f t="shared" si="458"/>
        <v>19</v>
      </c>
      <c r="AV791" t="str">
        <f t="shared" si="459"/>
        <v>-</v>
      </c>
      <c r="AW791" t="str">
        <f t="shared" si="460"/>
        <v>-</v>
      </c>
      <c r="AX791" t="str">
        <f t="shared" si="461"/>
        <v>-</v>
      </c>
      <c r="AY791" t="str">
        <f t="shared" si="462"/>
        <v>-</v>
      </c>
      <c r="AZ791" t="str">
        <f t="shared" si="463"/>
        <v>-</v>
      </c>
      <c r="BA791" t="str">
        <f t="shared" si="464"/>
        <v>-</v>
      </c>
      <c r="BB791" t="str">
        <f t="shared" si="465"/>
        <v>-</v>
      </c>
      <c r="BC791" t="str">
        <f t="shared" si="466"/>
        <v>-</v>
      </c>
      <c r="BD791" s="29" t="str">
        <f t="shared" si="467"/>
        <v>-</v>
      </c>
      <c r="BE791" s="29" t="str">
        <f t="shared" si="468"/>
        <v>-</v>
      </c>
    </row>
    <row r="792" spans="1:57" ht="15" x14ac:dyDescent="0.2">
      <c r="A792" s="2">
        <v>215</v>
      </c>
      <c r="B792" s="2" t="str">
        <f t="shared" si="433"/>
        <v>0215</v>
      </c>
      <c r="C792" t="str">
        <f t="shared" si="434"/>
        <v>ORD-BL-0215-10/10/24</v>
      </c>
      <c r="D792" s="3" t="s">
        <v>283</v>
      </c>
      <c r="E792" t="str">
        <f t="shared" si="435"/>
        <v>PP001</v>
      </c>
      <c r="F792" t="str">
        <f>INDEX(Katalog!$B$4:$B$13,MATCH('Main Data'!E792,Katalog!$C$4:$C$13,0))</f>
        <v>Kaos Polo</v>
      </c>
      <c r="G792" t="str">
        <f>VLOOKUP(E792,Katalog!$A$15:$B$25,2,0)</f>
        <v>Pakaian Pria</v>
      </c>
      <c r="H792" t="str">
        <f t="shared" si="436"/>
        <v>4</v>
      </c>
      <c r="I792" t="str">
        <f t="shared" si="437"/>
        <v>4</v>
      </c>
      <c r="J792" s="18">
        <f>VLOOKUP(E792,Katalog!$C$3:$F$13,2,0)</f>
        <v>80000</v>
      </c>
      <c r="K792" s="18">
        <f>VLOOKUP(E792,Katalog!$C$3:$F$13,3,0)</f>
        <v>30000</v>
      </c>
      <c r="L792" t="str">
        <f t="shared" si="438"/>
        <v>SP001</v>
      </c>
      <c r="M792" t="str">
        <f>IFERROR(INDEX(Katalog!$B$4:$B$13,MATCH('Main Data'!L792,Katalog!$C$4:$C$13,0)), "-")</f>
        <v>Sneakers</v>
      </c>
      <c r="N792" t="str">
        <f>IFERROR(VLOOKUP(L792,Katalog!$A$15:$B$25,2,0),"-")</f>
        <v>Sepatu Pria</v>
      </c>
      <c r="O792" t="str">
        <f t="shared" si="439"/>
        <v>1</v>
      </c>
      <c r="P792" t="str">
        <f t="shared" si="440"/>
        <v>2</v>
      </c>
      <c r="Q792" s="18">
        <f>IFERROR(VLOOKUP(L792,Katalog!$C$3:$F$13,2,0),0)</f>
        <v>300000</v>
      </c>
      <c r="R792" s="18">
        <f>IFERROR(VLOOKUP(L792,Katalog!$C$3:$F$13,3,0),0)</f>
        <v>100000</v>
      </c>
      <c r="S792" t="str">
        <f t="shared" si="441"/>
        <v>-</v>
      </c>
      <c r="T792" t="str">
        <f>IFERROR(INDEX(Katalog!$B$4:$B$13,MATCH('Main Data'!S792,Katalog!$C$4:$C$13,0)),"-")</f>
        <v>-</v>
      </c>
      <c r="U792" t="str">
        <f>IFERROR(VLOOKUP(S792,Katalog!$A$15:$B$25,2,0),"-")</f>
        <v>-</v>
      </c>
      <c r="V792">
        <f t="shared" si="442"/>
        <v>0</v>
      </c>
      <c r="W792" s="28" t="str">
        <f t="shared" si="443"/>
        <v>-</v>
      </c>
      <c r="X792" s="18">
        <f>IFERROR(VLOOKUP(S792,Katalog!$C$3:$F$13,2,0),0)</f>
        <v>0</v>
      </c>
      <c r="Y792" s="30">
        <f>IFERROR(VLOOKUP(S792,Katalog!$C$3:$F$13,3,0),0)</f>
        <v>0</v>
      </c>
      <c r="Z792" s="2">
        <f t="shared" si="444"/>
        <v>5</v>
      </c>
      <c r="AA792" s="4">
        <f t="shared" si="445"/>
        <v>620000</v>
      </c>
      <c r="AB792" s="4">
        <f t="shared" si="446"/>
        <v>220000</v>
      </c>
      <c r="AC792" s="4" t="s">
        <v>31</v>
      </c>
      <c r="AD792" s="16">
        <f>IFERROR(VLOOKUP(AC792,'Kode Diskon'!$C$2:$D$9,2,0),0)</f>
        <v>0.15</v>
      </c>
      <c r="AE792" s="31">
        <f t="shared" si="447"/>
        <v>93000</v>
      </c>
      <c r="AF792" s="31">
        <f t="shared" si="448"/>
        <v>527000</v>
      </c>
      <c r="AG792" s="31">
        <f t="shared" si="449"/>
        <v>400000</v>
      </c>
      <c r="AH792" s="31">
        <f t="shared" si="450"/>
        <v>307000</v>
      </c>
      <c r="AI792" s="4" t="s">
        <v>8</v>
      </c>
      <c r="AJ792" s="4" t="s">
        <v>11</v>
      </c>
      <c r="AK792" s="4" t="str">
        <f>IFERROR(VLOOKUP(AJ792,'Guide '!$A$13:$B$16,2,0),"-")</f>
        <v>BL</v>
      </c>
      <c r="AL792" s="4" t="s">
        <v>923</v>
      </c>
      <c r="AM792" s="40">
        <v>45575</v>
      </c>
      <c r="AN792">
        <f t="shared" si="451"/>
        <v>29</v>
      </c>
      <c r="AO792">
        <f t="shared" si="452"/>
        <v>32</v>
      </c>
      <c r="AP792">
        <f t="shared" si="453"/>
        <v>40</v>
      </c>
      <c r="AQ792">
        <f t="shared" si="454"/>
        <v>43</v>
      </c>
      <c r="AR792" s="26">
        <f t="shared" si="455"/>
        <v>56</v>
      </c>
      <c r="AS792" s="26">
        <f t="shared" si="456"/>
        <v>63</v>
      </c>
      <c r="AT792" s="21">
        <f t="shared" si="457"/>
        <v>12</v>
      </c>
      <c r="AU792" s="21">
        <f t="shared" si="458"/>
        <v>19</v>
      </c>
      <c r="AV792">
        <f t="shared" si="459"/>
        <v>73</v>
      </c>
      <c r="AW792">
        <f t="shared" si="460"/>
        <v>76</v>
      </c>
      <c r="AX792">
        <f t="shared" si="461"/>
        <v>84</v>
      </c>
      <c r="AY792">
        <f t="shared" si="462"/>
        <v>87</v>
      </c>
      <c r="AZ792" t="str">
        <f t="shared" si="463"/>
        <v>-</v>
      </c>
      <c r="BA792" t="str">
        <f t="shared" si="464"/>
        <v>-</v>
      </c>
      <c r="BB792" t="str">
        <f t="shared" si="465"/>
        <v>-</v>
      </c>
      <c r="BC792" t="str">
        <f t="shared" si="466"/>
        <v>-</v>
      </c>
      <c r="BD792" s="29" t="str">
        <f t="shared" si="467"/>
        <v>-</v>
      </c>
      <c r="BE792" s="29" t="str">
        <f t="shared" si="468"/>
        <v>-</v>
      </c>
    </row>
    <row r="793" spans="1:57" ht="15" x14ac:dyDescent="0.2">
      <c r="A793" s="2">
        <v>336</v>
      </c>
      <c r="B793" s="2" t="str">
        <f t="shared" si="433"/>
        <v>0336</v>
      </c>
      <c r="C793" t="str">
        <f t="shared" si="434"/>
        <v>ORD-BB-0336-10/10/24</v>
      </c>
      <c r="D793" s="3" t="s">
        <v>389</v>
      </c>
      <c r="E793" t="str">
        <f t="shared" si="435"/>
        <v>SP002</v>
      </c>
      <c r="F793" t="str">
        <f>INDEX(Katalog!$B$4:$B$13,MATCH('Main Data'!E793,Katalog!$C$4:$C$13,0))</f>
        <v>Sandal Slip On</v>
      </c>
      <c r="G793" t="str">
        <f>VLOOKUP(E793,Katalog!$A$15:$B$25,2,0)</f>
        <v>Sepatu Pria</v>
      </c>
      <c r="H793" t="str">
        <f t="shared" si="436"/>
        <v>1</v>
      </c>
      <c r="I793" t="str">
        <f t="shared" si="437"/>
        <v>4</v>
      </c>
      <c r="J793" s="18">
        <f>VLOOKUP(E793,Katalog!$C$3:$F$13,2,0)</f>
        <v>120000</v>
      </c>
      <c r="K793" s="18">
        <f>VLOOKUP(E793,Katalog!$C$3:$F$13,3,0)</f>
        <v>60000</v>
      </c>
      <c r="L793" t="str">
        <f t="shared" si="438"/>
        <v>PP003</v>
      </c>
      <c r="M793" t="str">
        <f>IFERROR(INDEX(Katalog!$B$4:$B$13,MATCH('Main Data'!L793,Katalog!$C$4:$C$13,0)), "-")</f>
        <v>Jaket Jeans</v>
      </c>
      <c r="N793" t="str">
        <f>IFERROR(VLOOKUP(L793,Katalog!$A$15:$B$25,2,0),"-")</f>
        <v>Pakaian Pria</v>
      </c>
      <c r="O793" t="str">
        <f t="shared" si="439"/>
        <v>1</v>
      </c>
      <c r="P793" t="str">
        <f t="shared" si="440"/>
        <v>1</v>
      </c>
      <c r="Q793" s="18">
        <f>IFERROR(VLOOKUP(L793,Katalog!$C$3:$F$13,2,0),0)</f>
        <v>150000</v>
      </c>
      <c r="R793" s="18">
        <f>IFERROR(VLOOKUP(L793,Katalog!$C$3:$F$13,3,0),0)</f>
        <v>70000</v>
      </c>
      <c r="S793" t="str">
        <f t="shared" si="441"/>
        <v>PW002</v>
      </c>
      <c r="T793" t="str">
        <f>IFERROR(INDEX(Katalog!$B$4:$B$13,MATCH('Main Data'!S793,Katalog!$C$4:$C$13,0)),"-")</f>
        <v>Blouse</v>
      </c>
      <c r="U793" t="str">
        <f>IFERROR(VLOOKUP(S793,Katalog!$A$15:$B$25,2,0),"-")</f>
        <v>Pakaian Wanita</v>
      </c>
      <c r="V793" t="str">
        <f t="shared" si="442"/>
        <v>1</v>
      </c>
      <c r="W793" s="28" t="str">
        <f t="shared" si="443"/>
        <v>4</v>
      </c>
      <c r="X793" s="18">
        <f>IFERROR(VLOOKUP(S793,Katalog!$C$3:$F$13,2,0),0)</f>
        <v>125000</v>
      </c>
      <c r="Y793" s="30">
        <f>IFERROR(VLOOKUP(S793,Katalog!$C$3:$F$13,3,0),0)</f>
        <v>50000</v>
      </c>
      <c r="Z793" s="2">
        <f t="shared" si="444"/>
        <v>3</v>
      </c>
      <c r="AA793" s="4">
        <f t="shared" si="445"/>
        <v>395000</v>
      </c>
      <c r="AB793" s="4">
        <f t="shared" si="446"/>
        <v>180000</v>
      </c>
      <c r="AC793" s="4" t="s">
        <v>10</v>
      </c>
      <c r="AD793" s="16">
        <f>IFERROR(VLOOKUP(AC793,'Kode Diskon'!$C$2:$D$9,2,0),0)</f>
        <v>0</v>
      </c>
      <c r="AE793" s="31">
        <f t="shared" si="447"/>
        <v>0</v>
      </c>
      <c r="AF793" s="31">
        <f t="shared" si="448"/>
        <v>395000</v>
      </c>
      <c r="AG793" s="31">
        <f t="shared" si="449"/>
        <v>215000</v>
      </c>
      <c r="AH793" s="31">
        <f t="shared" si="450"/>
        <v>215000</v>
      </c>
      <c r="AI793" s="4" t="s">
        <v>10</v>
      </c>
      <c r="AJ793" s="4" t="s">
        <v>13</v>
      </c>
      <c r="AK793" s="4" t="str">
        <f>IFERROR(VLOOKUP(AJ793,'Guide '!$A$13:$B$16,2,0),"-")</f>
        <v>BB</v>
      </c>
      <c r="AL793" s="4" t="s">
        <v>921</v>
      </c>
      <c r="AM793" s="40">
        <v>45575</v>
      </c>
      <c r="AN793">
        <f t="shared" si="451"/>
        <v>29</v>
      </c>
      <c r="AO793">
        <f t="shared" si="452"/>
        <v>32</v>
      </c>
      <c r="AP793">
        <f t="shared" si="453"/>
        <v>40</v>
      </c>
      <c r="AQ793">
        <f t="shared" si="454"/>
        <v>43</v>
      </c>
      <c r="AR793" s="26">
        <f t="shared" si="455"/>
        <v>56</v>
      </c>
      <c r="AS793" s="26">
        <f t="shared" si="456"/>
        <v>63</v>
      </c>
      <c r="AT793" s="21">
        <f t="shared" si="457"/>
        <v>12</v>
      </c>
      <c r="AU793" s="21">
        <f t="shared" si="458"/>
        <v>19</v>
      </c>
      <c r="AV793">
        <f t="shared" si="459"/>
        <v>73</v>
      </c>
      <c r="AW793">
        <f t="shared" si="460"/>
        <v>76</v>
      </c>
      <c r="AX793">
        <f t="shared" si="461"/>
        <v>84</v>
      </c>
      <c r="AY793">
        <f t="shared" si="462"/>
        <v>87</v>
      </c>
      <c r="AZ793">
        <f t="shared" si="463"/>
        <v>100</v>
      </c>
      <c r="BA793">
        <f t="shared" si="464"/>
        <v>107</v>
      </c>
      <c r="BB793">
        <f t="shared" si="465"/>
        <v>117</v>
      </c>
      <c r="BC793">
        <f t="shared" si="466"/>
        <v>120</v>
      </c>
      <c r="BD793" s="29">
        <f t="shared" si="467"/>
        <v>128</v>
      </c>
      <c r="BE793" s="29">
        <f t="shared" si="468"/>
        <v>131</v>
      </c>
    </row>
    <row r="794" spans="1:57" ht="15" x14ac:dyDescent="0.2">
      <c r="A794" s="2">
        <v>352</v>
      </c>
      <c r="B794" s="2" t="str">
        <f t="shared" si="433"/>
        <v>0352</v>
      </c>
      <c r="C794" t="str">
        <f t="shared" si="434"/>
        <v>ORD-TK-0352-10/10/24</v>
      </c>
      <c r="D794" s="3" t="s">
        <v>403</v>
      </c>
      <c r="E794" t="str">
        <f t="shared" si="435"/>
        <v>PP001</v>
      </c>
      <c r="F794" t="str">
        <f>INDEX(Katalog!$B$4:$B$13,MATCH('Main Data'!E794,Katalog!$C$4:$C$13,0))</f>
        <v>Kaos Polo</v>
      </c>
      <c r="G794" t="str">
        <f>VLOOKUP(E794,Katalog!$A$15:$B$25,2,0)</f>
        <v>Pakaian Pria</v>
      </c>
      <c r="H794" t="str">
        <f t="shared" si="436"/>
        <v>3</v>
      </c>
      <c r="I794" t="str">
        <f t="shared" si="437"/>
        <v>3</v>
      </c>
      <c r="J794" s="18">
        <f>VLOOKUP(E794,Katalog!$C$3:$F$13,2,0)</f>
        <v>80000</v>
      </c>
      <c r="K794" s="18">
        <f>VLOOKUP(E794,Katalog!$C$3:$F$13,3,0)</f>
        <v>30000</v>
      </c>
      <c r="L794" t="str">
        <f t="shared" si="438"/>
        <v>-</v>
      </c>
      <c r="M794" t="str">
        <f>IFERROR(INDEX(Katalog!$B$4:$B$13,MATCH('Main Data'!L794,Katalog!$C$4:$C$13,0)), "-")</f>
        <v>-</v>
      </c>
      <c r="N794" t="str">
        <f>IFERROR(VLOOKUP(L794,Katalog!$A$15:$B$25,2,0),"-")</f>
        <v>-</v>
      </c>
      <c r="O794">
        <f t="shared" si="439"/>
        <v>0</v>
      </c>
      <c r="P794" t="str">
        <f t="shared" si="440"/>
        <v>-</v>
      </c>
      <c r="Q794" s="18">
        <f>IFERROR(VLOOKUP(L794,Katalog!$C$3:$F$13,2,0),0)</f>
        <v>0</v>
      </c>
      <c r="R794" s="18">
        <f>IFERROR(VLOOKUP(L794,Katalog!$C$3:$F$13,3,0),0)</f>
        <v>0</v>
      </c>
      <c r="S794" t="str">
        <f t="shared" si="441"/>
        <v>-</v>
      </c>
      <c r="T794" t="str">
        <f>IFERROR(INDEX(Katalog!$B$4:$B$13,MATCH('Main Data'!S794,Katalog!$C$4:$C$13,0)),"-")</f>
        <v>-</v>
      </c>
      <c r="U794" t="str">
        <f>IFERROR(VLOOKUP(S794,Katalog!$A$15:$B$25,2,0),"-")</f>
        <v>-</v>
      </c>
      <c r="V794">
        <f t="shared" si="442"/>
        <v>0</v>
      </c>
      <c r="W794" s="28" t="str">
        <f t="shared" si="443"/>
        <v>-</v>
      </c>
      <c r="X794" s="18">
        <f>IFERROR(VLOOKUP(S794,Katalog!$C$3:$F$13,2,0),0)</f>
        <v>0</v>
      </c>
      <c r="Y794" s="30">
        <f>IFERROR(VLOOKUP(S794,Katalog!$C$3:$F$13,3,0),0)</f>
        <v>0</v>
      </c>
      <c r="Z794" s="2">
        <f t="shared" si="444"/>
        <v>3</v>
      </c>
      <c r="AA794" s="4">
        <f t="shared" si="445"/>
        <v>240000</v>
      </c>
      <c r="AB794" s="4">
        <f t="shared" si="446"/>
        <v>90000</v>
      </c>
      <c r="AC794" s="4" t="s">
        <v>29</v>
      </c>
      <c r="AD794" s="16">
        <f>IFERROR(VLOOKUP(AC794,'Kode Diskon'!$C$2:$D$9,2,0),0)</f>
        <v>0.1</v>
      </c>
      <c r="AE794" s="31">
        <f t="shared" si="447"/>
        <v>24000</v>
      </c>
      <c r="AF794" s="31">
        <f t="shared" si="448"/>
        <v>216000</v>
      </c>
      <c r="AG794" s="31">
        <f t="shared" si="449"/>
        <v>150000</v>
      </c>
      <c r="AH794" s="31">
        <f t="shared" si="450"/>
        <v>126000</v>
      </c>
      <c r="AI794" s="4" t="s">
        <v>28</v>
      </c>
      <c r="AJ794" s="4" t="s">
        <v>9</v>
      </c>
      <c r="AK794" s="4" t="str">
        <f>IFERROR(VLOOKUP(AJ794,'Guide '!$A$13:$B$16,2,0),"-")</f>
        <v>TK</v>
      </c>
      <c r="AL794" s="4" t="s">
        <v>1006</v>
      </c>
      <c r="AM794" s="40">
        <v>45575</v>
      </c>
      <c r="AN794">
        <f t="shared" si="451"/>
        <v>29</v>
      </c>
      <c r="AO794">
        <f t="shared" si="452"/>
        <v>32</v>
      </c>
      <c r="AP794">
        <f t="shared" si="453"/>
        <v>40</v>
      </c>
      <c r="AQ794">
        <f t="shared" si="454"/>
        <v>43</v>
      </c>
      <c r="AR794" s="26" t="str">
        <f t="shared" si="455"/>
        <v>-</v>
      </c>
      <c r="AS794" s="26" t="str">
        <f t="shared" si="456"/>
        <v>-</v>
      </c>
      <c r="AT794" s="21">
        <f t="shared" si="457"/>
        <v>12</v>
      </c>
      <c r="AU794" s="21">
        <f t="shared" si="458"/>
        <v>19</v>
      </c>
      <c r="AV794" t="str">
        <f t="shared" si="459"/>
        <v>-</v>
      </c>
      <c r="AW794" t="str">
        <f t="shared" si="460"/>
        <v>-</v>
      </c>
      <c r="AX794" t="str">
        <f t="shared" si="461"/>
        <v>-</v>
      </c>
      <c r="AY794" t="str">
        <f t="shared" si="462"/>
        <v>-</v>
      </c>
      <c r="AZ794" t="str">
        <f t="shared" si="463"/>
        <v>-</v>
      </c>
      <c r="BA794" t="str">
        <f t="shared" si="464"/>
        <v>-</v>
      </c>
      <c r="BB794" t="str">
        <f t="shared" si="465"/>
        <v>-</v>
      </c>
      <c r="BC794" t="str">
        <f t="shared" si="466"/>
        <v>-</v>
      </c>
      <c r="BD794" s="29" t="str">
        <f t="shared" si="467"/>
        <v>-</v>
      </c>
      <c r="BE794" s="29" t="str">
        <f t="shared" si="468"/>
        <v>-</v>
      </c>
    </row>
    <row r="795" spans="1:57" ht="15" x14ac:dyDescent="0.2">
      <c r="A795" s="2">
        <v>778</v>
      </c>
      <c r="B795" s="2" t="str">
        <f t="shared" si="433"/>
        <v>0778</v>
      </c>
      <c r="C795" t="str">
        <f t="shared" si="434"/>
        <v>ORD-SP-0778-10/10/24</v>
      </c>
      <c r="D795" s="3" t="s">
        <v>147</v>
      </c>
      <c r="E795" t="str">
        <f t="shared" si="435"/>
        <v>PW001</v>
      </c>
      <c r="F795" t="str">
        <f>INDEX(Katalog!$B$4:$B$13,MATCH('Main Data'!E795,Katalog!$C$4:$C$13,0))</f>
        <v>Dress</v>
      </c>
      <c r="G795" t="str">
        <f>VLOOKUP(E795,Katalog!$A$15:$B$25,2,0)</f>
        <v>Pakaian Wanita</v>
      </c>
      <c r="H795" t="str">
        <f t="shared" si="436"/>
        <v>3</v>
      </c>
      <c r="I795" t="str">
        <f t="shared" si="437"/>
        <v>4</v>
      </c>
      <c r="J795" s="18">
        <f>VLOOKUP(E795,Katalog!$C$3:$F$13,2,0)</f>
        <v>150000</v>
      </c>
      <c r="K795" s="18">
        <f>VLOOKUP(E795,Katalog!$C$3:$F$13,3,0)</f>
        <v>55000</v>
      </c>
      <c r="L795" t="str">
        <f t="shared" si="438"/>
        <v>-</v>
      </c>
      <c r="M795" t="str">
        <f>IFERROR(INDEX(Katalog!$B$4:$B$13,MATCH('Main Data'!L795,Katalog!$C$4:$C$13,0)), "-")</f>
        <v>-</v>
      </c>
      <c r="N795" t="str">
        <f>IFERROR(VLOOKUP(L795,Katalog!$A$15:$B$25,2,0),"-")</f>
        <v>-</v>
      </c>
      <c r="O795">
        <f t="shared" si="439"/>
        <v>0</v>
      </c>
      <c r="P795" t="str">
        <f t="shared" si="440"/>
        <v>-</v>
      </c>
      <c r="Q795" s="18">
        <f>IFERROR(VLOOKUP(L795,Katalog!$C$3:$F$13,2,0),0)</f>
        <v>0</v>
      </c>
      <c r="R795" s="18">
        <f>IFERROR(VLOOKUP(L795,Katalog!$C$3:$F$13,3,0),0)</f>
        <v>0</v>
      </c>
      <c r="S795" t="str">
        <f t="shared" si="441"/>
        <v>-</v>
      </c>
      <c r="T795" t="str">
        <f>IFERROR(INDEX(Katalog!$B$4:$B$13,MATCH('Main Data'!S795,Katalog!$C$4:$C$13,0)),"-")</f>
        <v>-</v>
      </c>
      <c r="U795" t="str">
        <f>IFERROR(VLOOKUP(S795,Katalog!$A$15:$B$25,2,0),"-")</f>
        <v>-</v>
      </c>
      <c r="V795">
        <f t="shared" si="442"/>
        <v>0</v>
      </c>
      <c r="W795" s="28" t="str">
        <f t="shared" si="443"/>
        <v>-</v>
      </c>
      <c r="X795" s="18">
        <f>IFERROR(VLOOKUP(S795,Katalog!$C$3:$F$13,2,0),0)</f>
        <v>0</v>
      </c>
      <c r="Y795" s="30">
        <f>IFERROR(VLOOKUP(S795,Katalog!$C$3:$F$13,3,0),0)</f>
        <v>0</v>
      </c>
      <c r="Z795" s="2">
        <f t="shared" si="444"/>
        <v>3</v>
      </c>
      <c r="AA795" s="4">
        <f t="shared" si="445"/>
        <v>450000</v>
      </c>
      <c r="AB795" s="4">
        <f t="shared" si="446"/>
        <v>165000</v>
      </c>
      <c r="AC795" s="4" t="s">
        <v>12</v>
      </c>
      <c r="AD795" s="16">
        <f>IFERROR(VLOOKUP(AC795,'Kode Diskon'!$C$2:$D$9,2,0),0)</f>
        <v>0.15</v>
      </c>
      <c r="AE795" s="31">
        <f t="shared" si="447"/>
        <v>67500</v>
      </c>
      <c r="AF795" s="31">
        <f t="shared" si="448"/>
        <v>382500</v>
      </c>
      <c r="AG795" s="31">
        <f t="shared" si="449"/>
        <v>285000</v>
      </c>
      <c r="AH795" s="31">
        <f t="shared" si="450"/>
        <v>217500</v>
      </c>
      <c r="AI795" s="4" t="s">
        <v>28</v>
      </c>
      <c r="AJ795" s="4" t="s">
        <v>6</v>
      </c>
      <c r="AK795" s="4" t="str">
        <f>IFERROR(VLOOKUP(AJ795,'Guide '!$A$13:$B$16,2,0),"-")</f>
        <v>SP</v>
      </c>
      <c r="AL795" s="4" t="s">
        <v>925</v>
      </c>
      <c r="AM795" s="40">
        <v>45575</v>
      </c>
      <c r="AN795">
        <f t="shared" si="451"/>
        <v>29</v>
      </c>
      <c r="AO795">
        <f t="shared" si="452"/>
        <v>32</v>
      </c>
      <c r="AP795">
        <f t="shared" si="453"/>
        <v>40</v>
      </c>
      <c r="AQ795">
        <f t="shared" si="454"/>
        <v>43</v>
      </c>
      <c r="AR795" s="26" t="str">
        <f t="shared" si="455"/>
        <v>-</v>
      </c>
      <c r="AS795" s="26" t="str">
        <f t="shared" si="456"/>
        <v>-</v>
      </c>
      <c r="AT795" s="21">
        <f t="shared" si="457"/>
        <v>12</v>
      </c>
      <c r="AU795" s="21">
        <f t="shared" si="458"/>
        <v>19</v>
      </c>
      <c r="AV795" t="str">
        <f t="shared" si="459"/>
        <v>-</v>
      </c>
      <c r="AW795" t="str">
        <f t="shared" si="460"/>
        <v>-</v>
      </c>
      <c r="AX795" t="str">
        <f t="shared" si="461"/>
        <v>-</v>
      </c>
      <c r="AY795" t="str">
        <f t="shared" si="462"/>
        <v>-</v>
      </c>
      <c r="AZ795" t="str">
        <f t="shared" si="463"/>
        <v>-</v>
      </c>
      <c r="BA795" t="str">
        <f t="shared" si="464"/>
        <v>-</v>
      </c>
      <c r="BB795" t="str">
        <f t="shared" si="465"/>
        <v>-</v>
      </c>
      <c r="BC795" t="str">
        <f t="shared" si="466"/>
        <v>-</v>
      </c>
      <c r="BD795" s="29" t="str">
        <f t="shared" si="467"/>
        <v>-</v>
      </c>
      <c r="BE795" s="29" t="str">
        <f t="shared" si="468"/>
        <v>-</v>
      </c>
    </row>
    <row r="796" spans="1:57" ht="15" x14ac:dyDescent="0.2">
      <c r="A796" s="2">
        <v>48</v>
      </c>
      <c r="B796" s="2" t="str">
        <f t="shared" si="433"/>
        <v>0048</v>
      </c>
      <c r="C796" t="str">
        <f t="shared" si="434"/>
        <v>ORD-SP-0048-12/10/24</v>
      </c>
      <c r="D796" s="3" t="s">
        <v>122</v>
      </c>
      <c r="E796" t="str">
        <f t="shared" si="435"/>
        <v>PP001</v>
      </c>
      <c r="F796" t="str">
        <f>INDEX(Katalog!$B$4:$B$13,MATCH('Main Data'!E796,Katalog!$C$4:$C$13,0))</f>
        <v>Kaos Polo</v>
      </c>
      <c r="G796" t="str">
        <f>VLOOKUP(E796,Katalog!$A$15:$B$25,2,0)</f>
        <v>Pakaian Pria</v>
      </c>
      <c r="H796" t="str">
        <f t="shared" si="436"/>
        <v>4</v>
      </c>
      <c r="I796" t="str">
        <f t="shared" si="437"/>
        <v>1</v>
      </c>
      <c r="J796" s="18">
        <f>VLOOKUP(E796,Katalog!$C$3:$F$13,2,0)</f>
        <v>80000</v>
      </c>
      <c r="K796" s="18">
        <f>VLOOKUP(E796,Katalog!$C$3:$F$13,3,0)</f>
        <v>30000</v>
      </c>
      <c r="L796" t="str">
        <f t="shared" si="438"/>
        <v>-</v>
      </c>
      <c r="M796" t="str">
        <f>IFERROR(INDEX(Katalog!$B$4:$B$13,MATCH('Main Data'!L796,Katalog!$C$4:$C$13,0)), "-")</f>
        <v>-</v>
      </c>
      <c r="N796" t="str">
        <f>IFERROR(VLOOKUP(L796,Katalog!$A$15:$B$25,2,0),"-")</f>
        <v>-</v>
      </c>
      <c r="O796">
        <f t="shared" si="439"/>
        <v>0</v>
      </c>
      <c r="P796" t="str">
        <f t="shared" si="440"/>
        <v>-</v>
      </c>
      <c r="Q796" s="18">
        <f>IFERROR(VLOOKUP(L796,Katalog!$C$3:$F$13,2,0),0)</f>
        <v>0</v>
      </c>
      <c r="R796" s="18">
        <f>IFERROR(VLOOKUP(L796,Katalog!$C$3:$F$13,3,0),0)</f>
        <v>0</v>
      </c>
      <c r="S796" t="str">
        <f t="shared" si="441"/>
        <v>-</v>
      </c>
      <c r="T796" t="str">
        <f>IFERROR(INDEX(Katalog!$B$4:$B$13,MATCH('Main Data'!S796,Katalog!$C$4:$C$13,0)),"-")</f>
        <v>-</v>
      </c>
      <c r="U796" t="str">
        <f>IFERROR(VLOOKUP(S796,Katalog!$A$15:$B$25,2,0),"-")</f>
        <v>-</v>
      </c>
      <c r="V796">
        <f t="shared" si="442"/>
        <v>0</v>
      </c>
      <c r="W796" s="28" t="str">
        <f t="shared" si="443"/>
        <v>-</v>
      </c>
      <c r="X796" s="18">
        <f>IFERROR(VLOOKUP(S796,Katalog!$C$3:$F$13,2,0),0)</f>
        <v>0</v>
      </c>
      <c r="Y796" s="30">
        <f>IFERROR(VLOOKUP(S796,Katalog!$C$3:$F$13,3,0),0)</f>
        <v>0</v>
      </c>
      <c r="Z796" s="2">
        <f t="shared" si="444"/>
        <v>4</v>
      </c>
      <c r="AA796" s="4">
        <f t="shared" si="445"/>
        <v>320000</v>
      </c>
      <c r="AB796" s="4">
        <f t="shared" si="446"/>
        <v>120000</v>
      </c>
      <c r="AC796" s="4" t="s">
        <v>12</v>
      </c>
      <c r="AD796" s="16">
        <f>IFERROR(VLOOKUP(AC796,'Kode Diskon'!$C$2:$D$9,2,0),0)</f>
        <v>0.15</v>
      </c>
      <c r="AE796" s="31">
        <f t="shared" si="447"/>
        <v>48000</v>
      </c>
      <c r="AF796" s="31">
        <f t="shared" si="448"/>
        <v>272000</v>
      </c>
      <c r="AG796" s="31">
        <f t="shared" si="449"/>
        <v>200000</v>
      </c>
      <c r="AH796" s="31">
        <f t="shared" si="450"/>
        <v>152000</v>
      </c>
      <c r="AI796" s="4" t="s">
        <v>28</v>
      </c>
      <c r="AJ796" s="4" t="s">
        <v>6</v>
      </c>
      <c r="AK796" s="4" t="str">
        <f>IFERROR(VLOOKUP(AJ796,'Guide '!$A$13:$B$16,2,0),"-")</f>
        <v>SP</v>
      </c>
      <c r="AL796" s="4" t="s">
        <v>925</v>
      </c>
      <c r="AM796" s="40">
        <v>45577</v>
      </c>
      <c r="AN796">
        <f t="shared" si="451"/>
        <v>29</v>
      </c>
      <c r="AO796">
        <f t="shared" si="452"/>
        <v>32</v>
      </c>
      <c r="AP796">
        <f t="shared" si="453"/>
        <v>40</v>
      </c>
      <c r="AQ796">
        <f t="shared" si="454"/>
        <v>43</v>
      </c>
      <c r="AR796" s="26" t="str">
        <f t="shared" si="455"/>
        <v>-</v>
      </c>
      <c r="AS796" s="26" t="str">
        <f t="shared" si="456"/>
        <v>-</v>
      </c>
      <c r="AT796" s="21">
        <f t="shared" si="457"/>
        <v>12</v>
      </c>
      <c r="AU796" s="21">
        <f t="shared" si="458"/>
        <v>19</v>
      </c>
      <c r="AV796" t="str">
        <f t="shared" si="459"/>
        <v>-</v>
      </c>
      <c r="AW796" t="str">
        <f t="shared" si="460"/>
        <v>-</v>
      </c>
      <c r="AX796" t="str">
        <f t="shared" si="461"/>
        <v>-</v>
      </c>
      <c r="AY796" t="str">
        <f t="shared" si="462"/>
        <v>-</v>
      </c>
      <c r="AZ796" t="str">
        <f t="shared" si="463"/>
        <v>-</v>
      </c>
      <c r="BA796" t="str">
        <f t="shared" si="464"/>
        <v>-</v>
      </c>
      <c r="BB796" t="str">
        <f t="shared" si="465"/>
        <v>-</v>
      </c>
      <c r="BC796" t="str">
        <f t="shared" si="466"/>
        <v>-</v>
      </c>
      <c r="BD796" s="29" t="str">
        <f t="shared" si="467"/>
        <v>-</v>
      </c>
      <c r="BE796" s="29" t="str">
        <f t="shared" si="468"/>
        <v>-</v>
      </c>
    </row>
    <row r="797" spans="1:57" ht="15" x14ac:dyDescent="0.2">
      <c r="A797" s="2">
        <v>193</v>
      </c>
      <c r="B797" s="2" t="str">
        <f t="shared" si="433"/>
        <v>0193</v>
      </c>
      <c r="C797" t="str">
        <f t="shared" si="434"/>
        <v>ORD-TK-0193-12/10/24</v>
      </c>
      <c r="D797" s="3" t="s">
        <v>262</v>
      </c>
      <c r="E797" t="str">
        <f t="shared" si="435"/>
        <v>PP002</v>
      </c>
      <c r="F797" t="str">
        <f>INDEX(Katalog!$B$4:$B$13,MATCH('Main Data'!E797,Katalog!$C$4:$C$13,0))</f>
        <v>Celana Pendek</v>
      </c>
      <c r="G797" t="str">
        <f>VLOOKUP(E797,Katalog!$A$15:$B$25,2,0)</f>
        <v>Pakaian Pria</v>
      </c>
      <c r="H797" t="str">
        <f t="shared" si="436"/>
        <v>4</v>
      </c>
      <c r="I797" t="str">
        <f t="shared" si="437"/>
        <v>5</v>
      </c>
      <c r="J797" s="18">
        <f>VLOOKUP(E797,Katalog!$C$3:$F$13,2,0)</f>
        <v>60000</v>
      </c>
      <c r="K797" s="18">
        <f>VLOOKUP(E797,Katalog!$C$3:$F$13,3,0)</f>
        <v>25000</v>
      </c>
      <c r="L797" t="str">
        <f t="shared" si="438"/>
        <v>SP002</v>
      </c>
      <c r="M797" t="str">
        <f>IFERROR(INDEX(Katalog!$B$4:$B$13,MATCH('Main Data'!L797,Katalog!$C$4:$C$13,0)), "-")</f>
        <v>Sandal Slip On</v>
      </c>
      <c r="N797" t="str">
        <f>IFERROR(VLOOKUP(L797,Katalog!$A$15:$B$25,2,0),"-")</f>
        <v>Sepatu Pria</v>
      </c>
      <c r="O797" t="str">
        <f t="shared" si="439"/>
        <v>2</v>
      </c>
      <c r="P797" t="str">
        <f t="shared" si="440"/>
        <v>3</v>
      </c>
      <c r="Q797" s="18">
        <f>IFERROR(VLOOKUP(L797,Katalog!$C$3:$F$13,2,0),0)</f>
        <v>120000</v>
      </c>
      <c r="R797" s="18">
        <f>IFERROR(VLOOKUP(L797,Katalog!$C$3:$F$13,3,0),0)</f>
        <v>60000</v>
      </c>
      <c r="S797" t="str">
        <f t="shared" si="441"/>
        <v>PW001</v>
      </c>
      <c r="T797" t="str">
        <f>IFERROR(INDEX(Katalog!$B$4:$B$13,MATCH('Main Data'!S797,Katalog!$C$4:$C$13,0)),"-")</f>
        <v>Dress</v>
      </c>
      <c r="U797" t="str">
        <f>IFERROR(VLOOKUP(S797,Katalog!$A$15:$B$25,2,0),"-")</f>
        <v>Pakaian Wanita</v>
      </c>
      <c r="V797" t="str">
        <f t="shared" si="442"/>
        <v>1</v>
      </c>
      <c r="W797" s="28" t="str">
        <f t="shared" si="443"/>
        <v>1</v>
      </c>
      <c r="X797" s="18">
        <f>IFERROR(VLOOKUP(S797,Katalog!$C$3:$F$13,2,0),0)</f>
        <v>150000</v>
      </c>
      <c r="Y797" s="30">
        <f>IFERROR(VLOOKUP(S797,Katalog!$C$3:$F$13,3,0),0)</f>
        <v>55000</v>
      </c>
      <c r="Z797" s="2">
        <f t="shared" si="444"/>
        <v>7</v>
      </c>
      <c r="AA797" s="4">
        <f t="shared" si="445"/>
        <v>630000</v>
      </c>
      <c r="AB797" s="4">
        <f t="shared" si="446"/>
        <v>275000</v>
      </c>
      <c r="AC797" s="4" t="s">
        <v>29</v>
      </c>
      <c r="AD797" s="16">
        <f>IFERROR(VLOOKUP(AC797,'Kode Diskon'!$C$2:$D$9,2,0),0)</f>
        <v>0.1</v>
      </c>
      <c r="AE797" s="31">
        <f t="shared" si="447"/>
        <v>63000</v>
      </c>
      <c r="AF797" s="31">
        <f t="shared" si="448"/>
        <v>567000</v>
      </c>
      <c r="AG797" s="31">
        <f t="shared" si="449"/>
        <v>355000</v>
      </c>
      <c r="AH797" s="31">
        <f t="shared" si="450"/>
        <v>292000</v>
      </c>
      <c r="AI797" s="4" t="s">
        <v>28</v>
      </c>
      <c r="AJ797" s="4" t="s">
        <v>9</v>
      </c>
      <c r="AK797" s="4" t="str">
        <f>IFERROR(VLOOKUP(AJ797,'Guide '!$A$13:$B$16,2,0),"-")</f>
        <v>TK</v>
      </c>
      <c r="AL797" s="4" t="s">
        <v>924</v>
      </c>
      <c r="AM797" s="40">
        <v>45577</v>
      </c>
      <c r="AN797">
        <f t="shared" si="451"/>
        <v>29</v>
      </c>
      <c r="AO797">
        <f t="shared" si="452"/>
        <v>32</v>
      </c>
      <c r="AP797">
        <f t="shared" si="453"/>
        <v>40</v>
      </c>
      <c r="AQ797">
        <f t="shared" si="454"/>
        <v>43</v>
      </c>
      <c r="AR797" s="26">
        <f t="shared" si="455"/>
        <v>56</v>
      </c>
      <c r="AS797" s="26">
        <f t="shared" si="456"/>
        <v>63</v>
      </c>
      <c r="AT797" s="21">
        <f t="shared" si="457"/>
        <v>12</v>
      </c>
      <c r="AU797" s="21">
        <f t="shared" si="458"/>
        <v>19</v>
      </c>
      <c r="AV797">
        <f t="shared" si="459"/>
        <v>73</v>
      </c>
      <c r="AW797">
        <f t="shared" si="460"/>
        <v>76</v>
      </c>
      <c r="AX797">
        <f t="shared" si="461"/>
        <v>84</v>
      </c>
      <c r="AY797">
        <f t="shared" si="462"/>
        <v>87</v>
      </c>
      <c r="AZ797">
        <f t="shared" si="463"/>
        <v>100</v>
      </c>
      <c r="BA797">
        <f t="shared" si="464"/>
        <v>107</v>
      </c>
      <c r="BB797">
        <f t="shared" si="465"/>
        <v>117</v>
      </c>
      <c r="BC797">
        <f t="shared" si="466"/>
        <v>120</v>
      </c>
      <c r="BD797" s="29">
        <f t="shared" si="467"/>
        <v>128</v>
      </c>
      <c r="BE797" s="29">
        <f t="shared" si="468"/>
        <v>131</v>
      </c>
    </row>
    <row r="798" spans="1:57" ht="15" x14ac:dyDescent="0.2">
      <c r="A798" s="2">
        <v>117</v>
      </c>
      <c r="B798" s="2" t="str">
        <f t="shared" si="433"/>
        <v>0117</v>
      </c>
      <c r="C798" t="str">
        <f t="shared" si="434"/>
        <v>ORD-TK-0117-13/10/24</v>
      </c>
      <c r="D798" s="3" t="s">
        <v>188</v>
      </c>
      <c r="E798" t="str">
        <f t="shared" si="435"/>
        <v>SW001</v>
      </c>
      <c r="F798" t="str">
        <f>INDEX(Katalog!$B$4:$B$13,MATCH('Main Data'!E798,Katalog!$C$4:$C$13,0))</f>
        <v>Flat Shoes</v>
      </c>
      <c r="G798" t="str">
        <f>VLOOKUP(E798,Katalog!$A$15:$B$25,2,0)</f>
        <v>Sepatu Wanita</v>
      </c>
      <c r="H798" t="str">
        <f t="shared" si="436"/>
        <v>4</v>
      </c>
      <c r="I798" t="str">
        <f t="shared" si="437"/>
        <v>4</v>
      </c>
      <c r="J798" s="18">
        <f>VLOOKUP(E798,Katalog!$C$3:$F$13,2,0)</f>
        <v>150000</v>
      </c>
      <c r="K798" s="18">
        <f>VLOOKUP(E798,Katalog!$C$3:$F$13,3,0)</f>
        <v>70000</v>
      </c>
      <c r="L798" t="str">
        <f t="shared" si="438"/>
        <v>-</v>
      </c>
      <c r="M798" t="str">
        <f>IFERROR(INDEX(Katalog!$B$4:$B$13,MATCH('Main Data'!L798,Katalog!$C$4:$C$13,0)), "-")</f>
        <v>-</v>
      </c>
      <c r="N798" t="str">
        <f>IFERROR(VLOOKUP(L798,Katalog!$A$15:$B$25,2,0),"-")</f>
        <v>-</v>
      </c>
      <c r="O798">
        <f t="shared" si="439"/>
        <v>0</v>
      </c>
      <c r="P798" t="str">
        <f t="shared" si="440"/>
        <v>-</v>
      </c>
      <c r="Q798" s="18">
        <f>IFERROR(VLOOKUP(L798,Katalog!$C$3:$F$13,2,0),0)</f>
        <v>0</v>
      </c>
      <c r="R798" s="18">
        <f>IFERROR(VLOOKUP(L798,Katalog!$C$3:$F$13,3,0),0)</f>
        <v>0</v>
      </c>
      <c r="S798" t="str">
        <f t="shared" si="441"/>
        <v>-</v>
      </c>
      <c r="T798" t="str">
        <f>IFERROR(INDEX(Katalog!$B$4:$B$13,MATCH('Main Data'!S798,Katalog!$C$4:$C$13,0)),"-")</f>
        <v>-</v>
      </c>
      <c r="U798" t="str">
        <f>IFERROR(VLOOKUP(S798,Katalog!$A$15:$B$25,2,0),"-")</f>
        <v>-</v>
      </c>
      <c r="V798">
        <f t="shared" si="442"/>
        <v>0</v>
      </c>
      <c r="W798" s="28" t="str">
        <f t="shared" si="443"/>
        <v>-</v>
      </c>
      <c r="X798" s="18">
        <f>IFERROR(VLOOKUP(S798,Katalog!$C$3:$F$13,2,0),0)</f>
        <v>0</v>
      </c>
      <c r="Y798" s="30">
        <f>IFERROR(VLOOKUP(S798,Katalog!$C$3:$F$13,3,0),0)</f>
        <v>0</v>
      </c>
      <c r="Z798" s="2">
        <f t="shared" si="444"/>
        <v>4</v>
      </c>
      <c r="AA798" s="4">
        <f t="shared" si="445"/>
        <v>600000</v>
      </c>
      <c r="AB798" s="4">
        <f t="shared" si="446"/>
        <v>280000</v>
      </c>
      <c r="AC798" s="4" t="s">
        <v>29</v>
      </c>
      <c r="AD798" s="16">
        <f>IFERROR(VLOOKUP(AC798,'Kode Diskon'!$C$2:$D$9,2,0),0)</f>
        <v>0.1</v>
      </c>
      <c r="AE798" s="31">
        <f t="shared" si="447"/>
        <v>60000</v>
      </c>
      <c r="AF798" s="31">
        <f t="shared" si="448"/>
        <v>540000</v>
      </c>
      <c r="AG798" s="31">
        <f t="shared" si="449"/>
        <v>320000</v>
      </c>
      <c r="AH798" s="31">
        <f t="shared" si="450"/>
        <v>260000</v>
      </c>
      <c r="AI798" s="4" t="s">
        <v>28</v>
      </c>
      <c r="AJ798" s="4" t="s">
        <v>9</v>
      </c>
      <c r="AK798" s="4" t="str">
        <f>IFERROR(VLOOKUP(AJ798,'Guide '!$A$13:$B$16,2,0),"-")</f>
        <v>TK</v>
      </c>
      <c r="AL798" s="4" t="s">
        <v>925</v>
      </c>
      <c r="AM798" s="40">
        <v>45578</v>
      </c>
      <c r="AN798">
        <f t="shared" si="451"/>
        <v>29</v>
      </c>
      <c r="AO798">
        <f t="shared" si="452"/>
        <v>32</v>
      </c>
      <c r="AP798">
        <f t="shared" si="453"/>
        <v>40</v>
      </c>
      <c r="AQ798">
        <f t="shared" si="454"/>
        <v>43</v>
      </c>
      <c r="AR798" s="26" t="str">
        <f t="shared" si="455"/>
        <v>-</v>
      </c>
      <c r="AS798" s="26" t="str">
        <f t="shared" si="456"/>
        <v>-</v>
      </c>
      <c r="AT798" s="21">
        <f t="shared" si="457"/>
        <v>12</v>
      </c>
      <c r="AU798" s="21">
        <f t="shared" si="458"/>
        <v>19</v>
      </c>
      <c r="AV798" t="str">
        <f t="shared" si="459"/>
        <v>-</v>
      </c>
      <c r="AW798" t="str">
        <f t="shared" si="460"/>
        <v>-</v>
      </c>
      <c r="AX798" t="str">
        <f t="shared" si="461"/>
        <v>-</v>
      </c>
      <c r="AY798" t="str">
        <f t="shared" si="462"/>
        <v>-</v>
      </c>
      <c r="AZ798" t="str">
        <f t="shared" si="463"/>
        <v>-</v>
      </c>
      <c r="BA798" t="str">
        <f t="shared" si="464"/>
        <v>-</v>
      </c>
      <c r="BB798" t="str">
        <f t="shared" si="465"/>
        <v>-</v>
      </c>
      <c r="BC798" t="str">
        <f t="shared" si="466"/>
        <v>-</v>
      </c>
      <c r="BD798" s="29" t="str">
        <f t="shared" si="467"/>
        <v>-</v>
      </c>
      <c r="BE798" s="29" t="str">
        <f t="shared" si="468"/>
        <v>-</v>
      </c>
    </row>
    <row r="799" spans="1:57" ht="15" x14ac:dyDescent="0.2">
      <c r="A799" s="2">
        <v>420</v>
      </c>
      <c r="B799" s="2" t="str">
        <f t="shared" si="433"/>
        <v>0420</v>
      </c>
      <c r="C799" t="str">
        <f t="shared" si="434"/>
        <v>ORD-BB-0420-13/10/24</v>
      </c>
      <c r="D799" s="3" t="s">
        <v>463</v>
      </c>
      <c r="E799" t="str">
        <f t="shared" si="435"/>
        <v>PU001</v>
      </c>
      <c r="F799" t="str">
        <f>INDEX(Katalog!$B$4:$B$13,MATCH('Main Data'!E799,Katalog!$C$4:$C$13,0))</f>
        <v>Jaket Hoodie</v>
      </c>
      <c r="G799" t="str">
        <f>VLOOKUP(E799,Katalog!$A$15:$B$25,2,0)</f>
        <v>Pakaian Unisex</v>
      </c>
      <c r="H799" t="str">
        <f t="shared" si="436"/>
        <v>3</v>
      </c>
      <c r="I799" t="str">
        <f t="shared" si="437"/>
        <v>4</v>
      </c>
      <c r="J799" s="18">
        <f>VLOOKUP(E799,Katalog!$C$3:$F$13,2,0)</f>
        <v>160000</v>
      </c>
      <c r="K799" s="18">
        <f>VLOOKUP(E799,Katalog!$C$3:$F$13,3,0)</f>
        <v>60000</v>
      </c>
      <c r="L799" t="str">
        <f t="shared" si="438"/>
        <v>PP003</v>
      </c>
      <c r="M799" t="str">
        <f>IFERROR(INDEX(Katalog!$B$4:$B$13,MATCH('Main Data'!L799,Katalog!$C$4:$C$13,0)), "-")</f>
        <v>Jaket Jeans</v>
      </c>
      <c r="N799" t="str">
        <f>IFERROR(VLOOKUP(L799,Katalog!$A$15:$B$25,2,0),"-")</f>
        <v>Pakaian Pria</v>
      </c>
      <c r="O799" t="str">
        <f t="shared" si="439"/>
        <v>1</v>
      </c>
      <c r="P799" t="str">
        <f t="shared" si="440"/>
        <v>5</v>
      </c>
      <c r="Q799" s="18">
        <f>IFERROR(VLOOKUP(L799,Katalog!$C$3:$F$13,2,0),0)</f>
        <v>150000</v>
      </c>
      <c r="R799" s="18">
        <f>IFERROR(VLOOKUP(L799,Katalog!$C$3:$F$13,3,0),0)</f>
        <v>70000</v>
      </c>
      <c r="S799" t="str">
        <f t="shared" si="441"/>
        <v>PW002</v>
      </c>
      <c r="T799" t="str">
        <f>IFERROR(INDEX(Katalog!$B$4:$B$13,MATCH('Main Data'!S799,Katalog!$C$4:$C$13,0)),"-")</f>
        <v>Blouse</v>
      </c>
      <c r="U799" t="str">
        <f>IFERROR(VLOOKUP(S799,Katalog!$A$15:$B$25,2,0),"-")</f>
        <v>Pakaian Wanita</v>
      </c>
      <c r="V799" t="str">
        <f t="shared" si="442"/>
        <v>2</v>
      </c>
      <c r="W799" s="28" t="str">
        <f t="shared" si="443"/>
        <v>4</v>
      </c>
      <c r="X799" s="18">
        <f>IFERROR(VLOOKUP(S799,Katalog!$C$3:$F$13,2,0),0)</f>
        <v>125000</v>
      </c>
      <c r="Y799" s="30">
        <f>IFERROR(VLOOKUP(S799,Katalog!$C$3:$F$13,3,0),0)</f>
        <v>50000</v>
      </c>
      <c r="Z799" s="2">
        <f t="shared" si="444"/>
        <v>6</v>
      </c>
      <c r="AA799" s="4">
        <f t="shared" si="445"/>
        <v>880000</v>
      </c>
      <c r="AB799" s="4">
        <f t="shared" si="446"/>
        <v>350000</v>
      </c>
      <c r="AC799" s="4" t="s">
        <v>27</v>
      </c>
      <c r="AD799" s="16">
        <f>IFERROR(VLOOKUP(AC799,'Kode Diskon'!$C$2:$D$9,2,0),0)</f>
        <v>0.15</v>
      </c>
      <c r="AE799" s="31">
        <f t="shared" si="447"/>
        <v>132000</v>
      </c>
      <c r="AF799" s="31">
        <f t="shared" si="448"/>
        <v>748000</v>
      </c>
      <c r="AG799" s="31">
        <f t="shared" si="449"/>
        <v>530000</v>
      </c>
      <c r="AH799" s="31">
        <f t="shared" si="450"/>
        <v>398000</v>
      </c>
      <c r="AI799" s="4" t="s">
        <v>28</v>
      </c>
      <c r="AJ799" s="4" t="s">
        <v>13</v>
      </c>
      <c r="AK799" s="4" t="str">
        <f>IFERROR(VLOOKUP(AJ799,'Guide '!$A$13:$B$16,2,0),"-")</f>
        <v>BB</v>
      </c>
      <c r="AL799" s="4" t="s">
        <v>921</v>
      </c>
      <c r="AM799" s="40">
        <v>45578</v>
      </c>
      <c r="AN799">
        <f t="shared" si="451"/>
        <v>29</v>
      </c>
      <c r="AO799">
        <f t="shared" si="452"/>
        <v>32</v>
      </c>
      <c r="AP799">
        <f t="shared" si="453"/>
        <v>40</v>
      </c>
      <c r="AQ799">
        <f t="shared" si="454"/>
        <v>43</v>
      </c>
      <c r="AR799" s="26">
        <f t="shared" si="455"/>
        <v>56</v>
      </c>
      <c r="AS799" s="26">
        <f t="shared" si="456"/>
        <v>63</v>
      </c>
      <c r="AT799" s="21">
        <f t="shared" si="457"/>
        <v>12</v>
      </c>
      <c r="AU799" s="21">
        <f t="shared" si="458"/>
        <v>19</v>
      </c>
      <c r="AV799">
        <f t="shared" si="459"/>
        <v>73</v>
      </c>
      <c r="AW799">
        <f t="shared" si="460"/>
        <v>76</v>
      </c>
      <c r="AX799">
        <f t="shared" si="461"/>
        <v>84</v>
      </c>
      <c r="AY799">
        <f t="shared" si="462"/>
        <v>87</v>
      </c>
      <c r="AZ799">
        <f t="shared" si="463"/>
        <v>100</v>
      </c>
      <c r="BA799">
        <f t="shared" si="464"/>
        <v>107</v>
      </c>
      <c r="BB799">
        <f t="shared" si="465"/>
        <v>117</v>
      </c>
      <c r="BC799">
        <f t="shared" si="466"/>
        <v>120</v>
      </c>
      <c r="BD799" s="29">
        <f t="shared" si="467"/>
        <v>128</v>
      </c>
      <c r="BE799" s="29">
        <f t="shared" si="468"/>
        <v>131</v>
      </c>
    </row>
    <row r="800" spans="1:57" ht="15" x14ac:dyDescent="0.2">
      <c r="A800" s="2">
        <v>547</v>
      </c>
      <c r="B800" s="2" t="str">
        <f t="shared" si="433"/>
        <v>0547</v>
      </c>
      <c r="C800" t="str">
        <f t="shared" si="434"/>
        <v>ORD-BL-0547-13/10/24</v>
      </c>
      <c r="D800" s="3" t="s">
        <v>571</v>
      </c>
      <c r="E800" t="str">
        <f t="shared" si="435"/>
        <v>PW003</v>
      </c>
      <c r="F800" t="str">
        <f>INDEX(Katalog!$B$4:$B$13,MATCH('Main Data'!E800,Katalog!$C$4:$C$13,0))</f>
        <v>Kaftan</v>
      </c>
      <c r="G800" t="str">
        <f>VLOOKUP(E800,Katalog!$A$15:$B$25,2,0)</f>
        <v>Pakaian Wanita</v>
      </c>
      <c r="H800" t="str">
        <f t="shared" si="436"/>
        <v>1</v>
      </c>
      <c r="I800" t="str">
        <f t="shared" si="437"/>
        <v>1</v>
      </c>
      <c r="J800" s="18">
        <f>VLOOKUP(E800,Katalog!$C$3:$F$13,2,0)</f>
        <v>200000</v>
      </c>
      <c r="K800" s="18">
        <f>VLOOKUP(E800,Katalog!$C$3:$F$13,3,0)</f>
        <v>100000</v>
      </c>
      <c r="L800" t="str">
        <f t="shared" si="438"/>
        <v>SP002</v>
      </c>
      <c r="M800" t="str">
        <f>IFERROR(INDEX(Katalog!$B$4:$B$13,MATCH('Main Data'!L800,Katalog!$C$4:$C$13,0)), "-")</f>
        <v>Sandal Slip On</v>
      </c>
      <c r="N800" t="str">
        <f>IFERROR(VLOOKUP(L800,Katalog!$A$15:$B$25,2,0),"-")</f>
        <v>Sepatu Pria</v>
      </c>
      <c r="O800" t="str">
        <f t="shared" si="439"/>
        <v>1</v>
      </c>
      <c r="P800" t="str">
        <f t="shared" si="440"/>
        <v>1</v>
      </c>
      <c r="Q800" s="18">
        <f>IFERROR(VLOOKUP(L800,Katalog!$C$3:$F$13,2,0),0)</f>
        <v>120000</v>
      </c>
      <c r="R800" s="18">
        <f>IFERROR(VLOOKUP(L800,Katalog!$C$3:$F$13,3,0),0)</f>
        <v>60000</v>
      </c>
      <c r="S800" t="str">
        <f t="shared" si="441"/>
        <v>PP002</v>
      </c>
      <c r="T800" t="str">
        <f>IFERROR(INDEX(Katalog!$B$4:$B$13,MATCH('Main Data'!S800,Katalog!$C$4:$C$13,0)),"-")</f>
        <v>Celana Pendek</v>
      </c>
      <c r="U800" t="str">
        <f>IFERROR(VLOOKUP(S800,Katalog!$A$15:$B$25,2,0),"-")</f>
        <v>Pakaian Pria</v>
      </c>
      <c r="V800" t="str">
        <f t="shared" si="442"/>
        <v>1</v>
      </c>
      <c r="W800" s="28" t="str">
        <f t="shared" si="443"/>
        <v>1</v>
      </c>
      <c r="X800" s="18">
        <f>IFERROR(VLOOKUP(S800,Katalog!$C$3:$F$13,2,0),0)</f>
        <v>60000</v>
      </c>
      <c r="Y800" s="30">
        <f>IFERROR(VLOOKUP(S800,Katalog!$C$3:$F$13,3,0),0)</f>
        <v>25000</v>
      </c>
      <c r="Z800" s="2">
        <f t="shared" si="444"/>
        <v>3</v>
      </c>
      <c r="AA800" s="4">
        <f t="shared" si="445"/>
        <v>380000</v>
      </c>
      <c r="AB800" s="4">
        <f t="shared" si="446"/>
        <v>185000</v>
      </c>
      <c r="AC800" s="4" t="s">
        <v>31</v>
      </c>
      <c r="AD800" s="16">
        <f>IFERROR(VLOOKUP(AC800,'Kode Diskon'!$C$2:$D$9,2,0),0)</f>
        <v>0.15</v>
      </c>
      <c r="AE800" s="31">
        <f t="shared" si="447"/>
        <v>57000</v>
      </c>
      <c r="AF800" s="31">
        <f t="shared" si="448"/>
        <v>323000</v>
      </c>
      <c r="AG800" s="31">
        <f t="shared" si="449"/>
        <v>195000</v>
      </c>
      <c r="AH800" s="31">
        <f t="shared" si="450"/>
        <v>138000</v>
      </c>
      <c r="AI800" s="4" t="s">
        <v>8</v>
      </c>
      <c r="AJ800" s="4" t="s">
        <v>11</v>
      </c>
      <c r="AK800" s="4" t="str">
        <f>IFERROR(VLOOKUP(AJ800,'Guide '!$A$13:$B$16,2,0),"-")</f>
        <v>BL</v>
      </c>
      <c r="AL800" s="4" t="s">
        <v>1006</v>
      </c>
      <c r="AM800" s="40">
        <v>45578</v>
      </c>
      <c r="AN800">
        <f t="shared" si="451"/>
        <v>29</v>
      </c>
      <c r="AO800">
        <f t="shared" si="452"/>
        <v>32</v>
      </c>
      <c r="AP800">
        <f t="shared" si="453"/>
        <v>40</v>
      </c>
      <c r="AQ800">
        <f t="shared" si="454"/>
        <v>43</v>
      </c>
      <c r="AR800" s="26">
        <f t="shared" si="455"/>
        <v>56</v>
      </c>
      <c r="AS800" s="26">
        <f t="shared" si="456"/>
        <v>63</v>
      </c>
      <c r="AT800" s="21">
        <f t="shared" si="457"/>
        <v>12</v>
      </c>
      <c r="AU800" s="21">
        <f t="shared" si="458"/>
        <v>19</v>
      </c>
      <c r="AV800">
        <f t="shared" si="459"/>
        <v>73</v>
      </c>
      <c r="AW800">
        <f t="shared" si="460"/>
        <v>76</v>
      </c>
      <c r="AX800">
        <f t="shared" si="461"/>
        <v>84</v>
      </c>
      <c r="AY800">
        <f t="shared" si="462"/>
        <v>87</v>
      </c>
      <c r="AZ800">
        <f t="shared" si="463"/>
        <v>100</v>
      </c>
      <c r="BA800">
        <f t="shared" si="464"/>
        <v>107</v>
      </c>
      <c r="BB800">
        <f t="shared" si="465"/>
        <v>117</v>
      </c>
      <c r="BC800">
        <f t="shared" si="466"/>
        <v>120</v>
      </c>
      <c r="BD800" s="29">
        <f t="shared" si="467"/>
        <v>128</v>
      </c>
      <c r="BE800" s="29">
        <f t="shared" si="468"/>
        <v>131</v>
      </c>
    </row>
    <row r="801" spans="1:57" ht="15" x14ac:dyDescent="0.2">
      <c r="A801" s="2">
        <v>97</v>
      </c>
      <c r="B801" s="2" t="str">
        <f t="shared" si="433"/>
        <v>0097</v>
      </c>
      <c r="C801" t="str">
        <f t="shared" si="434"/>
        <v>ORD-SP-0097-14/10/24</v>
      </c>
      <c r="D801" s="3" t="s">
        <v>169</v>
      </c>
      <c r="E801" t="str">
        <f t="shared" si="435"/>
        <v>PW001</v>
      </c>
      <c r="F801" t="str">
        <f>INDEX(Katalog!$B$4:$B$13,MATCH('Main Data'!E801,Katalog!$C$4:$C$13,0))</f>
        <v>Dress</v>
      </c>
      <c r="G801" t="str">
        <f>VLOOKUP(E801,Katalog!$A$15:$B$25,2,0)</f>
        <v>Pakaian Wanita</v>
      </c>
      <c r="H801" t="str">
        <f t="shared" si="436"/>
        <v>1</v>
      </c>
      <c r="I801" t="str">
        <f t="shared" si="437"/>
        <v>1</v>
      </c>
      <c r="J801" s="18">
        <f>VLOOKUP(E801,Katalog!$C$3:$F$13,2,0)</f>
        <v>150000</v>
      </c>
      <c r="K801" s="18">
        <f>VLOOKUP(E801,Katalog!$C$3:$F$13,3,0)</f>
        <v>55000</v>
      </c>
      <c r="L801" t="str">
        <f t="shared" si="438"/>
        <v>PU001</v>
      </c>
      <c r="M801" t="str">
        <f>IFERROR(INDEX(Katalog!$B$4:$B$13,MATCH('Main Data'!L801,Katalog!$C$4:$C$13,0)), "-")</f>
        <v>Jaket Hoodie</v>
      </c>
      <c r="N801" t="str">
        <f>IFERROR(VLOOKUP(L801,Katalog!$A$15:$B$25,2,0),"-")</f>
        <v>Pakaian Unisex</v>
      </c>
      <c r="O801" t="str">
        <f t="shared" si="439"/>
        <v>1</v>
      </c>
      <c r="P801" t="str">
        <f t="shared" si="440"/>
        <v>5</v>
      </c>
      <c r="Q801" s="18">
        <f>IFERROR(VLOOKUP(L801,Katalog!$C$3:$F$13,2,0),0)</f>
        <v>160000</v>
      </c>
      <c r="R801" s="18">
        <f>IFERROR(VLOOKUP(L801,Katalog!$C$3:$F$13,3,0),0)</f>
        <v>60000</v>
      </c>
      <c r="S801" t="str">
        <f t="shared" si="441"/>
        <v>-</v>
      </c>
      <c r="T801" t="str">
        <f>IFERROR(INDEX(Katalog!$B$4:$B$13,MATCH('Main Data'!S801,Katalog!$C$4:$C$13,0)),"-")</f>
        <v>-</v>
      </c>
      <c r="U801" t="str">
        <f>IFERROR(VLOOKUP(S801,Katalog!$A$15:$B$25,2,0),"-")</f>
        <v>-</v>
      </c>
      <c r="V801">
        <f t="shared" si="442"/>
        <v>0</v>
      </c>
      <c r="W801" s="28" t="str">
        <f t="shared" si="443"/>
        <v>-</v>
      </c>
      <c r="X801" s="18">
        <f>IFERROR(VLOOKUP(S801,Katalog!$C$3:$F$13,2,0),0)</f>
        <v>0</v>
      </c>
      <c r="Y801" s="30">
        <f>IFERROR(VLOOKUP(S801,Katalog!$C$3:$F$13,3,0),0)</f>
        <v>0</v>
      </c>
      <c r="Z801" s="2">
        <f t="shared" si="444"/>
        <v>2</v>
      </c>
      <c r="AA801" s="4">
        <f t="shared" si="445"/>
        <v>310000</v>
      </c>
      <c r="AB801" s="4">
        <f t="shared" si="446"/>
        <v>115000</v>
      </c>
      <c r="AC801" s="4" t="s">
        <v>5</v>
      </c>
      <c r="AD801" s="16">
        <f>IFERROR(VLOOKUP(AC801,'Kode Diskon'!$C$2:$D$9,2,0),0)</f>
        <v>0.1</v>
      </c>
      <c r="AE801" s="31">
        <f t="shared" si="447"/>
        <v>31000</v>
      </c>
      <c r="AF801" s="31">
        <f t="shared" si="448"/>
        <v>279000</v>
      </c>
      <c r="AG801" s="31">
        <f t="shared" si="449"/>
        <v>195000</v>
      </c>
      <c r="AH801" s="31">
        <f t="shared" si="450"/>
        <v>164000</v>
      </c>
      <c r="AI801" s="4" t="s">
        <v>28</v>
      </c>
      <c r="AJ801" s="4" t="s">
        <v>6</v>
      </c>
      <c r="AK801" s="4" t="str">
        <f>IFERROR(VLOOKUP(AJ801,'Guide '!$A$13:$B$16,2,0),"-")</f>
        <v>SP</v>
      </c>
      <c r="AL801" s="4" t="s">
        <v>925</v>
      </c>
      <c r="AM801" s="40">
        <v>45579</v>
      </c>
      <c r="AN801">
        <f t="shared" si="451"/>
        <v>29</v>
      </c>
      <c r="AO801">
        <f t="shared" si="452"/>
        <v>32</v>
      </c>
      <c r="AP801">
        <f t="shared" si="453"/>
        <v>40</v>
      </c>
      <c r="AQ801">
        <f t="shared" si="454"/>
        <v>43</v>
      </c>
      <c r="AR801" s="26">
        <f t="shared" si="455"/>
        <v>56</v>
      </c>
      <c r="AS801" s="26">
        <f t="shared" si="456"/>
        <v>63</v>
      </c>
      <c r="AT801" s="21">
        <f t="shared" si="457"/>
        <v>12</v>
      </c>
      <c r="AU801" s="21">
        <f t="shared" si="458"/>
        <v>19</v>
      </c>
      <c r="AV801">
        <f t="shared" si="459"/>
        <v>73</v>
      </c>
      <c r="AW801">
        <f t="shared" si="460"/>
        <v>76</v>
      </c>
      <c r="AX801">
        <f t="shared" si="461"/>
        <v>84</v>
      </c>
      <c r="AY801">
        <f t="shared" si="462"/>
        <v>87</v>
      </c>
      <c r="AZ801" t="str">
        <f t="shared" si="463"/>
        <v>-</v>
      </c>
      <c r="BA801" t="str">
        <f t="shared" si="464"/>
        <v>-</v>
      </c>
      <c r="BB801" t="str">
        <f t="shared" si="465"/>
        <v>-</v>
      </c>
      <c r="BC801" t="str">
        <f t="shared" si="466"/>
        <v>-</v>
      </c>
      <c r="BD801" s="29" t="str">
        <f t="shared" si="467"/>
        <v>-</v>
      </c>
      <c r="BE801" s="29" t="str">
        <f t="shared" si="468"/>
        <v>-</v>
      </c>
    </row>
    <row r="802" spans="1:57" ht="15" x14ac:dyDescent="0.2">
      <c r="A802" s="2">
        <v>290</v>
      </c>
      <c r="B802" s="2" t="str">
        <f t="shared" si="433"/>
        <v>0290</v>
      </c>
      <c r="C802" t="str">
        <f t="shared" si="434"/>
        <v>ORD-TK-0290-14/10/24</v>
      </c>
      <c r="D802" s="3" t="s">
        <v>346</v>
      </c>
      <c r="E802" t="str">
        <f t="shared" si="435"/>
        <v>PP003</v>
      </c>
      <c r="F802" t="str">
        <f>INDEX(Katalog!$B$4:$B$13,MATCH('Main Data'!E802,Katalog!$C$4:$C$13,0))</f>
        <v>Jaket Jeans</v>
      </c>
      <c r="G802" t="str">
        <f>VLOOKUP(E802,Katalog!$A$15:$B$25,2,0)</f>
        <v>Pakaian Pria</v>
      </c>
      <c r="H802" t="str">
        <f t="shared" si="436"/>
        <v>6</v>
      </c>
      <c r="I802" t="str">
        <f t="shared" si="437"/>
        <v>2</v>
      </c>
      <c r="J802" s="18">
        <f>VLOOKUP(E802,Katalog!$C$3:$F$13,2,0)</f>
        <v>150000</v>
      </c>
      <c r="K802" s="18">
        <f>VLOOKUP(E802,Katalog!$C$3:$F$13,3,0)</f>
        <v>70000</v>
      </c>
      <c r="L802" t="str">
        <f t="shared" si="438"/>
        <v>PP002</v>
      </c>
      <c r="M802" t="str">
        <f>IFERROR(INDEX(Katalog!$B$4:$B$13,MATCH('Main Data'!L802,Katalog!$C$4:$C$13,0)), "-")</f>
        <v>Celana Pendek</v>
      </c>
      <c r="N802" t="str">
        <f>IFERROR(VLOOKUP(L802,Katalog!$A$15:$B$25,2,0),"-")</f>
        <v>Pakaian Pria</v>
      </c>
      <c r="O802" t="str">
        <f t="shared" si="439"/>
        <v>1</v>
      </c>
      <c r="P802" t="str">
        <f t="shared" si="440"/>
        <v>1</v>
      </c>
      <c r="Q802" s="18">
        <f>IFERROR(VLOOKUP(L802,Katalog!$C$3:$F$13,2,0),0)</f>
        <v>60000</v>
      </c>
      <c r="R802" s="18">
        <f>IFERROR(VLOOKUP(L802,Katalog!$C$3:$F$13,3,0),0)</f>
        <v>25000</v>
      </c>
      <c r="S802" t="str">
        <f t="shared" si="441"/>
        <v>-</v>
      </c>
      <c r="T802" t="str">
        <f>IFERROR(INDEX(Katalog!$B$4:$B$13,MATCH('Main Data'!S802,Katalog!$C$4:$C$13,0)),"-")</f>
        <v>-</v>
      </c>
      <c r="U802" t="str">
        <f>IFERROR(VLOOKUP(S802,Katalog!$A$15:$B$25,2,0),"-")</f>
        <v>-</v>
      </c>
      <c r="V802">
        <f t="shared" si="442"/>
        <v>0</v>
      </c>
      <c r="W802" s="28" t="str">
        <f t="shared" si="443"/>
        <v>-</v>
      </c>
      <c r="X802" s="18">
        <f>IFERROR(VLOOKUP(S802,Katalog!$C$3:$F$13,2,0),0)</f>
        <v>0</v>
      </c>
      <c r="Y802" s="30">
        <f>IFERROR(VLOOKUP(S802,Katalog!$C$3:$F$13,3,0),0)</f>
        <v>0</v>
      </c>
      <c r="Z802" s="2">
        <f t="shared" si="444"/>
        <v>7</v>
      </c>
      <c r="AA802" s="4">
        <f t="shared" si="445"/>
        <v>960000</v>
      </c>
      <c r="AB802" s="4">
        <f t="shared" si="446"/>
        <v>445000</v>
      </c>
      <c r="AC802" s="4" t="s">
        <v>10</v>
      </c>
      <c r="AD802" s="16">
        <f>IFERROR(VLOOKUP(AC802,'Kode Diskon'!$C$2:$D$9,2,0),0)</f>
        <v>0</v>
      </c>
      <c r="AE802" s="31">
        <f t="shared" si="447"/>
        <v>0</v>
      </c>
      <c r="AF802" s="31">
        <f t="shared" si="448"/>
        <v>960000</v>
      </c>
      <c r="AG802" s="31">
        <f t="shared" si="449"/>
        <v>515000</v>
      </c>
      <c r="AH802" s="31">
        <f t="shared" si="450"/>
        <v>515000</v>
      </c>
      <c r="AI802" s="4" t="s">
        <v>10</v>
      </c>
      <c r="AJ802" s="4" t="s">
        <v>9</v>
      </c>
      <c r="AK802" s="4" t="str">
        <f>IFERROR(VLOOKUP(AJ802,'Guide '!$A$13:$B$16,2,0),"-")</f>
        <v>TK</v>
      </c>
      <c r="AL802" s="4" t="s">
        <v>1006</v>
      </c>
      <c r="AM802" s="40">
        <v>45579</v>
      </c>
      <c r="AN802">
        <f t="shared" si="451"/>
        <v>29</v>
      </c>
      <c r="AO802">
        <f t="shared" si="452"/>
        <v>32</v>
      </c>
      <c r="AP802">
        <f t="shared" si="453"/>
        <v>40</v>
      </c>
      <c r="AQ802">
        <f t="shared" si="454"/>
        <v>43</v>
      </c>
      <c r="AR802" s="26">
        <f t="shared" si="455"/>
        <v>56</v>
      </c>
      <c r="AS802" s="26">
        <f t="shared" si="456"/>
        <v>63</v>
      </c>
      <c r="AT802" s="21">
        <f t="shared" si="457"/>
        <v>12</v>
      </c>
      <c r="AU802" s="21">
        <f t="shared" si="458"/>
        <v>19</v>
      </c>
      <c r="AV802">
        <f t="shared" si="459"/>
        <v>73</v>
      </c>
      <c r="AW802">
        <f t="shared" si="460"/>
        <v>76</v>
      </c>
      <c r="AX802">
        <f t="shared" si="461"/>
        <v>84</v>
      </c>
      <c r="AY802">
        <f t="shared" si="462"/>
        <v>87</v>
      </c>
      <c r="AZ802" t="str">
        <f t="shared" si="463"/>
        <v>-</v>
      </c>
      <c r="BA802" t="str">
        <f t="shared" si="464"/>
        <v>-</v>
      </c>
      <c r="BB802" t="str">
        <f t="shared" si="465"/>
        <v>-</v>
      </c>
      <c r="BC802" t="str">
        <f t="shared" si="466"/>
        <v>-</v>
      </c>
      <c r="BD802" s="29" t="str">
        <f t="shared" si="467"/>
        <v>-</v>
      </c>
      <c r="BE802" s="29" t="str">
        <f t="shared" si="468"/>
        <v>-</v>
      </c>
    </row>
    <row r="803" spans="1:57" ht="15" x14ac:dyDescent="0.2">
      <c r="A803" s="2">
        <v>155</v>
      </c>
      <c r="B803" s="2" t="str">
        <f t="shared" si="433"/>
        <v>0155</v>
      </c>
      <c r="C803" t="str">
        <f t="shared" si="434"/>
        <v>ORD-BB-0155-15/10/24</v>
      </c>
      <c r="D803" s="3" t="s">
        <v>225</v>
      </c>
      <c r="E803" t="str">
        <f t="shared" si="435"/>
        <v>PP001</v>
      </c>
      <c r="F803" t="str">
        <f>INDEX(Katalog!$B$4:$B$13,MATCH('Main Data'!E803,Katalog!$C$4:$C$13,0))</f>
        <v>Kaos Polo</v>
      </c>
      <c r="G803" t="str">
        <f>VLOOKUP(E803,Katalog!$A$15:$B$25,2,0)</f>
        <v>Pakaian Pria</v>
      </c>
      <c r="H803" t="str">
        <f t="shared" si="436"/>
        <v>4</v>
      </c>
      <c r="I803" t="str">
        <f t="shared" si="437"/>
        <v>5</v>
      </c>
      <c r="J803" s="18">
        <f>VLOOKUP(E803,Katalog!$C$3:$F$13,2,0)</f>
        <v>80000</v>
      </c>
      <c r="K803" s="18">
        <f>VLOOKUP(E803,Katalog!$C$3:$F$13,3,0)</f>
        <v>30000</v>
      </c>
      <c r="L803" t="str">
        <f t="shared" si="438"/>
        <v>SP002</v>
      </c>
      <c r="M803" t="str">
        <f>IFERROR(INDEX(Katalog!$B$4:$B$13,MATCH('Main Data'!L803,Katalog!$C$4:$C$13,0)), "-")</f>
        <v>Sandal Slip On</v>
      </c>
      <c r="N803" t="str">
        <f>IFERROR(VLOOKUP(L803,Katalog!$A$15:$B$25,2,0),"-")</f>
        <v>Sepatu Pria</v>
      </c>
      <c r="O803" t="str">
        <f t="shared" si="439"/>
        <v>1</v>
      </c>
      <c r="P803" t="str">
        <f t="shared" si="440"/>
        <v>3</v>
      </c>
      <c r="Q803" s="18">
        <f>IFERROR(VLOOKUP(L803,Katalog!$C$3:$F$13,2,0),0)</f>
        <v>120000</v>
      </c>
      <c r="R803" s="18">
        <f>IFERROR(VLOOKUP(L803,Katalog!$C$3:$F$13,3,0),0)</f>
        <v>60000</v>
      </c>
      <c r="S803" t="str">
        <f t="shared" si="441"/>
        <v>SW001</v>
      </c>
      <c r="T803" t="str">
        <f>IFERROR(INDEX(Katalog!$B$4:$B$13,MATCH('Main Data'!S803,Katalog!$C$4:$C$13,0)),"-")</f>
        <v>Flat Shoes</v>
      </c>
      <c r="U803" t="str">
        <f>IFERROR(VLOOKUP(S803,Katalog!$A$15:$B$25,2,0),"-")</f>
        <v>Sepatu Wanita</v>
      </c>
      <c r="V803" t="str">
        <f t="shared" si="442"/>
        <v>1</v>
      </c>
      <c r="W803" s="28" t="str">
        <f t="shared" si="443"/>
        <v>2</v>
      </c>
      <c r="X803" s="18">
        <f>IFERROR(VLOOKUP(S803,Katalog!$C$3:$F$13,2,0),0)</f>
        <v>150000</v>
      </c>
      <c r="Y803" s="30">
        <f>IFERROR(VLOOKUP(S803,Katalog!$C$3:$F$13,3,0),0)</f>
        <v>70000</v>
      </c>
      <c r="Z803" s="2">
        <f t="shared" si="444"/>
        <v>6</v>
      </c>
      <c r="AA803" s="4">
        <f t="shared" si="445"/>
        <v>590000</v>
      </c>
      <c r="AB803" s="4">
        <f t="shared" si="446"/>
        <v>250000</v>
      </c>
      <c r="AC803" s="4" t="s">
        <v>27</v>
      </c>
      <c r="AD803" s="16">
        <f>IFERROR(VLOOKUP(AC803,'Kode Diskon'!$C$2:$D$9,2,0),0)</f>
        <v>0.15</v>
      </c>
      <c r="AE803" s="31">
        <f t="shared" si="447"/>
        <v>88500</v>
      </c>
      <c r="AF803" s="31">
        <f t="shared" si="448"/>
        <v>501500</v>
      </c>
      <c r="AG803" s="31">
        <f t="shared" si="449"/>
        <v>340000</v>
      </c>
      <c r="AH803" s="31">
        <f t="shared" si="450"/>
        <v>251500</v>
      </c>
      <c r="AI803" s="4" t="s">
        <v>28</v>
      </c>
      <c r="AJ803" s="4" t="s">
        <v>13</v>
      </c>
      <c r="AK803" s="4" t="str">
        <f>IFERROR(VLOOKUP(AJ803,'Guide '!$A$13:$B$16,2,0),"-")</f>
        <v>BB</v>
      </c>
      <c r="AL803" s="4" t="s">
        <v>921</v>
      </c>
      <c r="AM803" s="40">
        <v>45580</v>
      </c>
      <c r="AN803">
        <f t="shared" si="451"/>
        <v>29</v>
      </c>
      <c r="AO803">
        <f t="shared" si="452"/>
        <v>32</v>
      </c>
      <c r="AP803">
        <f t="shared" si="453"/>
        <v>40</v>
      </c>
      <c r="AQ803">
        <f t="shared" si="454"/>
        <v>43</v>
      </c>
      <c r="AR803" s="26">
        <f t="shared" si="455"/>
        <v>56</v>
      </c>
      <c r="AS803" s="26">
        <f t="shared" si="456"/>
        <v>63</v>
      </c>
      <c r="AT803" s="21">
        <f t="shared" si="457"/>
        <v>12</v>
      </c>
      <c r="AU803" s="21">
        <f t="shared" si="458"/>
        <v>19</v>
      </c>
      <c r="AV803">
        <f t="shared" si="459"/>
        <v>73</v>
      </c>
      <c r="AW803">
        <f t="shared" si="460"/>
        <v>76</v>
      </c>
      <c r="AX803">
        <f t="shared" si="461"/>
        <v>84</v>
      </c>
      <c r="AY803">
        <f t="shared" si="462"/>
        <v>87</v>
      </c>
      <c r="AZ803">
        <f t="shared" si="463"/>
        <v>100</v>
      </c>
      <c r="BA803">
        <f t="shared" si="464"/>
        <v>107</v>
      </c>
      <c r="BB803">
        <f t="shared" si="465"/>
        <v>117</v>
      </c>
      <c r="BC803">
        <f t="shared" si="466"/>
        <v>120</v>
      </c>
      <c r="BD803" s="29">
        <f t="shared" si="467"/>
        <v>128</v>
      </c>
      <c r="BE803" s="29">
        <f t="shared" si="468"/>
        <v>131</v>
      </c>
    </row>
    <row r="804" spans="1:57" ht="15" x14ac:dyDescent="0.2">
      <c r="A804" s="2">
        <v>537</v>
      </c>
      <c r="B804" s="2" t="str">
        <f t="shared" si="433"/>
        <v>0537</v>
      </c>
      <c r="C804" t="str">
        <f t="shared" si="434"/>
        <v>ORD-SP-0537-15/10/24</v>
      </c>
      <c r="D804" s="3" t="s">
        <v>562</v>
      </c>
      <c r="E804" t="str">
        <f t="shared" si="435"/>
        <v>PP001</v>
      </c>
      <c r="F804" t="str">
        <f>INDEX(Katalog!$B$4:$B$13,MATCH('Main Data'!E804,Katalog!$C$4:$C$13,0))</f>
        <v>Kaos Polo</v>
      </c>
      <c r="G804" t="str">
        <f>VLOOKUP(E804,Katalog!$A$15:$B$25,2,0)</f>
        <v>Pakaian Pria</v>
      </c>
      <c r="H804" t="str">
        <f t="shared" si="436"/>
        <v>3</v>
      </c>
      <c r="I804" t="str">
        <f t="shared" si="437"/>
        <v>2</v>
      </c>
      <c r="J804" s="18">
        <f>VLOOKUP(E804,Katalog!$C$3:$F$13,2,0)</f>
        <v>80000</v>
      </c>
      <c r="K804" s="18">
        <f>VLOOKUP(E804,Katalog!$C$3:$F$13,3,0)</f>
        <v>30000</v>
      </c>
      <c r="L804" t="str">
        <f t="shared" si="438"/>
        <v>SP001</v>
      </c>
      <c r="M804" t="str">
        <f>IFERROR(INDEX(Katalog!$B$4:$B$13,MATCH('Main Data'!L804,Katalog!$C$4:$C$13,0)), "-")</f>
        <v>Sneakers</v>
      </c>
      <c r="N804" t="str">
        <f>IFERROR(VLOOKUP(L804,Katalog!$A$15:$B$25,2,0),"-")</f>
        <v>Sepatu Pria</v>
      </c>
      <c r="O804" t="str">
        <f t="shared" si="439"/>
        <v>1</v>
      </c>
      <c r="P804" t="str">
        <f t="shared" si="440"/>
        <v>4</v>
      </c>
      <c r="Q804" s="18">
        <f>IFERROR(VLOOKUP(L804,Katalog!$C$3:$F$13,2,0),0)</f>
        <v>300000</v>
      </c>
      <c r="R804" s="18">
        <f>IFERROR(VLOOKUP(L804,Katalog!$C$3:$F$13,3,0),0)</f>
        <v>100000</v>
      </c>
      <c r="S804" t="str">
        <f t="shared" si="441"/>
        <v>-</v>
      </c>
      <c r="T804" t="str">
        <f>IFERROR(INDEX(Katalog!$B$4:$B$13,MATCH('Main Data'!S804,Katalog!$C$4:$C$13,0)),"-")</f>
        <v>-</v>
      </c>
      <c r="U804" t="str">
        <f>IFERROR(VLOOKUP(S804,Katalog!$A$15:$B$25,2,0),"-")</f>
        <v>-</v>
      </c>
      <c r="V804">
        <f t="shared" si="442"/>
        <v>0</v>
      </c>
      <c r="W804" s="28" t="str">
        <f t="shared" si="443"/>
        <v>-</v>
      </c>
      <c r="X804" s="18">
        <f>IFERROR(VLOOKUP(S804,Katalog!$C$3:$F$13,2,0),0)</f>
        <v>0</v>
      </c>
      <c r="Y804" s="30">
        <f>IFERROR(VLOOKUP(S804,Katalog!$C$3:$F$13,3,0),0)</f>
        <v>0</v>
      </c>
      <c r="Z804" s="2">
        <f t="shared" si="444"/>
        <v>4</v>
      </c>
      <c r="AA804" s="4">
        <f t="shared" si="445"/>
        <v>540000</v>
      </c>
      <c r="AB804" s="4">
        <f t="shared" si="446"/>
        <v>190000</v>
      </c>
      <c r="AC804" s="4" t="s">
        <v>10</v>
      </c>
      <c r="AD804" s="16">
        <f>IFERROR(VLOOKUP(AC804,'Kode Diskon'!$C$2:$D$9,2,0),0)</f>
        <v>0</v>
      </c>
      <c r="AE804" s="31">
        <f t="shared" si="447"/>
        <v>0</v>
      </c>
      <c r="AF804" s="31">
        <f t="shared" si="448"/>
        <v>540000</v>
      </c>
      <c r="AG804" s="31">
        <f t="shared" si="449"/>
        <v>350000</v>
      </c>
      <c r="AH804" s="31">
        <f t="shared" si="450"/>
        <v>350000</v>
      </c>
      <c r="AI804" s="4" t="s">
        <v>10</v>
      </c>
      <c r="AJ804" s="4" t="s">
        <v>6</v>
      </c>
      <c r="AK804" s="4" t="str">
        <f>IFERROR(VLOOKUP(AJ804,'Guide '!$A$13:$B$16,2,0),"-")</f>
        <v>SP</v>
      </c>
      <c r="AL804" s="4" t="s">
        <v>925</v>
      </c>
      <c r="AM804" s="40">
        <v>45580</v>
      </c>
      <c r="AN804">
        <f t="shared" si="451"/>
        <v>29</v>
      </c>
      <c r="AO804">
        <f t="shared" si="452"/>
        <v>32</v>
      </c>
      <c r="AP804">
        <f t="shared" si="453"/>
        <v>40</v>
      </c>
      <c r="AQ804">
        <f t="shared" si="454"/>
        <v>43</v>
      </c>
      <c r="AR804" s="26">
        <f t="shared" si="455"/>
        <v>56</v>
      </c>
      <c r="AS804" s="26">
        <f t="shared" si="456"/>
        <v>63</v>
      </c>
      <c r="AT804" s="21">
        <f t="shared" si="457"/>
        <v>12</v>
      </c>
      <c r="AU804" s="21">
        <f t="shared" si="458"/>
        <v>19</v>
      </c>
      <c r="AV804">
        <f t="shared" si="459"/>
        <v>73</v>
      </c>
      <c r="AW804">
        <f t="shared" si="460"/>
        <v>76</v>
      </c>
      <c r="AX804">
        <f t="shared" si="461"/>
        <v>84</v>
      </c>
      <c r="AY804">
        <f t="shared" si="462"/>
        <v>87</v>
      </c>
      <c r="AZ804" t="str">
        <f t="shared" si="463"/>
        <v>-</v>
      </c>
      <c r="BA804" t="str">
        <f t="shared" si="464"/>
        <v>-</v>
      </c>
      <c r="BB804" t="str">
        <f t="shared" si="465"/>
        <v>-</v>
      </c>
      <c r="BC804" t="str">
        <f t="shared" si="466"/>
        <v>-</v>
      </c>
      <c r="BD804" s="29" t="str">
        <f t="shared" si="467"/>
        <v>-</v>
      </c>
      <c r="BE804" s="29" t="str">
        <f t="shared" si="468"/>
        <v>-</v>
      </c>
    </row>
    <row r="805" spans="1:57" ht="15" x14ac:dyDescent="0.2">
      <c r="A805" s="2">
        <v>597</v>
      </c>
      <c r="B805" s="2" t="str">
        <f t="shared" si="433"/>
        <v>0597</v>
      </c>
      <c r="C805" t="str">
        <f t="shared" si="434"/>
        <v>ORD-BL-0597-15/10/24</v>
      </c>
      <c r="D805" s="3" t="s">
        <v>610</v>
      </c>
      <c r="E805" t="str">
        <f t="shared" si="435"/>
        <v>PW002</v>
      </c>
      <c r="F805" t="str">
        <f>INDEX(Katalog!$B$4:$B$13,MATCH('Main Data'!E805,Katalog!$C$4:$C$13,0))</f>
        <v>Blouse</v>
      </c>
      <c r="G805" t="str">
        <f>VLOOKUP(E805,Katalog!$A$15:$B$25,2,0)</f>
        <v>Pakaian Wanita</v>
      </c>
      <c r="H805" t="str">
        <f t="shared" si="436"/>
        <v>1</v>
      </c>
      <c r="I805" t="str">
        <f t="shared" si="437"/>
        <v>5</v>
      </c>
      <c r="J805" s="18">
        <f>VLOOKUP(E805,Katalog!$C$3:$F$13,2,0)</f>
        <v>125000</v>
      </c>
      <c r="K805" s="18">
        <f>VLOOKUP(E805,Katalog!$C$3:$F$13,3,0)</f>
        <v>50000</v>
      </c>
      <c r="L805" t="str">
        <f t="shared" si="438"/>
        <v>-</v>
      </c>
      <c r="M805" t="str">
        <f>IFERROR(INDEX(Katalog!$B$4:$B$13,MATCH('Main Data'!L805,Katalog!$C$4:$C$13,0)), "-")</f>
        <v>-</v>
      </c>
      <c r="N805" t="str">
        <f>IFERROR(VLOOKUP(L805,Katalog!$A$15:$B$25,2,0),"-")</f>
        <v>-</v>
      </c>
      <c r="O805">
        <f t="shared" si="439"/>
        <v>0</v>
      </c>
      <c r="P805" t="str">
        <f t="shared" si="440"/>
        <v>-</v>
      </c>
      <c r="Q805" s="18">
        <f>IFERROR(VLOOKUP(L805,Katalog!$C$3:$F$13,2,0),0)</f>
        <v>0</v>
      </c>
      <c r="R805" s="18">
        <f>IFERROR(VLOOKUP(L805,Katalog!$C$3:$F$13,3,0),0)</f>
        <v>0</v>
      </c>
      <c r="S805" t="str">
        <f t="shared" si="441"/>
        <v>-</v>
      </c>
      <c r="T805" t="str">
        <f>IFERROR(INDEX(Katalog!$B$4:$B$13,MATCH('Main Data'!S805,Katalog!$C$4:$C$13,0)),"-")</f>
        <v>-</v>
      </c>
      <c r="U805" t="str">
        <f>IFERROR(VLOOKUP(S805,Katalog!$A$15:$B$25,2,0),"-")</f>
        <v>-</v>
      </c>
      <c r="V805">
        <f t="shared" si="442"/>
        <v>0</v>
      </c>
      <c r="W805" s="28" t="str">
        <f t="shared" si="443"/>
        <v>-</v>
      </c>
      <c r="X805" s="18">
        <f>IFERROR(VLOOKUP(S805,Katalog!$C$3:$F$13,2,0),0)</f>
        <v>0</v>
      </c>
      <c r="Y805" s="30">
        <f>IFERROR(VLOOKUP(S805,Katalog!$C$3:$F$13,3,0),0)</f>
        <v>0</v>
      </c>
      <c r="Z805" s="2">
        <f t="shared" si="444"/>
        <v>1</v>
      </c>
      <c r="AA805" s="4">
        <f t="shared" si="445"/>
        <v>125000</v>
      </c>
      <c r="AB805" s="4">
        <f t="shared" si="446"/>
        <v>50000</v>
      </c>
      <c r="AC805" s="4" t="s">
        <v>31</v>
      </c>
      <c r="AD805" s="16">
        <f>IFERROR(VLOOKUP(AC805,'Kode Diskon'!$C$2:$D$9,2,0),0)</f>
        <v>0.15</v>
      </c>
      <c r="AE805" s="31">
        <f t="shared" si="447"/>
        <v>18750</v>
      </c>
      <c r="AF805" s="31">
        <f t="shared" si="448"/>
        <v>106250</v>
      </c>
      <c r="AG805" s="31">
        <f t="shared" si="449"/>
        <v>75000</v>
      </c>
      <c r="AH805" s="31">
        <f t="shared" si="450"/>
        <v>56250</v>
      </c>
      <c r="AI805" s="4" t="s">
        <v>8</v>
      </c>
      <c r="AJ805" s="4" t="s">
        <v>11</v>
      </c>
      <c r="AK805" s="4" t="str">
        <f>IFERROR(VLOOKUP(AJ805,'Guide '!$A$13:$B$16,2,0),"-")</f>
        <v>BL</v>
      </c>
      <c r="AL805" s="4" t="s">
        <v>1006</v>
      </c>
      <c r="AM805" s="40">
        <v>45580</v>
      </c>
      <c r="AN805">
        <f t="shared" si="451"/>
        <v>29</v>
      </c>
      <c r="AO805">
        <f t="shared" si="452"/>
        <v>32</v>
      </c>
      <c r="AP805">
        <f t="shared" si="453"/>
        <v>40</v>
      </c>
      <c r="AQ805">
        <f t="shared" si="454"/>
        <v>43</v>
      </c>
      <c r="AR805" s="26" t="str">
        <f t="shared" si="455"/>
        <v>-</v>
      </c>
      <c r="AS805" s="26" t="str">
        <f t="shared" si="456"/>
        <v>-</v>
      </c>
      <c r="AT805" s="21">
        <f t="shared" si="457"/>
        <v>12</v>
      </c>
      <c r="AU805" s="21">
        <f t="shared" si="458"/>
        <v>19</v>
      </c>
      <c r="AV805" t="str">
        <f t="shared" si="459"/>
        <v>-</v>
      </c>
      <c r="AW805" t="str">
        <f t="shared" si="460"/>
        <v>-</v>
      </c>
      <c r="AX805" t="str">
        <f t="shared" si="461"/>
        <v>-</v>
      </c>
      <c r="AY805" t="str">
        <f t="shared" si="462"/>
        <v>-</v>
      </c>
      <c r="AZ805" t="str">
        <f t="shared" si="463"/>
        <v>-</v>
      </c>
      <c r="BA805" t="str">
        <f t="shared" si="464"/>
        <v>-</v>
      </c>
      <c r="BB805" t="str">
        <f t="shared" si="465"/>
        <v>-</v>
      </c>
      <c r="BC805" t="str">
        <f t="shared" si="466"/>
        <v>-</v>
      </c>
      <c r="BD805" s="29" t="str">
        <f t="shared" si="467"/>
        <v>-</v>
      </c>
      <c r="BE805" s="29" t="str">
        <f t="shared" si="468"/>
        <v>-</v>
      </c>
    </row>
    <row r="806" spans="1:57" ht="15" x14ac:dyDescent="0.2">
      <c r="A806" s="2">
        <v>813</v>
      </c>
      <c r="B806" s="2" t="str">
        <f t="shared" si="433"/>
        <v>0813</v>
      </c>
      <c r="C806" t="str">
        <f t="shared" si="434"/>
        <v>ORD-SP-0813-15/10/24</v>
      </c>
      <c r="D806" s="3" t="s">
        <v>672</v>
      </c>
      <c r="E806" t="str">
        <f t="shared" si="435"/>
        <v>PU001</v>
      </c>
      <c r="F806" t="str">
        <f>INDEX(Katalog!$B$4:$B$13,MATCH('Main Data'!E806,Katalog!$C$4:$C$13,0))</f>
        <v>Jaket Hoodie</v>
      </c>
      <c r="G806" t="str">
        <f>VLOOKUP(E806,Katalog!$A$15:$B$25,2,0)</f>
        <v>Pakaian Unisex</v>
      </c>
      <c r="H806" t="str">
        <f t="shared" si="436"/>
        <v>3</v>
      </c>
      <c r="I806" t="str">
        <f t="shared" si="437"/>
        <v>4</v>
      </c>
      <c r="J806" s="18">
        <f>VLOOKUP(E806,Katalog!$C$3:$F$13,2,0)</f>
        <v>160000</v>
      </c>
      <c r="K806" s="18">
        <f>VLOOKUP(E806,Katalog!$C$3:$F$13,3,0)</f>
        <v>60000</v>
      </c>
      <c r="L806" t="str">
        <f t="shared" si="438"/>
        <v>-</v>
      </c>
      <c r="M806" t="str">
        <f>IFERROR(INDEX(Katalog!$B$4:$B$13,MATCH('Main Data'!L806,Katalog!$C$4:$C$13,0)), "-")</f>
        <v>-</v>
      </c>
      <c r="N806" t="str">
        <f>IFERROR(VLOOKUP(L806,Katalog!$A$15:$B$25,2,0),"-")</f>
        <v>-</v>
      </c>
      <c r="O806">
        <f t="shared" si="439"/>
        <v>0</v>
      </c>
      <c r="P806" t="str">
        <f t="shared" si="440"/>
        <v>-</v>
      </c>
      <c r="Q806" s="18">
        <f>IFERROR(VLOOKUP(L806,Katalog!$C$3:$F$13,2,0),0)</f>
        <v>0</v>
      </c>
      <c r="R806" s="18">
        <f>IFERROR(VLOOKUP(L806,Katalog!$C$3:$F$13,3,0),0)</f>
        <v>0</v>
      </c>
      <c r="S806" t="str">
        <f t="shared" si="441"/>
        <v>-</v>
      </c>
      <c r="T806" t="str">
        <f>IFERROR(INDEX(Katalog!$B$4:$B$13,MATCH('Main Data'!S806,Katalog!$C$4:$C$13,0)),"-")</f>
        <v>-</v>
      </c>
      <c r="U806" t="str">
        <f>IFERROR(VLOOKUP(S806,Katalog!$A$15:$B$25,2,0),"-")</f>
        <v>-</v>
      </c>
      <c r="V806">
        <f t="shared" si="442"/>
        <v>0</v>
      </c>
      <c r="W806" s="28" t="str">
        <f t="shared" si="443"/>
        <v>-</v>
      </c>
      <c r="X806" s="18">
        <f>IFERROR(VLOOKUP(S806,Katalog!$C$3:$F$13,2,0),0)</f>
        <v>0</v>
      </c>
      <c r="Y806" s="30">
        <f>IFERROR(VLOOKUP(S806,Katalog!$C$3:$F$13,3,0),0)</f>
        <v>0</v>
      </c>
      <c r="Z806" s="2">
        <f t="shared" si="444"/>
        <v>3</v>
      </c>
      <c r="AA806" s="4">
        <f t="shared" si="445"/>
        <v>480000</v>
      </c>
      <c r="AB806" s="4">
        <f t="shared" si="446"/>
        <v>180000</v>
      </c>
      <c r="AC806" s="4" t="s">
        <v>12</v>
      </c>
      <c r="AD806" s="16">
        <f>IFERROR(VLOOKUP(AC806,'Kode Diskon'!$C$2:$D$9,2,0),0)</f>
        <v>0.15</v>
      </c>
      <c r="AE806" s="31">
        <f t="shared" si="447"/>
        <v>72000</v>
      </c>
      <c r="AF806" s="31">
        <f t="shared" si="448"/>
        <v>408000</v>
      </c>
      <c r="AG806" s="31">
        <f t="shared" si="449"/>
        <v>300000</v>
      </c>
      <c r="AH806" s="31">
        <f t="shared" si="450"/>
        <v>228000</v>
      </c>
      <c r="AI806" s="4" t="s">
        <v>28</v>
      </c>
      <c r="AJ806" s="4" t="s">
        <v>6</v>
      </c>
      <c r="AK806" s="4" t="str">
        <f>IFERROR(VLOOKUP(AJ806,'Guide '!$A$13:$B$16,2,0),"-")</f>
        <v>SP</v>
      </c>
      <c r="AL806" s="4" t="s">
        <v>924</v>
      </c>
      <c r="AM806" s="40">
        <v>45580</v>
      </c>
      <c r="AN806">
        <f t="shared" si="451"/>
        <v>29</v>
      </c>
      <c r="AO806">
        <f t="shared" si="452"/>
        <v>32</v>
      </c>
      <c r="AP806">
        <f t="shared" si="453"/>
        <v>40</v>
      </c>
      <c r="AQ806">
        <f t="shared" si="454"/>
        <v>43</v>
      </c>
      <c r="AR806" s="26" t="str">
        <f t="shared" si="455"/>
        <v>-</v>
      </c>
      <c r="AS806" s="26" t="str">
        <f t="shared" si="456"/>
        <v>-</v>
      </c>
      <c r="AT806" s="21">
        <f t="shared" si="457"/>
        <v>12</v>
      </c>
      <c r="AU806" s="21">
        <f t="shared" si="458"/>
        <v>19</v>
      </c>
      <c r="AV806" t="str">
        <f t="shared" si="459"/>
        <v>-</v>
      </c>
      <c r="AW806" t="str">
        <f t="shared" si="460"/>
        <v>-</v>
      </c>
      <c r="AX806" t="str">
        <f t="shared" si="461"/>
        <v>-</v>
      </c>
      <c r="AY806" t="str">
        <f t="shared" si="462"/>
        <v>-</v>
      </c>
      <c r="AZ806" t="str">
        <f t="shared" si="463"/>
        <v>-</v>
      </c>
      <c r="BA806" t="str">
        <f t="shared" si="464"/>
        <v>-</v>
      </c>
      <c r="BB806" t="str">
        <f t="shared" si="465"/>
        <v>-</v>
      </c>
      <c r="BC806" t="str">
        <f t="shared" si="466"/>
        <v>-</v>
      </c>
      <c r="BD806" s="29" t="str">
        <f t="shared" si="467"/>
        <v>-</v>
      </c>
      <c r="BE806" s="29" t="str">
        <f t="shared" si="468"/>
        <v>-</v>
      </c>
    </row>
    <row r="807" spans="1:57" ht="15" x14ac:dyDescent="0.2">
      <c r="A807" s="2">
        <v>318</v>
      </c>
      <c r="B807" s="2" t="str">
        <f t="shared" si="433"/>
        <v>0318</v>
      </c>
      <c r="C807" t="str">
        <f t="shared" si="434"/>
        <v>ORD-BB-0318-16/10/24</v>
      </c>
      <c r="D807" s="3" t="s">
        <v>373</v>
      </c>
      <c r="E807" t="str">
        <f t="shared" si="435"/>
        <v>PP003</v>
      </c>
      <c r="F807" t="str">
        <f>INDEX(Katalog!$B$4:$B$13,MATCH('Main Data'!E807,Katalog!$C$4:$C$13,0))</f>
        <v>Jaket Jeans</v>
      </c>
      <c r="G807" t="str">
        <f>VLOOKUP(E807,Katalog!$A$15:$B$25,2,0)</f>
        <v>Pakaian Pria</v>
      </c>
      <c r="H807" t="str">
        <f t="shared" si="436"/>
        <v>3</v>
      </c>
      <c r="I807" t="str">
        <f t="shared" si="437"/>
        <v>3</v>
      </c>
      <c r="J807" s="18">
        <f>VLOOKUP(E807,Katalog!$C$3:$F$13,2,0)</f>
        <v>150000</v>
      </c>
      <c r="K807" s="18">
        <f>VLOOKUP(E807,Katalog!$C$3:$F$13,3,0)</f>
        <v>70000</v>
      </c>
      <c r="L807" t="str">
        <f t="shared" si="438"/>
        <v>SW001</v>
      </c>
      <c r="M807" t="str">
        <f>IFERROR(INDEX(Katalog!$B$4:$B$13,MATCH('Main Data'!L807,Katalog!$C$4:$C$13,0)), "-")</f>
        <v>Flat Shoes</v>
      </c>
      <c r="N807" t="str">
        <f>IFERROR(VLOOKUP(L807,Katalog!$A$15:$B$25,2,0),"-")</f>
        <v>Sepatu Wanita</v>
      </c>
      <c r="O807" t="str">
        <f t="shared" si="439"/>
        <v>2</v>
      </c>
      <c r="P807" t="str">
        <f t="shared" si="440"/>
        <v>3</v>
      </c>
      <c r="Q807" s="18">
        <f>IFERROR(VLOOKUP(L807,Katalog!$C$3:$F$13,2,0),0)</f>
        <v>150000</v>
      </c>
      <c r="R807" s="18">
        <f>IFERROR(VLOOKUP(L807,Katalog!$C$3:$F$13,3,0),0)</f>
        <v>70000</v>
      </c>
      <c r="S807" t="str">
        <f t="shared" si="441"/>
        <v>PP001</v>
      </c>
      <c r="T807" t="str">
        <f>IFERROR(INDEX(Katalog!$B$4:$B$13,MATCH('Main Data'!S807,Katalog!$C$4:$C$13,0)),"-")</f>
        <v>Kaos Polo</v>
      </c>
      <c r="U807" t="str">
        <f>IFERROR(VLOOKUP(S807,Katalog!$A$15:$B$25,2,0),"-")</f>
        <v>Pakaian Pria</v>
      </c>
      <c r="V807" t="str">
        <f t="shared" si="442"/>
        <v>1</v>
      </c>
      <c r="W807" s="28" t="str">
        <f t="shared" si="443"/>
        <v>5</v>
      </c>
      <c r="X807" s="18">
        <f>IFERROR(VLOOKUP(S807,Katalog!$C$3:$F$13,2,0),0)</f>
        <v>80000</v>
      </c>
      <c r="Y807" s="30">
        <f>IFERROR(VLOOKUP(S807,Katalog!$C$3:$F$13,3,0),0)</f>
        <v>30000</v>
      </c>
      <c r="Z807" s="2">
        <f t="shared" si="444"/>
        <v>6</v>
      </c>
      <c r="AA807" s="4">
        <f t="shared" si="445"/>
        <v>830000</v>
      </c>
      <c r="AB807" s="4">
        <f t="shared" si="446"/>
        <v>380000</v>
      </c>
      <c r="AC807" s="4" t="s">
        <v>27</v>
      </c>
      <c r="AD807" s="16">
        <f>IFERROR(VLOOKUP(AC807,'Kode Diskon'!$C$2:$D$9,2,0),0)</f>
        <v>0.15</v>
      </c>
      <c r="AE807" s="31">
        <f t="shared" si="447"/>
        <v>124500</v>
      </c>
      <c r="AF807" s="31">
        <f t="shared" si="448"/>
        <v>705500</v>
      </c>
      <c r="AG807" s="31">
        <f t="shared" si="449"/>
        <v>450000</v>
      </c>
      <c r="AH807" s="31">
        <f t="shared" si="450"/>
        <v>325500</v>
      </c>
      <c r="AI807" s="4" t="s">
        <v>28</v>
      </c>
      <c r="AJ807" s="4" t="s">
        <v>13</v>
      </c>
      <c r="AK807" s="4" t="str">
        <f>IFERROR(VLOOKUP(AJ807,'Guide '!$A$13:$B$16,2,0),"-")</f>
        <v>BB</v>
      </c>
      <c r="AL807" s="4" t="s">
        <v>924</v>
      </c>
      <c r="AM807" s="40">
        <v>45581</v>
      </c>
      <c r="AN807">
        <f t="shared" si="451"/>
        <v>29</v>
      </c>
      <c r="AO807">
        <f t="shared" si="452"/>
        <v>32</v>
      </c>
      <c r="AP807">
        <f t="shared" si="453"/>
        <v>40</v>
      </c>
      <c r="AQ807">
        <f t="shared" si="454"/>
        <v>43</v>
      </c>
      <c r="AR807" s="26">
        <f t="shared" si="455"/>
        <v>56</v>
      </c>
      <c r="AS807" s="26">
        <f t="shared" si="456"/>
        <v>63</v>
      </c>
      <c r="AT807" s="21">
        <f t="shared" si="457"/>
        <v>12</v>
      </c>
      <c r="AU807" s="21">
        <f t="shared" si="458"/>
        <v>19</v>
      </c>
      <c r="AV807">
        <f t="shared" si="459"/>
        <v>73</v>
      </c>
      <c r="AW807">
        <f t="shared" si="460"/>
        <v>76</v>
      </c>
      <c r="AX807">
        <f t="shared" si="461"/>
        <v>84</v>
      </c>
      <c r="AY807">
        <f t="shared" si="462"/>
        <v>87</v>
      </c>
      <c r="AZ807">
        <f t="shared" si="463"/>
        <v>100</v>
      </c>
      <c r="BA807">
        <f t="shared" si="464"/>
        <v>107</v>
      </c>
      <c r="BB807">
        <f t="shared" si="465"/>
        <v>117</v>
      </c>
      <c r="BC807">
        <f t="shared" si="466"/>
        <v>120</v>
      </c>
      <c r="BD807" s="29">
        <f t="shared" si="467"/>
        <v>128</v>
      </c>
      <c r="BE807" s="29">
        <f t="shared" si="468"/>
        <v>131</v>
      </c>
    </row>
    <row r="808" spans="1:57" ht="15" x14ac:dyDescent="0.2">
      <c r="A808" s="2">
        <v>627</v>
      </c>
      <c r="B808" s="2" t="str">
        <f t="shared" si="433"/>
        <v>0627</v>
      </c>
      <c r="C808" t="str">
        <f t="shared" si="434"/>
        <v>ORD-SP-0627-17/10/24</v>
      </c>
      <c r="D808" s="3" t="s">
        <v>636</v>
      </c>
      <c r="E808" t="str">
        <f t="shared" si="435"/>
        <v>SP002</v>
      </c>
      <c r="F808" t="str">
        <f>INDEX(Katalog!$B$4:$B$13,MATCH('Main Data'!E808,Katalog!$C$4:$C$13,0))</f>
        <v>Sandal Slip On</v>
      </c>
      <c r="G808" t="str">
        <f>VLOOKUP(E808,Katalog!$A$15:$B$25,2,0)</f>
        <v>Sepatu Pria</v>
      </c>
      <c r="H808" t="str">
        <f t="shared" si="436"/>
        <v>7</v>
      </c>
      <c r="I808" t="str">
        <f t="shared" si="437"/>
        <v>5</v>
      </c>
      <c r="J808" s="18">
        <f>VLOOKUP(E808,Katalog!$C$3:$F$13,2,0)</f>
        <v>120000</v>
      </c>
      <c r="K808" s="18">
        <f>VLOOKUP(E808,Katalog!$C$3:$F$13,3,0)</f>
        <v>60000</v>
      </c>
      <c r="L808" t="str">
        <f t="shared" si="438"/>
        <v>-</v>
      </c>
      <c r="M808" t="str">
        <f>IFERROR(INDEX(Katalog!$B$4:$B$13,MATCH('Main Data'!L808,Katalog!$C$4:$C$13,0)), "-")</f>
        <v>-</v>
      </c>
      <c r="N808" t="str">
        <f>IFERROR(VLOOKUP(L808,Katalog!$A$15:$B$25,2,0),"-")</f>
        <v>-</v>
      </c>
      <c r="O808">
        <f t="shared" si="439"/>
        <v>0</v>
      </c>
      <c r="P808" t="str">
        <f t="shared" si="440"/>
        <v>-</v>
      </c>
      <c r="Q808" s="18">
        <f>IFERROR(VLOOKUP(L808,Katalog!$C$3:$F$13,2,0),0)</f>
        <v>0</v>
      </c>
      <c r="R808" s="18">
        <f>IFERROR(VLOOKUP(L808,Katalog!$C$3:$F$13,3,0),0)</f>
        <v>0</v>
      </c>
      <c r="S808" t="str">
        <f t="shared" si="441"/>
        <v>-</v>
      </c>
      <c r="T808" t="str">
        <f>IFERROR(INDEX(Katalog!$B$4:$B$13,MATCH('Main Data'!S808,Katalog!$C$4:$C$13,0)),"-")</f>
        <v>-</v>
      </c>
      <c r="U808" t="str">
        <f>IFERROR(VLOOKUP(S808,Katalog!$A$15:$B$25,2,0),"-")</f>
        <v>-</v>
      </c>
      <c r="V808">
        <f t="shared" si="442"/>
        <v>0</v>
      </c>
      <c r="W808" s="28" t="str">
        <f t="shared" si="443"/>
        <v>-</v>
      </c>
      <c r="X808" s="18">
        <f>IFERROR(VLOOKUP(S808,Katalog!$C$3:$F$13,2,0),0)</f>
        <v>0</v>
      </c>
      <c r="Y808" s="30">
        <f>IFERROR(VLOOKUP(S808,Katalog!$C$3:$F$13,3,0),0)</f>
        <v>0</v>
      </c>
      <c r="Z808" s="2">
        <f t="shared" si="444"/>
        <v>7</v>
      </c>
      <c r="AA808" s="4">
        <f t="shared" si="445"/>
        <v>840000</v>
      </c>
      <c r="AB808" s="4">
        <f t="shared" si="446"/>
        <v>420000</v>
      </c>
      <c r="AC808" s="4" t="s">
        <v>7</v>
      </c>
      <c r="AD808" s="16">
        <f>IFERROR(VLOOKUP(AC808,'Kode Diskon'!$C$2:$D$9,2,0),0)</f>
        <v>0.2</v>
      </c>
      <c r="AE808" s="31">
        <f t="shared" si="447"/>
        <v>168000</v>
      </c>
      <c r="AF808" s="31">
        <f t="shared" si="448"/>
        <v>672000</v>
      </c>
      <c r="AG808" s="31">
        <f t="shared" si="449"/>
        <v>420000</v>
      </c>
      <c r="AH808" s="31">
        <f t="shared" si="450"/>
        <v>252000</v>
      </c>
      <c r="AI808" s="4" t="s">
        <v>8</v>
      </c>
      <c r="AJ808" s="4" t="s">
        <v>6</v>
      </c>
      <c r="AK808" s="4" t="str">
        <f>IFERROR(VLOOKUP(AJ808,'Guide '!$A$13:$B$16,2,0),"-")</f>
        <v>SP</v>
      </c>
      <c r="AL808" s="4" t="s">
        <v>923</v>
      </c>
      <c r="AM808" s="40">
        <v>45582</v>
      </c>
      <c r="AN808">
        <f t="shared" si="451"/>
        <v>29</v>
      </c>
      <c r="AO808">
        <f t="shared" si="452"/>
        <v>32</v>
      </c>
      <c r="AP808">
        <f t="shared" si="453"/>
        <v>40</v>
      </c>
      <c r="AQ808">
        <f t="shared" si="454"/>
        <v>43</v>
      </c>
      <c r="AR808" s="26" t="str">
        <f t="shared" si="455"/>
        <v>-</v>
      </c>
      <c r="AS808" s="26" t="str">
        <f t="shared" si="456"/>
        <v>-</v>
      </c>
      <c r="AT808" s="21">
        <f t="shared" si="457"/>
        <v>12</v>
      </c>
      <c r="AU808" s="21">
        <f t="shared" si="458"/>
        <v>19</v>
      </c>
      <c r="AV808" t="str">
        <f t="shared" si="459"/>
        <v>-</v>
      </c>
      <c r="AW808" t="str">
        <f t="shared" si="460"/>
        <v>-</v>
      </c>
      <c r="AX808" t="str">
        <f t="shared" si="461"/>
        <v>-</v>
      </c>
      <c r="AY808" t="str">
        <f t="shared" si="462"/>
        <v>-</v>
      </c>
      <c r="AZ808" t="str">
        <f t="shared" si="463"/>
        <v>-</v>
      </c>
      <c r="BA808" t="str">
        <f t="shared" si="464"/>
        <v>-</v>
      </c>
      <c r="BB808" t="str">
        <f t="shared" si="465"/>
        <v>-</v>
      </c>
      <c r="BC808" t="str">
        <f t="shared" si="466"/>
        <v>-</v>
      </c>
      <c r="BD808" s="29" t="str">
        <f t="shared" si="467"/>
        <v>-</v>
      </c>
      <c r="BE808" s="29" t="str">
        <f t="shared" si="468"/>
        <v>-</v>
      </c>
    </row>
    <row r="809" spans="1:57" ht="15" x14ac:dyDescent="0.2">
      <c r="A809" s="2">
        <v>978</v>
      </c>
      <c r="B809" s="2" t="str">
        <f t="shared" si="433"/>
        <v>0978</v>
      </c>
      <c r="C809" t="str">
        <f t="shared" si="434"/>
        <v>ORD-SP-0978-17/10/24</v>
      </c>
      <c r="D809" s="3" t="s">
        <v>903</v>
      </c>
      <c r="E809" t="str">
        <f t="shared" si="435"/>
        <v>SP002</v>
      </c>
      <c r="F809" t="str">
        <f>INDEX(Katalog!$B$4:$B$13,MATCH('Main Data'!E809,Katalog!$C$4:$C$13,0))</f>
        <v>Sandal Slip On</v>
      </c>
      <c r="G809" t="str">
        <f>VLOOKUP(E809,Katalog!$A$15:$B$25,2,0)</f>
        <v>Sepatu Pria</v>
      </c>
      <c r="H809" t="str">
        <f t="shared" si="436"/>
        <v>4</v>
      </c>
      <c r="I809" t="str">
        <f t="shared" si="437"/>
        <v>1</v>
      </c>
      <c r="J809" s="18">
        <f>VLOOKUP(E809,Katalog!$C$3:$F$13,2,0)</f>
        <v>120000</v>
      </c>
      <c r="K809" s="18">
        <f>VLOOKUP(E809,Katalog!$C$3:$F$13,3,0)</f>
        <v>60000</v>
      </c>
      <c r="L809" t="str">
        <f t="shared" si="438"/>
        <v>PW001</v>
      </c>
      <c r="M809" t="str">
        <f>IFERROR(INDEX(Katalog!$B$4:$B$13,MATCH('Main Data'!L809,Katalog!$C$4:$C$13,0)), "-")</f>
        <v>Dress</v>
      </c>
      <c r="N809" t="str">
        <f>IFERROR(VLOOKUP(L809,Katalog!$A$15:$B$25,2,0),"-")</f>
        <v>Pakaian Wanita</v>
      </c>
      <c r="O809" t="str">
        <f t="shared" si="439"/>
        <v>1</v>
      </c>
      <c r="P809" t="str">
        <f t="shared" si="440"/>
        <v>5</v>
      </c>
      <c r="Q809" s="18">
        <f>IFERROR(VLOOKUP(L809,Katalog!$C$3:$F$13,2,0),0)</f>
        <v>150000</v>
      </c>
      <c r="R809" s="18">
        <f>IFERROR(VLOOKUP(L809,Katalog!$C$3:$F$13,3,0),0)</f>
        <v>55000</v>
      </c>
      <c r="S809" t="str">
        <f t="shared" si="441"/>
        <v>-</v>
      </c>
      <c r="T809" t="str">
        <f>IFERROR(INDEX(Katalog!$B$4:$B$13,MATCH('Main Data'!S809,Katalog!$C$4:$C$13,0)),"-")</f>
        <v>-</v>
      </c>
      <c r="U809" t="str">
        <f>IFERROR(VLOOKUP(S809,Katalog!$A$15:$B$25,2,0),"-")</f>
        <v>-</v>
      </c>
      <c r="V809">
        <f t="shared" si="442"/>
        <v>0</v>
      </c>
      <c r="W809" s="28" t="str">
        <f t="shared" si="443"/>
        <v>-</v>
      </c>
      <c r="X809" s="18">
        <f>IFERROR(VLOOKUP(S809,Katalog!$C$3:$F$13,2,0),0)</f>
        <v>0</v>
      </c>
      <c r="Y809" s="30">
        <f>IFERROR(VLOOKUP(S809,Katalog!$C$3:$F$13,3,0),0)</f>
        <v>0</v>
      </c>
      <c r="Z809" s="2">
        <f t="shared" si="444"/>
        <v>5</v>
      </c>
      <c r="AA809" s="4">
        <f t="shared" si="445"/>
        <v>630000</v>
      </c>
      <c r="AB809" s="4">
        <f t="shared" si="446"/>
        <v>295000</v>
      </c>
      <c r="AC809" s="4" t="s">
        <v>7</v>
      </c>
      <c r="AD809" s="16">
        <f>IFERROR(VLOOKUP(AC809,'Kode Diskon'!$C$2:$D$9,2,0),0)</f>
        <v>0.2</v>
      </c>
      <c r="AE809" s="31">
        <f t="shared" si="447"/>
        <v>126000</v>
      </c>
      <c r="AF809" s="31">
        <f t="shared" si="448"/>
        <v>504000</v>
      </c>
      <c r="AG809" s="31">
        <f t="shared" si="449"/>
        <v>335000</v>
      </c>
      <c r="AH809" s="31">
        <f t="shared" si="450"/>
        <v>209000</v>
      </c>
      <c r="AI809" s="4" t="s">
        <v>8</v>
      </c>
      <c r="AJ809" s="4" t="s">
        <v>6</v>
      </c>
      <c r="AK809" s="4" t="str">
        <f>IFERROR(VLOOKUP(AJ809,'Guide '!$A$13:$B$16,2,0),"-")</f>
        <v>SP</v>
      </c>
      <c r="AL809" s="4" t="s">
        <v>1006</v>
      </c>
      <c r="AM809" s="40">
        <v>45582</v>
      </c>
      <c r="AN809">
        <f t="shared" si="451"/>
        <v>29</v>
      </c>
      <c r="AO809">
        <f t="shared" si="452"/>
        <v>32</v>
      </c>
      <c r="AP809">
        <f t="shared" si="453"/>
        <v>40</v>
      </c>
      <c r="AQ809">
        <f t="shared" si="454"/>
        <v>43</v>
      </c>
      <c r="AR809" s="26">
        <f t="shared" si="455"/>
        <v>56</v>
      </c>
      <c r="AS809" s="26">
        <f t="shared" si="456"/>
        <v>63</v>
      </c>
      <c r="AT809" s="21">
        <f t="shared" si="457"/>
        <v>12</v>
      </c>
      <c r="AU809" s="21">
        <f t="shared" si="458"/>
        <v>19</v>
      </c>
      <c r="AV809">
        <f t="shared" si="459"/>
        <v>73</v>
      </c>
      <c r="AW809">
        <f t="shared" si="460"/>
        <v>76</v>
      </c>
      <c r="AX809">
        <f t="shared" si="461"/>
        <v>84</v>
      </c>
      <c r="AY809">
        <f t="shared" si="462"/>
        <v>87</v>
      </c>
      <c r="AZ809" t="str">
        <f t="shared" si="463"/>
        <v>-</v>
      </c>
      <c r="BA809" t="str">
        <f t="shared" si="464"/>
        <v>-</v>
      </c>
      <c r="BB809" t="str">
        <f t="shared" si="465"/>
        <v>-</v>
      </c>
      <c r="BC809" t="str">
        <f t="shared" si="466"/>
        <v>-</v>
      </c>
      <c r="BD809" s="29" t="str">
        <f t="shared" si="467"/>
        <v>-</v>
      </c>
      <c r="BE809" s="29" t="str">
        <f t="shared" si="468"/>
        <v>-</v>
      </c>
    </row>
    <row r="810" spans="1:57" ht="15" x14ac:dyDescent="0.2">
      <c r="A810" s="2">
        <v>160</v>
      </c>
      <c r="B810" s="2" t="str">
        <f t="shared" si="433"/>
        <v>0160</v>
      </c>
      <c r="C810" t="str">
        <f t="shared" si="434"/>
        <v>ORD-SP-0160-18/10/24</v>
      </c>
      <c r="D810" s="3" t="s">
        <v>229</v>
      </c>
      <c r="E810" t="str">
        <f t="shared" si="435"/>
        <v>PW001</v>
      </c>
      <c r="F810" t="str">
        <f>INDEX(Katalog!$B$4:$B$13,MATCH('Main Data'!E810,Katalog!$C$4:$C$13,0))</f>
        <v>Dress</v>
      </c>
      <c r="G810" t="str">
        <f>VLOOKUP(E810,Katalog!$A$15:$B$25,2,0)</f>
        <v>Pakaian Wanita</v>
      </c>
      <c r="H810" t="str">
        <f t="shared" si="436"/>
        <v>1</v>
      </c>
      <c r="I810" t="str">
        <f t="shared" si="437"/>
        <v>4</v>
      </c>
      <c r="J810" s="18">
        <f>VLOOKUP(E810,Katalog!$C$3:$F$13,2,0)</f>
        <v>150000</v>
      </c>
      <c r="K810" s="18">
        <f>VLOOKUP(E810,Katalog!$C$3:$F$13,3,0)</f>
        <v>55000</v>
      </c>
      <c r="L810" t="str">
        <f t="shared" si="438"/>
        <v>PP001</v>
      </c>
      <c r="M810" t="str">
        <f>IFERROR(INDEX(Katalog!$B$4:$B$13,MATCH('Main Data'!L810,Katalog!$C$4:$C$13,0)), "-")</f>
        <v>Kaos Polo</v>
      </c>
      <c r="N810" t="str">
        <f>IFERROR(VLOOKUP(L810,Katalog!$A$15:$B$25,2,0),"-")</f>
        <v>Pakaian Pria</v>
      </c>
      <c r="O810" t="str">
        <f t="shared" si="439"/>
        <v>2</v>
      </c>
      <c r="P810" t="str">
        <f t="shared" si="440"/>
        <v>3</v>
      </c>
      <c r="Q810" s="18">
        <f>IFERROR(VLOOKUP(L810,Katalog!$C$3:$F$13,2,0),0)</f>
        <v>80000</v>
      </c>
      <c r="R810" s="18">
        <f>IFERROR(VLOOKUP(L810,Katalog!$C$3:$F$13,3,0),0)</f>
        <v>30000</v>
      </c>
      <c r="S810" t="str">
        <f t="shared" si="441"/>
        <v>SP002</v>
      </c>
      <c r="T810" t="str">
        <f>IFERROR(INDEX(Katalog!$B$4:$B$13,MATCH('Main Data'!S810,Katalog!$C$4:$C$13,0)),"-")</f>
        <v>Sandal Slip On</v>
      </c>
      <c r="U810" t="str">
        <f>IFERROR(VLOOKUP(S810,Katalog!$A$15:$B$25,2,0),"-")</f>
        <v>Sepatu Pria</v>
      </c>
      <c r="V810" t="str">
        <f t="shared" si="442"/>
        <v>2</v>
      </c>
      <c r="W810" s="28" t="str">
        <f t="shared" si="443"/>
        <v>1</v>
      </c>
      <c r="X810" s="18">
        <f>IFERROR(VLOOKUP(S810,Katalog!$C$3:$F$13,2,0),0)</f>
        <v>120000</v>
      </c>
      <c r="Y810" s="30">
        <f>IFERROR(VLOOKUP(S810,Katalog!$C$3:$F$13,3,0),0)</f>
        <v>60000</v>
      </c>
      <c r="Z810" s="2">
        <f t="shared" si="444"/>
        <v>5</v>
      </c>
      <c r="AA810" s="4">
        <f t="shared" si="445"/>
        <v>550000</v>
      </c>
      <c r="AB810" s="4">
        <f t="shared" si="446"/>
        <v>235000</v>
      </c>
      <c r="AC810" s="4" t="s">
        <v>10</v>
      </c>
      <c r="AD810" s="16">
        <f>IFERROR(VLOOKUP(AC810,'Kode Diskon'!$C$2:$D$9,2,0),0)</f>
        <v>0</v>
      </c>
      <c r="AE810" s="31">
        <f t="shared" si="447"/>
        <v>0</v>
      </c>
      <c r="AF810" s="31">
        <f t="shared" si="448"/>
        <v>550000</v>
      </c>
      <c r="AG810" s="31">
        <f t="shared" si="449"/>
        <v>315000</v>
      </c>
      <c r="AH810" s="31">
        <f t="shared" si="450"/>
        <v>315000</v>
      </c>
      <c r="AI810" s="4" t="s">
        <v>10</v>
      </c>
      <c r="AJ810" s="4" t="s">
        <v>6</v>
      </c>
      <c r="AK810" s="4" t="str">
        <f>IFERROR(VLOOKUP(AJ810,'Guide '!$A$13:$B$16,2,0),"-")</f>
        <v>SP</v>
      </c>
      <c r="AL810" s="4" t="s">
        <v>925</v>
      </c>
      <c r="AM810" s="40">
        <v>45583</v>
      </c>
      <c r="AN810">
        <f t="shared" si="451"/>
        <v>29</v>
      </c>
      <c r="AO810">
        <f t="shared" si="452"/>
        <v>32</v>
      </c>
      <c r="AP810">
        <f t="shared" si="453"/>
        <v>40</v>
      </c>
      <c r="AQ810">
        <f t="shared" si="454"/>
        <v>43</v>
      </c>
      <c r="AR810" s="26">
        <f t="shared" si="455"/>
        <v>56</v>
      </c>
      <c r="AS810" s="26">
        <f t="shared" si="456"/>
        <v>63</v>
      </c>
      <c r="AT810" s="21">
        <f t="shared" si="457"/>
        <v>12</v>
      </c>
      <c r="AU810" s="21">
        <f t="shared" si="458"/>
        <v>19</v>
      </c>
      <c r="AV810">
        <f t="shared" si="459"/>
        <v>73</v>
      </c>
      <c r="AW810">
        <f t="shared" si="460"/>
        <v>76</v>
      </c>
      <c r="AX810">
        <f t="shared" si="461"/>
        <v>84</v>
      </c>
      <c r="AY810">
        <f t="shared" si="462"/>
        <v>87</v>
      </c>
      <c r="AZ810">
        <f t="shared" si="463"/>
        <v>100</v>
      </c>
      <c r="BA810">
        <f t="shared" si="464"/>
        <v>107</v>
      </c>
      <c r="BB810">
        <f t="shared" si="465"/>
        <v>117</v>
      </c>
      <c r="BC810">
        <f t="shared" si="466"/>
        <v>120</v>
      </c>
      <c r="BD810" s="29">
        <f t="shared" si="467"/>
        <v>128</v>
      </c>
      <c r="BE810" s="29">
        <f t="shared" si="468"/>
        <v>131</v>
      </c>
    </row>
    <row r="811" spans="1:57" ht="15" x14ac:dyDescent="0.2">
      <c r="A811" s="2">
        <v>165</v>
      </c>
      <c r="B811" s="2" t="str">
        <f t="shared" si="433"/>
        <v>0165</v>
      </c>
      <c r="C811" t="str">
        <f t="shared" si="434"/>
        <v>ORD-SP-0165-18/10/24</v>
      </c>
      <c r="D811" s="3" t="s">
        <v>234</v>
      </c>
      <c r="E811" t="str">
        <f t="shared" si="435"/>
        <v>SW001</v>
      </c>
      <c r="F811" t="str">
        <f>INDEX(Katalog!$B$4:$B$13,MATCH('Main Data'!E811,Katalog!$C$4:$C$13,0))</f>
        <v>Flat Shoes</v>
      </c>
      <c r="G811" t="str">
        <f>VLOOKUP(E811,Katalog!$A$15:$B$25,2,0)</f>
        <v>Sepatu Wanita</v>
      </c>
      <c r="H811" t="str">
        <f t="shared" si="436"/>
        <v>2</v>
      </c>
      <c r="I811" t="str">
        <f t="shared" si="437"/>
        <v>4</v>
      </c>
      <c r="J811" s="18">
        <f>VLOOKUP(E811,Katalog!$C$3:$F$13,2,0)</f>
        <v>150000</v>
      </c>
      <c r="K811" s="18">
        <f>VLOOKUP(E811,Katalog!$C$3:$F$13,3,0)</f>
        <v>70000</v>
      </c>
      <c r="L811" t="str">
        <f t="shared" si="438"/>
        <v>-</v>
      </c>
      <c r="M811" t="str">
        <f>IFERROR(INDEX(Katalog!$B$4:$B$13,MATCH('Main Data'!L811,Katalog!$C$4:$C$13,0)), "-")</f>
        <v>-</v>
      </c>
      <c r="N811" t="str">
        <f>IFERROR(VLOOKUP(L811,Katalog!$A$15:$B$25,2,0),"-")</f>
        <v>-</v>
      </c>
      <c r="O811">
        <f t="shared" si="439"/>
        <v>0</v>
      </c>
      <c r="P811" t="str">
        <f t="shared" si="440"/>
        <v>-</v>
      </c>
      <c r="Q811" s="18">
        <f>IFERROR(VLOOKUP(L811,Katalog!$C$3:$F$13,2,0),0)</f>
        <v>0</v>
      </c>
      <c r="R811" s="18">
        <f>IFERROR(VLOOKUP(L811,Katalog!$C$3:$F$13,3,0),0)</f>
        <v>0</v>
      </c>
      <c r="S811" t="str">
        <f t="shared" si="441"/>
        <v>-</v>
      </c>
      <c r="T811" t="str">
        <f>IFERROR(INDEX(Katalog!$B$4:$B$13,MATCH('Main Data'!S811,Katalog!$C$4:$C$13,0)),"-")</f>
        <v>-</v>
      </c>
      <c r="U811" t="str">
        <f>IFERROR(VLOOKUP(S811,Katalog!$A$15:$B$25,2,0),"-")</f>
        <v>-</v>
      </c>
      <c r="V811">
        <f t="shared" si="442"/>
        <v>0</v>
      </c>
      <c r="W811" s="28" t="str">
        <f t="shared" si="443"/>
        <v>-</v>
      </c>
      <c r="X811" s="18">
        <f>IFERROR(VLOOKUP(S811,Katalog!$C$3:$F$13,2,0),0)</f>
        <v>0</v>
      </c>
      <c r="Y811" s="30">
        <f>IFERROR(VLOOKUP(S811,Katalog!$C$3:$F$13,3,0),0)</f>
        <v>0</v>
      </c>
      <c r="Z811" s="2">
        <f t="shared" si="444"/>
        <v>2</v>
      </c>
      <c r="AA811" s="4">
        <f t="shared" si="445"/>
        <v>300000</v>
      </c>
      <c r="AB811" s="4">
        <f t="shared" si="446"/>
        <v>140000</v>
      </c>
      <c r="AC811" s="4" t="s">
        <v>5</v>
      </c>
      <c r="AD811" s="16">
        <f>IFERROR(VLOOKUP(AC811,'Kode Diskon'!$C$2:$D$9,2,0),0)</f>
        <v>0.1</v>
      </c>
      <c r="AE811" s="31">
        <f t="shared" si="447"/>
        <v>30000</v>
      </c>
      <c r="AF811" s="31">
        <f t="shared" si="448"/>
        <v>270000</v>
      </c>
      <c r="AG811" s="31">
        <f t="shared" si="449"/>
        <v>160000</v>
      </c>
      <c r="AH811" s="31">
        <f t="shared" si="450"/>
        <v>130000</v>
      </c>
      <c r="AI811" s="4" t="s">
        <v>28</v>
      </c>
      <c r="AJ811" s="4" t="s">
        <v>6</v>
      </c>
      <c r="AK811" s="4" t="str">
        <f>IFERROR(VLOOKUP(AJ811,'Guide '!$A$13:$B$16,2,0),"-")</f>
        <v>SP</v>
      </c>
      <c r="AL811" s="4" t="s">
        <v>925</v>
      </c>
      <c r="AM811" s="40">
        <v>45583</v>
      </c>
      <c r="AN811">
        <f t="shared" si="451"/>
        <v>29</v>
      </c>
      <c r="AO811">
        <f t="shared" si="452"/>
        <v>32</v>
      </c>
      <c r="AP811">
        <f t="shared" si="453"/>
        <v>40</v>
      </c>
      <c r="AQ811">
        <f t="shared" si="454"/>
        <v>43</v>
      </c>
      <c r="AR811" s="26" t="str">
        <f t="shared" si="455"/>
        <v>-</v>
      </c>
      <c r="AS811" s="26" t="str">
        <f t="shared" si="456"/>
        <v>-</v>
      </c>
      <c r="AT811" s="21">
        <f t="shared" si="457"/>
        <v>12</v>
      </c>
      <c r="AU811" s="21">
        <f t="shared" si="458"/>
        <v>19</v>
      </c>
      <c r="AV811" t="str">
        <f t="shared" si="459"/>
        <v>-</v>
      </c>
      <c r="AW811" t="str">
        <f t="shared" si="460"/>
        <v>-</v>
      </c>
      <c r="AX811" t="str">
        <f t="shared" si="461"/>
        <v>-</v>
      </c>
      <c r="AY811" t="str">
        <f t="shared" si="462"/>
        <v>-</v>
      </c>
      <c r="AZ811" t="str">
        <f t="shared" si="463"/>
        <v>-</v>
      </c>
      <c r="BA811" t="str">
        <f t="shared" si="464"/>
        <v>-</v>
      </c>
      <c r="BB811" t="str">
        <f t="shared" si="465"/>
        <v>-</v>
      </c>
      <c r="BC811" t="str">
        <f t="shared" si="466"/>
        <v>-</v>
      </c>
      <c r="BD811" s="29" t="str">
        <f t="shared" si="467"/>
        <v>-</v>
      </c>
      <c r="BE811" s="29" t="str">
        <f t="shared" si="468"/>
        <v>-</v>
      </c>
    </row>
    <row r="812" spans="1:57" ht="15" x14ac:dyDescent="0.2">
      <c r="A812" s="2">
        <v>439</v>
      </c>
      <c r="B812" s="2" t="str">
        <f t="shared" si="433"/>
        <v>0439</v>
      </c>
      <c r="C812" t="str">
        <f t="shared" si="434"/>
        <v>ORD-SP-0439-18/10/24</v>
      </c>
      <c r="D812" s="3" t="s">
        <v>479</v>
      </c>
      <c r="E812" t="str">
        <f t="shared" si="435"/>
        <v>PP002</v>
      </c>
      <c r="F812" t="str">
        <f>INDEX(Katalog!$B$4:$B$13,MATCH('Main Data'!E812,Katalog!$C$4:$C$13,0))</f>
        <v>Celana Pendek</v>
      </c>
      <c r="G812" t="str">
        <f>VLOOKUP(E812,Katalog!$A$15:$B$25,2,0)</f>
        <v>Pakaian Pria</v>
      </c>
      <c r="H812" t="str">
        <f t="shared" si="436"/>
        <v>2</v>
      </c>
      <c r="I812" t="str">
        <f t="shared" si="437"/>
        <v>4</v>
      </c>
      <c r="J812" s="18">
        <f>VLOOKUP(E812,Katalog!$C$3:$F$13,2,0)</f>
        <v>60000</v>
      </c>
      <c r="K812" s="18">
        <f>VLOOKUP(E812,Katalog!$C$3:$F$13,3,0)</f>
        <v>25000</v>
      </c>
      <c r="L812" t="str">
        <f t="shared" si="438"/>
        <v>PU001</v>
      </c>
      <c r="M812" t="str">
        <f>IFERROR(INDEX(Katalog!$B$4:$B$13,MATCH('Main Data'!L812,Katalog!$C$4:$C$13,0)), "-")</f>
        <v>Jaket Hoodie</v>
      </c>
      <c r="N812" t="str">
        <f>IFERROR(VLOOKUP(L812,Katalog!$A$15:$B$25,2,0),"-")</f>
        <v>Pakaian Unisex</v>
      </c>
      <c r="O812" t="str">
        <f t="shared" si="439"/>
        <v>1</v>
      </c>
      <c r="P812" t="str">
        <f t="shared" si="440"/>
        <v>4</v>
      </c>
      <c r="Q812" s="18">
        <f>IFERROR(VLOOKUP(L812,Katalog!$C$3:$F$13,2,0),0)</f>
        <v>160000</v>
      </c>
      <c r="R812" s="18">
        <f>IFERROR(VLOOKUP(L812,Katalog!$C$3:$F$13,3,0),0)</f>
        <v>60000</v>
      </c>
      <c r="S812" t="str">
        <f t="shared" si="441"/>
        <v>-</v>
      </c>
      <c r="T812" t="str">
        <f>IFERROR(INDEX(Katalog!$B$4:$B$13,MATCH('Main Data'!S812,Katalog!$C$4:$C$13,0)),"-")</f>
        <v>-</v>
      </c>
      <c r="U812" t="str">
        <f>IFERROR(VLOOKUP(S812,Katalog!$A$15:$B$25,2,0),"-")</f>
        <v>-</v>
      </c>
      <c r="V812">
        <f t="shared" si="442"/>
        <v>0</v>
      </c>
      <c r="W812" s="28" t="str">
        <f t="shared" si="443"/>
        <v>-</v>
      </c>
      <c r="X812" s="18">
        <f>IFERROR(VLOOKUP(S812,Katalog!$C$3:$F$13,2,0),0)</f>
        <v>0</v>
      </c>
      <c r="Y812" s="30">
        <f>IFERROR(VLOOKUP(S812,Katalog!$C$3:$F$13,3,0),0)</f>
        <v>0</v>
      </c>
      <c r="Z812" s="2">
        <f t="shared" si="444"/>
        <v>3</v>
      </c>
      <c r="AA812" s="4">
        <f t="shared" si="445"/>
        <v>280000</v>
      </c>
      <c r="AB812" s="4">
        <f t="shared" si="446"/>
        <v>110000</v>
      </c>
      <c r="AC812" s="4" t="s">
        <v>5</v>
      </c>
      <c r="AD812" s="16">
        <f>IFERROR(VLOOKUP(AC812,'Kode Diskon'!$C$2:$D$9,2,0),0)</f>
        <v>0.1</v>
      </c>
      <c r="AE812" s="31">
        <f t="shared" si="447"/>
        <v>28000</v>
      </c>
      <c r="AF812" s="31">
        <f t="shared" si="448"/>
        <v>252000</v>
      </c>
      <c r="AG812" s="31">
        <f t="shared" si="449"/>
        <v>170000</v>
      </c>
      <c r="AH812" s="31">
        <f t="shared" si="450"/>
        <v>142000</v>
      </c>
      <c r="AI812" s="4" t="s">
        <v>28</v>
      </c>
      <c r="AJ812" s="4" t="s">
        <v>6</v>
      </c>
      <c r="AK812" s="4" t="str">
        <f>IFERROR(VLOOKUP(AJ812,'Guide '!$A$13:$B$16,2,0),"-")</f>
        <v>SP</v>
      </c>
      <c r="AL812" s="4" t="s">
        <v>924</v>
      </c>
      <c r="AM812" s="40">
        <v>45583</v>
      </c>
      <c r="AN812">
        <f t="shared" si="451"/>
        <v>29</v>
      </c>
      <c r="AO812">
        <f t="shared" si="452"/>
        <v>32</v>
      </c>
      <c r="AP812">
        <f t="shared" si="453"/>
        <v>40</v>
      </c>
      <c r="AQ812">
        <f t="shared" si="454"/>
        <v>43</v>
      </c>
      <c r="AR812" s="26">
        <f t="shared" si="455"/>
        <v>56</v>
      </c>
      <c r="AS812" s="26">
        <f t="shared" si="456"/>
        <v>63</v>
      </c>
      <c r="AT812" s="21">
        <f t="shared" si="457"/>
        <v>12</v>
      </c>
      <c r="AU812" s="21">
        <f t="shared" si="458"/>
        <v>19</v>
      </c>
      <c r="AV812">
        <f t="shared" si="459"/>
        <v>73</v>
      </c>
      <c r="AW812">
        <f t="shared" si="460"/>
        <v>76</v>
      </c>
      <c r="AX812">
        <f t="shared" si="461"/>
        <v>84</v>
      </c>
      <c r="AY812">
        <f t="shared" si="462"/>
        <v>87</v>
      </c>
      <c r="AZ812" t="str">
        <f t="shared" si="463"/>
        <v>-</v>
      </c>
      <c r="BA812" t="str">
        <f t="shared" si="464"/>
        <v>-</v>
      </c>
      <c r="BB812" t="str">
        <f t="shared" si="465"/>
        <v>-</v>
      </c>
      <c r="BC812" t="str">
        <f t="shared" si="466"/>
        <v>-</v>
      </c>
      <c r="BD812" s="29" t="str">
        <f t="shared" si="467"/>
        <v>-</v>
      </c>
      <c r="BE812" s="29" t="str">
        <f t="shared" si="468"/>
        <v>-</v>
      </c>
    </row>
    <row r="813" spans="1:57" ht="15" x14ac:dyDescent="0.2">
      <c r="A813" s="2">
        <v>744</v>
      </c>
      <c r="B813" s="2" t="str">
        <f t="shared" si="433"/>
        <v>0744</v>
      </c>
      <c r="C813" t="str">
        <f t="shared" si="434"/>
        <v>ORD-BB-0744-19/10/24</v>
      </c>
      <c r="D813" s="3" t="s">
        <v>728</v>
      </c>
      <c r="E813" t="str">
        <f t="shared" si="435"/>
        <v>PP003</v>
      </c>
      <c r="F813" t="str">
        <f>INDEX(Katalog!$B$4:$B$13,MATCH('Main Data'!E813,Katalog!$C$4:$C$13,0))</f>
        <v>Jaket Jeans</v>
      </c>
      <c r="G813" t="str">
        <f>VLOOKUP(E813,Katalog!$A$15:$B$25,2,0)</f>
        <v>Pakaian Pria</v>
      </c>
      <c r="H813" t="str">
        <f t="shared" si="436"/>
        <v>1</v>
      </c>
      <c r="I813" t="str">
        <f t="shared" si="437"/>
        <v>1</v>
      </c>
      <c r="J813" s="18">
        <f>VLOOKUP(E813,Katalog!$C$3:$F$13,2,0)</f>
        <v>150000</v>
      </c>
      <c r="K813" s="18">
        <f>VLOOKUP(E813,Katalog!$C$3:$F$13,3,0)</f>
        <v>70000</v>
      </c>
      <c r="L813" t="str">
        <f t="shared" si="438"/>
        <v>PP001</v>
      </c>
      <c r="M813" t="str">
        <f>IFERROR(INDEX(Katalog!$B$4:$B$13,MATCH('Main Data'!L813,Katalog!$C$4:$C$13,0)), "-")</f>
        <v>Kaos Polo</v>
      </c>
      <c r="N813" t="str">
        <f>IFERROR(VLOOKUP(L813,Katalog!$A$15:$B$25,2,0),"-")</f>
        <v>Pakaian Pria</v>
      </c>
      <c r="O813" t="str">
        <f t="shared" si="439"/>
        <v>1</v>
      </c>
      <c r="P813" t="str">
        <f t="shared" si="440"/>
        <v>4</v>
      </c>
      <c r="Q813" s="18">
        <f>IFERROR(VLOOKUP(L813,Katalog!$C$3:$F$13,2,0),0)</f>
        <v>80000</v>
      </c>
      <c r="R813" s="18">
        <f>IFERROR(VLOOKUP(L813,Katalog!$C$3:$F$13,3,0),0)</f>
        <v>30000</v>
      </c>
      <c r="S813" t="str">
        <f t="shared" si="441"/>
        <v>PW003</v>
      </c>
      <c r="T813" t="str">
        <f>IFERROR(INDEX(Katalog!$B$4:$B$13,MATCH('Main Data'!S813,Katalog!$C$4:$C$13,0)),"-")</f>
        <v>Kaftan</v>
      </c>
      <c r="U813" t="str">
        <f>IFERROR(VLOOKUP(S813,Katalog!$A$15:$B$25,2,0),"-")</f>
        <v>Pakaian Wanita</v>
      </c>
      <c r="V813" t="str">
        <f t="shared" si="442"/>
        <v>3</v>
      </c>
      <c r="W813" s="28" t="str">
        <f t="shared" si="443"/>
        <v>3</v>
      </c>
      <c r="X813" s="18">
        <f>IFERROR(VLOOKUP(S813,Katalog!$C$3:$F$13,2,0),0)</f>
        <v>200000</v>
      </c>
      <c r="Y813" s="30">
        <f>IFERROR(VLOOKUP(S813,Katalog!$C$3:$F$13,3,0),0)</f>
        <v>100000</v>
      </c>
      <c r="Z813" s="2">
        <f t="shared" si="444"/>
        <v>5</v>
      </c>
      <c r="AA813" s="4">
        <f t="shared" si="445"/>
        <v>830000</v>
      </c>
      <c r="AB813" s="4">
        <f t="shared" si="446"/>
        <v>400000</v>
      </c>
      <c r="AC813" s="4" t="s">
        <v>27</v>
      </c>
      <c r="AD813" s="16">
        <f>IFERROR(VLOOKUP(AC813,'Kode Diskon'!$C$2:$D$9,2,0),0)</f>
        <v>0.15</v>
      </c>
      <c r="AE813" s="31">
        <f t="shared" si="447"/>
        <v>124500</v>
      </c>
      <c r="AF813" s="31">
        <f t="shared" si="448"/>
        <v>705500</v>
      </c>
      <c r="AG813" s="31">
        <f t="shared" si="449"/>
        <v>430000</v>
      </c>
      <c r="AH813" s="31">
        <f t="shared" si="450"/>
        <v>305500</v>
      </c>
      <c r="AI813" s="4" t="s">
        <v>28</v>
      </c>
      <c r="AJ813" s="4" t="s">
        <v>13</v>
      </c>
      <c r="AK813" s="4" t="str">
        <f>IFERROR(VLOOKUP(AJ813,'Guide '!$A$13:$B$16,2,0),"-")</f>
        <v>BB</v>
      </c>
      <c r="AL813" s="4" t="s">
        <v>923</v>
      </c>
      <c r="AM813" s="40">
        <v>45584</v>
      </c>
      <c r="AN813">
        <f t="shared" si="451"/>
        <v>29</v>
      </c>
      <c r="AO813">
        <f t="shared" si="452"/>
        <v>32</v>
      </c>
      <c r="AP813">
        <f t="shared" si="453"/>
        <v>40</v>
      </c>
      <c r="AQ813">
        <f t="shared" si="454"/>
        <v>43</v>
      </c>
      <c r="AR813" s="26">
        <f t="shared" si="455"/>
        <v>56</v>
      </c>
      <c r="AS813" s="26">
        <f t="shared" si="456"/>
        <v>63</v>
      </c>
      <c r="AT813" s="21">
        <f t="shared" si="457"/>
        <v>12</v>
      </c>
      <c r="AU813" s="21">
        <f t="shared" si="458"/>
        <v>19</v>
      </c>
      <c r="AV813">
        <f t="shared" si="459"/>
        <v>73</v>
      </c>
      <c r="AW813">
        <f t="shared" si="460"/>
        <v>76</v>
      </c>
      <c r="AX813">
        <f t="shared" si="461"/>
        <v>84</v>
      </c>
      <c r="AY813">
        <f t="shared" si="462"/>
        <v>87</v>
      </c>
      <c r="AZ813">
        <f t="shared" si="463"/>
        <v>100</v>
      </c>
      <c r="BA813">
        <f t="shared" si="464"/>
        <v>107</v>
      </c>
      <c r="BB813">
        <f t="shared" si="465"/>
        <v>117</v>
      </c>
      <c r="BC813">
        <f t="shared" si="466"/>
        <v>120</v>
      </c>
      <c r="BD813" s="29">
        <f t="shared" si="467"/>
        <v>128</v>
      </c>
      <c r="BE813" s="29">
        <f t="shared" si="468"/>
        <v>131</v>
      </c>
    </row>
    <row r="814" spans="1:57" ht="15" x14ac:dyDescent="0.2">
      <c r="A814" s="2">
        <v>39</v>
      </c>
      <c r="B814" s="2" t="str">
        <f t="shared" si="433"/>
        <v>0039</v>
      </c>
      <c r="C814" t="str">
        <f t="shared" si="434"/>
        <v>ORD-TK-0039-20/10/24</v>
      </c>
      <c r="D814" s="3" t="s">
        <v>113</v>
      </c>
      <c r="E814" t="str">
        <f t="shared" si="435"/>
        <v>SP002</v>
      </c>
      <c r="F814" t="str">
        <f>INDEX(Katalog!$B$4:$B$13,MATCH('Main Data'!E814,Katalog!$C$4:$C$13,0))</f>
        <v>Sandal Slip On</v>
      </c>
      <c r="G814" t="str">
        <f>VLOOKUP(E814,Katalog!$A$15:$B$25,2,0)</f>
        <v>Sepatu Pria</v>
      </c>
      <c r="H814" t="str">
        <f t="shared" si="436"/>
        <v>6</v>
      </c>
      <c r="I814" t="str">
        <f t="shared" si="437"/>
        <v>4</v>
      </c>
      <c r="J814" s="18">
        <f>VLOOKUP(E814,Katalog!$C$3:$F$13,2,0)</f>
        <v>120000</v>
      </c>
      <c r="K814" s="18">
        <f>VLOOKUP(E814,Katalog!$C$3:$F$13,3,0)</f>
        <v>60000</v>
      </c>
      <c r="L814" t="str">
        <f t="shared" si="438"/>
        <v>-</v>
      </c>
      <c r="M814" t="str">
        <f>IFERROR(INDEX(Katalog!$B$4:$B$13,MATCH('Main Data'!L814,Katalog!$C$4:$C$13,0)), "-")</f>
        <v>-</v>
      </c>
      <c r="N814" t="str">
        <f>IFERROR(VLOOKUP(L814,Katalog!$A$15:$B$25,2,0),"-")</f>
        <v>-</v>
      </c>
      <c r="O814">
        <f t="shared" si="439"/>
        <v>0</v>
      </c>
      <c r="P814" t="str">
        <f t="shared" si="440"/>
        <v>-</v>
      </c>
      <c r="Q814" s="18">
        <f>IFERROR(VLOOKUP(L814,Katalog!$C$3:$F$13,2,0),0)</f>
        <v>0</v>
      </c>
      <c r="R814" s="18">
        <f>IFERROR(VLOOKUP(L814,Katalog!$C$3:$F$13,3,0),0)</f>
        <v>0</v>
      </c>
      <c r="S814" t="str">
        <f t="shared" si="441"/>
        <v>-</v>
      </c>
      <c r="T814" t="str">
        <f>IFERROR(INDEX(Katalog!$B$4:$B$13,MATCH('Main Data'!S814,Katalog!$C$4:$C$13,0)),"-")</f>
        <v>-</v>
      </c>
      <c r="U814" t="str">
        <f>IFERROR(VLOOKUP(S814,Katalog!$A$15:$B$25,2,0),"-")</f>
        <v>-</v>
      </c>
      <c r="V814">
        <f t="shared" si="442"/>
        <v>0</v>
      </c>
      <c r="W814" s="28" t="str">
        <f t="shared" si="443"/>
        <v>-</v>
      </c>
      <c r="X814" s="18">
        <f>IFERROR(VLOOKUP(S814,Katalog!$C$3:$F$13,2,0),0)</f>
        <v>0</v>
      </c>
      <c r="Y814" s="30">
        <f>IFERROR(VLOOKUP(S814,Katalog!$C$3:$F$13,3,0),0)</f>
        <v>0</v>
      </c>
      <c r="Z814" s="2">
        <f t="shared" si="444"/>
        <v>6</v>
      </c>
      <c r="AA814" s="4">
        <f t="shared" si="445"/>
        <v>720000</v>
      </c>
      <c r="AB814" s="4">
        <f t="shared" si="446"/>
        <v>360000</v>
      </c>
      <c r="AC814" s="4" t="s">
        <v>30</v>
      </c>
      <c r="AD814" s="16">
        <f>IFERROR(VLOOKUP(AC814,'Kode Diskon'!$C$2:$D$9,2,0),0)</f>
        <v>0.1</v>
      </c>
      <c r="AE814" s="31">
        <f t="shared" si="447"/>
        <v>72000</v>
      </c>
      <c r="AF814" s="31">
        <f t="shared" si="448"/>
        <v>648000</v>
      </c>
      <c r="AG814" s="31">
        <f t="shared" si="449"/>
        <v>360000</v>
      </c>
      <c r="AH814" s="31">
        <f t="shared" si="450"/>
        <v>288000</v>
      </c>
      <c r="AI814" s="4" t="s">
        <v>8</v>
      </c>
      <c r="AJ814" s="4" t="s">
        <v>9</v>
      </c>
      <c r="AK814" s="4" t="str">
        <f>IFERROR(VLOOKUP(AJ814,'Guide '!$A$13:$B$16,2,0),"-")</f>
        <v>TK</v>
      </c>
      <c r="AL814" s="4" t="s">
        <v>921</v>
      </c>
      <c r="AM814" s="40">
        <v>45585</v>
      </c>
      <c r="AN814">
        <f t="shared" si="451"/>
        <v>29</v>
      </c>
      <c r="AO814">
        <f t="shared" si="452"/>
        <v>32</v>
      </c>
      <c r="AP814">
        <f t="shared" si="453"/>
        <v>40</v>
      </c>
      <c r="AQ814">
        <f t="shared" si="454"/>
        <v>43</v>
      </c>
      <c r="AR814" s="26" t="str">
        <f t="shared" si="455"/>
        <v>-</v>
      </c>
      <c r="AS814" s="26" t="str">
        <f t="shared" si="456"/>
        <v>-</v>
      </c>
      <c r="AT814" s="21">
        <f t="shared" si="457"/>
        <v>12</v>
      </c>
      <c r="AU814" s="21">
        <f t="shared" si="458"/>
        <v>19</v>
      </c>
      <c r="AV814" t="str">
        <f t="shared" si="459"/>
        <v>-</v>
      </c>
      <c r="AW814" t="str">
        <f t="shared" si="460"/>
        <v>-</v>
      </c>
      <c r="AX814" t="str">
        <f t="shared" si="461"/>
        <v>-</v>
      </c>
      <c r="AY814" t="str">
        <f t="shared" si="462"/>
        <v>-</v>
      </c>
      <c r="AZ814" t="str">
        <f t="shared" si="463"/>
        <v>-</v>
      </c>
      <c r="BA814" t="str">
        <f t="shared" si="464"/>
        <v>-</v>
      </c>
      <c r="BB814" t="str">
        <f t="shared" si="465"/>
        <v>-</v>
      </c>
      <c r="BC814" t="str">
        <f t="shared" si="466"/>
        <v>-</v>
      </c>
      <c r="BD814" s="29" t="str">
        <f t="shared" si="467"/>
        <v>-</v>
      </c>
      <c r="BE814" s="29" t="str">
        <f t="shared" si="468"/>
        <v>-</v>
      </c>
    </row>
    <row r="815" spans="1:57" ht="15" x14ac:dyDescent="0.2">
      <c r="A815" s="2">
        <v>341</v>
      </c>
      <c r="B815" s="2" t="str">
        <f t="shared" si="433"/>
        <v>0341</v>
      </c>
      <c r="C815" t="str">
        <f t="shared" si="434"/>
        <v>ORD-SP-0341-20/10/24</v>
      </c>
      <c r="D815" s="3" t="s">
        <v>393</v>
      </c>
      <c r="E815" t="str">
        <f t="shared" si="435"/>
        <v>PW002</v>
      </c>
      <c r="F815" t="str">
        <f>INDEX(Katalog!$B$4:$B$13,MATCH('Main Data'!E815,Katalog!$C$4:$C$13,0))</f>
        <v>Blouse</v>
      </c>
      <c r="G815" t="str">
        <f>VLOOKUP(E815,Katalog!$A$15:$B$25,2,0)</f>
        <v>Pakaian Wanita</v>
      </c>
      <c r="H815" t="str">
        <f t="shared" si="436"/>
        <v>3</v>
      </c>
      <c r="I815" t="str">
        <f t="shared" si="437"/>
        <v>3</v>
      </c>
      <c r="J815" s="18">
        <f>VLOOKUP(E815,Katalog!$C$3:$F$13,2,0)</f>
        <v>125000</v>
      </c>
      <c r="K815" s="18">
        <f>VLOOKUP(E815,Katalog!$C$3:$F$13,3,0)</f>
        <v>50000</v>
      </c>
      <c r="L815" t="str">
        <f t="shared" si="438"/>
        <v>-</v>
      </c>
      <c r="M815" t="str">
        <f>IFERROR(INDEX(Katalog!$B$4:$B$13,MATCH('Main Data'!L815,Katalog!$C$4:$C$13,0)), "-")</f>
        <v>-</v>
      </c>
      <c r="N815" t="str">
        <f>IFERROR(VLOOKUP(L815,Katalog!$A$15:$B$25,2,0),"-")</f>
        <v>-</v>
      </c>
      <c r="O815">
        <f t="shared" si="439"/>
        <v>0</v>
      </c>
      <c r="P815" t="str">
        <f t="shared" si="440"/>
        <v>-</v>
      </c>
      <c r="Q815" s="18">
        <f>IFERROR(VLOOKUP(L815,Katalog!$C$3:$F$13,2,0),0)</f>
        <v>0</v>
      </c>
      <c r="R815" s="18">
        <f>IFERROR(VLOOKUP(L815,Katalog!$C$3:$F$13,3,0),0)</f>
        <v>0</v>
      </c>
      <c r="S815" t="str">
        <f t="shared" si="441"/>
        <v>-</v>
      </c>
      <c r="T815" t="str">
        <f>IFERROR(INDEX(Katalog!$B$4:$B$13,MATCH('Main Data'!S815,Katalog!$C$4:$C$13,0)),"-")</f>
        <v>-</v>
      </c>
      <c r="U815" t="str">
        <f>IFERROR(VLOOKUP(S815,Katalog!$A$15:$B$25,2,0),"-")</f>
        <v>-</v>
      </c>
      <c r="V815">
        <f t="shared" si="442"/>
        <v>0</v>
      </c>
      <c r="W815" s="28" t="str">
        <f t="shared" si="443"/>
        <v>-</v>
      </c>
      <c r="X815" s="18">
        <f>IFERROR(VLOOKUP(S815,Katalog!$C$3:$F$13,2,0),0)</f>
        <v>0</v>
      </c>
      <c r="Y815" s="30">
        <f>IFERROR(VLOOKUP(S815,Katalog!$C$3:$F$13,3,0),0)</f>
        <v>0</v>
      </c>
      <c r="Z815" s="2">
        <f t="shared" si="444"/>
        <v>3</v>
      </c>
      <c r="AA815" s="4">
        <f t="shared" si="445"/>
        <v>375000</v>
      </c>
      <c r="AB815" s="4">
        <f t="shared" si="446"/>
        <v>150000</v>
      </c>
      <c r="AC815" s="4" t="s">
        <v>7</v>
      </c>
      <c r="AD815" s="16">
        <f>IFERROR(VLOOKUP(AC815,'Kode Diskon'!$C$2:$D$9,2,0),0)</f>
        <v>0.2</v>
      </c>
      <c r="AE815" s="31">
        <f t="shared" si="447"/>
        <v>75000</v>
      </c>
      <c r="AF815" s="31">
        <f t="shared" si="448"/>
        <v>300000</v>
      </c>
      <c r="AG815" s="31">
        <f t="shared" si="449"/>
        <v>225000</v>
      </c>
      <c r="AH815" s="31">
        <f t="shared" si="450"/>
        <v>150000</v>
      </c>
      <c r="AI815" s="4" t="s">
        <v>8</v>
      </c>
      <c r="AJ815" s="4" t="s">
        <v>6</v>
      </c>
      <c r="AK815" s="4" t="str">
        <f>IFERROR(VLOOKUP(AJ815,'Guide '!$A$13:$B$16,2,0),"-")</f>
        <v>SP</v>
      </c>
      <c r="AL815" s="4" t="s">
        <v>924</v>
      </c>
      <c r="AM815" s="40">
        <v>45585</v>
      </c>
      <c r="AN815">
        <f t="shared" si="451"/>
        <v>29</v>
      </c>
      <c r="AO815">
        <f t="shared" si="452"/>
        <v>32</v>
      </c>
      <c r="AP815">
        <f t="shared" si="453"/>
        <v>40</v>
      </c>
      <c r="AQ815">
        <f t="shared" si="454"/>
        <v>43</v>
      </c>
      <c r="AR815" s="26" t="str">
        <f t="shared" si="455"/>
        <v>-</v>
      </c>
      <c r="AS815" s="26" t="str">
        <f t="shared" si="456"/>
        <v>-</v>
      </c>
      <c r="AT815" s="21">
        <f t="shared" si="457"/>
        <v>12</v>
      </c>
      <c r="AU815" s="21">
        <f t="shared" si="458"/>
        <v>19</v>
      </c>
      <c r="AV815" t="str">
        <f t="shared" si="459"/>
        <v>-</v>
      </c>
      <c r="AW815" t="str">
        <f t="shared" si="460"/>
        <v>-</v>
      </c>
      <c r="AX815" t="str">
        <f t="shared" si="461"/>
        <v>-</v>
      </c>
      <c r="AY815" t="str">
        <f t="shared" si="462"/>
        <v>-</v>
      </c>
      <c r="AZ815" t="str">
        <f t="shared" si="463"/>
        <v>-</v>
      </c>
      <c r="BA815" t="str">
        <f t="shared" si="464"/>
        <v>-</v>
      </c>
      <c r="BB815" t="str">
        <f t="shared" si="465"/>
        <v>-</v>
      </c>
      <c r="BC815" t="str">
        <f t="shared" si="466"/>
        <v>-</v>
      </c>
      <c r="BD815" s="29" t="str">
        <f t="shared" si="467"/>
        <v>-</v>
      </c>
      <c r="BE815" s="29" t="str">
        <f t="shared" si="468"/>
        <v>-</v>
      </c>
    </row>
    <row r="816" spans="1:57" ht="15" x14ac:dyDescent="0.2">
      <c r="A816" s="2">
        <v>130</v>
      </c>
      <c r="B816" s="2" t="str">
        <f t="shared" si="433"/>
        <v>0130</v>
      </c>
      <c r="C816" t="str">
        <f t="shared" si="434"/>
        <v>ORD-TK-0130-21/10/24</v>
      </c>
      <c r="D816" s="3" t="s">
        <v>200</v>
      </c>
      <c r="E816" t="str">
        <f t="shared" si="435"/>
        <v>SP002</v>
      </c>
      <c r="F816" t="str">
        <f>INDEX(Katalog!$B$4:$B$13,MATCH('Main Data'!E816,Katalog!$C$4:$C$13,0))</f>
        <v>Sandal Slip On</v>
      </c>
      <c r="G816" t="str">
        <f>VLOOKUP(E816,Katalog!$A$15:$B$25,2,0)</f>
        <v>Sepatu Pria</v>
      </c>
      <c r="H816" t="str">
        <f t="shared" si="436"/>
        <v>2</v>
      </c>
      <c r="I816" t="str">
        <f t="shared" si="437"/>
        <v>2</v>
      </c>
      <c r="J816" s="18">
        <f>VLOOKUP(E816,Katalog!$C$3:$F$13,2,0)</f>
        <v>120000</v>
      </c>
      <c r="K816" s="18">
        <f>VLOOKUP(E816,Katalog!$C$3:$F$13,3,0)</f>
        <v>60000</v>
      </c>
      <c r="L816" t="str">
        <f t="shared" si="438"/>
        <v>-</v>
      </c>
      <c r="M816" t="str">
        <f>IFERROR(INDEX(Katalog!$B$4:$B$13,MATCH('Main Data'!L816,Katalog!$C$4:$C$13,0)), "-")</f>
        <v>-</v>
      </c>
      <c r="N816" t="str">
        <f>IFERROR(VLOOKUP(L816,Katalog!$A$15:$B$25,2,0),"-")</f>
        <v>-</v>
      </c>
      <c r="O816">
        <f t="shared" si="439"/>
        <v>0</v>
      </c>
      <c r="P816" t="str">
        <f t="shared" si="440"/>
        <v>-</v>
      </c>
      <c r="Q816" s="18">
        <f>IFERROR(VLOOKUP(L816,Katalog!$C$3:$F$13,2,0),0)</f>
        <v>0</v>
      </c>
      <c r="R816" s="18">
        <f>IFERROR(VLOOKUP(L816,Katalog!$C$3:$F$13,3,0),0)</f>
        <v>0</v>
      </c>
      <c r="S816" t="str">
        <f t="shared" si="441"/>
        <v>-</v>
      </c>
      <c r="T816" t="str">
        <f>IFERROR(INDEX(Katalog!$B$4:$B$13,MATCH('Main Data'!S816,Katalog!$C$4:$C$13,0)),"-")</f>
        <v>-</v>
      </c>
      <c r="U816" t="str">
        <f>IFERROR(VLOOKUP(S816,Katalog!$A$15:$B$25,2,0),"-")</f>
        <v>-</v>
      </c>
      <c r="V816">
        <f t="shared" si="442"/>
        <v>0</v>
      </c>
      <c r="W816" s="28" t="str">
        <f t="shared" si="443"/>
        <v>-</v>
      </c>
      <c r="X816" s="18">
        <f>IFERROR(VLOOKUP(S816,Katalog!$C$3:$F$13,2,0),0)</f>
        <v>0</v>
      </c>
      <c r="Y816" s="30">
        <f>IFERROR(VLOOKUP(S816,Katalog!$C$3:$F$13,3,0),0)</f>
        <v>0</v>
      </c>
      <c r="Z816" s="2">
        <f t="shared" si="444"/>
        <v>2</v>
      </c>
      <c r="AA816" s="4">
        <f t="shared" si="445"/>
        <v>240000</v>
      </c>
      <c r="AB816" s="4">
        <f t="shared" si="446"/>
        <v>120000</v>
      </c>
      <c r="AC816" s="4" t="s">
        <v>29</v>
      </c>
      <c r="AD816" s="16">
        <f>IFERROR(VLOOKUP(AC816,'Kode Diskon'!$C$2:$D$9,2,0),0)</f>
        <v>0.1</v>
      </c>
      <c r="AE816" s="31">
        <f t="shared" si="447"/>
        <v>24000</v>
      </c>
      <c r="AF816" s="31">
        <f t="shared" si="448"/>
        <v>216000</v>
      </c>
      <c r="AG816" s="31">
        <f t="shared" si="449"/>
        <v>120000</v>
      </c>
      <c r="AH816" s="31">
        <f t="shared" si="450"/>
        <v>96000</v>
      </c>
      <c r="AI816" s="4" t="s">
        <v>28</v>
      </c>
      <c r="AJ816" s="4" t="s">
        <v>9</v>
      </c>
      <c r="AK816" s="4" t="str">
        <f>IFERROR(VLOOKUP(AJ816,'Guide '!$A$13:$B$16,2,0),"-")</f>
        <v>TK</v>
      </c>
      <c r="AL816" s="4" t="s">
        <v>925</v>
      </c>
      <c r="AM816" s="40">
        <v>45586</v>
      </c>
      <c r="AN816">
        <f t="shared" si="451"/>
        <v>29</v>
      </c>
      <c r="AO816">
        <f t="shared" si="452"/>
        <v>32</v>
      </c>
      <c r="AP816">
        <f t="shared" si="453"/>
        <v>40</v>
      </c>
      <c r="AQ816">
        <f t="shared" si="454"/>
        <v>43</v>
      </c>
      <c r="AR816" s="26" t="str">
        <f t="shared" si="455"/>
        <v>-</v>
      </c>
      <c r="AS816" s="26" t="str">
        <f t="shared" si="456"/>
        <v>-</v>
      </c>
      <c r="AT816" s="21">
        <f t="shared" si="457"/>
        <v>12</v>
      </c>
      <c r="AU816" s="21">
        <f t="shared" si="458"/>
        <v>19</v>
      </c>
      <c r="AV816" t="str">
        <f t="shared" si="459"/>
        <v>-</v>
      </c>
      <c r="AW816" t="str">
        <f t="shared" si="460"/>
        <v>-</v>
      </c>
      <c r="AX816" t="str">
        <f t="shared" si="461"/>
        <v>-</v>
      </c>
      <c r="AY816" t="str">
        <f t="shared" si="462"/>
        <v>-</v>
      </c>
      <c r="AZ816" t="str">
        <f t="shared" si="463"/>
        <v>-</v>
      </c>
      <c r="BA816" t="str">
        <f t="shared" si="464"/>
        <v>-</v>
      </c>
      <c r="BB816" t="str">
        <f t="shared" si="465"/>
        <v>-</v>
      </c>
      <c r="BC816" t="str">
        <f t="shared" si="466"/>
        <v>-</v>
      </c>
      <c r="BD816" s="29" t="str">
        <f t="shared" si="467"/>
        <v>-</v>
      </c>
      <c r="BE816" s="29" t="str">
        <f t="shared" si="468"/>
        <v>-</v>
      </c>
    </row>
    <row r="817" spans="1:57" ht="15" x14ac:dyDescent="0.2">
      <c r="A817" s="2">
        <v>131</v>
      </c>
      <c r="B817" s="2" t="str">
        <f t="shared" si="433"/>
        <v>0131</v>
      </c>
      <c r="C817" t="str">
        <f t="shared" si="434"/>
        <v>ORD-BB-0131-21/10/24</v>
      </c>
      <c r="D817" s="3" t="s">
        <v>201</v>
      </c>
      <c r="E817" t="str">
        <f t="shared" si="435"/>
        <v>PP001</v>
      </c>
      <c r="F817" t="str">
        <f>INDEX(Katalog!$B$4:$B$13,MATCH('Main Data'!E817,Katalog!$C$4:$C$13,0))</f>
        <v>Kaos Polo</v>
      </c>
      <c r="G817" t="str">
        <f>VLOOKUP(E817,Katalog!$A$15:$B$25,2,0)</f>
        <v>Pakaian Pria</v>
      </c>
      <c r="H817" t="str">
        <f t="shared" si="436"/>
        <v>1</v>
      </c>
      <c r="I817" t="str">
        <f t="shared" si="437"/>
        <v>4</v>
      </c>
      <c r="J817" s="18">
        <f>VLOOKUP(E817,Katalog!$C$3:$F$13,2,0)</f>
        <v>80000</v>
      </c>
      <c r="K817" s="18">
        <f>VLOOKUP(E817,Katalog!$C$3:$F$13,3,0)</f>
        <v>30000</v>
      </c>
      <c r="L817" t="str">
        <f t="shared" si="438"/>
        <v>SW001</v>
      </c>
      <c r="M817" t="str">
        <f>IFERROR(INDEX(Katalog!$B$4:$B$13,MATCH('Main Data'!L817,Katalog!$C$4:$C$13,0)), "-")</f>
        <v>Flat Shoes</v>
      </c>
      <c r="N817" t="str">
        <f>IFERROR(VLOOKUP(L817,Katalog!$A$15:$B$25,2,0),"-")</f>
        <v>Sepatu Wanita</v>
      </c>
      <c r="O817" t="str">
        <f t="shared" si="439"/>
        <v>1</v>
      </c>
      <c r="P817" t="str">
        <f t="shared" si="440"/>
        <v>1</v>
      </c>
      <c r="Q817" s="18">
        <f>IFERROR(VLOOKUP(L817,Katalog!$C$3:$F$13,2,0),0)</f>
        <v>150000</v>
      </c>
      <c r="R817" s="18">
        <f>IFERROR(VLOOKUP(L817,Katalog!$C$3:$F$13,3,0),0)</f>
        <v>70000</v>
      </c>
      <c r="S817" t="str">
        <f t="shared" si="441"/>
        <v>-</v>
      </c>
      <c r="T817" t="str">
        <f>IFERROR(INDEX(Katalog!$B$4:$B$13,MATCH('Main Data'!S817,Katalog!$C$4:$C$13,0)),"-")</f>
        <v>-</v>
      </c>
      <c r="U817" t="str">
        <f>IFERROR(VLOOKUP(S817,Katalog!$A$15:$B$25,2,0),"-")</f>
        <v>-</v>
      </c>
      <c r="V817">
        <f t="shared" si="442"/>
        <v>0</v>
      </c>
      <c r="W817" s="28" t="str">
        <f t="shared" si="443"/>
        <v>-</v>
      </c>
      <c r="X817" s="18">
        <f>IFERROR(VLOOKUP(S817,Katalog!$C$3:$F$13,2,0),0)</f>
        <v>0</v>
      </c>
      <c r="Y817" s="30">
        <f>IFERROR(VLOOKUP(S817,Katalog!$C$3:$F$13,3,0),0)</f>
        <v>0</v>
      </c>
      <c r="Z817" s="2">
        <f t="shared" si="444"/>
        <v>2</v>
      </c>
      <c r="AA817" s="4">
        <f t="shared" si="445"/>
        <v>230000</v>
      </c>
      <c r="AB817" s="4">
        <f t="shared" si="446"/>
        <v>100000</v>
      </c>
      <c r="AC817" s="4" t="s">
        <v>10</v>
      </c>
      <c r="AD817" s="16">
        <f>IFERROR(VLOOKUP(AC817,'Kode Diskon'!$C$2:$D$9,2,0),0)</f>
        <v>0</v>
      </c>
      <c r="AE817" s="31">
        <f t="shared" si="447"/>
        <v>0</v>
      </c>
      <c r="AF817" s="31">
        <f t="shared" si="448"/>
        <v>230000</v>
      </c>
      <c r="AG817" s="31">
        <f t="shared" si="449"/>
        <v>130000</v>
      </c>
      <c r="AH817" s="31">
        <f t="shared" si="450"/>
        <v>130000</v>
      </c>
      <c r="AI817" s="4" t="s">
        <v>10</v>
      </c>
      <c r="AJ817" s="4" t="s">
        <v>13</v>
      </c>
      <c r="AK817" s="4" t="str">
        <f>IFERROR(VLOOKUP(AJ817,'Guide '!$A$13:$B$16,2,0),"-")</f>
        <v>BB</v>
      </c>
      <c r="AL817" s="4" t="s">
        <v>1006</v>
      </c>
      <c r="AM817" s="40">
        <v>45586</v>
      </c>
      <c r="AN817">
        <f t="shared" si="451"/>
        <v>29</v>
      </c>
      <c r="AO817">
        <f t="shared" si="452"/>
        <v>32</v>
      </c>
      <c r="AP817">
        <f t="shared" si="453"/>
        <v>40</v>
      </c>
      <c r="AQ817">
        <f t="shared" si="454"/>
        <v>43</v>
      </c>
      <c r="AR817" s="26">
        <f t="shared" si="455"/>
        <v>56</v>
      </c>
      <c r="AS817" s="26">
        <f t="shared" si="456"/>
        <v>63</v>
      </c>
      <c r="AT817" s="21">
        <f t="shared" si="457"/>
        <v>12</v>
      </c>
      <c r="AU817" s="21">
        <f t="shared" si="458"/>
        <v>19</v>
      </c>
      <c r="AV817">
        <f t="shared" si="459"/>
        <v>73</v>
      </c>
      <c r="AW817">
        <f t="shared" si="460"/>
        <v>76</v>
      </c>
      <c r="AX817">
        <f t="shared" si="461"/>
        <v>84</v>
      </c>
      <c r="AY817">
        <f t="shared" si="462"/>
        <v>87</v>
      </c>
      <c r="AZ817" t="str">
        <f t="shared" si="463"/>
        <v>-</v>
      </c>
      <c r="BA817" t="str">
        <f t="shared" si="464"/>
        <v>-</v>
      </c>
      <c r="BB817" t="str">
        <f t="shared" si="465"/>
        <v>-</v>
      </c>
      <c r="BC817" t="str">
        <f t="shared" si="466"/>
        <v>-</v>
      </c>
      <c r="BD817" s="29" t="str">
        <f t="shared" si="467"/>
        <v>-</v>
      </c>
      <c r="BE817" s="29" t="str">
        <f t="shared" si="468"/>
        <v>-</v>
      </c>
    </row>
    <row r="818" spans="1:57" ht="15" x14ac:dyDescent="0.2">
      <c r="A818" s="2">
        <v>173</v>
      </c>
      <c r="B818" s="2" t="str">
        <f t="shared" si="433"/>
        <v>0173</v>
      </c>
      <c r="C818" t="str">
        <f t="shared" si="434"/>
        <v>ORD-BB-0173-21/10/24</v>
      </c>
      <c r="D818" s="3" t="s">
        <v>242</v>
      </c>
      <c r="E818" t="str">
        <f t="shared" si="435"/>
        <v>PW002</v>
      </c>
      <c r="F818" t="str">
        <f>INDEX(Katalog!$B$4:$B$13,MATCH('Main Data'!E818,Katalog!$C$4:$C$13,0))</f>
        <v>Blouse</v>
      </c>
      <c r="G818" t="str">
        <f>VLOOKUP(E818,Katalog!$A$15:$B$25,2,0)</f>
        <v>Pakaian Wanita</v>
      </c>
      <c r="H818" t="str">
        <f t="shared" si="436"/>
        <v>6</v>
      </c>
      <c r="I818" t="str">
        <f t="shared" si="437"/>
        <v>3</v>
      </c>
      <c r="J818" s="18">
        <f>VLOOKUP(E818,Katalog!$C$3:$F$13,2,0)</f>
        <v>125000</v>
      </c>
      <c r="K818" s="18">
        <f>VLOOKUP(E818,Katalog!$C$3:$F$13,3,0)</f>
        <v>50000</v>
      </c>
      <c r="L818" t="str">
        <f t="shared" si="438"/>
        <v>SW001</v>
      </c>
      <c r="M818" t="str">
        <f>IFERROR(INDEX(Katalog!$B$4:$B$13,MATCH('Main Data'!L818,Katalog!$C$4:$C$13,0)), "-")</f>
        <v>Flat Shoes</v>
      </c>
      <c r="N818" t="str">
        <f>IFERROR(VLOOKUP(L818,Katalog!$A$15:$B$25,2,0),"-")</f>
        <v>Sepatu Wanita</v>
      </c>
      <c r="O818" t="str">
        <f t="shared" si="439"/>
        <v>1</v>
      </c>
      <c r="P818" t="str">
        <f t="shared" si="440"/>
        <v>4</v>
      </c>
      <c r="Q818" s="18">
        <f>IFERROR(VLOOKUP(L818,Katalog!$C$3:$F$13,2,0),0)</f>
        <v>150000</v>
      </c>
      <c r="R818" s="18">
        <f>IFERROR(VLOOKUP(L818,Katalog!$C$3:$F$13,3,0),0)</f>
        <v>70000</v>
      </c>
      <c r="S818" t="str">
        <f t="shared" si="441"/>
        <v>-</v>
      </c>
      <c r="T818" t="str">
        <f>IFERROR(INDEX(Katalog!$B$4:$B$13,MATCH('Main Data'!S818,Katalog!$C$4:$C$13,0)),"-")</f>
        <v>-</v>
      </c>
      <c r="U818" t="str">
        <f>IFERROR(VLOOKUP(S818,Katalog!$A$15:$B$25,2,0),"-")</f>
        <v>-</v>
      </c>
      <c r="V818">
        <f t="shared" si="442"/>
        <v>0</v>
      </c>
      <c r="W818" s="28" t="str">
        <f t="shared" si="443"/>
        <v>-</v>
      </c>
      <c r="X818" s="18">
        <f>IFERROR(VLOOKUP(S818,Katalog!$C$3:$F$13,2,0),0)</f>
        <v>0</v>
      </c>
      <c r="Y818" s="30">
        <f>IFERROR(VLOOKUP(S818,Katalog!$C$3:$F$13,3,0),0)</f>
        <v>0</v>
      </c>
      <c r="Z818" s="2">
        <f t="shared" si="444"/>
        <v>7</v>
      </c>
      <c r="AA818" s="4">
        <f t="shared" si="445"/>
        <v>900000</v>
      </c>
      <c r="AB818" s="4">
        <f t="shared" si="446"/>
        <v>370000</v>
      </c>
      <c r="AC818" s="4" t="s">
        <v>27</v>
      </c>
      <c r="AD818" s="16">
        <f>IFERROR(VLOOKUP(AC818,'Kode Diskon'!$C$2:$D$9,2,0),0)</f>
        <v>0.15</v>
      </c>
      <c r="AE818" s="31">
        <f t="shared" si="447"/>
        <v>135000</v>
      </c>
      <c r="AF818" s="31">
        <f t="shared" si="448"/>
        <v>765000</v>
      </c>
      <c r="AG818" s="31">
        <f t="shared" si="449"/>
        <v>530000</v>
      </c>
      <c r="AH818" s="31">
        <f t="shared" si="450"/>
        <v>395000</v>
      </c>
      <c r="AI818" s="4" t="s">
        <v>28</v>
      </c>
      <c r="AJ818" s="4" t="s">
        <v>13</v>
      </c>
      <c r="AK818" s="4" t="str">
        <f>IFERROR(VLOOKUP(AJ818,'Guide '!$A$13:$B$16,2,0),"-")</f>
        <v>BB</v>
      </c>
      <c r="AL818" s="4" t="s">
        <v>924</v>
      </c>
      <c r="AM818" s="40">
        <v>45586</v>
      </c>
      <c r="AN818">
        <f t="shared" si="451"/>
        <v>29</v>
      </c>
      <c r="AO818">
        <f t="shared" si="452"/>
        <v>32</v>
      </c>
      <c r="AP818">
        <f t="shared" si="453"/>
        <v>40</v>
      </c>
      <c r="AQ818">
        <f t="shared" si="454"/>
        <v>43</v>
      </c>
      <c r="AR818" s="26">
        <f t="shared" si="455"/>
        <v>56</v>
      </c>
      <c r="AS818" s="26">
        <f t="shared" si="456"/>
        <v>63</v>
      </c>
      <c r="AT818" s="21">
        <f t="shared" si="457"/>
        <v>12</v>
      </c>
      <c r="AU818" s="21">
        <f t="shared" si="458"/>
        <v>19</v>
      </c>
      <c r="AV818">
        <f t="shared" si="459"/>
        <v>73</v>
      </c>
      <c r="AW818">
        <f t="shared" si="460"/>
        <v>76</v>
      </c>
      <c r="AX818">
        <f t="shared" si="461"/>
        <v>84</v>
      </c>
      <c r="AY818">
        <f t="shared" si="462"/>
        <v>87</v>
      </c>
      <c r="AZ818" t="str">
        <f t="shared" si="463"/>
        <v>-</v>
      </c>
      <c r="BA818" t="str">
        <f t="shared" si="464"/>
        <v>-</v>
      </c>
      <c r="BB818" t="str">
        <f t="shared" si="465"/>
        <v>-</v>
      </c>
      <c r="BC818" t="str">
        <f t="shared" si="466"/>
        <v>-</v>
      </c>
      <c r="BD818" s="29" t="str">
        <f t="shared" si="467"/>
        <v>-</v>
      </c>
      <c r="BE818" s="29" t="str">
        <f t="shared" si="468"/>
        <v>-</v>
      </c>
    </row>
    <row r="819" spans="1:57" ht="15" x14ac:dyDescent="0.2">
      <c r="A819" s="2">
        <v>534</v>
      </c>
      <c r="B819" s="2" t="str">
        <f t="shared" si="433"/>
        <v>0534</v>
      </c>
      <c r="C819" t="str">
        <f t="shared" si="434"/>
        <v>ORD-TK-0534-21/10/24</v>
      </c>
      <c r="D819" s="3" t="s">
        <v>499</v>
      </c>
      <c r="E819" t="str">
        <f t="shared" si="435"/>
        <v>PU001</v>
      </c>
      <c r="F819" t="str">
        <f>INDEX(Katalog!$B$4:$B$13,MATCH('Main Data'!E819,Katalog!$C$4:$C$13,0))</f>
        <v>Jaket Hoodie</v>
      </c>
      <c r="G819" t="str">
        <f>VLOOKUP(E819,Katalog!$A$15:$B$25,2,0)</f>
        <v>Pakaian Unisex</v>
      </c>
      <c r="H819" t="str">
        <f t="shared" si="436"/>
        <v>1</v>
      </c>
      <c r="I819" t="str">
        <f t="shared" si="437"/>
        <v>5</v>
      </c>
      <c r="J819" s="18">
        <f>VLOOKUP(E819,Katalog!$C$3:$F$13,2,0)</f>
        <v>160000</v>
      </c>
      <c r="K819" s="18">
        <f>VLOOKUP(E819,Katalog!$C$3:$F$13,3,0)</f>
        <v>60000</v>
      </c>
      <c r="L819" t="str">
        <f t="shared" si="438"/>
        <v>-</v>
      </c>
      <c r="M819" t="str">
        <f>IFERROR(INDEX(Katalog!$B$4:$B$13,MATCH('Main Data'!L819,Katalog!$C$4:$C$13,0)), "-")</f>
        <v>-</v>
      </c>
      <c r="N819" t="str">
        <f>IFERROR(VLOOKUP(L819,Katalog!$A$15:$B$25,2,0),"-")</f>
        <v>-</v>
      </c>
      <c r="O819">
        <f t="shared" si="439"/>
        <v>0</v>
      </c>
      <c r="P819" t="str">
        <f t="shared" si="440"/>
        <v>-</v>
      </c>
      <c r="Q819" s="18">
        <f>IFERROR(VLOOKUP(L819,Katalog!$C$3:$F$13,2,0),0)</f>
        <v>0</v>
      </c>
      <c r="R819" s="18">
        <f>IFERROR(VLOOKUP(L819,Katalog!$C$3:$F$13,3,0),0)</f>
        <v>0</v>
      </c>
      <c r="S819" t="str">
        <f t="shared" si="441"/>
        <v>-</v>
      </c>
      <c r="T819" t="str">
        <f>IFERROR(INDEX(Katalog!$B$4:$B$13,MATCH('Main Data'!S819,Katalog!$C$4:$C$13,0)),"-")</f>
        <v>-</v>
      </c>
      <c r="U819" t="str">
        <f>IFERROR(VLOOKUP(S819,Katalog!$A$15:$B$25,2,0),"-")</f>
        <v>-</v>
      </c>
      <c r="V819">
        <f t="shared" si="442"/>
        <v>0</v>
      </c>
      <c r="W819" s="28" t="str">
        <f t="shared" si="443"/>
        <v>-</v>
      </c>
      <c r="X819" s="18">
        <f>IFERROR(VLOOKUP(S819,Katalog!$C$3:$F$13,2,0),0)</f>
        <v>0</v>
      </c>
      <c r="Y819" s="30">
        <f>IFERROR(VLOOKUP(S819,Katalog!$C$3:$F$13,3,0),0)</f>
        <v>0</v>
      </c>
      <c r="Z819" s="2">
        <f t="shared" si="444"/>
        <v>1</v>
      </c>
      <c r="AA819" s="4">
        <f t="shared" si="445"/>
        <v>160000</v>
      </c>
      <c r="AB819" s="4">
        <f t="shared" si="446"/>
        <v>60000</v>
      </c>
      <c r="AC819" s="4" t="s">
        <v>29</v>
      </c>
      <c r="AD819" s="16">
        <f>IFERROR(VLOOKUP(AC819,'Kode Diskon'!$C$2:$D$9,2,0),0)</f>
        <v>0.1</v>
      </c>
      <c r="AE819" s="31">
        <f t="shared" si="447"/>
        <v>16000</v>
      </c>
      <c r="AF819" s="31">
        <f t="shared" si="448"/>
        <v>144000</v>
      </c>
      <c r="AG819" s="31">
        <f t="shared" si="449"/>
        <v>100000</v>
      </c>
      <c r="AH819" s="31">
        <f t="shared" si="450"/>
        <v>84000</v>
      </c>
      <c r="AI819" s="4" t="s">
        <v>28</v>
      </c>
      <c r="AJ819" s="4" t="s">
        <v>9</v>
      </c>
      <c r="AK819" s="4" t="str">
        <f>IFERROR(VLOOKUP(AJ819,'Guide '!$A$13:$B$16,2,0),"-")</f>
        <v>TK</v>
      </c>
      <c r="AL819" s="4" t="s">
        <v>925</v>
      </c>
      <c r="AM819" s="40">
        <v>45586</v>
      </c>
      <c r="AN819">
        <f t="shared" si="451"/>
        <v>29</v>
      </c>
      <c r="AO819">
        <f t="shared" si="452"/>
        <v>32</v>
      </c>
      <c r="AP819">
        <f t="shared" si="453"/>
        <v>40</v>
      </c>
      <c r="AQ819">
        <f t="shared" si="454"/>
        <v>43</v>
      </c>
      <c r="AR819" s="26" t="str">
        <f t="shared" si="455"/>
        <v>-</v>
      </c>
      <c r="AS819" s="26" t="str">
        <f t="shared" si="456"/>
        <v>-</v>
      </c>
      <c r="AT819" s="21">
        <f t="shared" si="457"/>
        <v>12</v>
      </c>
      <c r="AU819" s="21">
        <f t="shared" si="458"/>
        <v>19</v>
      </c>
      <c r="AV819" t="str">
        <f t="shared" si="459"/>
        <v>-</v>
      </c>
      <c r="AW819" t="str">
        <f t="shared" si="460"/>
        <v>-</v>
      </c>
      <c r="AX819" t="str">
        <f t="shared" si="461"/>
        <v>-</v>
      </c>
      <c r="AY819" t="str">
        <f t="shared" si="462"/>
        <v>-</v>
      </c>
      <c r="AZ819" t="str">
        <f t="shared" si="463"/>
        <v>-</v>
      </c>
      <c r="BA819" t="str">
        <f t="shared" si="464"/>
        <v>-</v>
      </c>
      <c r="BB819" t="str">
        <f t="shared" si="465"/>
        <v>-</v>
      </c>
      <c r="BC819" t="str">
        <f t="shared" si="466"/>
        <v>-</v>
      </c>
      <c r="BD819" s="29" t="str">
        <f t="shared" si="467"/>
        <v>-</v>
      </c>
      <c r="BE819" s="29" t="str">
        <f t="shared" si="468"/>
        <v>-</v>
      </c>
    </row>
    <row r="820" spans="1:57" ht="15" x14ac:dyDescent="0.2">
      <c r="A820" s="2">
        <v>586</v>
      </c>
      <c r="B820" s="2" t="str">
        <f t="shared" si="433"/>
        <v>0586</v>
      </c>
      <c r="C820" t="str">
        <f t="shared" si="434"/>
        <v>ORD-SP-0586-21/10/24</v>
      </c>
      <c r="D820" s="3" t="s">
        <v>602</v>
      </c>
      <c r="E820" t="str">
        <f t="shared" si="435"/>
        <v>PW003</v>
      </c>
      <c r="F820" t="str">
        <f>INDEX(Katalog!$B$4:$B$13,MATCH('Main Data'!E820,Katalog!$C$4:$C$13,0))</f>
        <v>Kaftan</v>
      </c>
      <c r="G820" t="str">
        <f>VLOOKUP(E820,Katalog!$A$15:$B$25,2,0)</f>
        <v>Pakaian Wanita</v>
      </c>
      <c r="H820" t="str">
        <f t="shared" si="436"/>
        <v>3</v>
      </c>
      <c r="I820" t="str">
        <f t="shared" si="437"/>
        <v>4</v>
      </c>
      <c r="J820" s="18">
        <f>VLOOKUP(E820,Katalog!$C$3:$F$13,2,0)</f>
        <v>200000</v>
      </c>
      <c r="K820" s="18">
        <f>VLOOKUP(E820,Katalog!$C$3:$F$13,3,0)</f>
        <v>100000</v>
      </c>
      <c r="L820" t="str">
        <f t="shared" si="438"/>
        <v>PW002</v>
      </c>
      <c r="M820" t="str">
        <f>IFERROR(INDEX(Katalog!$B$4:$B$13,MATCH('Main Data'!L820,Katalog!$C$4:$C$13,0)), "-")</f>
        <v>Blouse</v>
      </c>
      <c r="N820" t="str">
        <f>IFERROR(VLOOKUP(L820,Katalog!$A$15:$B$25,2,0),"-")</f>
        <v>Pakaian Wanita</v>
      </c>
      <c r="O820" t="str">
        <f t="shared" si="439"/>
        <v>4</v>
      </c>
      <c r="P820" t="str">
        <f t="shared" si="440"/>
        <v>3</v>
      </c>
      <c r="Q820" s="18">
        <f>IFERROR(VLOOKUP(L820,Katalog!$C$3:$F$13,2,0),0)</f>
        <v>125000</v>
      </c>
      <c r="R820" s="18">
        <f>IFERROR(VLOOKUP(L820,Katalog!$C$3:$F$13,3,0),0)</f>
        <v>50000</v>
      </c>
      <c r="S820" t="str">
        <f t="shared" si="441"/>
        <v>-</v>
      </c>
      <c r="T820" t="str">
        <f>IFERROR(INDEX(Katalog!$B$4:$B$13,MATCH('Main Data'!S820,Katalog!$C$4:$C$13,0)),"-")</f>
        <v>-</v>
      </c>
      <c r="U820" t="str">
        <f>IFERROR(VLOOKUP(S820,Katalog!$A$15:$B$25,2,0),"-")</f>
        <v>-</v>
      </c>
      <c r="V820">
        <f t="shared" si="442"/>
        <v>0</v>
      </c>
      <c r="W820" s="28" t="str">
        <f t="shared" si="443"/>
        <v>-</v>
      </c>
      <c r="X820" s="18">
        <f>IFERROR(VLOOKUP(S820,Katalog!$C$3:$F$13,2,0),0)</f>
        <v>0</v>
      </c>
      <c r="Y820" s="30">
        <f>IFERROR(VLOOKUP(S820,Katalog!$C$3:$F$13,3,0),0)</f>
        <v>0</v>
      </c>
      <c r="Z820" s="2">
        <f t="shared" si="444"/>
        <v>7</v>
      </c>
      <c r="AA820" s="4">
        <f t="shared" si="445"/>
        <v>1100000</v>
      </c>
      <c r="AB820" s="4">
        <f t="shared" si="446"/>
        <v>500000</v>
      </c>
      <c r="AC820" s="4" t="s">
        <v>5</v>
      </c>
      <c r="AD820" s="16">
        <f>IFERROR(VLOOKUP(AC820,'Kode Diskon'!$C$2:$D$9,2,0),0)</f>
        <v>0.1</v>
      </c>
      <c r="AE820" s="31">
        <f t="shared" si="447"/>
        <v>110000</v>
      </c>
      <c r="AF820" s="31">
        <f t="shared" si="448"/>
        <v>990000</v>
      </c>
      <c r="AG820" s="31">
        <f t="shared" si="449"/>
        <v>600000</v>
      </c>
      <c r="AH820" s="31">
        <f t="shared" si="450"/>
        <v>490000</v>
      </c>
      <c r="AI820" s="4" t="s">
        <v>28</v>
      </c>
      <c r="AJ820" s="4" t="s">
        <v>6</v>
      </c>
      <c r="AK820" s="4" t="str">
        <f>IFERROR(VLOOKUP(AJ820,'Guide '!$A$13:$B$16,2,0),"-")</f>
        <v>SP</v>
      </c>
      <c r="AL820" s="4" t="s">
        <v>925</v>
      </c>
      <c r="AM820" s="40">
        <v>45586</v>
      </c>
      <c r="AN820">
        <f t="shared" si="451"/>
        <v>29</v>
      </c>
      <c r="AO820">
        <f t="shared" si="452"/>
        <v>32</v>
      </c>
      <c r="AP820">
        <f t="shared" si="453"/>
        <v>40</v>
      </c>
      <c r="AQ820">
        <f t="shared" si="454"/>
        <v>43</v>
      </c>
      <c r="AR820" s="26">
        <f t="shared" si="455"/>
        <v>56</v>
      </c>
      <c r="AS820" s="26">
        <f t="shared" si="456"/>
        <v>63</v>
      </c>
      <c r="AT820" s="21">
        <f t="shared" si="457"/>
        <v>12</v>
      </c>
      <c r="AU820" s="21">
        <f t="shared" si="458"/>
        <v>19</v>
      </c>
      <c r="AV820">
        <f t="shared" si="459"/>
        <v>73</v>
      </c>
      <c r="AW820">
        <f t="shared" si="460"/>
        <v>76</v>
      </c>
      <c r="AX820">
        <f t="shared" si="461"/>
        <v>84</v>
      </c>
      <c r="AY820">
        <f t="shared" si="462"/>
        <v>87</v>
      </c>
      <c r="AZ820" t="str">
        <f t="shared" si="463"/>
        <v>-</v>
      </c>
      <c r="BA820" t="str">
        <f t="shared" si="464"/>
        <v>-</v>
      </c>
      <c r="BB820" t="str">
        <f t="shared" si="465"/>
        <v>-</v>
      </c>
      <c r="BC820" t="str">
        <f t="shared" si="466"/>
        <v>-</v>
      </c>
      <c r="BD820" s="29" t="str">
        <f t="shared" si="467"/>
        <v>-</v>
      </c>
      <c r="BE820" s="29" t="str">
        <f t="shared" si="468"/>
        <v>-</v>
      </c>
    </row>
    <row r="821" spans="1:57" ht="15" x14ac:dyDescent="0.2">
      <c r="A821" s="2">
        <v>998</v>
      </c>
      <c r="B821" s="2" t="str">
        <f t="shared" si="433"/>
        <v>0998</v>
      </c>
      <c r="C821" t="str">
        <f t="shared" si="434"/>
        <v>ORD-SP-0998-21/10/24</v>
      </c>
      <c r="D821" s="3" t="s">
        <v>92</v>
      </c>
      <c r="E821" t="str">
        <f t="shared" si="435"/>
        <v>PW001</v>
      </c>
      <c r="F821" t="str">
        <f>INDEX(Katalog!$B$4:$B$13,MATCH('Main Data'!E821,Katalog!$C$4:$C$13,0))</f>
        <v>Dress</v>
      </c>
      <c r="G821" t="str">
        <f>VLOOKUP(E821,Katalog!$A$15:$B$25,2,0)</f>
        <v>Pakaian Wanita</v>
      </c>
      <c r="H821" t="str">
        <f t="shared" si="436"/>
        <v>1</v>
      </c>
      <c r="I821" t="str">
        <f t="shared" si="437"/>
        <v>4</v>
      </c>
      <c r="J821" s="18">
        <f>VLOOKUP(E821,Katalog!$C$3:$F$13,2,0)</f>
        <v>150000</v>
      </c>
      <c r="K821" s="18">
        <f>VLOOKUP(E821,Katalog!$C$3:$F$13,3,0)</f>
        <v>55000</v>
      </c>
      <c r="L821" t="str">
        <f t="shared" si="438"/>
        <v>-</v>
      </c>
      <c r="M821" t="str">
        <f>IFERROR(INDEX(Katalog!$B$4:$B$13,MATCH('Main Data'!L821,Katalog!$C$4:$C$13,0)), "-")</f>
        <v>-</v>
      </c>
      <c r="N821" t="str">
        <f>IFERROR(VLOOKUP(L821,Katalog!$A$15:$B$25,2,0),"-")</f>
        <v>-</v>
      </c>
      <c r="O821">
        <f t="shared" si="439"/>
        <v>0</v>
      </c>
      <c r="P821" t="str">
        <f t="shared" si="440"/>
        <v>-</v>
      </c>
      <c r="Q821" s="18">
        <f>IFERROR(VLOOKUP(L821,Katalog!$C$3:$F$13,2,0),0)</f>
        <v>0</v>
      </c>
      <c r="R821" s="18">
        <f>IFERROR(VLOOKUP(L821,Katalog!$C$3:$F$13,3,0),0)</f>
        <v>0</v>
      </c>
      <c r="S821" t="str">
        <f t="shared" si="441"/>
        <v>-</v>
      </c>
      <c r="T821" t="str">
        <f>IFERROR(INDEX(Katalog!$B$4:$B$13,MATCH('Main Data'!S821,Katalog!$C$4:$C$13,0)),"-")</f>
        <v>-</v>
      </c>
      <c r="U821" t="str">
        <f>IFERROR(VLOOKUP(S821,Katalog!$A$15:$B$25,2,0),"-")</f>
        <v>-</v>
      </c>
      <c r="V821">
        <f t="shared" si="442"/>
        <v>0</v>
      </c>
      <c r="W821" s="28" t="str">
        <f t="shared" si="443"/>
        <v>-</v>
      </c>
      <c r="X821" s="18">
        <f>IFERROR(VLOOKUP(S821,Katalog!$C$3:$F$13,2,0),0)</f>
        <v>0</v>
      </c>
      <c r="Y821" s="30">
        <f>IFERROR(VLOOKUP(S821,Katalog!$C$3:$F$13,3,0),0)</f>
        <v>0</v>
      </c>
      <c r="Z821" s="2">
        <f t="shared" si="444"/>
        <v>1</v>
      </c>
      <c r="AA821" s="4">
        <f t="shared" si="445"/>
        <v>150000</v>
      </c>
      <c r="AB821" s="4">
        <f t="shared" si="446"/>
        <v>55000</v>
      </c>
      <c r="AC821" s="4" t="s">
        <v>5</v>
      </c>
      <c r="AD821" s="16">
        <f>IFERROR(VLOOKUP(AC821,'Kode Diskon'!$C$2:$D$9,2,0),0)</f>
        <v>0.1</v>
      </c>
      <c r="AE821" s="31">
        <f t="shared" si="447"/>
        <v>15000</v>
      </c>
      <c r="AF821" s="31">
        <f t="shared" si="448"/>
        <v>135000</v>
      </c>
      <c r="AG821" s="31">
        <f t="shared" si="449"/>
        <v>95000</v>
      </c>
      <c r="AH821" s="31">
        <f t="shared" si="450"/>
        <v>80000</v>
      </c>
      <c r="AI821" s="4" t="s">
        <v>28</v>
      </c>
      <c r="AJ821" s="4" t="s">
        <v>6</v>
      </c>
      <c r="AK821" s="4" t="str">
        <f>IFERROR(VLOOKUP(AJ821,'Guide '!$A$13:$B$16,2,0),"-")</f>
        <v>SP</v>
      </c>
      <c r="AL821" s="4" t="s">
        <v>921</v>
      </c>
      <c r="AM821" s="40">
        <v>45586</v>
      </c>
      <c r="AN821">
        <f t="shared" si="451"/>
        <v>29</v>
      </c>
      <c r="AO821">
        <f t="shared" si="452"/>
        <v>32</v>
      </c>
      <c r="AP821">
        <f t="shared" si="453"/>
        <v>40</v>
      </c>
      <c r="AQ821">
        <f t="shared" si="454"/>
        <v>43</v>
      </c>
      <c r="AR821" s="26" t="str">
        <f t="shared" si="455"/>
        <v>-</v>
      </c>
      <c r="AS821" s="26" t="str">
        <f t="shared" si="456"/>
        <v>-</v>
      </c>
      <c r="AT821" s="21">
        <f t="shared" si="457"/>
        <v>12</v>
      </c>
      <c r="AU821" s="21">
        <f t="shared" si="458"/>
        <v>19</v>
      </c>
      <c r="AV821" t="str">
        <f t="shared" si="459"/>
        <v>-</v>
      </c>
      <c r="AW821" t="str">
        <f t="shared" si="460"/>
        <v>-</v>
      </c>
      <c r="AX821" t="str">
        <f t="shared" si="461"/>
        <v>-</v>
      </c>
      <c r="AY821" t="str">
        <f t="shared" si="462"/>
        <v>-</v>
      </c>
      <c r="AZ821" t="str">
        <f t="shared" si="463"/>
        <v>-</v>
      </c>
      <c r="BA821" t="str">
        <f t="shared" si="464"/>
        <v>-</v>
      </c>
      <c r="BB821" t="str">
        <f t="shared" si="465"/>
        <v>-</v>
      </c>
      <c r="BC821" t="str">
        <f t="shared" si="466"/>
        <v>-</v>
      </c>
      <c r="BD821" s="29" t="str">
        <f t="shared" si="467"/>
        <v>-</v>
      </c>
      <c r="BE821" s="29" t="str">
        <f t="shared" si="468"/>
        <v>-</v>
      </c>
    </row>
    <row r="822" spans="1:57" ht="15" x14ac:dyDescent="0.2">
      <c r="A822" s="2">
        <v>27</v>
      </c>
      <c r="B822" s="2" t="str">
        <f t="shared" si="433"/>
        <v>0027</v>
      </c>
      <c r="C822" t="str">
        <f t="shared" si="434"/>
        <v>ORD-BB-0027-22/10/24</v>
      </c>
      <c r="D822" s="3" t="s">
        <v>101</v>
      </c>
      <c r="E822" t="str">
        <f t="shared" si="435"/>
        <v>SW001</v>
      </c>
      <c r="F822" t="str">
        <f>INDEX(Katalog!$B$4:$B$13,MATCH('Main Data'!E822,Katalog!$C$4:$C$13,0))</f>
        <v>Flat Shoes</v>
      </c>
      <c r="G822" t="str">
        <f>VLOOKUP(E822,Katalog!$A$15:$B$25,2,0)</f>
        <v>Sepatu Wanita</v>
      </c>
      <c r="H822" t="str">
        <f t="shared" si="436"/>
        <v>3</v>
      </c>
      <c r="I822" t="str">
        <f t="shared" si="437"/>
        <v>1</v>
      </c>
      <c r="J822" s="18">
        <f>VLOOKUP(E822,Katalog!$C$3:$F$13,2,0)</f>
        <v>150000</v>
      </c>
      <c r="K822" s="18">
        <f>VLOOKUP(E822,Katalog!$C$3:$F$13,3,0)</f>
        <v>70000</v>
      </c>
      <c r="L822" t="str">
        <f t="shared" si="438"/>
        <v>PP001</v>
      </c>
      <c r="M822" t="str">
        <f>IFERROR(INDEX(Katalog!$B$4:$B$13,MATCH('Main Data'!L822,Katalog!$C$4:$C$13,0)), "-")</f>
        <v>Kaos Polo</v>
      </c>
      <c r="N822" t="str">
        <f>IFERROR(VLOOKUP(L822,Katalog!$A$15:$B$25,2,0),"-")</f>
        <v>Pakaian Pria</v>
      </c>
      <c r="O822" t="str">
        <f t="shared" si="439"/>
        <v>2</v>
      </c>
      <c r="P822" t="str">
        <f t="shared" si="440"/>
        <v>3</v>
      </c>
      <c r="Q822" s="18">
        <f>IFERROR(VLOOKUP(L822,Katalog!$C$3:$F$13,2,0),0)</f>
        <v>80000</v>
      </c>
      <c r="R822" s="18">
        <f>IFERROR(VLOOKUP(L822,Katalog!$C$3:$F$13,3,0),0)</f>
        <v>30000</v>
      </c>
      <c r="S822" t="str">
        <f t="shared" si="441"/>
        <v>PW001</v>
      </c>
      <c r="T822" t="str">
        <f>IFERROR(INDEX(Katalog!$B$4:$B$13,MATCH('Main Data'!S822,Katalog!$C$4:$C$13,0)),"-")</f>
        <v>Dress</v>
      </c>
      <c r="U822" t="str">
        <f>IFERROR(VLOOKUP(S822,Katalog!$A$15:$B$25,2,0),"-")</f>
        <v>Pakaian Wanita</v>
      </c>
      <c r="V822" t="str">
        <f t="shared" si="442"/>
        <v>1</v>
      </c>
      <c r="W822" s="28" t="str">
        <f t="shared" si="443"/>
        <v>3</v>
      </c>
      <c r="X822" s="18">
        <f>IFERROR(VLOOKUP(S822,Katalog!$C$3:$F$13,2,0),0)</f>
        <v>150000</v>
      </c>
      <c r="Y822" s="30">
        <f>IFERROR(VLOOKUP(S822,Katalog!$C$3:$F$13,3,0),0)</f>
        <v>55000</v>
      </c>
      <c r="Z822" s="2">
        <f t="shared" si="444"/>
        <v>6</v>
      </c>
      <c r="AA822" s="4">
        <f t="shared" si="445"/>
        <v>760000</v>
      </c>
      <c r="AB822" s="4">
        <f t="shared" si="446"/>
        <v>325000</v>
      </c>
      <c r="AC822" s="4" t="s">
        <v>27</v>
      </c>
      <c r="AD822" s="16">
        <f>IFERROR(VLOOKUP(AC822,'Kode Diskon'!$C$2:$D$9,2,0),0)</f>
        <v>0.15</v>
      </c>
      <c r="AE822" s="31">
        <f t="shared" si="447"/>
        <v>114000</v>
      </c>
      <c r="AF822" s="31">
        <f t="shared" si="448"/>
        <v>646000</v>
      </c>
      <c r="AG822" s="31">
        <f t="shared" si="449"/>
        <v>435000</v>
      </c>
      <c r="AH822" s="31">
        <f t="shared" si="450"/>
        <v>321000</v>
      </c>
      <c r="AI822" s="4" t="s">
        <v>28</v>
      </c>
      <c r="AJ822" s="4" t="s">
        <v>13</v>
      </c>
      <c r="AK822" s="4" t="str">
        <f>IFERROR(VLOOKUP(AJ822,'Guide '!$A$13:$B$16,2,0),"-")</f>
        <v>BB</v>
      </c>
      <c r="AL822" s="4" t="s">
        <v>924</v>
      </c>
      <c r="AM822" s="40">
        <v>45587</v>
      </c>
      <c r="AN822">
        <f t="shared" si="451"/>
        <v>29</v>
      </c>
      <c r="AO822">
        <f t="shared" si="452"/>
        <v>32</v>
      </c>
      <c r="AP822">
        <f t="shared" si="453"/>
        <v>40</v>
      </c>
      <c r="AQ822">
        <f t="shared" si="454"/>
        <v>43</v>
      </c>
      <c r="AR822" s="26">
        <f t="shared" si="455"/>
        <v>56</v>
      </c>
      <c r="AS822" s="26">
        <f t="shared" si="456"/>
        <v>63</v>
      </c>
      <c r="AT822" s="21">
        <f t="shared" si="457"/>
        <v>12</v>
      </c>
      <c r="AU822" s="21">
        <f t="shared" si="458"/>
        <v>19</v>
      </c>
      <c r="AV822">
        <f t="shared" si="459"/>
        <v>73</v>
      </c>
      <c r="AW822">
        <f t="shared" si="460"/>
        <v>76</v>
      </c>
      <c r="AX822">
        <f t="shared" si="461"/>
        <v>84</v>
      </c>
      <c r="AY822">
        <f t="shared" si="462"/>
        <v>87</v>
      </c>
      <c r="AZ822">
        <f t="shared" si="463"/>
        <v>100</v>
      </c>
      <c r="BA822">
        <f t="shared" si="464"/>
        <v>107</v>
      </c>
      <c r="BB822">
        <f t="shared" si="465"/>
        <v>117</v>
      </c>
      <c r="BC822">
        <f t="shared" si="466"/>
        <v>120</v>
      </c>
      <c r="BD822" s="29">
        <f t="shared" si="467"/>
        <v>128</v>
      </c>
      <c r="BE822" s="29">
        <f t="shared" si="468"/>
        <v>131</v>
      </c>
    </row>
    <row r="823" spans="1:57" ht="15" x14ac:dyDescent="0.2">
      <c r="A823" s="2">
        <v>116</v>
      </c>
      <c r="B823" s="2" t="str">
        <f t="shared" si="433"/>
        <v>0116</v>
      </c>
      <c r="C823" t="str">
        <f t="shared" si="434"/>
        <v>ORD-BB-0116-22/10/24</v>
      </c>
      <c r="D823" s="3" t="s">
        <v>103</v>
      </c>
      <c r="E823" t="str">
        <f t="shared" si="435"/>
        <v>PW003</v>
      </c>
      <c r="F823" t="str">
        <f>INDEX(Katalog!$B$4:$B$13,MATCH('Main Data'!E823,Katalog!$C$4:$C$13,0))</f>
        <v>Kaftan</v>
      </c>
      <c r="G823" t="str">
        <f>VLOOKUP(E823,Katalog!$A$15:$B$25,2,0)</f>
        <v>Pakaian Wanita</v>
      </c>
      <c r="H823" t="str">
        <f t="shared" si="436"/>
        <v>1</v>
      </c>
      <c r="I823" t="str">
        <f t="shared" si="437"/>
        <v>1</v>
      </c>
      <c r="J823" s="18">
        <f>VLOOKUP(E823,Katalog!$C$3:$F$13,2,0)</f>
        <v>200000</v>
      </c>
      <c r="K823" s="18">
        <f>VLOOKUP(E823,Katalog!$C$3:$F$13,3,0)</f>
        <v>100000</v>
      </c>
      <c r="L823" t="str">
        <f t="shared" si="438"/>
        <v>-</v>
      </c>
      <c r="M823" t="str">
        <f>IFERROR(INDEX(Katalog!$B$4:$B$13,MATCH('Main Data'!L823,Katalog!$C$4:$C$13,0)), "-")</f>
        <v>-</v>
      </c>
      <c r="N823" t="str">
        <f>IFERROR(VLOOKUP(L823,Katalog!$A$15:$B$25,2,0),"-")</f>
        <v>-</v>
      </c>
      <c r="O823">
        <f t="shared" si="439"/>
        <v>0</v>
      </c>
      <c r="P823" t="str">
        <f t="shared" si="440"/>
        <v>-</v>
      </c>
      <c r="Q823" s="18">
        <f>IFERROR(VLOOKUP(L823,Katalog!$C$3:$F$13,2,0),0)</f>
        <v>0</v>
      </c>
      <c r="R823" s="18">
        <f>IFERROR(VLOOKUP(L823,Katalog!$C$3:$F$13,3,0),0)</f>
        <v>0</v>
      </c>
      <c r="S823" t="str">
        <f t="shared" si="441"/>
        <v>-</v>
      </c>
      <c r="T823" t="str">
        <f>IFERROR(INDEX(Katalog!$B$4:$B$13,MATCH('Main Data'!S823,Katalog!$C$4:$C$13,0)),"-")</f>
        <v>-</v>
      </c>
      <c r="U823" t="str">
        <f>IFERROR(VLOOKUP(S823,Katalog!$A$15:$B$25,2,0),"-")</f>
        <v>-</v>
      </c>
      <c r="V823">
        <f t="shared" si="442"/>
        <v>0</v>
      </c>
      <c r="W823" s="28" t="str">
        <f t="shared" si="443"/>
        <v>-</v>
      </c>
      <c r="X823" s="18">
        <f>IFERROR(VLOOKUP(S823,Katalog!$C$3:$F$13,2,0),0)</f>
        <v>0</v>
      </c>
      <c r="Y823" s="30">
        <f>IFERROR(VLOOKUP(S823,Katalog!$C$3:$F$13,3,0),0)</f>
        <v>0</v>
      </c>
      <c r="Z823" s="2">
        <f t="shared" si="444"/>
        <v>1</v>
      </c>
      <c r="AA823" s="4">
        <f t="shared" si="445"/>
        <v>200000</v>
      </c>
      <c r="AB823" s="4">
        <f t="shared" si="446"/>
        <v>100000</v>
      </c>
      <c r="AC823" s="4" t="s">
        <v>27</v>
      </c>
      <c r="AD823" s="16">
        <f>IFERROR(VLOOKUP(AC823,'Kode Diskon'!$C$2:$D$9,2,0),0)</f>
        <v>0.15</v>
      </c>
      <c r="AE823" s="31">
        <f t="shared" si="447"/>
        <v>30000</v>
      </c>
      <c r="AF823" s="31">
        <f t="shared" si="448"/>
        <v>170000</v>
      </c>
      <c r="AG823" s="31">
        <f t="shared" si="449"/>
        <v>100000</v>
      </c>
      <c r="AH823" s="31">
        <f t="shared" si="450"/>
        <v>70000</v>
      </c>
      <c r="AI823" s="4" t="s">
        <v>28</v>
      </c>
      <c r="AJ823" s="4" t="s">
        <v>13</v>
      </c>
      <c r="AK823" s="4" t="str">
        <f>IFERROR(VLOOKUP(AJ823,'Guide '!$A$13:$B$16,2,0),"-")</f>
        <v>BB</v>
      </c>
      <c r="AL823" s="4" t="s">
        <v>922</v>
      </c>
      <c r="AM823" s="40">
        <v>45587</v>
      </c>
      <c r="AN823">
        <f t="shared" si="451"/>
        <v>29</v>
      </c>
      <c r="AO823">
        <f t="shared" si="452"/>
        <v>32</v>
      </c>
      <c r="AP823">
        <f t="shared" si="453"/>
        <v>40</v>
      </c>
      <c r="AQ823">
        <f t="shared" si="454"/>
        <v>43</v>
      </c>
      <c r="AR823" s="26" t="str">
        <f t="shared" si="455"/>
        <v>-</v>
      </c>
      <c r="AS823" s="26" t="str">
        <f t="shared" si="456"/>
        <v>-</v>
      </c>
      <c r="AT823" s="21">
        <f t="shared" si="457"/>
        <v>12</v>
      </c>
      <c r="AU823" s="21">
        <f t="shared" si="458"/>
        <v>19</v>
      </c>
      <c r="AV823" t="str">
        <f t="shared" si="459"/>
        <v>-</v>
      </c>
      <c r="AW823" t="str">
        <f t="shared" si="460"/>
        <v>-</v>
      </c>
      <c r="AX823" t="str">
        <f t="shared" si="461"/>
        <v>-</v>
      </c>
      <c r="AY823" t="str">
        <f t="shared" si="462"/>
        <v>-</v>
      </c>
      <c r="AZ823" t="str">
        <f t="shared" si="463"/>
        <v>-</v>
      </c>
      <c r="BA823" t="str">
        <f t="shared" si="464"/>
        <v>-</v>
      </c>
      <c r="BB823" t="str">
        <f t="shared" si="465"/>
        <v>-</v>
      </c>
      <c r="BC823" t="str">
        <f t="shared" si="466"/>
        <v>-</v>
      </c>
      <c r="BD823" s="29" t="str">
        <f t="shared" si="467"/>
        <v>-</v>
      </c>
      <c r="BE823" s="29" t="str">
        <f t="shared" si="468"/>
        <v>-</v>
      </c>
    </row>
    <row r="824" spans="1:57" ht="15" x14ac:dyDescent="0.2">
      <c r="A824" s="2">
        <v>409</v>
      </c>
      <c r="B824" s="2" t="str">
        <f t="shared" si="433"/>
        <v>0409</v>
      </c>
      <c r="C824" t="str">
        <f t="shared" si="434"/>
        <v>ORD-SP-0409-23/10/24</v>
      </c>
      <c r="D824" s="3" t="s">
        <v>455</v>
      </c>
      <c r="E824" t="str">
        <f t="shared" si="435"/>
        <v>SW001</v>
      </c>
      <c r="F824" t="str">
        <f>INDEX(Katalog!$B$4:$B$13,MATCH('Main Data'!E824,Katalog!$C$4:$C$13,0))</f>
        <v>Flat Shoes</v>
      </c>
      <c r="G824" t="str">
        <f>VLOOKUP(E824,Katalog!$A$15:$B$25,2,0)</f>
        <v>Sepatu Wanita</v>
      </c>
      <c r="H824" t="str">
        <f t="shared" si="436"/>
        <v>3</v>
      </c>
      <c r="I824" t="str">
        <f t="shared" si="437"/>
        <v>5</v>
      </c>
      <c r="J824" s="18">
        <f>VLOOKUP(E824,Katalog!$C$3:$F$13,2,0)</f>
        <v>150000</v>
      </c>
      <c r="K824" s="18">
        <f>VLOOKUP(E824,Katalog!$C$3:$F$13,3,0)</f>
        <v>70000</v>
      </c>
      <c r="L824" t="str">
        <f t="shared" si="438"/>
        <v>PW003</v>
      </c>
      <c r="M824" t="str">
        <f>IFERROR(INDEX(Katalog!$B$4:$B$13,MATCH('Main Data'!L824,Katalog!$C$4:$C$13,0)), "-")</f>
        <v>Kaftan</v>
      </c>
      <c r="N824" t="str">
        <f>IFERROR(VLOOKUP(L824,Katalog!$A$15:$B$25,2,0),"-")</f>
        <v>Pakaian Wanita</v>
      </c>
      <c r="O824" t="str">
        <f t="shared" si="439"/>
        <v>1</v>
      </c>
      <c r="P824" t="str">
        <f t="shared" si="440"/>
        <v>2</v>
      </c>
      <c r="Q824" s="18">
        <f>IFERROR(VLOOKUP(L824,Katalog!$C$3:$F$13,2,0),0)</f>
        <v>200000</v>
      </c>
      <c r="R824" s="18">
        <f>IFERROR(VLOOKUP(L824,Katalog!$C$3:$F$13,3,0),0)</f>
        <v>100000</v>
      </c>
      <c r="S824" t="str">
        <f t="shared" si="441"/>
        <v>-</v>
      </c>
      <c r="T824" t="str">
        <f>IFERROR(INDEX(Katalog!$B$4:$B$13,MATCH('Main Data'!S824,Katalog!$C$4:$C$13,0)),"-")</f>
        <v>-</v>
      </c>
      <c r="U824" t="str">
        <f>IFERROR(VLOOKUP(S824,Katalog!$A$15:$B$25,2,0),"-")</f>
        <v>-</v>
      </c>
      <c r="V824">
        <f t="shared" si="442"/>
        <v>0</v>
      </c>
      <c r="W824" s="28" t="str">
        <f t="shared" si="443"/>
        <v>-</v>
      </c>
      <c r="X824" s="18">
        <f>IFERROR(VLOOKUP(S824,Katalog!$C$3:$F$13,2,0),0)</f>
        <v>0</v>
      </c>
      <c r="Y824" s="30">
        <f>IFERROR(VLOOKUP(S824,Katalog!$C$3:$F$13,3,0),0)</f>
        <v>0</v>
      </c>
      <c r="Z824" s="2">
        <f t="shared" si="444"/>
        <v>4</v>
      </c>
      <c r="AA824" s="4">
        <f t="shared" si="445"/>
        <v>650000</v>
      </c>
      <c r="AB824" s="4">
        <f t="shared" si="446"/>
        <v>310000</v>
      </c>
      <c r="AC824" s="4" t="s">
        <v>7</v>
      </c>
      <c r="AD824" s="16">
        <f>IFERROR(VLOOKUP(AC824,'Kode Diskon'!$C$2:$D$9,2,0),0)</f>
        <v>0.2</v>
      </c>
      <c r="AE824" s="31">
        <f t="shared" si="447"/>
        <v>130000</v>
      </c>
      <c r="AF824" s="31">
        <f t="shared" si="448"/>
        <v>520000</v>
      </c>
      <c r="AG824" s="31">
        <f t="shared" si="449"/>
        <v>340000</v>
      </c>
      <c r="AH824" s="31">
        <f t="shared" si="450"/>
        <v>210000</v>
      </c>
      <c r="AI824" s="4" t="s">
        <v>8</v>
      </c>
      <c r="AJ824" s="4" t="s">
        <v>6</v>
      </c>
      <c r="AK824" s="4" t="str">
        <f>IFERROR(VLOOKUP(AJ824,'Guide '!$A$13:$B$16,2,0),"-")</f>
        <v>SP</v>
      </c>
      <c r="AL824" s="4" t="s">
        <v>924</v>
      </c>
      <c r="AM824" s="40">
        <v>45588</v>
      </c>
      <c r="AN824">
        <f t="shared" si="451"/>
        <v>29</v>
      </c>
      <c r="AO824">
        <f t="shared" si="452"/>
        <v>32</v>
      </c>
      <c r="AP824">
        <f t="shared" si="453"/>
        <v>40</v>
      </c>
      <c r="AQ824">
        <f t="shared" si="454"/>
        <v>43</v>
      </c>
      <c r="AR824" s="26">
        <f t="shared" si="455"/>
        <v>56</v>
      </c>
      <c r="AS824" s="26">
        <f t="shared" si="456"/>
        <v>63</v>
      </c>
      <c r="AT824" s="21">
        <f t="shared" si="457"/>
        <v>12</v>
      </c>
      <c r="AU824" s="21">
        <f t="shared" si="458"/>
        <v>19</v>
      </c>
      <c r="AV824">
        <f t="shared" si="459"/>
        <v>73</v>
      </c>
      <c r="AW824">
        <f t="shared" si="460"/>
        <v>76</v>
      </c>
      <c r="AX824">
        <f t="shared" si="461"/>
        <v>84</v>
      </c>
      <c r="AY824">
        <f t="shared" si="462"/>
        <v>87</v>
      </c>
      <c r="AZ824" t="str">
        <f t="shared" si="463"/>
        <v>-</v>
      </c>
      <c r="BA824" t="str">
        <f t="shared" si="464"/>
        <v>-</v>
      </c>
      <c r="BB824" t="str">
        <f t="shared" si="465"/>
        <v>-</v>
      </c>
      <c r="BC824" t="str">
        <f t="shared" si="466"/>
        <v>-</v>
      </c>
      <c r="BD824" s="29" t="str">
        <f t="shared" si="467"/>
        <v>-</v>
      </c>
      <c r="BE824" s="29" t="str">
        <f t="shared" si="468"/>
        <v>-</v>
      </c>
    </row>
    <row r="825" spans="1:57" ht="15" x14ac:dyDescent="0.2">
      <c r="A825" s="2">
        <v>883</v>
      </c>
      <c r="B825" s="2" t="str">
        <f t="shared" si="433"/>
        <v>0883</v>
      </c>
      <c r="C825" t="str">
        <f t="shared" si="434"/>
        <v>ORD-SP-0883-23/10/24</v>
      </c>
      <c r="D825" s="3" t="s">
        <v>824</v>
      </c>
      <c r="E825" t="str">
        <f t="shared" si="435"/>
        <v>PW003</v>
      </c>
      <c r="F825" t="str">
        <f>INDEX(Katalog!$B$4:$B$13,MATCH('Main Data'!E825,Katalog!$C$4:$C$13,0))</f>
        <v>Kaftan</v>
      </c>
      <c r="G825" t="str">
        <f>VLOOKUP(E825,Katalog!$A$15:$B$25,2,0)</f>
        <v>Pakaian Wanita</v>
      </c>
      <c r="H825" t="str">
        <f t="shared" si="436"/>
        <v>2</v>
      </c>
      <c r="I825" t="str">
        <f t="shared" si="437"/>
        <v>2</v>
      </c>
      <c r="J825" s="18">
        <f>VLOOKUP(E825,Katalog!$C$3:$F$13,2,0)</f>
        <v>200000</v>
      </c>
      <c r="K825" s="18">
        <f>VLOOKUP(E825,Katalog!$C$3:$F$13,3,0)</f>
        <v>100000</v>
      </c>
      <c r="L825" t="str">
        <f t="shared" si="438"/>
        <v>PW002</v>
      </c>
      <c r="M825" t="str">
        <f>IFERROR(INDEX(Katalog!$B$4:$B$13,MATCH('Main Data'!L825,Katalog!$C$4:$C$13,0)), "-")</f>
        <v>Blouse</v>
      </c>
      <c r="N825" t="str">
        <f>IFERROR(VLOOKUP(L825,Katalog!$A$15:$B$25,2,0),"-")</f>
        <v>Pakaian Wanita</v>
      </c>
      <c r="O825" t="str">
        <f t="shared" si="439"/>
        <v>1</v>
      </c>
      <c r="P825" t="str">
        <f t="shared" si="440"/>
        <v>5</v>
      </c>
      <c r="Q825" s="18">
        <f>IFERROR(VLOOKUP(L825,Katalog!$C$3:$F$13,2,0),0)</f>
        <v>125000</v>
      </c>
      <c r="R825" s="18">
        <f>IFERROR(VLOOKUP(L825,Katalog!$C$3:$F$13,3,0),0)</f>
        <v>50000</v>
      </c>
      <c r="S825" t="str">
        <f t="shared" si="441"/>
        <v>SW001</v>
      </c>
      <c r="T825" t="str">
        <f>IFERROR(INDEX(Katalog!$B$4:$B$13,MATCH('Main Data'!S825,Katalog!$C$4:$C$13,0)),"-")</f>
        <v>Flat Shoes</v>
      </c>
      <c r="U825" t="str">
        <f>IFERROR(VLOOKUP(S825,Katalog!$A$15:$B$25,2,0),"-")</f>
        <v>Sepatu Wanita</v>
      </c>
      <c r="V825" t="str">
        <f t="shared" si="442"/>
        <v>1</v>
      </c>
      <c r="W825" s="28" t="str">
        <f t="shared" si="443"/>
        <v>4</v>
      </c>
      <c r="X825" s="18">
        <f>IFERROR(VLOOKUP(S825,Katalog!$C$3:$F$13,2,0),0)</f>
        <v>150000</v>
      </c>
      <c r="Y825" s="30">
        <f>IFERROR(VLOOKUP(S825,Katalog!$C$3:$F$13,3,0),0)</f>
        <v>70000</v>
      </c>
      <c r="Z825" s="2">
        <f t="shared" si="444"/>
        <v>4</v>
      </c>
      <c r="AA825" s="4">
        <f t="shared" si="445"/>
        <v>675000</v>
      </c>
      <c r="AB825" s="4">
        <f t="shared" si="446"/>
        <v>320000</v>
      </c>
      <c r="AC825" s="4" t="s">
        <v>12</v>
      </c>
      <c r="AD825" s="16">
        <f>IFERROR(VLOOKUP(AC825,'Kode Diskon'!$C$2:$D$9,2,0),0)</f>
        <v>0.15</v>
      </c>
      <c r="AE825" s="31">
        <f t="shared" si="447"/>
        <v>101250</v>
      </c>
      <c r="AF825" s="31">
        <f t="shared" si="448"/>
        <v>573750</v>
      </c>
      <c r="AG825" s="31">
        <f t="shared" si="449"/>
        <v>355000</v>
      </c>
      <c r="AH825" s="31">
        <f t="shared" si="450"/>
        <v>253750</v>
      </c>
      <c r="AI825" s="4" t="s">
        <v>28</v>
      </c>
      <c r="AJ825" s="4" t="s">
        <v>6</v>
      </c>
      <c r="AK825" s="4" t="str">
        <f>IFERROR(VLOOKUP(AJ825,'Guide '!$A$13:$B$16,2,0),"-")</f>
        <v>SP</v>
      </c>
      <c r="AL825" s="4" t="s">
        <v>921</v>
      </c>
      <c r="AM825" s="40">
        <v>45588</v>
      </c>
      <c r="AN825">
        <f t="shared" si="451"/>
        <v>29</v>
      </c>
      <c r="AO825">
        <f t="shared" si="452"/>
        <v>32</v>
      </c>
      <c r="AP825">
        <f t="shared" si="453"/>
        <v>40</v>
      </c>
      <c r="AQ825">
        <f t="shared" si="454"/>
        <v>43</v>
      </c>
      <c r="AR825" s="26">
        <f t="shared" si="455"/>
        <v>56</v>
      </c>
      <c r="AS825" s="26">
        <f t="shared" si="456"/>
        <v>63</v>
      </c>
      <c r="AT825" s="21">
        <f t="shared" si="457"/>
        <v>12</v>
      </c>
      <c r="AU825" s="21">
        <f t="shared" si="458"/>
        <v>19</v>
      </c>
      <c r="AV825">
        <f t="shared" si="459"/>
        <v>73</v>
      </c>
      <c r="AW825">
        <f t="shared" si="460"/>
        <v>76</v>
      </c>
      <c r="AX825">
        <f t="shared" si="461"/>
        <v>84</v>
      </c>
      <c r="AY825">
        <f t="shared" si="462"/>
        <v>87</v>
      </c>
      <c r="AZ825">
        <f t="shared" si="463"/>
        <v>100</v>
      </c>
      <c r="BA825">
        <f t="shared" si="464"/>
        <v>107</v>
      </c>
      <c r="BB825">
        <f t="shared" si="465"/>
        <v>117</v>
      </c>
      <c r="BC825">
        <f t="shared" si="466"/>
        <v>120</v>
      </c>
      <c r="BD825" s="29">
        <f t="shared" si="467"/>
        <v>128</v>
      </c>
      <c r="BE825" s="29">
        <f t="shared" si="468"/>
        <v>131</v>
      </c>
    </row>
    <row r="826" spans="1:57" ht="15" x14ac:dyDescent="0.2">
      <c r="A826" s="2">
        <v>999</v>
      </c>
      <c r="B826" s="2" t="str">
        <f t="shared" si="433"/>
        <v>0999</v>
      </c>
      <c r="C826" t="str">
        <f t="shared" si="434"/>
        <v>ORD-BL-0999-23/10/24</v>
      </c>
      <c r="D826" s="3" t="s">
        <v>917</v>
      </c>
      <c r="E826" t="str">
        <f t="shared" si="435"/>
        <v>PW002</v>
      </c>
      <c r="F826" t="str">
        <f>INDEX(Katalog!$B$4:$B$13,MATCH('Main Data'!E826,Katalog!$C$4:$C$13,0))</f>
        <v>Blouse</v>
      </c>
      <c r="G826" t="str">
        <f>VLOOKUP(E826,Katalog!$A$15:$B$25,2,0)</f>
        <v>Pakaian Wanita</v>
      </c>
      <c r="H826" t="str">
        <f t="shared" si="436"/>
        <v>2</v>
      </c>
      <c r="I826" t="str">
        <f t="shared" si="437"/>
        <v>3</v>
      </c>
      <c r="J826" s="18">
        <f>VLOOKUP(E826,Katalog!$C$3:$F$13,2,0)</f>
        <v>125000</v>
      </c>
      <c r="K826" s="18">
        <f>VLOOKUP(E826,Katalog!$C$3:$F$13,3,0)</f>
        <v>50000</v>
      </c>
      <c r="L826" t="str">
        <f t="shared" si="438"/>
        <v>PU001</v>
      </c>
      <c r="M826" t="str">
        <f>IFERROR(INDEX(Katalog!$B$4:$B$13,MATCH('Main Data'!L826,Katalog!$C$4:$C$13,0)), "-")</f>
        <v>Jaket Hoodie</v>
      </c>
      <c r="N826" t="str">
        <f>IFERROR(VLOOKUP(L826,Katalog!$A$15:$B$25,2,0),"-")</f>
        <v>Pakaian Unisex</v>
      </c>
      <c r="O826" t="str">
        <f t="shared" si="439"/>
        <v>1</v>
      </c>
      <c r="P826" t="str">
        <f t="shared" si="440"/>
        <v>3</v>
      </c>
      <c r="Q826" s="18">
        <f>IFERROR(VLOOKUP(L826,Katalog!$C$3:$F$13,2,0),0)</f>
        <v>160000</v>
      </c>
      <c r="R826" s="18">
        <f>IFERROR(VLOOKUP(L826,Katalog!$C$3:$F$13,3,0),0)</f>
        <v>60000</v>
      </c>
      <c r="S826" t="str">
        <f t="shared" si="441"/>
        <v>-</v>
      </c>
      <c r="T826" t="str">
        <f>IFERROR(INDEX(Katalog!$B$4:$B$13,MATCH('Main Data'!S826,Katalog!$C$4:$C$13,0)),"-")</f>
        <v>-</v>
      </c>
      <c r="U826" t="str">
        <f>IFERROR(VLOOKUP(S826,Katalog!$A$15:$B$25,2,0),"-")</f>
        <v>-</v>
      </c>
      <c r="V826">
        <f t="shared" si="442"/>
        <v>0</v>
      </c>
      <c r="W826" s="28" t="str">
        <f t="shared" si="443"/>
        <v>-</v>
      </c>
      <c r="X826" s="18">
        <f>IFERROR(VLOOKUP(S826,Katalog!$C$3:$F$13,2,0),0)</f>
        <v>0</v>
      </c>
      <c r="Y826" s="30">
        <f>IFERROR(VLOOKUP(S826,Katalog!$C$3:$F$13,3,0),0)</f>
        <v>0</v>
      </c>
      <c r="Z826" s="2">
        <f t="shared" si="444"/>
        <v>3</v>
      </c>
      <c r="AA826" s="4">
        <f t="shared" si="445"/>
        <v>410000</v>
      </c>
      <c r="AB826" s="4">
        <f t="shared" si="446"/>
        <v>160000</v>
      </c>
      <c r="AC826" s="4" t="s">
        <v>31</v>
      </c>
      <c r="AD826" s="16">
        <f>IFERROR(VLOOKUP(AC826,'Kode Diskon'!$C$2:$D$9,2,0),0)</f>
        <v>0.15</v>
      </c>
      <c r="AE826" s="31">
        <f t="shared" si="447"/>
        <v>61500</v>
      </c>
      <c r="AF826" s="31">
        <f t="shared" si="448"/>
        <v>348500</v>
      </c>
      <c r="AG826" s="31">
        <f t="shared" si="449"/>
        <v>250000</v>
      </c>
      <c r="AH826" s="31">
        <f t="shared" si="450"/>
        <v>188500</v>
      </c>
      <c r="AI826" s="4" t="s">
        <v>8</v>
      </c>
      <c r="AJ826" s="4" t="s">
        <v>11</v>
      </c>
      <c r="AK826" s="4" t="str">
        <f>IFERROR(VLOOKUP(AJ826,'Guide '!$A$13:$B$16,2,0),"-")</f>
        <v>BL</v>
      </c>
      <c r="AL826" s="4" t="s">
        <v>924</v>
      </c>
      <c r="AM826" s="40">
        <v>45588</v>
      </c>
      <c r="AN826">
        <f t="shared" si="451"/>
        <v>29</v>
      </c>
      <c r="AO826">
        <f t="shared" si="452"/>
        <v>32</v>
      </c>
      <c r="AP826">
        <f t="shared" si="453"/>
        <v>40</v>
      </c>
      <c r="AQ826">
        <f t="shared" si="454"/>
        <v>43</v>
      </c>
      <c r="AR826" s="26">
        <f t="shared" si="455"/>
        <v>56</v>
      </c>
      <c r="AS826" s="26">
        <f t="shared" si="456"/>
        <v>63</v>
      </c>
      <c r="AT826" s="21">
        <f t="shared" si="457"/>
        <v>12</v>
      </c>
      <c r="AU826" s="21">
        <f t="shared" si="458"/>
        <v>19</v>
      </c>
      <c r="AV826">
        <f t="shared" si="459"/>
        <v>73</v>
      </c>
      <c r="AW826">
        <f t="shared" si="460"/>
        <v>76</v>
      </c>
      <c r="AX826">
        <f t="shared" si="461"/>
        <v>84</v>
      </c>
      <c r="AY826">
        <f t="shared" si="462"/>
        <v>87</v>
      </c>
      <c r="AZ826" t="str">
        <f t="shared" si="463"/>
        <v>-</v>
      </c>
      <c r="BA826" t="str">
        <f t="shared" si="464"/>
        <v>-</v>
      </c>
      <c r="BB826" t="str">
        <f t="shared" si="465"/>
        <v>-</v>
      </c>
      <c r="BC826" t="str">
        <f t="shared" si="466"/>
        <v>-</v>
      </c>
      <c r="BD826" s="29" t="str">
        <f t="shared" si="467"/>
        <v>-</v>
      </c>
      <c r="BE826" s="29" t="str">
        <f t="shared" si="468"/>
        <v>-</v>
      </c>
    </row>
    <row r="827" spans="1:57" ht="15" x14ac:dyDescent="0.2">
      <c r="A827" s="2">
        <v>879</v>
      </c>
      <c r="B827" s="2" t="str">
        <f t="shared" si="433"/>
        <v>0879</v>
      </c>
      <c r="C827" t="str">
        <f t="shared" si="434"/>
        <v>ORD-BL-0879-24/10/24</v>
      </c>
      <c r="D827" s="3" t="s">
        <v>821</v>
      </c>
      <c r="E827" t="str">
        <f t="shared" si="435"/>
        <v>SP001</v>
      </c>
      <c r="F827" t="str">
        <f>INDEX(Katalog!$B$4:$B$13,MATCH('Main Data'!E827,Katalog!$C$4:$C$13,0))</f>
        <v>Sneakers</v>
      </c>
      <c r="G827" t="str">
        <f>VLOOKUP(E827,Katalog!$A$15:$B$25,2,0)</f>
        <v>Sepatu Pria</v>
      </c>
      <c r="H827" t="str">
        <f t="shared" si="436"/>
        <v>7</v>
      </c>
      <c r="I827" t="str">
        <f t="shared" si="437"/>
        <v>2</v>
      </c>
      <c r="J827" s="18">
        <f>VLOOKUP(E827,Katalog!$C$3:$F$13,2,0)</f>
        <v>300000</v>
      </c>
      <c r="K827" s="18">
        <f>VLOOKUP(E827,Katalog!$C$3:$F$13,3,0)</f>
        <v>100000</v>
      </c>
      <c r="L827" t="str">
        <f t="shared" si="438"/>
        <v>-</v>
      </c>
      <c r="M827" t="str">
        <f>IFERROR(INDEX(Katalog!$B$4:$B$13,MATCH('Main Data'!L827,Katalog!$C$4:$C$13,0)), "-")</f>
        <v>-</v>
      </c>
      <c r="N827" t="str">
        <f>IFERROR(VLOOKUP(L827,Katalog!$A$15:$B$25,2,0),"-")</f>
        <v>-</v>
      </c>
      <c r="O827">
        <f t="shared" si="439"/>
        <v>0</v>
      </c>
      <c r="P827" t="str">
        <f t="shared" si="440"/>
        <v>-</v>
      </c>
      <c r="Q827" s="18">
        <f>IFERROR(VLOOKUP(L827,Katalog!$C$3:$F$13,2,0),0)</f>
        <v>0</v>
      </c>
      <c r="R827" s="18">
        <f>IFERROR(VLOOKUP(L827,Katalog!$C$3:$F$13,3,0),0)</f>
        <v>0</v>
      </c>
      <c r="S827" t="str">
        <f t="shared" si="441"/>
        <v>-</v>
      </c>
      <c r="T827" t="str">
        <f>IFERROR(INDEX(Katalog!$B$4:$B$13,MATCH('Main Data'!S827,Katalog!$C$4:$C$13,0)),"-")</f>
        <v>-</v>
      </c>
      <c r="U827" t="str">
        <f>IFERROR(VLOOKUP(S827,Katalog!$A$15:$B$25,2,0),"-")</f>
        <v>-</v>
      </c>
      <c r="V827">
        <f t="shared" si="442"/>
        <v>0</v>
      </c>
      <c r="W827" s="28" t="str">
        <f t="shared" si="443"/>
        <v>-</v>
      </c>
      <c r="X827" s="18">
        <f>IFERROR(VLOOKUP(S827,Katalog!$C$3:$F$13,2,0),0)</f>
        <v>0</v>
      </c>
      <c r="Y827" s="30">
        <f>IFERROR(VLOOKUP(S827,Katalog!$C$3:$F$13,3,0),0)</f>
        <v>0</v>
      </c>
      <c r="Z827" s="2">
        <f t="shared" si="444"/>
        <v>7</v>
      </c>
      <c r="AA827" s="4">
        <f t="shared" si="445"/>
        <v>2100000</v>
      </c>
      <c r="AB827" s="4">
        <f t="shared" si="446"/>
        <v>700000</v>
      </c>
      <c r="AC827" s="4" t="s">
        <v>31</v>
      </c>
      <c r="AD827" s="16">
        <f>IFERROR(VLOOKUP(AC827,'Kode Diskon'!$C$2:$D$9,2,0),0)</f>
        <v>0.15</v>
      </c>
      <c r="AE827" s="31">
        <f t="shared" si="447"/>
        <v>315000</v>
      </c>
      <c r="AF827" s="31">
        <f t="shared" si="448"/>
        <v>1785000</v>
      </c>
      <c r="AG827" s="31">
        <f t="shared" si="449"/>
        <v>1400000</v>
      </c>
      <c r="AH827" s="31">
        <f t="shared" si="450"/>
        <v>1085000</v>
      </c>
      <c r="AI827" s="4" t="s">
        <v>8</v>
      </c>
      <c r="AJ827" s="4" t="s">
        <v>11</v>
      </c>
      <c r="AK827" s="4" t="str">
        <f>IFERROR(VLOOKUP(AJ827,'Guide '!$A$13:$B$16,2,0),"-")</f>
        <v>BL</v>
      </c>
      <c r="AL827" s="4" t="s">
        <v>925</v>
      </c>
      <c r="AM827" s="40">
        <v>45589</v>
      </c>
      <c r="AN827">
        <f t="shared" si="451"/>
        <v>29</v>
      </c>
      <c r="AO827">
        <f t="shared" si="452"/>
        <v>32</v>
      </c>
      <c r="AP827">
        <f t="shared" si="453"/>
        <v>40</v>
      </c>
      <c r="AQ827">
        <f t="shared" si="454"/>
        <v>43</v>
      </c>
      <c r="AR827" s="26" t="str">
        <f t="shared" si="455"/>
        <v>-</v>
      </c>
      <c r="AS827" s="26" t="str">
        <f t="shared" si="456"/>
        <v>-</v>
      </c>
      <c r="AT827" s="21">
        <f t="shared" si="457"/>
        <v>12</v>
      </c>
      <c r="AU827" s="21">
        <f t="shared" si="458"/>
        <v>19</v>
      </c>
      <c r="AV827" t="str">
        <f t="shared" si="459"/>
        <v>-</v>
      </c>
      <c r="AW827" t="str">
        <f t="shared" si="460"/>
        <v>-</v>
      </c>
      <c r="AX827" t="str">
        <f t="shared" si="461"/>
        <v>-</v>
      </c>
      <c r="AY827" t="str">
        <f t="shared" si="462"/>
        <v>-</v>
      </c>
      <c r="AZ827" t="str">
        <f t="shared" si="463"/>
        <v>-</v>
      </c>
      <c r="BA827" t="str">
        <f t="shared" si="464"/>
        <v>-</v>
      </c>
      <c r="BB827" t="str">
        <f t="shared" si="465"/>
        <v>-</v>
      </c>
      <c r="BC827" t="str">
        <f t="shared" si="466"/>
        <v>-</v>
      </c>
      <c r="BD827" s="29" t="str">
        <f t="shared" si="467"/>
        <v>-</v>
      </c>
      <c r="BE827" s="29" t="str">
        <f t="shared" si="468"/>
        <v>-</v>
      </c>
    </row>
    <row r="828" spans="1:57" ht="15" x14ac:dyDescent="0.2">
      <c r="A828" s="2">
        <v>930</v>
      </c>
      <c r="B828" s="2" t="str">
        <f t="shared" si="433"/>
        <v>0930</v>
      </c>
      <c r="C828" t="str">
        <f t="shared" si="434"/>
        <v>ORD-TK-0930-24/10/24</v>
      </c>
      <c r="D828" s="3" t="s">
        <v>862</v>
      </c>
      <c r="E828" t="str">
        <f t="shared" si="435"/>
        <v>SW001</v>
      </c>
      <c r="F828" t="str">
        <f>INDEX(Katalog!$B$4:$B$13,MATCH('Main Data'!E828,Katalog!$C$4:$C$13,0))</f>
        <v>Flat Shoes</v>
      </c>
      <c r="G828" t="str">
        <f>VLOOKUP(E828,Katalog!$A$15:$B$25,2,0)</f>
        <v>Sepatu Wanita</v>
      </c>
      <c r="H828" t="str">
        <f t="shared" si="436"/>
        <v>5</v>
      </c>
      <c r="I828" t="str">
        <f t="shared" si="437"/>
        <v>1</v>
      </c>
      <c r="J828" s="18">
        <f>VLOOKUP(E828,Katalog!$C$3:$F$13,2,0)</f>
        <v>150000</v>
      </c>
      <c r="K828" s="18">
        <f>VLOOKUP(E828,Katalog!$C$3:$F$13,3,0)</f>
        <v>70000</v>
      </c>
      <c r="L828" t="str">
        <f t="shared" si="438"/>
        <v>-</v>
      </c>
      <c r="M828" t="str">
        <f>IFERROR(INDEX(Katalog!$B$4:$B$13,MATCH('Main Data'!L828,Katalog!$C$4:$C$13,0)), "-")</f>
        <v>-</v>
      </c>
      <c r="N828" t="str">
        <f>IFERROR(VLOOKUP(L828,Katalog!$A$15:$B$25,2,0),"-")</f>
        <v>-</v>
      </c>
      <c r="O828">
        <f t="shared" si="439"/>
        <v>0</v>
      </c>
      <c r="P828" t="str">
        <f t="shared" si="440"/>
        <v>-</v>
      </c>
      <c r="Q828" s="18">
        <f>IFERROR(VLOOKUP(L828,Katalog!$C$3:$F$13,2,0),0)</f>
        <v>0</v>
      </c>
      <c r="R828" s="18">
        <f>IFERROR(VLOOKUP(L828,Katalog!$C$3:$F$13,3,0),0)</f>
        <v>0</v>
      </c>
      <c r="S828" t="str">
        <f t="shared" si="441"/>
        <v>-</v>
      </c>
      <c r="T828" t="str">
        <f>IFERROR(INDEX(Katalog!$B$4:$B$13,MATCH('Main Data'!S828,Katalog!$C$4:$C$13,0)),"-")</f>
        <v>-</v>
      </c>
      <c r="U828" t="str">
        <f>IFERROR(VLOOKUP(S828,Katalog!$A$15:$B$25,2,0),"-")</f>
        <v>-</v>
      </c>
      <c r="V828">
        <f t="shared" si="442"/>
        <v>0</v>
      </c>
      <c r="W828" s="28" t="str">
        <f t="shared" si="443"/>
        <v>-</v>
      </c>
      <c r="X828" s="18">
        <f>IFERROR(VLOOKUP(S828,Katalog!$C$3:$F$13,2,0),0)</f>
        <v>0</v>
      </c>
      <c r="Y828" s="30">
        <f>IFERROR(VLOOKUP(S828,Katalog!$C$3:$F$13,3,0),0)</f>
        <v>0</v>
      </c>
      <c r="Z828" s="2">
        <f t="shared" si="444"/>
        <v>5</v>
      </c>
      <c r="AA828" s="4">
        <f t="shared" si="445"/>
        <v>750000</v>
      </c>
      <c r="AB828" s="4">
        <f t="shared" si="446"/>
        <v>350000</v>
      </c>
      <c r="AC828" s="4" t="s">
        <v>29</v>
      </c>
      <c r="AD828" s="16">
        <f>IFERROR(VLOOKUP(AC828,'Kode Diskon'!$C$2:$D$9,2,0),0)</f>
        <v>0.1</v>
      </c>
      <c r="AE828" s="31">
        <f t="shared" si="447"/>
        <v>75000</v>
      </c>
      <c r="AF828" s="31">
        <f t="shared" si="448"/>
        <v>675000</v>
      </c>
      <c r="AG828" s="31">
        <f t="shared" si="449"/>
        <v>400000</v>
      </c>
      <c r="AH828" s="31">
        <f t="shared" si="450"/>
        <v>325000</v>
      </c>
      <c r="AI828" s="4" t="s">
        <v>28</v>
      </c>
      <c r="AJ828" s="4" t="s">
        <v>9</v>
      </c>
      <c r="AK828" s="4" t="str">
        <f>IFERROR(VLOOKUP(AJ828,'Guide '!$A$13:$B$16,2,0),"-")</f>
        <v>TK</v>
      </c>
      <c r="AL828" s="4" t="s">
        <v>921</v>
      </c>
      <c r="AM828" s="40">
        <v>45589</v>
      </c>
      <c r="AN828">
        <f t="shared" si="451"/>
        <v>29</v>
      </c>
      <c r="AO828">
        <f t="shared" si="452"/>
        <v>32</v>
      </c>
      <c r="AP828">
        <f t="shared" si="453"/>
        <v>40</v>
      </c>
      <c r="AQ828">
        <f t="shared" si="454"/>
        <v>43</v>
      </c>
      <c r="AR828" s="26" t="str">
        <f t="shared" si="455"/>
        <v>-</v>
      </c>
      <c r="AS828" s="26" t="str">
        <f t="shared" si="456"/>
        <v>-</v>
      </c>
      <c r="AT828" s="21">
        <f t="shared" si="457"/>
        <v>12</v>
      </c>
      <c r="AU828" s="21">
        <f t="shared" si="458"/>
        <v>19</v>
      </c>
      <c r="AV828" t="str">
        <f t="shared" si="459"/>
        <v>-</v>
      </c>
      <c r="AW828" t="str">
        <f t="shared" si="460"/>
        <v>-</v>
      </c>
      <c r="AX828" t="str">
        <f t="shared" si="461"/>
        <v>-</v>
      </c>
      <c r="AY828" t="str">
        <f t="shared" si="462"/>
        <v>-</v>
      </c>
      <c r="AZ828" t="str">
        <f t="shared" si="463"/>
        <v>-</v>
      </c>
      <c r="BA828" t="str">
        <f t="shared" si="464"/>
        <v>-</v>
      </c>
      <c r="BB828" t="str">
        <f t="shared" si="465"/>
        <v>-</v>
      </c>
      <c r="BC828" t="str">
        <f t="shared" si="466"/>
        <v>-</v>
      </c>
      <c r="BD828" s="29" t="str">
        <f t="shared" si="467"/>
        <v>-</v>
      </c>
      <c r="BE828" s="29" t="str">
        <f t="shared" si="468"/>
        <v>-</v>
      </c>
    </row>
    <row r="829" spans="1:57" ht="15" x14ac:dyDescent="0.2">
      <c r="A829" s="2">
        <v>292</v>
      </c>
      <c r="B829" s="2" t="str">
        <f t="shared" si="433"/>
        <v>0292</v>
      </c>
      <c r="C829" t="str">
        <f t="shared" si="434"/>
        <v>ORD-BB-0292-25/10/24</v>
      </c>
      <c r="D829" s="3" t="s">
        <v>348</v>
      </c>
      <c r="E829" t="str">
        <f t="shared" si="435"/>
        <v>SW001</v>
      </c>
      <c r="F829" t="str">
        <f>INDEX(Katalog!$B$4:$B$13,MATCH('Main Data'!E829,Katalog!$C$4:$C$13,0))</f>
        <v>Flat Shoes</v>
      </c>
      <c r="G829" t="str">
        <f>VLOOKUP(E829,Katalog!$A$15:$B$25,2,0)</f>
        <v>Sepatu Wanita</v>
      </c>
      <c r="H829" t="str">
        <f t="shared" si="436"/>
        <v>3</v>
      </c>
      <c r="I829" t="str">
        <f t="shared" si="437"/>
        <v>2</v>
      </c>
      <c r="J829" s="18">
        <f>VLOOKUP(E829,Katalog!$C$3:$F$13,2,0)</f>
        <v>150000</v>
      </c>
      <c r="K829" s="18">
        <f>VLOOKUP(E829,Katalog!$C$3:$F$13,3,0)</f>
        <v>70000</v>
      </c>
      <c r="L829" t="str">
        <f t="shared" si="438"/>
        <v>-</v>
      </c>
      <c r="M829" t="str">
        <f>IFERROR(INDEX(Katalog!$B$4:$B$13,MATCH('Main Data'!L829,Katalog!$C$4:$C$13,0)), "-")</f>
        <v>-</v>
      </c>
      <c r="N829" t="str">
        <f>IFERROR(VLOOKUP(L829,Katalog!$A$15:$B$25,2,0),"-")</f>
        <v>-</v>
      </c>
      <c r="O829">
        <f t="shared" si="439"/>
        <v>0</v>
      </c>
      <c r="P829" t="str">
        <f t="shared" si="440"/>
        <v>-</v>
      </c>
      <c r="Q829" s="18">
        <f>IFERROR(VLOOKUP(L829,Katalog!$C$3:$F$13,2,0),0)</f>
        <v>0</v>
      </c>
      <c r="R829" s="18">
        <f>IFERROR(VLOOKUP(L829,Katalog!$C$3:$F$13,3,0),0)</f>
        <v>0</v>
      </c>
      <c r="S829" t="str">
        <f t="shared" si="441"/>
        <v>-</v>
      </c>
      <c r="T829" t="str">
        <f>IFERROR(INDEX(Katalog!$B$4:$B$13,MATCH('Main Data'!S829,Katalog!$C$4:$C$13,0)),"-")</f>
        <v>-</v>
      </c>
      <c r="U829" t="str">
        <f>IFERROR(VLOOKUP(S829,Katalog!$A$15:$B$25,2,0),"-")</f>
        <v>-</v>
      </c>
      <c r="V829">
        <f t="shared" si="442"/>
        <v>0</v>
      </c>
      <c r="W829" s="28" t="str">
        <f t="shared" si="443"/>
        <v>-</v>
      </c>
      <c r="X829" s="18">
        <f>IFERROR(VLOOKUP(S829,Katalog!$C$3:$F$13,2,0),0)</f>
        <v>0</v>
      </c>
      <c r="Y829" s="30">
        <f>IFERROR(VLOOKUP(S829,Katalog!$C$3:$F$13,3,0),0)</f>
        <v>0</v>
      </c>
      <c r="Z829" s="2">
        <f t="shared" si="444"/>
        <v>3</v>
      </c>
      <c r="AA829" s="4">
        <f t="shared" si="445"/>
        <v>450000</v>
      </c>
      <c r="AB829" s="4">
        <f t="shared" si="446"/>
        <v>210000</v>
      </c>
      <c r="AC829" s="4" t="s">
        <v>27</v>
      </c>
      <c r="AD829" s="16">
        <f>IFERROR(VLOOKUP(AC829,'Kode Diskon'!$C$2:$D$9,2,0),0)</f>
        <v>0.15</v>
      </c>
      <c r="AE829" s="31">
        <f t="shared" si="447"/>
        <v>67500</v>
      </c>
      <c r="AF829" s="31">
        <f t="shared" si="448"/>
        <v>382500</v>
      </c>
      <c r="AG829" s="31">
        <f t="shared" si="449"/>
        <v>240000</v>
      </c>
      <c r="AH829" s="31">
        <f t="shared" si="450"/>
        <v>172500</v>
      </c>
      <c r="AI829" s="4" t="s">
        <v>28</v>
      </c>
      <c r="AJ829" s="4" t="s">
        <v>13</v>
      </c>
      <c r="AK829" s="4" t="str">
        <f>IFERROR(VLOOKUP(AJ829,'Guide '!$A$13:$B$16,2,0),"-")</f>
        <v>BB</v>
      </c>
      <c r="AL829" s="4" t="s">
        <v>925</v>
      </c>
      <c r="AM829" s="40">
        <v>45590</v>
      </c>
      <c r="AN829">
        <f t="shared" si="451"/>
        <v>29</v>
      </c>
      <c r="AO829">
        <f t="shared" si="452"/>
        <v>32</v>
      </c>
      <c r="AP829">
        <f t="shared" si="453"/>
        <v>40</v>
      </c>
      <c r="AQ829">
        <f t="shared" si="454"/>
        <v>43</v>
      </c>
      <c r="AR829" s="26" t="str">
        <f t="shared" si="455"/>
        <v>-</v>
      </c>
      <c r="AS829" s="26" t="str">
        <f t="shared" si="456"/>
        <v>-</v>
      </c>
      <c r="AT829" s="21">
        <f t="shared" si="457"/>
        <v>12</v>
      </c>
      <c r="AU829" s="21">
        <f t="shared" si="458"/>
        <v>19</v>
      </c>
      <c r="AV829" t="str">
        <f t="shared" si="459"/>
        <v>-</v>
      </c>
      <c r="AW829" t="str">
        <f t="shared" si="460"/>
        <v>-</v>
      </c>
      <c r="AX829" t="str">
        <f t="shared" si="461"/>
        <v>-</v>
      </c>
      <c r="AY829" t="str">
        <f t="shared" si="462"/>
        <v>-</v>
      </c>
      <c r="AZ829" t="str">
        <f t="shared" si="463"/>
        <v>-</v>
      </c>
      <c r="BA829" t="str">
        <f t="shared" si="464"/>
        <v>-</v>
      </c>
      <c r="BB829" t="str">
        <f t="shared" si="465"/>
        <v>-</v>
      </c>
      <c r="BC829" t="str">
        <f t="shared" si="466"/>
        <v>-</v>
      </c>
      <c r="BD829" s="29" t="str">
        <f t="shared" si="467"/>
        <v>-</v>
      </c>
      <c r="BE829" s="29" t="str">
        <f t="shared" si="468"/>
        <v>-</v>
      </c>
    </row>
    <row r="830" spans="1:57" ht="15" x14ac:dyDescent="0.2">
      <c r="A830" s="2">
        <v>442</v>
      </c>
      <c r="B830" s="2" t="str">
        <f t="shared" si="433"/>
        <v>0442</v>
      </c>
      <c r="C830" t="str">
        <f t="shared" si="434"/>
        <v>ORD-SP-0442-25/10/24</v>
      </c>
      <c r="D830" s="3" t="s">
        <v>482</v>
      </c>
      <c r="E830" t="str">
        <f t="shared" si="435"/>
        <v>PP002</v>
      </c>
      <c r="F830" t="str">
        <f>INDEX(Katalog!$B$4:$B$13,MATCH('Main Data'!E830,Katalog!$C$4:$C$13,0))</f>
        <v>Celana Pendek</v>
      </c>
      <c r="G830" t="str">
        <f>VLOOKUP(E830,Katalog!$A$15:$B$25,2,0)</f>
        <v>Pakaian Pria</v>
      </c>
      <c r="H830" t="str">
        <f t="shared" si="436"/>
        <v>1</v>
      </c>
      <c r="I830" t="str">
        <f t="shared" si="437"/>
        <v>3</v>
      </c>
      <c r="J830" s="18">
        <f>VLOOKUP(E830,Katalog!$C$3:$F$13,2,0)</f>
        <v>60000</v>
      </c>
      <c r="K830" s="18">
        <f>VLOOKUP(E830,Katalog!$C$3:$F$13,3,0)</f>
        <v>25000</v>
      </c>
      <c r="L830" t="str">
        <f t="shared" si="438"/>
        <v>-</v>
      </c>
      <c r="M830" t="str">
        <f>IFERROR(INDEX(Katalog!$B$4:$B$13,MATCH('Main Data'!L830,Katalog!$C$4:$C$13,0)), "-")</f>
        <v>-</v>
      </c>
      <c r="N830" t="str">
        <f>IFERROR(VLOOKUP(L830,Katalog!$A$15:$B$25,2,0),"-")</f>
        <v>-</v>
      </c>
      <c r="O830">
        <f t="shared" si="439"/>
        <v>0</v>
      </c>
      <c r="P830" t="str">
        <f t="shared" si="440"/>
        <v>-</v>
      </c>
      <c r="Q830" s="18">
        <f>IFERROR(VLOOKUP(L830,Katalog!$C$3:$F$13,2,0),0)</f>
        <v>0</v>
      </c>
      <c r="R830" s="18">
        <f>IFERROR(VLOOKUP(L830,Katalog!$C$3:$F$13,3,0),0)</f>
        <v>0</v>
      </c>
      <c r="S830" t="str">
        <f t="shared" si="441"/>
        <v>-</v>
      </c>
      <c r="T830" t="str">
        <f>IFERROR(INDEX(Katalog!$B$4:$B$13,MATCH('Main Data'!S830,Katalog!$C$4:$C$13,0)),"-")</f>
        <v>-</v>
      </c>
      <c r="U830" t="str">
        <f>IFERROR(VLOOKUP(S830,Katalog!$A$15:$B$25,2,0),"-")</f>
        <v>-</v>
      </c>
      <c r="V830">
        <f t="shared" si="442"/>
        <v>0</v>
      </c>
      <c r="W830" s="28" t="str">
        <f t="shared" si="443"/>
        <v>-</v>
      </c>
      <c r="X830" s="18">
        <f>IFERROR(VLOOKUP(S830,Katalog!$C$3:$F$13,2,0),0)</f>
        <v>0</v>
      </c>
      <c r="Y830" s="30">
        <f>IFERROR(VLOOKUP(S830,Katalog!$C$3:$F$13,3,0),0)</f>
        <v>0</v>
      </c>
      <c r="Z830" s="2">
        <f t="shared" si="444"/>
        <v>1</v>
      </c>
      <c r="AA830" s="4">
        <f t="shared" si="445"/>
        <v>60000</v>
      </c>
      <c r="AB830" s="4">
        <f t="shared" si="446"/>
        <v>25000</v>
      </c>
      <c r="AC830" s="4" t="s">
        <v>7</v>
      </c>
      <c r="AD830" s="16">
        <f>IFERROR(VLOOKUP(AC830,'Kode Diskon'!$C$2:$D$9,2,0),0)</f>
        <v>0.2</v>
      </c>
      <c r="AE830" s="31">
        <f t="shared" si="447"/>
        <v>12000</v>
      </c>
      <c r="AF830" s="31">
        <f t="shared" si="448"/>
        <v>48000</v>
      </c>
      <c r="AG830" s="31">
        <f t="shared" si="449"/>
        <v>35000</v>
      </c>
      <c r="AH830" s="31">
        <f t="shared" si="450"/>
        <v>23000</v>
      </c>
      <c r="AI830" s="4" t="s">
        <v>8</v>
      </c>
      <c r="AJ830" s="4" t="s">
        <v>6</v>
      </c>
      <c r="AK830" s="4" t="str">
        <f>IFERROR(VLOOKUP(AJ830,'Guide '!$A$13:$B$16,2,0),"-")</f>
        <v>SP</v>
      </c>
      <c r="AL830" s="4" t="s">
        <v>1006</v>
      </c>
      <c r="AM830" s="40">
        <v>45590</v>
      </c>
      <c r="AN830">
        <f t="shared" si="451"/>
        <v>29</v>
      </c>
      <c r="AO830">
        <f t="shared" si="452"/>
        <v>32</v>
      </c>
      <c r="AP830">
        <f t="shared" si="453"/>
        <v>40</v>
      </c>
      <c r="AQ830">
        <f t="shared" si="454"/>
        <v>43</v>
      </c>
      <c r="AR830" s="26" t="str">
        <f t="shared" si="455"/>
        <v>-</v>
      </c>
      <c r="AS830" s="26" t="str">
        <f t="shared" si="456"/>
        <v>-</v>
      </c>
      <c r="AT830" s="21">
        <f t="shared" si="457"/>
        <v>12</v>
      </c>
      <c r="AU830" s="21">
        <f t="shared" si="458"/>
        <v>19</v>
      </c>
      <c r="AV830" t="str">
        <f t="shared" si="459"/>
        <v>-</v>
      </c>
      <c r="AW830" t="str">
        <f t="shared" si="460"/>
        <v>-</v>
      </c>
      <c r="AX830" t="str">
        <f t="shared" si="461"/>
        <v>-</v>
      </c>
      <c r="AY830" t="str">
        <f t="shared" si="462"/>
        <v>-</v>
      </c>
      <c r="AZ830" t="str">
        <f t="shared" si="463"/>
        <v>-</v>
      </c>
      <c r="BA830" t="str">
        <f t="shared" si="464"/>
        <v>-</v>
      </c>
      <c r="BB830" t="str">
        <f t="shared" si="465"/>
        <v>-</v>
      </c>
      <c r="BC830" t="str">
        <f t="shared" si="466"/>
        <v>-</v>
      </c>
      <c r="BD830" s="29" t="str">
        <f t="shared" si="467"/>
        <v>-</v>
      </c>
      <c r="BE830" s="29" t="str">
        <f t="shared" si="468"/>
        <v>-</v>
      </c>
    </row>
    <row r="831" spans="1:57" ht="15" x14ac:dyDescent="0.2">
      <c r="A831" s="2">
        <v>520</v>
      </c>
      <c r="B831" s="2" t="str">
        <f t="shared" si="433"/>
        <v>0520</v>
      </c>
      <c r="C831" t="str">
        <f t="shared" si="434"/>
        <v>ORD-SP-0520-25/10/24</v>
      </c>
      <c r="D831" s="3" t="s">
        <v>548</v>
      </c>
      <c r="E831" t="str">
        <f t="shared" si="435"/>
        <v>PW003</v>
      </c>
      <c r="F831" t="str">
        <f>INDEX(Katalog!$B$4:$B$13,MATCH('Main Data'!E831,Katalog!$C$4:$C$13,0))</f>
        <v>Kaftan</v>
      </c>
      <c r="G831" t="str">
        <f>VLOOKUP(E831,Katalog!$A$15:$B$25,2,0)</f>
        <v>Pakaian Wanita</v>
      </c>
      <c r="H831" t="str">
        <f t="shared" si="436"/>
        <v>5</v>
      </c>
      <c r="I831" t="str">
        <f t="shared" si="437"/>
        <v>2</v>
      </c>
      <c r="J831" s="18">
        <f>VLOOKUP(E831,Katalog!$C$3:$F$13,2,0)</f>
        <v>200000</v>
      </c>
      <c r="K831" s="18">
        <f>VLOOKUP(E831,Katalog!$C$3:$F$13,3,0)</f>
        <v>100000</v>
      </c>
      <c r="L831" t="str">
        <f t="shared" si="438"/>
        <v>-</v>
      </c>
      <c r="M831" t="str">
        <f>IFERROR(INDEX(Katalog!$B$4:$B$13,MATCH('Main Data'!L831,Katalog!$C$4:$C$13,0)), "-")</f>
        <v>-</v>
      </c>
      <c r="N831" t="str">
        <f>IFERROR(VLOOKUP(L831,Katalog!$A$15:$B$25,2,0),"-")</f>
        <v>-</v>
      </c>
      <c r="O831">
        <f t="shared" si="439"/>
        <v>0</v>
      </c>
      <c r="P831" t="str">
        <f t="shared" si="440"/>
        <v>-</v>
      </c>
      <c r="Q831" s="18">
        <f>IFERROR(VLOOKUP(L831,Katalog!$C$3:$F$13,2,0),0)</f>
        <v>0</v>
      </c>
      <c r="R831" s="18">
        <f>IFERROR(VLOOKUP(L831,Katalog!$C$3:$F$13,3,0),0)</f>
        <v>0</v>
      </c>
      <c r="S831" t="str">
        <f t="shared" si="441"/>
        <v>-</v>
      </c>
      <c r="T831" t="str">
        <f>IFERROR(INDEX(Katalog!$B$4:$B$13,MATCH('Main Data'!S831,Katalog!$C$4:$C$13,0)),"-")</f>
        <v>-</v>
      </c>
      <c r="U831" t="str">
        <f>IFERROR(VLOOKUP(S831,Katalog!$A$15:$B$25,2,0),"-")</f>
        <v>-</v>
      </c>
      <c r="V831">
        <f t="shared" si="442"/>
        <v>0</v>
      </c>
      <c r="W831" s="28" t="str">
        <f t="shared" si="443"/>
        <v>-</v>
      </c>
      <c r="X831" s="18">
        <f>IFERROR(VLOOKUP(S831,Katalog!$C$3:$F$13,2,0),0)</f>
        <v>0</v>
      </c>
      <c r="Y831" s="30">
        <f>IFERROR(VLOOKUP(S831,Katalog!$C$3:$F$13,3,0),0)</f>
        <v>0</v>
      </c>
      <c r="Z831" s="2">
        <f t="shared" si="444"/>
        <v>5</v>
      </c>
      <c r="AA831" s="4">
        <f t="shared" si="445"/>
        <v>1000000</v>
      </c>
      <c r="AB831" s="4">
        <f t="shared" si="446"/>
        <v>500000</v>
      </c>
      <c r="AC831" s="4" t="s">
        <v>5</v>
      </c>
      <c r="AD831" s="16">
        <f>IFERROR(VLOOKUP(AC831,'Kode Diskon'!$C$2:$D$9,2,0),0)</f>
        <v>0.1</v>
      </c>
      <c r="AE831" s="31">
        <f t="shared" si="447"/>
        <v>100000</v>
      </c>
      <c r="AF831" s="31">
        <f t="shared" si="448"/>
        <v>900000</v>
      </c>
      <c r="AG831" s="31">
        <f t="shared" si="449"/>
        <v>500000</v>
      </c>
      <c r="AH831" s="31">
        <f t="shared" si="450"/>
        <v>400000</v>
      </c>
      <c r="AI831" s="4" t="s">
        <v>28</v>
      </c>
      <c r="AJ831" s="4" t="s">
        <v>6</v>
      </c>
      <c r="AK831" s="4" t="str">
        <f>IFERROR(VLOOKUP(AJ831,'Guide '!$A$13:$B$16,2,0),"-")</f>
        <v>SP</v>
      </c>
      <c r="AL831" s="4" t="s">
        <v>1006</v>
      </c>
      <c r="AM831" s="40">
        <v>45590</v>
      </c>
      <c r="AN831">
        <f t="shared" si="451"/>
        <v>29</v>
      </c>
      <c r="AO831">
        <f t="shared" si="452"/>
        <v>32</v>
      </c>
      <c r="AP831">
        <f t="shared" si="453"/>
        <v>40</v>
      </c>
      <c r="AQ831">
        <f t="shared" si="454"/>
        <v>43</v>
      </c>
      <c r="AR831" s="26" t="str">
        <f t="shared" si="455"/>
        <v>-</v>
      </c>
      <c r="AS831" s="26" t="str">
        <f t="shared" si="456"/>
        <v>-</v>
      </c>
      <c r="AT831" s="21">
        <f t="shared" si="457"/>
        <v>12</v>
      </c>
      <c r="AU831" s="21">
        <f t="shared" si="458"/>
        <v>19</v>
      </c>
      <c r="AV831" t="str">
        <f t="shared" si="459"/>
        <v>-</v>
      </c>
      <c r="AW831" t="str">
        <f t="shared" si="460"/>
        <v>-</v>
      </c>
      <c r="AX831" t="str">
        <f t="shared" si="461"/>
        <v>-</v>
      </c>
      <c r="AY831" t="str">
        <f t="shared" si="462"/>
        <v>-</v>
      </c>
      <c r="AZ831" t="str">
        <f t="shared" si="463"/>
        <v>-</v>
      </c>
      <c r="BA831" t="str">
        <f t="shared" si="464"/>
        <v>-</v>
      </c>
      <c r="BB831" t="str">
        <f t="shared" si="465"/>
        <v>-</v>
      </c>
      <c r="BC831" t="str">
        <f t="shared" si="466"/>
        <v>-</v>
      </c>
      <c r="BD831" s="29" t="str">
        <f t="shared" si="467"/>
        <v>-</v>
      </c>
      <c r="BE831" s="29" t="str">
        <f t="shared" si="468"/>
        <v>-</v>
      </c>
    </row>
    <row r="832" spans="1:57" ht="15" x14ac:dyDescent="0.2">
      <c r="A832" s="2">
        <v>571</v>
      </c>
      <c r="B832" s="2" t="str">
        <f t="shared" si="433"/>
        <v>0571</v>
      </c>
      <c r="C832" t="str">
        <f t="shared" si="434"/>
        <v>ORD-BB-0571-26/10/24</v>
      </c>
      <c r="D832" s="3" t="s">
        <v>591</v>
      </c>
      <c r="E832" t="str">
        <f t="shared" si="435"/>
        <v>PP001</v>
      </c>
      <c r="F832" t="str">
        <f>INDEX(Katalog!$B$4:$B$13,MATCH('Main Data'!E832,Katalog!$C$4:$C$13,0))</f>
        <v>Kaos Polo</v>
      </c>
      <c r="G832" t="str">
        <f>VLOOKUP(E832,Katalog!$A$15:$B$25,2,0)</f>
        <v>Pakaian Pria</v>
      </c>
      <c r="H832" t="str">
        <f t="shared" si="436"/>
        <v>2</v>
      </c>
      <c r="I832" t="str">
        <f t="shared" si="437"/>
        <v>3</v>
      </c>
      <c r="J832" s="18">
        <f>VLOOKUP(E832,Katalog!$C$3:$F$13,2,0)</f>
        <v>80000</v>
      </c>
      <c r="K832" s="18">
        <f>VLOOKUP(E832,Katalog!$C$3:$F$13,3,0)</f>
        <v>30000</v>
      </c>
      <c r="L832" t="str">
        <f t="shared" si="438"/>
        <v>PP002</v>
      </c>
      <c r="M832" t="str">
        <f>IFERROR(INDEX(Katalog!$B$4:$B$13,MATCH('Main Data'!L832,Katalog!$C$4:$C$13,0)), "-")</f>
        <v>Celana Pendek</v>
      </c>
      <c r="N832" t="str">
        <f>IFERROR(VLOOKUP(L832,Katalog!$A$15:$B$25,2,0),"-")</f>
        <v>Pakaian Pria</v>
      </c>
      <c r="O832" t="str">
        <f t="shared" si="439"/>
        <v>2</v>
      </c>
      <c r="P832" t="str">
        <f t="shared" si="440"/>
        <v>4</v>
      </c>
      <c r="Q832" s="18">
        <f>IFERROR(VLOOKUP(L832,Katalog!$C$3:$F$13,2,0),0)</f>
        <v>60000</v>
      </c>
      <c r="R832" s="18">
        <f>IFERROR(VLOOKUP(L832,Katalog!$C$3:$F$13,3,0),0)</f>
        <v>25000</v>
      </c>
      <c r="S832" t="str">
        <f t="shared" si="441"/>
        <v>SP001</v>
      </c>
      <c r="T832" t="str">
        <f>IFERROR(INDEX(Katalog!$B$4:$B$13,MATCH('Main Data'!S832,Katalog!$C$4:$C$13,0)),"-")</f>
        <v>Sneakers</v>
      </c>
      <c r="U832" t="str">
        <f>IFERROR(VLOOKUP(S832,Katalog!$A$15:$B$25,2,0),"-")</f>
        <v>Sepatu Pria</v>
      </c>
      <c r="V832" t="str">
        <f t="shared" si="442"/>
        <v>3</v>
      </c>
      <c r="W832" s="28" t="str">
        <f t="shared" si="443"/>
        <v>3</v>
      </c>
      <c r="X832" s="18">
        <f>IFERROR(VLOOKUP(S832,Katalog!$C$3:$F$13,2,0),0)</f>
        <v>300000</v>
      </c>
      <c r="Y832" s="30">
        <f>IFERROR(VLOOKUP(S832,Katalog!$C$3:$F$13,3,0),0)</f>
        <v>100000</v>
      </c>
      <c r="Z832" s="2">
        <f t="shared" si="444"/>
        <v>7</v>
      </c>
      <c r="AA832" s="4">
        <f t="shared" si="445"/>
        <v>1180000</v>
      </c>
      <c r="AB832" s="4">
        <f t="shared" si="446"/>
        <v>410000</v>
      </c>
      <c r="AC832" s="4" t="s">
        <v>27</v>
      </c>
      <c r="AD832" s="16">
        <f>IFERROR(VLOOKUP(AC832,'Kode Diskon'!$C$2:$D$9,2,0),0)</f>
        <v>0.15</v>
      </c>
      <c r="AE832" s="31">
        <f t="shared" si="447"/>
        <v>177000</v>
      </c>
      <c r="AF832" s="31">
        <f t="shared" si="448"/>
        <v>1003000</v>
      </c>
      <c r="AG832" s="31">
        <f t="shared" si="449"/>
        <v>770000</v>
      </c>
      <c r="AH832" s="31">
        <f t="shared" si="450"/>
        <v>593000</v>
      </c>
      <c r="AI832" s="4" t="s">
        <v>28</v>
      </c>
      <c r="AJ832" s="4" t="s">
        <v>13</v>
      </c>
      <c r="AK832" s="4" t="str">
        <f>IFERROR(VLOOKUP(AJ832,'Guide '!$A$13:$B$16,2,0),"-")</f>
        <v>BB</v>
      </c>
      <c r="AL832" s="4" t="s">
        <v>922</v>
      </c>
      <c r="AM832" s="40">
        <v>45591</v>
      </c>
      <c r="AN832">
        <f t="shared" si="451"/>
        <v>29</v>
      </c>
      <c r="AO832">
        <f t="shared" si="452"/>
        <v>32</v>
      </c>
      <c r="AP832">
        <f t="shared" si="453"/>
        <v>40</v>
      </c>
      <c r="AQ832">
        <f t="shared" si="454"/>
        <v>43</v>
      </c>
      <c r="AR832" s="26">
        <f t="shared" si="455"/>
        <v>56</v>
      </c>
      <c r="AS832" s="26">
        <f t="shared" si="456"/>
        <v>63</v>
      </c>
      <c r="AT832" s="21">
        <f t="shared" si="457"/>
        <v>12</v>
      </c>
      <c r="AU832" s="21">
        <f t="shared" si="458"/>
        <v>19</v>
      </c>
      <c r="AV832">
        <f t="shared" si="459"/>
        <v>73</v>
      </c>
      <c r="AW832">
        <f t="shared" si="460"/>
        <v>76</v>
      </c>
      <c r="AX832">
        <f t="shared" si="461"/>
        <v>84</v>
      </c>
      <c r="AY832">
        <f t="shared" si="462"/>
        <v>87</v>
      </c>
      <c r="AZ832">
        <f t="shared" si="463"/>
        <v>100</v>
      </c>
      <c r="BA832">
        <f t="shared" si="464"/>
        <v>107</v>
      </c>
      <c r="BB832">
        <f t="shared" si="465"/>
        <v>117</v>
      </c>
      <c r="BC832">
        <f t="shared" si="466"/>
        <v>120</v>
      </c>
      <c r="BD832" s="29">
        <f t="shared" si="467"/>
        <v>128</v>
      </c>
      <c r="BE832" s="29">
        <f t="shared" si="468"/>
        <v>131</v>
      </c>
    </row>
    <row r="833" spans="1:57" ht="15" x14ac:dyDescent="0.2">
      <c r="A833" s="2">
        <v>658</v>
      </c>
      <c r="B833" s="2" t="str">
        <f t="shared" si="433"/>
        <v>0658</v>
      </c>
      <c r="C833" t="str">
        <f t="shared" si="434"/>
        <v>ORD-BL-0658-26/10/24</v>
      </c>
      <c r="D833" s="3" t="s">
        <v>659</v>
      </c>
      <c r="E833" t="str">
        <f t="shared" si="435"/>
        <v>PP003</v>
      </c>
      <c r="F833" t="str">
        <f>INDEX(Katalog!$B$4:$B$13,MATCH('Main Data'!E833,Katalog!$C$4:$C$13,0))</f>
        <v>Jaket Jeans</v>
      </c>
      <c r="G833" t="str">
        <f>VLOOKUP(E833,Katalog!$A$15:$B$25,2,0)</f>
        <v>Pakaian Pria</v>
      </c>
      <c r="H833" t="str">
        <f t="shared" si="436"/>
        <v>2</v>
      </c>
      <c r="I833" t="str">
        <f t="shared" si="437"/>
        <v>3</v>
      </c>
      <c r="J833" s="18">
        <f>VLOOKUP(E833,Katalog!$C$3:$F$13,2,0)</f>
        <v>150000</v>
      </c>
      <c r="K833" s="18">
        <f>VLOOKUP(E833,Katalog!$C$3:$F$13,3,0)</f>
        <v>70000</v>
      </c>
      <c r="L833" t="str">
        <f t="shared" si="438"/>
        <v>PW001</v>
      </c>
      <c r="M833" t="str">
        <f>IFERROR(INDEX(Katalog!$B$4:$B$13,MATCH('Main Data'!L833,Katalog!$C$4:$C$13,0)), "-")</f>
        <v>Dress</v>
      </c>
      <c r="N833" t="str">
        <f>IFERROR(VLOOKUP(L833,Katalog!$A$15:$B$25,2,0),"-")</f>
        <v>Pakaian Wanita</v>
      </c>
      <c r="O833" t="str">
        <f t="shared" si="439"/>
        <v>2</v>
      </c>
      <c r="P833" t="str">
        <f t="shared" si="440"/>
        <v>5</v>
      </c>
      <c r="Q833" s="18">
        <f>IFERROR(VLOOKUP(L833,Katalog!$C$3:$F$13,2,0),0)</f>
        <v>150000</v>
      </c>
      <c r="R833" s="18">
        <f>IFERROR(VLOOKUP(L833,Katalog!$C$3:$F$13,3,0),0)</f>
        <v>55000</v>
      </c>
      <c r="S833" t="str">
        <f t="shared" si="441"/>
        <v>SP002</v>
      </c>
      <c r="T833" t="str">
        <f>IFERROR(INDEX(Katalog!$B$4:$B$13,MATCH('Main Data'!S833,Katalog!$C$4:$C$13,0)),"-")</f>
        <v>Sandal Slip On</v>
      </c>
      <c r="U833" t="str">
        <f>IFERROR(VLOOKUP(S833,Katalog!$A$15:$B$25,2,0),"-")</f>
        <v>Sepatu Pria</v>
      </c>
      <c r="V833" t="str">
        <f t="shared" si="442"/>
        <v>1</v>
      </c>
      <c r="W833" s="28" t="str">
        <f t="shared" si="443"/>
        <v>4</v>
      </c>
      <c r="X833" s="18">
        <f>IFERROR(VLOOKUP(S833,Katalog!$C$3:$F$13,2,0),0)</f>
        <v>120000</v>
      </c>
      <c r="Y833" s="30">
        <f>IFERROR(VLOOKUP(S833,Katalog!$C$3:$F$13,3,0),0)</f>
        <v>60000</v>
      </c>
      <c r="Z833" s="2">
        <f t="shared" si="444"/>
        <v>5</v>
      </c>
      <c r="AA833" s="4">
        <f t="shared" si="445"/>
        <v>720000</v>
      </c>
      <c r="AB833" s="4">
        <f t="shared" si="446"/>
        <v>310000</v>
      </c>
      <c r="AC833" s="4" t="s">
        <v>31</v>
      </c>
      <c r="AD833" s="16">
        <f>IFERROR(VLOOKUP(AC833,'Kode Diskon'!$C$2:$D$9,2,0),0)</f>
        <v>0.15</v>
      </c>
      <c r="AE833" s="31">
        <f t="shared" si="447"/>
        <v>108000</v>
      </c>
      <c r="AF833" s="31">
        <f t="shared" si="448"/>
        <v>612000</v>
      </c>
      <c r="AG833" s="31">
        <f t="shared" si="449"/>
        <v>410000</v>
      </c>
      <c r="AH833" s="31">
        <f t="shared" si="450"/>
        <v>302000</v>
      </c>
      <c r="AI833" s="4" t="s">
        <v>8</v>
      </c>
      <c r="AJ833" s="4" t="s">
        <v>11</v>
      </c>
      <c r="AK833" s="4" t="str">
        <f>IFERROR(VLOOKUP(AJ833,'Guide '!$A$13:$B$16,2,0),"-")</f>
        <v>BL</v>
      </c>
      <c r="AL833" s="4" t="s">
        <v>921</v>
      </c>
      <c r="AM833" s="40">
        <v>45591</v>
      </c>
      <c r="AN833">
        <f t="shared" si="451"/>
        <v>29</v>
      </c>
      <c r="AO833">
        <f t="shared" si="452"/>
        <v>32</v>
      </c>
      <c r="AP833">
        <f t="shared" si="453"/>
        <v>40</v>
      </c>
      <c r="AQ833">
        <f t="shared" si="454"/>
        <v>43</v>
      </c>
      <c r="AR833" s="26">
        <f t="shared" si="455"/>
        <v>56</v>
      </c>
      <c r="AS833" s="26">
        <f t="shared" si="456"/>
        <v>63</v>
      </c>
      <c r="AT833" s="21">
        <f t="shared" si="457"/>
        <v>12</v>
      </c>
      <c r="AU833" s="21">
        <f t="shared" si="458"/>
        <v>19</v>
      </c>
      <c r="AV833">
        <f t="shared" si="459"/>
        <v>73</v>
      </c>
      <c r="AW833">
        <f t="shared" si="460"/>
        <v>76</v>
      </c>
      <c r="AX833">
        <f t="shared" si="461"/>
        <v>84</v>
      </c>
      <c r="AY833">
        <f t="shared" si="462"/>
        <v>87</v>
      </c>
      <c r="AZ833">
        <f t="shared" si="463"/>
        <v>100</v>
      </c>
      <c r="BA833">
        <f t="shared" si="464"/>
        <v>107</v>
      </c>
      <c r="BB833">
        <f t="shared" si="465"/>
        <v>117</v>
      </c>
      <c r="BC833">
        <f t="shared" si="466"/>
        <v>120</v>
      </c>
      <c r="BD833" s="29">
        <f t="shared" si="467"/>
        <v>128</v>
      </c>
      <c r="BE833" s="29">
        <f t="shared" si="468"/>
        <v>131</v>
      </c>
    </row>
    <row r="834" spans="1:57" ht="15" x14ac:dyDescent="0.2">
      <c r="A834" s="2">
        <v>910</v>
      </c>
      <c r="B834" s="2" t="str">
        <f t="shared" si="433"/>
        <v>0910</v>
      </c>
      <c r="C834" t="str">
        <f t="shared" si="434"/>
        <v>ORD-SP-0910-26/10/24</v>
      </c>
      <c r="D834" s="3" t="s">
        <v>846</v>
      </c>
      <c r="E834" t="str">
        <f t="shared" si="435"/>
        <v>SP001</v>
      </c>
      <c r="F834" t="str">
        <f>INDEX(Katalog!$B$4:$B$13,MATCH('Main Data'!E834,Katalog!$C$4:$C$13,0))</f>
        <v>Sneakers</v>
      </c>
      <c r="G834" t="str">
        <f>VLOOKUP(E834,Katalog!$A$15:$B$25,2,0)</f>
        <v>Sepatu Pria</v>
      </c>
      <c r="H834" t="str">
        <f t="shared" si="436"/>
        <v>6</v>
      </c>
      <c r="I834" t="str">
        <f t="shared" si="437"/>
        <v>2</v>
      </c>
      <c r="J834" s="18">
        <f>VLOOKUP(E834,Katalog!$C$3:$F$13,2,0)</f>
        <v>300000</v>
      </c>
      <c r="K834" s="18">
        <f>VLOOKUP(E834,Katalog!$C$3:$F$13,3,0)</f>
        <v>100000</v>
      </c>
      <c r="L834" t="str">
        <f t="shared" si="438"/>
        <v>SP002</v>
      </c>
      <c r="M834" t="str">
        <f>IFERROR(INDEX(Katalog!$B$4:$B$13,MATCH('Main Data'!L834,Katalog!$C$4:$C$13,0)), "-")</f>
        <v>Sandal Slip On</v>
      </c>
      <c r="N834" t="str">
        <f>IFERROR(VLOOKUP(L834,Katalog!$A$15:$B$25,2,0),"-")</f>
        <v>Sepatu Pria</v>
      </c>
      <c r="O834" t="str">
        <f t="shared" si="439"/>
        <v>1</v>
      </c>
      <c r="P834" t="str">
        <f t="shared" si="440"/>
        <v>2</v>
      </c>
      <c r="Q834" s="18">
        <f>IFERROR(VLOOKUP(L834,Katalog!$C$3:$F$13,2,0),0)</f>
        <v>120000</v>
      </c>
      <c r="R834" s="18">
        <f>IFERROR(VLOOKUP(L834,Katalog!$C$3:$F$13,3,0),0)</f>
        <v>60000</v>
      </c>
      <c r="S834" t="str">
        <f t="shared" si="441"/>
        <v>-</v>
      </c>
      <c r="T834" t="str">
        <f>IFERROR(INDEX(Katalog!$B$4:$B$13,MATCH('Main Data'!S834,Katalog!$C$4:$C$13,0)),"-")</f>
        <v>-</v>
      </c>
      <c r="U834" t="str">
        <f>IFERROR(VLOOKUP(S834,Katalog!$A$15:$B$25,2,0),"-")</f>
        <v>-</v>
      </c>
      <c r="V834">
        <f t="shared" si="442"/>
        <v>0</v>
      </c>
      <c r="W834" s="28" t="str">
        <f t="shared" si="443"/>
        <v>-</v>
      </c>
      <c r="X834" s="18">
        <f>IFERROR(VLOOKUP(S834,Katalog!$C$3:$F$13,2,0),0)</f>
        <v>0</v>
      </c>
      <c r="Y834" s="30">
        <f>IFERROR(VLOOKUP(S834,Katalog!$C$3:$F$13,3,0),0)</f>
        <v>0</v>
      </c>
      <c r="Z834" s="2">
        <f t="shared" si="444"/>
        <v>7</v>
      </c>
      <c r="AA834" s="4">
        <f t="shared" si="445"/>
        <v>1920000</v>
      </c>
      <c r="AB834" s="4">
        <f t="shared" si="446"/>
        <v>660000</v>
      </c>
      <c r="AC834" s="4" t="s">
        <v>7</v>
      </c>
      <c r="AD834" s="16">
        <f>IFERROR(VLOOKUP(AC834,'Kode Diskon'!$C$2:$D$9,2,0),0)</f>
        <v>0.2</v>
      </c>
      <c r="AE834" s="31">
        <f t="shared" si="447"/>
        <v>384000</v>
      </c>
      <c r="AF834" s="31">
        <f t="shared" si="448"/>
        <v>1536000</v>
      </c>
      <c r="AG834" s="31">
        <f t="shared" si="449"/>
        <v>1260000</v>
      </c>
      <c r="AH834" s="31">
        <f t="shared" si="450"/>
        <v>876000</v>
      </c>
      <c r="AI834" s="4" t="s">
        <v>8</v>
      </c>
      <c r="AJ834" s="4" t="s">
        <v>6</v>
      </c>
      <c r="AK834" s="4" t="str">
        <f>IFERROR(VLOOKUP(AJ834,'Guide '!$A$13:$B$16,2,0),"-")</f>
        <v>SP</v>
      </c>
      <c r="AL834" s="4" t="s">
        <v>1006</v>
      </c>
      <c r="AM834" s="40">
        <v>45591</v>
      </c>
      <c r="AN834">
        <f t="shared" si="451"/>
        <v>29</v>
      </c>
      <c r="AO834">
        <f t="shared" si="452"/>
        <v>32</v>
      </c>
      <c r="AP834">
        <f t="shared" si="453"/>
        <v>40</v>
      </c>
      <c r="AQ834">
        <f t="shared" si="454"/>
        <v>43</v>
      </c>
      <c r="AR834" s="26">
        <f t="shared" si="455"/>
        <v>56</v>
      </c>
      <c r="AS834" s="26">
        <f t="shared" si="456"/>
        <v>63</v>
      </c>
      <c r="AT834" s="21">
        <f t="shared" si="457"/>
        <v>12</v>
      </c>
      <c r="AU834" s="21">
        <f t="shared" si="458"/>
        <v>19</v>
      </c>
      <c r="AV834">
        <f t="shared" si="459"/>
        <v>73</v>
      </c>
      <c r="AW834">
        <f t="shared" si="460"/>
        <v>76</v>
      </c>
      <c r="AX834">
        <f t="shared" si="461"/>
        <v>84</v>
      </c>
      <c r="AY834">
        <f t="shared" si="462"/>
        <v>87</v>
      </c>
      <c r="AZ834" t="str">
        <f t="shared" si="463"/>
        <v>-</v>
      </c>
      <c r="BA834" t="str">
        <f t="shared" si="464"/>
        <v>-</v>
      </c>
      <c r="BB834" t="str">
        <f t="shared" si="465"/>
        <v>-</v>
      </c>
      <c r="BC834" t="str">
        <f t="shared" si="466"/>
        <v>-</v>
      </c>
      <c r="BD834" s="29" t="str">
        <f t="shared" si="467"/>
        <v>-</v>
      </c>
      <c r="BE834" s="29" t="str">
        <f t="shared" si="468"/>
        <v>-</v>
      </c>
    </row>
    <row r="835" spans="1:57" ht="15" x14ac:dyDescent="0.2">
      <c r="A835" s="2">
        <v>98</v>
      </c>
      <c r="B835" s="2" t="str">
        <f t="shared" ref="B835:B898" si="469">TEXT(A835,"0000")</f>
        <v>0098</v>
      </c>
      <c r="C835" t="str">
        <f t="shared" ref="C835:C898" si="470">CONCATENATE("ORD","-",AK835,"-",B835,"-",TEXT(AM835,"dd/mm/yy"))</f>
        <v>ORD-SP-0098-28/10/24</v>
      </c>
      <c r="D835" s="3" t="s">
        <v>170</v>
      </c>
      <c r="E835" t="str">
        <f t="shared" ref="E835:E898" si="471">MID(D835,AT835+2,AU835-AT835-2)</f>
        <v>PU001</v>
      </c>
      <c r="F835" t="str">
        <f>INDEX(Katalog!$B$4:$B$13,MATCH('Main Data'!E835,Katalog!$C$4:$C$13,0))</f>
        <v>Jaket Hoodie</v>
      </c>
      <c r="G835" t="str">
        <f>VLOOKUP(E835,Katalog!$A$15:$B$25,2,0)</f>
        <v>Pakaian Unisex</v>
      </c>
      <c r="H835" t="str">
        <f t="shared" ref="H835:H898" si="472">MID(D835,AN835+2,AO835-AN835-2)</f>
        <v>1</v>
      </c>
      <c r="I835" t="str">
        <f t="shared" ref="I835:I898" si="473">MID(D835,AP835+2,AQ835-AP835-2)</f>
        <v>3</v>
      </c>
      <c r="J835" s="18">
        <f>VLOOKUP(E835,Katalog!$C$3:$F$13,2,0)</f>
        <v>160000</v>
      </c>
      <c r="K835" s="18">
        <f>VLOOKUP(E835,Katalog!$C$3:$F$13,3,0)</f>
        <v>60000</v>
      </c>
      <c r="L835" t="str">
        <f t="shared" ref="L835:L898" si="474">IFERROR(MID(D835,AR835+2,AS835-AR835-2),"-")</f>
        <v>SP002</v>
      </c>
      <c r="M835" t="str">
        <f>IFERROR(INDEX(Katalog!$B$4:$B$13,MATCH('Main Data'!L835,Katalog!$C$4:$C$13,0)), "-")</f>
        <v>Sandal Slip On</v>
      </c>
      <c r="N835" t="str">
        <f>IFERROR(VLOOKUP(L835,Katalog!$A$15:$B$25,2,0),"-")</f>
        <v>Sepatu Pria</v>
      </c>
      <c r="O835" t="str">
        <f t="shared" ref="O835:O898" si="475">IFERROR(MID(D835,AV835+2,AW835-AV835-2),0)</f>
        <v>2</v>
      </c>
      <c r="P835" t="str">
        <f t="shared" ref="P835:P898" si="476">IFERROR(MID(D835,AX835+2,AY835-AX835-2),"-")</f>
        <v>4</v>
      </c>
      <c r="Q835" s="18">
        <f>IFERROR(VLOOKUP(L835,Katalog!$C$3:$F$13,2,0),0)</f>
        <v>120000</v>
      </c>
      <c r="R835" s="18">
        <f>IFERROR(VLOOKUP(L835,Katalog!$C$3:$F$13,3,0),0)</f>
        <v>60000</v>
      </c>
      <c r="S835" t="str">
        <f t="shared" ref="S835:S898" si="477">IFERROR(MID(D835,AZ835+2,BA835-AZ835-2),"-")</f>
        <v>PW001</v>
      </c>
      <c r="T835" t="str">
        <f>IFERROR(INDEX(Katalog!$B$4:$B$13,MATCH('Main Data'!S835,Katalog!$C$4:$C$13,0)),"-")</f>
        <v>Dress</v>
      </c>
      <c r="U835" t="str">
        <f>IFERROR(VLOOKUP(S835,Katalog!$A$15:$B$25,2,0),"-")</f>
        <v>Pakaian Wanita</v>
      </c>
      <c r="V835" t="str">
        <f t="shared" ref="V835:V898" si="478">IFERROR(MID(D835,BB835+2,BC835-BB835-2),0)</f>
        <v>1</v>
      </c>
      <c r="W835" s="28" t="str">
        <f t="shared" ref="W835:W898" si="479">IFERROR(MID(D835,BD835+2,BE835-BD835-2),"-")</f>
        <v>5</v>
      </c>
      <c r="X835" s="18">
        <f>IFERROR(VLOOKUP(S835,Katalog!$C$3:$F$13,2,0),0)</f>
        <v>150000</v>
      </c>
      <c r="Y835" s="30">
        <f>IFERROR(VLOOKUP(S835,Katalog!$C$3:$F$13,3,0),0)</f>
        <v>55000</v>
      </c>
      <c r="Z835" s="2">
        <f t="shared" ref="Z835:Z898" si="480">H835+O835+V835</f>
        <v>4</v>
      </c>
      <c r="AA835" s="4">
        <f t="shared" ref="AA835:AA898" si="481">J835*H835+Q835*O835+X835*V835</f>
        <v>550000</v>
      </c>
      <c r="AB835" s="4">
        <f t="shared" ref="AB835:AB898" si="482">K835*H835+R835*O835+Y835*V835</f>
        <v>235000</v>
      </c>
      <c r="AC835" s="4" t="s">
        <v>7</v>
      </c>
      <c r="AD835" s="16">
        <f>IFERROR(VLOOKUP(AC835,'Kode Diskon'!$C$2:$D$9,2,0),0)</f>
        <v>0.2</v>
      </c>
      <c r="AE835" s="31">
        <f t="shared" ref="AE835:AE898" si="483">AA835*AD835</f>
        <v>110000</v>
      </c>
      <c r="AF835" s="31">
        <f t="shared" ref="AF835:AF898" si="484">AA835-AE835</f>
        <v>440000</v>
      </c>
      <c r="AG835" s="31">
        <f t="shared" ref="AG835:AG898" si="485">AA835-AB835</f>
        <v>315000</v>
      </c>
      <c r="AH835" s="31">
        <f t="shared" ref="AH835:AH898" si="486">AF835-AB835</f>
        <v>205000</v>
      </c>
      <c r="AI835" s="4" t="s">
        <v>8</v>
      </c>
      <c r="AJ835" s="4" t="s">
        <v>6</v>
      </c>
      <c r="AK835" s="4" t="str">
        <f>IFERROR(VLOOKUP(AJ835,'Guide '!$A$13:$B$16,2,0),"-")</f>
        <v>SP</v>
      </c>
      <c r="AL835" s="4" t="s">
        <v>924</v>
      </c>
      <c r="AM835" s="40">
        <v>45593</v>
      </c>
      <c r="AN835">
        <f t="shared" ref="AN835:AN898" si="487">FIND(":",D835,AT835+1)</f>
        <v>29</v>
      </c>
      <c r="AO835">
        <f t="shared" ref="AO835:AO898" si="488">FIND(",",D835,AU835+1)</f>
        <v>32</v>
      </c>
      <c r="AP835">
        <f t="shared" ref="AP835:AP898" si="489">FIND(":",D835,AN835+1)</f>
        <v>40</v>
      </c>
      <c r="AQ835">
        <f t="shared" ref="AQ835:AQ898" si="490">FIND("}",D835,AO835+1)</f>
        <v>43</v>
      </c>
      <c r="AR835" s="26">
        <f t="shared" ref="AR835:AR898" si="491">IFERROR(FIND(":",D835,AP835+1),"-")</f>
        <v>56</v>
      </c>
      <c r="AS835" s="26">
        <f t="shared" ref="AS835:AS898" si="492">IFERROR(FIND(",",D835,AQ835+2),"-")</f>
        <v>63</v>
      </c>
      <c r="AT835" s="21">
        <f t="shared" ref="AT835:AT898" si="493">FIND(":",D835)</f>
        <v>12</v>
      </c>
      <c r="AU835" s="21">
        <f t="shared" ref="AU835:AU898" si="494">FIND(",",D835)</f>
        <v>19</v>
      </c>
      <c r="AV835">
        <f t="shared" ref="AV835:AV898" si="495">IFERROR(FIND(":",D835,AR835+1),"-")</f>
        <v>73</v>
      </c>
      <c r="AW835">
        <f t="shared" ref="AW835:AW898" si="496">IFERROR(FIND(",",D835,AS835+1),"-")</f>
        <v>76</v>
      </c>
      <c r="AX835">
        <f t="shared" ref="AX835:AX898" si="497">IFERROR(FIND(":",D835,AV835+1),"-")</f>
        <v>84</v>
      </c>
      <c r="AY835">
        <f t="shared" ref="AY835:AY898" si="498">IFERROR(FIND("}",D835,AW835+1),"-")</f>
        <v>87</v>
      </c>
      <c r="AZ835">
        <f t="shared" ref="AZ835:AZ898" si="499">IFERROR(FIND(":",D835,AX835+1),"-")</f>
        <v>100</v>
      </c>
      <c r="BA835">
        <f t="shared" ref="BA835:BA898" si="500">IFERROR(FIND(",",D835,AY835+2),"-")</f>
        <v>107</v>
      </c>
      <c r="BB835">
        <f t="shared" ref="BB835:BB898" si="501">IFERROR(FIND(":",D835,AZ835+1),"-")</f>
        <v>117</v>
      </c>
      <c r="BC835">
        <f t="shared" ref="BC835:BC898" si="502">IFERROR(FIND(",",D835,BA835+1),"-")</f>
        <v>120</v>
      </c>
      <c r="BD835" s="29">
        <f t="shared" ref="BD835:BD898" si="503">IFERROR(FIND(":",D835,BB835+1),"-")</f>
        <v>128</v>
      </c>
      <c r="BE835" s="29">
        <f t="shared" ref="BE835:BE898" si="504">IFERROR(FIND("}",D835,BC835+1),"-")</f>
        <v>131</v>
      </c>
    </row>
    <row r="836" spans="1:57" ht="15" x14ac:dyDescent="0.2">
      <c r="A836" s="2">
        <v>852</v>
      </c>
      <c r="B836" s="2" t="str">
        <f t="shared" si="469"/>
        <v>0852</v>
      </c>
      <c r="C836" t="str">
        <f t="shared" si="470"/>
        <v>ORD-BB-0852-28/10/24</v>
      </c>
      <c r="D836" s="3" t="s">
        <v>804</v>
      </c>
      <c r="E836" t="str">
        <f t="shared" si="471"/>
        <v>PU001</v>
      </c>
      <c r="F836" t="str">
        <f>INDEX(Katalog!$B$4:$B$13,MATCH('Main Data'!E836,Katalog!$C$4:$C$13,0))</f>
        <v>Jaket Hoodie</v>
      </c>
      <c r="G836" t="str">
        <f>VLOOKUP(E836,Katalog!$A$15:$B$25,2,0)</f>
        <v>Pakaian Unisex</v>
      </c>
      <c r="H836" t="str">
        <f t="shared" si="472"/>
        <v>1</v>
      </c>
      <c r="I836" t="str">
        <f t="shared" si="473"/>
        <v>2</v>
      </c>
      <c r="J836" s="18">
        <f>VLOOKUP(E836,Katalog!$C$3:$F$13,2,0)</f>
        <v>160000</v>
      </c>
      <c r="K836" s="18">
        <f>VLOOKUP(E836,Katalog!$C$3:$F$13,3,0)</f>
        <v>60000</v>
      </c>
      <c r="L836" t="str">
        <f t="shared" si="474"/>
        <v>PP003</v>
      </c>
      <c r="M836" t="str">
        <f>IFERROR(INDEX(Katalog!$B$4:$B$13,MATCH('Main Data'!L836,Katalog!$C$4:$C$13,0)), "-")</f>
        <v>Jaket Jeans</v>
      </c>
      <c r="N836" t="str">
        <f>IFERROR(VLOOKUP(L836,Katalog!$A$15:$B$25,2,0),"-")</f>
        <v>Pakaian Pria</v>
      </c>
      <c r="O836" t="str">
        <f t="shared" si="475"/>
        <v>3</v>
      </c>
      <c r="P836" t="str">
        <f t="shared" si="476"/>
        <v>3</v>
      </c>
      <c r="Q836" s="18">
        <f>IFERROR(VLOOKUP(L836,Katalog!$C$3:$F$13,2,0),0)</f>
        <v>150000</v>
      </c>
      <c r="R836" s="18">
        <f>IFERROR(VLOOKUP(L836,Katalog!$C$3:$F$13,3,0),0)</f>
        <v>70000</v>
      </c>
      <c r="S836" t="str">
        <f t="shared" si="477"/>
        <v>SW001</v>
      </c>
      <c r="T836" t="str">
        <f>IFERROR(INDEX(Katalog!$B$4:$B$13,MATCH('Main Data'!S836,Katalog!$C$4:$C$13,0)),"-")</f>
        <v>Flat Shoes</v>
      </c>
      <c r="U836" t="str">
        <f>IFERROR(VLOOKUP(S836,Katalog!$A$15:$B$25,2,0),"-")</f>
        <v>Sepatu Wanita</v>
      </c>
      <c r="V836" t="str">
        <f t="shared" si="478"/>
        <v>3</v>
      </c>
      <c r="W836" s="28" t="str">
        <f t="shared" si="479"/>
        <v>1</v>
      </c>
      <c r="X836" s="18">
        <f>IFERROR(VLOOKUP(S836,Katalog!$C$3:$F$13,2,0),0)</f>
        <v>150000</v>
      </c>
      <c r="Y836" s="30">
        <f>IFERROR(VLOOKUP(S836,Katalog!$C$3:$F$13,3,0),0)</f>
        <v>70000</v>
      </c>
      <c r="Z836" s="2">
        <f t="shared" si="480"/>
        <v>7</v>
      </c>
      <c r="AA836" s="4">
        <f t="shared" si="481"/>
        <v>1060000</v>
      </c>
      <c r="AB836" s="4">
        <f t="shared" si="482"/>
        <v>480000</v>
      </c>
      <c r="AC836" s="4" t="s">
        <v>27</v>
      </c>
      <c r="AD836" s="16">
        <f>IFERROR(VLOOKUP(AC836,'Kode Diskon'!$C$2:$D$9,2,0),0)</f>
        <v>0.15</v>
      </c>
      <c r="AE836" s="31">
        <f t="shared" si="483"/>
        <v>159000</v>
      </c>
      <c r="AF836" s="31">
        <f t="shared" si="484"/>
        <v>901000</v>
      </c>
      <c r="AG836" s="31">
        <f t="shared" si="485"/>
        <v>580000</v>
      </c>
      <c r="AH836" s="31">
        <f t="shared" si="486"/>
        <v>421000</v>
      </c>
      <c r="AI836" s="4" t="s">
        <v>28</v>
      </c>
      <c r="AJ836" s="4" t="s">
        <v>13</v>
      </c>
      <c r="AK836" s="4" t="str">
        <f>IFERROR(VLOOKUP(AJ836,'Guide '!$A$13:$B$16,2,0),"-")</f>
        <v>BB</v>
      </c>
      <c r="AL836" s="4" t="s">
        <v>925</v>
      </c>
      <c r="AM836" s="40">
        <v>45593</v>
      </c>
      <c r="AN836">
        <f t="shared" si="487"/>
        <v>29</v>
      </c>
      <c r="AO836">
        <f t="shared" si="488"/>
        <v>32</v>
      </c>
      <c r="AP836">
        <f t="shared" si="489"/>
        <v>40</v>
      </c>
      <c r="AQ836">
        <f t="shared" si="490"/>
        <v>43</v>
      </c>
      <c r="AR836" s="26">
        <f t="shared" si="491"/>
        <v>56</v>
      </c>
      <c r="AS836" s="26">
        <f t="shared" si="492"/>
        <v>63</v>
      </c>
      <c r="AT836" s="21">
        <f t="shared" si="493"/>
        <v>12</v>
      </c>
      <c r="AU836" s="21">
        <f t="shared" si="494"/>
        <v>19</v>
      </c>
      <c r="AV836">
        <f t="shared" si="495"/>
        <v>73</v>
      </c>
      <c r="AW836">
        <f t="shared" si="496"/>
        <v>76</v>
      </c>
      <c r="AX836">
        <f t="shared" si="497"/>
        <v>84</v>
      </c>
      <c r="AY836">
        <f t="shared" si="498"/>
        <v>87</v>
      </c>
      <c r="AZ836">
        <f t="shared" si="499"/>
        <v>100</v>
      </c>
      <c r="BA836">
        <f t="shared" si="500"/>
        <v>107</v>
      </c>
      <c r="BB836">
        <f t="shared" si="501"/>
        <v>117</v>
      </c>
      <c r="BC836">
        <f t="shared" si="502"/>
        <v>120</v>
      </c>
      <c r="BD836" s="29">
        <f t="shared" si="503"/>
        <v>128</v>
      </c>
      <c r="BE836" s="29">
        <f t="shared" si="504"/>
        <v>131</v>
      </c>
    </row>
    <row r="837" spans="1:57" ht="15" x14ac:dyDescent="0.2">
      <c r="A837" s="2">
        <v>983</v>
      </c>
      <c r="B837" s="2" t="str">
        <f t="shared" si="469"/>
        <v>0983</v>
      </c>
      <c r="C837" t="str">
        <f t="shared" si="470"/>
        <v>ORD-SP-0983-28/10/24</v>
      </c>
      <c r="D837" s="3" t="s">
        <v>906</v>
      </c>
      <c r="E837" t="str">
        <f t="shared" si="471"/>
        <v>PP002</v>
      </c>
      <c r="F837" t="str">
        <f>INDEX(Katalog!$B$4:$B$13,MATCH('Main Data'!E837,Katalog!$C$4:$C$13,0))</f>
        <v>Celana Pendek</v>
      </c>
      <c r="G837" t="str">
        <f>VLOOKUP(E837,Katalog!$A$15:$B$25,2,0)</f>
        <v>Pakaian Pria</v>
      </c>
      <c r="H837" t="str">
        <f t="shared" si="472"/>
        <v>5</v>
      </c>
      <c r="I837" t="str">
        <f t="shared" si="473"/>
        <v>1</v>
      </c>
      <c r="J837" s="18">
        <f>VLOOKUP(E837,Katalog!$C$3:$F$13,2,0)</f>
        <v>60000</v>
      </c>
      <c r="K837" s="18">
        <f>VLOOKUP(E837,Katalog!$C$3:$F$13,3,0)</f>
        <v>25000</v>
      </c>
      <c r="L837" t="str">
        <f t="shared" si="474"/>
        <v>PW002</v>
      </c>
      <c r="M837" t="str">
        <f>IFERROR(INDEX(Katalog!$B$4:$B$13,MATCH('Main Data'!L837,Katalog!$C$4:$C$13,0)), "-")</f>
        <v>Blouse</v>
      </c>
      <c r="N837" t="str">
        <f>IFERROR(VLOOKUP(L837,Katalog!$A$15:$B$25,2,0),"-")</f>
        <v>Pakaian Wanita</v>
      </c>
      <c r="O837" t="str">
        <f t="shared" si="475"/>
        <v>1</v>
      </c>
      <c r="P837" t="str">
        <f t="shared" si="476"/>
        <v>5</v>
      </c>
      <c r="Q837" s="18">
        <f>IFERROR(VLOOKUP(L837,Katalog!$C$3:$F$13,2,0),0)</f>
        <v>125000</v>
      </c>
      <c r="R837" s="18">
        <f>IFERROR(VLOOKUP(L837,Katalog!$C$3:$F$13,3,0),0)</f>
        <v>50000</v>
      </c>
      <c r="S837" t="str">
        <f t="shared" si="477"/>
        <v>-</v>
      </c>
      <c r="T837" t="str">
        <f>IFERROR(INDEX(Katalog!$B$4:$B$13,MATCH('Main Data'!S837,Katalog!$C$4:$C$13,0)),"-")</f>
        <v>-</v>
      </c>
      <c r="U837" t="str">
        <f>IFERROR(VLOOKUP(S837,Katalog!$A$15:$B$25,2,0),"-")</f>
        <v>-</v>
      </c>
      <c r="V837">
        <f t="shared" si="478"/>
        <v>0</v>
      </c>
      <c r="W837" s="28" t="str">
        <f t="shared" si="479"/>
        <v>-</v>
      </c>
      <c r="X837" s="18">
        <f>IFERROR(VLOOKUP(S837,Katalog!$C$3:$F$13,2,0),0)</f>
        <v>0</v>
      </c>
      <c r="Y837" s="30">
        <f>IFERROR(VLOOKUP(S837,Katalog!$C$3:$F$13,3,0),0)</f>
        <v>0</v>
      </c>
      <c r="Z837" s="2">
        <f t="shared" si="480"/>
        <v>6</v>
      </c>
      <c r="AA837" s="4">
        <f t="shared" si="481"/>
        <v>425000</v>
      </c>
      <c r="AB837" s="4">
        <f t="shared" si="482"/>
        <v>175000</v>
      </c>
      <c r="AC837" s="4" t="s">
        <v>12</v>
      </c>
      <c r="AD837" s="16">
        <f>IFERROR(VLOOKUP(AC837,'Kode Diskon'!$C$2:$D$9,2,0),0)</f>
        <v>0.15</v>
      </c>
      <c r="AE837" s="31">
        <f t="shared" si="483"/>
        <v>63750</v>
      </c>
      <c r="AF837" s="31">
        <f t="shared" si="484"/>
        <v>361250</v>
      </c>
      <c r="AG837" s="31">
        <f t="shared" si="485"/>
        <v>250000</v>
      </c>
      <c r="AH837" s="31">
        <f t="shared" si="486"/>
        <v>186250</v>
      </c>
      <c r="AI837" s="4" t="s">
        <v>28</v>
      </c>
      <c r="AJ837" s="4" t="s">
        <v>6</v>
      </c>
      <c r="AK837" s="4" t="str">
        <f>IFERROR(VLOOKUP(AJ837,'Guide '!$A$13:$B$16,2,0),"-")</f>
        <v>SP</v>
      </c>
      <c r="AL837" s="4" t="s">
        <v>921</v>
      </c>
      <c r="AM837" s="40">
        <v>45593</v>
      </c>
      <c r="AN837">
        <f t="shared" si="487"/>
        <v>29</v>
      </c>
      <c r="AO837">
        <f t="shared" si="488"/>
        <v>32</v>
      </c>
      <c r="AP837">
        <f t="shared" si="489"/>
        <v>40</v>
      </c>
      <c r="AQ837">
        <f t="shared" si="490"/>
        <v>43</v>
      </c>
      <c r="AR837" s="26">
        <f t="shared" si="491"/>
        <v>56</v>
      </c>
      <c r="AS837" s="26">
        <f t="shared" si="492"/>
        <v>63</v>
      </c>
      <c r="AT837" s="21">
        <f t="shared" si="493"/>
        <v>12</v>
      </c>
      <c r="AU837" s="21">
        <f t="shared" si="494"/>
        <v>19</v>
      </c>
      <c r="AV837">
        <f t="shared" si="495"/>
        <v>73</v>
      </c>
      <c r="AW837">
        <f t="shared" si="496"/>
        <v>76</v>
      </c>
      <c r="AX837">
        <f t="shared" si="497"/>
        <v>84</v>
      </c>
      <c r="AY837">
        <f t="shared" si="498"/>
        <v>87</v>
      </c>
      <c r="AZ837" t="str">
        <f t="shared" si="499"/>
        <v>-</v>
      </c>
      <c r="BA837" t="str">
        <f t="shared" si="500"/>
        <v>-</v>
      </c>
      <c r="BB837" t="str">
        <f t="shared" si="501"/>
        <v>-</v>
      </c>
      <c r="BC837" t="str">
        <f t="shared" si="502"/>
        <v>-</v>
      </c>
      <c r="BD837" s="29" t="str">
        <f t="shared" si="503"/>
        <v>-</v>
      </c>
      <c r="BE837" s="29" t="str">
        <f t="shared" si="504"/>
        <v>-</v>
      </c>
    </row>
    <row r="838" spans="1:57" ht="15" x14ac:dyDescent="0.2">
      <c r="A838" s="2">
        <v>49</v>
      </c>
      <c r="B838" s="2" t="str">
        <f t="shared" si="469"/>
        <v>0049</v>
      </c>
      <c r="C838" t="str">
        <f t="shared" si="470"/>
        <v>ORD-TK-0049-29/10/24</v>
      </c>
      <c r="D838" s="3" t="s">
        <v>123</v>
      </c>
      <c r="E838" t="str">
        <f t="shared" si="471"/>
        <v>PU001</v>
      </c>
      <c r="F838" t="str">
        <f>INDEX(Katalog!$B$4:$B$13,MATCH('Main Data'!E838,Katalog!$C$4:$C$13,0))</f>
        <v>Jaket Hoodie</v>
      </c>
      <c r="G838" t="str">
        <f>VLOOKUP(E838,Katalog!$A$15:$B$25,2,0)</f>
        <v>Pakaian Unisex</v>
      </c>
      <c r="H838" t="str">
        <f t="shared" si="472"/>
        <v>1</v>
      </c>
      <c r="I838" t="str">
        <f t="shared" si="473"/>
        <v>3</v>
      </c>
      <c r="J838" s="18">
        <f>VLOOKUP(E838,Katalog!$C$3:$F$13,2,0)</f>
        <v>160000</v>
      </c>
      <c r="K838" s="18">
        <f>VLOOKUP(E838,Katalog!$C$3:$F$13,3,0)</f>
        <v>60000</v>
      </c>
      <c r="L838" t="str">
        <f t="shared" si="474"/>
        <v>SW001</v>
      </c>
      <c r="M838" t="str">
        <f>IFERROR(INDEX(Katalog!$B$4:$B$13,MATCH('Main Data'!L838,Katalog!$C$4:$C$13,0)), "-")</f>
        <v>Flat Shoes</v>
      </c>
      <c r="N838" t="str">
        <f>IFERROR(VLOOKUP(L838,Katalog!$A$15:$B$25,2,0),"-")</f>
        <v>Sepatu Wanita</v>
      </c>
      <c r="O838" t="str">
        <f t="shared" si="475"/>
        <v>4</v>
      </c>
      <c r="P838" t="str">
        <f t="shared" si="476"/>
        <v>3</v>
      </c>
      <c r="Q838" s="18">
        <f>IFERROR(VLOOKUP(L838,Katalog!$C$3:$F$13,2,0),0)</f>
        <v>150000</v>
      </c>
      <c r="R838" s="18">
        <f>IFERROR(VLOOKUP(L838,Katalog!$C$3:$F$13,3,0),0)</f>
        <v>70000</v>
      </c>
      <c r="S838" t="str">
        <f t="shared" si="477"/>
        <v>-</v>
      </c>
      <c r="T838" t="str">
        <f>IFERROR(INDEX(Katalog!$B$4:$B$13,MATCH('Main Data'!S838,Katalog!$C$4:$C$13,0)),"-")</f>
        <v>-</v>
      </c>
      <c r="U838" t="str">
        <f>IFERROR(VLOOKUP(S838,Katalog!$A$15:$B$25,2,0),"-")</f>
        <v>-</v>
      </c>
      <c r="V838">
        <f t="shared" si="478"/>
        <v>0</v>
      </c>
      <c r="W838" s="28" t="str">
        <f t="shared" si="479"/>
        <v>-</v>
      </c>
      <c r="X838" s="18">
        <f>IFERROR(VLOOKUP(S838,Katalog!$C$3:$F$13,2,0),0)</f>
        <v>0</v>
      </c>
      <c r="Y838" s="30">
        <f>IFERROR(VLOOKUP(S838,Katalog!$C$3:$F$13,3,0),0)</f>
        <v>0</v>
      </c>
      <c r="Z838" s="2">
        <f t="shared" si="480"/>
        <v>5</v>
      </c>
      <c r="AA838" s="4">
        <f t="shared" si="481"/>
        <v>760000</v>
      </c>
      <c r="AB838" s="4">
        <f t="shared" si="482"/>
        <v>340000</v>
      </c>
      <c r="AC838" s="4" t="s">
        <v>29</v>
      </c>
      <c r="AD838" s="16">
        <f>IFERROR(VLOOKUP(AC838,'Kode Diskon'!$C$2:$D$9,2,0),0)</f>
        <v>0.1</v>
      </c>
      <c r="AE838" s="31">
        <f t="shared" si="483"/>
        <v>76000</v>
      </c>
      <c r="AF838" s="31">
        <f t="shared" si="484"/>
        <v>684000</v>
      </c>
      <c r="AG838" s="31">
        <f t="shared" si="485"/>
        <v>420000</v>
      </c>
      <c r="AH838" s="31">
        <f t="shared" si="486"/>
        <v>344000</v>
      </c>
      <c r="AI838" s="4" t="s">
        <v>28</v>
      </c>
      <c r="AJ838" s="4" t="s">
        <v>9</v>
      </c>
      <c r="AK838" s="4" t="str">
        <f>IFERROR(VLOOKUP(AJ838,'Guide '!$A$13:$B$16,2,0),"-")</f>
        <v>TK</v>
      </c>
      <c r="AL838" s="4" t="s">
        <v>921</v>
      </c>
      <c r="AM838" s="40">
        <v>45594</v>
      </c>
      <c r="AN838">
        <f t="shared" si="487"/>
        <v>29</v>
      </c>
      <c r="AO838">
        <f t="shared" si="488"/>
        <v>32</v>
      </c>
      <c r="AP838">
        <f t="shared" si="489"/>
        <v>40</v>
      </c>
      <c r="AQ838">
        <f t="shared" si="490"/>
        <v>43</v>
      </c>
      <c r="AR838" s="26">
        <f t="shared" si="491"/>
        <v>56</v>
      </c>
      <c r="AS838" s="26">
        <f t="shared" si="492"/>
        <v>63</v>
      </c>
      <c r="AT838" s="21">
        <f t="shared" si="493"/>
        <v>12</v>
      </c>
      <c r="AU838" s="21">
        <f t="shared" si="494"/>
        <v>19</v>
      </c>
      <c r="AV838">
        <f t="shared" si="495"/>
        <v>73</v>
      </c>
      <c r="AW838">
        <f t="shared" si="496"/>
        <v>76</v>
      </c>
      <c r="AX838">
        <f t="shared" si="497"/>
        <v>84</v>
      </c>
      <c r="AY838">
        <f t="shared" si="498"/>
        <v>87</v>
      </c>
      <c r="AZ838" t="str">
        <f t="shared" si="499"/>
        <v>-</v>
      </c>
      <c r="BA838" t="str">
        <f t="shared" si="500"/>
        <v>-</v>
      </c>
      <c r="BB838" t="str">
        <f t="shared" si="501"/>
        <v>-</v>
      </c>
      <c r="BC838" t="str">
        <f t="shared" si="502"/>
        <v>-</v>
      </c>
      <c r="BD838" s="29" t="str">
        <f t="shared" si="503"/>
        <v>-</v>
      </c>
      <c r="BE838" s="29" t="str">
        <f t="shared" si="504"/>
        <v>-</v>
      </c>
    </row>
    <row r="839" spans="1:57" ht="15" x14ac:dyDescent="0.2">
      <c r="A839" s="2">
        <v>85</v>
      </c>
      <c r="B839" s="2" t="str">
        <f t="shared" si="469"/>
        <v>0085</v>
      </c>
      <c r="C839" t="str">
        <f t="shared" si="470"/>
        <v>ORD-TK-0085-29/10/24</v>
      </c>
      <c r="D839" s="3" t="s">
        <v>158</v>
      </c>
      <c r="E839" t="str">
        <f t="shared" si="471"/>
        <v>PP003</v>
      </c>
      <c r="F839" t="str">
        <f>INDEX(Katalog!$B$4:$B$13,MATCH('Main Data'!E839,Katalog!$C$4:$C$13,0))</f>
        <v>Jaket Jeans</v>
      </c>
      <c r="G839" t="str">
        <f>VLOOKUP(E839,Katalog!$A$15:$B$25,2,0)</f>
        <v>Pakaian Pria</v>
      </c>
      <c r="H839" t="str">
        <f t="shared" si="472"/>
        <v>2</v>
      </c>
      <c r="I839" t="str">
        <f t="shared" si="473"/>
        <v>1</v>
      </c>
      <c r="J839" s="18">
        <f>VLOOKUP(E839,Katalog!$C$3:$F$13,2,0)</f>
        <v>150000</v>
      </c>
      <c r="K839" s="18">
        <f>VLOOKUP(E839,Katalog!$C$3:$F$13,3,0)</f>
        <v>70000</v>
      </c>
      <c r="L839" t="str">
        <f t="shared" si="474"/>
        <v>PW002</v>
      </c>
      <c r="M839" t="str">
        <f>IFERROR(INDEX(Katalog!$B$4:$B$13,MATCH('Main Data'!L839,Katalog!$C$4:$C$13,0)), "-")</f>
        <v>Blouse</v>
      </c>
      <c r="N839" t="str">
        <f>IFERROR(VLOOKUP(L839,Katalog!$A$15:$B$25,2,0),"-")</f>
        <v>Pakaian Wanita</v>
      </c>
      <c r="O839" t="str">
        <f t="shared" si="475"/>
        <v>1</v>
      </c>
      <c r="P839" t="str">
        <f t="shared" si="476"/>
        <v>2</v>
      </c>
      <c r="Q839" s="18">
        <f>IFERROR(VLOOKUP(L839,Katalog!$C$3:$F$13,2,0),0)</f>
        <v>125000</v>
      </c>
      <c r="R839" s="18">
        <f>IFERROR(VLOOKUP(L839,Katalog!$C$3:$F$13,3,0),0)</f>
        <v>50000</v>
      </c>
      <c r="S839" t="str">
        <f t="shared" si="477"/>
        <v>PP002</v>
      </c>
      <c r="T839" t="str">
        <f>IFERROR(INDEX(Katalog!$B$4:$B$13,MATCH('Main Data'!S839,Katalog!$C$4:$C$13,0)),"-")</f>
        <v>Celana Pendek</v>
      </c>
      <c r="U839" t="str">
        <f>IFERROR(VLOOKUP(S839,Katalog!$A$15:$B$25,2,0),"-")</f>
        <v>Pakaian Pria</v>
      </c>
      <c r="V839" t="str">
        <f t="shared" si="478"/>
        <v>1</v>
      </c>
      <c r="W839" s="28" t="str">
        <f t="shared" si="479"/>
        <v>4</v>
      </c>
      <c r="X839" s="18">
        <f>IFERROR(VLOOKUP(S839,Katalog!$C$3:$F$13,2,0),0)</f>
        <v>60000</v>
      </c>
      <c r="Y839" s="30">
        <f>IFERROR(VLOOKUP(S839,Katalog!$C$3:$F$13,3,0),0)</f>
        <v>25000</v>
      </c>
      <c r="Z839" s="2">
        <f t="shared" si="480"/>
        <v>4</v>
      </c>
      <c r="AA839" s="4">
        <f t="shared" si="481"/>
        <v>485000</v>
      </c>
      <c r="AB839" s="4">
        <f t="shared" si="482"/>
        <v>215000</v>
      </c>
      <c r="AC839" s="4" t="s">
        <v>29</v>
      </c>
      <c r="AD839" s="16">
        <f>IFERROR(VLOOKUP(AC839,'Kode Diskon'!$C$2:$D$9,2,0),0)</f>
        <v>0.1</v>
      </c>
      <c r="AE839" s="31">
        <f t="shared" si="483"/>
        <v>48500</v>
      </c>
      <c r="AF839" s="31">
        <f t="shared" si="484"/>
        <v>436500</v>
      </c>
      <c r="AG839" s="31">
        <f t="shared" si="485"/>
        <v>270000</v>
      </c>
      <c r="AH839" s="31">
        <f t="shared" si="486"/>
        <v>221500</v>
      </c>
      <c r="AI839" s="4" t="s">
        <v>28</v>
      </c>
      <c r="AJ839" s="4" t="s">
        <v>9</v>
      </c>
      <c r="AK839" s="4" t="str">
        <f>IFERROR(VLOOKUP(AJ839,'Guide '!$A$13:$B$16,2,0),"-")</f>
        <v>TK</v>
      </c>
      <c r="AL839" s="4" t="s">
        <v>1006</v>
      </c>
      <c r="AM839" s="40">
        <v>45594</v>
      </c>
      <c r="AN839">
        <f t="shared" si="487"/>
        <v>29</v>
      </c>
      <c r="AO839">
        <f t="shared" si="488"/>
        <v>32</v>
      </c>
      <c r="AP839">
        <f t="shared" si="489"/>
        <v>40</v>
      </c>
      <c r="AQ839">
        <f t="shared" si="490"/>
        <v>43</v>
      </c>
      <c r="AR839" s="26">
        <f t="shared" si="491"/>
        <v>56</v>
      </c>
      <c r="AS839" s="26">
        <f t="shared" si="492"/>
        <v>63</v>
      </c>
      <c r="AT839" s="21">
        <f t="shared" si="493"/>
        <v>12</v>
      </c>
      <c r="AU839" s="21">
        <f t="shared" si="494"/>
        <v>19</v>
      </c>
      <c r="AV839">
        <f t="shared" si="495"/>
        <v>73</v>
      </c>
      <c r="AW839">
        <f t="shared" si="496"/>
        <v>76</v>
      </c>
      <c r="AX839">
        <f t="shared" si="497"/>
        <v>84</v>
      </c>
      <c r="AY839">
        <f t="shared" si="498"/>
        <v>87</v>
      </c>
      <c r="AZ839">
        <f t="shared" si="499"/>
        <v>100</v>
      </c>
      <c r="BA839">
        <f t="shared" si="500"/>
        <v>107</v>
      </c>
      <c r="BB839">
        <f t="shared" si="501"/>
        <v>117</v>
      </c>
      <c r="BC839">
        <f t="shared" si="502"/>
        <v>120</v>
      </c>
      <c r="BD839" s="29">
        <f t="shared" si="503"/>
        <v>128</v>
      </c>
      <c r="BE839" s="29">
        <f t="shared" si="504"/>
        <v>131</v>
      </c>
    </row>
    <row r="840" spans="1:57" ht="15" x14ac:dyDescent="0.2">
      <c r="A840" s="2">
        <v>95</v>
      </c>
      <c r="B840" s="2" t="str">
        <f t="shared" si="469"/>
        <v>0095</v>
      </c>
      <c r="C840" t="str">
        <f t="shared" si="470"/>
        <v>ORD-BB-0095-29/10/24</v>
      </c>
      <c r="D840" s="3" t="s">
        <v>167</v>
      </c>
      <c r="E840" t="str">
        <f t="shared" si="471"/>
        <v>PW001</v>
      </c>
      <c r="F840" t="str">
        <f>INDEX(Katalog!$B$4:$B$13,MATCH('Main Data'!E840,Katalog!$C$4:$C$13,0))</f>
        <v>Dress</v>
      </c>
      <c r="G840" t="str">
        <f>VLOOKUP(E840,Katalog!$A$15:$B$25,2,0)</f>
        <v>Pakaian Wanita</v>
      </c>
      <c r="H840" t="str">
        <f t="shared" si="472"/>
        <v>5</v>
      </c>
      <c r="I840" t="str">
        <f t="shared" si="473"/>
        <v>5</v>
      </c>
      <c r="J840" s="18">
        <f>VLOOKUP(E840,Katalog!$C$3:$F$13,2,0)</f>
        <v>150000</v>
      </c>
      <c r="K840" s="18">
        <f>VLOOKUP(E840,Katalog!$C$3:$F$13,3,0)</f>
        <v>55000</v>
      </c>
      <c r="L840" t="str">
        <f t="shared" si="474"/>
        <v>-</v>
      </c>
      <c r="M840" t="str">
        <f>IFERROR(INDEX(Katalog!$B$4:$B$13,MATCH('Main Data'!L840,Katalog!$C$4:$C$13,0)), "-")</f>
        <v>-</v>
      </c>
      <c r="N840" t="str">
        <f>IFERROR(VLOOKUP(L840,Katalog!$A$15:$B$25,2,0),"-")</f>
        <v>-</v>
      </c>
      <c r="O840">
        <f t="shared" si="475"/>
        <v>0</v>
      </c>
      <c r="P840" t="str">
        <f t="shared" si="476"/>
        <v>-</v>
      </c>
      <c r="Q840" s="18">
        <f>IFERROR(VLOOKUP(L840,Katalog!$C$3:$F$13,2,0),0)</f>
        <v>0</v>
      </c>
      <c r="R840" s="18">
        <f>IFERROR(VLOOKUP(L840,Katalog!$C$3:$F$13,3,0),0)</f>
        <v>0</v>
      </c>
      <c r="S840" t="str">
        <f t="shared" si="477"/>
        <v>-</v>
      </c>
      <c r="T840" t="str">
        <f>IFERROR(INDEX(Katalog!$B$4:$B$13,MATCH('Main Data'!S840,Katalog!$C$4:$C$13,0)),"-")</f>
        <v>-</v>
      </c>
      <c r="U840" t="str">
        <f>IFERROR(VLOOKUP(S840,Katalog!$A$15:$B$25,2,0),"-")</f>
        <v>-</v>
      </c>
      <c r="V840">
        <f t="shared" si="478"/>
        <v>0</v>
      </c>
      <c r="W840" s="28" t="str">
        <f t="shared" si="479"/>
        <v>-</v>
      </c>
      <c r="X840" s="18">
        <f>IFERROR(VLOOKUP(S840,Katalog!$C$3:$F$13,2,0),0)</f>
        <v>0</v>
      </c>
      <c r="Y840" s="30">
        <f>IFERROR(VLOOKUP(S840,Katalog!$C$3:$F$13,3,0),0)</f>
        <v>0</v>
      </c>
      <c r="Z840" s="2">
        <f t="shared" si="480"/>
        <v>5</v>
      </c>
      <c r="AA840" s="4">
        <f t="shared" si="481"/>
        <v>750000</v>
      </c>
      <c r="AB840" s="4">
        <f t="shared" si="482"/>
        <v>275000</v>
      </c>
      <c r="AC840" s="4" t="s">
        <v>27</v>
      </c>
      <c r="AD840" s="16">
        <f>IFERROR(VLOOKUP(AC840,'Kode Diskon'!$C$2:$D$9,2,0),0)</f>
        <v>0.15</v>
      </c>
      <c r="AE840" s="31">
        <f t="shared" si="483"/>
        <v>112500</v>
      </c>
      <c r="AF840" s="31">
        <f t="shared" si="484"/>
        <v>637500</v>
      </c>
      <c r="AG840" s="31">
        <f t="shared" si="485"/>
        <v>475000</v>
      </c>
      <c r="AH840" s="31">
        <f t="shared" si="486"/>
        <v>362500</v>
      </c>
      <c r="AI840" s="4" t="s">
        <v>28</v>
      </c>
      <c r="AJ840" s="4" t="s">
        <v>13</v>
      </c>
      <c r="AK840" s="4" t="str">
        <f>IFERROR(VLOOKUP(AJ840,'Guide '!$A$13:$B$16,2,0),"-")</f>
        <v>BB</v>
      </c>
      <c r="AL840" s="4" t="s">
        <v>922</v>
      </c>
      <c r="AM840" s="40">
        <v>45594</v>
      </c>
      <c r="AN840">
        <f t="shared" si="487"/>
        <v>29</v>
      </c>
      <c r="AO840">
        <f t="shared" si="488"/>
        <v>32</v>
      </c>
      <c r="AP840">
        <f t="shared" si="489"/>
        <v>40</v>
      </c>
      <c r="AQ840">
        <f t="shared" si="490"/>
        <v>43</v>
      </c>
      <c r="AR840" s="26" t="str">
        <f t="shared" si="491"/>
        <v>-</v>
      </c>
      <c r="AS840" s="26" t="str">
        <f t="shared" si="492"/>
        <v>-</v>
      </c>
      <c r="AT840" s="21">
        <f t="shared" si="493"/>
        <v>12</v>
      </c>
      <c r="AU840" s="21">
        <f t="shared" si="494"/>
        <v>19</v>
      </c>
      <c r="AV840" t="str">
        <f t="shared" si="495"/>
        <v>-</v>
      </c>
      <c r="AW840" t="str">
        <f t="shared" si="496"/>
        <v>-</v>
      </c>
      <c r="AX840" t="str">
        <f t="shared" si="497"/>
        <v>-</v>
      </c>
      <c r="AY840" t="str">
        <f t="shared" si="498"/>
        <v>-</v>
      </c>
      <c r="AZ840" t="str">
        <f t="shared" si="499"/>
        <v>-</v>
      </c>
      <c r="BA840" t="str">
        <f t="shared" si="500"/>
        <v>-</v>
      </c>
      <c r="BB840" t="str">
        <f t="shared" si="501"/>
        <v>-</v>
      </c>
      <c r="BC840" t="str">
        <f t="shared" si="502"/>
        <v>-</v>
      </c>
      <c r="BD840" s="29" t="str">
        <f t="shared" si="503"/>
        <v>-</v>
      </c>
      <c r="BE840" s="29" t="str">
        <f t="shared" si="504"/>
        <v>-</v>
      </c>
    </row>
    <row r="841" spans="1:57" ht="15" x14ac:dyDescent="0.2">
      <c r="A841" s="2">
        <v>330</v>
      </c>
      <c r="B841" s="2" t="str">
        <f t="shared" si="469"/>
        <v>0330</v>
      </c>
      <c r="C841" t="str">
        <f t="shared" si="470"/>
        <v>ORD-SP-0330-29/10/24</v>
      </c>
      <c r="D841" s="3" t="s">
        <v>383</v>
      </c>
      <c r="E841" t="str">
        <f t="shared" si="471"/>
        <v>PW002</v>
      </c>
      <c r="F841" t="str">
        <f>INDEX(Katalog!$B$4:$B$13,MATCH('Main Data'!E841,Katalog!$C$4:$C$13,0))</f>
        <v>Blouse</v>
      </c>
      <c r="G841" t="str">
        <f>VLOOKUP(E841,Katalog!$A$15:$B$25,2,0)</f>
        <v>Pakaian Wanita</v>
      </c>
      <c r="H841" t="str">
        <f t="shared" si="472"/>
        <v>1</v>
      </c>
      <c r="I841" t="str">
        <f t="shared" si="473"/>
        <v>1</v>
      </c>
      <c r="J841" s="18">
        <f>VLOOKUP(E841,Katalog!$C$3:$F$13,2,0)</f>
        <v>125000</v>
      </c>
      <c r="K841" s="18">
        <f>VLOOKUP(E841,Katalog!$C$3:$F$13,3,0)</f>
        <v>50000</v>
      </c>
      <c r="L841" t="str">
        <f t="shared" si="474"/>
        <v>-</v>
      </c>
      <c r="M841" t="str">
        <f>IFERROR(INDEX(Katalog!$B$4:$B$13,MATCH('Main Data'!L841,Katalog!$C$4:$C$13,0)), "-")</f>
        <v>-</v>
      </c>
      <c r="N841" t="str">
        <f>IFERROR(VLOOKUP(L841,Katalog!$A$15:$B$25,2,0),"-")</f>
        <v>-</v>
      </c>
      <c r="O841">
        <f t="shared" si="475"/>
        <v>0</v>
      </c>
      <c r="P841" t="str">
        <f t="shared" si="476"/>
        <v>-</v>
      </c>
      <c r="Q841" s="18">
        <f>IFERROR(VLOOKUP(L841,Katalog!$C$3:$F$13,2,0),0)</f>
        <v>0</v>
      </c>
      <c r="R841" s="18">
        <f>IFERROR(VLOOKUP(L841,Katalog!$C$3:$F$13,3,0),0)</f>
        <v>0</v>
      </c>
      <c r="S841" t="str">
        <f t="shared" si="477"/>
        <v>-</v>
      </c>
      <c r="T841" t="str">
        <f>IFERROR(INDEX(Katalog!$B$4:$B$13,MATCH('Main Data'!S841,Katalog!$C$4:$C$13,0)),"-")</f>
        <v>-</v>
      </c>
      <c r="U841" t="str">
        <f>IFERROR(VLOOKUP(S841,Katalog!$A$15:$B$25,2,0),"-")</f>
        <v>-</v>
      </c>
      <c r="V841">
        <f t="shared" si="478"/>
        <v>0</v>
      </c>
      <c r="W841" s="28" t="str">
        <f t="shared" si="479"/>
        <v>-</v>
      </c>
      <c r="X841" s="18">
        <f>IFERROR(VLOOKUP(S841,Katalog!$C$3:$F$13,2,0),0)</f>
        <v>0</v>
      </c>
      <c r="Y841" s="30">
        <f>IFERROR(VLOOKUP(S841,Katalog!$C$3:$F$13,3,0),0)</f>
        <v>0</v>
      </c>
      <c r="Z841" s="2">
        <f t="shared" si="480"/>
        <v>1</v>
      </c>
      <c r="AA841" s="4">
        <f t="shared" si="481"/>
        <v>125000</v>
      </c>
      <c r="AB841" s="4">
        <f t="shared" si="482"/>
        <v>50000</v>
      </c>
      <c r="AC841" s="4" t="s">
        <v>5</v>
      </c>
      <c r="AD841" s="16">
        <f>IFERROR(VLOOKUP(AC841,'Kode Diskon'!$C$2:$D$9,2,0),0)</f>
        <v>0.1</v>
      </c>
      <c r="AE841" s="31">
        <f t="shared" si="483"/>
        <v>12500</v>
      </c>
      <c r="AF841" s="31">
        <f t="shared" si="484"/>
        <v>112500</v>
      </c>
      <c r="AG841" s="31">
        <f t="shared" si="485"/>
        <v>75000</v>
      </c>
      <c r="AH841" s="31">
        <f t="shared" si="486"/>
        <v>62500</v>
      </c>
      <c r="AI841" s="4" t="s">
        <v>28</v>
      </c>
      <c r="AJ841" s="4" t="s">
        <v>6</v>
      </c>
      <c r="AK841" s="4" t="str">
        <f>IFERROR(VLOOKUP(AJ841,'Guide '!$A$13:$B$16,2,0),"-")</f>
        <v>SP</v>
      </c>
      <c r="AL841" s="4" t="s">
        <v>923</v>
      </c>
      <c r="AM841" s="40">
        <v>45594</v>
      </c>
      <c r="AN841">
        <f t="shared" si="487"/>
        <v>29</v>
      </c>
      <c r="AO841">
        <f t="shared" si="488"/>
        <v>32</v>
      </c>
      <c r="AP841">
        <f t="shared" si="489"/>
        <v>40</v>
      </c>
      <c r="AQ841">
        <f t="shared" si="490"/>
        <v>43</v>
      </c>
      <c r="AR841" s="26" t="str">
        <f t="shared" si="491"/>
        <v>-</v>
      </c>
      <c r="AS841" s="26" t="str">
        <f t="shared" si="492"/>
        <v>-</v>
      </c>
      <c r="AT841" s="21">
        <f t="shared" si="493"/>
        <v>12</v>
      </c>
      <c r="AU841" s="21">
        <f t="shared" si="494"/>
        <v>19</v>
      </c>
      <c r="AV841" t="str">
        <f t="shared" si="495"/>
        <v>-</v>
      </c>
      <c r="AW841" t="str">
        <f t="shared" si="496"/>
        <v>-</v>
      </c>
      <c r="AX841" t="str">
        <f t="shared" si="497"/>
        <v>-</v>
      </c>
      <c r="AY841" t="str">
        <f t="shared" si="498"/>
        <v>-</v>
      </c>
      <c r="AZ841" t="str">
        <f t="shared" si="499"/>
        <v>-</v>
      </c>
      <c r="BA841" t="str">
        <f t="shared" si="500"/>
        <v>-</v>
      </c>
      <c r="BB841" t="str">
        <f t="shared" si="501"/>
        <v>-</v>
      </c>
      <c r="BC841" t="str">
        <f t="shared" si="502"/>
        <v>-</v>
      </c>
      <c r="BD841" s="29" t="str">
        <f t="shared" si="503"/>
        <v>-</v>
      </c>
      <c r="BE841" s="29" t="str">
        <f t="shared" si="504"/>
        <v>-</v>
      </c>
    </row>
    <row r="842" spans="1:57" ht="15" x14ac:dyDescent="0.2">
      <c r="A842" s="2">
        <v>804</v>
      </c>
      <c r="B842" s="2" t="str">
        <f t="shared" si="469"/>
        <v>0804</v>
      </c>
      <c r="C842" t="str">
        <f t="shared" si="470"/>
        <v>ORD-BB-0804-29/10/24</v>
      </c>
      <c r="D842" s="3" t="s">
        <v>770</v>
      </c>
      <c r="E842" t="str">
        <f t="shared" si="471"/>
        <v>PW003</v>
      </c>
      <c r="F842" t="str">
        <f>INDEX(Katalog!$B$4:$B$13,MATCH('Main Data'!E842,Katalog!$C$4:$C$13,0))</f>
        <v>Kaftan</v>
      </c>
      <c r="G842" t="str">
        <f>VLOOKUP(E842,Katalog!$A$15:$B$25,2,0)</f>
        <v>Pakaian Wanita</v>
      </c>
      <c r="H842" t="str">
        <f t="shared" si="472"/>
        <v>5</v>
      </c>
      <c r="I842" t="str">
        <f t="shared" si="473"/>
        <v>1</v>
      </c>
      <c r="J842" s="18">
        <f>VLOOKUP(E842,Katalog!$C$3:$F$13,2,0)</f>
        <v>200000</v>
      </c>
      <c r="K842" s="18">
        <f>VLOOKUP(E842,Katalog!$C$3:$F$13,3,0)</f>
        <v>100000</v>
      </c>
      <c r="L842" t="str">
        <f t="shared" si="474"/>
        <v>SP001</v>
      </c>
      <c r="M842" t="str">
        <f>IFERROR(INDEX(Katalog!$B$4:$B$13,MATCH('Main Data'!L842,Katalog!$C$4:$C$13,0)), "-")</f>
        <v>Sneakers</v>
      </c>
      <c r="N842" t="str">
        <f>IFERROR(VLOOKUP(L842,Katalog!$A$15:$B$25,2,0),"-")</f>
        <v>Sepatu Pria</v>
      </c>
      <c r="O842" t="str">
        <f t="shared" si="475"/>
        <v>1</v>
      </c>
      <c r="P842" t="str">
        <f t="shared" si="476"/>
        <v>4</v>
      </c>
      <c r="Q842" s="18">
        <f>IFERROR(VLOOKUP(L842,Katalog!$C$3:$F$13,2,0),0)</f>
        <v>300000</v>
      </c>
      <c r="R842" s="18">
        <f>IFERROR(VLOOKUP(L842,Katalog!$C$3:$F$13,3,0),0)</f>
        <v>100000</v>
      </c>
      <c r="S842" t="str">
        <f t="shared" si="477"/>
        <v>-</v>
      </c>
      <c r="T842" t="str">
        <f>IFERROR(INDEX(Katalog!$B$4:$B$13,MATCH('Main Data'!S842,Katalog!$C$4:$C$13,0)),"-")</f>
        <v>-</v>
      </c>
      <c r="U842" t="str">
        <f>IFERROR(VLOOKUP(S842,Katalog!$A$15:$B$25,2,0),"-")</f>
        <v>-</v>
      </c>
      <c r="V842">
        <f t="shared" si="478"/>
        <v>0</v>
      </c>
      <c r="W842" s="28" t="str">
        <f t="shared" si="479"/>
        <v>-</v>
      </c>
      <c r="X842" s="18">
        <f>IFERROR(VLOOKUP(S842,Katalog!$C$3:$F$13,2,0),0)</f>
        <v>0</v>
      </c>
      <c r="Y842" s="30">
        <f>IFERROR(VLOOKUP(S842,Katalog!$C$3:$F$13,3,0),0)</f>
        <v>0</v>
      </c>
      <c r="Z842" s="2">
        <f t="shared" si="480"/>
        <v>6</v>
      </c>
      <c r="AA842" s="4">
        <f t="shared" si="481"/>
        <v>1300000</v>
      </c>
      <c r="AB842" s="4">
        <f t="shared" si="482"/>
        <v>600000</v>
      </c>
      <c r="AC842" s="4" t="s">
        <v>10</v>
      </c>
      <c r="AD842" s="16">
        <f>IFERROR(VLOOKUP(AC842,'Kode Diskon'!$C$2:$D$9,2,0),0)</f>
        <v>0</v>
      </c>
      <c r="AE842" s="31">
        <f t="shared" si="483"/>
        <v>0</v>
      </c>
      <c r="AF842" s="31">
        <f t="shared" si="484"/>
        <v>1300000</v>
      </c>
      <c r="AG842" s="31">
        <f t="shared" si="485"/>
        <v>700000</v>
      </c>
      <c r="AH842" s="31">
        <f t="shared" si="486"/>
        <v>700000</v>
      </c>
      <c r="AI842" s="4" t="s">
        <v>10</v>
      </c>
      <c r="AJ842" s="4" t="s">
        <v>13</v>
      </c>
      <c r="AK842" s="4" t="str">
        <f>IFERROR(VLOOKUP(AJ842,'Guide '!$A$13:$B$16,2,0),"-")</f>
        <v>BB</v>
      </c>
      <c r="AL842" s="4" t="s">
        <v>922</v>
      </c>
      <c r="AM842" s="40">
        <v>45594</v>
      </c>
      <c r="AN842">
        <f t="shared" si="487"/>
        <v>29</v>
      </c>
      <c r="AO842">
        <f t="shared" si="488"/>
        <v>32</v>
      </c>
      <c r="AP842">
        <f t="shared" si="489"/>
        <v>40</v>
      </c>
      <c r="AQ842">
        <f t="shared" si="490"/>
        <v>43</v>
      </c>
      <c r="AR842" s="26">
        <f t="shared" si="491"/>
        <v>56</v>
      </c>
      <c r="AS842" s="26">
        <f t="shared" si="492"/>
        <v>63</v>
      </c>
      <c r="AT842" s="21">
        <f t="shared" si="493"/>
        <v>12</v>
      </c>
      <c r="AU842" s="21">
        <f t="shared" si="494"/>
        <v>19</v>
      </c>
      <c r="AV842">
        <f t="shared" si="495"/>
        <v>73</v>
      </c>
      <c r="AW842">
        <f t="shared" si="496"/>
        <v>76</v>
      </c>
      <c r="AX842">
        <f t="shared" si="497"/>
        <v>84</v>
      </c>
      <c r="AY842">
        <f t="shared" si="498"/>
        <v>87</v>
      </c>
      <c r="AZ842" t="str">
        <f t="shared" si="499"/>
        <v>-</v>
      </c>
      <c r="BA842" t="str">
        <f t="shared" si="500"/>
        <v>-</v>
      </c>
      <c r="BB842" t="str">
        <f t="shared" si="501"/>
        <v>-</v>
      </c>
      <c r="BC842" t="str">
        <f t="shared" si="502"/>
        <v>-</v>
      </c>
      <c r="BD842" s="29" t="str">
        <f t="shared" si="503"/>
        <v>-</v>
      </c>
      <c r="BE842" s="29" t="str">
        <f t="shared" si="504"/>
        <v>-</v>
      </c>
    </row>
    <row r="843" spans="1:57" ht="15" x14ac:dyDescent="0.2">
      <c r="A843" s="2">
        <v>152</v>
      </c>
      <c r="B843" s="2" t="str">
        <f t="shared" si="469"/>
        <v>0152</v>
      </c>
      <c r="C843" t="str">
        <f t="shared" si="470"/>
        <v>ORD-BB-0152-30/10/24</v>
      </c>
      <c r="D843" s="3" t="s">
        <v>222</v>
      </c>
      <c r="E843" t="str">
        <f t="shared" si="471"/>
        <v>PW003</v>
      </c>
      <c r="F843" t="str">
        <f>INDEX(Katalog!$B$4:$B$13,MATCH('Main Data'!E843,Katalog!$C$4:$C$13,0))</f>
        <v>Kaftan</v>
      </c>
      <c r="G843" t="str">
        <f>VLOOKUP(E843,Katalog!$A$15:$B$25,2,0)</f>
        <v>Pakaian Wanita</v>
      </c>
      <c r="H843" t="str">
        <f t="shared" si="472"/>
        <v>4</v>
      </c>
      <c r="I843" t="str">
        <f t="shared" si="473"/>
        <v>3</v>
      </c>
      <c r="J843" s="18">
        <f>VLOOKUP(E843,Katalog!$C$3:$F$13,2,0)</f>
        <v>200000</v>
      </c>
      <c r="K843" s="18">
        <f>VLOOKUP(E843,Katalog!$C$3:$F$13,3,0)</f>
        <v>100000</v>
      </c>
      <c r="L843" t="str">
        <f t="shared" si="474"/>
        <v>-</v>
      </c>
      <c r="M843" t="str">
        <f>IFERROR(INDEX(Katalog!$B$4:$B$13,MATCH('Main Data'!L843,Katalog!$C$4:$C$13,0)), "-")</f>
        <v>-</v>
      </c>
      <c r="N843" t="str">
        <f>IFERROR(VLOOKUP(L843,Katalog!$A$15:$B$25,2,0),"-")</f>
        <v>-</v>
      </c>
      <c r="O843">
        <f t="shared" si="475"/>
        <v>0</v>
      </c>
      <c r="P843" t="str">
        <f t="shared" si="476"/>
        <v>-</v>
      </c>
      <c r="Q843" s="18">
        <f>IFERROR(VLOOKUP(L843,Katalog!$C$3:$F$13,2,0),0)</f>
        <v>0</v>
      </c>
      <c r="R843" s="18">
        <f>IFERROR(VLOOKUP(L843,Katalog!$C$3:$F$13,3,0),0)</f>
        <v>0</v>
      </c>
      <c r="S843" t="str">
        <f t="shared" si="477"/>
        <v>-</v>
      </c>
      <c r="T843" t="str">
        <f>IFERROR(INDEX(Katalog!$B$4:$B$13,MATCH('Main Data'!S843,Katalog!$C$4:$C$13,0)),"-")</f>
        <v>-</v>
      </c>
      <c r="U843" t="str">
        <f>IFERROR(VLOOKUP(S843,Katalog!$A$15:$B$25,2,0),"-")</f>
        <v>-</v>
      </c>
      <c r="V843">
        <f t="shared" si="478"/>
        <v>0</v>
      </c>
      <c r="W843" s="28" t="str">
        <f t="shared" si="479"/>
        <v>-</v>
      </c>
      <c r="X843" s="18">
        <f>IFERROR(VLOOKUP(S843,Katalog!$C$3:$F$13,2,0),0)</f>
        <v>0</v>
      </c>
      <c r="Y843" s="30">
        <f>IFERROR(VLOOKUP(S843,Katalog!$C$3:$F$13,3,0),0)</f>
        <v>0</v>
      </c>
      <c r="Z843" s="2">
        <f t="shared" si="480"/>
        <v>4</v>
      </c>
      <c r="AA843" s="4">
        <f t="shared" si="481"/>
        <v>800000</v>
      </c>
      <c r="AB843" s="4">
        <f t="shared" si="482"/>
        <v>400000</v>
      </c>
      <c r="AC843" s="4" t="s">
        <v>27</v>
      </c>
      <c r="AD843" s="16">
        <f>IFERROR(VLOOKUP(AC843,'Kode Diskon'!$C$2:$D$9,2,0),0)</f>
        <v>0.15</v>
      </c>
      <c r="AE843" s="31">
        <f t="shared" si="483"/>
        <v>120000</v>
      </c>
      <c r="AF843" s="31">
        <f t="shared" si="484"/>
        <v>680000</v>
      </c>
      <c r="AG843" s="31">
        <f t="shared" si="485"/>
        <v>400000</v>
      </c>
      <c r="AH843" s="31">
        <f t="shared" si="486"/>
        <v>280000</v>
      </c>
      <c r="AI843" s="4" t="s">
        <v>28</v>
      </c>
      <c r="AJ843" s="4" t="s">
        <v>13</v>
      </c>
      <c r="AK843" s="4" t="str">
        <f>IFERROR(VLOOKUP(AJ843,'Guide '!$A$13:$B$16,2,0),"-")</f>
        <v>BB</v>
      </c>
      <c r="AL843" s="4" t="s">
        <v>925</v>
      </c>
      <c r="AM843" s="40">
        <v>45595</v>
      </c>
      <c r="AN843">
        <f t="shared" si="487"/>
        <v>29</v>
      </c>
      <c r="AO843">
        <f t="shared" si="488"/>
        <v>32</v>
      </c>
      <c r="AP843">
        <f t="shared" si="489"/>
        <v>40</v>
      </c>
      <c r="AQ843">
        <f t="shared" si="490"/>
        <v>43</v>
      </c>
      <c r="AR843" s="26" t="str">
        <f t="shared" si="491"/>
        <v>-</v>
      </c>
      <c r="AS843" s="26" t="str">
        <f t="shared" si="492"/>
        <v>-</v>
      </c>
      <c r="AT843" s="21">
        <f t="shared" si="493"/>
        <v>12</v>
      </c>
      <c r="AU843" s="21">
        <f t="shared" si="494"/>
        <v>19</v>
      </c>
      <c r="AV843" t="str">
        <f t="shared" si="495"/>
        <v>-</v>
      </c>
      <c r="AW843" t="str">
        <f t="shared" si="496"/>
        <v>-</v>
      </c>
      <c r="AX843" t="str">
        <f t="shared" si="497"/>
        <v>-</v>
      </c>
      <c r="AY843" t="str">
        <f t="shared" si="498"/>
        <v>-</v>
      </c>
      <c r="AZ843" t="str">
        <f t="shared" si="499"/>
        <v>-</v>
      </c>
      <c r="BA843" t="str">
        <f t="shared" si="500"/>
        <v>-</v>
      </c>
      <c r="BB843" t="str">
        <f t="shared" si="501"/>
        <v>-</v>
      </c>
      <c r="BC843" t="str">
        <f t="shared" si="502"/>
        <v>-</v>
      </c>
      <c r="BD843" s="29" t="str">
        <f t="shared" si="503"/>
        <v>-</v>
      </c>
      <c r="BE843" s="29" t="str">
        <f t="shared" si="504"/>
        <v>-</v>
      </c>
    </row>
    <row r="844" spans="1:57" ht="15" x14ac:dyDescent="0.2">
      <c r="A844" s="2">
        <v>707</v>
      </c>
      <c r="B844" s="2" t="str">
        <f t="shared" si="469"/>
        <v>0707</v>
      </c>
      <c r="C844" t="str">
        <f t="shared" si="470"/>
        <v>ORD-SP-0707-30/10/24</v>
      </c>
      <c r="D844" s="3" t="s">
        <v>697</v>
      </c>
      <c r="E844" t="str">
        <f t="shared" si="471"/>
        <v>PW002</v>
      </c>
      <c r="F844" t="str">
        <f>INDEX(Katalog!$B$4:$B$13,MATCH('Main Data'!E844,Katalog!$C$4:$C$13,0))</f>
        <v>Blouse</v>
      </c>
      <c r="G844" t="str">
        <f>VLOOKUP(E844,Katalog!$A$15:$B$25,2,0)</f>
        <v>Pakaian Wanita</v>
      </c>
      <c r="H844" t="str">
        <f t="shared" si="472"/>
        <v>4</v>
      </c>
      <c r="I844" t="str">
        <f t="shared" si="473"/>
        <v>3</v>
      </c>
      <c r="J844" s="18">
        <f>VLOOKUP(E844,Katalog!$C$3:$F$13,2,0)</f>
        <v>125000</v>
      </c>
      <c r="K844" s="18">
        <f>VLOOKUP(E844,Katalog!$C$3:$F$13,3,0)</f>
        <v>50000</v>
      </c>
      <c r="L844" t="str">
        <f t="shared" si="474"/>
        <v>-</v>
      </c>
      <c r="M844" t="str">
        <f>IFERROR(INDEX(Katalog!$B$4:$B$13,MATCH('Main Data'!L844,Katalog!$C$4:$C$13,0)), "-")</f>
        <v>-</v>
      </c>
      <c r="N844" t="str">
        <f>IFERROR(VLOOKUP(L844,Katalog!$A$15:$B$25,2,0),"-")</f>
        <v>-</v>
      </c>
      <c r="O844">
        <f t="shared" si="475"/>
        <v>0</v>
      </c>
      <c r="P844" t="str">
        <f t="shared" si="476"/>
        <v>-</v>
      </c>
      <c r="Q844" s="18">
        <f>IFERROR(VLOOKUP(L844,Katalog!$C$3:$F$13,2,0),0)</f>
        <v>0</v>
      </c>
      <c r="R844" s="18">
        <f>IFERROR(VLOOKUP(L844,Katalog!$C$3:$F$13,3,0),0)</f>
        <v>0</v>
      </c>
      <c r="S844" t="str">
        <f t="shared" si="477"/>
        <v>-</v>
      </c>
      <c r="T844" t="str">
        <f>IFERROR(INDEX(Katalog!$B$4:$B$13,MATCH('Main Data'!S844,Katalog!$C$4:$C$13,0)),"-")</f>
        <v>-</v>
      </c>
      <c r="U844" t="str">
        <f>IFERROR(VLOOKUP(S844,Katalog!$A$15:$B$25,2,0),"-")</f>
        <v>-</v>
      </c>
      <c r="V844">
        <f t="shared" si="478"/>
        <v>0</v>
      </c>
      <c r="W844" s="28" t="str">
        <f t="shared" si="479"/>
        <v>-</v>
      </c>
      <c r="X844" s="18">
        <f>IFERROR(VLOOKUP(S844,Katalog!$C$3:$F$13,2,0),0)</f>
        <v>0</v>
      </c>
      <c r="Y844" s="30">
        <f>IFERROR(VLOOKUP(S844,Katalog!$C$3:$F$13,3,0),0)</f>
        <v>0</v>
      </c>
      <c r="Z844" s="2">
        <f t="shared" si="480"/>
        <v>4</v>
      </c>
      <c r="AA844" s="4">
        <f t="shared" si="481"/>
        <v>500000</v>
      </c>
      <c r="AB844" s="4">
        <f t="shared" si="482"/>
        <v>200000</v>
      </c>
      <c r="AC844" s="4" t="s">
        <v>5</v>
      </c>
      <c r="AD844" s="16">
        <f>IFERROR(VLOOKUP(AC844,'Kode Diskon'!$C$2:$D$9,2,0),0)</f>
        <v>0.1</v>
      </c>
      <c r="AE844" s="31">
        <f t="shared" si="483"/>
        <v>50000</v>
      </c>
      <c r="AF844" s="31">
        <f t="shared" si="484"/>
        <v>450000</v>
      </c>
      <c r="AG844" s="31">
        <f t="shared" si="485"/>
        <v>300000</v>
      </c>
      <c r="AH844" s="31">
        <f t="shared" si="486"/>
        <v>250000</v>
      </c>
      <c r="AI844" s="4" t="s">
        <v>28</v>
      </c>
      <c r="AJ844" s="4" t="s">
        <v>6</v>
      </c>
      <c r="AK844" s="4" t="str">
        <f>IFERROR(VLOOKUP(AJ844,'Guide '!$A$13:$B$16,2,0),"-")</f>
        <v>SP</v>
      </c>
      <c r="AL844" s="4" t="s">
        <v>924</v>
      </c>
      <c r="AM844" s="40">
        <v>45595</v>
      </c>
      <c r="AN844">
        <f t="shared" si="487"/>
        <v>29</v>
      </c>
      <c r="AO844">
        <f t="shared" si="488"/>
        <v>32</v>
      </c>
      <c r="AP844">
        <f t="shared" si="489"/>
        <v>40</v>
      </c>
      <c r="AQ844">
        <f t="shared" si="490"/>
        <v>43</v>
      </c>
      <c r="AR844" s="26" t="str">
        <f t="shared" si="491"/>
        <v>-</v>
      </c>
      <c r="AS844" s="26" t="str">
        <f t="shared" si="492"/>
        <v>-</v>
      </c>
      <c r="AT844" s="21">
        <f t="shared" si="493"/>
        <v>12</v>
      </c>
      <c r="AU844" s="21">
        <f t="shared" si="494"/>
        <v>19</v>
      </c>
      <c r="AV844" t="str">
        <f t="shared" si="495"/>
        <v>-</v>
      </c>
      <c r="AW844" t="str">
        <f t="shared" si="496"/>
        <v>-</v>
      </c>
      <c r="AX844" t="str">
        <f t="shared" si="497"/>
        <v>-</v>
      </c>
      <c r="AY844" t="str">
        <f t="shared" si="498"/>
        <v>-</v>
      </c>
      <c r="AZ844" t="str">
        <f t="shared" si="499"/>
        <v>-</v>
      </c>
      <c r="BA844" t="str">
        <f t="shared" si="500"/>
        <v>-</v>
      </c>
      <c r="BB844" t="str">
        <f t="shared" si="501"/>
        <v>-</v>
      </c>
      <c r="BC844" t="str">
        <f t="shared" si="502"/>
        <v>-</v>
      </c>
      <c r="BD844" s="29" t="str">
        <f t="shared" si="503"/>
        <v>-</v>
      </c>
      <c r="BE844" s="29" t="str">
        <f t="shared" si="504"/>
        <v>-</v>
      </c>
    </row>
    <row r="845" spans="1:57" ht="15" x14ac:dyDescent="0.2">
      <c r="A845" s="2">
        <v>903</v>
      </c>
      <c r="B845" s="2" t="str">
        <f t="shared" si="469"/>
        <v>0903</v>
      </c>
      <c r="C845" t="str">
        <f t="shared" si="470"/>
        <v>ORD-TK-0903-30/10/24</v>
      </c>
      <c r="D845" s="3" t="s">
        <v>841</v>
      </c>
      <c r="E845" t="str">
        <f t="shared" si="471"/>
        <v>PU001</v>
      </c>
      <c r="F845" t="str">
        <f>INDEX(Katalog!$B$4:$B$13,MATCH('Main Data'!E845,Katalog!$C$4:$C$13,0))</f>
        <v>Jaket Hoodie</v>
      </c>
      <c r="G845" t="str">
        <f>VLOOKUP(E845,Katalog!$A$15:$B$25,2,0)</f>
        <v>Pakaian Unisex</v>
      </c>
      <c r="H845" t="str">
        <f t="shared" si="472"/>
        <v>2</v>
      </c>
      <c r="I845" t="str">
        <f t="shared" si="473"/>
        <v>5</v>
      </c>
      <c r="J845" s="18">
        <f>VLOOKUP(E845,Katalog!$C$3:$F$13,2,0)</f>
        <v>160000</v>
      </c>
      <c r="K845" s="18">
        <f>VLOOKUP(E845,Katalog!$C$3:$F$13,3,0)</f>
        <v>60000</v>
      </c>
      <c r="L845" t="str">
        <f t="shared" si="474"/>
        <v>-</v>
      </c>
      <c r="M845" t="str">
        <f>IFERROR(INDEX(Katalog!$B$4:$B$13,MATCH('Main Data'!L845,Katalog!$C$4:$C$13,0)), "-")</f>
        <v>-</v>
      </c>
      <c r="N845" t="str">
        <f>IFERROR(VLOOKUP(L845,Katalog!$A$15:$B$25,2,0),"-")</f>
        <v>-</v>
      </c>
      <c r="O845">
        <f t="shared" si="475"/>
        <v>0</v>
      </c>
      <c r="P845" t="str">
        <f t="shared" si="476"/>
        <v>-</v>
      </c>
      <c r="Q845" s="18">
        <f>IFERROR(VLOOKUP(L845,Katalog!$C$3:$F$13,2,0),0)</f>
        <v>0</v>
      </c>
      <c r="R845" s="18">
        <f>IFERROR(VLOOKUP(L845,Katalog!$C$3:$F$13,3,0),0)</f>
        <v>0</v>
      </c>
      <c r="S845" t="str">
        <f t="shared" si="477"/>
        <v>-</v>
      </c>
      <c r="T845" t="str">
        <f>IFERROR(INDEX(Katalog!$B$4:$B$13,MATCH('Main Data'!S845,Katalog!$C$4:$C$13,0)),"-")</f>
        <v>-</v>
      </c>
      <c r="U845" t="str">
        <f>IFERROR(VLOOKUP(S845,Katalog!$A$15:$B$25,2,0),"-")</f>
        <v>-</v>
      </c>
      <c r="V845">
        <f t="shared" si="478"/>
        <v>0</v>
      </c>
      <c r="W845" s="28" t="str">
        <f t="shared" si="479"/>
        <v>-</v>
      </c>
      <c r="X845" s="18">
        <f>IFERROR(VLOOKUP(S845,Katalog!$C$3:$F$13,2,0),0)</f>
        <v>0</v>
      </c>
      <c r="Y845" s="30">
        <f>IFERROR(VLOOKUP(S845,Katalog!$C$3:$F$13,3,0),0)</f>
        <v>0</v>
      </c>
      <c r="Z845" s="2">
        <f t="shared" si="480"/>
        <v>2</v>
      </c>
      <c r="AA845" s="4">
        <f t="shared" si="481"/>
        <v>320000</v>
      </c>
      <c r="AB845" s="4">
        <f t="shared" si="482"/>
        <v>120000</v>
      </c>
      <c r="AC845" s="4" t="s">
        <v>30</v>
      </c>
      <c r="AD845" s="16">
        <f>IFERROR(VLOOKUP(AC845,'Kode Diskon'!$C$2:$D$9,2,0),0)</f>
        <v>0.1</v>
      </c>
      <c r="AE845" s="31">
        <f t="shared" si="483"/>
        <v>32000</v>
      </c>
      <c r="AF845" s="31">
        <f t="shared" si="484"/>
        <v>288000</v>
      </c>
      <c r="AG845" s="31">
        <f t="shared" si="485"/>
        <v>200000</v>
      </c>
      <c r="AH845" s="31">
        <f t="shared" si="486"/>
        <v>168000</v>
      </c>
      <c r="AI845" s="4" t="s">
        <v>8</v>
      </c>
      <c r="AJ845" s="4" t="s">
        <v>9</v>
      </c>
      <c r="AK845" s="4" t="str">
        <f>IFERROR(VLOOKUP(AJ845,'Guide '!$A$13:$B$16,2,0),"-")</f>
        <v>TK</v>
      </c>
      <c r="AL845" s="4" t="s">
        <v>922</v>
      </c>
      <c r="AM845" s="40">
        <v>45595</v>
      </c>
      <c r="AN845">
        <f t="shared" si="487"/>
        <v>29</v>
      </c>
      <c r="AO845">
        <f t="shared" si="488"/>
        <v>32</v>
      </c>
      <c r="AP845">
        <f t="shared" si="489"/>
        <v>40</v>
      </c>
      <c r="AQ845">
        <f t="shared" si="490"/>
        <v>43</v>
      </c>
      <c r="AR845" s="26" t="str">
        <f t="shared" si="491"/>
        <v>-</v>
      </c>
      <c r="AS845" s="26" t="str">
        <f t="shared" si="492"/>
        <v>-</v>
      </c>
      <c r="AT845" s="21">
        <f t="shared" si="493"/>
        <v>12</v>
      </c>
      <c r="AU845" s="21">
        <f t="shared" si="494"/>
        <v>19</v>
      </c>
      <c r="AV845" t="str">
        <f t="shared" si="495"/>
        <v>-</v>
      </c>
      <c r="AW845" t="str">
        <f t="shared" si="496"/>
        <v>-</v>
      </c>
      <c r="AX845" t="str">
        <f t="shared" si="497"/>
        <v>-</v>
      </c>
      <c r="AY845" t="str">
        <f t="shared" si="498"/>
        <v>-</v>
      </c>
      <c r="AZ845" t="str">
        <f t="shared" si="499"/>
        <v>-</v>
      </c>
      <c r="BA845" t="str">
        <f t="shared" si="500"/>
        <v>-</v>
      </c>
      <c r="BB845" t="str">
        <f t="shared" si="501"/>
        <v>-</v>
      </c>
      <c r="BC845" t="str">
        <f t="shared" si="502"/>
        <v>-</v>
      </c>
      <c r="BD845" s="29" t="str">
        <f t="shared" si="503"/>
        <v>-</v>
      </c>
      <c r="BE845" s="29" t="str">
        <f t="shared" si="504"/>
        <v>-</v>
      </c>
    </row>
    <row r="846" spans="1:57" ht="15" x14ac:dyDescent="0.2">
      <c r="A846" s="2">
        <v>86</v>
      </c>
      <c r="B846" s="2" t="str">
        <f t="shared" si="469"/>
        <v>0086</v>
      </c>
      <c r="C846" t="str">
        <f t="shared" si="470"/>
        <v>ORD-SP-0086-31/10/24</v>
      </c>
      <c r="D846" s="3" t="s">
        <v>159</v>
      </c>
      <c r="E846" t="str">
        <f t="shared" si="471"/>
        <v>PW003</v>
      </c>
      <c r="F846" t="str">
        <f>INDEX(Katalog!$B$4:$B$13,MATCH('Main Data'!E846,Katalog!$C$4:$C$13,0))</f>
        <v>Kaftan</v>
      </c>
      <c r="G846" t="str">
        <f>VLOOKUP(E846,Katalog!$A$15:$B$25,2,0)</f>
        <v>Pakaian Wanita</v>
      </c>
      <c r="H846" t="str">
        <f t="shared" si="472"/>
        <v>4</v>
      </c>
      <c r="I846" t="str">
        <f t="shared" si="473"/>
        <v>2</v>
      </c>
      <c r="J846" s="18">
        <f>VLOOKUP(E846,Katalog!$C$3:$F$13,2,0)</f>
        <v>200000</v>
      </c>
      <c r="K846" s="18">
        <f>VLOOKUP(E846,Katalog!$C$3:$F$13,3,0)</f>
        <v>100000</v>
      </c>
      <c r="L846" t="str">
        <f t="shared" si="474"/>
        <v>PW001</v>
      </c>
      <c r="M846" t="str">
        <f>IFERROR(INDEX(Katalog!$B$4:$B$13,MATCH('Main Data'!L846,Katalog!$C$4:$C$13,0)), "-")</f>
        <v>Dress</v>
      </c>
      <c r="N846" t="str">
        <f>IFERROR(VLOOKUP(L846,Katalog!$A$15:$B$25,2,0),"-")</f>
        <v>Pakaian Wanita</v>
      </c>
      <c r="O846" t="str">
        <f t="shared" si="475"/>
        <v>1</v>
      </c>
      <c r="P846" t="str">
        <f t="shared" si="476"/>
        <v>5</v>
      </c>
      <c r="Q846" s="18">
        <f>IFERROR(VLOOKUP(L846,Katalog!$C$3:$F$13,2,0),0)</f>
        <v>150000</v>
      </c>
      <c r="R846" s="18">
        <f>IFERROR(VLOOKUP(L846,Katalog!$C$3:$F$13,3,0),0)</f>
        <v>55000</v>
      </c>
      <c r="S846" t="str">
        <f t="shared" si="477"/>
        <v>-</v>
      </c>
      <c r="T846" t="str">
        <f>IFERROR(INDEX(Katalog!$B$4:$B$13,MATCH('Main Data'!S846,Katalog!$C$4:$C$13,0)),"-")</f>
        <v>-</v>
      </c>
      <c r="U846" t="str">
        <f>IFERROR(VLOOKUP(S846,Katalog!$A$15:$B$25,2,0),"-")</f>
        <v>-</v>
      </c>
      <c r="V846">
        <f t="shared" si="478"/>
        <v>0</v>
      </c>
      <c r="W846" s="28" t="str">
        <f t="shared" si="479"/>
        <v>-</v>
      </c>
      <c r="X846" s="18">
        <f>IFERROR(VLOOKUP(S846,Katalog!$C$3:$F$13,2,0),0)</f>
        <v>0</v>
      </c>
      <c r="Y846" s="30">
        <f>IFERROR(VLOOKUP(S846,Katalog!$C$3:$F$13,3,0),0)</f>
        <v>0</v>
      </c>
      <c r="Z846" s="2">
        <f t="shared" si="480"/>
        <v>5</v>
      </c>
      <c r="AA846" s="4">
        <f t="shared" si="481"/>
        <v>950000</v>
      </c>
      <c r="AB846" s="4">
        <f t="shared" si="482"/>
        <v>455000</v>
      </c>
      <c r="AC846" s="4" t="s">
        <v>5</v>
      </c>
      <c r="AD846" s="16">
        <f>IFERROR(VLOOKUP(AC846,'Kode Diskon'!$C$2:$D$9,2,0),0)</f>
        <v>0.1</v>
      </c>
      <c r="AE846" s="31">
        <f t="shared" si="483"/>
        <v>95000</v>
      </c>
      <c r="AF846" s="31">
        <f t="shared" si="484"/>
        <v>855000</v>
      </c>
      <c r="AG846" s="31">
        <f t="shared" si="485"/>
        <v>495000</v>
      </c>
      <c r="AH846" s="31">
        <f t="shared" si="486"/>
        <v>400000</v>
      </c>
      <c r="AI846" s="4" t="s">
        <v>28</v>
      </c>
      <c r="AJ846" s="4" t="s">
        <v>6</v>
      </c>
      <c r="AK846" s="4" t="str">
        <f>IFERROR(VLOOKUP(AJ846,'Guide '!$A$13:$B$16,2,0),"-")</f>
        <v>SP</v>
      </c>
      <c r="AL846" s="4" t="s">
        <v>924</v>
      </c>
      <c r="AM846" s="40">
        <v>45596</v>
      </c>
      <c r="AN846">
        <f t="shared" si="487"/>
        <v>29</v>
      </c>
      <c r="AO846">
        <f t="shared" si="488"/>
        <v>32</v>
      </c>
      <c r="AP846">
        <f t="shared" si="489"/>
        <v>40</v>
      </c>
      <c r="AQ846">
        <f t="shared" si="490"/>
        <v>43</v>
      </c>
      <c r="AR846" s="26">
        <f t="shared" si="491"/>
        <v>56</v>
      </c>
      <c r="AS846" s="26">
        <f t="shared" si="492"/>
        <v>63</v>
      </c>
      <c r="AT846" s="21">
        <f t="shared" si="493"/>
        <v>12</v>
      </c>
      <c r="AU846" s="21">
        <f t="shared" si="494"/>
        <v>19</v>
      </c>
      <c r="AV846">
        <f t="shared" si="495"/>
        <v>73</v>
      </c>
      <c r="AW846">
        <f t="shared" si="496"/>
        <v>76</v>
      </c>
      <c r="AX846">
        <f t="shared" si="497"/>
        <v>84</v>
      </c>
      <c r="AY846">
        <f t="shared" si="498"/>
        <v>87</v>
      </c>
      <c r="AZ846" t="str">
        <f t="shared" si="499"/>
        <v>-</v>
      </c>
      <c r="BA846" t="str">
        <f t="shared" si="500"/>
        <v>-</v>
      </c>
      <c r="BB846" t="str">
        <f t="shared" si="501"/>
        <v>-</v>
      </c>
      <c r="BC846" t="str">
        <f t="shared" si="502"/>
        <v>-</v>
      </c>
      <c r="BD846" s="29" t="str">
        <f t="shared" si="503"/>
        <v>-</v>
      </c>
      <c r="BE846" s="29" t="str">
        <f t="shared" si="504"/>
        <v>-</v>
      </c>
    </row>
    <row r="847" spans="1:57" ht="15" x14ac:dyDescent="0.2">
      <c r="A847" s="2">
        <v>182</v>
      </c>
      <c r="B847" s="2" t="str">
        <f t="shared" si="469"/>
        <v>0182</v>
      </c>
      <c r="C847" t="str">
        <f t="shared" si="470"/>
        <v>ORD-SP-0182-31/10/24</v>
      </c>
      <c r="D847" s="3" t="s">
        <v>251</v>
      </c>
      <c r="E847" t="str">
        <f t="shared" si="471"/>
        <v>PP001</v>
      </c>
      <c r="F847" t="str">
        <f>INDEX(Katalog!$B$4:$B$13,MATCH('Main Data'!E847,Katalog!$C$4:$C$13,0))</f>
        <v>Kaos Polo</v>
      </c>
      <c r="G847" t="str">
        <f>VLOOKUP(E847,Katalog!$A$15:$B$25,2,0)</f>
        <v>Pakaian Pria</v>
      </c>
      <c r="H847" t="str">
        <f t="shared" si="472"/>
        <v>1</v>
      </c>
      <c r="I847" t="str">
        <f t="shared" si="473"/>
        <v>3</v>
      </c>
      <c r="J847" s="18">
        <f>VLOOKUP(E847,Katalog!$C$3:$F$13,2,0)</f>
        <v>80000</v>
      </c>
      <c r="K847" s="18">
        <f>VLOOKUP(E847,Katalog!$C$3:$F$13,3,0)</f>
        <v>30000</v>
      </c>
      <c r="L847" t="str">
        <f t="shared" si="474"/>
        <v>PP003</v>
      </c>
      <c r="M847" t="str">
        <f>IFERROR(INDEX(Katalog!$B$4:$B$13,MATCH('Main Data'!L847,Katalog!$C$4:$C$13,0)), "-")</f>
        <v>Jaket Jeans</v>
      </c>
      <c r="N847" t="str">
        <f>IFERROR(VLOOKUP(L847,Katalog!$A$15:$B$25,2,0),"-")</f>
        <v>Pakaian Pria</v>
      </c>
      <c r="O847" t="str">
        <f t="shared" si="475"/>
        <v>1</v>
      </c>
      <c r="P847" t="str">
        <f t="shared" si="476"/>
        <v>4</v>
      </c>
      <c r="Q847" s="18">
        <f>IFERROR(VLOOKUP(L847,Katalog!$C$3:$F$13,2,0),0)</f>
        <v>150000</v>
      </c>
      <c r="R847" s="18">
        <f>IFERROR(VLOOKUP(L847,Katalog!$C$3:$F$13,3,0),0)</f>
        <v>70000</v>
      </c>
      <c r="S847" t="str">
        <f t="shared" si="477"/>
        <v>-</v>
      </c>
      <c r="T847" t="str">
        <f>IFERROR(INDEX(Katalog!$B$4:$B$13,MATCH('Main Data'!S847,Katalog!$C$4:$C$13,0)),"-")</f>
        <v>-</v>
      </c>
      <c r="U847" t="str">
        <f>IFERROR(VLOOKUP(S847,Katalog!$A$15:$B$25,2,0),"-")</f>
        <v>-</v>
      </c>
      <c r="V847">
        <f t="shared" si="478"/>
        <v>0</v>
      </c>
      <c r="W847" s="28" t="str">
        <f t="shared" si="479"/>
        <v>-</v>
      </c>
      <c r="X847" s="18">
        <f>IFERROR(VLOOKUP(S847,Katalog!$C$3:$F$13,2,0),0)</f>
        <v>0</v>
      </c>
      <c r="Y847" s="30">
        <f>IFERROR(VLOOKUP(S847,Katalog!$C$3:$F$13,3,0),0)</f>
        <v>0</v>
      </c>
      <c r="Z847" s="2">
        <f t="shared" si="480"/>
        <v>2</v>
      </c>
      <c r="AA847" s="4">
        <f t="shared" si="481"/>
        <v>230000</v>
      </c>
      <c r="AB847" s="4">
        <f t="shared" si="482"/>
        <v>100000</v>
      </c>
      <c r="AC847" s="4" t="s">
        <v>12</v>
      </c>
      <c r="AD847" s="16">
        <f>IFERROR(VLOOKUP(AC847,'Kode Diskon'!$C$2:$D$9,2,0),0)</f>
        <v>0.15</v>
      </c>
      <c r="AE847" s="31">
        <f t="shared" si="483"/>
        <v>34500</v>
      </c>
      <c r="AF847" s="31">
        <f t="shared" si="484"/>
        <v>195500</v>
      </c>
      <c r="AG847" s="31">
        <f t="shared" si="485"/>
        <v>130000</v>
      </c>
      <c r="AH847" s="31">
        <f t="shared" si="486"/>
        <v>95500</v>
      </c>
      <c r="AI847" s="4" t="s">
        <v>28</v>
      </c>
      <c r="AJ847" s="4" t="s">
        <v>6</v>
      </c>
      <c r="AK847" s="4" t="str">
        <f>IFERROR(VLOOKUP(AJ847,'Guide '!$A$13:$B$16,2,0),"-")</f>
        <v>SP</v>
      </c>
      <c r="AL847" s="4" t="s">
        <v>924</v>
      </c>
      <c r="AM847" s="40">
        <v>45596</v>
      </c>
      <c r="AN847">
        <f t="shared" si="487"/>
        <v>29</v>
      </c>
      <c r="AO847">
        <f t="shared" si="488"/>
        <v>32</v>
      </c>
      <c r="AP847">
        <f t="shared" si="489"/>
        <v>40</v>
      </c>
      <c r="AQ847">
        <f t="shared" si="490"/>
        <v>43</v>
      </c>
      <c r="AR847" s="26">
        <f t="shared" si="491"/>
        <v>56</v>
      </c>
      <c r="AS847" s="26">
        <f t="shared" si="492"/>
        <v>63</v>
      </c>
      <c r="AT847" s="21">
        <f t="shared" si="493"/>
        <v>12</v>
      </c>
      <c r="AU847" s="21">
        <f t="shared" si="494"/>
        <v>19</v>
      </c>
      <c r="AV847">
        <f t="shared" si="495"/>
        <v>73</v>
      </c>
      <c r="AW847">
        <f t="shared" si="496"/>
        <v>76</v>
      </c>
      <c r="AX847">
        <f t="shared" si="497"/>
        <v>84</v>
      </c>
      <c r="AY847">
        <f t="shared" si="498"/>
        <v>87</v>
      </c>
      <c r="AZ847" t="str">
        <f t="shared" si="499"/>
        <v>-</v>
      </c>
      <c r="BA847" t="str">
        <f t="shared" si="500"/>
        <v>-</v>
      </c>
      <c r="BB847" t="str">
        <f t="shared" si="501"/>
        <v>-</v>
      </c>
      <c r="BC847" t="str">
        <f t="shared" si="502"/>
        <v>-</v>
      </c>
      <c r="BD847" s="29" t="str">
        <f t="shared" si="503"/>
        <v>-</v>
      </c>
      <c r="BE847" s="29" t="str">
        <f t="shared" si="504"/>
        <v>-</v>
      </c>
    </row>
    <row r="848" spans="1:57" ht="15" x14ac:dyDescent="0.2">
      <c r="A848" s="2">
        <v>122</v>
      </c>
      <c r="B848" s="2" t="str">
        <f t="shared" si="469"/>
        <v>0122</v>
      </c>
      <c r="C848" t="str">
        <f t="shared" si="470"/>
        <v>ORD-TK-0122-02/11/24</v>
      </c>
      <c r="D848" s="3" t="s">
        <v>193</v>
      </c>
      <c r="E848" t="str">
        <f t="shared" si="471"/>
        <v>PW001</v>
      </c>
      <c r="F848" t="str">
        <f>INDEX(Katalog!$B$4:$B$13,MATCH('Main Data'!E848,Katalog!$C$4:$C$13,0))</f>
        <v>Dress</v>
      </c>
      <c r="G848" t="str">
        <f>VLOOKUP(E848,Katalog!$A$15:$B$25,2,0)</f>
        <v>Pakaian Wanita</v>
      </c>
      <c r="H848" t="str">
        <f t="shared" si="472"/>
        <v>2</v>
      </c>
      <c r="I848" t="str">
        <f t="shared" si="473"/>
        <v>1</v>
      </c>
      <c r="J848" s="18">
        <f>VLOOKUP(E848,Katalog!$C$3:$F$13,2,0)</f>
        <v>150000</v>
      </c>
      <c r="K848" s="18">
        <f>VLOOKUP(E848,Katalog!$C$3:$F$13,3,0)</f>
        <v>55000</v>
      </c>
      <c r="L848" t="str">
        <f t="shared" si="474"/>
        <v>-</v>
      </c>
      <c r="M848" t="str">
        <f>IFERROR(INDEX(Katalog!$B$4:$B$13,MATCH('Main Data'!L848,Katalog!$C$4:$C$13,0)), "-")</f>
        <v>-</v>
      </c>
      <c r="N848" t="str">
        <f>IFERROR(VLOOKUP(L848,Katalog!$A$15:$B$25,2,0),"-")</f>
        <v>-</v>
      </c>
      <c r="O848">
        <f t="shared" si="475"/>
        <v>0</v>
      </c>
      <c r="P848" t="str">
        <f t="shared" si="476"/>
        <v>-</v>
      </c>
      <c r="Q848" s="18">
        <f>IFERROR(VLOOKUP(L848,Katalog!$C$3:$F$13,2,0),0)</f>
        <v>0</v>
      </c>
      <c r="R848" s="18">
        <f>IFERROR(VLOOKUP(L848,Katalog!$C$3:$F$13,3,0),0)</f>
        <v>0</v>
      </c>
      <c r="S848" t="str">
        <f t="shared" si="477"/>
        <v>-</v>
      </c>
      <c r="T848" t="str">
        <f>IFERROR(INDEX(Katalog!$B$4:$B$13,MATCH('Main Data'!S848,Katalog!$C$4:$C$13,0)),"-")</f>
        <v>-</v>
      </c>
      <c r="U848" t="str">
        <f>IFERROR(VLOOKUP(S848,Katalog!$A$15:$B$25,2,0),"-")</f>
        <v>-</v>
      </c>
      <c r="V848">
        <f t="shared" si="478"/>
        <v>0</v>
      </c>
      <c r="W848" s="28" t="str">
        <f t="shared" si="479"/>
        <v>-</v>
      </c>
      <c r="X848" s="18">
        <f>IFERROR(VLOOKUP(S848,Katalog!$C$3:$F$13,2,0),0)</f>
        <v>0</v>
      </c>
      <c r="Y848" s="30">
        <f>IFERROR(VLOOKUP(S848,Katalog!$C$3:$F$13,3,0),0)</f>
        <v>0</v>
      </c>
      <c r="Z848" s="2">
        <f t="shared" si="480"/>
        <v>2</v>
      </c>
      <c r="AA848" s="4">
        <f t="shared" si="481"/>
        <v>300000</v>
      </c>
      <c r="AB848" s="4">
        <f t="shared" si="482"/>
        <v>110000</v>
      </c>
      <c r="AC848" s="4" t="s">
        <v>30</v>
      </c>
      <c r="AD848" s="16">
        <f>IFERROR(VLOOKUP(AC848,'Kode Diskon'!$C$2:$D$9,2,0),0)</f>
        <v>0.1</v>
      </c>
      <c r="AE848" s="31">
        <f t="shared" si="483"/>
        <v>30000</v>
      </c>
      <c r="AF848" s="31">
        <f t="shared" si="484"/>
        <v>270000</v>
      </c>
      <c r="AG848" s="31">
        <f t="shared" si="485"/>
        <v>190000</v>
      </c>
      <c r="AH848" s="31">
        <f t="shared" si="486"/>
        <v>160000</v>
      </c>
      <c r="AI848" s="4" t="s">
        <v>8</v>
      </c>
      <c r="AJ848" s="4" t="s">
        <v>9</v>
      </c>
      <c r="AK848" s="4" t="str">
        <f>IFERROR(VLOOKUP(AJ848,'Guide '!$A$13:$B$16,2,0),"-")</f>
        <v>TK</v>
      </c>
      <c r="AL848" s="4" t="s">
        <v>925</v>
      </c>
      <c r="AM848" s="40">
        <v>45598</v>
      </c>
      <c r="AN848">
        <f t="shared" si="487"/>
        <v>29</v>
      </c>
      <c r="AO848">
        <f t="shared" si="488"/>
        <v>32</v>
      </c>
      <c r="AP848">
        <f t="shared" si="489"/>
        <v>40</v>
      </c>
      <c r="AQ848">
        <f t="shared" si="490"/>
        <v>43</v>
      </c>
      <c r="AR848" s="26" t="str">
        <f t="shared" si="491"/>
        <v>-</v>
      </c>
      <c r="AS848" s="26" t="str">
        <f t="shared" si="492"/>
        <v>-</v>
      </c>
      <c r="AT848" s="21">
        <f t="shared" si="493"/>
        <v>12</v>
      </c>
      <c r="AU848" s="21">
        <f t="shared" si="494"/>
        <v>19</v>
      </c>
      <c r="AV848" t="str">
        <f t="shared" si="495"/>
        <v>-</v>
      </c>
      <c r="AW848" t="str">
        <f t="shared" si="496"/>
        <v>-</v>
      </c>
      <c r="AX848" t="str">
        <f t="shared" si="497"/>
        <v>-</v>
      </c>
      <c r="AY848" t="str">
        <f t="shared" si="498"/>
        <v>-</v>
      </c>
      <c r="AZ848" t="str">
        <f t="shared" si="499"/>
        <v>-</v>
      </c>
      <c r="BA848" t="str">
        <f t="shared" si="500"/>
        <v>-</v>
      </c>
      <c r="BB848" t="str">
        <f t="shared" si="501"/>
        <v>-</v>
      </c>
      <c r="BC848" t="str">
        <f t="shared" si="502"/>
        <v>-</v>
      </c>
      <c r="BD848" s="29" t="str">
        <f t="shared" si="503"/>
        <v>-</v>
      </c>
      <c r="BE848" s="29" t="str">
        <f t="shared" si="504"/>
        <v>-</v>
      </c>
    </row>
    <row r="849" spans="1:57" ht="15" x14ac:dyDescent="0.2">
      <c r="A849" s="2">
        <v>446</v>
      </c>
      <c r="B849" s="2" t="str">
        <f t="shared" si="469"/>
        <v>0446</v>
      </c>
      <c r="C849" t="str">
        <f t="shared" si="470"/>
        <v>ORD-BB-0446-04/11/24</v>
      </c>
      <c r="D849" s="3" t="s">
        <v>486</v>
      </c>
      <c r="E849" t="str">
        <f t="shared" si="471"/>
        <v>PP001</v>
      </c>
      <c r="F849" t="str">
        <f>INDEX(Katalog!$B$4:$B$13,MATCH('Main Data'!E849,Katalog!$C$4:$C$13,0))</f>
        <v>Kaos Polo</v>
      </c>
      <c r="G849" t="str">
        <f>VLOOKUP(E849,Katalog!$A$15:$B$25,2,0)</f>
        <v>Pakaian Pria</v>
      </c>
      <c r="H849" t="str">
        <f t="shared" si="472"/>
        <v>1</v>
      </c>
      <c r="I849" t="str">
        <f t="shared" si="473"/>
        <v>5</v>
      </c>
      <c r="J849" s="18">
        <f>VLOOKUP(E849,Katalog!$C$3:$F$13,2,0)</f>
        <v>80000</v>
      </c>
      <c r="K849" s="18">
        <f>VLOOKUP(E849,Katalog!$C$3:$F$13,3,0)</f>
        <v>30000</v>
      </c>
      <c r="L849" t="str">
        <f t="shared" si="474"/>
        <v>PP002</v>
      </c>
      <c r="M849" t="str">
        <f>IFERROR(INDEX(Katalog!$B$4:$B$13,MATCH('Main Data'!L849,Katalog!$C$4:$C$13,0)), "-")</f>
        <v>Celana Pendek</v>
      </c>
      <c r="N849" t="str">
        <f>IFERROR(VLOOKUP(L849,Katalog!$A$15:$B$25,2,0),"-")</f>
        <v>Pakaian Pria</v>
      </c>
      <c r="O849" t="str">
        <f t="shared" si="475"/>
        <v>2</v>
      </c>
      <c r="P849" t="str">
        <f t="shared" si="476"/>
        <v>1</v>
      </c>
      <c r="Q849" s="18">
        <f>IFERROR(VLOOKUP(L849,Katalog!$C$3:$F$13,2,0),0)</f>
        <v>60000</v>
      </c>
      <c r="R849" s="18">
        <f>IFERROR(VLOOKUP(L849,Katalog!$C$3:$F$13,3,0),0)</f>
        <v>25000</v>
      </c>
      <c r="S849" t="str">
        <f t="shared" si="477"/>
        <v>SP002</v>
      </c>
      <c r="T849" t="str">
        <f>IFERROR(INDEX(Katalog!$B$4:$B$13,MATCH('Main Data'!S849,Katalog!$C$4:$C$13,0)),"-")</f>
        <v>Sandal Slip On</v>
      </c>
      <c r="U849" t="str">
        <f>IFERROR(VLOOKUP(S849,Katalog!$A$15:$B$25,2,0),"-")</f>
        <v>Sepatu Pria</v>
      </c>
      <c r="V849" t="str">
        <f t="shared" si="478"/>
        <v>1</v>
      </c>
      <c r="W849" s="28" t="str">
        <f t="shared" si="479"/>
        <v>3</v>
      </c>
      <c r="X849" s="18">
        <f>IFERROR(VLOOKUP(S849,Katalog!$C$3:$F$13,2,0),0)</f>
        <v>120000</v>
      </c>
      <c r="Y849" s="30">
        <f>IFERROR(VLOOKUP(S849,Katalog!$C$3:$F$13,3,0),0)</f>
        <v>60000</v>
      </c>
      <c r="Z849" s="2">
        <f t="shared" si="480"/>
        <v>4</v>
      </c>
      <c r="AA849" s="4">
        <f t="shared" si="481"/>
        <v>320000</v>
      </c>
      <c r="AB849" s="4">
        <f t="shared" si="482"/>
        <v>140000</v>
      </c>
      <c r="AC849" s="4" t="s">
        <v>27</v>
      </c>
      <c r="AD849" s="16">
        <f>IFERROR(VLOOKUP(AC849,'Kode Diskon'!$C$2:$D$9,2,0),0)</f>
        <v>0.15</v>
      </c>
      <c r="AE849" s="31">
        <f t="shared" si="483"/>
        <v>48000</v>
      </c>
      <c r="AF849" s="31">
        <f t="shared" si="484"/>
        <v>272000</v>
      </c>
      <c r="AG849" s="31">
        <f t="shared" si="485"/>
        <v>180000</v>
      </c>
      <c r="AH849" s="31">
        <f t="shared" si="486"/>
        <v>132000</v>
      </c>
      <c r="AI849" s="4" t="s">
        <v>28</v>
      </c>
      <c r="AJ849" s="4" t="s">
        <v>13</v>
      </c>
      <c r="AK849" s="4" t="str">
        <f>IFERROR(VLOOKUP(AJ849,'Guide '!$A$13:$B$16,2,0),"-")</f>
        <v>BB</v>
      </c>
      <c r="AL849" s="4" t="s">
        <v>925</v>
      </c>
      <c r="AM849" s="40">
        <v>45600</v>
      </c>
      <c r="AN849">
        <f t="shared" si="487"/>
        <v>29</v>
      </c>
      <c r="AO849">
        <f t="shared" si="488"/>
        <v>32</v>
      </c>
      <c r="AP849">
        <f t="shared" si="489"/>
        <v>40</v>
      </c>
      <c r="AQ849">
        <f t="shared" si="490"/>
        <v>43</v>
      </c>
      <c r="AR849" s="26">
        <f t="shared" si="491"/>
        <v>56</v>
      </c>
      <c r="AS849" s="26">
        <f t="shared" si="492"/>
        <v>63</v>
      </c>
      <c r="AT849" s="21">
        <f t="shared" si="493"/>
        <v>12</v>
      </c>
      <c r="AU849" s="21">
        <f t="shared" si="494"/>
        <v>19</v>
      </c>
      <c r="AV849">
        <f t="shared" si="495"/>
        <v>73</v>
      </c>
      <c r="AW849">
        <f t="shared" si="496"/>
        <v>76</v>
      </c>
      <c r="AX849">
        <f t="shared" si="497"/>
        <v>84</v>
      </c>
      <c r="AY849">
        <f t="shared" si="498"/>
        <v>87</v>
      </c>
      <c r="AZ849">
        <f t="shared" si="499"/>
        <v>100</v>
      </c>
      <c r="BA849">
        <f t="shared" si="500"/>
        <v>107</v>
      </c>
      <c r="BB849">
        <f t="shared" si="501"/>
        <v>117</v>
      </c>
      <c r="BC849">
        <f t="shared" si="502"/>
        <v>120</v>
      </c>
      <c r="BD849" s="29">
        <f t="shared" si="503"/>
        <v>128</v>
      </c>
      <c r="BE849" s="29">
        <f t="shared" si="504"/>
        <v>131</v>
      </c>
    </row>
    <row r="850" spans="1:57" ht="15" x14ac:dyDescent="0.2">
      <c r="A850" s="2">
        <v>923</v>
      </c>
      <c r="B850" s="2" t="str">
        <f t="shared" si="469"/>
        <v>0923</v>
      </c>
      <c r="C850" t="str">
        <f t="shared" si="470"/>
        <v>ORD-TK-0923-04/11/24</v>
      </c>
      <c r="D850" s="3" t="s">
        <v>856</v>
      </c>
      <c r="E850" t="str">
        <f t="shared" si="471"/>
        <v>PW002</v>
      </c>
      <c r="F850" t="str">
        <f>INDEX(Katalog!$B$4:$B$13,MATCH('Main Data'!E850,Katalog!$C$4:$C$13,0))</f>
        <v>Blouse</v>
      </c>
      <c r="G850" t="str">
        <f>VLOOKUP(E850,Katalog!$A$15:$B$25,2,0)</f>
        <v>Pakaian Wanita</v>
      </c>
      <c r="H850" t="str">
        <f t="shared" si="472"/>
        <v>2</v>
      </c>
      <c r="I850" t="str">
        <f t="shared" si="473"/>
        <v>2</v>
      </c>
      <c r="J850" s="18">
        <f>VLOOKUP(E850,Katalog!$C$3:$F$13,2,0)</f>
        <v>125000</v>
      </c>
      <c r="K850" s="18">
        <f>VLOOKUP(E850,Katalog!$C$3:$F$13,3,0)</f>
        <v>50000</v>
      </c>
      <c r="L850" t="str">
        <f t="shared" si="474"/>
        <v>SP002</v>
      </c>
      <c r="M850" t="str">
        <f>IFERROR(INDEX(Katalog!$B$4:$B$13,MATCH('Main Data'!L850,Katalog!$C$4:$C$13,0)), "-")</f>
        <v>Sandal Slip On</v>
      </c>
      <c r="N850" t="str">
        <f>IFERROR(VLOOKUP(L850,Katalog!$A$15:$B$25,2,0),"-")</f>
        <v>Sepatu Pria</v>
      </c>
      <c r="O850" t="str">
        <f t="shared" si="475"/>
        <v>2</v>
      </c>
      <c r="P850" t="str">
        <f t="shared" si="476"/>
        <v>3</v>
      </c>
      <c r="Q850" s="18">
        <f>IFERROR(VLOOKUP(L850,Katalog!$C$3:$F$13,2,0),0)</f>
        <v>120000</v>
      </c>
      <c r="R850" s="18">
        <f>IFERROR(VLOOKUP(L850,Katalog!$C$3:$F$13,3,0),0)</f>
        <v>60000</v>
      </c>
      <c r="S850" t="str">
        <f t="shared" si="477"/>
        <v>PP001</v>
      </c>
      <c r="T850" t="str">
        <f>IFERROR(INDEX(Katalog!$B$4:$B$13,MATCH('Main Data'!S850,Katalog!$C$4:$C$13,0)),"-")</f>
        <v>Kaos Polo</v>
      </c>
      <c r="U850" t="str">
        <f>IFERROR(VLOOKUP(S850,Katalog!$A$15:$B$25,2,0),"-")</f>
        <v>Pakaian Pria</v>
      </c>
      <c r="V850" t="str">
        <f t="shared" si="478"/>
        <v>1</v>
      </c>
      <c r="W850" s="28" t="str">
        <f t="shared" si="479"/>
        <v>3</v>
      </c>
      <c r="X850" s="18">
        <f>IFERROR(VLOOKUP(S850,Katalog!$C$3:$F$13,2,0),0)</f>
        <v>80000</v>
      </c>
      <c r="Y850" s="30">
        <f>IFERROR(VLOOKUP(S850,Katalog!$C$3:$F$13,3,0),0)</f>
        <v>30000</v>
      </c>
      <c r="Z850" s="2">
        <f t="shared" si="480"/>
        <v>5</v>
      </c>
      <c r="AA850" s="4">
        <f t="shared" si="481"/>
        <v>570000</v>
      </c>
      <c r="AB850" s="4">
        <f t="shared" si="482"/>
        <v>250000</v>
      </c>
      <c r="AC850" s="4" t="s">
        <v>29</v>
      </c>
      <c r="AD850" s="16">
        <f>IFERROR(VLOOKUP(AC850,'Kode Diskon'!$C$2:$D$9,2,0),0)</f>
        <v>0.1</v>
      </c>
      <c r="AE850" s="31">
        <f t="shared" si="483"/>
        <v>57000</v>
      </c>
      <c r="AF850" s="31">
        <f t="shared" si="484"/>
        <v>513000</v>
      </c>
      <c r="AG850" s="31">
        <f t="shared" si="485"/>
        <v>320000</v>
      </c>
      <c r="AH850" s="31">
        <f t="shared" si="486"/>
        <v>263000</v>
      </c>
      <c r="AI850" s="4" t="s">
        <v>28</v>
      </c>
      <c r="AJ850" s="4" t="s">
        <v>9</v>
      </c>
      <c r="AK850" s="4" t="str">
        <f>IFERROR(VLOOKUP(AJ850,'Guide '!$A$13:$B$16,2,0),"-")</f>
        <v>TK</v>
      </c>
      <c r="AL850" s="4" t="s">
        <v>923</v>
      </c>
      <c r="AM850" s="40">
        <v>45600</v>
      </c>
      <c r="AN850">
        <f t="shared" si="487"/>
        <v>29</v>
      </c>
      <c r="AO850">
        <f t="shared" si="488"/>
        <v>32</v>
      </c>
      <c r="AP850">
        <f t="shared" si="489"/>
        <v>40</v>
      </c>
      <c r="AQ850">
        <f t="shared" si="490"/>
        <v>43</v>
      </c>
      <c r="AR850" s="26">
        <f t="shared" si="491"/>
        <v>56</v>
      </c>
      <c r="AS850" s="26">
        <f t="shared" si="492"/>
        <v>63</v>
      </c>
      <c r="AT850" s="21">
        <f t="shared" si="493"/>
        <v>12</v>
      </c>
      <c r="AU850" s="21">
        <f t="shared" si="494"/>
        <v>19</v>
      </c>
      <c r="AV850">
        <f t="shared" si="495"/>
        <v>73</v>
      </c>
      <c r="AW850">
        <f t="shared" si="496"/>
        <v>76</v>
      </c>
      <c r="AX850">
        <f t="shared" si="497"/>
        <v>84</v>
      </c>
      <c r="AY850">
        <f t="shared" si="498"/>
        <v>87</v>
      </c>
      <c r="AZ850">
        <f t="shared" si="499"/>
        <v>100</v>
      </c>
      <c r="BA850">
        <f t="shared" si="500"/>
        <v>107</v>
      </c>
      <c r="BB850">
        <f t="shared" si="501"/>
        <v>117</v>
      </c>
      <c r="BC850">
        <f t="shared" si="502"/>
        <v>120</v>
      </c>
      <c r="BD850" s="29">
        <f t="shared" si="503"/>
        <v>128</v>
      </c>
      <c r="BE850" s="29">
        <f t="shared" si="504"/>
        <v>131</v>
      </c>
    </row>
    <row r="851" spans="1:57" ht="15" x14ac:dyDescent="0.2">
      <c r="A851" s="2">
        <v>228</v>
      </c>
      <c r="B851" s="2" t="str">
        <f t="shared" si="469"/>
        <v>0228</v>
      </c>
      <c r="C851" t="str">
        <f t="shared" si="470"/>
        <v>ORD-SP-0228-05/11/24</v>
      </c>
      <c r="D851" s="3" t="s">
        <v>294</v>
      </c>
      <c r="E851" t="str">
        <f t="shared" si="471"/>
        <v>PW001</v>
      </c>
      <c r="F851" t="str">
        <f>INDEX(Katalog!$B$4:$B$13,MATCH('Main Data'!E851,Katalog!$C$4:$C$13,0))</f>
        <v>Dress</v>
      </c>
      <c r="G851" t="str">
        <f>VLOOKUP(E851,Katalog!$A$15:$B$25,2,0)</f>
        <v>Pakaian Wanita</v>
      </c>
      <c r="H851" t="str">
        <f t="shared" si="472"/>
        <v>4</v>
      </c>
      <c r="I851" t="str">
        <f t="shared" si="473"/>
        <v>3</v>
      </c>
      <c r="J851" s="18">
        <f>VLOOKUP(E851,Katalog!$C$3:$F$13,2,0)</f>
        <v>150000</v>
      </c>
      <c r="K851" s="18">
        <f>VLOOKUP(E851,Katalog!$C$3:$F$13,3,0)</f>
        <v>55000</v>
      </c>
      <c r="L851" t="str">
        <f t="shared" si="474"/>
        <v>-</v>
      </c>
      <c r="M851" t="str">
        <f>IFERROR(INDEX(Katalog!$B$4:$B$13,MATCH('Main Data'!L851,Katalog!$C$4:$C$13,0)), "-")</f>
        <v>-</v>
      </c>
      <c r="N851" t="str">
        <f>IFERROR(VLOOKUP(L851,Katalog!$A$15:$B$25,2,0),"-")</f>
        <v>-</v>
      </c>
      <c r="O851">
        <f t="shared" si="475"/>
        <v>0</v>
      </c>
      <c r="P851" t="str">
        <f t="shared" si="476"/>
        <v>-</v>
      </c>
      <c r="Q851" s="18">
        <f>IFERROR(VLOOKUP(L851,Katalog!$C$3:$F$13,2,0),0)</f>
        <v>0</v>
      </c>
      <c r="R851" s="18">
        <f>IFERROR(VLOOKUP(L851,Katalog!$C$3:$F$13,3,0),0)</f>
        <v>0</v>
      </c>
      <c r="S851" t="str">
        <f t="shared" si="477"/>
        <v>-</v>
      </c>
      <c r="T851" t="str">
        <f>IFERROR(INDEX(Katalog!$B$4:$B$13,MATCH('Main Data'!S851,Katalog!$C$4:$C$13,0)),"-")</f>
        <v>-</v>
      </c>
      <c r="U851" t="str">
        <f>IFERROR(VLOOKUP(S851,Katalog!$A$15:$B$25,2,0),"-")</f>
        <v>-</v>
      </c>
      <c r="V851">
        <f t="shared" si="478"/>
        <v>0</v>
      </c>
      <c r="W851" s="28" t="str">
        <f t="shared" si="479"/>
        <v>-</v>
      </c>
      <c r="X851" s="18">
        <f>IFERROR(VLOOKUP(S851,Katalog!$C$3:$F$13,2,0),0)</f>
        <v>0</v>
      </c>
      <c r="Y851" s="30">
        <f>IFERROR(VLOOKUP(S851,Katalog!$C$3:$F$13,3,0),0)</f>
        <v>0</v>
      </c>
      <c r="Z851" s="2">
        <f t="shared" si="480"/>
        <v>4</v>
      </c>
      <c r="AA851" s="4">
        <f t="shared" si="481"/>
        <v>600000</v>
      </c>
      <c r="AB851" s="4">
        <f t="shared" si="482"/>
        <v>220000</v>
      </c>
      <c r="AC851" s="4" t="s">
        <v>7</v>
      </c>
      <c r="AD851" s="16">
        <f>IFERROR(VLOOKUP(AC851,'Kode Diskon'!$C$2:$D$9,2,0),0)</f>
        <v>0.2</v>
      </c>
      <c r="AE851" s="31">
        <f t="shared" si="483"/>
        <v>120000</v>
      </c>
      <c r="AF851" s="31">
        <f t="shared" si="484"/>
        <v>480000</v>
      </c>
      <c r="AG851" s="31">
        <f t="shared" si="485"/>
        <v>380000</v>
      </c>
      <c r="AH851" s="31">
        <f t="shared" si="486"/>
        <v>260000</v>
      </c>
      <c r="AI851" s="4" t="s">
        <v>8</v>
      </c>
      <c r="AJ851" s="4" t="s">
        <v>6</v>
      </c>
      <c r="AK851" s="4" t="str">
        <f>IFERROR(VLOOKUP(AJ851,'Guide '!$A$13:$B$16,2,0),"-")</f>
        <v>SP</v>
      </c>
      <c r="AL851" s="4" t="s">
        <v>1006</v>
      </c>
      <c r="AM851" s="40">
        <v>45601</v>
      </c>
      <c r="AN851">
        <f t="shared" si="487"/>
        <v>29</v>
      </c>
      <c r="AO851">
        <f t="shared" si="488"/>
        <v>32</v>
      </c>
      <c r="AP851">
        <f t="shared" si="489"/>
        <v>40</v>
      </c>
      <c r="AQ851">
        <f t="shared" si="490"/>
        <v>43</v>
      </c>
      <c r="AR851" s="26" t="str">
        <f t="shared" si="491"/>
        <v>-</v>
      </c>
      <c r="AS851" s="26" t="str">
        <f t="shared" si="492"/>
        <v>-</v>
      </c>
      <c r="AT851" s="21">
        <f t="shared" si="493"/>
        <v>12</v>
      </c>
      <c r="AU851" s="21">
        <f t="shared" si="494"/>
        <v>19</v>
      </c>
      <c r="AV851" t="str">
        <f t="shared" si="495"/>
        <v>-</v>
      </c>
      <c r="AW851" t="str">
        <f t="shared" si="496"/>
        <v>-</v>
      </c>
      <c r="AX851" t="str">
        <f t="shared" si="497"/>
        <v>-</v>
      </c>
      <c r="AY851" t="str">
        <f t="shared" si="498"/>
        <v>-</v>
      </c>
      <c r="AZ851" t="str">
        <f t="shared" si="499"/>
        <v>-</v>
      </c>
      <c r="BA851" t="str">
        <f t="shared" si="500"/>
        <v>-</v>
      </c>
      <c r="BB851" t="str">
        <f t="shared" si="501"/>
        <v>-</v>
      </c>
      <c r="BC851" t="str">
        <f t="shared" si="502"/>
        <v>-</v>
      </c>
      <c r="BD851" s="29" t="str">
        <f t="shared" si="503"/>
        <v>-</v>
      </c>
      <c r="BE851" s="29" t="str">
        <f t="shared" si="504"/>
        <v>-</v>
      </c>
    </row>
    <row r="852" spans="1:57" ht="15" x14ac:dyDescent="0.2">
      <c r="A852" s="2">
        <v>684</v>
      </c>
      <c r="B852" s="2" t="str">
        <f t="shared" si="469"/>
        <v>0684</v>
      </c>
      <c r="C852" t="str">
        <f t="shared" si="470"/>
        <v>ORD-SP-0684-06/11/24</v>
      </c>
      <c r="D852" s="3" t="s">
        <v>681</v>
      </c>
      <c r="E852" t="str">
        <f t="shared" si="471"/>
        <v>PU001</v>
      </c>
      <c r="F852" t="str">
        <f>INDEX(Katalog!$B$4:$B$13,MATCH('Main Data'!E852,Katalog!$C$4:$C$13,0))</f>
        <v>Jaket Hoodie</v>
      </c>
      <c r="G852" t="str">
        <f>VLOOKUP(E852,Katalog!$A$15:$B$25,2,0)</f>
        <v>Pakaian Unisex</v>
      </c>
      <c r="H852" t="str">
        <f t="shared" si="472"/>
        <v>2</v>
      </c>
      <c r="I852" t="str">
        <f t="shared" si="473"/>
        <v>4</v>
      </c>
      <c r="J852" s="18">
        <f>VLOOKUP(E852,Katalog!$C$3:$F$13,2,0)</f>
        <v>160000</v>
      </c>
      <c r="K852" s="18">
        <f>VLOOKUP(E852,Katalog!$C$3:$F$13,3,0)</f>
        <v>60000</v>
      </c>
      <c r="L852" t="str">
        <f t="shared" si="474"/>
        <v>SP001</v>
      </c>
      <c r="M852" t="str">
        <f>IFERROR(INDEX(Katalog!$B$4:$B$13,MATCH('Main Data'!L852,Katalog!$C$4:$C$13,0)), "-")</f>
        <v>Sneakers</v>
      </c>
      <c r="N852" t="str">
        <f>IFERROR(VLOOKUP(L852,Katalog!$A$15:$B$25,2,0),"-")</f>
        <v>Sepatu Pria</v>
      </c>
      <c r="O852" t="str">
        <f t="shared" si="475"/>
        <v>1</v>
      </c>
      <c r="P852" t="str">
        <f t="shared" si="476"/>
        <v>2</v>
      </c>
      <c r="Q852" s="18">
        <f>IFERROR(VLOOKUP(L852,Katalog!$C$3:$F$13,2,0),0)</f>
        <v>300000</v>
      </c>
      <c r="R852" s="18">
        <f>IFERROR(VLOOKUP(L852,Katalog!$C$3:$F$13,3,0),0)</f>
        <v>100000</v>
      </c>
      <c r="S852" t="str">
        <f t="shared" si="477"/>
        <v>-</v>
      </c>
      <c r="T852" t="str">
        <f>IFERROR(INDEX(Katalog!$B$4:$B$13,MATCH('Main Data'!S852,Katalog!$C$4:$C$13,0)),"-")</f>
        <v>-</v>
      </c>
      <c r="U852" t="str">
        <f>IFERROR(VLOOKUP(S852,Katalog!$A$15:$B$25,2,0),"-")</f>
        <v>-</v>
      </c>
      <c r="V852">
        <f t="shared" si="478"/>
        <v>0</v>
      </c>
      <c r="W852" s="28" t="str">
        <f t="shared" si="479"/>
        <v>-</v>
      </c>
      <c r="X852" s="18">
        <f>IFERROR(VLOOKUP(S852,Katalog!$C$3:$F$13,2,0),0)</f>
        <v>0</v>
      </c>
      <c r="Y852" s="30">
        <f>IFERROR(VLOOKUP(S852,Katalog!$C$3:$F$13,3,0),0)</f>
        <v>0</v>
      </c>
      <c r="Z852" s="2">
        <f t="shared" si="480"/>
        <v>3</v>
      </c>
      <c r="AA852" s="4">
        <f t="shared" si="481"/>
        <v>620000</v>
      </c>
      <c r="AB852" s="4">
        <f t="shared" si="482"/>
        <v>220000</v>
      </c>
      <c r="AC852" s="4" t="s">
        <v>7</v>
      </c>
      <c r="AD852" s="16">
        <f>IFERROR(VLOOKUP(AC852,'Kode Diskon'!$C$2:$D$9,2,0),0)</f>
        <v>0.2</v>
      </c>
      <c r="AE852" s="31">
        <f t="shared" si="483"/>
        <v>124000</v>
      </c>
      <c r="AF852" s="31">
        <f t="shared" si="484"/>
        <v>496000</v>
      </c>
      <c r="AG852" s="31">
        <f t="shared" si="485"/>
        <v>400000</v>
      </c>
      <c r="AH852" s="31">
        <f t="shared" si="486"/>
        <v>276000</v>
      </c>
      <c r="AI852" s="4" t="s">
        <v>8</v>
      </c>
      <c r="AJ852" s="4" t="s">
        <v>6</v>
      </c>
      <c r="AK852" s="4" t="str">
        <f>IFERROR(VLOOKUP(AJ852,'Guide '!$A$13:$B$16,2,0),"-")</f>
        <v>SP</v>
      </c>
      <c r="AL852" s="4" t="s">
        <v>925</v>
      </c>
      <c r="AM852" s="40">
        <v>45602</v>
      </c>
      <c r="AN852">
        <f t="shared" si="487"/>
        <v>29</v>
      </c>
      <c r="AO852">
        <f t="shared" si="488"/>
        <v>32</v>
      </c>
      <c r="AP852">
        <f t="shared" si="489"/>
        <v>40</v>
      </c>
      <c r="AQ852">
        <f t="shared" si="490"/>
        <v>43</v>
      </c>
      <c r="AR852" s="26">
        <f t="shared" si="491"/>
        <v>56</v>
      </c>
      <c r="AS852" s="26">
        <f t="shared" si="492"/>
        <v>63</v>
      </c>
      <c r="AT852" s="21">
        <f t="shared" si="493"/>
        <v>12</v>
      </c>
      <c r="AU852" s="21">
        <f t="shared" si="494"/>
        <v>19</v>
      </c>
      <c r="AV852">
        <f t="shared" si="495"/>
        <v>73</v>
      </c>
      <c r="AW852">
        <f t="shared" si="496"/>
        <v>76</v>
      </c>
      <c r="AX852">
        <f t="shared" si="497"/>
        <v>84</v>
      </c>
      <c r="AY852">
        <f t="shared" si="498"/>
        <v>87</v>
      </c>
      <c r="AZ852" t="str">
        <f t="shared" si="499"/>
        <v>-</v>
      </c>
      <c r="BA852" t="str">
        <f t="shared" si="500"/>
        <v>-</v>
      </c>
      <c r="BB852" t="str">
        <f t="shared" si="501"/>
        <v>-</v>
      </c>
      <c r="BC852" t="str">
        <f t="shared" si="502"/>
        <v>-</v>
      </c>
      <c r="BD852" s="29" t="str">
        <f t="shared" si="503"/>
        <v>-</v>
      </c>
      <c r="BE852" s="29" t="str">
        <f t="shared" si="504"/>
        <v>-</v>
      </c>
    </row>
    <row r="853" spans="1:57" ht="15" x14ac:dyDescent="0.2">
      <c r="A853" s="2">
        <v>101</v>
      </c>
      <c r="B853" s="2" t="str">
        <f t="shared" si="469"/>
        <v>0101</v>
      </c>
      <c r="C853" t="str">
        <f t="shared" si="470"/>
        <v>ORD-SP-0101-07/11/24</v>
      </c>
      <c r="D853" s="3" t="s">
        <v>173</v>
      </c>
      <c r="E853" t="str">
        <f t="shared" si="471"/>
        <v>SP001</v>
      </c>
      <c r="F853" t="str">
        <f>INDEX(Katalog!$B$4:$B$13,MATCH('Main Data'!E853,Katalog!$C$4:$C$13,0))</f>
        <v>Sneakers</v>
      </c>
      <c r="G853" t="str">
        <f>VLOOKUP(E853,Katalog!$A$15:$B$25,2,0)</f>
        <v>Sepatu Pria</v>
      </c>
      <c r="H853" t="str">
        <f t="shared" si="472"/>
        <v>4</v>
      </c>
      <c r="I853" t="str">
        <f t="shared" si="473"/>
        <v>5</v>
      </c>
      <c r="J853" s="18">
        <f>VLOOKUP(E853,Katalog!$C$3:$F$13,2,0)</f>
        <v>300000</v>
      </c>
      <c r="K853" s="18">
        <f>VLOOKUP(E853,Katalog!$C$3:$F$13,3,0)</f>
        <v>100000</v>
      </c>
      <c r="L853" t="str">
        <f t="shared" si="474"/>
        <v>PP003</v>
      </c>
      <c r="M853" t="str">
        <f>IFERROR(INDEX(Katalog!$B$4:$B$13,MATCH('Main Data'!L853,Katalog!$C$4:$C$13,0)), "-")</f>
        <v>Jaket Jeans</v>
      </c>
      <c r="N853" t="str">
        <f>IFERROR(VLOOKUP(L853,Katalog!$A$15:$B$25,2,0),"-")</f>
        <v>Pakaian Pria</v>
      </c>
      <c r="O853" t="str">
        <f t="shared" si="475"/>
        <v>1</v>
      </c>
      <c r="P853" t="str">
        <f t="shared" si="476"/>
        <v>1</v>
      </c>
      <c r="Q853" s="18">
        <f>IFERROR(VLOOKUP(L853,Katalog!$C$3:$F$13,2,0),0)</f>
        <v>150000</v>
      </c>
      <c r="R853" s="18">
        <f>IFERROR(VLOOKUP(L853,Katalog!$C$3:$F$13,3,0),0)</f>
        <v>70000</v>
      </c>
      <c r="S853" t="str">
        <f t="shared" si="477"/>
        <v>-</v>
      </c>
      <c r="T853" t="str">
        <f>IFERROR(INDEX(Katalog!$B$4:$B$13,MATCH('Main Data'!S853,Katalog!$C$4:$C$13,0)),"-")</f>
        <v>-</v>
      </c>
      <c r="U853" t="str">
        <f>IFERROR(VLOOKUP(S853,Katalog!$A$15:$B$25,2,0),"-")</f>
        <v>-</v>
      </c>
      <c r="V853">
        <f t="shared" si="478"/>
        <v>0</v>
      </c>
      <c r="W853" s="28" t="str">
        <f t="shared" si="479"/>
        <v>-</v>
      </c>
      <c r="X853" s="18">
        <f>IFERROR(VLOOKUP(S853,Katalog!$C$3:$F$13,2,0),0)</f>
        <v>0</v>
      </c>
      <c r="Y853" s="30">
        <f>IFERROR(VLOOKUP(S853,Katalog!$C$3:$F$13,3,0),0)</f>
        <v>0</v>
      </c>
      <c r="Z853" s="2">
        <f t="shared" si="480"/>
        <v>5</v>
      </c>
      <c r="AA853" s="4">
        <f t="shared" si="481"/>
        <v>1350000</v>
      </c>
      <c r="AB853" s="4">
        <f t="shared" si="482"/>
        <v>470000</v>
      </c>
      <c r="AC853" s="4" t="s">
        <v>10</v>
      </c>
      <c r="AD853" s="16">
        <f>IFERROR(VLOOKUP(AC853,'Kode Diskon'!$C$2:$D$9,2,0),0)</f>
        <v>0</v>
      </c>
      <c r="AE853" s="31">
        <f t="shared" si="483"/>
        <v>0</v>
      </c>
      <c r="AF853" s="31">
        <f t="shared" si="484"/>
        <v>1350000</v>
      </c>
      <c r="AG853" s="31">
        <f t="shared" si="485"/>
        <v>880000</v>
      </c>
      <c r="AH853" s="31">
        <f t="shared" si="486"/>
        <v>880000</v>
      </c>
      <c r="AI853" s="4" t="s">
        <v>10</v>
      </c>
      <c r="AJ853" s="4" t="s">
        <v>6</v>
      </c>
      <c r="AK853" s="4" t="str">
        <f>IFERROR(VLOOKUP(AJ853,'Guide '!$A$13:$B$16,2,0),"-")</f>
        <v>SP</v>
      </c>
      <c r="AL853" s="4" t="s">
        <v>925</v>
      </c>
      <c r="AM853" s="40">
        <v>45603</v>
      </c>
      <c r="AN853">
        <f t="shared" si="487"/>
        <v>29</v>
      </c>
      <c r="AO853">
        <f t="shared" si="488"/>
        <v>32</v>
      </c>
      <c r="AP853">
        <f t="shared" si="489"/>
        <v>40</v>
      </c>
      <c r="AQ853">
        <f t="shared" si="490"/>
        <v>43</v>
      </c>
      <c r="AR853" s="26">
        <f t="shared" si="491"/>
        <v>56</v>
      </c>
      <c r="AS853" s="26">
        <f t="shared" si="492"/>
        <v>63</v>
      </c>
      <c r="AT853" s="21">
        <f t="shared" si="493"/>
        <v>12</v>
      </c>
      <c r="AU853" s="21">
        <f t="shared" si="494"/>
        <v>19</v>
      </c>
      <c r="AV853">
        <f t="shared" si="495"/>
        <v>73</v>
      </c>
      <c r="AW853">
        <f t="shared" si="496"/>
        <v>76</v>
      </c>
      <c r="AX853">
        <f t="shared" si="497"/>
        <v>84</v>
      </c>
      <c r="AY853">
        <f t="shared" si="498"/>
        <v>87</v>
      </c>
      <c r="AZ853" t="str">
        <f t="shared" si="499"/>
        <v>-</v>
      </c>
      <c r="BA853" t="str">
        <f t="shared" si="500"/>
        <v>-</v>
      </c>
      <c r="BB853" t="str">
        <f t="shared" si="501"/>
        <v>-</v>
      </c>
      <c r="BC853" t="str">
        <f t="shared" si="502"/>
        <v>-</v>
      </c>
      <c r="BD853" s="29" t="str">
        <f t="shared" si="503"/>
        <v>-</v>
      </c>
      <c r="BE853" s="29" t="str">
        <f t="shared" si="504"/>
        <v>-</v>
      </c>
    </row>
    <row r="854" spans="1:57" ht="15" x14ac:dyDescent="0.2">
      <c r="A854" s="2">
        <v>870</v>
      </c>
      <c r="B854" s="2" t="str">
        <f t="shared" si="469"/>
        <v>0870</v>
      </c>
      <c r="C854" t="str">
        <f t="shared" si="470"/>
        <v>ORD-TK-0870-07/11/24</v>
      </c>
      <c r="D854" s="3" t="s">
        <v>815</v>
      </c>
      <c r="E854" t="str">
        <f t="shared" si="471"/>
        <v>PW001</v>
      </c>
      <c r="F854" t="str">
        <f>INDEX(Katalog!$B$4:$B$13,MATCH('Main Data'!E854,Katalog!$C$4:$C$13,0))</f>
        <v>Dress</v>
      </c>
      <c r="G854" t="str">
        <f>VLOOKUP(E854,Katalog!$A$15:$B$25,2,0)</f>
        <v>Pakaian Wanita</v>
      </c>
      <c r="H854" t="str">
        <f t="shared" si="472"/>
        <v>1</v>
      </c>
      <c r="I854" t="str">
        <f t="shared" si="473"/>
        <v>2</v>
      </c>
      <c r="J854" s="18">
        <f>VLOOKUP(E854,Katalog!$C$3:$F$13,2,0)</f>
        <v>150000</v>
      </c>
      <c r="K854" s="18">
        <f>VLOOKUP(E854,Katalog!$C$3:$F$13,3,0)</f>
        <v>55000</v>
      </c>
      <c r="L854" t="str">
        <f t="shared" si="474"/>
        <v>PU001</v>
      </c>
      <c r="M854" t="str">
        <f>IFERROR(INDEX(Katalog!$B$4:$B$13,MATCH('Main Data'!L854,Katalog!$C$4:$C$13,0)), "-")</f>
        <v>Jaket Hoodie</v>
      </c>
      <c r="N854" t="str">
        <f>IFERROR(VLOOKUP(L854,Katalog!$A$15:$B$25,2,0),"-")</f>
        <v>Pakaian Unisex</v>
      </c>
      <c r="O854" t="str">
        <f t="shared" si="475"/>
        <v>1</v>
      </c>
      <c r="P854" t="str">
        <f t="shared" si="476"/>
        <v>5</v>
      </c>
      <c r="Q854" s="18">
        <f>IFERROR(VLOOKUP(L854,Katalog!$C$3:$F$13,2,0),0)</f>
        <v>160000</v>
      </c>
      <c r="R854" s="18">
        <f>IFERROR(VLOOKUP(L854,Katalog!$C$3:$F$13,3,0),0)</f>
        <v>60000</v>
      </c>
      <c r="S854" t="str">
        <f t="shared" si="477"/>
        <v>-</v>
      </c>
      <c r="T854" t="str">
        <f>IFERROR(INDEX(Katalog!$B$4:$B$13,MATCH('Main Data'!S854,Katalog!$C$4:$C$13,0)),"-")</f>
        <v>-</v>
      </c>
      <c r="U854" t="str">
        <f>IFERROR(VLOOKUP(S854,Katalog!$A$15:$B$25,2,0),"-")</f>
        <v>-</v>
      </c>
      <c r="V854">
        <f t="shared" si="478"/>
        <v>0</v>
      </c>
      <c r="W854" s="28" t="str">
        <f t="shared" si="479"/>
        <v>-</v>
      </c>
      <c r="X854" s="18">
        <f>IFERROR(VLOOKUP(S854,Katalog!$C$3:$F$13,2,0),0)</f>
        <v>0</v>
      </c>
      <c r="Y854" s="30">
        <f>IFERROR(VLOOKUP(S854,Katalog!$C$3:$F$13,3,0),0)</f>
        <v>0</v>
      </c>
      <c r="Z854" s="2">
        <f t="shared" si="480"/>
        <v>2</v>
      </c>
      <c r="AA854" s="4">
        <f t="shared" si="481"/>
        <v>310000</v>
      </c>
      <c r="AB854" s="4">
        <f t="shared" si="482"/>
        <v>115000</v>
      </c>
      <c r="AC854" s="4" t="s">
        <v>10</v>
      </c>
      <c r="AD854" s="16">
        <f>IFERROR(VLOOKUP(AC854,'Kode Diskon'!$C$2:$D$9,2,0),0)</f>
        <v>0</v>
      </c>
      <c r="AE854" s="31">
        <f t="shared" si="483"/>
        <v>0</v>
      </c>
      <c r="AF854" s="31">
        <f t="shared" si="484"/>
        <v>310000</v>
      </c>
      <c r="AG854" s="31">
        <f t="shared" si="485"/>
        <v>195000</v>
      </c>
      <c r="AH854" s="31">
        <f t="shared" si="486"/>
        <v>195000</v>
      </c>
      <c r="AI854" s="4" t="s">
        <v>10</v>
      </c>
      <c r="AJ854" s="4" t="s">
        <v>9</v>
      </c>
      <c r="AK854" s="4" t="str">
        <f>IFERROR(VLOOKUP(AJ854,'Guide '!$A$13:$B$16,2,0),"-")</f>
        <v>TK</v>
      </c>
      <c r="AL854" s="4" t="s">
        <v>925</v>
      </c>
      <c r="AM854" s="40">
        <v>45603</v>
      </c>
      <c r="AN854">
        <f t="shared" si="487"/>
        <v>29</v>
      </c>
      <c r="AO854">
        <f t="shared" si="488"/>
        <v>32</v>
      </c>
      <c r="AP854">
        <f t="shared" si="489"/>
        <v>40</v>
      </c>
      <c r="AQ854">
        <f t="shared" si="490"/>
        <v>43</v>
      </c>
      <c r="AR854" s="26">
        <f t="shared" si="491"/>
        <v>56</v>
      </c>
      <c r="AS854" s="26">
        <f t="shared" si="492"/>
        <v>63</v>
      </c>
      <c r="AT854" s="21">
        <f t="shared" si="493"/>
        <v>12</v>
      </c>
      <c r="AU854" s="21">
        <f t="shared" si="494"/>
        <v>19</v>
      </c>
      <c r="AV854">
        <f t="shared" si="495"/>
        <v>73</v>
      </c>
      <c r="AW854">
        <f t="shared" si="496"/>
        <v>76</v>
      </c>
      <c r="AX854">
        <f t="shared" si="497"/>
        <v>84</v>
      </c>
      <c r="AY854">
        <f t="shared" si="498"/>
        <v>87</v>
      </c>
      <c r="AZ854" t="str">
        <f t="shared" si="499"/>
        <v>-</v>
      </c>
      <c r="BA854" t="str">
        <f t="shared" si="500"/>
        <v>-</v>
      </c>
      <c r="BB854" t="str">
        <f t="shared" si="501"/>
        <v>-</v>
      </c>
      <c r="BC854" t="str">
        <f t="shared" si="502"/>
        <v>-</v>
      </c>
      <c r="BD854" s="29" t="str">
        <f t="shared" si="503"/>
        <v>-</v>
      </c>
      <c r="BE854" s="29" t="str">
        <f t="shared" si="504"/>
        <v>-</v>
      </c>
    </row>
    <row r="855" spans="1:57" ht="15" x14ac:dyDescent="0.2">
      <c r="A855" s="2">
        <v>497</v>
      </c>
      <c r="B855" s="2" t="str">
        <f t="shared" si="469"/>
        <v>0497</v>
      </c>
      <c r="C855" t="str">
        <f t="shared" si="470"/>
        <v>ORD-TK-0497-09/11/24</v>
      </c>
      <c r="D855" s="3" t="s">
        <v>513</v>
      </c>
      <c r="E855" t="str">
        <f t="shared" si="471"/>
        <v>PP003</v>
      </c>
      <c r="F855" t="str">
        <f>INDEX(Katalog!$B$4:$B$13,MATCH('Main Data'!E855,Katalog!$C$4:$C$13,0))</f>
        <v>Jaket Jeans</v>
      </c>
      <c r="G855" t="str">
        <f>VLOOKUP(E855,Katalog!$A$15:$B$25,2,0)</f>
        <v>Pakaian Pria</v>
      </c>
      <c r="H855" t="str">
        <f t="shared" si="472"/>
        <v>3</v>
      </c>
      <c r="I855" t="str">
        <f t="shared" si="473"/>
        <v>3</v>
      </c>
      <c r="J855" s="18">
        <f>VLOOKUP(E855,Katalog!$C$3:$F$13,2,0)</f>
        <v>150000</v>
      </c>
      <c r="K855" s="18">
        <f>VLOOKUP(E855,Katalog!$C$3:$F$13,3,0)</f>
        <v>70000</v>
      </c>
      <c r="L855" t="str">
        <f t="shared" si="474"/>
        <v>-</v>
      </c>
      <c r="M855" t="str">
        <f>IFERROR(INDEX(Katalog!$B$4:$B$13,MATCH('Main Data'!L855,Katalog!$C$4:$C$13,0)), "-")</f>
        <v>-</v>
      </c>
      <c r="N855" t="str">
        <f>IFERROR(VLOOKUP(L855,Katalog!$A$15:$B$25,2,0),"-")</f>
        <v>-</v>
      </c>
      <c r="O855">
        <f t="shared" si="475"/>
        <v>0</v>
      </c>
      <c r="P855" t="str">
        <f t="shared" si="476"/>
        <v>-</v>
      </c>
      <c r="Q855" s="18">
        <f>IFERROR(VLOOKUP(L855,Katalog!$C$3:$F$13,2,0),0)</f>
        <v>0</v>
      </c>
      <c r="R855" s="18">
        <f>IFERROR(VLOOKUP(L855,Katalog!$C$3:$F$13,3,0),0)</f>
        <v>0</v>
      </c>
      <c r="S855" t="str">
        <f t="shared" si="477"/>
        <v>-</v>
      </c>
      <c r="T855" t="str">
        <f>IFERROR(INDEX(Katalog!$B$4:$B$13,MATCH('Main Data'!S855,Katalog!$C$4:$C$13,0)),"-")</f>
        <v>-</v>
      </c>
      <c r="U855" t="str">
        <f>IFERROR(VLOOKUP(S855,Katalog!$A$15:$B$25,2,0),"-")</f>
        <v>-</v>
      </c>
      <c r="V855">
        <f t="shared" si="478"/>
        <v>0</v>
      </c>
      <c r="W855" s="28" t="str">
        <f t="shared" si="479"/>
        <v>-</v>
      </c>
      <c r="X855" s="18">
        <f>IFERROR(VLOOKUP(S855,Katalog!$C$3:$F$13,2,0),0)</f>
        <v>0</v>
      </c>
      <c r="Y855" s="30">
        <f>IFERROR(VLOOKUP(S855,Katalog!$C$3:$F$13,3,0),0)</f>
        <v>0</v>
      </c>
      <c r="Z855" s="2">
        <f t="shared" si="480"/>
        <v>3</v>
      </c>
      <c r="AA855" s="4">
        <f t="shared" si="481"/>
        <v>450000</v>
      </c>
      <c r="AB855" s="4">
        <f t="shared" si="482"/>
        <v>210000</v>
      </c>
      <c r="AC855" s="4" t="s">
        <v>30</v>
      </c>
      <c r="AD855" s="16">
        <f>IFERROR(VLOOKUP(AC855,'Kode Diskon'!$C$2:$D$9,2,0),0)</f>
        <v>0.1</v>
      </c>
      <c r="AE855" s="31">
        <f t="shared" si="483"/>
        <v>45000</v>
      </c>
      <c r="AF855" s="31">
        <f t="shared" si="484"/>
        <v>405000</v>
      </c>
      <c r="AG855" s="31">
        <f t="shared" si="485"/>
        <v>240000</v>
      </c>
      <c r="AH855" s="31">
        <f t="shared" si="486"/>
        <v>195000</v>
      </c>
      <c r="AI855" s="4" t="s">
        <v>8</v>
      </c>
      <c r="AJ855" s="4" t="s">
        <v>9</v>
      </c>
      <c r="AK855" s="4" t="str">
        <f>IFERROR(VLOOKUP(AJ855,'Guide '!$A$13:$B$16,2,0),"-")</f>
        <v>TK</v>
      </c>
      <c r="AL855" s="4" t="s">
        <v>1006</v>
      </c>
      <c r="AM855" s="40">
        <v>45605</v>
      </c>
      <c r="AN855">
        <f t="shared" si="487"/>
        <v>29</v>
      </c>
      <c r="AO855">
        <f t="shared" si="488"/>
        <v>32</v>
      </c>
      <c r="AP855">
        <f t="shared" si="489"/>
        <v>40</v>
      </c>
      <c r="AQ855">
        <f t="shared" si="490"/>
        <v>43</v>
      </c>
      <c r="AR855" s="26" t="str">
        <f t="shared" si="491"/>
        <v>-</v>
      </c>
      <c r="AS855" s="26" t="str">
        <f t="shared" si="492"/>
        <v>-</v>
      </c>
      <c r="AT855" s="21">
        <f t="shared" si="493"/>
        <v>12</v>
      </c>
      <c r="AU855" s="21">
        <f t="shared" si="494"/>
        <v>19</v>
      </c>
      <c r="AV855" t="str">
        <f t="shared" si="495"/>
        <v>-</v>
      </c>
      <c r="AW855" t="str">
        <f t="shared" si="496"/>
        <v>-</v>
      </c>
      <c r="AX855" t="str">
        <f t="shared" si="497"/>
        <v>-</v>
      </c>
      <c r="AY855" t="str">
        <f t="shared" si="498"/>
        <v>-</v>
      </c>
      <c r="AZ855" t="str">
        <f t="shared" si="499"/>
        <v>-</v>
      </c>
      <c r="BA855" t="str">
        <f t="shared" si="500"/>
        <v>-</v>
      </c>
      <c r="BB855" t="str">
        <f t="shared" si="501"/>
        <v>-</v>
      </c>
      <c r="BC855" t="str">
        <f t="shared" si="502"/>
        <v>-</v>
      </c>
      <c r="BD855" s="29" t="str">
        <f t="shared" si="503"/>
        <v>-</v>
      </c>
      <c r="BE855" s="29" t="str">
        <f t="shared" si="504"/>
        <v>-</v>
      </c>
    </row>
    <row r="856" spans="1:57" ht="15" x14ac:dyDescent="0.2">
      <c r="A856" s="2">
        <v>764</v>
      </c>
      <c r="B856" s="2" t="str">
        <f t="shared" si="469"/>
        <v>0764</v>
      </c>
      <c r="C856" t="str">
        <f t="shared" si="470"/>
        <v>ORD-BL-0764-10/11/24</v>
      </c>
      <c r="D856" s="3" t="s">
        <v>742</v>
      </c>
      <c r="E856" t="str">
        <f t="shared" si="471"/>
        <v>PP001</v>
      </c>
      <c r="F856" t="str">
        <f>INDEX(Katalog!$B$4:$B$13,MATCH('Main Data'!E856,Katalog!$C$4:$C$13,0))</f>
        <v>Kaos Polo</v>
      </c>
      <c r="G856" t="str">
        <f>VLOOKUP(E856,Katalog!$A$15:$B$25,2,0)</f>
        <v>Pakaian Pria</v>
      </c>
      <c r="H856" t="str">
        <f t="shared" si="472"/>
        <v>5</v>
      </c>
      <c r="I856" t="str">
        <f t="shared" si="473"/>
        <v>4</v>
      </c>
      <c r="J856" s="18">
        <f>VLOOKUP(E856,Katalog!$C$3:$F$13,2,0)</f>
        <v>80000</v>
      </c>
      <c r="K856" s="18">
        <f>VLOOKUP(E856,Katalog!$C$3:$F$13,3,0)</f>
        <v>30000</v>
      </c>
      <c r="L856" t="str">
        <f t="shared" si="474"/>
        <v>-</v>
      </c>
      <c r="M856" t="str">
        <f>IFERROR(INDEX(Katalog!$B$4:$B$13,MATCH('Main Data'!L856,Katalog!$C$4:$C$13,0)), "-")</f>
        <v>-</v>
      </c>
      <c r="N856" t="str">
        <f>IFERROR(VLOOKUP(L856,Katalog!$A$15:$B$25,2,0),"-")</f>
        <v>-</v>
      </c>
      <c r="O856">
        <f t="shared" si="475"/>
        <v>0</v>
      </c>
      <c r="P856" t="str">
        <f t="shared" si="476"/>
        <v>-</v>
      </c>
      <c r="Q856" s="18">
        <f>IFERROR(VLOOKUP(L856,Katalog!$C$3:$F$13,2,0),0)</f>
        <v>0</v>
      </c>
      <c r="R856" s="18">
        <f>IFERROR(VLOOKUP(L856,Katalog!$C$3:$F$13,3,0),0)</f>
        <v>0</v>
      </c>
      <c r="S856" t="str">
        <f t="shared" si="477"/>
        <v>-</v>
      </c>
      <c r="T856" t="str">
        <f>IFERROR(INDEX(Katalog!$B$4:$B$13,MATCH('Main Data'!S856,Katalog!$C$4:$C$13,0)),"-")</f>
        <v>-</v>
      </c>
      <c r="U856" t="str">
        <f>IFERROR(VLOOKUP(S856,Katalog!$A$15:$B$25,2,0),"-")</f>
        <v>-</v>
      </c>
      <c r="V856">
        <f t="shared" si="478"/>
        <v>0</v>
      </c>
      <c r="W856" s="28" t="str">
        <f t="shared" si="479"/>
        <v>-</v>
      </c>
      <c r="X856" s="18">
        <f>IFERROR(VLOOKUP(S856,Katalog!$C$3:$F$13,2,0),0)</f>
        <v>0</v>
      </c>
      <c r="Y856" s="30">
        <f>IFERROR(VLOOKUP(S856,Katalog!$C$3:$F$13,3,0),0)</f>
        <v>0</v>
      </c>
      <c r="Z856" s="2">
        <f t="shared" si="480"/>
        <v>5</v>
      </c>
      <c r="AA856" s="4">
        <f t="shared" si="481"/>
        <v>400000</v>
      </c>
      <c r="AB856" s="4">
        <f t="shared" si="482"/>
        <v>150000</v>
      </c>
      <c r="AC856" s="4" t="s">
        <v>31</v>
      </c>
      <c r="AD856" s="16">
        <f>IFERROR(VLOOKUP(AC856,'Kode Diskon'!$C$2:$D$9,2,0),0)</f>
        <v>0.15</v>
      </c>
      <c r="AE856" s="31">
        <f t="shared" si="483"/>
        <v>60000</v>
      </c>
      <c r="AF856" s="31">
        <f t="shared" si="484"/>
        <v>340000</v>
      </c>
      <c r="AG856" s="31">
        <f t="shared" si="485"/>
        <v>250000</v>
      </c>
      <c r="AH856" s="31">
        <f t="shared" si="486"/>
        <v>190000</v>
      </c>
      <c r="AI856" s="4" t="s">
        <v>8</v>
      </c>
      <c r="AJ856" s="4" t="s">
        <v>11</v>
      </c>
      <c r="AK856" s="4" t="str">
        <f>IFERROR(VLOOKUP(AJ856,'Guide '!$A$13:$B$16,2,0),"-")</f>
        <v>BL</v>
      </c>
      <c r="AL856" s="4" t="s">
        <v>925</v>
      </c>
      <c r="AM856" s="40">
        <v>45606</v>
      </c>
      <c r="AN856">
        <f t="shared" si="487"/>
        <v>29</v>
      </c>
      <c r="AO856">
        <f t="shared" si="488"/>
        <v>32</v>
      </c>
      <c r="AP856">
        <f t="shared" si="489"/>
        <v>40</v>
      </c>
      <c r="AQ856">
        <f t="shared" si="490"/>
        <v>43</v>
      </c>
      <c r="AR856" s="26" t="str">
        <f t="shared" si="491"/>
        <v>-</v>
      </c>
      <c r="AS856" s="26" t="str">
        <f t="shared" si="492"/>
        <v>-</v>
      </c>
      <c r="AT856" s="21">
        <f t="shared" si="493"/>
        <v>12</v>
      </c>
      <c r="AU856" s="21">
        <f t="shared" si="494"/>
        <v>19</v>
      </c>
      <c r="AV856" t="str">
        <f t="shared" si="495"/>
        <v>-</v>
      </c>
      <c r="AW856" t="str">
        <f t="shared" si="496"/>
        <v>-</v>
      </c>
      <c r="AX856" t="str">
        <f t="shared" si="497"/>
        <v>-</v>
      </c>
      <c r="AY856" t="str">
        <f t="shared" si="498"/>
        <v>-</v>
      </c>
      <c r="AZ856" t="str">
        <f t="shared" si="499"/>
        <v>-</v>
      </c>
      <c r="BA856" t="str">
        <f t="shared" si="500"/>
        <v>-</v>
      </c>
      <c r="BB856" t="str">
        <f t="shared" si="501"/>
        <v>-</v>
      </c>
      <c r="BC856" t="str">
        <f t="shared" si="502"/>
        <v>-</v>
      </c>
      <c r="BD856" s="29" t="str">
        <f t="shared" si="503"/>
        <v>-</v>
      </c>
      <c r="BE856" s="29" t="str">
        <f t="shared" si="504"/>
        <v>-</v>
      </c>
    </row>
    <row r="857" spans="1:57" ht="15" x14ac:dyDescent="0.2">
      <c r="A857" s="2">
        <v>198</v>
      </c>
      <c r="B857" s="2" t="str">
        <f t="shared" si="469"/>
        <v>0198</v>
      </c>
      <c r="C857" t="str">
        <f t="shared" si="470"/>
        <v>ORD-SP-0198-11/11/24</v>
      </c>
      <c r="D857" s="3" t="s">
        <v>267</v>
      </c>
      <c r="E857" t="str">
        <f t="shared" si="471"/>
        <v>PW002</v>
      </c>
      <c r="F857" t="str">
        <f>INDEX(Katalog!$B$4:$B$13,MATCH('Main Data'!E857,Katalog!$C$4:$C$13,0))</f>
        <v>Blouse</v>
      </c>
      <c r="G857" t="str">
        <f>VLOOKUP(E857,Katalog!$A$15:$B$25,2,0)</f>
        <v>Pakaian Wanita</v>
      </c>
      <c r="H857" t="str">
        <f t="shared" si="472"/>
        <v>2</v>
      </c>
      <c r="I857" t="str">
        <f t="shared" si="473"/>
        <v>1</v>
      </c>
      <c r="J857" s="18">
        <f>VLOOKUP(E857,Katalog!$C$3:$F$13,2,0)</f>
        <v>125000</v>
      </c>
      <c r="K857" s="18">
        <f>VLOOKUP(E857,Katalog!$C$3:$F$13,3,0)</f>
        <v>50000</v>
      </c>
      <c r="L857" t="str">
        <f t="shared" si="474"/>
        <v>-</v>
      </c>
      <c r="M857" t="str">
        <f>IFERROR(INDEX(Katalog!$B$4:$B$13,MATCH('Main Data'!L857,Katalog!$C$4:$C$13,0)), "-")</f>
        <v>-</v>
      </c>
      <c r="N857" t="str">
        <f>IFERROR(VLOOKUP(L857,Katalog!$A$15:$B$25,2,0),"-")</f>
        <v>-</v>
      </c>
      <c r="O857">
        <f t="shared" si="475"/>
        <v>0</v>
      </c>
      <c r="P857" t="str">
        <f t="shared" si="476"/>
        <v>-</v>
      </c>
      <c r="Q857" s="18">
        <f>IFERROR(VLOOKUP(L857,Katalog!$C$3:$F$13,2,0),0)</f>
        <v>0</v>
      </c>
      <c r="R857" s="18">
        <f>IFERROR(VLOOKUP(L857,Katalog!$C$3:$F$13,3,0),0)</f>
        <v>0</v>
      </c>
      <c r="S857" t="str">
        <f t="shared" si="477"/>
        <v>-</v>
      </c>
      <c r="T857" t="str">
        <f>IFERROR(INDEX(Katalog!$B$4:$B$13,MATCH('Main Data'!S857,Katalog!$C$4:$C$13,0)),"-")</f>
        <v>-</v>
      </c>
      <c r="U857" t="str">
        <f>IFERROR(VLOOKUP(S857,Katalog!$A$15:$B$25,2,0),"-")</f>
        <v>-</v>
      </c>
      <c r="V857">
        <f t="shared" si="478"/>
        <v>0</v>
      </c>
      <c r="W857" s="28" t="str">
        <f t="shared" si="479"/>
        <v>-</v>
      </c>
      <c r="X857" s="18">
        <f>IFERROR(VLOOKUP(S857,Katalog!$C$3:$F$13,2,0),0)</f>
        <v>0</v>
      </c>
      <c r="Y857" s="30">
        <f>IFERROR(VLOOKUP(S857,Katalog!$C$3:$F$13,3,0),0)</f>
        <v>0</v>
      </c>
      <c r="Z857" s="2">
        <f t="shared" si="480"/>
        <v>2</v>
      </c>
      <c r="AA857" s="4">
        <f t="shared" si="481"/>
        <v>250000</v>
      </c>
      <c r="AB857" s="4">
        <f t="shared" si="482"/>
        <v>100000</v>
      </c>
      <c r="AC857" s="4" t="s">
        <v>7</v>
      </c>
      <c r="AD857" s="16">
        <f>IFERROR(VLOOKUP(AC857,'Kode Diskon'!$C$2:$D$9,2,0),0)</f>
        <v>0.2</v>
      </c>
      <c r="AE857" s="31">
        <f t="shared" si="483"/>
        <v>50000</v>
      </c>
      <c r="AF857" s="31">
        <f t="shared" si="484"/>
        <v>200000</v>
      </c>
      <c r="AG857" s="31">
        <f t="shared" si="485"/>
        <v>150000</v>
      </c>
      <c r="AH857" s="31">
        <f t="shared" si="486"/>
        <v>100000</v>
      </c>
      <c r="AI857" s="4" t="s">
        <v>8</v>
      </c>
      <c r="AJ857" s="4" t="s">
        <v>6</v>
      </c>
      <c r="AK857" s="4" t="str">
        <f>IFERROR(VLOOKUP(AJ857,'Guide '!$A$13:$B$16,2,0),"-")</f>
        <v>SP</v>
      </c>
      <c r="AL857" s="4" t="s">
        <v>925</v>
      </c>
      <c r="AM857" s="40">
        <v>45607</v>
      </c>
      <c r="AN857">
        <f t="shared" si="487"/>
        <v>29</v>
      </c>
      <c r="AO857">
        <f t="shared" si="488"/>
        <v>32</v>
      </c>
      <c r="AP857">
        <f t="shared" si="489"/>
        <v>40</v>
      </c>
      <c r="AQ857">
        <f t="shared" si="490"/>
        <v>43</v>
      </c>
      <c r="AR857" s="26" t="str">
        <f t="shared" si="491"/>
        <v>-</v>
      </c>
      <c r="AS857" s="26" t="str">
        <f t="shared" si="492"/>
        <v>-</v>
      </c>
      <c r="AT857" s="21">
        <f t="shared" si="493"/>
        <v>12</v>
      </c>
      <c r="AU857" s="21">
        <f t="shared" si="494"/>
        <v>19</v>
      </c>
      <c r="AV857" t="str">
        <f t="shared" si="495"/>
        <v>-</v>
      </c>
      <c r="AW857" t="str">
        <f t="shared" si="496"/>
        <v>-</v>
      </c>
      <c r="AX857" t="str">
        <f t="shared" si="497"/>
        <v>-</v>
      </c>
      <c r="AY857" t="str">
        <f t="shared" si="498"/>
        <v>-</v>
      </c>
      <c r="AZ857" t="str">
        <f t="shared" si="499"/>
        <v>-</v>
      </c>
      <c r="BA857" t="str">
        <f t="shared" si="500"/>
        <v>-</v>
      </c>
      <c r="BB857" t="str">
        <f t="shared" si="501"/>
        <v>-</v>
      </c>
      <c r="BC857" t="str">
        <f t="shared" si="502"/>
        <v>-</v>
      </c>
      <c r="BD857" s="29" t="str">
        <f t="shared" si="503"/>
        <v>-</v>
      </c>
      <c r="BE857" s="29" t="str">
        <f t="shared" si="504"/>
        <v>-</v>
      </c>
    </row>
    <row r="858" spans="1:57" ht="15" x14ac:dyDescent="0.2">
      <c r="A858" s="2">
        <v>483</v>
      </c>
      <c r="B858" s="2" t="str">
        <f t="shared" si="469"/>
        <v>0483</v>
      </c>
      <c r="C858" t="str">
        <f t="shared" si="470"/>
        <v>ORD-TK-0483-11/11/24</v>
      </c>
      <c r="D858" s="3" t="s">
        <v>517</v>
      </c>
      <c r="E858" t="str">
        <f t="shared" si="471"/>
        <v>PP001</v>
      </c>
      <c r="F858" t="str">
        <f>INDEX(Katalog!$B$4:$B$13,MATCH('Main Data'!E858,Katalog!$C$4:$C$13,0))</f>
        <v>Kaos Polo</v>
      </c>
      <c r="G858" t="str">
        <f>VLOOKUP(E858,Katalog!$A$15:$B$25,2,0)</f>
        <v>Pakaian Pria</v>
      </c>
      <c r="H858" t="str">
        <f t="shared" si="472"/>
        <v>3</v>
      </c>
      <c r="I858" t="str">
        <f t="shared" si="473"/>
        <v>5</v>
      </c>
      <c r="J858" s="18">
        <f>VLOOKUP(E858,Katalog!$C$3:$F$13,2,0)</f>
        <v>80000</v>
      </c>
      <c r="K858" s="18">
        <f>VLOOKUP(E858,Katalog!$C$3:$F$13,3,0)</f>
        <v>30000</v>
      </c>
      <c r="L858" t="str">
        <f t="shared" si="474"/>
        <v>PW003</v>
      </c>
      <c r="M858" t="str">
        <f>IFERROR(INDEX(Katalog!$B$4:$B$13,MATCH('Main Data'!L858,Katalog!$C$4:$C$13,0)), "-")</f>
        <v>Kaftan</v>
      </c>
      <c r="N858" t="str">
        <f>IFERROR(VLOOKUP(L858,Katalog!$A$15:$B$25,2,0),"-")</f>
        <v>Pakaian Wanita</v>
      </c>
      <c r="O858" t="str">
        <f t="shared" si="475"/>
        <v>4</v>
      </c>
      <c r="P858" t="str">
        <f t="shared" si="476"/>
        <v>1</v>
      </c>
      <c r="Q858" s="18">
        <f>IFERROR(VLOOKUP(L858,Katalog!$C$3:$F$13,2,0),0)</f>
        <v>200000</v>
      </c>
      <c r="R858" s="18">
        <f>IFERROR(VLOOKUP(L858,Katalog!$C$3:$F$13,3,0),0)</f>
        <v>100000</v>
      </c>
      <c r="S858" t="str">
        <f t="shared" si="477"/>
        <v>-</v>
      </c>
      <c r="T858" t="str">
        <f>IFERROR(INDEX(Katalog!$B$4:$B$13,MATCH('Main Data'!S858,Katalog!$C$4:$C$13,0)),"-")</f>
        <v>-</v>
      </c>
      <c r="U858" t="str">
        <f>IFERROR(VLOOKUP(S858,Katalog!$A$15:$B$25,2,0),"-")</f>
        <v>-</v>
      </c>
      <c r="V858">
        <f t="shared" si="478"/>
        <v>0</v>
      </c>
      <c r="W858" s="28" t="str">
        <f t="shared" si="479"/>
        <v>-</v>
      </c>
      <c r="X858" s="18">
        <f>IFERROR(VLOOKUP(S858,Katalog!$C$3:$F$13,2,0),0)</f>
        <v>0</v>
      </c>
      <c r="Y858" s="30">
        <f>IFERROR(VLOOKUP(S858,Katalog!$C$3:$F$13,3,0),0)</f>
        <v>0</v>
      </c>
      <c r="Z858" s="2">
        <f t="shared" si="480"/>
        <v>7</v>
      </c>
      <c r="AA858" s="4">
        <f t="shared" si="481"/>
        <v>1040000</v>
      </c>
      <c r="AB858" s="4">
        <f t="shared" si="482"/>
        <v>490000</v>
      </c>
      <c r="AC858" s="4" t="s">
        <v>29</v>
      </c>
      <c r="AD858" s="16">
        <f>IFERROR(VLOOKUP(AC858,'Kode Diskon'!$C$2:$D$9,2,0),0)</f>
        <v>0.1</v>
      </c>
      <c r="AE858" s="31">
        <f t="shared" si="483"/>
        <v>104000</v>
      </c>
      <c r="AF858" s="31">
        <f t="shared" si="484"/>
        <v>936000</v>
      </c>
      <c r="AG858" s="31">
        <f t="shared" si="485"/>
        <v>550000</v>
      </c>
      <c r="AH858" s="31">
        <f t="shared" si="486"/>
        <v>446000</v>
      </c>
      <c r="AI858" s="4" t="s">
        <v>28</v>
      </c>
      <c r="AJ858" s="4" t="s">
        <v>9</v>
      </c>
      <c r="AK858" s="4" t="str">
        <f>IFERROR(VLOOKUP(AJ858,'Guide '!$A$13:$B$16,2,0),"-")</f>
        <v>TK</v>
      </c>
      <c r="AL858" s="4" t="s">
        <v>925</v>
      </c>
      <c r="AM858" s="40">
        <v>45607</v>
      </c>
      <c r="AN858">
        <f t="shared" si="487"/>
        <v>29</v>
      </c>
      <c r="AO858">
        <f t="shared" si="488"/>
        <v>32</v>
      </c>
      <c r="AP858">
        <f t="shared" si="489"/>
        <v>40</v>
      </c>
      <c r="AQ858">
        <f t="shared" si="490"/>
        <v>43</v>
      </c>
      <c r="AR858" s="26">
        <f t="shared" si="491"/>
        <v>56</v>
      </c>
      <c r="AS858" s="26">
        <f t="shared" si="492"/>
        <v>63</v>
      </c>
      <c r="AT858" s="21">
        <f t="shared" si="493"/>
        <v>12</v>
      </c>
      <c r="AU858" s="21">
        <f t="shared" si="494"/>
        <v>19</v>
      </c>
      <c r="AV858">
        <f t="shared" si="495"/>
        <v>73</v>
      </c>
      <c r="AW858">
        <f t="shared" si="496"/>
        <v>76</v>
      </c>
      <c r="AX858">
        <f t="shared" si="497"/>
        <v>84</v>
      </c>
      <c r="AY858">
        <f t="shared" si="498"/>
        <v>87</v>
      </c>
      <c r="AZ858" t="str">
        <f t="shared" si="499"/>
        <v>-</v>
      </c>
      <c r="BA858" t="str">
        <f t="shared" si="500"/>
        <v>-</v>
      </c>
      <c r="BB858" t="str">
        <f t="shared" si="501"/>
        <v>-</v>
      </c>
      <c r="BC858" t="str">
        <f t="shared" si="502"/>
        <v>-</v>
      </c>
      <c r="BD858" s="29" t="str">
        <f t="shared" si="503"/>
        <v>-</v>
      </c>
      <c r="BE858" s="29" t="str">
        <f t="shared" si="504"/>
        <v>-</v>
      </c>
    </row>
    <row r="859" spans="1:57" ht="15" x14ac:dyDescent="0.2">
      <c r="A859" s="2">
        <v>544</v>
      </c>
      <c r="B859" s="2" t="str">
        <f t="shared" si="469"/>
        <v>0544</v>
      </c>
      <c r="C859" t="str">
        <f t="shared" si="470"/>
        <v>ORD-BL-0544-12/11/24</v>
      </c>
      <c r="D859" s="3" t="s">
        <v>568</v>
      </c>
      <c r="E859" t="str">
        <f t="shared" si="471"/>
        <v>PP003</v>
      </c>
      <c r="F859" t="str">
        <f>INDEX(Katalog!$B$4:$B$13,MATCH('Main Data'!E859,Katalog!$C$4:$C$13,0))</f>
        <v>Jaket Jeans</v>
      </c>
      <c r="G859" t="str">
        <f>VLOOKUP(E859,Katalog!$A$15:$B$25,2,0)</f>
        <v>Pakaian Pria</v>
      </c>
      <c r="H859" t="str">
        <f t="shared" si="472"/>
        <v>2</v>
      </c>
      <c r="I859" t="str">
        <f t="shared" si="473"/>
        <v>2</v>
      </c>
      <c r="J859" s="18">
        <f>VLOOKUP(E859,Katalog!$C$3:$F$13,2,0)</f>
        <v>150000</v>
      </c>
      <c r="K859" s="18">
        <f>VLOOKUP(E859,Katalog!$C$3:$F$13,3,0)</f>
        <v>70000</v>
      </c>
      <c r="L859" t="str">
        <f t="shared" si="474"/>
        <v>PP002</v>
      </c>
      <c r="M859" t="str">
        <f>IFERROR(INDEX(Katalog!$B$4:$B$13,MATCH('Main Data'!L859,Katalog!$C$4:$C$13,0)), "-")</f>
        <v>Celana Pendek</v>
      </c>
      <c r="N859" t="str">
        <f>IFERROR(VLOOKUP(L859,Katalog!$A$15:$B$25,2,0),"-")</f>
        <v>Pakaian Pria</v>
      </c>
      <c r="O859" t="str">
        <f t="shared" si="475"/>
        <v>1</v>
      </c>
      <c r="P859" t="str">
        <f t="shared" si="476"/>
        <v>3</v>
      </c>
      <c r="Q859" s="18">
        <f>IFERROR(VLOOKUP(L859,Katalog!$C$3:$F$13,2,0),0)</f>
        <v>60000</v>
      </c>
      <c r="R859" s="18">
        <f>IFERROR(VLOOKUP(L859,Katalog!$C$3:$F$13,3,0),0)</f>
        <v>25000</v>
      </c>
      <c r="S859" t="str">
        <f t="shared" si="477"/>
        <v>-</v>
      </c>
      <c r="T859" t="str">
        <f>IFERROR(INDEX(Katalog!$B$4:$B$13,MATCH('Main Data'!S859,Katalog!$C$4:$C$13,0)),"-")</f>
        <v>-</v>
      </c>
      <c r="U859" t="str">
        <f>IFERROR(VLOOKUP(S859,Katalog!$A$15:$B$25,2,0),"-")</f>
        <v>-</v>
      </c>
      <c r="V859">
        <f t="shared" si="478"/>
        <v>0</v>
      </c>
      <c r="W859" s="28" t="str">
        <f t="shared" si="479"/>
        <v>-</v>
      </c>
      <c r="X859" s="18">
        <f>IFERROR(VLOOKUP(S859,Katalog!$C$3:$F$13,2,0),0)</f>
        <v>0</v>
      </c>
      <c r="Y859" s="30">
        <f>IFERROR(VLOOKUP(S859,Katalog!$C$3:$F$13,3,0),0)</f>
        <v>0</v>
      </c>
      <c r="Z859" s="2">
        <f t="shared" si="480"/>
        <v>3</v>
      </c>
      <c r="AA859" s="4">
        <f t="shared" si="481"/>
        <v>360000</v>
      </c>
      <c r="AB859" s="4">
        <f t="shared" si="482"/>
        <v>165000</v>
      </c>
      <c r="AC859" s="4" t="s">
        <v>31</v>
      </c>
      <c r="AD859" s="16">
        <f>IFERROR(VLOOKUP(AC859,'Kode Diskon'!$C$2:$D$9,2,0),0)</f>
        <v>0.15</v>
      </c>
      <c r="AE859" s="31">
        <f t="shared" si="483"/>
        <v>54000</v>
      </c>
      <c r="AF859" s="31">
        <f t="shared" si="484"/>
        <v>306000</v>
      </c>
      <c r="AG859" s="31">
        <f t="shared" si="485"/>
        <v>195000</v>
      </c>
      <c r="AH859" s="31">
        <f t="shared" si="486"/>
        <v>141000</v>
      </c>
      <c r="AI859" s="4" t="s">
        <v>8</v>
      </c>
      <c r="AJ859" s="4" t="s">
        <v>11</v>
      </c>
      <c r="AK859" s="4" t="str">
        <f>IFERROR(VLOOKUP(AJ859,'Guide '!$A$13:$B$16,2,0),"-")</f>
        <v>BL</v>
      </c>
      <c r="AL859" s="4" t="s">
        <v>1006</v>
      </c>
      <c r="AM859" s="40">
        <v>45608</v>
      </c>
      <c r="AN859">
        <f t="shared" si="487"/>
        <v>29</v>
      </c>
      <c r="AO859">
        <f t="shared" si="488"/>
        <v>32</v>
      </c>
      <c r="AP859">
        <f t="shared" si="489"/>
        <v>40</v>
      </c>
      <c r="AQ859">
        <f t="shared" si="490"/>
        <v>43</v>
      </c>
      <c r="AR859" s="26">
        <f t="shared" si="491"/>
        <v>56</v>
      </c>
      <c r="AS859" s="26">
        <f t="shared" si="492"/>
        <v>63</v>
      </c>
      <c r="AT859" s="21">
        <f t="shared" si="493"/>
        <v>12</v>
      </c>
      <c r="AU859" s="21">
        <f t="shared" si="494"/>
        <v>19</v>
      </c>
      <c r="AV859">
        <f t="shared" si="495"/>
        <v>73</v>
      </c>
      <c r="AW859">
        <f t="shared" si="496"/>
        <v>76</v>
      </c>
      <c r="AX859">
        <f t="shared" si="497"/>
        <v>84</v>
      </c>
      <c r="AY859">
        <f t="shared" si="498"/>
        <v>87</v>
      </c>
      <c r="AZ859" t="str">
        <f t="shared" si="499"/>
        <v>-</v>
      </c>
      <c r="BA859" t="str">
        <f t="shared" si="500"/>
        <v>-</v>
      </c>
      <c r="BB859" t="str">
        <f t="shared" si="501"/>
        <v>-</v>
      </c>
      <c r="BC859" t="str">
        <f t="shared" si="502"/>
        <v>-</v>
      </c>
      <c r="BD859" s="29" t="str">
        <f t="shared" si="503"/>
        <v>-</v>
      </c>
      <c r="BE859" s="29" t="str">
        <f t="shared" si="504"/>
        <v>-</v>
      </c>
    </row>
    <row r="860" spans="1:57" ht="15" x14ac:dyDescent="0.2">
      <c r="A860" s="2">
        <v>808</v>
      </c>
      <c r="B860" s="2" t="str">
        <f t="shared" si="469"/>
        <v>0808</v>
      </c>
      <c r="C860" t="str">
        <f t="shared" si="470"/>
        <v>ORD-SP-0808-12/11/24</v>
      </c>
      <c r="D860" s="3" t="s">
        <v>772</v>
      </c>
      <c r="E860" t="str">
        <f t="shared" si="471"/>
        <v>PP002</v>
      </c>
      <c r="F860" t="str">
        <f>INDEX(Katalog!$B$4:$B$13,MATCH('Main Data'!E860,Katalog!$C$4:$C$13,0))</f>
        <v>Celana Pendek</v>
      </c>
      <c r="G860" t="str">
        <f>VLOOKUP(E860,Katalog!$A$15:$B$25,2,0)</f>
        <v>Pakaian Pria</v>
      </c>
      <c r="H860" t="str">
        <f t="shared" si="472"/>
        <v>1</v>
      </c>
      <c r="I860" t="str">
        <f t="shared" si="473"/>
        <v>1</v>
      </c>
      <c r="J860" s="18">
        <f>VLOOKUP(E860,Katalog!$C$3:$F$13,2,0)</f>
        <v>60000</v>
      </c>
      <c r="K860" s="18">
        <f>VLOOKUP(E860,Katalog!$C$3:$F$13,3,0)</f>
        <v>25000</v>
      </c>
      <c r="L860" t="str">
        <f t="shared" si="474"/>
        <v>SP002</v>
      </c>
      <c r="M860" t="str">
        <f>IFERROR(INDEX(Katalog!$B$4:$B$13,MATCH('Main Data'!L860,Katalog!$C$4:$C$13,0)), "-")</f>
        <v>Sandal Slip On</v>
      </c>
      <c r="N860" t="str">
        <f>IFERROR(VLOOKUP(L860,Katalog!$A$15:$B$25,2,0),"-")</f>
        <v>Sepatu Pria</v>
      </c>
      <c r="O860" t="str">
        <f t="shared" si="475"/>
        <v>1</v>
      </c>
      <c r="P860" t="str">
        <f t="shared" si="476"/>
        <v>1</v>
      </c>
      <c r="Q860" s="18">
        <f>IFERROR(VLOOKUP(L860,Katalog!$C$3:$F$13,2,0),0)</f>
        <v>120000</v>
      </c>
      <c r="R860" s="18">
        <f>IFERROR(VLOOKUP(L860,Katalog!$C$3:$F$13,3,0),0)</f>
        <v>60000</v>
      </c>
      <c r="S860" t="str">
        <f t="shared" si="477"/>
        <v>SP001</v>
      </c>
      <c r="T860" t="str">
        <f>IFERROR(INDEX(Katalog!$B$4:$B$13,MATCH('Main Data'!S860,Katalog!$C$4:$C$13,0)),"-")</f>
        <v>Sneakers</v>
      </c>
      <c r="U860" t="str">
        <f>IFERROR(VLOOKUP(S860,Katalog!$A$15:$B$25,2,0),"-")</f>
        <v>Sepatu Pria</v>
      </c>
      <c r="V860" t="str">
        <f t="shared" si="478"/>
        <v>1</v>
      </c>
      <c r="W860" s="28" t="str">
        <f t="shared" si="479"/>
        <v>1</v>
      </c>
      <c r="X860" s="18">
        <f>IFERROR(VLOOKUP(S860,Katalog!$C$3:$F$13,2,0),0)</f>
        <v>300000</v>
      </c>
      <c r="Y860" s="30">
        <f>IFERROR(VLOOKUP(S860,Katalog!$C$3:$F$13,3,0),0)</f>
        <v>100000</v>
      </c>
      <c r="Z860" s="2">
        <f t="shared" si="480"/>
        <v>3</v>
      </c>
      <c r="AA860" s="4">
        <f t="shared" si="481"/>
        <v>480000</v>
      </c>
      <c r="AB860" s="4">
        <f t="shared" si="482"/>
        <v>185000</v>
      </c>
      <c r="AC860" s="4" t="s">
        <v>5</v>
      </c>
      <c r="AD860" s="16">
        <f>IFERROR(VLOOKUP(AC860,'Kode Diskon'!$C$2:$D$9,2,0),0)</f>
        <v>0.1</v>
      </c>
      <c r="AE860" s="31">
        <f t="shared" si="483"/>
        <v>48000</v>
      </c>
      <c r="AF860" s="31">
        <f t="shared" si="484"/>
        <v>432000</v>
      </c>
      <c r="AG860" s="31">
        <f t="shared" si="485"/>
        <v>295000</v>
      </c>
      <c r="AH860" s="31">
        <f t="shared" si="486"/>
        <v>247000</v>
      </c>
      <c r="AI860" s="4" t="s">
        <v>28</v>
      </c>
      <c r="AJ860" s="4" t="s">
        <v>6</v>
      </c>
      <c r="AK860" s="4" t="str">
        <f>IFERROR(VLOOKUP(AJ860,'Guide '!$A$13:$B$16,2,0),"-")</f>
        <v>SP</v>
      </c>
      <c r="AL860" s="4" t="s">
        <v>925</v>
      </c>
      <c r="AM860" s="40">
        <v>45608</v>
      </c>
      <c r="AN860">
        <f t="shared" si="487"/>
        <v>29</v>
      </c>
      <c r="AO860">
        <f t="shared" si="488"/>
        <v>32</v>
      </c>
      <c r="AP860">
        <f t="shared" si="489"/>
        <v>40</v>
      </c>
      <c r="AQ860">
        <f t="shared" si="490"/>
        <v>43</v>
      </c>
      <c r="AR860" s="26">
        <f t="shared" si="491"/>
        <v>56</v>
      </c>
      <c r="AS860" s="26">
        <f t="shared" si="492"/>
        <v>63</v>
      </c>
      <c r="AT860" s="21">
        <f t="shared" si="493"/>
        <v>12</v>
      </c>
      <c r="AU860" s="21">
        <f t="shared" si="494"/>
        <v>19</v>
      </c>
      <c r="AV860">
        <f t="shared" si="495"/>
        <v>73</v>
      </c>
      <c r="AW860">
        <f t="shared" si="496"/>
        <v>76</v>
      </c>
      <c r="AX860">
        <f t="shared" si="497"/>
        <v>84</v>
      </c>
      <c r="AY860">
        <f t="shared" si="498"/>
        <v>87</v>
      </c>
      <c r="AZ860">
        <f t="shared" si="499"/>
        <v>100</v>
      </c>
      <c r="BA860">
        <f t="shared" si="500"/>
        <v>107</v>
      </c>
      <c r="BB860">
        <f t="shared" si="501"/>
        <v>117</v>
      </c>
      <c r="BC860">
        <f t="shared" si="502"/>
        <v>120</v>
      </c>
      <c r="BD860" s="29">
        <f t="shared" si="503"/>
        <v>128</v>
      </c>
      <c r="BE860" s="29">
        <f t="shared" si="504"/>
        <v>131</v>
      </c>
    </row>
    <row r="861" spans="1:57" ht="15" x14ac:dyDescent="0.2">
      <c r="A861" s="2">
        <v>62</v>
      </c>
      <c r="B861" s="2" t="str">
        <f t="shared" si="469"/>
        <v>0062</v>
      </c>
      <c r="C861" t="str">
        <f t="shared" si="470"/>
        <v>ORD-BL-0062-13/11/24</v>
      </c>
      <c r="D861" s="3" t="s">
        <v>136</v>
      </c>
      <c r="E861" t="str">
        <f t="shared" si="471"/>
        <v>PU001</v>
      </c>
      <c r="F861" t="str">
        <f>INDEX(Katalog!$B$4:$B$13,MATCH('Main Data'!E861,Katalog!$C$4:$C$13,0))</f>
        <v>Jaket Hoodie</v>
      </c>
      <c r="G861" t="str">
        <f>VLOOKUP(E861,Katalog!$A$15:$B$25,2,0)</f>
        <v>Pakaian Unisex</v>
      </c>
      <c r="H861" t="str">
        <f t="shared" si="472"/>
        <v>1</v>
      </c>
      <c r="I861" t="str">
        <f t="shared" si="473"/>
        <v>4</v>
      </c>
      <c r="J861" s="18">
        <f>VLOOKUP(E861,Katalog!$C$3:$F$13,2,0)</f>
        <v>160000</v>
      </c>
      <c r="K861" s="18">
        <f>VLOOKUP(E861,Katalog!$C$3:$F$13,3,0)</f>
        <v>60000</v>
      </c>
      <c r="L861" t="str">
        <f t="shared" si="474"/>
        <v>PW003</v>
      </c>
      <c r="M861" t="str">
        <f>IFERROR(INDEX(Katalog!$B$4:$B$13,MATCH('Main Data'!L861,Katalog!$C$4:$C$13,0)), "-")</f>
        <v>Kaftan</v>
      </c>
      <c r="N861" t="str">
        <f>IFERROR(VLOOKUP(L861,Katalog!$A$15:$B$25,2,0),"-")</f>
        <v>Pakaian Wanita</v>
      </c>
      <c r="O861" t="str">
        <f t="shared" si="475"/>
        <v>1</v>
      </c>
      <c r="P861" t="str">
        <f t="shared" si="476"/>
        <v>2</v>
      </c>
      <c r="Q861" s="18">
        <f>IFERROR(VLOOKUP(L861,Katalog!$C$3:$F$13,2,0),0)</f>
        <v>200000</v>
      </c>
      <c r="R861" s="18">
        <f>IFERROR(VLOOKUP(L861,Katalog!$C$3:$F$13,3,0),0)</f>
        <v>100000</v>
      </c>
      <c r="S861" t="str">
        <f t="shared" si="477"/>
        <v>PP002</v>
      </c>
      <c r="T861" t="str">
        <f>IFERROR(INDEX(Katalog!$B$4:$B$13,MATCH('Main Data'!S861,Katalog!$C$4:$C$13,0)),"-")</f>
        <v>Celana Pendek</v>
      </c>
      <c r="U861" t="str">
        <f>IFERROR(VLOOKUP(S861,Katalog!$A$15:$B$25,2,0),"-")</f>
        <v>Pakaian Pria</v>
      </c>
      <c r="V861" t="str">
        <f t="shared" si="478"/>
        <v>3</v>
      </c>
      <c r="W861" s="28" t="str">
        <f t="shared" si="479"/>
        <v>5</v>
      </c>
      <c r="X861" s="18">
        <f>IFERROR(VLOOKUP(S861,Katalog!$C$3:$F$13,2,0),0)</f>
        <v>60000</v>
      </c>
      <c r="Y861" s="30">
        <f>IFERROR(VLOOKUP(S861,Katalog!$C$3:$F$13,3,0),0)</f>
        <v>25000</v>
      </c>
      <c r="Z861" s="2">
        <f t="shared" si="480"/>
        <v>5</v>
      </c>
      <c r="AA861" s="4">
        <f t="shared" si="481"/>
        <v>540000</v>
      </c>
      <c r="AB861" s="4">
        <f t="shared" si="482"/>
        <v>235000</v>
      </c>
      <c r="AC861" s="4" t="s">
        <v>10</v>
      </c>
      <c r="AD861" s="16">
        <f>IFERROR(VLOOKUP(AC861,'Kode Diskon'!$C$2:$D$9,2,0),0)</f>
        <v>0</v>
      </c>
      <c r="AE861" s="31">
        <f t="shared" si="483"/>
        <v>0</v>
      </c>
      <c r="AF861" s="31">
        <f t="shared" si="484"/>
        <v>540000</v>
      </c>
      <c r="AG861" s="31">
        <f t="shared" si="485"/>
        <v>305000</v>
      </c>
      <c r="AH861" s="31">
        <f t="shared" si="486"/>
        <v>305000</v>
      </c>
      <c r="AI861" s="4" t="s">
        <v>10</v>
      </c>
      <c r="AJ861" s="4" t="s">
        <v>11</v>
      </c>
      <c r="AK861" s="4" t="str">
        <f>IFERROR(VLOOKUP(AJ861,'Guide '!$A$13:$B$16,2,0),"-")</f>
        <v>BL</v>
      </c>
      <c r="AL861" s="4" t="s">
        <v>924</v>
      </c>
      <c r="AM861" s="40">
        <v>45609</v>
      </c>
      <c r="AN861">
        <f t="shared" si="487"/>
        <v>29</v>
      </c>
      <c r="AO861">
        <f t="shared" si="488"/>
        <v>32</v>
      </c>
      <c r="AP861">
        <f t="shared" si="489"/>
        <v>40</v>
      </c>
      <c r="AQ861">
        <f t="shared" si="490"/>
        <v>43</v>
      </c>
      <c r="AR861" s="26">
        <f t="shared" si="491"/>
        <v>56</v>
      </c>
      <c r="AS861" s="26">
        <f t="shared" si="492"/>
        <v>63</v>
      </c>
      <c r="AT861" s="21">
        <f t="shared" si="493"/>
        <v>12</v>
      </c>
      <c r="AU861" s="21">
        <f t="shared" si="494"/>
        <v>19</v>
      </c>
      <c r="AV861">
        <f t="shared" si="495"/>
        <v>73</v>
      </c>
      <c r="AW861">
        <f t="shared" si="496"/>
        <v>76</v>
      </c>
      <c r="AX861">
        <f t="shared" si="497"/>
        <v>84</v>
      </c>
      <c r="AY861">
        <f t="shared" si="498"/>
        <v>87</v>
      </c>
      <c r="AZ861">
        <f t="shared" si="499"/>
        <v>100</v>
      </c>
      <c r="BA861">
        <f t="shared" si="500"/>
        <v>107</v>
      </c>
      <c r="BB861">
        <f t="shared" si="501"/>
        <v>117</v>
      </c>
      <c r="BC861">
        <f t="shared" si="502"/>
        <v>120</v>
      </c>
      <c r="BD861" s="29">
        <f t="shared" si="503"/>
        <v>128</v>
      </c>
      <c r="BE861" s="29">
        <f t="shared" si="504"/>
        <v>131</v>
      </c>
    </row>
    <row r="862" spans="1:57" ht="15" x14ac:dyDescent="0.2">
      <c r="A862" s="2">
        <v>372</v>
      </c>
      <c r="B862" s="2" t="str">
        <f t="shared" si="469"/>
        <v>0372</v>
      </c>
      <c r="C862" t="str">
        <f t="shared" si="470"/>
        <v>ORD-BB-0372-13/11/24</v>
      </c>
      <c r="D862" s="3" t="s">
        <v>422</v>
      </c>
      <c r="E862" t="str">
        <f t="shared" si="471"/>
        <v>SP002</v>
      </c>
      <c r="F862" t="str">
        <f>INDEX(Katalog!$B$4:$B$13,MATCH('Main Data'!E862,Katalog!$C$4:$C$13,0))</f>
        <v>Sandal Slip On</v>
      </c>
      <c r="G862" t="str">
        <f>VLOOKUP(E862,Katalog!$A$15:$B$25,2,0)</f>
        <v>Sepatu Pria</v>
      </c>
      <c r="H862" t="str">
        <f t="shared" si="472"/>
        <v>2</v>
      </c>
      <c r="I862" t="str">
        <f t="shared" si="473"/>
        <v>3</v>
      </c>
      <c r="J862" s="18">
        <f>VLOOKUP(E862,Katalog!$C$3:$F$13,2,0)</f>
        <v>120000</v>
      </c>
      <c r="K862" s="18">
        <f>VLOOKUP(E862,Katalog!$C$3:$F$13,3,0)</f>
        <v>60000</v>
      </c>
      <c r="L862" t="str">
        <f t="shared" si="474"/>
        <v>PW002</v>
      </c>
      <c r="M862" t="str">
        <f>IFERROR(INDEX(Katalog!$B$4:$B$13,MATCH('Main Data'!L862,Katalog!$C$4:$C$13,0)), "-")</f>
        <v>Blouse</v>
      </c>
      <c r="N862" t="str">
        <f>IFERROR(VLOOKUP(L862,Katalog!$A$15:$B$25,2,0),"-")</f>
        <v>Pakaian Wanita</v>
      </c>
      <c r="O862" t="str">
        <f t="shared" si="475"/>
        <v>1</v>
      </c>
      <c r="P862" t="str">
        <f t="shared" si="476"/>
        <v>4</v>
      </c>
      <c r="Q862" s="18">
        <f>IFERROR(VLOOKUP(L862,Katalog!$C$3:$F$13,2,0),0)</f>
        <v>125000</v>
      </c>
      <c r="R862" s="18">
        <f>IFERROR(VLOOKUP(L862,Katalog!$C$3:$F$13,3,0),0)</f>
        <v>50000</v>
      </c>
      <c r="S862" t="str">
        <f t="shared" si="477"/>
        <v>PW001</v>
      </c>
      <c r="T862" t="str">
        <f>IFERROR(INDEX(Katalog!$B$4:$B$13,MATCH('Main Data'!S862,Katalog!$C$4:$C$13,0)),"-")</f>
        <v>Dress</v>
      </c>
      <c r="U862" t="str">
        <f>IFERROR(VLOOKUP(S862,Katalog!$A$15:$B$25,2,0),"-")</f>
        <v>Pakaian Wanita</v>
      </c>
      <c r="V862" t="str">
        <f t="shared" si="478"/>
        <v>1</v>
      </c>
      <c r="W862" s="28" t="str">
        <f t="shared" si="479"/>
        <v>3</v>
      </c>
      <c r="X862" s="18">
        <f>IFERROR(VLOOKUP(S862,Katalog!$C$3:$F$13,2,0),0)</f>
        <v>150000</v>
      </c>
      <c r="Y862" s="30">
        <f>IFERROR(VLOOKUP(S862,Katalog!$C$3:$F$13,3,0),0)</f>
        <v>55000</v>
      </c>
      <c r="Z862" s="2">
        <f t="shared" si="480"/>
        <v>4</v>
      </c>
      <c r="AA862" s="4">
        <f t="shared" si="481"/>
        <v>515000</v>
      </c>
      <c r="AB862" s="4">
        <f t="shared" si="482"/>
        <v>225000</v>
      </c>
      <c r="AC862" s="4" t="s">
        <v>27</v>
      </c>
      <c r="AD862" s="16">
        <f>IFERROR(VLOOKUP(AC862,'Kode Diskon'!$C$2:$D$9,2,0),0)</f>
        <v>0.15</v>
      </c>
      <c r="AE862" s="31">
        <f t="shared" si="483"/>
        <v>77250</v>
      </c>
      <c r="AF862" s="31">
        <f t="shared" si="484"/>
        <v>437750</v>
      </c>
      <c r="AG862" s="31">
        <f t="shared" si="485"/>
        <v>290000</v>
      </c>
      <c r="AH862" s="31">
        <f t="shared" si="486"/>
        <v>212750</v>
      </c>
      <c r="AI862" s="4" t="s">
        <v>28</v>
      </c>
      <c r="AJ862" s="4" t="s">
        <v>13</v>
      </c>
      <c r="AK862" s="4" t="str">
        <f>IFERROR(VLOOKUP(AJ862,'Guide '!$A$13:$B$16,2,0),"-")</f>
        <v>BB</v>
      </c>
      <c r="AL862" s="4" t="s">
        <v>921</v>
      </c>
      <c r="AM862" s="40">
        <v>45609</v>
      </c>
      <c r="AN862">
        <f t="shared" si="487"/>
        <v>29</v>
      </c>
      <c r="AO862">
        <f t="shared" si="488"/>
        <v>32</v>
      </c>
      <c r="AP862">
        <f t="shared" si="489"/>
        <v>40</v>
      </c>
      <c r="AQ862">
        <f t="shared" si="490"/>
        <v>43</v>
      </c>
      <c r="AR862" s="26">
        <f t="shared" si="491"/>
        <v>56</v>
      </c>
      <c r="AS862" s="26">
        <f t="shared" si="492"/>
        <v>63</v>
      </c>
      <c r="AT862" s="21">
        <f t="shared" si="493"/>
        <v>12</v>
      </c>
      <c r="AU862" s="21">
        <f t="shared" si="494"/>
        <v>19</v>
      </c>
      <c r="AV862">
        <f t="shared" si="495"/>
        <v>73</v>
      </c>
      <c r="AW862">
        <f t="shared" si="496"/>
        <v>76</v>
      </c>
      <c r="AX862">
        <f t="shared" si="497"/>
        <v>84</v>
      </c>
      <c r="AY862">
        <f t="shared" si="498"/>
        <v>87</v>
      </c>
      <c r="AZ862">
        <f t="shared" si="499"/>
        <v>100</v>
      </c>
      <c r="BA862">
        <f t="shared" si="500"/>
        <v>107</v>
      </c>
      <c r="BB862">
        <f t="shared" si="501"/>
        <v>117</v>
      </c>
      <c r="BC862">
        <f t="shared" si="502"/>
        <v>120</v>
      </c>
      <c r="BD862" s="29">
        <f t="shared" si="503"/>
        <v>128</v>
      </c>
      <c r="BE862" s="29">
        <f t="shared" si="504"/>
        <v>131</v>
      </c>
    </row>
    <row r="863" spans="1:57" ht="15" x14ac:dyDescent="0.2">
      <c r="A863" s="2">
        <v>268</v>
      </c>
      <c r="B863" s="2" t="str">
        <f t="shared" si="469"/>
        <v>0268</v>
      </c>
      <c r="C863" t="str">
        <f t="shared" si="470"/>
        <v>ORD-BL-0268-14/11/24</v>
      </c>
      <c r="D863" s="3" t="s">
        <v>330</v>
      </c>
      <c r="E863" t="str">
        <f t="shared" si="471"/>
        <v>SP002</v>
      </c>
      <c r="F863" t="str">
        <f>INDEX(Katalog!$B$4:$B$13,MATCH('Main Data'!E863,Katalog!$C$4:$C$13,0))</f>
        <v>Sandal Slip On</v>
      </c>
      <c r="G863" t="str">
        <f>VLOOKUP(E863,Katalog!$A$15:$B$25,2,0)</f>
        <v>Sepatu Pria</v>
      </c>
      <c r="H863" t="str">
        <f t="shared" si="472"/>
        <v>2</v>
      </c>
      <c r="I863" t="str">
        <f t="shared" si="473"/>
        <v>2</v>
      </c>
      <c r="J863" s="18">
        <f>VLOOKUP(E863,Katalog!$C$3:$F$13,2,0)</f>
        <v>120000</v>
      </c>
      <c r="K863" s="18">
        <f>VLOOKUP(E863,Katalog!$C$3:$F$13,3,0)</f>
        <v>60000</v>
      </c>
      <c r="L863" t="str">
        <f t="shared" si="474"/>
        <v>PU001</v>
      </c>
      <c r="M863" t="str">
        <f>IFERROR(INDEX(Katalog!$B$4:$B$13,MATCH('Main Data'!L863,Katalog!$C$4:$C$13,0)), "-")</f>
        <v>Jaket Hoodie</v>
      </c>
      <c r="N863" t="str">
        <f>IFERROR(VLOOKUP(L863,Katalog!$A$15:$B$25,2,0),"-")</f>
        <v>Pakaian Unisex</v>
      </c>
      <c r="O863" t="str">
        <f t="shared" si="475"/>
        <v>1</v>
      </c>
      <c r="P863" t="str">
        <f t="shared" si="476"/>
        <v>5</v>
      </c>
      <c r="Q863" s="18">
        <f>IFERROR(VLOOKUP(L863,Katalog!$C$3:$F$13,2,0),0)</f>
        <v>160000</v>
      </c>
      <c r="R863" s="18">
        <f>IFERROR(VLOOKUP(L863,Katalog!$C$3:$F$13,3,0),0)</f>
        <v>60000</v>
      </c>
      <c r="S863" t="str">
        <f t="shared" si="477"/>
        <v>SP001</v>
      </c>
      <c r="T863" t="str">
        <f>IFERROR(INDEX(Katalog!$B$4:$B$13,MATCH('Main Data'!S863,Katalog!$C$4:$C$13,0)),"-")</f>
        <v>Sneakers</v>
      </c>
      <c r="U863" t="str">
        <f>IFERROR(VLOOKUP(S863,Katalog!$A$15:$B$25,2,0),"-")</f>
        <v>Sepatu Pria</v>
      </c>
      <c r="V863" t="str">
        <f t="shared" si="478"/>
        <v>4</v>
      </c>
      <c r="W863" s="28" t="str">
        <f t="shared" si="479"/>
        <v>1</v>
      </c>
      <c r="X863" s="18">
        <f>IFERROR(VLOOKUP(S863,Katalog!$C$3:$F$13,2,0),0)</f>
        <v>300000</v>
      </c>
      <c r="Y863" s="30">
        <f>IFERROR(VLOOKUP(S863,Katalog!$C$3:$F$13,3,0),0)</f>
        <v>100000</v>
      </c>
      <c r="Z863" s="2">
        <f t="shared" si="480"/>
        <v>7</v>
      </c>
      <c r="AA863" s="4">
        <f t="shared" si="481"/>
        <v>1600000</v>
      </c>
      <c r="AB863" s="4">
        <f t="shared" si="482"/>
        <v>580000</v>
      </c>
      <c r="AC863" s="4" t="s">
        <v>31</v>
      </c>
      <c r="AD863" s="16">
        <f>IFERROR(VLOOKUP(AC863,'Kode Diskon'!$C$2:$D$9,2,0),0)</f>
        <v>0.15</v>
      </c>
      <c r="AE863" s="31">
        <f t="shared" si="483"/>
        <v>240000</v>
      </c>
      <c r="AF863" s="31">
        <f t="shared" si="484"/>
        <v>1360000</v>
      </c>
      <c r="AG863" s="31">
        <f t="shared" si="485"/>
        <v>1020000</v>
      </c>
      <c r="AH863" s="31">
        <f t="shared" si="486"/>
        <v>780000</v>
      </c>
      <c r="AI863" s="4" t="s">
        <v>8</v>
      </c>
      <c r="AJ863" s="4" t="s">
        <v>11</v>
      </c>
      <c r="AK863" s="4" t="str">
        <f>IFERROR(VLOOKUP(AJ863,'Guide '!$A$13:$B$16,2,0),"-")</f>
        <v>BL</v>
      </c>
      <c r="AL863" s="4" t="s">
        <v>925</v>
      </c>
      <c r="AM863" s="40">
        <v>45610</v>
      </c>
      <c r="AN863">
        <f t="shared" si="487"/>
        <v>29</v>
      </c>
      <c r="AO863">
        <f t="shared" si="488"/>
        <v>32</v>
      </c>
      <c r="AP863">
        <f t="shared" si="489"/>
        <v>40</v>
      </c>
      <c r="AQ863">
        <f t="shared" si="490"/>
        <v>43</v>
      </c>
      <c r="AR863" s="26">
        <f t="shared" si="491"/>
        <v>56</v>
      </c>
      <c r="AS863" s="26">
        <f t="shared" si="492"/>
        <v>63</v>
      </c>
      <c r="AT863" s="21">
        <f t="shared" si="493"/>
        <v>12</v>
      </c>
      <c r="AU863" s="21">
        <f t="shared" si="494"/>
        <v>19</v>
      </c>
      <c r="AV863">
        <f t="shared" si="495"/>
        <v>73</v>
      </c>
      <c r="AW863">
        <f t="shared" si="496"/>
        <v>76</v>
      </c>
      <c r="AX863">
        <f t="shared" si="497"/>
        <v>84</v>
      </c>
      <c r="AY863">
        <f t="shared" si="498"/>
        <v>87</v>
      </c>
      <c r="AZ863">
        <f t="shared" si="499"/>
        <v>100</v>
      </c>
      <c r="BA863">
        <f t="shared" si="500"/>
        <v>107</v>
      </c>
      <c r="BB863">
        <f t="shared" si="501"/>
        <v>117</v>
      </c>
      <c r="BC863">
        <f t="shared" si="502"/>
        <v>120</v>
      </c>
      <c r="BD863" s="29">
        <f t="shared" si="503"/>
        <v>128</v>
      </c>
      <c r="BE863" s="29">
        <f t="shared" si="504"/>
        <v>131</v>
      </c>
    </row>
    <row r="864" spans="1:57" ht="15" x14ac:dyDescent="0.2">
      <c r="A864" s="2">
        <v>790</v>
      </c>
      <c r="B864" s="2" t="str">
        <f t="shared" si="469"/>
        <v>0790</v>
      </c>
      <c r="C864" t="str">
        <f t="shared" si="470"/>
        <v>ORD-BL-0790-14/11/24</v>
      </c>
      <c r="D864" s="3" t="s">
        <v>760</v>
      </c>
      <c r="E864" t="str">
        <f t="shared" si="471"/>
        <v>PP002</v>
      </c>
      <c r="F864" t="str">
        <f>INDEX(Katalog!$B$4:$B$13,MATCH('Main Data'!E864,Katalog!$C$4:$C$13,0))</f>
        <v>Celana Pendek</v>
      </c>
      <c r="G864" t="str">
        <f>VLOOKUP(E864,Katalog!$A$15:$B$25,2,0)</f>
        <v>Pakaian Pria</v>
      </c>
      <c r="H864" t="str">
        <f t="shared" si="472"/>
        <v>2</v>
      </c>
      <c r="I864" t="str">
        <f t="shared" si="473"/>
        <v>5</v>
      </c>
      <c r="J864" s="18">
        <f>VLOOKUP(E864,Katalog!$C$3:$F$13,2,0)</f>
        <v>60000</v>
      </c>
      <c r="K864" s="18">
        <f>VLOOKUP(E864,Katalog!$C$3:$F$13,3,0)</f>
        <v>25000</v>
      </c>
      <c r="L864" t="str">
        <f t="shared" si="474"/>
        <v>SP002</v>
      </c>
      <c r="M864" t="str">
        <f>IFERROR(INDEX(Katalog!$B$4:$B$13,MATCH('Main Data'!L864,Katalog!$C$4:$C$13,0)), "-")</f>
        <v>Sandal Slip On</v>
      </c>
      <c r="N864" t="str">
        <f>IFERROR(VLOOKUP(L864,Katalog!$A$15:$B$25,2,0),"-")</f>
        <v>Sepatu Pria</v>
      </c>
      <c r="O864" t="str">
        <f t="shared" si="475"/>
        <v>4</v>
      </c>
      <c r="P864" t="str">
        <f t="shared" si="476"/>
        <v>1</v>
      </c>
      <c r="Q864" s="18">
        <f>IFERROR(VLOOKUP(L864,Katalog!$C$3:$F$13,2,0),0)</f>
        <v>120000</v>
      </c>
      <c r="R864" s="18">
        <f>IFERROR(VLOOKUP(L864,Katalog!$C$3:$F$13,3,0),0)</f>
        <v>60000</v>
      </c>
      <c r="S864" t="str">
        <f t="shared" si="477"/>
        <v>-</v>
      </c>
      <c r="T864" t="str">
        <f>IFERROR(INDEX(Katalog!$B$4:$B$13,MATCH('Main Data'!S864,Katalog!$C$4:$C$13,0)),"-")</f>
        <v>-</v>
      </c>
      <c r="U864" t="str">
        <f>IFERROR(VLOOKUP(S864,Katalog!$A$15:$B$25,2,0),"-")</f>
        <v>-</v>
      </c>
      <c r="V864">
        <f t="shared" si="478"/>
        <v>0</v>
      </c>
      <c r="W864" s="28" t="str">
        <f t="shared" si="479"/>
        <v>-</v>
      </c>
      <c r="X864" s="18">
        <f>IFERROR(VLOOKUP(S864,Katalog!$C$3:$F$13,2,0),0)</f>
        <v>0</v>
      </c>
      <c r="Y864" s="30">
        <f>IFERROR(VLOOKUP(S864,Katalog!$C$3:$F$13,3,0),0)</f>
        <v>0</v>
      </c>
      <c r="Z864" s="2">
        <f t="shared" si="480"/>
        <v>6</v>
      </c>
      <c r="AA864" s="4">
        <f t="shared" si="481"/>
        <v>600000</v>
      </c>
      <c r="AB864" s="4">
        <f t="shared" si="482"/>
        <v>290000</v>
      </c>
      <c r="AC864" s="4" t="s">
        <v>31</v>
      </c>
      <c r="AD864" s="16">
        <f>IFERROR(VLOOKUP(AC864,'Kode Diskon'!$C$2:$D$9,2,0),0)</f>
        <v>0.15</v>
      </c>
      <c r="AE864" s="31">
        <f t="shared" si="483"/>
        <v>90000</v>
      </c>
      <c r="AF864" s="31">
        <f t="shared" si="484"/>
        <v>510000</v>
      </c>
      <c r="AG864" s="31">
        <f t="shared" si="485"/>
        <v>310000</v>
      </c>
      <c r="AH864" s="31">
        <f t="shared" si="486"/>
        <v>220000</v>
      </c>
      <c r="AI864" s="4" t="s">
        <v>8</v>
      </c>
      <c r="AJ864" s="4" t="s">
        <v>11</v>
      </c>
      <c r="AK864" s="4" t="str">
        <f>IFERROR(VLOOKUP(AJ864,'Guide '!$A$13:$B$16,2,0),"-")</f>
        <v>BL</v>
      </c>
      <c r="AL864" s="4" t="s">
        <v>925</v>
      </c>
      <c r="AM864" s="40">
        <v>45610</v>
      </c>
      <c r="AN864">
        <f t="shared" si="487"/>
        <v>29</v>
      </c>
      <c r="AO864">
        <f t="shared" si="488"/>
        <v>32</v>
      </c>
      <c r="AP864">
        <f t="shared" si="489"/>
        <v>40</v>
      </c>
      <c r="AQ864">
        <f t="shared" si="490"/>
        <v>43</v>
      </c>
      <c r="AR864" s="26">
        <f t="shared" si="491"/>
        <v>56</v>
      </c>
      <c r="AS864" s="26">
        <f t="shared" si="492"/>
        <v>63</v>
      </c>
      <c r="AT864" s="21">
        <f t="shared" si="493"/>
        <v>12</v>
      </c>
      <c r="AU864" s="21">
        <f t="shared" si="494"/>
        <v>19</v>
      </c>
      <c r="AV864">
        <f t="shared" si="495"/>
        <v>73</v>
      </c>
      <c r="AW864">
        <f t="shared" si="496"/>
        <v>76</v>
      </c>
      <c r="AX864">
        <f t="shared" si="497"/>
        <v>84</v>
      </c>
      <c r="AY864">
        <f t="shared" si="498"/>
        <v>87</v>
      </c>
      <c r="AZ864" t="str">
        <f t="shared" si="499"/>
        <v>-</v>
      </c>
      <c r="BA864" t="str">
        <f t="shared" si="500"/>
        <v>-</v>
      </c>
      <c r="BB864" t="str">
        <f t="shared" si="501"/>
        <v>-</v>
      </c>
      <c r="BC864" t="str">
        <f t="shared" si="502"/>
        <v>-</v>
      </c>
      <c r="BD864" s="29" t="str">
        <f t="shared" si="503"/>
        <v>-</v>
      </c>
      <c r="BE864" s="29" t="str">
        <f t="shared" si="504"/>
        <v>-</v>
      </c>
    </row>
    <row r="865" spans="1:57" ht="15" x14ac:dyDescent="0.2">
      <c r="A865" s="2">
        <v>119</v>
      </c>
      <c r="B865" s="2" t="str">
        <f t="shared" si="469"/>
        <v>0119</v>
      </c>
      <c r="C865" t="str">
        <f t="shared" si="470"/>
        <v>ORD-SP-0119-15/11/24</v>
      </c>
      <c r="D865" s="3" t="s">
        <v>190</v>
      </c>
      <c r="E865" t="str">
        <f t="shared" si="471"/>
        <v>PW001</v>
      </c>
      <c r="F865" t="str">
        <f>INDEX(Katalog!$B$4:$B$13,MATCH('Main Data'!E865,Katalog!$C$4:$C$13,0))</f>
        <v>Dress</v>
      </c>
      <c r="G865" t="str">
        <f>VLOOKUP(E865,Katalog!$A$15:$B$25,2,0)</f>
        <v>Pakaian Wanita</v>
      </c>
      <c r="H865" t="str">
        <f t="shared" si="472"/>
        <v>5</v>
      </c>
      <c r="I865" t="str">
        <f t="shared" si="473"/>
        <v>4</v>
      </c>
      <c r="J865" s="18">
        <f>VLOOKUP(E865,Katalog!$C$3:$F$13,2,0)</f>
        <v>150000</v>
      </c>
      <c r="K865" s="18">
        <f>VLOOKUP(E865,Katalog!$C$3:$F$13,3,0)</f>
        <v>55000</v>
      </c>
      <c r="L865" t="str">
        <f t="shared" si="474"/>
        <v>-</v>
      </c>
      <c r="M865" t="str">
        <f>IFERROR(INDEX(Katalog!$B$4:$B$13,MATCH('Main Data'!L865,Katalog!$C$4:$C$13,0)), "-")</f>
        <v>-</v>
      </c>
      <c r="N865" t="str">
        <f>IFERROR(VLOOKUP(L865,Katalog!$A$15:$B$25,2,0),"-")</f>
        <v>-</v>
      </c>
      <c r="O865">
        <f t="shared" si="475"/>
        <v>0</v>
      </c>
      <c r="P865" t="str">
        <f t="shared" si="476"/>
        <v>-</v>
      </c>
      <c r="Q865" s="18">
        <f>IFERROR(VLOOKUP(L865,Katalog!$C$3:$F$13,2,0),0)</f>
        <v>0</v>
      </c>
      <c r="R865" s="18">
        <f>IFERROR(VLOOKUP(L865,Katalog!$C$3:$F$13,3,0),0)</f>
        <v>0</v>
      </c>
      <c r="S865" t="str">
        <f t="shared" si="477"/>
        <v>-</v>
      </c>
      <c r="T865" t="str">
        <f>IFERROR(INDEX(Katalog!$B$4:$B$13,MATCH('Main Data'!S865,Katalog!$C$4:$C$13,0)),"-")</f>
        <v>-</v>
      </c>
      <c r="U865" t="str">
        <f>IFERROR(VLOOKUP(S865,Katalog!$A$15:$B$25,2,0),"-")</f>
        <v>-</v>
      </c>
      <c r="V865">
        <f t="shared" si="478"/>
        <v>0</v>
      </c>
      <c r="W865" s="28" t="str">
        <f t="shared" si="479"/>
        <v>-</v>
      </c>
      <c r="X865" s="18">
        <f>IFERROR(VLOOKUP(S865,Katalog!$C$3:$F$13,2,0),0)</f>
        <v>0</v>
      </c>
      <c r="Y865" s="30">
        <f>IFERROR(VLOOKUP(S865,Katalog!$C$3:$F$13,3,0),0)</f>
        <v>0</v>
      </c>
      <c r="Z865" s="2">
        <f t="shared" si="480"/>
        <v>5</v>
      </c>
      <c r="AA865" s="4">
        <f t="shared" si="481"/>
        <v>750000</v>
      </c>
      <c r="AB865" s="4">
        <f t="shared" si="482"/>
        <v>275000</v>
      </c>
      <c r="AC865" s="4" t="s">
        <v>12</v>
      </c>
      <c r="AD865" s="16">
        <f>IFERROR(VLOOKUP(AC865,'Kode Diskon'!$C$2:$D$9,2,0),0)</f>
        <v>0.15</v>
      </c>
      <c r="AE865" s="31">
        <f t="shared" si="483"/>
        <v>112500</v>
      </c>
      <c r="AF865" s="31">
        <f t="shared" si="484"/>
        <v>637500</v>
      </c>
      <c r="AG865" s="31">
        <f t="shared" si="485"/>
        <v>475000</v>
      </c>
      <c r="AH865" s="31">
        <f t="shared" si="486"/>
        <v>362500</v>
      </c>
      <c r="AI865" s="4" t="s">
        <v>28</v>
      </c>
      <c r="AJ865" s="4" t="s">
        <v>6</v>
      </c>
      <c r="AK865" s="4" t="str">
        <f>IFERROR(VLOOKUP(AJ865,'Guide '!$A$13:$B$16,2,0),"-")</f>
        <v>SP</v>
      </c>
      <c r="AL865" s="4" t="s">
        <v>921</v>
      </c>
      <c r="AM865" s="40">
        <v>45611</v>
      </c>
      <c r="AN865">
        <f t="shared" si="487"/>
        <v>29</v>
      </c>
      <c r="AO865">
        <f t="shared" si="488"/>
        <v>32</v>
      </c>
      <c r="AP865">
        <f t="shared" si="489"/>
        <v>40</v>
      </c>
      <c r="AQ865">
        <f t="shared" si="490"/>
        <v>43</v>
      </c>
      <c r="AR865" s="26" t="str">
        <f t="shared" si="491"/>
        <v>-</v>
      </c>
      <c r="AS865" s="26" t="str">
        <f t="shared" si="492"/>
        <v>-</v>
      </c>
      <c r="AT865" s="21">
        <f t="shared" si="493"/>
        <v>12</v>
      </c>
      <c r="AU865" s="21">
        <f t="shared" si="494"/>
        <v>19</v>
      </c>
      <c r="AV865" t="str">
        <f t="shared" si="495"/>
        <v>-</v>
      </c>
      <c r="AW865" t="str">
        <f t="shared" si="496"/>
        <v>-</v>
      </c>
      <c r="AX865" t="str">
        <f t="shared" si="497"/>
        <v>-</v>
      </c>
      <c r="AY865" t="str">
        <f t="shared" si="498"/>
        <v>-</v>
      </c>
      <c r="AZ865" t="str">
        <f t="shared" si="499"/>
        <v>-</v>
      </c>
      <c r="BA865" t="str">
        <f t="shared" si="500"/>
        <v>-</v>
      </c>
      <c r="BB865" t="str">
        <f t="shared" si="501"/>
        <v>-</v>
      </c>
      <c r="BC865" t="str">
        <f t="shared" si="502"/>
        <v>-</v>
      </c>
      <c r="BD865" s="29" t="str">
        <f t="shared" si="503"/>
        <v>-</v>
      </c>
      <c r="BE865" s="29" t="str">
        <f t="shared" si="504"/>
        <v>-</v>
      </c>
    </row>
    <row r="866" spans="1:57" ht="15" x14ac:dyDescent="0.2">
      <c r="A866" s="2">
        <v>20</v>
      </c>
      <c r="B866" s="2" t="str">
        <f t="shared" si="469"/>
        <v>0020</v>
      </c>
      <c r="C866" t="str">
        <f t="shared" si="470"/>
        <v>ORD-SP-0020-16/11/24</v>
      </c>
      <c r="D866" s="3" t="s">
        <v>94</v>
      </c>
      <c r="E866" t="str">
        <f t="shared" si="471"/>
        <v>PP002</v>
      </c>
      <c r="F866" t="str">
        <f>INDEX(Katalog!$B$4:$B$13,MATCH('Main Data'!E866,Katalog!$C$4:$C$13,0))</f>
        <v>Celana Pendek</v>
      </c>
      <c r="G866" t="str">
        <f>VLOOKUP(E866,Katalog!$A$15:$B$25,2,0)</f>
        <v>Pakaian Pria</v>
      </c>
      <c r="H866" t="str">
        <f t="shared" si="472"/>
        <v>1</v>
      </c>
      <c r="I866" t="str">
        <f t="shared" si="473"/>
        <v>1</v>
      </c>
      <c r="J866" s="18">
        <f>VLOOKUP(E866,Katalog!$C$3:$F$13,2,0)</f>
        <v>60000</v>
      </c>
      <c r="K866" s="18">
        <f>VLOOKUP(E866,Katalog!$C$3:$F$13,3,0)</f>
        <v>25000</v>
      </c>
      <c r="L866" t="str">
        <f t="shared" si="474"/>
        <v>-</v>
      </c>
      <c r="M866" t="str">
        <f>IFERROR(INDEX(Katalog!$B$4:$B$13,MATCH('Main Data'!L866,Katalog!$C$4:$C$13,0)), "-")</f>
        <v>-</v>
      </c>
      <c r="N866" t="str">
        <f>IFERROR(VLOOKUP(L866,Katalog!$A$15:$B$25,2,0),"-")</f>
        <v>-</v>
      </c>
      <c r="O866">
        <f t="shared" si="475"/>
        <v>0</v>
      </c>
      <c r="P866" t="str">
        <f t="shared" si="476"/>
        <v>-</v>
      </c>
      <c r="Q866" s="18">
        <f>IFERROR(VLOOKUP(L866,Katalog!$C$3:$F$13,2,0),0)</f>
        <v>0</v>
      </c>
      <c r="R866" s="18">
        <f>IFERROR(VLOOKUP(L866,Katalog!$C$3:$F$13,3,0),0)</f>
        <v>0</v>
      </c>
      <c r="S866" t="str">
        <f t="shared" si="477"/>
        <v>-</v>
      </c>
      <c r="T866" t="str">
        <f>IFERROR(INDEX(Katalog!$B$4:$B$13,MATCH('Main Data'!S866,Katalog!$C$4:$C$13,0)),"-")</f>
        <v>-</v>
      </c>
      <c r="U866" t="str">
        <f>IFERROR(VLOOKUP(S866,Katalog!$A$15:$B$25,2,0),"-")</f>
        <v>-</v>
      </c>
      <c r="V866">
        <f t="shared" si="478"/>
        <v>0</v>
      </c>
      <c r="W866" s="28" t="str">
        <f t="shared" si="479"/>
        <v>-</v>
      </c>
      <c r="X866" s="18">
        <f>IFERROR(VLOOKUP(S866,Katalog!$C$3:$F$13,2,0),0)</f>
        <v>0</v>
      </c>
      <c r="Y866" s="30">
        <f>IFERROR(VLOOKUP(S866,Katalog!$C$3:$F$13,3,0),0)</f>
        <v>0</v>
      </c>
      <c r="Z866" s="2">
        <f t="shared" si="480"/>
        <v>1</v>
      </c>
      <c r="AA866" s="4">
        <f t="shared" si="481"/>
        <v>60000</v>
      </c>
      <c r="AB866" s="4">
        <f t="shared" si="482"/>
        <v>25000</v>
      </c>
      <c r="AC866" s="4" t="s">
        <v>10</v>
      </c>
      <c r="AD866" s="16">
        <f>IFERROR(VLOOKUP(AC866,'Kode Diskon'!$C$2:$D$9,2,0),0)</f>
        <v>0</v>
      </c>
      <c r="AE866" s="31">
        <f t="shared" si="483"/>
        <v>0</v>
      </c>
      <c r="AF866" s="31">
        <f t="shared" si="484"/>
        <v>60000</v>
      </c>
      <c r="AG866" s="31">
        <f t="shared" si="485"/>
        <v>35000</v>
      </c>
      <c r="AH866" s="31">
        <f t="shared" si="486"/>
        <v>35000</v>
      </c>
      <c r="AI866" s="4" t="s">
        <v>10</v>
      </c>
      <c r="AJ866" s="4" t="s">
        <v>6</v>
      </c>
      <c r="AK866" s="4" t="str">
        <f>IFERROR(VLOOKUP(AJ866,'Guide '!$A$13:$B$16,2,0),"-")</f>
        <v>SP</v>
      </c>
      <c r="AL866" s="4" t="s">
        <v>922</v>
      </c>
      <c r="AM866" s="40">
        <v>45612</v>
      </c>
      <c r="AN866">
        <f t="shared" si="487"/>
        <v>29</v>
      </c>
      <c r="AO866">
        <f t="shared" si="488"/>
        <v>32</v>
      </c>
      <c r="AP866">
        <f t="shared" si="489"/>
        <v>40</v>
      </c>
      <c r="AQ866">
        <f t="shared" si="490"/>
        <v>43</v>
      </c>
      <c r="AR866" s="26" t="str">
        <f t="shared" si="491"/>
        <v>-</v>
      </c>
      <c r="AS866" s="26" t="str">
        <f t="shared" si="492"/>
        <v>-</v>
      </c>
      <c r="AT866" s="21">
        <f t="shared" si="493"/>
        <v>12</v>
      </c>
      <c r="AU866" s="21">
        <f t="shared" si="494"/>
        <v>19</v>
      </c>
      <c r="AV866" t="str">
        <f t="shared" si="495"/>
        <v>-</v>
      </c>
      <c r="AW866" t="str">
        <f t="shared" si="496"/>
        <v>-</v>
      </c>
      <c r="AX866" t="str">
        <f t="shared" si="497"/>
        <v>-</v>
      </c>
      <c r="AY866" t="str">
        <f t="shared" si="498"/>
        <v>-</v>
      </c>
      <c r="AZ866" t="str">
        <f t="shared" si="499"/>
        <v>-</v>
      </c>
      <c r="BA866" t="str">
        <f t="shared" si="500"/>
        <v>-</v>
      </c>
      <c r="BB866" t="str">
        <f t="shared" si="501"/>
        <v>-</v>
      </c>
      <c r="BC866" t="str">
        <f t="shared" si="502"/>
        <v>-</v>
      </c>
      <c r="BD866" s="29" t="str">
        <f t="shared" si="503"/>
        <v>-</v>
      </c>
      <c r="BE866" s="29" t="str">
        <f t="shared" si="504"/>
        <v>-</v>
      </c>
    </row>
    <row r="867" spans="1:57" ht="15" x14ac:dyDescent="0.2">
      <c r="A867" s="2">
        <v>190</v>
      </c>
      <c r="B867" s="2" t="str">
        <f t="shared" si="469"/>
        <v>0190</v>
      </c>
      <c r="C867" t="str">
        <f t="shared" si="470"/>
        <v>ORD-TK-0190-16/11/24</v>
      </c>
      <c r="D867" s="3" t="s">
        <v>259</v>
      </c>
      <c r="E867" t="str">
        <f t="shared" si="471"/>
        <v>SP001</v>
      </c>
      <c r="F867" t="str">
        <f>INDEX(Katalog!$B$4:$B$13,MATCH('Main Data'!E867,Katalog!$C$4:$C$13,0))</f>
        <v>Sneakers</v>
      </c>
      <c r="G867" t="str">
        <f>VLOOKUP(E867,Katalog!$A$15:$B$25,2,0)</f>
        <v>Sepatu Pria</v>
      </c>
      <c r="H867" t="str">
        <f t="shared" si="472"/>
        <v>2</v>
      </c>
      <c r="I867" t="str">
        <f t="shared" si="473"/>
        <v>3</v>
      </c>
      <c r="J867" s="18">
        <f>VLOOKUP(E867,Katalog!$C$3:$F$13,2,0)</f>
        <v>300000</v>
      </c>
      <c r="K867" s="18">
        <f>VLOOKUP(E867,Katalog!$C$3:$F$13,3,0)</f>
        <v>100000</v>
      </c>
      <c r="L867" t="str">
        <f t="shared" si="474"/>
        <v>SW001</v>
      </c>
      <c r="M867" t="str">
        <f>IFERROR(INDEX(Katalog!$B$4:$B$13,MATCH('Main Data'!L867,Katalog!$C$4:$C$13,0)), "-")</f>
        <v>Flat Shoes</v>
      </c>
      <c r="N867" t="str">
        <f>IFERROR(VLOOKUP(L867,Katalog!$A$15:$B$25,2,0),"-")</f>
        <v>Sepatu Wanita</v>
      </c>
      <c r="O867" t="str">
        <f t="shared" si="475"/>
        <v>1</v>
      </c>
      <c r="P867" t="str">
        <f t="shared" si="476"/>
        <v>3</v>
      </c>
      <c r="Q867" s="18">
        <f>IFERROR(VLOOKUP(L867,Katalog!$C$3:$F$13,2,0),0)</f>
        <v>150000</v>
      </c>
      <c r="R867" s="18">
        <f>IFERROR(VLOOKUP(L867,Katalog!$C$3:$F$13,3,0),0)</f>
        <v>70000</v>
      </c>
      <c r="S867" t="str">
        <f t="shared" si="477"/>
        <v>-</v>
      </c>
      <c r="T867" t="str">
        <f>IFERROR(INDEX(Katalog!$B$4:$B$13,MATCH('Main Data'!S867,Katalog!$C$4:$C$13,0)),"-")</f>
        <v>-</v>
      </c>
      <c r="U867" t="str">
        <f>IFERROR(VLOOKUP(S867,Katalog!$A$15:$B$25,2,0),"-")</f>
        <v>-</v>
      </c>
      <c r="V867">
        <f t="shared" si="478"/>
        <v>0</v>
      </c>
      <c r="W867" s="28" t="str">
        <f t="shared" si="479"/>
        <v>-</v>
      </c>
      <c r="X867" s="18">
        <f>IFERROR(VLOOKUP(S867,Katalog!$C$3:$F$13,2,0),0)</f>
        <v>0</v>
      </c>
      <c r="Y867" s="30">
        <f>IFERROR(VLOOKUP(S867,Katalog!$C$3:$F$13,3,0),0)</f>
        <v>0</v>
      </c>
      <c r="Z867" s="2">
        <f t="shared" si="480"/>
        <v>3</v>
      </c>
      <c r="AA867" s="4">
        <f t="shared" si="481"/>
        <v>750000</v>
      </c>
      <c r="AB867" s="4">
        <f t="shared" si="482"/>
        <v>270000</v>
      </c>
      <c r="AC867" s="4" t="s">
        <v>29</v>
      </c>
      <c r="AD867" s="16">
        <f>IFERROR(VLOOKUP(AC867,'Kode Diskon'!$C$2:$D$9,2,0),0)</f>
        <v>0.1</v>
      </c>
      <c r="AE867" s="31">
        <f t="shared" si="483"/>
        <v>75000</v>
      </c>
      <c r="AF867" s="31">
        <f t="shared" si="484"/>
        <v>675000</v>
      </c>
      <c r="AG867" s="31">
        <f t="shared" si="485"/>
        <v>480000</v>
      </c>
      <c r="AH867" s="31">
        <f t="shared" si="486"/>
        <v>405000</v>
      </c>
      <c r="AI867" s="4" t="s">
        <v>28</v>
      </c>
      <c r="AJ867" s="4" t="s">
        <v>9</v>
      </c>
      <c r="AK867" s="4" t="str">
        <f>IFERROR(VLOOKUP(AJ867,'Guide '!$A$13:$B$16,2,0),"-")</f>
        <v>TK</v>
      </c>
      <c r="AL867" s="4" t="s">
        <v>925</v>
      </c>
      <c r="AM867" s="40">
        <v>45612</v>
      </c>
      <c r="AN867">
        <f t="shared" si="487"/>
        <v>29</v>
      </c>
      <c r="AO867">
        <f t="shared" si="488"/>
        <v>32</v>
      </c>
      <c r="AP867">
        <f t="shared" si="489"/>
        <v>40</v>
      </c>
      <c r="AQ867">
        <f t="shared" si="490"/>
        <v>43</v>
      </c>
      <c r="AR867" s="26">
        <f t="shared" si="491"/>
        <v>56</v>
      </c>
      <c r="AS867" s="26">
        <f t="shared" si="492"/>
        <v>63</v>
      </c>
      <c r="AT867" s="21">
        <f t="shared" si="493"/>
        <v>12</v>
      </c>
      <c r="AU867" s="21">
        <f t="shared" si="494"/>
        <v>19</v>
      </c>
      <c r="AV867">
        <f t="shared" si="495"/>
        <v>73</v>
      </c>
      <c r="AW867">
        <f t="shared" si="496"/>
        <v>76</v>
      </c>
      <c r="AX867">
        <f t="shared" si="497"/>
        <v>84</v>
      </c>
      <c r="AY867">
        <f t="shared" si="498"/>
        <v>87</v>
      </c>
      <c r="AZ867" t="str">
        <f t="shared" si="499"/>
        <v>-</v>
      </c>
      <c r="BA867" t="str">
        <f t="shared" si="500"/>
        <v>-</v>
      </c>
      <c r="BB867" t="str">
        <f t="shared" si="501"/>
        <v>-</v>
      </c>
      <c r="BC867" t="str">
        <f t="shared" si="502"/>
        <v>-</v>
      </c>
      <c r="BD867" s="29" t="str">
        <f t="shared" si="503"/>
        <v>-</v>
      </c>
      <c r="BE867" s="29" t="str">
        <f t="shared" si="504"/>
        <v>-</v>
      </c>
    </row>
    <row r="868" spans="1:57" ht="15" x14ac:dyDescent="0.2">
      <c r="A868" s="2">
        <v>233</v>
      </c>
      <c r="B868" s="2" t="str">
        <f t="shared" si="469"/>
        <v>0233</v>
      </c>
      <c r="C868" t="str">
        <f t="shared" si="470"/>
        <v>ORD-SP-0233-16/11/24</v>
      </c>
      <c r="D868" s="3" t="s">
        <v>299</v>
      </c>
      <c r="E868" t="str">
        <f t="shared" si="471"/>
        <v>PP002</v>
      </c>
      <c r="F868" t="str">
        <f>INDEX(Katalog!$B$4:$B$13,MATCH('Main Data'!E868,Katalog!$C$4:$C$13,0))</f>
        <v>Celana Pendek</v>
      </c>
      <c r="G868" t="str">
        <f>VLOOKUP(E868,Katalog!$A$15:$B$25,2,0)</f>
        <v>Pakaian Pria</v>
      </c>
      <c r="H868" t="str">
        <f t="shared" si="472"/>
        <v>2</v>
      </c>
      <c r="I868" t="str">
        <f t="shared" si="473"/>
        <v>5</v>
      </c>
      <c r="J868" s="18">
        <f>VLOOKUP(E868,Katalog!$C$3:$F$13,2,0)</f>
        <v>60000</v>
      </c>
      <c r="K868" s="18">
        <f>VLOOKUP(E868,Katalog!$C$3:$F$13,3,0)</f>
        <v>25000</v>
      </c>
      <c r="L868" t="str">
        <f t="shared" si="474"/>
        <v>SP001</v>
      </c>
      <c r="M868" t="str">
        <f>IFERROR(INDEX(Katalog!$B$4:$B$13,MATCH('Main Data'!L868,Katalog!$C$4:$C$13,0)), "-")</f>
        <v>Sneakers</v>
      </c>
      <c r="N868" t="str">
        <f>IFERROR(VLOOKUP(L868,Katalog!$A$15:$B$25,2,0),"-")</f>
        <v>Sepatu Pria</v>
      </c>
      <c r="O868" t="str">
        <f t="shared" si="475"/>
        <v>2</v>
      </c>
      <c r="P868" t="str">
        <f t="shared" si="476"/>
        <v>3</v>
      </c>
      <c r="Q868" s="18">
        <f>IFERROR(VLOOKUP(L868,Katalog!$C$3:$F$13,2,0),0)</f>
        <v>300000</v>
      </c>
      <c r="R868" s="18">
        <f>IFERROR(VLOOKUP(L868,Katalog!$C$3:$F$13,3,0),0)</f>
        <v>100000</v>
      </c>
      <c r="S868" t="str">
        <f t="shared" si="477"/>
        <v>-</v>
      </c>
      <c r="T868" t="str">
        <f>IFERROR(INDEX(Katalog!$B$4:$B$13,MATCH('Main Data'!S868,Katalog!$C$4:$C$13,0)),"-")</f>
        <v>-</v>
      </c>
      <c r="U868" t="str">
        <f>IFERROR(VLOOKUP(S868,Katalog!$A$15:$B$25,2,0),"-")</f>
        <v>-</v>
      </c>
      <c r="V868">
        <f t="shared" si="478"/>
        <v>0</v>
      </c>
      <c r="W868" s="28" t="str">
        <f t="shared" si="479"/>
        <v>-</v>
      </c>
      <c r="X868" s="18">
        <f>IFERROR(VLOOKUP(S868,Katalog!$C$3:$F$13,2,0),0)</f>
        <v>0</v>
      </c>
      <c r="Y868" s="30">
        <f>IFERROR(VLOOKUP(S868,Katalog!$C$3:$F$13,3,0),0)</f>
        <v>0</v>
      </c>
      <c r="Z868" s="2">
        <f t="shared" si="480"/>
        <v>4</v>
      </c>
      <c r="AA868" s="4">
        <f t="shared" si="481"/>
        <v>720000</v>
      </c>
      <c r="AB868" s="4">
        <f t="shared" si="482"/>
        <v>250000</v>
      </c>
      <c r="AC868" s="4" t="s">
        <v>7</v>
      </c>
      <c r="AD868" s="16">
        <f>IFERROR(VLOOKUP(AC868,'Kode Diskon'!$C$2:$D$9,2,0),0)</f>
        <v>0.2</v>
      </c>
      <c r="AE868" s="31">
        <f t="shared" si="483"/>
        <v>144000</v>
      </c>
      <c r="AF868" s="31">
        <f t="shared" si="484"/>
        <v>576000</v>
      </c>
      <c r="AG868" s="31">
        <f t="shared" si="485"/>
        <v>470000</v>
      </c>
      <c r="AH868" s="31">
        <f t="shared" si="486"/>
        <v>326000</v>
      </c>
      <c r="AI868" s="4" t="s">
        <v>8</v>
      </c>
      <c r="AJ868" s="4" t="s">
        <v>6</v>
      </c>
      <c r="AK868" s="4" t="str">
        <f>IFERROR(VLOOKUP(AJ868,'Guide '!$A$13:$B$16,2,0),"-")</f>
        <v>SP</v>
      </c>
      <c r="AL868" s="4" t="s">
        <v>924</v>
      </c>
      <c r="AM868" s="40">
        <v>45612</v>
      </c>
      <c r="AN868">
        <f t="shared" si="487"/>
        <v>29</v>
      </c>
      <c r="AO868">
        <f t="shared" si="488"/>
        <v>32</v>
      </c>
      <c r="AP868">
        <f t="shared" si="489"/>
        <v>40</v>
      </c>
      <c r="AQ868">
        <f t="shared" si="490"/>
        <v>43</v>
      </c>
      <c r="AR868" s="26">
        <f t="shared" si="491"/>
        <v>56</v>
      </c>
      <c r="AS868" s="26">
        <f t="shared" si="492"/>
        <v>63</v>
      </c>
      <c r="AT868" s="21">
        <f t="shared" si="493"/>
        <v>12</v>
      </c>
      <c r="AU868" s="21">
        <f t="shared" si="494"/>
        <v>19</v>
      </c>
      <c r="AV868">
        <f t="shared" si="495"/>
        <v>73</v>
      </c>
      <c r="AW868">
        <f t="shared" si="496"/>
        <v>76</v>
      </c>
      <c r="AX868">
        <f t="shared" si="497"/>
        <v>84</v>
      </c>
      <c r="AY868">
        <f t="shared" si="498"/>
        <v>87</v>
      </c>
      <c r="AZ868" t="str">
        <f t="shared" si="499"/>
        <v>-</v>
      </c>
      <c r="BA868" t="str">
        <f t="shared" si="500"/>
        <v>-</v>
      </c>
      <c r="BB868" t="str">
        <f t="shared" si="501"/>
        <v>-</v>
      </c>
      <c r="BC868" t="str">
        <f t="shared" si="502"/>
        <v>-</v>
      </c>
      <c r="BD868" s="29" t="str">
        <f t="shared" si="503"/>
        <v>-</v>
      </c>
      <c r="BE868" s="29" t="str">
        <f t="shared" si="504"/>
        <v>-</v>
      </c>
    </row>
    <row r="869" spans="1:57" ht="15" x14ac:dyDescent="0.2">
      <c r="A869" s="2">
        <v>645</v>
      </c>
      <c r="B869" s="2" t="str">
        <f t="shared" si="469"/>
        <v>0645</v>
      </c>
      <c r="C869" t="str">
        <f t="shared" si="470"/>
        <v>ORD-SP-0645-17/11/24</v>
      </c>
      <c r="D869" s="3" t="s">
        <v>648</v>
      </c>
      <c r="E869" t="str">
        <f t="shared" si="471"/>
        <v>SP001</v>
      </c>
      <c r="F869" t="str">
        <f>INDEX(Katalog!$B$4:$B$13,MATCH('Main Data'!E869,Katalog!$C$4:$C$13,0))</f>
        <v>Sneakers</v>
      </c>
      <c r="G869" t="str">
        <f>VLOOKUP(E869,Katalog!$A$15:$B$25,2,0)</f>
        <v>Sepatu Pria</v>
      </c>
      <c r="H869" t="str">
        <f t="shared" si="472"/>
        <v>1</v>
      </c>
      <c r="I869" t="str">
        <f t="shared" si="473"/>
        <v>1</v>
      </c>
      <c r="J869" s="18">
        <f>VLOOKUP(E869,Katalog!$C$3:$F$13,2,0)</f>
        <v>300000</v>
      </c>
      <c r="K869" s="18">
        <f>VLOOKUP(E869,Katalog!$C$3:$F$13,3,0)</f>
        <v>100000</v>
      </c>
      <c r="L869" t="str">
        <f t="shared" si="474"/>
        <v>PW002</v>
      </c>
      <c r="M869" t="str">
        <f>IFERROR(INDEX(Katalog!$B$4:$B$13,MATCH('Main Data'!L869,Katalog!$C$4:$C$13,0)), "-")</f>
        <v>Blouse</v>
      </c>
      <c r="N869" t="str">
        <f>IFERROR(VLOOKUP(L869,Katalog!$A$15:$B$25,2,0),"-")</f>
        <v>Pakaian Wanita</v>
      </c>
      <c r="O869" t="str">
        <f t="shared" si="475"/>
        <v>2</v>
      </c>
      <c r="P869" t="str">
        <f t="shared" si="476"/>
        <v>1</v>
      </c>
      <c r="Q869" s="18">
        <f>IFERROR(VLOOKUP(L869,Katalog!$C$3:$F$13,2,0),0)</f>
        <v>125000</v>
      </c>
      <c r="R869" s="18">
        <f>IFERROR(VLOOKUP(L869,Katalog!$C$3:$F$13,3,0),0)</f>
        <v>50000</v>
      </c>
      <c r="S869" t="str">
        <f t="shared" si="477"/>
        <v>PP001</v>
      </c>
      <c r="T869" t="str">
        <f>IFERROR(INDEX(Katalog!$B$4:$B$13,MATCH('Main Data'!S869,Katalog!$C$4:$C$13,0)),"-")</f>
        <v>Kaos Polo</v>
      </c>
      <c r="U869" t="str">
        <f>IFERROR(VLOOKUP(S869,Katalog!$A$15:$B$25,2,0),"-")</f>
        <v>Pakaian Pria</v>
      </c>
      <c r="V869" t="str">
        <f t="shared" si="478"/>
        <v>1</v>
      </c>
      <c r="W869" s="28" t="str">
        <f t="shared" si="479"/>
        <v>2</v>
      </c>
      <c r="X869" s="18">
        <f>IFERROR(VLOOKUP(S869,Katalog!$C$3:$F$13,2,0),0)</f>
        <v>80000</v>
      </c>
      <c r="Y869" s="30">
        <f>IFERROR(VLOOKUP(S869,Katalog!$C$3:$F$13,3,0),0)</f>
        <v>30000</v>
      </c>
      <c r="Z869" s="2">
        <f t="shared" si="480"/>
        <v>4</v>
      </c>
      <c r="AA869" s="4">
        <f t="shared" si="481"/>
        <v>630000</v>
      </c>
      <c r="AB869" s="4">
        <f t="shared" si="482"/>
        <v>230000</v>
      </c>
      <c r="AC869" s="4" t="s">
        <v>5</v>
      </c>
      <c r="AD869" s="16">
        <f>IFERROR(VLOOKUP(AC869,'Kode Diskon'!$C$2:$D$9,2,0),0)</f>
        <v>0.1</v>
      </c>
      <c r="AE869" s="31">
        <f t="shared" si="483"/>
        <v>63000</v>
      </c>
      <c r="AF869" s="31">
        <f t="shared" si="484"/>
        <v>567000</v>
      </c>
      <c r="AG869" s="31">
        <f t="shared" si="485"/>
        <v>400000</v>
      </c>
      <c r="AH869" s="31">
        <f t="shared" si="486"/>
        <v>337000</v>
      </c>
      <c r="AI869" s="4" t="s">
        <v>28</v>
      </c>
      <c r="AJ869" s="4" t="s">
        <v>6</v>
      </c>
      <c r="AK869" s="4" t="str">
        <f>IFERROR(VLOOKUP(AJ869,'Guide '!$A$13:$B$16,2,0),"-")</f>
        <v>SP</v>
      </c>
      <c r="AL869" s="4" t="s">
        <v>1006</v>
      </c>
      <c r="AM869" s="40">
        <v>45613</v>
      </c>
      <c r="AN869">
        <f t="shared" si="487"/>
        <v>29</v>
      </c>
      <c r="AO869">
        <f t="shared" si="488"/>
        <v>32</v>
      </c>
      <c r="AP869">
        <f t="shared" si="489"/>
        <v>40</v>
      </c>
      <c r="AQ869">
        <f t="shared" si="490"/>
        <v>43</v>
      </c>
      <c r="AR869" s="26">
        <f t="shared" si="491"/>
        <v>56</v>
      </c>
      <c r="AS869" s="26">
        <f t="shared" si="492"/>
        <v>63</v>
      </c>
      <c r="AT869" s="21">
        <f t="shared" si="493"/>
        <v>12</v>
      </c>
      <c r="AU869" s="21">
        <f t="shared" si="494"/>
        <v>19</v>
      </c>
      <c r="AV869">
        <f t="shared" si="495"/>
        <v>73</v>
      </c>
      <c r="AW869">
        <f t="shared" si="496"/>
        <v>76</v>
      </c>
      <c r="AX869">
        <f t="shared" si="497"/>
        <v>84</v>
      </c>
      <c r="AY869">
        <f t="shared" si="498"/>
        <v>87</v>
      </c>
      <c r="AZ869">
        <f t="shared" si="499"/>
        <v>100</v>
      </c>
      <c r="BA869">
        <f t="shared" si="500"/>
        <v>107</v>
      </c>
      <c r="BB869">
        <f t="shared" si="501"/>
        <v>117</v>
      </c>
      <c r="BC869">
        <f t="shared" si="502"/>
        <v>120</v>
      </c>
      <c r="BD869" s="29">
        <f t="shared" si="503"/>
        <v>128</v>
      </c>
      <c r="BE869" s="29">
        <f t="shared" si="504"/>
        <v>131</v>
      </c>
    </row>
    <row r="870" spans="1:57" ht="15" x14ac:dyDescent="0.2">
      <c r="A870" s="2">
        <v>94</v>
      </c>
      <c r="B870" s="2" t="str">
        <f t="shared" si="469"/>
        <v>0094</v>
      </c>
      <c r="C870" t="str">
        <f t="shared" si="470"/>
        <v>ORD-TK-0094-18/11/24</v>
      </c>
      <c r="D870" s="3" t="s">
        <v>166</v>
      </c>
      <c r="E870" t="str">
        <f t="shared" si="471"/>
        <v>SP002</v>
      </c>
      <c r="F870" t="str">
        <f>INDEX(Katalog!$B$4:$B$13,MATCH('Main Data'!E870,Katalog!$C$4:$C$13,0))</f>
        <v>Sandal Slip On</v>
      </c>
      <c r="G870" t="str">
        <f>VLOOKUP(E870,Katalog!$A$15:$B$25,2,0)</f>
        <v>Sepatu Pria</v>
      </c>
      <c r="H870" t="str">
        <f t="shared" si="472"/>
        <v>1</v>
      </c>
      <c r="I870" t="str">
        <f t="shared" si="473"/>
        <v>2</v>
      </c>
      <c r="J870" s="18">
        <f>VLOOKUP(E870,Katalog!$C$3:$F$13,2,0)</f>
        <v>120000</v>
      </c>
      <c r="K870" s="18">
        <f>VLOOKUP(E870,Katalog!$C$3:$F$13,3,0)</f>
        <v>60000</v>
      </c>
      <c r="L870" t="str">
        <f t="shared" si="474"/>
        <v>PP002</v>
      </c>
      <c r="M870" t="str">
        <f>IFERROR(INDEX(Katalog!$B$4:$B$13,MATCH('Main Data'!L870,Katalog!$C$4:$C$13,0)), "-")</f>
        <v>Celana Pendek</v>
      </c>
      <c r="N870" t="str">
        <f>IFERROR(VLOOKUP(L870,Katalog!$A$15:$B$25,2,0),"-")</f>
        <v>Pakaian Pria</v>
      </c>
      <c r="O870" t="str">
        <f t="shared" si="475"/>
        <v>1</v>
      </c>
      <c r="P870" t="str">
        <f t="shared" si="476"/>
        <v>1</v>
      </c>
      <c r="Q870" s="18">
        <f>IFERROR(VLOOKUP(L870,Katalog!$C$3:$F$13,2,0),0)</f>
        <v>60000</v>
      </c>
      <c r="R870" s="18">
        <f>IFERROR(VLOOKUP(L870,Katalog!$C$3:$F$13,3,0),0)</f>
        <v>25000</v>
      </c>
      <c r="S870" t="str">
        <f t="shared" si="477"/>
        <v>PP003</v>
      </c>
      <c r="T870" t="str">
        <f>IFERROR(INDEX(Katalog!$B$4:$B$13,MATCH('Main Data'!S870,Katalog!$C$4:$C$13,0)),"-")</f>
        <v>Jaket Jeans</v>
      </c>
      <c r="U870" t="str">
        <f>IFERROR(VLOOKUP(S870,Katalog!$A$15:$B$25,2,0),"-")</f>
        <v>Pakaian Pria</v>
      </c>
      <c r="V870" t="str">
        <f t="shared" si="478"/>
        <v>3</v>
      </c>
      <c r="W870" s="28" t="str">
        <f t="shared" si="479"/>
        <v>1</v>
      </c>
      <c r="X870" s="18">
        <f>IFERROR(VLOOKUP(S870,Katalog!$C$3:$F$13,2,0),0)</f>
        <v>150000</v>
      </c>
      <c r="Y870" s="30">
        <f>IFERROR(VLOOKUP(S870,Katalog!$C$3:$F$13,3,0),0)</f>
        <v>70000</v>
      </c>
      <c r="Z870" s="2">
        <f t="shared" si="480"/>
        <v>5</v>
      </c>
      <c r="AA870" s="4">
        <f t="shared" si="481"/>
        <v>630000</v>
      </c>
      <c r="AB870" s="4">
        <f t="shared" si="482"/>
        <v>295000</v>
      </c>
      <c r="AC870" s="4" t="s">
        <v>30</v>
      </c>
      <c r="AD870" s="16">
        <f>IFERROR(VLOOKUP(AC870,'Kode Diskon'!$C$2:$D$9,2,0),0)</f>
        <v>0.1</v>
      </c>
      <c r="AE870" s="31">
        <f t="shared" si="483"/>
        <v>63000</v>
      </c>
      <c r="AF870" s="31">
        <f t="shared" si="484"/>
        <v>567000</v>
      </c>
      <c r="AG870" s="31">
        <f t="shared" si="485"/>
        <v>335000</v>
      </c>
      <c r="AH870" s="31">
        <f t="shared" si="486"/>
        <v>272000</v>
      </c>
      <c r="AI870" s="4" t="s">
        <v>8</v>
      </c>
      <c r="AJ870" s="4" t="s">
        <v>9</v>
      </c>
      <c r="AK870" s="4" t="str">
        <f>IFERROR(VLOOKUP(AJ870,'Guide '!$A$13:$B$16,2,0),"-")</f>
        <v>TK</v>
      </c>
      <c r="AL870" s="4" t="s">
        <v>1006</v>
      </c>
      <c r="AM870" s="40">
        <v>45614</v>
      </c>
      <c r="AN870">
        <f t="shared" si="487"/>
        <v>29</v>
      </c>
      <c r="AO870">
        <f t="shared" si="488"/>
        <v>32</v>
      </c>
      <c r="AP870">
        <f t="shared" si="489"/>
        <v>40</v>
      </c>
      <c r="AQ870">
        <f t="shared" si="490"/>
        <v>43</v>
      </c>
      <c r="AR870" s="26">
        <f t="shared" si="491"/>
        <v>56</v>
      </c>
      <c r="AS870" s="26">
        <f t="shared" si="492"/>
        <v>63</v>
      </c>
      <c r="AT870" s="21">
        <f t="shared" si="493"/>
        <v>12</v>
      </c>
      <c r="AU870" s="21">
        <f t="shared" si="494"/>
        <v>19</v>
      </c>
      <c r="AV870">
        <f t="shared" si="495"/>
        <v>73</v>
      </c>
      <c r="AW870">
        <f t="shared" si="496"/>
        <v>76</v>
      </c>
      <c r="AX870">
        <f t="shared" si="497"/>
        <v>84</v>
      </c>
      <c r="AY870">
        <f t="shared" si="498"/>
        <v>87</v>
      </c>
      <c r="AZ870">
        <f t="shared" si="499"/>
        <v>100</v>
      </c>
      <c r="BA870">
        <f t="shared" si="500"/>
        <v>107</v>
      </c>
      <c r="BB870">
        <f t="shared" si="501"/>
        <v>117</v>
      </c>
      <c r="BC870">
        <f t="shared" si="502"/>
        <v>120</v>
      </c>
      <c r="BD870" s="29">
        <f t="shared" si="503"/>
        <v>128</v>
      </c>
      <c r="BE870" s="29">
        <f t="shared" si="504"/>
        <v>131</v>
      </c>
    </row>
    <row r="871" spans="1:57" ht="15" x14ac:dyDescent="0.2">
      <c r="A871" s="2">
        <v>525</v>
      </c>
      <c r="B871" s="2" t="str">
        <f t="shared" si="469"/>
        <v>0525</v>
      </c>
      <c r="C871" t="str">
        <f t="shared" si="470"/>
        <v>ORD-BB-0525-18/11/24</v>
      </c>
      <c r="D871" s="3" t="s">
        <v>553</v>
      </c>
      <c r="E871" t="str">
        <f t="shared" si="471"/>
        <v>PP002</v>
      </c>
      <c r="F871" t="str">
        <f>INDEX(Katalog!$B$4:$B$13,MATCH('Main Data'!E871,Katalog!$C$4:$C$13,0))</f>
        <v>Celana Pendek</v>
      </c>
      <c r="G871" t="str">
        <f>VLOOKUP(E871,Katalog!$A$15:$B$25,2,0)</f>
        <v>Pakaian Pria</v>
      </c>
      <c r="H871" t="str">
        <f t="shared" si="472"/>
        <v>4</v>
      </c>
      <c r="I871" t="str">
        <f t="shared" si="473"/>
        <v>4</v>
      </c>
      <c r="J871" s="18">
        <f>VLOOKUP(E871,Katalog!$C$3:$F$13,2,0)</f>
        <v>60000</v>
      </c>
      <c r="K871" s="18">
        <f>VLOOKUP(E871,Katalog!$C$3:$F$13,3,0)</f>
        <v>25000</v>
      </c>
      <c r="L871" t="str">
        <f t="shared" si="474"/>
        <v>SW001</v>
      </c>
      <c r="M871" t="str">
        <f>IFERROR(INDEX(Katalog!$B$4:$B$13,MATCH('Main Data'!L871,Katalog!$C$4:$C$13,0)), "-")</f>
        <v>Flat Shoes</v>
      </c>
      <c r="N871" t="str">
        <f>IFERROR(VLOOKUP(L871,Katalog!$A$15:$B$25,2,0),"-")</f>
        <v>Sepatu Wanita</v>
      </c>
      <c r="O871" t="str">
        <f t="shared" si="475"/>
        <v>1</v>
      </c>
      <c r="P871" t="str">
        <f t="shared" si="476"/>
        <v>4</v>
      </c>
      <c r="Q871" s="18">
        <f>IFERROR(VLOOKUP(L871,Katalog!$C$3:$F$13,2,0),0)</f>
        <v>150000</v>
      </c>
      <c r="R871" s="18">
        <f>IFERROR(VLOOKUP(L871,Katalog!$C$3:$F$13,3,0),0)</f>
        <v>70000</v>
      </c>
      <c r="S871" t="str">
        <f t="shared" si="477"/>
        <v>-</v>
      </c>
      <c r="T871" t="str">
        <f>IFERROR(INDEX(Katalog!$B$4:$B$13,MATCH('Main Data'!S871,Katalog!$C$4:$C$13,0)),"-")</f>
        <v>-</v>
      </c>
      <c r="U871" t="str">
        <f>IFERROR(VLOOKUP(S871,Katalog!$A$15:$B$25,2,0),"-")</f>
        <v>-</v>
      </c>
      <c r="V871">
        <f t="shared" si="478"/>
        <v>0</v>
      </c>
      <c r="W871" s="28" t="str">
        <f t="shared" si="479"/>
        <v>-</v>
      </c>
      <c r="X871" s="18">
        <f>IFERROR(VLOOKUP(S871,Katalog!$C$3:$F$13,2,0),0)</f>
        <v>0</v>
      </c>
      <c r="Y871" s="30">
        <f>IFERROR(VLOOKUP(S871,Katalog!$C$3:$F$13,3,0),0)</f>
        <v>0</v>
      </c>
      <c r="Z871" s="2">
        <f t="shared" si="480"/>
        <v>5</v>
      </c>
      <c r="AA871" s="4">
        <f t="shared" si="481"/>
        <v>390000</v>
      </c>
      <c r="AB871" s="4">
        <f t="shared" si="482"/>
        <v>170000</v>
      </c>
      <c r="AC871" s="4" t="s">
        <v>27</v>
      </c>
      <c r="AD871" s="16">
        <f>IFERROR(VLOOKUP(AC871,'Kode Diskon'!$C$2:$D$9,2,0),0)</f>
        <v>0.15</v>
      </c>
      <c r="AE871" s="31">
        <f t="shared" si="483"/>
        <v>58500</v>
      </c>
      <c r="AF871" s="31">
        <f t="shared" si="484"/>
        <v>331500</v>
      </c>
      <c r="AG871" s="31">
        <f t="shared" si="485"/>
        <v>220000</v>
      </c>
      <c r="AH871" s="31">
        <f t="shared" si="486"/>
        <v>161500</v>
      </c>
      <c r="AI871" s="4" t="s">
        <v>28</v>
      </c>
      <c r="AJ871" s="4" t="s">
        <v>13</v>
      </c>
      <c r="AK871" s="4" t="str">
        <f>IFERROR(VLOOKUP(AJ871,'Guide '!$A$13:$B$16,2,0),"-")</f>
        <v>BB</v>
      </c>
      <c r="AL871" s="4" t="s">
        <v>924</v>
      </c>
      <c r="AM871" s="40">
        <v>45614</v>
      </c>
      <c r="AN871">
        <f t="shared" si="487"/>
        <v>29</v>
      </c>
      <c r="AO871">
        <f t="shared" si="488"/>
        <v>32</v>
      </c>
      <c r="AP871">
        <f t="shared" si="489"/>
        <v>40</v>
      </c>
      <c r="AQ871">
        <f t="shared" si="490"/>
        <v>43</v>
      </c>
      <c r="AR871" s="26">
        <f t="shared" si="491"/>
        <v>56</v>
      </c>
      <c r="AS871" s="26">
        <f t="shared" si="492"/>
        <v>63</v>
      </c>
      <c r="AT871" s="21">
        <f t="shared" si="493"/>
        <v>12</v>
      </c>
      <c r="AU871" s="21">
        <f t="shared" si="494"/>
        <v>19</v>
      </c>
      <c r="AV871">
        <f t="shared" si="495"/>
        <v>73</v>
      </c>
      <c r="AW871">
        <f t="shared" si="496"/>
        <v>76</v>
      </c>
      <c r="AX871">
        <f t="shared" si="497"/>
        <v>84</v>
      </c>
      <c r="AY871">
        <f t="shared" si="498"/>
        <v>87</v>
      </c>
      <c r="AZ871" t="str">
        <f t="shared" si="499"/>
        <v>-</v>
      </c>
      <c r="BA871" t="str">
        <f t="shared" si="500"/>
        <v>-</v>
      </c>
      <c r="BB871" t="str">
        <f t="shared" si="501"/>
        <v>-</v>
      </c>
      <c r="BC871" t="str">
        <f t="shared" si="502"/>
        <v>-</v>
      </c>
      <c r="BD871" s="29" t="str">
        <f t="shared" si="503"/>
        <v>-</v>
      </c>
      <c r="BE871" s="29" t="str">
        <f t="shared" si="504"/>
        <v>-</v>
      </c>
    </row>
    <row r="872" spans="1:57" ht="15" x14ac:dyDescent="0.2">
      <c r="A872" s="2">
        <v>538</v>
      </c>
      <c r="B872" s="2" t="str">
        <f t="shared" si="469"/>
        <v>0538</v>
      </c>
      <c r="C872" t="str">
        <f t="shared" si="470"/>
        <v>ORD-BB-0538-18/11/24</v>
      </c>
      <c r="D872" s="3" t="s">
        <v>131</v>
      </c>
      <c r="E872" t="str">
        <f t="shared" si="471"/>
        <v>SW001</v>
      </c>
      <c r="F872" t="str">
        <f>INDEX(Katalog!$B$4:$B$13,MATCH('Main Data'!E872,Katalog!$C$4:$C$13,0))</f>
        <v>Flat Shoes</v>
      </c>
      <c r="G872" t="str">
        <f>VLOOKUP(E872,Katalog!$A$15:$B$25,2,0)</f>
        <v>Sepatu Wanita</v>
      </c>
      <c r="H872" t="str">
        <f t="shared" si="472"/>
        <v>2</v>
      </c>
      <c r="I872" t="str">
        <f t="shared" si="473"/>
        <v>2</v>
      </c>
      <c r="J872" s="18">
        <f>VLOOKUP(E872,Katalog!$C$3:$F$13,2,0)</f>
        <v>150000</v>
      </c>
      <c r="K872" s="18">
        <f>VLOOKUP(E872,Katalog!$C$3:$F$13,3,0)</f>
        <v>70000</v>
      </c>
      <c r="L872" t="str">
        <f t="shared" si="474"/>
        <v>-</v>
      </c>
      <c r="M872" t="str">
        <f>IFERROR(INDEX(Katalog!$B$4:$B$13,MATCH('Main Data'!L872,Katalog!$C$4:$C$13,0)), "-")</f>
        <v>-</v>
      </c>
      <c r="N872" t="str">
        <f>IFERROR(VLOOKUP(L872,Katalog!$A$15:$B$25,2,0),"-")</f>
        <v>-</v>
      </c>
      <c r="O872">
        <f t="shared" si="475"/>
        <v>0</v>
      </c>
      <c r="P872" t="str">
        <f t="shared" si="476"/>
        <v>-</v>
      </c>
      <c r="Q872" s="18">
        <f>IFERROR(VLOOKUP(L872,Katalog!$C$3:$F$13,2,0),0)</f>
        <v>0</v>
      </c>
      <c r="R872" s="18">
        <f>IFERROR(VLOOKUP(L872,Katalog!$C$3:$F$13,3,0),0)</f>
        <v>0</v>
      </c>
      <c r="S872" t="str">
        <f t="shared" si="477"/>
        <v>-</v>
      </c>
      <c r="T872" t="str">
        <f>IFERROR(INDEX(Katalog!$B$4:$B$13,MATCH('Main Data'!S872,Katalog!$C$4:$C$13,0)),"-")</f>
        <v>-</v>
      </c>
      <c r="U872" t="str">
        <f>IFERROR(VLOOKUP(S872,Katalog!$A$15:$B$25,2,0),"-")</f>
        <v>-</v>
      </c>
      <c r="V872">
        <f t="shared" si="478"/>
        <v>0</v>
      </c>
      <c r="W872" s="28" t="str">
        <f t="shared" si="479"/>
        <v>-</v>
      </c>
      <c r="X872" s="18">
        <f>IFERROR(VLOOKUP(S872,Katalog!$C$3:$F$13,2,0),0)</f>
        <v>0</v>
      </c>
      <c r="Y872" s="30">
        <f>IFERROR(VLOOKUP(S872,Katalog!$C$3:$F$13,3,0),0)</f>
        <v>0</v>
      </c>
      <c r="Z872" s="2">
        <f t="shared" si="480"/>
        <v>2</v>
      </c>
      <c r="AA872" s="4">
        <f t="shared" si="481"/>
        <v>300000</v>
      </c>
      <c r="AB872" s="4">
        <f t="shared" si="482"/>
        <v>140000</v>
      </c>
      <c r="AC872" s="4" t="s">
        <v>27</v>
      </c>
      <c r="AD872" s="16">
        <f>IFERROR(VLOOKUP(AC872,'Kode Diskon'!$C$2:$D$9,2,0),0)</f>
        <v>0.15</v>
      </c>
      <c r="AE872" s="31">
        <f t="shared" si="483"/>
        <v>45000</v>
      </c>
      <c r="AF872" s="31">
        <f t="shared" si="484"/>
        <v>255000</v>
      </c>
      <c r="AG872" s="31">
        <f t="shared" si="485"/>
        <v>160000</v>
      </c>
      <c r="AH872" s="31">
        <f t="shared" si="486"/>
        <v>115000</v>
      </c>
      <c r="AI872" s="4" t="s">
        <v>28</v>
      </c>
      <c r="AJ872" s="4" t="s">
        <v>13</v>
      </c>
      <c r="AK872" s="4" t="str">
        <f>IFERROR(VLOOKUP(AJ872,'Guide '!$A$13:$B$16,2,0),"-")</f>
        <v>BB</v>
      </c>
      <c r="AL872" s="4" t="s">
        <v>922</v>
      </c>
      <c r="AM872" s="40">
        <v>45614</v>
      </c>
      <c r="AN872">
        <f t="shared" si="487"/>
        <v>29</v>
      </c>
      <c r="AO872">
        <f t="shared" si="488"/>
        <v>32</v>
      </c>
      <c r="AP872">
        <f t="shared" si="489"/>
        <v>40</v>
      </c>
      <c r="AQ872">
        <f t="shared" si="490"/>
        <v>43</v>
      </c>
      <c r="AR872" s="26" t="str">
        <f t="shared" si="491"/>
        <v>-</v>
      </c>
      <c r="AS872" s="26" t="str">
        <f t="shared" si="492"/>
        <v>-</v>
      </c>
      <c r="AT872" s="21">
        <f t="shared" si="493"/>
        <v>12</v>
      </c>
      <c r="AU872" s="21">
        <f t="shared" si="494"/>
        <v>19</v>
      </c>
      <c r="AV872" t="str">
        <f t="shared" si="495"/>
        <v>-</v>
      </c>
      <c r="AW872" t="str">
        <f t="shared" si="496"/>
        <v>-</v>
      </c>
      <c r="AX872" t="str">
        <f t="shared" si="497"/>
        <v>-</v>
      </c>
      <c r="AY872" t="str">
        <f t="shared" si="498"/>
        <v>-</v>
      </c>
      <c r="AZ872" t="str">
        <f t="shared" si="499"/>
        <v>-</v>
      </c>
      <c r="BA872" t="str">
        <f t="shared" si="500"/>
        <v>-</v>
      </c>
      <c r="BB872" t="str">
        <f t="shared" si="501"/>
        <v>-</v>
      </c>
      <c r="BC872" t="str">
        <f t="shared" si="502"/>
        <v>-</v>
      </c>
      <c r="BD872" s="29" t="str">
        <f t="shared" si="503"/>
        <v>-</v>
      </c>
      <c r="BE872" s="29" t="str">
        <f t="shared" si="504"/>
        <v>-</v>
      </c>
    </row>
    <row r="873" spans="1:57" ht="15" x14ac:dyDescent="0.2">
      <c r="A873" s="2">
        <v>557</v>
      </c>
      <c r="B873" s="2" t="str">
        <f t="shared" si="469"/>
        <v>0557</v>
      </c>
      <c r="C873" t="str">
        <f t="shared" si="470"/>
        <v>ORD-SP-0557-18/11/24</v>
      </c>
      <c r="D873" s="3" t="s">
        <v>579</v>
      </c>
      <c r="E873" t="str">
        <f t="shared" si="471"/>
        <v>PW002</v>
      </c>
      <c r="F873" t="str">
        <f>INDEX(Katalog!$B$4:$B$13,MATCH('Main Data'!E873,Katalog!$C$4:$C$13,0))</f>
        <v>Blouse</v>
      </c>
      <c r="G873" t="str">
        <f>VLOOKUP(E873,Katalog!$A$15:$B$25,2,0)</f>
        <v>Pakaian Wanita</v>
      </c>
      <c r="H873" t="str">
        <f t="shared" si="472"/>
        <v>1</v>
      </c>
      <c r="I873" t="str">
        <f t="shared" si="473"/>
        <v>4</v>
      </c>
      <c r="J873" s="18">
        <f>VLOOKUP(E873,Katalog!$C$3:$F$13,2,0)</f>
        <v>125000</v>
      </c>
      <c r="K873" s="18">
        <f>VLOOKUP(E873,Katalog!$C$3:$F$13,3,0)</f>
        <v>50000</v>
      </c>
      <c r="L873" t="str">
        <f t="shared" si="474"/>
        <v>PP001</v>
      </c>
      <c r="M873" t="str">
        <f>IFERROR(INDEX(Katalog!$B$4:$B$13,MATCH('Main Data'!L873,Katalog!$C$4:$C$13,0)), "-")</f>
        <v>Kaos Polo</v>
      </c>
      <c r="N873" t="str">
        <f>IFERROR(VLOOKUP(L873,Katalog!$A$15:$B$25,2,0),"-")</f>
        <v>Pakaian Pria</v>
      </c>
      <c r="O873" t="str">
        <f t="shared" si="475"/>
        <v>1</v>
      </c>
      <c r="P873" t="str">
        <f t="shared" si="476"/>
        <v>3</v>
      </c>
      <c r="Q873" s="18">
        <f>IFERROR(VLOOKUP(L873,Katalog!$C$3:$F$13,2,0),0)</f>
        <v>80000</v>
      </c>
      <c r="R873" s="18">
        <f>IFERROR(VLOOKUP(L873,Katalog!$C$3:$F$13,3,0),0)</f>
        <v>30000</v>
      </c>
      <c r="S873" t="str">
        <f t="shared" si="477"/>
        <v>-</v>
      </c>
      <c r="T873" t="str">
        <f>IFERROR(INDEX(Katalog!$B$4:$B$13,MATCH('Main Data'!S873,Katalog!$C$4:$C$13,0)),"-")</f>
        <v>-</v>
      </c>
      <c r="U873" t="str">
        <f>IFERROR(VLOOKUP(S873,Katalog!$A$15:$B$25,2,0),"-")</f>
        <v>-</v>
      </c>
      <c r="V873">
        <f t="shared" si="478"/>
        <v>0</v>
      </c>
      <c r="W873" s="28" t="str">
        <f t="shared" si="479"/>
        <v>-</v>
      </c>
      <c r="X873" s="18">
        <f>IFERROR(VLOOKUP(S873,Katalog!$C$3:$F$13,2,0),0)</f>
        <v>0</v>
      </c>
      <c r="Y873" s="30">
        <f>IFERROR(VLOOKUP(S873,Katalog!$C$3:$F$13,3,0),0)</f>
        <v>0</v>
      </c>
      <c r="Z873" s="2">
        <f t="shared" si="480"/>
        <v>2</v>
      </c>
      <c r="AA873" s="4">
        <f t="shared" si="481"/>
        <v>205000</v>
      </c>
      <c r="AB873" s="4">
        <f t="shared" si="482"/>
        <v>80000</v>
      </c>
      <c r="AC873" s="4" t="s">
        <v>12</v>
      </c>
      <c r="AD873" s="16">
        <f>IFERROR(VLOOKUP(AC873,'Kode Diskon'!$C$2:$D$9,2,0),0)</f>
        <v>0.15</v>
      </c>
      <c r="AE873" s="31">
        <f t="shared" si="483"/>
        <v>30750</v>
      </c>
      <c r="AF873" s="31">
        <f t="shared" si="484"/>
        <v>174250</v>
      </c>
      <c r="AG873" s="31">
        <f t="shared" si="485"/>
        <v>125000</v>
      </c>
      <c r="AH873" s="31">
        <f t="shared" si="486"/>
        <v>94250</v>
      </c>
      <c r="AI873" s="4" t="s">
        <v>28</v>
      </c>
      <c r="AJ873" s="4" t="s">
        <v>6</v>
      </c>
      <c r="AK873" s="4" t="str">
        <f>IFERROR(VLOOKUP(AJ873,'Guide '!$A$13:$B$16,2,0),"-")</f>
        <v>SP</v>
      </c>
      <c r="AL873" s="4" t="s">
        <v>921</v>
      </c>
      <c r="AM873" s="40">
        <v>45614</v>
      </c>
      <c r="AN873">
        <f t="shared" si="487"/>
        <v>29</v>
      </c>
      <c r="AO873">
        <f t="shared" si="488"/>
        <v>32</v>
      </c>
      <c r="AP873">
        <f t="shared" si="489"/>
        <v>40</v>
      </c>
      <c r="AQ873">
        <f t="shared" si="490"/>
        <v>43</v>
      </c>
      <c r="AR873" s="26">
        <f t="shared" si="491"/>
        <v>56</v>
      </c>
      <c r="AS873" s="26">
        <f t="shared" si="492"/>
        <v>63</v>
      </c>
      <c r="AT873" s="21">
        <f t="shared" si="493"/>
        <v>12</v>
      </c>
      <c r="AU873" s="21">
        <f t="shared" si="494"/>
        <v>19</v>
      </c>
      <c r="AV873">
        <f t="shared" si="495"/>
        <v>73</v>
      </c>
      <c r="AW873">
        <f t="shared" si="496"/>
        <v>76</v>
      </c>
      <c r="AX873">
        <f t="shared" si="497"/>
        <v>84</v>
      </c>
      <c r="AY873">
        <f t="shared" si="498"/>
        <v>87</v>
      </c>
      <c r="AZ873" t="str">
        <f t="shared" si="499"/>
        <v>-</v>
      </c>
      <c r="BA873" t="str">
        <f t="shared" si="500"/>
        <v>-</v>
      </c>
      <c r="BB873" t="str">
        <f t="shared" si="501"/>
        <v>-</v>
      </c>
      <c r="BC873" t="str">
        <f t="shared" si="502"/>
        <v>-</v>
      </c>
      <c r="BD873" s="29" t="str">
        <f t="shared" si="503"/>
        <v>-</v>
      </c>
      <c r="BE873" s="29" t="str">
        <f t="shared" si="504"/>
        <v>-</v>
      </c>
    </row>
    <row r="874" spans="1:57" ht="15" x14ac:dyDescent="0.2">
      <c r="A874" s="2">
        <v>686</v>
      </c>
      <c r="B874" s="2" t="str">
        <f t="shared" si="469"/>
        <v>0686</v>
      </c>
      <c r="C874" t="str">
        <f t="shared" si="470"/>
        <v>ORD-SP-0686-18/11/24</v>
      </c>
      <c r="D874" s="3" t="s">
        <v>683</v>
      </c>
      <c r="E874" t="str">
        <f t="shared" si="471"/>
        <v>PW001</v>
      </c>
      <c r="F874" t="str">
        <f>INDEX(Katalog!$B$4:$B$13,MATCH('Main Data'!E874,Katalog!$C$4:$C$13,0))</f>
        <v>Dress</v>
      </c>
      <c r="G874" t="str">
        <f>VLOOKUP(E874,Katalog!$A$15:$B$25,2,0)</f>
        <v>Pakaian Wanita</v>
      </c>
      <c r="H874" t="str">
        <f t="shared" si="472"/>
        <v>2</v>
      </c>
      <c r="I874" t="str">
        <f t="shared" si="473"/>
        <v>5</v>
      </c>
      <c r="J874" s="18">
        <f>VLOOKUP(E874,Katalog!$C$3:$F$13,2,0)</f>
        <v>150000</v>
      </c>
      <c r="K874" s="18">
        <f>VLOOKUP(E874,Katalog!$C$3:$F$13,3,0)</f>
        <v>55000</v>
      </c>
      <c r="L874" t="str">
        <f t="shared" si="474"/>
        <v>PU001</v>
      </c>
      <c r="M874" t="str">
        <f>IFERROR(INDEX(Katalog!$B$4:$B$13,MATCH('Main Data'!L874,Katalog!$C$4:$C$13,0)), "-")</f>
        <v>Jaket Hoodie</v>
      </c>
      <c r="N874" t="str">
        <f>IFERROR(VLOOKUP(L874,Katalog!$A$15:$B$25,2,0),"-")</f>
        <v>Pakaian Unisex</v>
      </c>
      <c r="O874" t="str">
        <f t="shared" si="475"/>
        <v>5</v>
      </c>
      <c r="P874" t="str">
        <f t="shared" si="476"/>
        <v>5</v>
      </c>
      <c r="Q874" s="18">
        <f>IFERROR(VLOOKUP(L874,Katalog!$C$3:$F$13,2,0),0)</f>
        <v>160000</v>
      </c>
      <c r="R874" s="18">
        <f>IFERROR(VLOOKUP(L874,Katalog!$C$3:$F$13,3,0),0)</f>
        <v>60000</v>
      </c>
      <c r="S874" t="str">
        <f t="shared" si="477"/>
        <v>-</v>
      </c>
      <c r="T874" t="str">
        <f>IFERROR(INDEX(Katalog!$B$4:$B$13,MATCH('Main Data'!S874,Katalog!$C$4:$C$13,0)),"-")</f>
        <v>-</v>
      </c>
      <c r="U874" t="str">
        <f>IFERROR(VLOOKUP(S874,Katalog!$A$15:$B$25,2,0),"-")</f>
        <v>-</v>
      </c>
      <c r="V874">
        <f t="shared" si="478"/>
        <v>0</v>
      </c>
      <c r="W874" s="28" t="str">
        <f t="shared" si="479"/>
        <v>-</v>
      </c>
      <c r="X874" s="18">
        <f>IFERROR(VLOOKUP(S874,Katalog!$C$3:$F$13,2,0),0)</f>
        <v>0</v>
      </c>
      <c r="Y874" s="30">
        <f>IFERROR(VLOOKUP(S874,Katalog!$C$3:$F$13,3,0),0)</f>
        <v>0</v>
      </c>
      <c r="Z874" s="2">
        <f t="shared" si="480"/>
        <v>7</v>
      </c>
      <c r="AA874" s="4">
        <f t="shared" si="481"/>
        <v>1100000</v>
      </c>
      <c r="AB874" s="4">
        <f t="shared" si="482"/>
        <v>410000</v>
      </c>
      <c r="AC874" s="4" t="s">
        <v>10</v>
      </c>
      <c r="AD874" s="16">
        <f>IFERROR(VLOOKUP(AC874,'Kode Diskon'!$C$2:$D$9,2,0),0)</f>
        <v>0</v>
      </c>
      <c r="AE874" s="31">
        <f t="shared" si="483"/>
        <v>0</v>
      </c>
      <c r="AF874" s="31">
        <f t="shared" si="484"/>
        <v>1100000</v>
      </c>
      <c r="AG874" s="31">
        <f t="shared" si="485"/>
        <v>690000</v>
      </c>
      <c r="AH874" s="31">
        <f t="shared" si="486"/>
        <v>690000</v>
      </c>
      <c r="AI874" s="4" t="s">
        <v>10</v>
      </c>
      <c r="AJ874" s="4" t="s">
        <v>6</v>
      </c>
      <c r="AK874" s="4" t="str">
        <f>IFERROR(VLOOKUP(AJ874,'Guide '!$A$13:$B$16,2,0),"-")</f>
        <v>SP</v>
      </c>
      <c r="AL874" s="4" t="s">
        <v>1006</v>
      </c>
      <c r="AM874" s="40">
        <v>45614</v>
      </c>
      <c r="AN874">
        <f t="shared" si="487"/>
        <v>29</v>
      </c>
      <c r="AO874">
        <f t="shared" si="488"/>
        <v>32</v>
      </c>
      <c r="AP874">
        <f t="shared" si="489"/>
        <v>40</v>
      </c>
      <c r="AQ874">
        <f t="shared" si="490"/>
        <v>43</v>
      </c>
      <c r="AR874" s="26">
        <f t="shared" si="491"/>
        <v>56</v>
      </c>
      <c r="AS874" s="26">
        <f t="shared" si="492"/>
        <v>63</v>
      </c>
      <c r="AT874" s="21">
        <f t="shared" si="493"/>
        <v>12</v>
      </c>
      <c r="AU874" s="21">
        <f t="shared" si="494"/>
        <v>19</v>
      </c>
      <c r="AV874">
        <f t="shared" si="495"/>
        <v>73</v>
      </c>
      <c r="AW874">
        <f t="shared" si="496"/>
        <v>76</v>
      </c>
      <c r="AX874">
        <f t="shared" si="497"/>
        <v>84</v>
      </c>
      <c r="AY874">
        <f t="shared" si="498"/>
        <v>87</v>
      </c>
      <c r="AZ874" t="str">
        <f t="shared" si="499"/>
        <v>-</v>
      </c>
      <c r="BA874" t="str">
        <f t="shared" si="500"/>
        <v>-</v>
      </c>
      <c r="BB874" t="str">
        <f t="shared" si="501"/>
        <v>-</v>
      </c>
      <c r="BC874" t="str">
        <f t="shared" si="502"/>
        <v>-</v>
      </c>
      <c r="BD874" s="29" t="str">
        <f t="shared" si="503"/>
        <v>-</v>
      </c>
      <c r="BE874" s="29" t="str">
        <f t="shared" si="504"/>
        <v>-</v>
      </c>
    </row>
    <row r="875" spans="1:57" ht="15" x14ac:dyDescent="0.2">
      <c r="A875" s="2">
        <v>800</v>
      </c>
      <c r="B875" s="2" t="str">
        <f t="shared" si="469"/>
        <v>0800</v>
      </c>
      <c r="C875" t="str">
        <f t="shared" si="470"/>
        <v>ORD-SP-0800-18/11/24</v>
      </c>
      <c r="D875" s="3" t="s">
        <v>767</v>
      </c>
      <c r="E875" t="str">
        <f t="shared" si="471"/>
        <v>PW003</v>
      </c>
      <c r="F875" t="str">
        <f>INDEX(Katalog!$B$4:$B$13,MATCH('Main Data'!E875,Katalog!$C$4:$C$13,0))</f>
        <v>Kaftan</v>
      </c>
      <c r="G875" t="str">
        <f>VLOOKUP(E875,Katalog!$A$15:$B$25,2,0)</f>
        <v>Pakaian Wanita</v>
      </c>
      <c r="H875" t="str">
        <f t="shared" si="472"/>
        <v>5</v>
      </c>
      <c r="I875" t="str">
        <f t="shared" si="473"/>
        <v>4</v>
      </c>
      <c r="J875" s="18">
        <f>VLOOKUP(E875,Katalog!$C$3:$F$13,2,0)</f>
        <v>200000</v>
      </c>
      <c r="K875" s="18">
        <f>VLOOKUP(E875,Katalog!$C$3:$F$13,3,0)</f>
        <v>100000</v>
      </c>
      <c r="L875" t="str">
        <f t="shared" si="474"/>
        <v>PP001</v>
      </c>
      <c r="M875" t="str">
        <f>IFERROR(INDEX(Katalog!$B$4:$B$13,MATCH('Main Data'!L875,Katalog!$C$4:$C$13,0)), "-")</f>
        <v>Kaos Polo</v>
      </c>
      <c r="N875" t="str">
        <f>IFERROR(VLOOKUP(L875,Katalog!$A$15:$B$25,2,0),"-")</f>
        <v>Pakaian Pria</v>
      </c>
      <c r="O875" t="str">
        <f t="shared" si="475"/>
        <v>1</v>
      </c>
      <c r="P875" t="str">
        <f t="shared" si="476"/>
        <v>3</v>
      </c>
      <c r="Q875" s="18">
        <f>IFERROR(VLOOKUP(L875,Katalog!$C$3:$F$13,2,0),0)</f>
        <v>80000</v>
      </c>
      <c r="R875" s="18">
        <f>IFERROR(VLOOKUP(L875,Katalog!$C$3:$F$13,3,0),0)</f>
        <v>30000</v>
      </c>
      <c r="S875" t="str">
        <f t="shared" si="477"/>
        <v>-</v>
      </c>
      <c r="T875" t="str">
        <f>IFERROR(INDEX(Katalog!$B$4:$B$13,MATCH('Main Data'!S875,Katalog!$C$4:$C$13,0)),"-")</f>
        <v>-</v>
      </c>
      <c r="U875" t="str">
        <f>IFERROR(VLOOKUP(S875,Katalog!$A$15:$B$25,2,0),"-")</f>
        <v>-</v>
      </c>
      <c r="V875">
        <f t="shared" si="478"/>
        <v>0</v>
      </c>
      <c r="W875" s="28" t="str">
        <f t="shared" si="479"/>
        <v>-</v>
      </c>
      <c r="X875" s="18">
        <f>IFERROR(VLOOKUP(S875,Katalog!$C$3:$F$13,2,0),0)</f>
        <v>0</v>
      </c>
      <c r="Y875" s="30">
        <f>IFERROR(VLOOKUP(S875,Katalog!$C$3:$F$13,3,0),0)</f>
        <v>0</v>
      </c>
      <c r="Z875" s="2">
        <f t="shared" si="480"/>
        <v>6</v>
      </c>
      <c r="AA875" s="4">
        <f t="shared" si="481"/>
        <v>1080000</v>
      </c>
      <c r="AB875" s="4">
        <f t="shared" si="482"/>
        <v>530000</v>
      </c>
      <c r="AC875" s="4" t="s">
        <v>7</v>
      </c>
      <c r="AD875" s="16">
        <f>IFERROR(VLOOKUP(AC875,'Kode Diskon'!$C$2:$D$9,2,0),0)</f>
        <v>0.2</v>
      </c>
      <c r="AE875" s="31">
        <f t="shared" si="483"/>
        <v>216000</v>
      </c>
      <c r="AF875" s="31">
        <f t="shared" si="484"/>
        <v>864000</v>
      </c>
      <c r="AG875" s="31">
        <f t="shared" si="485"/>
        <v>550000</v>
      </c>
      <c r="AH875" s="31">
        <f t="shared" si="486"/>
        <v>334000</v>
      </c>
      <c r="AI875" s="4" t="s">
        <v>8</v>
      </c>
      <c r="AJ875" s="4" t="s">
        <v>6</v>
      </c>
      <c r="AK875" s="4" t="str">
        <f>IFERROR(VLOOKUP(AJ875,'Guide '!$A$13:$B$16,2,0),"-")</f>
        <v>SP</v>
      </c>
      <c r="AL875" s="4" t="s">
        <v>924</v>
      </c>
      <c r="AM875" s="40">
        <v>45614</v>
      </c>
      <c r="AN875">
        <f t="shared" si="487"/>
        <v>29</v>
      </c>
      <c r="AO875">
        <f t="shared" si="488"/>
        <v>32</v>
      </c>
      <c r="AP875">
        <f t="shared" si="489"/>
        <v>40</v>
      </c>
      <c r="AQ875">
        <f t="shared" si="490"/>
        <v>43</v>
      </c>
      <c r="AR875" s="26">
        <f t="shared" si="491"/>
        <v>56</v>
      </c>
      <c r="AS875" s="26">
        <f t="shared" si="492"/>
        <v>63</v>
      </c>
      <c r="AT875" s="21">
        <f t="shared" si="493"/>
        <v>12</v>
      </c>
      <c r="AU875" s="21">
        <f t="shared" si="494"/>
        <v>19</v>
      </c>
      <c r="AV875">
        <f t="shared" si="495"/>
        <v>73</v>
      </c>
      <c r="AW875">
        <f t="shared" si="496"/>
        <v>76</v>
      </c>
      <c r="AX875">
        <f t="shared" si="497"/>
        <v>84</v>
      </c>
      <c r="AY875">
        <f t="shared" si="498"/>
        <v>87</v>
      </c>
      <c r="AZ875" t="str">
        <f t="shared" si="499"/>
        <v>-</v>
      </c>
      <c r="BA875" t="str">
        <f t="shared" si="500"/>
        <v>-</v>
      </c>
      <c r="BB875" t="str">
        <f t="shared" si="501"/>
        <v>-</v>
      </c>
      <c r="BC875" t="str">
        <f t="shared" si="502"/>
        <v>-</v>
      </c>
      <c r="BD875" s="29" t="str">
        <f t="shared" si="503"/>
        <v>-</v>
      </c>
      <c r="BE875" s="29" t="str">
        <f t="shared" si="504"/>
        <v>-</v>
      </c>
    </row>
    <row r="876" spans="1:57" ht="15" x14ac:dyDescent="0.2">
      <c r="A876" s="2">
        <v>961</v>
      </c>
      <c r="B876" s="2" t="str">
        <f t="shared" si="469"/>
        <v>0961</v>
      </c>
      <c r="C876" t="str">
        <f t="shared" si="470"/>
        <v>ORD-TK-0961-18/11/24</v>
      </c>
      <c r="D876" s="3" t="s">
        <v>115</v>
      </c>
      <c r="E876" t="str">
        <f t="shared" si="471"/>
        <v>SP002</v>
      </c>
      <c r="F876" t="str">
        <f>INDEX(Katalog!$B$4:$B$13,MATCH('Main Data'!E876,Katalog!$C$4:$C$13,0))</f>
        <v>Sandal Slip On</v>
      </c>
      <c r="G876" t="str">
        <f>VLOOKUP(E876,Katalog!$A$15:$B$25,2,0)</f>
        <v>Sepatu Pria</v>
      </c>
      <c r="H876" t="str">
        <f t="shared" si="472"/>
        <v>2</v>
      </c>
      <c r="I876" t="str">
        <f t="shared" si="473"/>
        <v>3</v>
      </c>
      <c r="J876" s="18">
        <f>VLOOKUP(E876,Katalog!$C$3:$F$13,2,0)</f>
        <v>120000</v>
      </c>
      <c r="K876" s="18">
        <f>VLOOKUP(E876,Katalog!$C$3:$F$13,3,0)</f>
        <v>60000</v>
      </c>
      <c r="L876" t="str">
        <f t="shared" si="474"/>
        <v>-</v>
      </c>
      <c r="M876" t="str">
        <f>IFERROR(INDEX(Katalog!$B$4:$B$13,MATCH('Main Data'!L876,Katalog!$C$4:$C$13,0)), "-")</f>
        <v>-</v>
      </c>
      <c r="N876" t="str">
        <f>IFERROR(VLOOKUP(L876,Katalog!$A$15:$B$25,2,0),"-")</f>
        <v>-</v>
      </c>
      <c r="O876">
        <f t="shared" si="475"/>
        <v>0</v>
      </c>
      <c r="P876" t="str">
        <f t="shared" si="476"/>
        <v>-</v>
      </c>
      <c r="Q876" s="18">
        <f>IFERROR(VLOOKUP(L876,Katalog!$C$3:$F$13,2,0),0)</f>
        <v>0</v>
      </c>
      <c r="R876" s="18">
        <f>IFERROR(VLOOKUP(L876,Katalog!$C$3:$F$13,3,0),0)</f>
        <v>0</v>
      </c>
      <c r="S876" t="str">
        <f t="shared" si="477"/>
        <v>-</v>
      </c>
      <c r="T876" t="str">
        <f>IFERROR(INDEX(Katalog!$B$4:$B$13,MATCH('Main Data'!S876,Katalog!$C$4:$C$13,0)),"-")</f>
        <v>-</v>
      </c>
      <c r="U876" t="str">
        <f>IFERROR(VLOOKUP(S876,Katalog!$A$15:$B$25,2,0),"-")</f>
        <v>-</v>
      </c>
      <c r="V876">
        <f t="shared" si="478"/>
        <v>0</v>
      </c>
      <c r="W876" s="28" t="str">
        <f t="shared" si="479"/>
        <v>-</v>
      </c>
      <c r="X876" s="18">
        <f>IFERROR(VLOOKUP(S876,Katalog!$C$3:$F$13,2,0),0)</f>
        <v>0</v>
      </c>
      <c r="Y876" s="30">
        <f>IFERROR(VLOOKUP(S876,Katalog!$C$3:$F$13,3,0),0)</f>
        <v>0</v>
      </c>
      <c r="Z876" s="2">
        <f t="shared" si="480"/>
        <v>2</v>
      </c>
      <c r="AA876" s="4">
        <f t="shared" si="481"/>
        <v>240000</v>
      </c>
      <c r="AB876" s="4">
        <f t="shared" si="482"/>
        <v>120000</v>
      </c>
      <c r="AC876" s="4" t="s">
        <v>30</v>
      </c>
      <c r="AD876" s="16">
        <f>IFERROR(VLOOKUP(AC876,'Kode Diskon'!$C$2:$D$9,2,0),0)</f>
        <v>0.1</v>
      </c>
      <c r="AE876" s="31">
        <f t="shared" si="483"/>
        <v>24000</v>
      </c>
      <c r="AF876" s="31">
        <f t="shared" si="484"/>
        <v>216000</v>
      </c>
      <c r="AG876" s="31">
        <f t="shared" si="485"/>
        <v>120000</v>
      </c>
      <c r="AH876" s="31">
        <f t="shared" si="486"/>
        <v>96000</v>
      </c>
      <c r="AI876" s="4" t="s">
        <v>8</v>
      </c>
      <c r="AJ876" s="4" t="s">
        <v>9</v>
      </c>
      <c r="AK876" s="4" t="str">
        <f>IFERROR(VLOOKUP(AJ876,'Guide '!$A$13:$B$16,2,0),"-")</f>
        <v>TK</v>
      </c>
      <c r="AL876" s="4" t="s">
        <v>921</v>
      </c>
      <c r="AM876" s="40">
        <v>45614</v>
      </c>
      <c r="AN876">
        <f t="shared" si="487"/>
        <v>29</v>
      </c>
      <c r="AO876">
        <f t="shared" si="488"/>
        <v>32</v>
      </c>
      <c r="AP876">
        <f t="shared" si="489"/>
        <v>40</v>
      </c>
      <c r="AQ876">
        <f t="shared" si="490"/>
        <v>43</v>
      </c>
      <c r="AR876" s="26" t="str">
        <f t="shared" si="491"/>
        <v>-</v>
      </c>
      <c r="AS876" s="26" t="str">
        <f t="shared" si="492"/>
        <v>-</v>
      </c>
      <c r="AT876" s="21">
        <f t="shared" si="493"/>
        <v>12</v>
      </c>
      <c r="AU876" s="21">
        <f t="shared" si="494"/>
        <v>19</v>
      </c>
      <c r="AV876" t="str">
        <f t="shared" si="495"/>
        <v>-</v>
      </c>
      <c r="AW876" t="str">
        <f t="shared" si="496"/>
        <v>-</v>
      </c>
      <c r="AX876" t="str">
        <f t="shared" si="497"/>
        <v>-</v>
      </c>
      <c r="AY876" t="str">
        <f t="shared" si="498"/>
        <v>-</v>
      </c>
      <c r="AZ876" t="str">
        <f t="shared" si="499"/>
        <v>-</v>
      </c>
      <c r="BA876" t="str">
        <f t="shared" si="500"/>
        <v>-</v>
      </c>
      <c r="BB876" t="str">
        <f t="shared" si="501"/>
        <v>-</v>
      </c>
      <c r="BC876" t="str">
        <f t="shared" si="502"/>
        <v>-</v>
      </c>
      <c r="BD876" s="29" t="str">
        <f t="shared" si="503"/>
        <v>-</v>
      </c>
      <c r="BE876" s="29" t="str">
        <f t="shared" si="504"/>
        <v>-</v>
      </c>
    </row>
    <row r="877" spans="1:57" ht="15" x14ac:dyDescent="0.2">
      <c r="A877" s="2">
        <v>128</v>
      </c>
      <c r="B877" s="2" t="str">
        <f t="shared" si="469"/>
        <v>0128</v>
      </c>
      <c r="C877" t="str">
        <f t="shared" si="470"/>
        <v>ORD-BL-0128-19/11/24</v>
      </c>
      <c r="D877" s="3" t="s">
        <v>112</v>
      </c>
      <c r="E877" t="str">
        <f t="shared" si="471"/>
        <v>PU001</v>
      </c>
      <c r="F877" t="str">
        <f>INDEX(Katalog!$B$4:$B$13,MATCH('Main Data'!E877,Katalog!$C$4:$C$13,0))</f>
        <v>Jaket Hoodie</v>
      </c>
      <c r="G877" t="str">
        <f>VLOOKUP(E877,Katalog!$A$15:$B$25,2,0)</f>
        <v>Pakaian Unisex</v>
      </c>
      <c r="H877" t="str">
        <f t="shared" si="472"/>
        <v>7</v>
      </c>
      <c r="I877" t="str">
        <f t="shared" si="473"/>
        <v>3</v>
      </c>
      <c r="J877" s="18">
        <f>VLOOKUP(E877,Katalog!$C$3:$F$13,2,0)</f>
        <v>160000</v>
      </c>
      <c r="K877" s="18">
        <f>VLOOKUP(E877,Katalog!$C$3:$F$13,3,0)</f>
        <v>60000</v>
      </c>
      <c r="L877" t="str">
        <f t="shared" si="474"/>
        <v>-</v>
      </c>
      <c r="M877" t="str">
        <f>IFERROR(INDEX(Katalog!$B$4:$B$13,MATCH('Main Data'!L877,Katalog!$C$4:$C$13,0)), "-")</f>
        <v>-</v>
      </c>
      <c r="N877" t="str">
        <f>IFERROR(VLOOKUP(L877,Katalog!$A$15:$B$25,2,0),"-")</f>
        <v>-</v>
      </c>
      <c r="O877">
        <f t="shared" si="475"/>
        <v>0</v>
      </c>
      <c r="P877" t="str">
        <f t="shared" si="476"/>
        <v>-</v>
      </c>
      <c r="Q877" s="18">
        <f>IFERROR(VLOOKUP(L877,Katalog!$C$3:$F$13,2,0),0)</f>
        <v>0</v>
      </c>
      <c r="R877" s="18">
        <f>IFERROR(VLOOKUP(L877,Katalog!$C$3:$F$13,3,0),0)</f>
        <v>0</v>
      </c>
      <c r="S877" t="str">
        <f t="shared" si="477"/>
        <v>-</v>
      </c>
      <c r="T877" t="str">
        <f>IFERROR(INDEX(Katalog!$B$4:$B$13,MATCH('Main Data'!S877,Katalog!$C$4:$C$13,0)),"-")</f>
        <v>-</v>
      </c>
      <c r="U877" t="str">
        <f>IFERROR(VLOOKUP(S877,Katalog!$A$15:$B$25,2,0),"-")</f>
        <v>-</v>
      </c>
      <c r="V877">
        <f t="shared" si="478"/>
        <v>0</v>
      </c>
      <c r="W877" s="28" t="str">
        <f t="shared" si="479"/>
        <v>-</v>
      </c>
      <c r="X877" s="18">
        <f>IFERROR(VLOOKUP(S877,Katalog!$C$3:$F$13,2,0),0)</f>
        <v>0</v>
      </c>
      <c r="Y877" s="30">
        <f>IFERROR(VLOOKUP(S877,Katalog!$C$3:$F$13,3,0),0)</f>
        <v>0</v>
      </c>
      <c r="Z877" s="2">
        <f t="shared" si="480"/>
        <v>7</v>
      </c>
      <c r="AA877" s="4">
        <f t="shared" si="481"/>
        <v>1120000</v>
      </c>
      <c r="AB877" s="4">
        <f t="shared" si="482"/>
        <v>420000</v>
      </c>
      <c r="AC877" s="4" t="s">
        <v>31</v>
      </c>
      <c r="AD877" s="16">
        <f>IFERROR(VLOOKUP(AC877,'Kode Diskon'!$C$2:$D$9,2,0),0)</f>
        <v>0.15</v>
      </c>
      <c r="AE877" s="31">
        <f t="shared" si="483"/>
        <v>168000</v>
      </c>
      <c r="AF877" s="31">
        <f t="shared" si="484"/>
        <v>952000</v>
      </c>
      <c r="AG877" s="31">
        <f t="shared" si="485"/>
        <v>700000</v>
      </c>
      <c r="AH877" s="31">
        <f t="shared" si="486"/>
        <v>532000</v>
      </c>
      <c r="AI877" s="4" t="s">
        <v>8</v>
      </c>
      <c r="AJ877" s="4" t="s">
        <v>11</v>
      </c>
      <c r="AK877" s="4" t="str">
        <f>IFERROR(VLOOKUP(AJ877,'Guide '!$A$13:$B$16,2,0),"-")</f>
        <v>BL</v>
      </c>
      <c r="AL877" s="4" t="s">
        <v>925</v>
      </c>
      <c r="AM877" s="40">
        <v>45615</v>
      </c>
      <c r="AN877">
        <f t="shared" si="487"/>
        <v>29</v>
      </c>
      <c r="AO877">
        <f t="shared" si="488"/>
        <v>32</v>
      </c>
      <c r="AP877">
        <f t="shared" si="489"/>
        <v>40</v>
      </c>
      <c r="AQ877">
        <f t="shared" si="490"/>
        <v>43</v>
      </c>
      <c r="AR877" s="26" t="str">
        <f t="shared" si="491"/>
        <v>-</v>
      </c>
      <c r="AS877" s="26" t="str">
        <f t="shared" si="492"/>
        <v>-</v>
      </c>
      <c r="AT877" s="21">
        <f t="shared" si="493"/>
        <v>12</v>
      </c>
      <c r="AU877" s="21">
        <f t="shared" si="494"/>
        <v>19</v>
      </c>
      <c r="AV877" t="str">
        <f t="shared" si="495"/>
        <v>-</v>
      </c>
      <c r="AW877" t="str">
        <f t="shared" si="496"/>
        <v>-</v>
      </c>
      <c r="AX877" t="str">
        <f t="shared" si="497"/>
        <v>-</v>
      </c>
      <c r="AY877" t="str">
        <f t="shared" si="498"/>
        <v>-</v>
      </c>
      <c r="AZ877" t="str">
        <f t="shared" si="499"/>
        <v>-</v>
      </c>
      <c r="BA877" t="str">
        <f t="shared" si="500"/>
        <v>-</v>
      </c>
      <c r="BB877" t="str">
        <f t="shared" si="501"/>
        <v>-</v>
      </c>
      <c r="BC877" t="str">
        <f t="shared" si="502"/>
        <v>-</v>
      </c>
      <c r="BD877" s="29" t="str">
        <f t="shared" si="503"/>
        <v>-</v>
      </c>
      <c r="BE877" s="29" t="str">
        <f t="shared" si="504"/>
        <v>-</v>
      </c>
    </row>
    <row r="878" spans="1:57" ht="15" x14ac:dyDescent="0.2">
      <c r="A878" s="2">
        <v>391</v>
      </c>
      <c r="B878" s="2" t="str">
        <f t="shared" si="469"/>
        <v>0391</v>
      </c>
      <c r="C878" t="str">
        <f t="shared" si="470"/>
        <v>ORD-BB-0391-19/11/24</v>
      </c>
      <c r="D878" s="3" t="s">
        <v>440</v>
      </c>
      <c r="E878" t="str">
        <f t="shared" si="471"/>
        <v>PW003</v>
      </c>
      <c r="F878" t="str">
        <f>INDEX(Katalog!$B$4:$B$13,MATCH('Main Data'!E878,Katalog!$C$4:$C$13,0))</f>
        <v>Kaftan</v>
      </c>
      <c r="G878" t="str">
        <f>VLOOKUP(E878,Katalog!$A$15:$B$25,2,0)</f>
        <v>Pakaian Wanita</v>
      </c>
      <c r="H878" t="str">
        <f t="shared" si="472"/>
        <v>2</v>
      </c>
      <c r="I878" t="str">
        <f t="shared" si="473"/>
        <v>1</v>
      </c>
      <c r="J878" s="18">
        <f>VLOOKUP(E878,Katalog!$C$3:$F$13,2,0)</f>
        <v>200000</v>
      </c>
      <c r="K878" s="18">
        <f>VLOOKUP(E878,Katalog!$C$3:$F$13,3,0)</f>
        <v>100000</v>
      </c>
      <c r="L878" t="str">
        <f t="shared" si="474"/>
        <v>PW002</v>
      </c>
      <c r="M878" t="str">
        <f>IFERROR(INDEX(Katalog!$B$4:$B$13,MATCH('Main Data'!L878,Katalog!$C$4:$C$13,0)), "-")</f>
        <v>Blouse</v>
      </c>
      <c r="N878" t="str">
        <f>IFERROR(VLOOKUP(L878,Katalog!$A$15:$B$25,2,0),"-")</f>
        <v>Pakaian Wanita</v>
      </c>
      <c r="O878" t="str">
        <f t="shared" si="475"/>
        <v>1</v>
      </c>
      <c r="P878" t="str">
        <f t="shared" si="476"/>
        <v>5</v>
      </c>
      <c r="Q878" s="18">
        <f>IFERROR(VLOOKUP(L878,Katalog!$C$3:$F$13,2,0),0)</f>
        <v>125000</v>
      </c>
      <c r="R878" s="18">
        <f>IFERROR(VLOOKUP(L878,Katalog!$C$3:$F$13,3,0),0)</f>
        <v>50000</v>
      </c>
      <c r="S878" t="str">
        <f t="shared" si="477"/>
        <v>PW001</v>
      </c>
      <c r="T878" t="str">
        <f>IFERROR(INDEX(Katalog!$B$4:$B$13,MATCH('Main Data'!S878,Katalog!$C$4:$C$13,0)),"-")</f>
        <v>Dress</v>
      </c>
      <c r="U878" t="str">
        <f>IFERROR(VLOOKUP(S878,Katalog!$A$15:$B$25,2,0),"-")</f>
        <v>Pakaian Wanita</v>
      </c>
      <c r="V878" t="str">
        <f t="shared" si="478"/>
        <v>2</v>
      </c>
      <c r="W878" s="28" t="str">
        <f t="shared" si="479"/>
        <v>3</v>
      </c>
      <c r="X878" s="18">
        <f>IFERROR(VLOOKUP(S878,Katalog!$C$3:$F$13,2,0),0)</f>
        <v>150000</v>
      </c>
      <c r="Y878" s="30">
        <f>IFERROR(VLOOKUP(S878,Katalog!$C$3:$F$13,3,0),0)</f>
        <v>55000</v>
      </c>
      <c r="Z878" s="2">
        <f t="shared" si="480"/>
        <v>5</v>
      </c>
      <c r="AA878" s="4">
        <f t="shared" si="481"/>
        <v>825000</v>
      </c>
      <c r="AB878" s="4">
        <f t="shared" si="482"/>
        <v>360000</v>
      </c>
      <c r="AC878" s="4" t="s">
        <v>10</v>
      </c>
      <c r="AD878" s="16">
        <f>IFERROR(VLOOKUP(AC878,'Kode Diskon'!$C$2:$D$9,2,0),0)</f>
        <v>0</v>
      </c>
      <c r="AE878" s="31">
        <f t="shared" si="483"/>
        <v>0</v>
      </c>
      <c r="AF878" s="31">
        <f t="shared" si="484"/>
        <v>825000</v>
      </c>
      <c r="AG878" s="31">
        <f t="shared" si="485"/>
        <v>465000</v>
      </c>
      <c r="AH878" s="31">
        <f t="shared" si="486"/>
        <v>465000</v>
      </c>
      <c r="AI878" s="4" t="s">
        <v>10</v>
      </c>
      <c r="AJ878" s="4" t="s">
        <v>13</v>
      </c>
      <c r="AK878" s="4" t="str">
        <f>IFERROR(VLOOKUP(AJ878,'Guide '!$A$13:$B$16,2,0),"-")</f>
        <v>BB</v>
      </c>
      <c r="AL878" s="4" t="s">
        <v>925</v>
      </c>
      <c r="AM878" s="40">
        <v>45615</v>
      </c>
      <c r="AN878">
        <f t="shared" si="487"/>
        <v>29</v>
      </c>
      <c r="AO878">
        <f t="shared" si="488"/>
        <v>32</v>
      </c>
      <c r="AP878">
        <f t="shared" si="489"/>
        <v>40</v>
      </c>
      <c r="AQ878">
        <f t="shared" si="490"/>
        <v>43</v>
      </c>
      <c r="AR878" s="26">
        <f t="shared" si="491"/>
        <v>56</v>
      </c>
      <c r="AS878" s="26">
        <f t="shared" si="492"/>
        <v>63</v>
      </c>
      <c r="AT878" s="21">
        <f t="shared" si="493"/>
        <v>12</v>
      </c>
      <c r="AU878" s="21">
        <f t="shared" si="494"/>
        <v>19</v>
      </c>
      <c r="AV878">
        <f t="shared" si="495"/>
        <v>73</v>
      </c>
      <c r="AW878">
        <f t="shared" si="496"/>
        <v>76</v>
      </c>
      <c r="AX878">
        <f t="shared" si="497"/>
        <v>84</v>
      </c>
      <c r="AY878">
        <f t="shared" si="498"/>
        <v>87</v>
      </c>
      <c r="AZ878">
        <f t="shared" si="499"/>
        <v>100</v>
      </c>
      <c r="BA878">
        <f t="shared" si="500"/>
        <v>107</v>
      </c>
      <c r="BB878">
        <f t="shared" si="501"/>
        <v>117</v>
      </c>
      <c r="BC878">
        <f t="shared" si="502"/>
        <v>120</v>
      </c>
      <c r="BD878" s="29">
        <f t="shared" si="503"/>
        <v>128</v>
      </c>
      <c r="BE878" s="29">
        <f t="shared" si="504"/>
        <v>131</v>
      </c>
    </row>
    <row r="879" spans="1:57" ht="15" x14ac:dyDescent="0.2">
      <c r="A879" s="2">
        <v>475</v>
      </c>
      <c r="B879" s="2" t="str">
        <f t="shared" si="469"/>
        <v>0475</v>
      </c>
      <c r="C879" t="str">
        <f t="shared" si="470"/>
        <v>ORD-SP-0475-20/11/24</v>
      </c>
      <c r="D879" s="3" t="s">
        <v>511</v>
      </c>
      <c r="E879" t="str">
        <f t="shared" si="471"/>
        <v>PP002</v>
      </c>
      <c r="F879" t="str">
        <f>INDEX(Katalog!$B$4:$B$13,MATCH('Main Data'!E879,Katalog!$C$4:$C$13,0))</f>
        <v>Celana Pendek</v>
      </c>
      <c r="G879" t="str">
        <f>VLOOKUP(E879,Katalog!$A$15:$B$25,2,0)</f>
        <v>Pakaian Pria</v>
      </c>
      <c r="H879" t="str">
        <f t="shared" si="472"/>
        <v>2</v>
      </c>
      <c r="I879" t="str">
        <f t="shared" si="473"/>
        <v>3</v>
      </c>
      <c r="J879" s="18">
        <f>VLOOKUP(E879,Katalog!$C$3:$F$13,2,0)</f>
        <v>60000</v>
      </c>
      <c r="K879" s="18">
        <f>VLOOKUP(E879,Katalog!$C$3:$F$13,3,0)</f>
        <v>25000</v>
      </c>
      <c r="L879" t="str">
        <f t="shared" si="474"/>
        <v>PW001</v>
      </c>
      <c r="M879" t="str">
        <f>IFERROR(INDEX(Katalog!$B$4:$B$13,MATCH('Main Data'!L879,Katalog!$C$4:$C$13,0)), "-")</f>
        <v>Dress</v>
      </c>
      <c r="N879" t="str">
        <f>IFERROR(VLOOKUP(L879,Katalog!$A$15:$B$25,2,0),"-")</f>
        <v>Pakaian Wanita</v>
      </c>
      <c r="O879" t="str">
        <f t="shared" si="475"/>
        <v>1</v>
      </c>
      <c r="P879" t="str">
        <f t="shared" si="476"/>
        <v>3</v>
      </c>
      <c r="Q879" s="18">
        <f>IFERROR(VLOOKUP(L879,Katalog!$C$3:$F$13,2,0),0)</f>
        <v>150000</v>
      </c>
      <c r="R879" s="18">
        <f>IFERROR(VLOOKUP(L879,Katalog!$C$3:$F$13,3,0),0)</f>
        <v>55000</v>
      </c>
      <c r="S879" t="str">
        <f t="shared" si="477"/>
        <v>-</v>
      </c>
      <c r="T879" t="str">
        <f>IFERROR(INDEX(Katalog!$B$4:$B$13,MATCH('Main Data'!S879,Katalog!$C$4:$C$13,0)),"-")</f>
        <v>-</v>
      </c>
      <c r="U879" t="str">
        <f>IFERROR(VLOOKUP(S879,Katalog!$A$15:$B$25,2,0),"-")</f>
        <v>-</v>
      </c>
      <c r="V879">
        <f t="shared" si="478"/>
        <v>0</v>
      </c>
      <c r="W879" s="28" t="str">
        <f t="shared" si="479"/>
        <v>-</v>
      </c>
      <c r="X879" s="18">
        <f>IFERROR(VLOOKUP(S879,Katalog!$C$3:$F$13,2,0),0)</f>
        <v>0</v>
      </c>
      <c r="Y879" s="30">
        <f>IFERROR(VLOOKUP(S879,Katalog!$C$3:$F$13,3,0),0)</f>
        <v>0</v>
      </c>
      <c r="Z879" s="2">
        <f t="shared" si="480"/>
        <v>3</v>
      </c>
      <c r="AA879" s="4">
        <f t="shared" si="481"/>
        <v>270000</v>
      </c>
      <c r="AB879" s="4">
        <f t="shared" si="482"/>
        <v>105000</v>
      </c>
      <c r="AC879" s="4" t="s">
        <v>5</v>
      </c>
      <c r="AD879" s="16">
        <f>IFERROR(VLOOKUP(AC879,'Kode Diskon'!$C$2:$D$9,2,0),0)</f>
        <v>0.1</v>
      </c>
      <c r="AE879" s="31">
        <f t="shared" si="483"/>
        <v>27000</v>
      </c>
      <c r="AF879" s="31">
        <f t="shared" si="484"/>
        <v>243000</v>
      </c>
      <c r="AG879" s="31">
        <f t="shared" si="485"/>
        <v>165000</v>
      </c>
      <c r="AH879" s="31">
        <f t="shared" si="486"/>
        <v>138000</v>
      </c>
      <c r="AI879" s="4" t="s">
        <v>28</v>
      </c>
      <c r="AJ879" s="4" t="s">
        <v>6</v>
      </c>
      <c r="AK879" s="4" t="str">
        <f>IFERROR(VLOOKUP(AJ879,'Guide '!$A$13:$B$16,2,0),"-")</f>
        <v>SP</v>
      </c>
      <c r="AL879" s="4" t="s">
        <v>921</v>
      </c>
      <c r="AM879" s="40">
        <v>45616</v>
      </c>
      <c r="AN879">
        <f t="shared" si="487"/>
        <v>29</v>
      </c>
      <c r="AO879">
        <f t="shared" si="488"/>
        <v>32</v>
      </c>
      <c r="AP879">
        <f t="shared" si="489"/>
        <v>40</v>
      </c>
      <c r="AQ879">
        <f t="shared" si="490"/>
        <v>43</v>
      </c>
      <c r="AR879" s="26">
        <f t="shared" si="491"/>
        <v>56</v>
      </c>
      <c r="AS879" s="26">
        <f t="shared" si="492"/>
        <v>63</v>
      </c>
      <c r="AT879" s="21">
        <f t="shared" si="493"/>
        <v>12</v>
      </c>
      <c r="AU879" s="21">
        <f t="shared" si="494"/>
        <v>19</v>
      </c>
      <c r="AV879">
        <f t="shared" si="495"/>
        <v>73</v>
      </c>
      <c r="AW879">
        <f t="shared" si="496"/>
        <v>76</v>
      </c>
      <c r="AX879">
        <f t="shared" si="497"/>
        <v>84</v>
      </c>
      <c r="AY879">
        <f t="shared" si="498"/>
        <v>87</v>
      </c>
      <c r="AZ879" t="str">
        <f t="shared" si="499"/>
        <v>-</v>
      </c>
      <c r="BA879" t="str">
        <f t="shared" si="500"/>
        <v>-</v>
      </c>
      <c r="BB879" t="str">
        <f t="shared" si="501"/>
        <v>-</v>
      </c>
      <c r="BC879" t="str">
        <f t="shared" si="502"/>
        <v>-</v>
      </c>
      <c r="BD879" s="29" t="str">
        <f t="shared" si="503"/>
        <v>-</v>
      </c>
      <c r="BE879" s="29" t="str">
        <f t="shared" si="504"/>
        <v>-</v>
      </c>
    </row>
    <row r="880" spans="1:57" ht="15" x14ac:dyDescent="0.2">
      <c r="A880" s="2">
        <v>680</v>
      </c>
      <c r="B880" s="2" t="str">
        <f t="shared" si="469"/>
        <v>0680</v>
      </c>
      <c r="C880" t="str">
        <f t="shared" si="470"/>
        <v>ORD-TK-0680-20/11/24</v>
      </c>
      <c r="D880" s="3" t="s">
        <v>677</v>
      </c>
      <c r="E880" t="str">
        <f t="shared" si="471"/>
        <v>PW002</v>
      </c>
      <c r="F880" t="str">
        <f>INDEX(Katalog!$B$4:$B$13,MATCH('Main Data'!E880,Katalog!$C$4:$C$13,0))</f>
        <v>Blouse</v>
      </c>
      <c r="G880" t="str">
        <f>VLOOKUP(E880,Katalog!$A$15:$B$25,2,0)</f>
        <v>Pakaian Wanita</v>
      </c>
      <c r="H880" t="str">
        <f t="shared" si="472"/>
        <v>2</v>
      </c>
      <c r="I880" t="str">
        <f t="shared" si="473"/>
        <v>1</v>
      </c>
      <c r="J880" s="18">
        <f>VLOOKUP(E880,Katalog!$C$3:$F$13,2,0)</f>
        <v>125000</v>
      </c>
      <c r="K880" s="18">
        <f>VLOOKUP(E880,Katalog!$C$3:$F$13,3,0)</f>
        <v>50000</v>
      </c>
      <c r="L880" t="str">
        <f t="shared" si="474"/>
        <v>PP003</v>
      </c>
      <c r="M880" t="str">
        <f>IFERROR(INDEX(Katalog!$B$4:$B$13,MATCH('Main Data'!L880,Katalog!$C$4:$C$13,0)), "-")</f>
        <v>Jaket Jeans</v>
      </c>
      <c r="N880" t="str">
        <f>IFERROR(VLOOKUP(L880,Katalog!$A$15:$B$25,2,0),"-")</f>
        <v>Pakaian Pria</v>
      </c>
      <c r="O880" t="str">
        <f t="shared" si="475"/>
        <v>1</v>
      </c>
      <c r="P880" t="str">
        <f t="shared" si="476"/>
        <v>1</v>
      </c>
      <c r="Q880" s="18">
        <f>IFERROR(VLOOKUP(L880,Katalog!$C$3:$F$13,2,0),0)</f>
        <v>150000</v>
      </c>
      <c r="R880" s="18">
        <f>IFERROR(VLOOKUP(L880,Katalog!$C$3:$F$13,3,0),0)</f>
        <v>70000</v>
      </c>
      <c r="S880" t="str">
        <f t="shared" si="477"/>
        <v>-</v>
      </c>
      <c r="T880" t="str">
        <f>IFERROR(INDEX(Katalog!$B$4:$B$13,MATCH('Main Data'!S880,Katalog!$C$4:$C$13,0)),"-")</f>
        <v>-</v>
      </c>
      <c r="U880" t="str">
        <f>IFERROR(VLOOKUP(S880,Katalog!$A$15:$B$25,2,0),"-")</f>
        <v>-</v>
      </c>
      <c r="V880">
        <f t="shared" si="478"/>
        <v>0</v>
      </c>
      <c r="W880" s="28" t="str">
        <f t="shared" si="479"/>
        <v>-</v>
      </c>
      <c r="X880" s="18">
        <f>IFERROR(VLOOKUP(S880,Katalog!$C$3:$F$13,2,0),0)</f>
        <v>0</v>
      </c>
      <c r="Y880" s="30">
        <f>IFERROR(VLOOKUP(S880,Katalog!$C$3:$F$13,3,0),0)</f>
        <v>0</v>
      </c>
      <c r="Z880" s="2">
        <f t="shared" si="480"/>
        <v>3</v>
      </c>
      <c r="AA880" s="4">
        <f t="shared" si="481"/>
        <v>400000</v>
      </c>
      <c r="AB880" s="4">
        <f t="shared" si="482"/>
        <v>170000</v>
      </c>
      <c r="AC880" s="4" t="s">
        <v>29</v>
      </c>
      <c r="AD880" s="16">
        <f>IFERROR(VLOOKUP(AC880,'Kode Diskon'!$C$2:$D$9,2,0),0)</f>
        <v>0.1</v>
      </c>
      <c r="AE880" s="31">
        <f t="shared" si="483"/>
        <v>40000</v>
      </c>
      <c r="AF880" s="31">
        <f t="shared" si="484"/>
        <v>360000</v>
      </c>
      <c r="AG880" s="31">
        <f t="shared" si="485"/>
        <v>230000</v>
      </c>
      <c r="AH880" s="31">
        <f t="shared" si="486"/>
        <v>190000</v>
      </c>
      <c r="AI880" s="4" t="s">
        <v>28</v>
      </c>
      <c r="AJ880" s="4" t="s">
        <v>9</v>
      </c>
      <c r="AK880" s="4" t="str">
        <f>IFERROR(VLOOKUP(AJ880,'Guide '!$A$13:$B$16,2,0),"-")</f>
        <v>TK</v>
      </c>
      <c r="AL880" s="4" t="s">
        <v>922</v>
      </c>
      <c r="AM880" s="40">
        <v>45616</v>
      </c>
      <c r="AN880">
        <f t="shared" si="487"/>
        <v>29</v>
      </c>
      <c r="AO880">
        <f t="shared" si="488"/>
        <v>32</v>
      </c>
      <c r="AP880">
        <f t="shared" si="489"/>
        <v>40</v>
      </c>
      <c r="AQ880">
        <f t="shared" si="490"/>
        <v>43</v>
      </c>
      <c r="AR880" s="26">
        <f t="shared" si="491"/>
        <v>56</v>
      </c>
      <c r="AS880" s="26">
        <f t="shared" si="492"/>
        <v>63</v>
      </c>
      <c r="AT880" s="21">
        <f t="shared" si="493"/>
        <v>12</v>
      </c>
      <c r="AU880" s="21">
        <f t="shared" si="494"/>
        <v>19</v>
      </c>
      <c r="AV880">
        <f t="shared" si="495"/>
        <v>73</v>
      </c>
      <c r="AW880">
        <f t="shared" si="496"/>
        <v>76</v>
      </c>
      <c r="AX880">
        <f t="shared" si="497"/>
        <v>84</v>
      </c>
      <c r="AY880">
        <f t="shared" si="498"/>
        <v>87</v>
      </c>
      <c r="AZ880" t="str">
        <f t="shared" si="499"/>
        <v>-</v>
      </c>
      <c r="BA880" t="str">
        <f t="shared" si="500"/>
        <v>-</v>
      </c>
      <c r="BB880" t="str">
        <f t="shared" si="501"/>
        <v>-</v>
      </c>
      <c r="BC880" t="str">
        <f t="shared" si="502"/>
        <v>-</v>
      </c>
      <c r="BD880" s="29" t="str">
        <f t="shared" si="503"/>
        <v>-</v>
      </c>
      <c r="BE880" s="29" t="str">
        <f t="shared" si="504"/>
        <v>-</v>
      </c>
    </row>
    <row r="881" spans="1:57" ht="15" x14ac:dyDescent="0.2">
      <c r="A881" s="2">
        <v>437</v>
      </c>
      <c r="B881" s="2" t="str">
        <f t="shared" si="469"/>
        <v>0437</v>
      </c>
      <c r="C881" t="str">
        <f t="shared" si="470"/>
        <v>ORD-TK-0437-21/11/24</v>
      </c>
      <c r="D881" s="3" t="s">
        <v>368</v>
      </c>
      <c r="E881" t="str">
        <f t="shared" si="471"/>
        <v>SP002</v>
      </c>
      <c r="F881" t="str">
        <f>INDEX(Katalog!$B$4:$B$13,MATCH('Main Data'!E881,Katalog!$C$4:$C$13,0))</f>
        <v>Sandal Slip On</v>
      </c>
      <c r="G881" t="str">
        <f>VLOOKUP(E881,Katalog!$A$15:$B$25,2,0)</f>
        <v>Sepatu Pria</v>
      </c>
      <c r="H881" t="str">
        <f t="shared" si="472"/>
        <v>4</v>
      </c>
      <c r="I881" t="str">
        <f t="shared" si="473"/>
        <v>5</v>
      </c>
      <c r="J881" s="18">
        <f>VLOOKUP(E881,Katalog!$C$3:$F$13,2,0)</f>
        <v>120000</v>
      </c>
      <c r="K881" s="18">
        <f>VLOOKUP(E881,Katalog!$C$3:$F$13,3,0)</f>
        <v>60000</v>
      </c>
      <c r="L881" t="str">
        <f t="shared" si="474"/>
        <v>-</v>
      </c>
      <c r="M881" t="str">
        <f>IFERROR(INDEX(Katalog!$B$4:$B$13,MATCH('Main Data'!L881,Katalog!$C$4:$C$13,0)), "-")</f>
        <v>-</v>
      </c>
      <c r="N881" t="str">
        <f>IFERROR(VLOOKUP(L881,Katalog!$A$15:$B$25,2,0),"-")</f>
        <v>-</v>
      </c>
      <c r="O881">
        <f t="shared" si="475"/>
        <v>0</v>
      </c>
      <c r="P881" t="str">
        <f t="shared" si="476"/>
        <v>-</v>
      </c>
      <c r="Q881" s="18">
        <f>IFERROR(VLOOKUP(L881,Katalog!$C$3:$F$13,2,0),0)</f>
        <v>0</v>
      </c>
      <c r="R881" s="18">
        <f>IFERROR(VLOOKUP(L881,Katalog!$C$3:$F$13,3,0),0)</f>
        <v>0</v>
      </c>
      <c r="S881" t="str">
        <f t="shared" si="477"/>
        <v>-</v>
      </c>
      <c r="T881" t="str">
        <f>IFERROR(INDEX(Katalog!$B$4:$B$13,MATCH('Main Data'!S881,Katalog!$C$4:$C$13,0)),"-")</f>
        <v>-</v>
      </c>
      <c r="U881" t="str">
        <f>IFERROR(VLOOKUP(S881,Katalog!$A$15:$B$25,2,0),"-")</f>
        <v>-</v>
      </c>
      <c r="V881">
        <f t="shared" si="478"/>
        <v>0</v>
      </c>
      <c r="W881" s="28" t="str">
        <f t="shared" si="479"/>
        <v>-</v>
      </c>
      <c r="X881" s="18">
        <f>IFERROR(VLOOKUP(S881,Katalog!$C$3:$F$13,2,0),0)</f>
        <v>0</v>
      </c>
      <c r="Y881" s="30">
        <f>IFERROR(VLOOKUP(S881,Katalog!$C$3:$F$13,3,0),0)</f>
        <v>0</v>
      </c>
      <c r="Z881" s="2">
        <f t="shared" si="480"/>
        <v>4</v>
      </c>
      <c r="AA881" s="4">
        <f t="shared" si="481"/>
        <v>480000</v>
      </c>
      <c r="AB881" s="4">
        <f t="shared" si="482"/>
        <v>240000</v>
      </c>
      <c r="AC881" s="4" t="s">
        <v>10</v>
      </c>
      <c r="AD881" s="16">
        <f>IFERROR(VLOOKUP(AC881,'Kode Diskon'!$C$2:$D$9,2,0),0)</f>
        <v>0</v>
      </c>
      <c r="AE881" s="31">
        <f t="shared" si="483"/>
        <v>0</v>
      </c>
      <c r="AF881" s="31">
        <f t="shared" si="484"/>
        <v>480000</v>
      </c>
      <c r="AG881" s="31">
        <f t="shared" si="485"/>
        <v>240000</v>
      </c>
      <c r="AH881" s="31">
        <f t="shared" si="486"/>
        <v>240000</v>
      </c>
      <c r="AI881" s="4" t="s">
        <v>10</v>
      </c>
      <c r="AJ881" s="4" t="s">
        <v>9</v>
      </c>
      <c r="AK881" s="4" t="str">
        <f>IFERROR(VLOOKUP(AJ881,'Guide '!$A$13:$B$16,2,0),"-")</f>
        <v>TK</v>
      </c>
      <c r="AL881" s="4" t="s">
        <v>925</v>
      </c>
      <c r="AM881" s="40">
        <v>45617</v>
      </c>
      <c r="AN881">
        <f t="shared" si="487"/>
        <v>29</v>
      </c>
      <c r="AO881">
        <f t="shared" si="488"/>
        <v>32</v>
      </c>
      <c r="AP881">
        <f t="shared" si="489"/>
        <v>40</v>
      </c>
      <c r="AQ881">
        <f t="shared" si="490"/>
        <v>43</v>
      </c>
      <c r="AR881" s="26" t="str">
        <f t="shared" si="491"/>
        <v>-</v>
      </c>
      <c r="AS881" s="26" t="str">
        <f t="shared" si="492"/>
        <v>-</v>
      </c>
      <c r="AT881" s="21">
        <f t="shared" si="493"/>
        <v>12</v>
      </c>
      <c r="AU881" s="21">
        <f t="shared" si="494"/>
        <v>19</v>
      </c>
      <c r="AV881" t="str">
        <f t="shared" si="495"/>
        <v>-</v>
      </c>
      <c r="AW881" t="str">
        <f t="shared" si="496"/>
        <v>-</v>
      </c>
      <c r="AX881" t="str">
        <f t="shared" si="497"/>
        <v>-</v>
      </c>
      <c r="AY881" t="str">
        <f t="shared" si="498"/>
        <v>-</v>
      </c>
      <c r="AZ881" t="str">
        <f t="shared" si="499"/>
        <v>-</v>
      </c>
      <c r="BA881" t="str">
        <f t="shared" si="500"/>
        <v>-</v>
      </c>
      <c r="BB881" t="str">
        <f t="shared" si="501"/>
        <v>-</v>
      </c>
      <c r="BC881" t="str">
        <f t="shared" si="502"/>
        <v>-</v>
      </c>
      <c r="BD881" s="29" t="str">
        <f t="shared" si="503"/>
        <v>-</v>
      </c>
      <c r="BE881" s="29" t="str">
        <f t="shared" si="504"/>
        <v>-</v>
      </c>
    </row>
    <row r="882" spans="1:57" ht="15" x14ac:dyDescent="0.2">
      <c r="A882" s="2">
        <v>462</v>
      </c>
      <c r="B882" s="2" t="str">
        <f t="shared" si="469"/>
        <v>0462</v>
      </c>
      <c r="C882" t="str">
        <f t="shared" si="470"/>
        <v>ORD-SP-0462-21/11/24</v>
      </c>
      <c r="D882" s="3" t="s">
        <v>500</v>
      </c>
      <c r="E882" t="str">
        <f t="shared" si="471"/>
        <v>PW003</v>
      </c>
      <c r="F882" t="str">
        <f>INDEX(Katalog!$B$4:$B$13,MATCH('Main Data'!E882,Katalog!$C$4:$C$13,0))</f>
        <v>Kaftan</v>
      </c>
      <c r="G882" t="str">
        <f>VLOOKUP(E882,Katalog!$A$15:$B$25,2,0)</f>
        <v>Pakaian Wanita</v>
      </c>
      <c r="H882" t="str">
        <f t="shared" si="472"/>
        <v>2</v>
      </c>
      <c r="I882" t="str">
        <f t="shared" si="473"/>
        <v>4</v>
      </c>
      <c r="J882" s="18">
        <f>VLOOKUP(E882,Katalog!$C$3:$F$13,2,0)</f>
        <v>200000</v>
      </c>
      <c r="K882" s="18">
        <f>VLOOKUP(E882,Katalog!$C$3:$F$13,3,0)</f>
        <v>100000</v>
      </c>
      <c r="L882" t="str">
        <f t="shared" si="474"/>
        <v>-</v>
      </c>
      <c r="M882" t="str">
        <f>IFERROR(INDEX(Katalog!$B$4:$B$13,MATCH('Main Data'!L882,Katalog!$C$4:$C$13,0)), "-")</f>
        <v>-</v>
      </c>
      <c r="N882" t="str">
        <f>IFERROR(VLOOKUP(L882,Katalog!$A$15:$B$25,2,0),"-")</f>
        <v>-</v>
      </c>
      <c r="O882">
        <f t="shared" si="475"/>
        <v>0</v>
      </c>
      <c r="P882" t="str">
        <f t="shared" si="476"/>
        <v>-</v>
      </c>
      <c r="Q882" s="18">
        <f>IFERROR(VLOOKUP(L882,Katalog!$C$3:$F$13,2,0),0)</f>
        <v>0</v>
      </c>
      <c r="R882" s="18">
        <f>IFERROR(VLOOKUP(L882,Katalog!$C$3:$F$13,3,0),0)</f>
        <v>0</v>
      </c>
      <c r="S882" t="str">
        <f t="shared" si="477"/>
        <v>-</v>
      </c>
      <c r="T882" t="str">
        <f>IFERROR(INDEX(Katalog!$B$4:$B$13,MATCH('Main Data'!S882,Katalog!$C$4:$C$13,0)),"-")</f>
        <v>-</v>
      </c>
      <c r="U882" t="str">
        <f>IFERROR(VLOOKUP(S882,Katalog!$A$15:$B$25,2,0),"-")</f>
        <v>-</v>
      </c>
      <c r="V882">
        <f t="shared" si="478"/>
        <v>0</v>
      </c>
      <c r="W882" s="28" t="str">
        <f t="shared" si="479"/>
        <v>-</v>
      </c>
      <c r="X882" s="18">
        <f>IFERROR(VLOOKUP(S882,Katalog!$C$3:$F$13,2,0),0)</f>
        <v>0</v>
      </c>
      <c r="Y882" s="30">
        <f>IFERROR(VLOOKUP(S882,Katalog!$C$3:$F$13,3,0),0)</f>
        <v>0</v>
      </c>
      <c r="Z882" s="2">
        <f t="shared" si="480"/>
        <v>2</v>
      </c>
      <c r="AA882" s="4">
        <f t="shared" si="481"/>
        <v>400000</v>
      </c>
      <c r="AB882" s="4">
        <f t="shared" si="482"/>
        <v>200000</v>
      </c>
      <c r="AC882" s="4" t="s">
        <v>7</v>
      </c>
      <c r="AD882" s="16">
        <f>IFERROR(VLOOKUP(AC882,'Kode Diskon'!$C$2:$D$9,2,0),0)</f>
        <v>0.2</v>
      </c>
      <c r="AE882" s="31">
        <f t="shared" si="483"/>
        <v>80000</v>
      </c>
      <c r="AF882" s="31">
        <f t="shared" si="484"/>
        <v>320000</v>
      </c>
      <c r="AG882" s="31">
        <f t="shared" si="485"/>
        <v>200000</v>
      </c>
      <c r="AH882" s="31">
        <f t="shared" si="486"/>
        <v>120000</v>
      </c>
      <c r="AI882" s="4" t="s">
        <v>8</v>
      </c>
      <c r="AJ882" s="4" t="s">
        <v>6</v>
      </c>
      <c r="AK882" s="4" t="str">
        <f>IFERROR(VLOOKUP(AJ882,'Guide '!$A$13:$B$16,2,0),"-")</f>
        <v>SP</v>
      </c>
      <c r="AL882" s="4" t="s">
        <v>925</v>
      </c>
      <c r="AM882" s="40">
        <v>45617</v>
      </c>
      <c r="AN882">
        <f t="shared" si="487"/>
        <v>29</v>
      </c>
      <c r="AO882">
        <f t="shared" si="488"/>
        <v>32</v>
      </c>
      <c r="AP882">
        <f t="shared" si="489"/>
        <v>40</v>
      </c>
      <c r="AQ882">
        <f t="shared" si="490"/>
        <v>43</v>
      </c>
      <c r="AR882" s="26" t="str">
        <f t="shared" si="491"/>
        <v>-</v>
      </c>
      <c r="AS882" s="26" t="str">
        <f t="shared" si="492"/>
        <v>-</v>
      </c>
      <c r="AT882" s="21">
        <f t="shared" si="493"/>
        <v>12</v>
      </c>
      <c r="AU882" s="21">
        <f t="shared" si="494"/>
        <v>19</v>
      </c>
      <c r="AV882" t="str">
        <f t="shared" si="495"/>
        <v>-</v>
      </c>
      <c r="AW882" t="str">
        <f t="shared" si="496"/>
        <v>-</v>
      </c>
      <c r="AX882" t="str">
        <f t="shared" si="497"/>
        <v>-</v>
      </c>
      <c r="AY882" t="str">
        <f t="shared" si="498"/>
        <v>-</v>
      </c>
      <c r="AZ882" t="str">
        <f t="shared" si="499"/>
        <v>-</v>
      </c>
      <c r="BA882" t="str">
        <f t="shared" si="500"/>
        <v>-</v>
      </c>
      <c r="BB882" t="str">
        <f t="shared" si="501"/>
        <v>-</v>
      </c>
      <c r="BC882" t="str">
        <f t="shared" si="502"/>
        <v>-</v>
      </c>
      <c r="BD882" s="29" t="str">
        <f t="shared" si="503"/>
        <v>-</v>
      </c>
      <c r="BE882" s="29" t="str">
        <f t="shared" si="504"/>
        <v>-</v>
      </c>
    </row>
    <row r="883" spans="1:57" ht="15" x14ac:dyDescent="0.2">
      <c r="A883" s="2">
        <v>485</v>
      </c>
      <c r="B883" s="2" t="str">
        <f t="shared" si="469"/>
        <v>0485</v>
      </c>
      <c r="C883" t="str">
        <f t="shared" si="470"/>
        <v>ORD-TK-0485-21/11/24</v>
      </c>
      <c r="D883" s="3" t="s">
        <v>502</v>
      </c>
      <c r="E883" t="str">
        <f t="shared" si="471"/>
        <v>SP001</v>
      </c>
      <c r="F883" t="str">
        <f>INDEX(Katalog!$B$4:$B$13,MATCH('Main Data'!E883,Katalog!$C$4:$C$13,0))</f>
        <v>Sneakers</v>
      </c>
      <c r="G883" t="str">
        <f>VLOOKUP(E883,Katalog!$A$15:$B$25,2,0)</f>
        <v>Sepatu Pria</v>
      </c>
      <c r="H883" t="str">
        <f t="shared" si="472"/>
        <v>2</v>
      </c>
      <c r="I883" t="str">
        <f t="shared" si="473"/>
        <v>4</v>
      </c>
      <c r="J883" s="18">
        <f>VLOOKUP(E883,Katalog!$C$3:$F$13,2,0)</f>
        <v>300000</v>
      </c>
      <c r="K883" s="18">
        <f>VLOOKUP(E883,Katalog!$C$3:$F$13,3,0)</f>
        <v>100000</v>
      </c>
      <c r="L883" t="str">
        <f t="shared" si="474"/>
        <v>-</v>
      </c>
      <c r="M883" t="str">
        <f>IFERROR(INDEX(Katalog!$B$4:$B$13,MATCH('Main Data'!L883,Katalog!$C$4:$C$13,0)), "-")</f>
        <v>-</v>
      </c>
      <c r="N883" t="str">
        <f>IFERROR(VLOOKUP(L883,Katalog!$A$15:$B$25,2,0),"-")</f>
        <v>-</v>
      </c>
      <c r="O883">
        <f t="shared" si="475"/>
        <v>0</v>
      </c>
      <c r="P883" t="str">
        <f t="shared" si="476"/>
        <v>-</v>
      </c>
      <c r="Q883" s="18">
        <f>IFERROR(VLOOKUP(L883,Katalog!$C$3:$F$13,2,0),0)</f>
        <v>0</v>
      </c>
      <c r="R883" s="18">
        <f>IFERROR(VLOOKUP(L883,Katalog!$C$3:$F$13,3,0),0)</f>
        <v>0</v>
      </c>
      <c r="S883" t="str">
        <f t="shared" si="477"/>
        <v>-</v>
      </c>
      <c r="T883" t="str">
        <f>IFERROR(INDEX(Katalog!$B$4:$B$13,MATCH('Main Data'!S883,Katalog!$C$4:$C$13,0)),"-")</f>
        <v>-</v>
      </c>
      <c r="U883" t="str">
        <f>IFERROR(VLOOKUP(S883,Katalog!$A$15:$B$25,2,0),"-")</f>
        <v>-</v>
      </c>
      <c r="V883">
        <f t="shared" si="478"/>
        <v>0</v>
      </c>
      <c r="W883" s="28" t="str">
        <f t="shared" si="479"/>
        <v>-</v>
      </c>
      <c r="X883" s="18">
        <f>IFERROR(VLOOKUP(S883,Katalog!$C$3:$F$13,2,0),0)</f>
        <v>0</v>
      </c>
      <c r="Y883" s="30">
        <f>IFERROR(VLOOKUP(S883,Katalog!$C$3:$F$13,3,0),0)</f>
        <v>0</v>
      </c>
      <c r="Z883" s="2">
        <f t="shared" si="480"/>
        <v>2</v>
      </c>
      <c r="AA883" s="4">
        <f t="shared" si="481"/>
        <v>600000</v>
      </c>
      <c r="AB883" s="4">
        <f t="shared" si="482"/>
        <v>200000</v>
      </c>
      <c r="AC883" s="4" t="s">
        <v>29</v>
      </c>
      <c r="AD883" s="16">
        <f>IFERROR(VLOOKUP(AC883,'Kode Diskon'!$C$2:$D$9,2,0),0)</f>
        <v>0.1</v>
      </c>
      <c r="AE883" s="31">
        <f t="shared" si="483"/>
        <v>60000</v>
      </c>
      <c r="AF883" s="31">
        <f t="shared" si="484"/>
        <v>540000</v>
      </c>
      <c r="AG883" s="31">
        <f t="shared" si="485"/>
        <v>400000</v>
      </c>
      <c r="AH883" s="31">
        <f t="shared" si="486"/>
        <v>340000</v>
      </c>
      <c r="AI883" s="4" t="s">
        <v>28</v>
      </c>
      <c r="AJ883" s="4" t="s">
        <v>9</v>
      </c>
      <c r="AK883" s="4" t="str">
        <f>IFERROR(VLOOKUP(AJ883,'Guide '!$A$13:$B$16,2,0),"-")</f>
        <v>TK</v>
      </c>
      <c r="AL883" s="4" t="s">
        <v>922</v>
      </c>
      <c r="AM883" s="40">
        <v>45617</v>
      </c>
      <c r="AN883">
        <f t="shared" si="487"/>
        <v>29</v>
      </c>
      <c r="AO883">
        <f t="shared" si="488"/>
        <v>32</v>
      </c>
      <c r="AP883">
        <f t="shared" si="489"/>
        <v>40</v>
      </c>
      <c r="AQ883">
        <f t="shared" si="490"/>
        <v>43</v>
      </c>
      <c r="AR883" s="26" t="str">
        <f t="shared" si="491"/>
        <v>-</v>
      </c>
      <c r="AS883" s="26" t="str">
        <f t="shared" si="492"/>
        <v>-</v>
      </c>
      <c r="AT883" s="21">
        <f t="shared" si="493"/>
        <v>12</v>
      </c>
      <c r="AU883" s="21">
        <f t="shared" si="494"/>
        <v>19</v>
      </c>
      <c r="AV883" t="str">
        <f t="shared" si="495"/>
        <v>-</v>
      </c>
      <c r="AW883" t="str">
        <f t="shared" si="496"/>
        <v>-</v>
      </c>
      <c r="AX883" t="str">
        <f t="shared" si="497"/>
        <v>-</v>
      </c>
      <c r="AY883" t="str">
        <f t="shared" si="498"/>
        <v>-</v>
      </c>
      <c r="AZ883" t="str">
        <f t="shared" si="499"/>
        <v>-</v>
      </c>
      <c r="BA883" t="str">
        <f t="shared" si="500"/>
        <v>-</v>
      </c>
      <c r="BB883" t="str">
        <f t="shared" si="501"/>
        <v>-</v>
      </c>
      <c r="BC883" t="str">
        <f t="shared" si="502"/>
        <v>-</v>
      </c>
      <c r="BD883" s="29" t="str">
        <f t="shared" si="503"/>
        <v>-</v>
      </c>
      <c r="BE883" s="29" t="str">
        <f t="shared" si="504"/>
        <v>-</v>
      </c>
    </row>
    <row r="884" spans="1:57" ht="15" x14ac:dyDescent="0.2">
      <c r="A884" s="2">
        <v>566</v>
      </c>
      <c r="B884" s="2" t="str">
        <f t="shared" si="469"/>
        <v>0566</v>
      </c>
      <c r="C884" t="str">
        <f t="shared" si="470"/>
        <v>ORD-SP-0566-21/11/24</v>
      </c>
      <c r="D884" s="3" t="s">
        <v>587</v>
      </c>
      <c r="E884" t="str">
        <f t="shared" si="471"/>
        <v>PP001</v>
      </c>
      <c r="F884" t="str">
        <f>INDEX(Katalog!$B$4:$B$13,MATCH('Main Data'!E884,Katalog!$C$4:$C$13,0))</f>
        <v>Kaos Polo</v>
      </c>
      <c r="G884" t="str">
        <f>VLOOKUP(E884,Katalog!$A$15:$B$25,2,0)</f>
        <v>Pakaian Pria</v>
      </c>
      <c r="H884" t="str">
        <f t="shared" si="472"/>
        <v>1</v>
      </c>
      <c r="I884" t="str">
        <f t="shared" si="473"/>
        <v>4</v>
      </c>
      <c r="J884" s="18">
        <f>VLOOKUP(E884,Katalog!$C$3:$F$13,2,0)</f>
        <v>80000</v>
      </c>
      <c r="K884" s="18">
        <f>VLOOKUP(E884,Katalog!$C$3:$F$13,3,0)</f>
        <v>30000</v>
      </c>
      <c r="L884" t="str">
        <f t="shared" si="474"/>
        <v>-</v>
      </c>
      <c r="M884" t="str">
        <f>IFERROR(INDEX(Katalog!$B$4:$B$13,MATCH('Main Data'!L884,Katalog!$C$4:$C$13,0)), "-")</f>
        <v>-</v>
      </c>
      <c r="N884" t="str">
        <f>IFERROR(VLOOKUP(L884,Katalog!$A$15:$B$25,2,0),"-")</f>
        <v>-</v>
      </c>
      <c r="O884">
        <f t="shared" si="475"/>
        <v>0</v>
      </c>
      <c r="P884" t="str">
        <f t="shared" si="476"/>
        <v>-</v>
      </c>
      <c r="Q884" s="18">
        <f>IFERROR(VLOOKUP(L884,Katalog!$C$3:$F$13,2,0),0)</f>
        <v>0</v>
      </c>
      <c r="R884" s="18">
        <f>IFERROR(VLOOKUP(L884,Katalog!$C$3:$F$13,3,0),0)</f>
        <v>0</v>
      </c>
      <c r="S884" t="str">
        <f t="shared" si="477"/>
        <v>-</v>
      </c>
      <c r="T884" t="str">
        <f>IFERROR(INDEX(Katalog!$B$4:$B$13,MATCH('Main Data'!S884,Katalog!$C$4:$C$13,0)),"-")</f>
        <v>-</v>
      </c>
      <c r="U884" t="str">
        <f>IFERROR(VLOOKUP(S884,Katalog!$A$15:$B$25,2,0),"-")</f>
        <v>-</v>
      </c>
      <c r="V884">
        <f t="shared" si="478"/>
        <v>0</v>
      </c>
      <c r="W884" s="28" t="str">
        <f t="shared" si="479"/>
        <v>-</v>
      </c>
      <c r="X884" s="18">
        <f>IFERROR(VLOOKUP(S884,Katalog!$C$3:$F$13,2,0),0)</f>
        <v>0</v>
      </c>
      <c r="Y884" s="30">
        <f>IFERROR(VLOOKUP(S884,Katalog!$C$3:$F$13,3,0),0)</f>
        <v>0</v>
      </c>
      <c r="Z884" s="2">
        <f t="shared" si="480"/>
        <v>1</v>
      </c>
      <c r="AA884" s="4">
        <f t="shared" si="481"/>
        <v>80000</v>
      </c>
      <c r="AB884" s="4">
        <f t="shared" si="482"/>
        <v>30000</v>
      </c>
      <c r="AC884" s="4" t="s">
        <v>12</v>
      </c>
      <c r="AD884" s="16">
        <f>IFERROR(VLOOKUP(AC884,'Kode Diskon'!$C$2:$D$9,2,0),0)</f>
        <v>0.15</v>
      </c>
      <c r="AE884" s="31">
        <f t="shared" si="483"/>
        <v>12000</v>
      </c>
      <c r="AF884" s="31">
        <f t="shared" si="484"/>
        <v>68000</v>
      </c>
      <c r="AG884" s="31">
        <f t="shared" si="485"/>
        <v>50000</v>
      </c>
      <c r="AH884" s="31">
        <f t="shared" si="486"/>
        <v>38000</v>
      </c>
      <c r="AI884" s="4" t="s">
        <v>28</v>
      </c>
      <c r="AJ884" s="4" t="s">
        <v>6</v>
      </c>
      <c r="AK884" s="4" t="str">
        <f>IFERROR(VLOOKUP(AJ884,'Guide '!$A$13:$B$16,2,0),"-")</f>
        <v>SP</v>
      </c>
      <c r="AL884" s="4" t="s">
        <v>924</v>
      </c>
      <c r="AM884" s="40">
        <v>45617</v>
      </c>
      <c r="AN884">
        <f t="shared" si="487"/>
        <v>29</v>
      </c>
      <c r="AO884">
        <f t="shared" si="488"/>
        <v>32</v>
      </c>
      <c r="AP884">
        <f t="shared" si="489"/>
        <v>40</v>
      </c>
      <c r="AQ884">
        <f t="shared" si="490"/>
        <v>43</v>
      </c>
      <c r="AR884" s="26" t="str">
        <f t="shared" si="491"/>
        <v>-</v>
      </c>
      <c r="AS884" s="26" t="str">
        <f t="shared" si="492"/>
        <v>-</v>
      </c>
      <c r="AT884" s="21">
        <f t="shared" si="493"/>
        <v>12</v>
      </c>
      <c r="AU884" s="21">
        <f t="shared" si="494"/>
        <v>19</v>
      </c>
      <c r="AV884" t="str">
        <f t="shared" si="495"/>
        <v>-</v>
      </c>
      <c r="AW884" t="str">
        <f t="shared" si="496"/>
        <v>-</v>
      </c>
      <c r="AX884" t="str">
        <f t="shared" si="497"/>
        <v>-</v>
      </c>
      <c r="AY884" t="str">
        <f t="shared" si="498"/>
        <v>-</v>
      </c>
      <c r="AZ884" t="str">
        <f t="shared" si="499"/>
        <v>-</v>
      </c>
      <c r="BA884" t="str">
        <f t="shared" si="500"/>
        <v>-</v>
      </c>
      <c r="BB884" t="str">
        <f t="shared" si="501"/>
        <v>-</v>
      </c>
      <c r="BC884" t="str">
        <f t="shared" si="502"/>
        <v>-</v>
      </c>
      <c r="BD884" s="29" t="str">
        <f t="shared" si="503"/>
        <v>-</v>
      </c>
      <c r="BE884" s="29" t="str">
        <f t="shared" si="504"/>
        <v>-</v>
      </c>
    </row>
    <row r="885" spans="1:57" ht="15" x14ac:dyDescent="0.2">
      <c r="A885" s="2">
        <v>656</v>
      </c>
      <c r="B885" s="2" t="str">
        <f t="shared" si="469"/>
        <v>0656</v>
      </c>
      <c r="C885" t="str">
        <f t="shared" si="470"/>
        <v>ORD-BB-0656-21/11/24</v>
      </c>
      <c r="D885" s="3" t="s">
        <v>137</v>
      </c>
      <c r="E885" t="str">
        <f t="shared" si="471"/>
        <v>PW002</v>
      </c>
      <c r="F885" t="str">
        <f>INDEX(Katalog!$B$4:$B$13,MATCH('Main Data'!E885,Katalog!$C$4:$C$13,0))</f>
        <v>Blouse</v>
      </c>
      <c r="G885" t="str">
        <f>VLOOKUP(E885,Katalog!$A$15:$B$25,2,0)</f>
        <v>Pakaian Wanita</v>
      </c>
      <c r="H885" t="str">
        <f t="shared" si="472"/>
        <v>2</v>
      </c>
      <c r="I885" t="str">
        <f t="shared" si="473"/>
        <v>5</v>
      </c>
      <c r="J885" s="18">
        <f>VLOOKUP(E885,Katalog!$C$3:$F$13,2,0)</f>
        <v>125000</v>
      </c>
      <c r="K885" s="18">
        <f>VLOOKUP(E885,Katalog!$C$3:$F$13,3,0)</f>
        <v>50000</v>
      </c>
      <c r="L885" t="str">
        <f t="shared" si="474"/>
        <v>-</v>
      </c>
      <c r="M885" t="str">
        <f>IFERROR(INDEX(Katalog!$B$4:$B$13,MATCH('Main Data'!L885,Katalog!$C$4:$C$13,0)), "-")</f>
        <v>-</v>
      </c>
      <c r="N885" t="str">
        <f>IFERROR(VLOOKUP(L885,Katalog!$A$15:$B$25,2,0),"-")</f>
        <v>-</v>
      </c>
      <c r="O885">
        <f t="shared" si="475"/>
        <v>0</v>
      </c>
      <c r="P885" t="str">
        <f t="shared" si="476"/>
        <v>-</v>
      </c>
      <c r="Q885" s="18">
        <f>IFERROR(VLOOKUP(L885,Katalog!$C$3:$F$13,2,0),0)</f>
        <v>0</v>
      </c>
      <c r="R885" s="18">
        <f>IFERROR(VLOOKUP(L885,Katalog!$C$3:$F$13,3,0),0)</f>
        <v>0</v>
      </c>
      <c r="S885" t="str">
        <f t="shared" si="477"/>
        <v>-</v>
      </c>
      <c r="T885" t="str">
        <f>IFERROR(INDEX(Katalog!$B$4:$B$13,MATCH('Main Data'!S885,Katalog!$C$4:$C$13,0)),"-")</f>
        <v>-</v>
      </c>
      <c r="U885" t="str">
        <f>IFERROR(VLOOKUP(S885,Katalog!$A$15:$B$25,2,0),"-")</f>
        <v>-</v>
      </c>
      <c r="V885">
        <f t="shared" si="478"/>
        <v>0</v>
      </c>
      <c r="W885" s="28" t="str">
        <f t="shared" si="479"/>
        <v>-</v>
      </c>
      <c r="X885" s="18">
        <f>IFERROR(VLOOKUP(S885,Katalog!$C$3:$F$13,2,0),0)</f>
        <v>0</v>
      </c>
      <c r="Y885" s="30">
        <f>IFERROR(VLOOKUP(S885,Katalog!$C$3:$F$13,3,0),0)</f>
        <v>0</v>
      </c>
      <c r="Z885" s="2">
        <f t="shared" si="480"/>
        <v>2</v>
      </c>
      <c r="AA885" s="4">
        <f t="shared" si="481"/>
        <v>250000</v>
      </c>
      <c r="AB885" s="4">
        <f t="shared" si="482"/>
        <v>100000</v>
      </c>
      <c r="AC885" s="4" t="s">
        <v>27</v>
      </c>
      <c r="AD885" s="16">
        <f>IFERROR(VLOOKUP(AC885,'Kode Diskon'!$C$2:$D$9,2,0),0)</f>
        <v>0.15</v>
      </c>
      <c r="AE885" s="31">
        <f t="shared" si="483"/>
        <v>37500</v>
      </c>
      <c r="AF885" s="31">
        <f t="shared" si="484"/>
        <v>212500</v>
      </c>
      <c r="AG885" s="31">
        <f t="shared" si="485"/>
        <v>150000</v>
      </c>
      <c r="AH885" s="31">
        <f t="shared" si="486"/>
        <v>112500</v>
      </c>
      <c r="AI885" s="4" t="s">
        <v>28</v>
      </c>
      <c r="AJ885" s="4" t="s">
        <v>13</v>
      </c>
      <c r="AK885" s="4" t="str">
        <f>IFERROR(VLOOKUP(AJ885,'Guide '!$A$13:$B$16,2,0),"-")</f>
        <v>BB</v>
      </c>
      <c r="AL885" s="4" t="s">
        <v>925</v>
      </c>
      <c r="AM885" s="40">
        <v>45617</v>
      </c>
      <c r="AN885">
        <f t="shared" si="487"/>
        <v>29</v>
      </c>
      <c r="AO885">
        <f t="shared" si="488"/>
        <v>32</v>
      </c>
      <c r="AP885">
        <f t="shared" si="489"/>
        <v>40</v>
      </c>
      <c r="AQ885">
        <f t="shared" si="490"/>
        <v>43</v>
      </c>
      <c r="AR885" s="26" t="str">
        <f t="shared" si="491"/>
        <v>-</v>
      </c>
      <c r="AS885" s="26" t="str">
        <f t="shared" si="492"/>
        <v>-</v>
      </c>
      <c r="AT885" s="21">
        <f t="shared" si="493"/>
        <v>12</v>
      </c>
      <c r="AU885" s="21">
        <f t="shared" si="494"/>
        <v>19</v>
      </c>
      <c r="AV885" t="str">
        <f t="shared" si="495"/>
        <v>-</v>
      </c>
      <c r="AW885" t="str">
        <f t="shared" si="496"/>
        <v>-</v>
      </c>
      <c r="AX885" t="str">
        <f t="shared" si="497"/>
        <v>-</v>
      </c>
      <c r="AY885" t="str">
        <f t="shared" si="498"/>
        <v>-</v>
      </c>
      <c r="AZ885" t="str">
        <f t="shared" si="499"/>
        <v>-</v>
      </c>
      <c r="BA885" t="str">
        <f t="shared" si="500"/>
        <v>-</v>
      </c>
      <c r="BB885" t="str">
        <f t="shared" si="501"/>
        <v>-</v>
      </c>
      <c r="BC885" t="str">
        <f t="shared" si="502"/>
        <v>-</v>
      </c>
      <c r="BD885" s="29" t="str">
        <f t="shared" si="503"/>
        <v>-</v>
      </c>
      <c r="BE885" s="29" t="str">
        <f t="shared" si="504"/>
        <v>-</v>
      </c>
    </row>
    <row r="886" spans="1:57" ht="15" x14ac:dyDescent="0.2">
      <c r="A886" s="2">
        <v>760</v>
      </c>
      <c r="B886" s="2" t="str">
        <f t="shared" si="469"/>
        <v>0760</v>
      </c>
      <c r="C886" t="str">
        <f t="shared" si="470"/>
        <v>ORD-SP-0760-22/11/24</v>
      </c>
      <c r="D886" s="3" t="s">
        <v>738</v>
      </c>
      <c r="E886" t="str">
        <f t="shared" si="471"/>
        <v>PW002</v>
      </c>
      <c r="F886" t="str">
        <f>INDEX(Katalog!$B$4:$B$13,MATCH('Main Data'!E886,Katalog!$C$4:$C$13,0))</f>
        <v>Blouse</v>
      </c>
      <c r="G886" t="str">
        <f>VLOOKUP(E886,Katalog!$A$15:$B$25,2,0)</f>
        <v>Pakaian Wanita</v>
      </c>
      <c r="H886" t="str">
        <f t="shared" si="472"/>
        <v>2</v>
      </c>
      <c r="I886" t="str">
        <f t="shared" si="473"/>
        <v>3</v>
      </c>
      <c r="J886" s="18">
        <f>VLOOKUP(E886,Katalog!$C$3:$F$13,2,0)</f>
        <v>125000</v>
      </c>
      <c r="K886" s="18">
        <f>VLOOKUP(E886,Katalog!$C$3:$F$13,3,0)</f>
        <v>50000</v>
      </c>
      <c r="L886" t="str">
        <f t="shared" si="474"/>
        <v>PP002</v>
      </c>
      <c r="M886" t="str">
        <f>IFERROR(INDEX(Katalog!$B$4:$B$13,MATCH('Main Data'!L886,Katalog!$C$4:$C$13,0)), "-")</f>
        <v>Celana Pendek</v>
      </c>
      <c r="N886" t="str">
        <f>IFERROR(VLOOKUP(L886,Katalog!$A$15:$B$25,2,0),"-")</f>
        <v>Pakaian Pria</v>
      </c>
      <c r="O886" t="str">
        <f t="shared" si="475"/>
        <v>1</v>
      </c>
      <c r="P886" t="str">
        <f t="shared" si="476"/>
        <v>5</v>
      </c>
      <c r="Q886" s="18">
        <f>IFERROR(VLOOKUP(L886,Katalog!$C$3:$F$13,2,0),0)</f>
        <v>60000</v>
      </c>
      <c r="R886" s="18">
        <f>IFERROR(VLOOKUP(L886,Katalog!$C$3:$F$13,3,0),0)</f>
        <v>25000</v>
      </c>
      <c r="S886" t="str">
        <f t="shared" si="477"/>
        <v>-</v>
      </c>
      <c r="T886" t="str">
        <f>IFERROR(INDEX(Katalog!$B$4:$B$13,MATCH('Main Data'!S886,Katalog!$C$4:$C$13,0)),"-")</f>
        <v>-</v>
      </c>
      <c r="U886" t="str">
        <f>IFERROR(VLOOKUP(S886,Katalog!$A$15:$B$25,2,0),"-")</f>
        <v>-</v>
      </c>
      <c r="V886">
        <f t="shared" si="478"/>
        <v>0</v>
      </c>
      <c r="W886" s="28" t="str">
        <f t="shared" si="479"/>
        <v>-</v>
      </c>
      <c r="X886" s="18">
        <f>IFERROR(VLOOKUP(S886,Katalog!$C$3:$F$13,2,0),0)</f>
        <v>0</v>
      </c>
      <c r="Y886" s="30">
        <f>IFERROR(VLOOKUP(S886,Katalog!$C$3:$F$13,3,0),0)</f>
        <v>0</v>
      </c>
      <c r="Z886" s="2">
        <f t="shared" si="480"/>
        <v>3</v>
      </c>
      <c r="AA886" s="4">
        <f t="shared" si="481"/>
        <v>310000</v>
      </c>
      <c r="AB886" s="4">
        <f t="shared" si="482"/>
        <v>125000</v>
      </c>
      <c r="AC886" s="4" t="s">
        <v>12</v>
      </c>
      <c r="AD886" s="16">
        <f>IFERROR(VLOOKUP(AC886,'Kode Diskon'!$C$2:$D$9,2,0),0)</f>
        <v>0.15</v>
      </c>
      <c r="AE886" s="31">
        <f t="shared" si="483"/>
        <v>46500</v>
      </c>
      <c r="AF886" s="31">
        <f t="shared" si="484"/>
        <v>263500</v>
      </c>
      <c r="AG886" s="31">
        <f t="shared" si="485"/>
        <v>185000</v>
      </c>
      <c r="AH886" s="31">
        <f t="shared" si="486"/>
        <v>138500</v>
      </c>
      <c r="AI886" s="4" t="s">
        <v>28</v>
      </c>
      <c r="AJ886" s="4" t="s">
        <v>6</v>
      </c>
      <c r="AK886" s="4" t="str">
        <f>IFERROR(VLOOKUP(AJ886,'Guide '!$A$13:$B$16,2,0),"-")</f>
        <v>SP</v>
      </c>
      <c r="AL886" s="4" t="s">
        <v>921</v>
      </c>
      <c r="AM886" s="40">
        <v>45618</v>
      </c>
      <c r="AN886">
        <f t="shared" si="487"/>
        <v>29</v>
      </c>
      <c r="AO886">
        <f t="shared" si="488"/>
        <v>32</v>
      </c>
      <c r="AP886">
        <f t="shared" si="489"/>
        <v>40</v>
      </c>
      <c r="AQ886">
        <f t="shared" si="490"/>
        <v>43</v>
      </c>
      <c r="AR886" s="26">
        <f t="shared" si="491"/>
        <v>56</v>
      </c>
      <c r="AS886" s="26">
        <f t="shared" si="492"/>
        <v>63</v>
      </c>
      <c r="AT886" s="21">
        <f t="shared" si="493"/>
        <v>12</v>
      </c>
      <c r="AU886" s="21">
        <f t="shared" si="494"/>
        <v>19</v>
      </c>
      <c r="AV886">
        <f t="shared" si="495"/>
        <v>73</v>
      </c>
      <c r="AW886">
        <f t="shared" si="496"/>
        <v>76</v>
      </c>
      <c r="AX886">
        <f t="shared" si="497"/>
        <v>84</v>
      </c>
      <c r="AY886">
        <f t="shared" si="498"/>
        <v>87</v>
      </c>
      <c r="AZ886" t="str">
        <f t="shared" si="499"/>
        <v>-</v>
      </c>
      <c r="BA886" t="str">
        <f t="shared" si="500"/>
        <v>-</v>
      </c>
      <c r="BB886" t="str">
        <f t="shared" si="501"/>
        <v>-</v>
      </c>
      <c r="BC886" t="str">
        <f t="shared" si="502"/>
        <v>-</v>
      </c>
      <c r="BD886" s="29" t="str">
        <f t="shared" si="503"/>
        <v>-</v>
      </c>
      <c r="BE886" s="29" t="str">
        <f t="shared" si="504"/>
        <v>-</v>
      </c>
    </row>
    <row r="887" spans="1:57" ht="15" x14ac:dyDescent="0.2">
      <c r="A887" s="2">
        <v>52</v>
      </c>
      <c r="B887" s="2" t="str">
        <f t="shared" si="469"/>
        <v>0052</v>
      </c>
      <c r="C887" t="str">
        <f t="shared" si="470"/>
        <v>ORD-BL-0052-23/11/24</v>
      </c>
      <c r="D887" s="3" t="s">
        <v>126</v>
      </c>
      <c r="E887" t="str">
        <f t="shared" si="471"/>
        <v>SP002</v>
      </c>
      <c r="F887" t="str">
        <f>INDEX(Katalog!$B$4:$B$13,MATCH('Main Data'!E887,Katalog!$C$4:$C$13,0))</f>
        <v>Sandal Slip On</v>
      </c>
      <c r="G887" t="str">
        <f>VLOOKUP(E887,Katalog!$A$15:$B$25,2,0)</f>
        <v>Sepatu Pria</v>
      </c>
      <c r="H887" t="str">
        <f t="shared" si="472"/>
        <v>2</v>
      </c>
      <c r="I887" t="str">
        <f t="shared" si="473"/>
        <v>1</v>
      </c>
      <c r="J887" s="18">
        <f>VLOOKUP(E887,Katalog!$C$3:$F$13,2,0)</f>
        <v>120000</v>
      </c>
      <c r="K887" s="18">
        <f>VLOOKUP(E887,Katalog!$C$3:$F$13,3,0)</f>
        <v>60000</v>
      </c>
      <c r="L887" t="str">
        <f t="shared" si="474"/>
        <v>SP001</v>
      </c>
      <c r="M887" t="str">
        <f>IFERROR(INDEX(Katalog!$B$4:$B$13,MATCH('Main Data'!L887,Katalog!$C$4:$C$13,0)), "-")</f>
        <v>Sneakers</v>
      </c>
      <c r="N887" t="str">
        <f>IFERROR(VLOOKUP(L887,Katalog!$A$15:$B$25,2,0),"-")</f>
        <v>Sepatu Pria</v>
      </c>
      <c r="O887" t="str">
        <f t="shared" si="475"/>
        <v>2</v>
      </c>
      <c r="P887" t="str">
        <f t="shared" si="476"/>
        <v>3</v>
      </c>
      <c r="Q887" s="18">
        <f>IFERROR(VLOOKUP(L887,Katalog!$C$3:$F$13,2,0),0)</f>
        <v>300000</v>
      </c>
      <c r="R887" s="18">
        <f>IFERROR(VLOOKUP(L887,Katalog!$C$3:$F$13,3,0),0)</f>
        <v>100000</v>
      </c>
      <c r="S887" t="str">
        <f t="shared" si="477"/>
        <v>PW002</v>
      </c>
      <c r="T887" t="str">
        <f>IFERROR(INDEX(Katalog!$B$4:$B$13,MATCH('Main Data'!S887,Katalog!$C$4:$C$13,0)),"-")</f>
        <v>Blouse</v>
      </c>
      <c r="U887" t="str">
        <f>IFERROR(VLOOKUP(S887,Katalog!$A$15:$B$25,2,0),"-")</f>
        <v>Pakaian Wanita</v>
      </c>
      <c r="V887" t="str">
        <f t="shared" si="478"/>
        <v>1</v>
      </c>
      <c r="W887" s="28" t="str">
        <f t="shared" si="479"/>
        <v>5</v>
      </c>
      <c r="X887" s="18">
        <f>IFERROR(VLOOKUP(S887,Katalog!$C$3:$F$13,2,0),0)</f>
        <v>125000</v>
      </c>
      <c r="Y887" s="30">
        <f>IFERROR(VLOOKUP(S887,Katalog!$C$3:$F$13,3,0),0)</f>
        <v>50000</v>
      </c>
      <c r="Z887" s="2">
        <f t="shared" si="480"/>
        <v>5</v>
      </c>
      <c r="AA887" s="4">
        <f t="shared" si="481"/>
        <v>965000</v>
      </c>
      <c r="AB887" s="4">
        <f t="shared" si="482"/>
        <v>370000</v>
      </c>
      <c r="AC887" s="4" t="s">
        <v>31</v>
      </c>
      <c r="AD887" s="16">
        <f>IFERROR(VLOOKUP(AC887,'Kode Diskon'!$C$2:$D$9,2,0),0)</f>
        <v>0.15</v>
      </c>
      <c r="AE887" s="31">
        <f t="shared" si="483"/>
        <v>144750</v>
      </c>
      <c r="AF887" s="31">
        <f t="shared" si="484"/>
        <v>820250</v>
      </c>
      <c r="AG887" s="31">
        <f t="shared" si="485"/>
        <v>595000</v>
      </c>
      <c r="AH887" s="31">
        <f t="shared" si="486"/>
        <v>450250</v>
      </c>
      <c r="AI887" s="4" t="s">
        <v>8</v>
      </c>
      <c r="AJ887" s="4" t="s">
        <v>11</v>
      </c>
      <c r="AK887" s="4" t="str">
        <f>IFERROR(VLOOKUP(AJ887,'Guide '!$A$13:$B$16,2,0),"-")</f>
        <v>BL</v>
      </c>
      <c r="AL887" s="4" t="s">
        <v>925</v>
      </c>
      <c r="AM887" s="40">
        <v>45619</v>
      </c>
      <c r="AN887">
        <f t="shared" si="487"/>
        <v>29</v>
      </c>
      <c r="AO887">
        <f t="shared" si="488"/>
        <v>32</v>
      </c>
      <c r="AP887">
        <f t="shared" si="489"/>
        <v>40</v>
      </c>
      <c r="AQ887">
        <f t="shared" si="490"/>
        <v>43</v>
      </c>
      <c r="AR887" s="26">
        <f t="shared" si="491"/>
        <v>56</v>
      </c>
      <c r="AS887" s="26">
        <f t="shared" si="492"/>
        <v>63</v>
      </c>
      <c r="AT887" s="21">
        <f t="shared" si="493"/>
        <v>12</v>
      </c>
      <c r="AU887" s="21">
        <f t="shared" si="494"/>
        <v>19</v>
      </c>
      <c r="AV887">
        <f t="shared" si="495"/>
        <v>73</v>
      </c>
      <c r="AW887">
        <f t="shared" si="496"/>
        <v>76</v>
      </c>
      <c r="AX887">
        <f t="shared" si="497"/>
        <v>84</v>
      </c>
      <c r="AY887">
        <f t="shared" si="498"/>
        <v>87</v>
      </c>
      <c r="AZ887">
        <f t="shared" si="499"/>
        <v>100</v>
      </c>
      <c r="BA887">
        <f t="shared" si="500"/>
        <v>107</v>
      </c>
      <c r="BB887">
        <f t="shared" si="501"/>
        <v>117</v>
      </c>
      <c r="BC887">
        <f t="shared" si="502"/>
        <v>120</v>
      </c>
      <c r="BD887" s="29">
        <f t="shared" si="503"/>
        <v>128</v>
      </c>
      <c r="BE887" s="29">
        <f t="shared" si="504"/>
        <v>131</v>
      </c>
    </row>
    <row r="888" spans="1:57" ht="15" x14ac:dyDescent="0.2">
      <c r="A888" s="2">
        <v>512</v>
      </c>
      <c r="B888" s="2" t="str">
        <f t="shared" si="469"/>
        <v>0512</v>
      </c>
      <c r="C888" t="str">
        <f t="shared" si="470"/>
        <v>ORD-BB-0512-23/11/24</v>
      </c>
      <c r="D888" s="3" t="s">
        <v>540</v>
      </c>
      <c r="E888" t="str">
        <f t="shared" si="471"/>
        <v>SP002</v>
      </c>
      <c r="F888" t="str">
        <f>INDEX(Katalog!$B$4:$B$13,MATCH('Main Data'!E888,Katalog!$C$4:$C$13,0))</f>
        <v>Sandal Slip On</v>
      </c>
      <c r="G888" t="str">
        <f>VLOOKUP(E888,Katalog!$A$15:$B$25,2,0)</f>
        <v>Sepatu Pria</v>
      </c>
      <c r="H888" t="str">
        <f t="shared" si="472"/>
        <v>1</v>
      </c>
      <c r="I888" t="str">
        <f t="shared" si="473"/>
        <v>3</v>
      </c>
      <c r="J888" s="18">
        <f>VLOOKUP(E888,Katalog!$C$3:$F$13,2,0)</f>
        <v>120000</v>
      </c>
      <c r="K888" s="18">
        <f>VLOOKUP(E888,Katalog!$C$3:$F$13,3,0)</f>
        <v>60000</v>
      </c>
      <c r="L888" t="str">
        <f t="shared" si="474"/>
        <v>-</v>
      </c>
      <c r="M888" t="str">
        <f>IFERROR(INDEX(Katalog!$B$4:$B$13,MATCH('Main Data'!L888,Katalog!$C$4:$C$13,0)), "-")</f>
        <v>-</v>
      </c>
      <c r="N888" t="str">
        <f>IFERROR(VLOOKUP(L888,Katalog!$A$15:$B$25,2,0),"-")</f>
        <v>-</v>
      </c>
      <c r="O888">
        <f t="shared" si="475"/>
        <v>0</v>
      </c>
      <c r="P888" t="str">
        <f t="shared" si="476"/>
        <v>-</v>
      </c>
      <c r="Q888" s="18">
        <f>IFERROR(VLOOKUP(L888,Katalog!$C$3:$F$13,2,0),0)</f>
        <v>0</v>
      </c>
      <c r="R888" s="18">
        <f>IFERROR(VLOOKUP(L888,Katalog!$C$3:$F$13,3,0),0)</f>
        <v>0</v>
      </c>
      <c r="S888" t="str">
        <f t="shared" si="477"/>
        <v>-</v>
      </c>
      <c r="T888" t="str">
        <f>IFERROR(INDEX(Katalog!$B$4:$B$13,MATCH('Main Data'!S888,Katalog!$C$4:$C$13,0)),"-")</f>
        <v>-</v>
      </c>
      <c r="U888" t="str">
        <f>IFERROR(VLOOKUP(S888,Katalog!$A$15:$B$25,2,0),"-")</f>
        <v>-</v>
      </c>
      <c r="V888">
        <f t="shared" si="478"/>
        <v>0</v>
      </c>
      <c r="W888" s="28" t="str">
        <f t="shared" si="479"/>
        <v>-</v>
      </c>
      <c r="X888" s="18">
        <f>IFERROR(VLOOKUP(S888,Katalog!$C$3:$F$13,2,0),0)</f>
        <v>0</v>
      </c>
      <c r="Y888" s="30">
        <f>IFERROR(VLOOKUP(S888,Katalog!$C$3:$F$13,3,0),0)</f>
        <v>0</v>
      </c>
      <c r="Z888" s="2">
        <f t="shared" si="480"/>
        <v>1</v>
      </c>
      <c r="AA888" s="4">
        <f t="shared" si="481"/>
        <v>120000</v>
      </c>
      <c r="AB888" s="4">
        <f t="shared" si="482"/>
        <v>60000</v>
      </c>
      <c r="AC888" s="4" t="s">
        <v>27</v>
      </c>
      <c r="AD888" s="16">
        <f>IFERROR(VLOOKUP(AC888,'Kode Diskon'!$C$2:$D$9,2,0),0)</f>
        <v>0.15</v>
      </c>
      <c r="AE888" s="31">
        <f t="shared" si="483"/>
        <v>18000</v>
      </c>
      <c r="AF888" s="31">
        <f t="shared" si="484"/>
        <v>102000</v>
      </c>
      <c r="AG888" s="31">
        <f t="shared" si="485"/>
        <v>60000</v>
      </c>
      <c r="AH888" s="31">
        <f t="shared" si="486"/>
        <v>42000</v>
      </c>
      <c r="AI888" s="4" t="s">
        <v>28</v>
      </c>
      <c r="AJ888" s="4" t="s">
        <v>13</v>
      </c>
      <c r="AK888" s="4" t="str">
        <f>IFERROR(VLOOKUP(AJ888,'Guide '!$A$13:$B$16,2,0),"-")</f>
        <v>BB</v>
      </c>
      <c r="AL888" s="4" t="s">
        <v>924</v>
      </c>
      <c r="AM888" s="40">
        <v>45619</v>
      </c>
      <c r="AN888">
        <f t="shared" si="487"/>
        <v>29</v>
      </c>
      <c r="AO888">
        <f t="shared" si="488"/>
        <v>32</v>
      </c>
      <c r="AP888">
        <f t="shared" si="489"/>
        <v>40</v>
      </c>
      <c r="AQ888">
        <f t="shared" si="490"/>
        <v>43</v>
      </c>
      <c r="AR888" s="26" t="str">
        <f t="shared" si="491"/>
        <v>-</v>
      </c>
      <c r="AS888" s="26" t="str">
        <f t="shared" si="492"/>
        <v>-</v>
      </c>
      <c r="AT888" s="21">
        <f t="shared" si="493"/>
        <v>12</v>
      </c>
      <c r="AU888" s="21">
        <f t="shared" si="494"/>
        <v>19</v>
      </c>
      <c r="AV888" t="str">
        <f t="shared" si="495"/>
        <v>-</v>
      </c>
      <c r="AW888" t="str">
        <f t="shared" si="496"/>
        <v>-</v>
      </c>
      <c r="AX888" t="str">
        <f t="shared" si="497"/>
        <v>-</v>
      </c>
      <c r="AY888" t="str">
        <f t="shared" si="498"/>
        <v>-</v>
      </c>
      <c r="AZ888" t="str">
        <f t="shared" si="499"/>
        <v>-</v>
      </c>
      <c r="BA888" t="str">
        <f t="shared" si="500"/>
        <v>-</v>
      </c>
      <c r="BB888" t="str">
        <f t="shared" si="501"/>
        <v>-</v>
      </c>
      <c r="BC888" t="str">
        <f t="shared" si="502"/>
        <v>-</v>
      </c>
      <c r="BD888" s="29" t="str">
        <f t="shared" si="503"/>
        <v>-</v>
      </c>
      <c r="BE888" s="29" t="str">
        <f t="shared" si="504"/>
        <v>-</v>
      </c>
    </row>
    <row r="889" spans="1:57" ht="15" x14ac:dyDescent="0.2">
      <c r="A889" s="2">
        <v>649</v>
      </c>
      <c r="B889" s="2" t="str">
        <f t="shared" si="469"/>
        <v>0649</v>
      </c>
      <c r="C889" t="str">
        <f t="shared" si="470"/>
        <v>ORD-SP-0649-23/11/24</v>
      </c>
      <c r="D889" s="3" t="s">
        <v>652</v>
      </c>
      <c r="E889" t="str">
        <f t="shared" si="471"/>
        <v>PU001</v>
      </c>
      <c r="F889" t="str">
        <f>INDEX(Katalog!$B$4:$B$13,MATCH('Main Data'!E889,Katalog!$C$4:$C$13,0))</f>
        <v>Jaket Hoodie</v>
      </c>
      <c r="G889" t="str">
        <f>VLOOKUP(E889,Katalog!$A$15:$B$25,2,0)</f>
        <v>Pakaian Unisex</v>
      </c>
      <c r="H889" t="str">
        <f t="shared" si="472"/>
        <v>4</v>
      </c>
      <c r="I889" t="str">
        <f t="shared" si="473"/>
        <v>2</v>
      </c>
      <c r="J889" s="18">
        <f>VLOOKUP(E889,Katalog!$C$3:$F$13,2,0)</f>
        <v>160000</v>
      </c>
      <c r="K889" s="18">
        <f>VLOOKUP(E889,Katalog!$C$3:$F$13,3,0)</f>
        <v>60000</v>
      </c>
      <c r="L889" t="str">
        <f t="shared" si="474"/>
        <v>SP002</v>
      </c>
      <c r="M889" t="str">
        <f>IFERROR(INDEX(Katalog!$B$4:$B$13,MATCH('Main Data'!L889,Katalog!$C$4:$C$13,0)), "-")</f>
        <v>Sandal Slip On</v>
      </c>
      <c r="N889" t="str">
        <f>IFERROR(VLOOKUP(L889,Katalog!$A$15:$B$25,2,0),"-")</f>
        <v>Sepatu Pria</v>
      </c>
      <c r="O889" t="str">
        <f t="shared" si="475"/>
        <v>1</v>
      </c>
      <c r="P889" t="str">
        <f t="shared" si="476"/>
        <v>4</v>
      </c>
      <c r="Q889" s="18">
        <f>IFERROR(VLOOKUP(L889,Katalog!$C$3:$F$13,2,0),0)</f>
        <v>120000</v>
      </c>
      <c r="R889" s="18">
        <f>IFERROR(VLOOKUP(L889,Katalog!$C$3:$F$13,3,0),0)</f>
        <v>60000</v>
      </c>
      <c r="S889" t="str">
        <f t="shared" si="477"/>
        <v>PP003</v>
      </c>
      <c r="T889" t="str">
        <f>IFERROR(INDEX(Katalog!$B$4:$B$13,MATCH('Main Data'!S889,Katalog!$C$4:$C$13,0)),"-")</f>
        <v>Jaket Jeans</v>
      </c>
      <c r="U889" t="str">
        <f>IFERROR(VLOOKUP(S889,Katalog!$A$15:$B$25,2,0),"-")</f>
        <v>Pakaian Pria</v>
      </c>
      <c r="V889" t="str">
        <f t="shared" si="478"/>
        <v>2</v>
      </c>
      <c r="W889" s="28" t="str">
        <f t="shared" si="479"/>
        <v>3</v>
      </c>
      <c r="X889" s="18">
        <f>IFERROR(VLOOKUP(S889,Katalog!$C$3:$F$13,2,0),0)</f>
        <v>150000</v>
      </c>
      <c r="Y889" s="30">
        <f>IFERROR(VLOOKUP(S889,Katalog!$C$3:$F$13,3,0),0)</f>
        <v>70000</v>
      </c>
      <c r="Z889" s="2">
        <f t="shared" si="480"/>
        <v>7</v>
      </c>
      <c r="AA889" s="4">
        <f t="shared" si="481"/>
        <v>1060000</v>
      </c>
      <c r="AB889" s="4">
        <f t="shared" si="482"/>
        <v>440000</v>
      </c>
      <c r="AC889" s="4" t="s">
        <v>10</v>
      </c>
      <c r="AD889" s="16">
        <f>IFERROR(VLOOKUP(AC889,'Kode Diskon'!$C$2:$D$9,2,0),0)</f>
        <v>0</v>
      </c>
      <c r="AE889" s="31">
        <f t="shared" si="483"/>
        <v>0</v>
      </c>
      <c r="AF889" s="31">
        <f t="shared" si="484"/>
        <v>1060000</v>
      </c>
      <c r="AG889" s="31">
        <f t="shared" si="485"/>
        <v>620000</v>
      </c>
      <c r="AH889" s="31">
        <f t="shared" si="486"/>
        <v>620000</v>
      </c>
      <c r="AI889" s="4" t="s">
        <v>10</v>
      </c>
      <c r="AJ889" s="4" t="s">
        <v>6</v>
      </c>
      <c r="AK889" s="4" t="str">
        <f>IFERROR(VLOOKUP(AJ889,'Guide '!$A$13:$B$16,2,0),"-")</f>
        <v>SP</v>
      </c>
      <c r="AL889" s="4" t="s">
        <v>921</v>
      </c>
      <c r="AM889" s="40">
        <v>45619</v>
      </c>
      <c r="AN889">
        <f t="shared" si="487"/>
        <v>29</v>
      </c>
      <c r="AO889">
        <f t="shared" si="488"/>
        <v>32</v>
      </c>
      <c r="AP889">
        <f t="shared" si="489"/>
        <v>40</v>
      </c>
      <c r="AQ889">
        <f t="shared" si="490"/>
        <v>43</v>
      </c>
      <c r="AR889" s="26">
        <f t="shared" si="491"/>
        <v>56</v>
      </c>
      <c r="AS889" s="26">
        <f t="shared" si="492"/>
        <v>63</v>
      </c>
      <c r="AT889" s="21">
        <f t="shared" si="493"/>
        <v>12</v>
      </c>
      <c r="AU889" s="21">
        <f t="shared" si="494"/>
        <v>19</v>
      </c>
      <c r="AV889">
        <f t="shared" si="495"/>
        <v>73</v>
      </c>
      <c r="AW889">
        <f t="shared" si="496"/>
        <v>76</v>
      </c>
      <c r="AX889">
        <f t="shared" si="497"/>
        <v>84</v>
      </c>
      <c r="AY889">
        <f t="shared" si="498"/>
        <v>87</v>
      </c>
      <c r="AZ889">
        <f t="shared" si="499"/>
        <v>100</v>
      </c>
      <c r="BA889">
        <f t="shared" si="500"/>
        <v>107</v>
      </c>
      <c r="BB889">
        <f t="shared" si="501"/>
        <v>117</v>
      </c>
      <c r="BC889">
        <f t="shared" si="502"/>
        <v>120</v>
      </c>
      <c r="BD889" s="29">
        <f t="shared" si="503"/>
        <v>128</v>
      </c>
      <c r="BE889" s="29">
        <f t="shared" si="504"/>
        <v>131</v>
      </c>
    </row>
    <row r="890" spans="1:57" ht="15" x14ac:dyDescent="0.2">
      <c r="A890" s="2">
        <v>222</v>
      </c>
      <c r="B890" s="2" t="str">
        <f t="shared" si="469"/>
        <v>0222</v>
      </c>
      <c r="C890" t="str">
        <f t="shared" si="470"/>
        <v>ORD-TK-0222-24/11/24</v>
      </c>
      <c r="D890" s="3" t="s">
        <v>290</v>
      </c>
      <c r="E890" t="str">
        <f t="shared" si="471"/>
        <v>PP001</v>
      </c>
      <c r="F890" t="str">
        <f>INDEX(Katalog!$B$4:$B$13,MATCH('Main Data'!E890,Katalog!$C$4:$C$13,0))</f>
        <v>Kaos Polo</v>
      </c>
      <c r="G890" t="str">
        <f>VLOOKUP(E890,Katalog!$A$15:$B$25,2,0)</f>
        <v>Pakaian Pria</v>
      </c>
      <c r="H890" t="str">
        <f t="shared" si="472"/>
        <v>2</v>
      </c>
      <c r="I890" t="str">
        <f t="shared" si="473"/>
        <v>3</v>
      </c>
      <c r="J890" s="18">
        <f>VLOOKUP(E890,Katalog!$C$3:$F$13,2,0)</f>
        <v>80000</v>
      </c>
      <c r="K890" s="18">
        <f>VLOOKUP(E890,Katalog!$C$3:$F$13,3,0)</f>
        <v>30000</v>
      </c>
      <c r="L890" t="str">
        <f t="shared" si="474"/>
        <v>-</v>
      </c>
      <c r="M890" t="str">
        <f>IFERROR(INDEX(Katalog!$B$4:$B$13,MATCH('Main Data'!L890,Katalog!$C$4:$C$13,0)), "-")</f>
        <v>-</v>
      </c>
      <c r="N890" t="str">
        <f>IFERROR(VLOOKUP(L890,Katalog!$A$15:$B$25,2,0),"-")</f>
        <v>-</v>
      </c>
      <c r="O890">
        <f t="shared" si="475"/>
        <v>0</v>
      </c>
      <c r="P890" t="str">
        <f t="shared" si="476"/>
        <v>-</v>
      </c>
      <c r="Q890" s="18">
        <f>IFERROR(VLOOKUP(L890,Katalog!$C$3:$F$13,2,0),0)</f>
        <v>0</v>
      </c>
      <c r="R890" s="18">
        <f>IFERROR(VLOOKUP(L890,Katalog!$C$3:$F$13,3,0),0)</f>
        <v>0</v>
      </c>
      <c r="S890" t="str">
        <f t="shared" si="477"/>
        <v>-</v>
      </c>
      <c r="T890" t="str">
        <f>IFERROR(INDEX(Katalog!$B$4:$B$13,MATCH('Main Data'!S890,Katalog!$C$4:$C$13,0)),"-")</f>
        <v>-</v>
      </c>
      <c r="U890" t="str">
        <f>IFERROR(VLOOKUP(S890,Katalog!$A$15:$B$25,2,0),"-")</f>
        <v>-</v>
      </c>
      <c r="V890">
        <f t="shared" si="478"/>
        <v>0</v>
      </c>
      <c r="W890" s="28" t="str">
        <f t="shared" si="479"/>
        <v>-</v>
      </c>
      <c r="X890" s="18">
        <f>IFERROR(VLOOKUP(S890,Katalog!$C$3:$F$13,2,0),0)</f>
        <v>0</v>
      </c>
      <c r="Y890" s="30">
        <f>IFERROR(VLOOKUP(S890,Katalog!$C$3:$F$13,3,0),0)</f>
        <v>0</v>
      </c>
      <c r="Z890" s="2">
        <f t="shared" si="480"/>
        <v>2</v>
      </c>
      <c r="AA890" s="4">
        <f t="shared" si="481"/>
        <v>160000</v>
      </c>
      <c r="AB890" s="4">
        <f t="shared" si="482"/>
        <v>60000</v>
      </c>
      <c r="AC890" s="4" t="s">
        <v>30</v>
      </c>
      <c r="AD890" s="16">
        <f>IFERROR(VLOOKUP(AC890,'Kode Diskon'!$C$2:$D$9,2,0),0)</f>
        <v>0.1</v>
      </c>
      <c r="AE890" s="31">
        <f t="shared" si="483"/>
        <v>16000</v>
      </c>
      <c r="AF890" s="31">
        <f t="shared" si="484"/>
        <v>144000</v>
      </c>
      <c r="AG890" s="31">
        <f t="shared" si="485"/>
        <v>100000</v>
      </c>
      <c r="AH890" s="31">
        <f t="shared" si="486"/>
        <v>84000</v>
      </c>
      <c r="AI890" s="4" t="s">
        <v>8</v>
      </c>
      <c r="AJ890" s="4" t="s">
        <v>9</v>
      </c>
      <c r="AK890" s="4" t="str">
        <f>IFERROR(VLOOKUP(AJ890,'Guide '!$A$13:$B$16,2,0),"-")</f>
        <v>TK</v>
      </c>
      <c r="AL890" s="4" t="s">
        <v>924</v>
      </c>
      <c r="AM890" s="40">
        <v>45620</v>
      </c>
      <c r="AN890">
        <f t="shared" si="487"/>
        <v>29</v>
      </c>
      <c r="AO890">
        <f t="shared" si="488"/>
        <v>32</v>
      </c>
      <c r="AP890">
        <f t="shared" si="489"/>
        <v>40</v>
      </c>
      <c r="AQ890">
        <f t="shared" si="490"/>
        <v>43</v>
      </c>
      <c r="AR890" s="26" t="str">
        <f t="shared" si="491"/>
        <v>-</v>
      </c>
      <c r="AS890" s="26" t="str">
        <f t="shared" si="492"/>
        <v>-</v>
      </c>
      <c r="AT890" s="21">
        <f t="shared" si="493"/>
        <v>12</v>
      </c>
      <c r="AU890" s="21">
        <f t="shared" si="494"/>
        <v>19</v>
      </c>
      <c r="AV890" t="str">
        <f t="shared" si="495"/>
        <v>-</v>
      </c>
      <c r="AW890" t="str">
        <f t="shared" si="496"/>
        <v>-</v>
      </c>
      <c r="AX890" t="str">
        <f t="shared" si="497"/>
        <v>-</v>
      </c>
      <c r="AY890" t="str">
        <f t="shared" si="498"/>
        <v>-</v>
      </c>
      <c r="AZ890" t="str">
        <f t="shared" si="499"/>
        <v>-</v>
      </c>
      <c r="BA890" t="str">
        <f t="shared" si="500"/>
        <v>-</v>
      </c>
      <c r="BB890" t="str">
        <f t="shared" si="501"/>
        <v>-</v>
      </c>
      <c r="BC890" t="str">
        <f t="shared" si="502"/>
        <v>-</v>
      </c>
      <c r="BD890" s="29" t="str">
        <f t="shared" si="503"/>
        <v>-</v>
      </c>
      <c r="BE890" s="29" t="str">
        <f t="shared" si="504"/>
        <v>-</v>
      </c>
    </row>
    <row r="891" spans="1:57" ht="15" x14ac:dyDescent="0.2">
      <c r="A891" s="2">
        <v>432</v>
      </c>
      <c r="B891" s="2" t="str">
        <f t="shared" si="469"/>
        <v>0432</v>
      </c>
      <c r="C891" t="str">
        <f t="shared" si="470"/>
        <v>ORD-TK-0432-25/11/24</v>
      </c>
      <c r="D891" s="3" t="s">
        <v>473</v>
      </c>
      <c r="E891" t="str">
        <f t="shared" si="471"/>
        <v>SW001</v>
      </c>
      <c r="F891" t="str">
        <f>INDEX(Katalog!$B$4:$B$13,MATCH('Main Data'!E891,Katalog!$C$4:$C$13,0))</f>
        <v>Flat Shoes</v>
      </c>
      <c r="G891" t="str">
        <f>VLOOKUP(E891,Katalog!$A$15:$B$25,2,0)</f>
        <v>Sepatu Wanita</v>
      </c>
      <c r="H891" t="str">
        <f t="shared" si="472"/>
        <v>5</v>
      </c>
      <c r="I891" t="str">
        <f t="shared" si="473"/>
        <v>2</v>
      </c>
      <c r="J891" s="18">
        <f>VLOOKUP(E891,Katalog!$C$3:$F$13,2,0)</f>
        <v>150000</v>
      </c>
      <c r="K891" s="18">
        <f>VLOOKUP(E891,Katalog!$C$3:$F$13,3,0)</f>
        <v>70000</v>
      </c>
      <c r="L891" t="str">
        <f t="shared" si="474"/>
        <v>PP002</v>
      </c>
      <c r="M891" t="str">
        <f>IFERROR(INDEX(Katalog!$B$4:$B$13,MATCH('Main Data'!L891,Katalog!$C$4:$C$13,0)), "-")</f>
        <v>Celana Pendek</v>
      </c>
      <c r="N891" t="str">
        <f>IFERROR(VLOOKUP(L891,Katalog!$A$15:$B$25,2,0),"-")</f>
        <v>Pakaian Pria</v>
      </c>
      <c r="O891" t="str">
        <f t="shared" si="475"/>
        <v>1</v>
      </c>
      <c r="P891" t="str">
        <f t="shared" si="476"/>
        <v>3</v>
      </c>
      <c r="Q891" s="18">
        <f>IFERROR(VLOOKUP(L891,Katalog!$C$3:$F$13,2,0),0)</f>
        <v>60000</v>
      </c>
      <c r="R891" s="18">
        <f>IFERROR(VLOOKUP(L891,Katalog!$C$3:$F$13,3,0),0)</f>
        <v>25000</v>
      </c>
      <c r="S891" t="str">
        <f t="shared" si="477"/>
        <v>-</v>
      </c>
      <c r="T891" t="str">
        <f>IFERROR(INDEX(Katalog!$B$4:$B$13,MATCH('Main Data'!S891,Katalog!$C$4:$C$13,0)),"-")</f>
        <v>-</v>
      </c>
      <c r="U891" t="str">
        <f>IFERROR(VLOOKUP(S891,Katalog!$A$15:$B$25,2,0),"-")</f>
        <v>-</v>
      </c>
      <c r="V891">
        <f t="shared" si="478"/>
        <v>0</v>
      </c>
      <c r="W891" s="28" t="str">
        <f t="shared" si="479"/>
        <v>-</v>
      </c>
      <c r="X891" s="18">
        <f>IFERROR(VLOOKUP(S891,Katalog!$C$3:$F$13,2,0),0)</f>
        <v>0</v>
      </c>
      <c r="Y891" s="30">
        <f>IFERROR(VLOOKUP(S891,Katalog!$C$3:$F$13,3,0),0)</f>
        <v>0</v>
      </c>
      <c r="Z891" s="2">
        <f t="shared" si="480"/>
        <v>6</v>
      </c>
      <c r="AA891" s="4">
        <f t="shared" si="481"/>
        <v>810000</v>
      </c>
      <c r="AB891" s="4">
        <f t="shared" si="482"/>
        <v>375000</v>
      </c>
      <c r="AC891" s="4" t="s">
        <v>29</v>
      </c>
      <c r="AD891" s="16">
        <f>IFERROR(VLOOKUP(AC891,'Kode Diskon'!$C$2:$D$9,2,0),0)</f>
        <v>0.1</v>
      </c>
      <c r="AE891" s="31">
        <f t="shared" si="483"/>
        <v>81000</v>
      </c>
      <c r="AF891" s="31">
        <f t="shared" si="484"/>
        <v>729000</v>
      </c>
      <c r="AG891" s="31">
        <f t="shared" si="485"/>
        <v>435000</v>
      </c>
      <c r="AH891" s="31">
        <f t="shared" si="486"/>
        <v>354000</v>
      </c>
      <c r="AI891" s="4" t="s">
        <v>28</v>
      </c>
      <c r="AJ891" s="4" t="s">
        <v>9</v>
      </c>
      <c r="AK891" s="4" t="str">
        <f>IFERROR(VLOOKUP(AJ891,'Guide '!$A$13:$B$16,2,0),"-")</f>
        <v>TK</v>
      </c>
      <c r="AL891" s="4" t="s">
        <v>925</v>
      </c>
      <c r="AM891" s="40">
        <v>45621</v>
      </c>
      <c r="AN891">
        <f t="shared" si="487"/>
        <v>29</v>
      </c>
      <c r="AO891">
        <f t="shared" si="488"/>
        <v>32</v>
      </c>
      <c r="AP891">
        <f t="shared" si="489"/>
        <v>40</v>
      </c>
      <c r="AQ891">
        <f t="shared" si="490"/>
        <v>43</v>
      </c>
      <c r="AR891" s="26">
        <f t="shared" si="491"/>
        <v>56</v>
      </c>
      <c r="AS891" s="26">
        <f t="shared" si="492"/>
        <v>63</v>
      </c>
      <c r="AT891" s="21">
        <f t="shared" si="493"/>
        <v>12</v>
      </c>
      <c r="AU891" s="21">
        <f t="shared" si="494"/>
        <v>19</v>
      </c>
      <c r="AV891">
        <f t="shared" si="495"/>
        <v>73</v>
      </c>
      <c r="AW891">
        <f t="shared" si="496"/>
        <v>76</v>
      </c>
      <c r="AX891">
        <f t="shared" si="497"/>
        <v>84</v>
      </c>
      <c r="AY891">
        <f t="shared" si="498"/>
        <v>87</v>
      </c>
      <c r="AZ891" t="str">
        <f t="shared" si="499"/>
        <v>-</v>
      </c>
      <c r="BA891" t="str">
        <f t="shared" si="500"/>
        <v>-</v>
      </c>
      <c r="BB891" t="str">
        <f t="shared" si="501"/>
        <v>-</v>
      </c>
      <c r="BC891" t="str">
        <f t="shared" si="502"/>
        <v>-</v>
      </c>
      <c r="BD891" s="29" t="str">
        <f t="shared" si="503"/>
        <v>-</v>
      </c>
      <c r="BE891" s="29" t="str">
        <f t="shared" si="504"/>
        <v>-</v>
      </c>
    </row>
    <row r="892" spans="1:57" ht="15" x14ac:dyDescent="0.2">
      <c r="A892" s="2">
        <v>690</v>
      </c>
      <c r="B892" s="2" t="str">
        <f t="shared" si="469"/>
        <v>0690</v>
      </c>
      <c r="C892" t="str">
        <f t="shared" si="470"/>
        <v>ORD-SP-0690-25/11/24</v>
      </c>
      <c r="D892" s="3" t="s">
        <v>686</v>
      </c>
      <c r="E892" t="str">
        <f t="shared" si="471"/>
        <v>PP003</v>
      </c>
      <c r="F892" t="str">
        <f>INDEX(Katalog!$B$4:$B$13,MATCH('Main Data'!E892,Katalog!$C$4:$C$13,0))</f>
        <v>Jaket Jeans</v>
      </c>
      <c r="G892" t="str">
        <f>VLOOKUP(E892,Katalog!$A$15:$B$25,2,0)</f>
        <v>Pakaian Pria</v>
      </c>
      <c r="H892" t="str">
        <f t="shared" si="472"/>
        <v>3</v>
      </c>
      <c r="I892" t="str">
        <f t="shared" si="473"/>
        <v>4</v>
      </c>
      <c r="J892" s="18">
        <f>VLOOKUP(E892,Katalog!$C$3:$F$13,2,0)</f>
        <v>150000</v>
      </c>
      <c r="K892" s="18">
        <f>VLOOKUP(E892,Katalog!$C$3:$F$13,3,0)</f>
        <v>70000</v>
      </c>
      <c r="L892" t="str">
        <f t="shared" si="474"/>
        <v>PP001</v>
      </c>
      <c r="M892" t="str">
        <f>IFERROR(INDEX(Katalog!$B$4:$B$13,MATCH('Main Data'!L892,Katalog!$C$4:$C$13,0)), "-")</f>
        <v>Kaos Polo</v>
      </c>
      <c r="N892" t="str">
        <f>IFERROR(VLOOKUP(L892,Katalog!$A$15:$B$25,2,0),"-")</f>
        <v>Pakaian Pria</v>
      </c>
      <c r="O892" t="str">
        <f t="shared" si="475"/>
        <v>2</v>
      </c>
      <c r="P892" t="str">
        <f t="shared" si="476"/>
        <v>5</v>
      </c>
      <c r="Q892" s="18">
        <f>IFERROR(VLOOKUP(L892,Katalog!$C$3:$F$13,2,0),0)</f>
        <v>80000</v>
      </c>
      <c r="R892" s="18">
        <f>IFERROR(VLOOKUP(L892,Katalog!$C$3:$F$13,3,0),0)</f>
        <v>30000</v>
      </c>
      <c r="S892" t="str">
        <f t="shared" si="477"/>
        <v>-</v>
      </c>
      <c r="T892" t="str">
        <f>IFERROR(INDEX(Katalog!$B$4:$B$13,MATCH('Main Data'!S892,Katalog!$C$4:$C$13,0)),"-")</f>
        <v>-</v>
      </c>
      <c r="U892" t="str">
        <f>IFERROR(VLOOKUP(S892,Katalog!$A$15:$B$25,2,0),"-")</f>
        <v>-</v>
      </c>
      <c r="V892">
        <f t="shared" si="478"/>
        <v>0</v>
      </c>
      <c r="W892" s="28" t="str">
        <f t="shared" si="479"/>
        <v>-</v>
      </c>
      <c r="X892" s="18">
        <f>IFERROR(VLOOKUP(S892,Katalog!$C$3:$F$13,2,0),0)</f>
        <v>0</v>
      </c>
      <c r="Y892" s="30">
        <f>IFERROR(VLOOKUP(S892,Katalog!$C$3:$F$13,3,0),0)</f>
        <v>0</v>
      </c>
      <c r="Z892" s="2">
        <f t="shared" si="480"/>
        <v>5</v>
      </c>
      <c r="AA892" s="4">
        <f t="shared" si="481"/>
        <v>610000</v>
      </c>
      <c r="AB892" s="4">
        <f t="shared" si="482"/>
        <v>270000</v>
      </c>
      <c r="AC892" s="4" t="s">
        <v>7</v>
      </c>
      <c r="AD892" s="16">
        <f>IFERROR(VLOOKUP(AC892,'Kode Diskon'!$C$2:$D$9,2,0),0)</f>
        <v>0.2</v>
      </c>
      <c r="AE892" s="31">
        <f t="shared" si="483"/>
        <v>122000</v>
      </c>
      <c r="AF892" s="31">
        <f t="shared" si="484"/>
        <v>488000</v>
      </c>
      <c r="AG892" s="31">
        <f t="shared" si="485"/>
        <v>340000</v>
      </c>
      <c r="AH892" s="31">
        <f t="shared" si="486"/>
        <v>218000</v>
      </c>
      <c r="AI892" s="4" t="s">
        <v>8</v>
      </c>
      <c r="AJ892" s="4" t="s">
        <v>6</v>
      </c>
      <c r="AK892" s="4" t="str">
        <f>IFERROR(VLOOKUP(AJ892,'Guide '!$A$13:$B$16,2,0),"-")</f>
        <v>SP</v>
      </c>
      <c r="AL892" s="4" t="s">
        <v>925</v>
      </c>
      <c r="AM892" s="40">
        <v>45621</v>
      </c>
      <c r="AN892">
        <f t="shared" si="487"/>
        <v>29</v>
      </c>
      <c r="AO892">
        <f t="shared" si="488"/>
        <v>32</v>
      </c>
      <c r="AP892">
        <f t="shared" si="489"/>
        <v>40</v>
      </c>
      <c r="AQ892">
        <f t="shared" si="490"/>
        <v>43</v>
      </c>
      <c r="AR892" s="26">
        <f t="shared" si="491"/>
        <v>56</v>
      </c>
      <c r="AS892" s="26">
        <f t="shared" si="492"/>
        <v>63</v>
      </c>
      <c r="AT892" s="21">
        <f t="shared" si="493"/>
        <v>12</v>
      </c>
      <c r="AU892" s="21">
        <f t="shared" si="494"/>
        <v>19</v>
      </c>
      <c r="AV892">
        <f t="shared" si="495"/>
        <v>73</v>
      </c>
      <c r="AW892">
        <f t="shared" si="496"/>
        <v>76</v>
      </c>
      <c r="AX892">
        <f t="shared" si="497"/>
        <v>84</v>
      </c>
      <c r="AY892">
        <f t="shared" si="498"/>
        <v>87</v>
      </c>
      <c r="AZ892" t="str">
        <f t="shared" si="499"/>
        <v>-</v>
      </c>
      <c r="BA892" t="str">
        <f t="shared" si="500"/>
        <v>-</v>
      </c>
      <c r="BB892" t="str">
        <f t="shared" si="501"/>
        <v>-</v>
      </c>
      <c r="BC892" t="str">
        <f t="shared" si="502"/>
        <v>-</v>
      </c>
      <c r="BD892" s="29" t="str">
        <f t="shared" si="503"/>
        <v>-</v>
      </c>
      <c r="BE892" s="29" t="str">
        <f t="shared" si="504"/>
        <v>-</v>
      </c>
    </row>
    <row r="893" spans="1:57" ht="15" x14ac:dyDescent="0.2">
      <c r="A893" s="2">
        <v>784</v>
      </c>
      <c r="B893" s="2" t="str">
        <f t="shared" si="469"/>
        <v>0784</v>
      </c>
      <c r="C893" t="str">
        <f t="shared" si="470"/>
        <v>ORD-SP-0784-25/11/24</v>
      </c>
      <c r="D893" s="3" t="s">
        <v>756</v>
      </c>
      <c r="E893" t="str">
        <f t="shared" si="471"/>
        <v>SP002</v>
      </c>
      <c r="F893" t="str">
        <f>INDEX(Katalog!$B$4:$B$13,MATCH('Main Data'!E893,Katalog!$C$4:$C$13,0))</f>
        <v>Sandal Slip On</v>
      </c>
      <c r="G893" t="str">
        <f>VLOOKUP(E893,Katalog!$A$15:$B$25,2,0)</f>
        <v>Sepatu Pria</v>
      </c>
      <c r="H893" t="str">
        <f t="shared" si="472"/>
        <v>5</v>
      </c>
      <c r="I893" t="str">
        <f t="shared" si="473"/>
        <v>5</v>
      </c>
      <c r="J893" s="18">
        <f>VLOOKUP(E893,Katalog!$C$3:$F$13,2,0)</f>
        <v>120000</v>
      </c>
      <c r="K893" s="18">
        <f>VLOOKUP(E893,Katalog!$C$3:$F$13,3,0)</f>
        <v>60000</v>
      </c>
      <c r="L893" t="str">
        <f t="shared" si="474"/>
        <v>SW001</v>
      </c>
      <c r="M893" t="str">
        <f>IFERROR(INDEX(Katalog!$B$4:$B$13,MATCH('Main Data'!L893,Katalog!$C$4:$C$13,0)), "-")</f>
        <v>Flat Shoes</v>
      </c>
      <c r="N893" t="str">
        <f>IFERROR(VLOOKUP(L893,Katalog!$A$15:$B$25,2,0),"-")</f>
        <v>Sepatu Wanita</v>
      </c>
      <c r="O893" t="str">
        <f t="shared" si="475"/>
        <v>1</v>
      </c>
      <c r="P893" t="str">
        <f t="shared" si="476"/>
        <v>2</v>
      </c>
      <c r="Q893" s="18">
        <f>IFERROR(VLOOKUP(L893,Katalog!$C$3:$F$13,2,0),0)</f>
        <v>150000</v>
      </c>
      <c r="R893" s="18">
        <f>IFERROR(VLOOKUP(L893,Katalog!$C$3:$F$13,3,0),0)</f>
        <v>70000</v>
      </c>
      <c r="S893" t="str">
        <f t="shared" si="477"/>
        <v>PP001</v>
      </c>
      <c r="T893" t="str">
        <f>IFERROR(INDEX(Katalog!$B$4:$B$13,MATCH('Main Data'!S893,Katalog!$C$4:$C$13,0)),"-")</f>
        <v>Kaos Polo</v>
      </c>
      <c r="U893" t="str">
        <f>IFERROR(VLOOKUP(S893,Katalog!$A$15:$B$25,2,0),"-")</f>
        <v>Pakaian Pria</v>
      </c>
      <c r="V893" t="str">
        <f t="shared" si="478"/>
        <v>1</v>
      </c>
      <c r="W893" s="28" t="str">
        <f t="shared" si="479"/>
        <v>5</v>
      </c>
      <c r="X893" s="18">
        <f>IFERROR(VLOOKUP(S893,Katalog!$C$3:$F$13,2,0),0)</f>
        <v>80000</v>
      </c>
      <c r="Y893" s="30">
        <f>IFERROR(VLOOKUP(S893,Katalog!$C$3:$F$13,3,0),0)</f>
        <v>30000</v>
      </c>
      <c r="Z893" s="2">
        <f t="shared" si="480"/>
        <v>7</v>
      </c>
      <c r="AA893" s="4">
        <f t="shared" si="481"/>
        <v>830000</v>
      </c>
      <c r="AB893" s="4">
        <f t="shared" si="482"/>
        <v>400000</v>
      </c>
      <c r="AC893" s="4" t="s">
        <v>7</v>
      </c>
      <c r="AD893" s="16">
        <f>IFERROR(VLOOKUP(AC893,'Kode Diskon'!$C$2:$D$9,2,0),0)</f>
        <v>0.2</v>
      </c>
      <c r="AE893" s="31">
        <f t="shared" si="483"/>
        <v>166000</v>
      </c>
      <c r="AF893" s="31">
        <f t="shared" si="484"/>
        <v>664000</v>
      </c>
      <c r="AG893" s="31">
        <f t="shared" si="485"/>
        <v>430000</v>
      </c>
      <c r="AH893" s="31">
        <f t="shared" si="486"/>
        <v>264000</v>
      </c>
      <c r="AI893" s="4" t="s">
        <v>8</v>
      </c>
      <c r="AJ893" s="4" t="s">
        <v>6</v>
      </c>
      <c r="AK893" s="4" t="str">
        <f>IFERROR(VLOOKUP(AJ893,'Guide '!$A$13:$B$16,2,0),"-")</f>
        <v>SP</v>
      </c>
      <c r="AL893" s="4" t="s">
        <v>922</v>
      </c>
      <c r="AM893" s="40">
        <v>45621</v>
      </c>
      <c r="AN893">
        <f t="shared" si="487"/>
        <v>29</v>
      </c>
      <c r="AO893">
        <f t="shared" si="488"/>
        <v>32</v>
      </c>
      <c r="AP893">
        <f t="shared" si="489"/>
        <v>40</v>
      </c>
      <c r="AQ893">
        <f t="shared" si="490"/>
        <v>43</v>
      </c>
      <c r="AR893" s="26">
        <f t="shared" si="491"/>
        <v>56</v>
      </c>
      <c r="AS893" s="26">
        <f t="shared" si="492"/>
        <v>63</v>
      </c>
      <c r="AT893" s="21">
        <f t="shared" si="493"/>
        <v>12</v>
      </c>
      <c r="AU893" s="21">
        <f t="shared" si="494"/>
        <v>19</v>
      </c>
      <c r="AV893">
        <f t="shared" si="495"/>
        <v>73</v>
      </c>
      <c r="AW893">
        <f t="shared" si="496"/>
        <v>76</v>
      </c>
      <c r="AX893">
        <f t="shared" si="497"/>
        <v>84</v>
      </c>
      <c r="AY893">
        <f t="shared" si="498"/>
        <v>87</v>
      </c>
      <c r="AZ893">
        <f t="shared" si="499"/>
        <v>100</v>
      </c>
      <c r="BA893">
        <f t="shared" si="500"/>
        <v>107</v>
      </c>
      <c r="BB893">
        <f t="shared" si="501"/>
        <v>117</v>
      </c>
      <c r="BC893">
        <f t="shared" si="502"/>
        <v>120</v>
      </c>
      <c r="BD893" s="29">
        <f t="shared" si="503"/>
        <v>128</v>
      </c>
      <c r="BE893" s="29">
        <f t="shared" si="504"/>
        <v>131</v>
      </c>
    </row>
    <row r="894" spans="1:57" ht="15" x14ac:dyDescent="0.2">
      <c r="A894" s="2">
        <v>374</v>
      </c>
      <c r="B894" s="2" t="str">
        <f t="shared" si="469"/>
        <v>0374</v>
      </c>
      <c r="C894" t="str">
        <f t="shared" si="470"/>
        <v>ORD-TK-0374-26/11/24</v>
      </c>
      <c r="D894" s="3" t="s">
        <v>424</v>
      </c>
      <c r="E894" t="str">
        <f t="shared" si="471"/>
        <v>PU001</v>
      </c>
      <c r="F894" t="str">
        <f>INDEX(Katalog!$B$4:$B$13,MATCH('Main Data'!E894,Katalog!$C$4:$C$13,0))</f>
        <v>Jaket Hoodie</v>
      </c>
      <c r="G894" t="str">
        <f>VLOOKUP(E894,Katalog!$A$15:$B$25,2,0)</f>
        <v>Pakaian Unisex</v>
      </c>
      <c r="H894" t="str">
        <f t="shared" si="472"/>
        <v>5</v>
      </c>
      <c r="I894" t="str">
        <f t="shared" si="473"/>
        <v>2</v>
      </c>
      <c r="J894" s="18">
        <f>VLOOKUP(E894,Katalog!$C$3:$F$13,2,0)</f>
        <v>160000</v>
      </c>
      <c r="K894" s="18">
        <f>VLOOKUP(E894,Katalog!$C$3:$F$13,3,0)</f>
        <v>60000</v>
      </c>
      <c r="L894" t="str">
        <f t="shared" si="474"/>
        <v>-</v>
      </c>
      <c r="M894" t="str">
        <f>IFERROR(INDEX(Katalog!$B$4:$B$13,MATCH('Main Data'!L894,Katalog!$C$4:$C$13,0)), "-")</f>
        <v>-</v>
      </c>
      <c r="N894" t="str">
        <f>IFERROR(VLOOKUP(L894,Katalog!$A$15:$B$25,2,0),"-")</f>
        <v>-</v>
      </c>
      <c r="O894">
        <f t="shared" si="475"/>
        <v>0</v>
      </c>
      <c r="P894" t="str">
        <f t="shared" si="476"/>
        <v>-</v>
      </c>
      <c r="Q894" s="18">
        <f>IFERROR(VLOOKUP(L894,Katalog!$C$3:$F$13,2,0),0)</f>
        <v>0</v>
      </c>
      <c r="R894" s="18">
        <f>IFERROR(VLOOKUP(L894,Katalog!$C$3:$F$13,3,0),0)</f>
        <v>0</v>
      </c>
      <c r="S894" t="str">
        <f t="shared" si="477"/>
        <v>-</v>
      </c>
      <c r="T894" t="str">
        <f>IFERROR(INDEX(Katalog!$B$4:$B$13,MATCH('Main Data'!S894,Katalog!$C$4:$C$13,0)),"-")</f>
        <v>-</v>
      </c>
      <c r="U894" t="str">
        <f>IFERROR(VLOOKUP(S894,Katalog!$A$15:$B$25,2,0),"-")</f>
        <v>-</v>
      </c>
      <c r="V894">
        <f t="shared" si="478"/>
        <v>0</v>
      </c>
      <c r="W894" s="28" t="str">
        <f t="shared" si="479"/>
        <v>-</v>
      </c>
      <c r="X894" s="18">
        <f>IFERROR(VLOOKUP(S894,Katalog!$C$3:$F$13,2,0),0)</f>
        <v>0</v>
      </c>
      <c r="Y894" s="30">
        <f>IFERROR(VLOOKUP(S894,Katalog!$C$3:$F$13,3,0),0)</f>
        <v>0</v>
      </c>
      <c r="Z894" s="2">
        <f t="shared" si="480"/>
        <v>5</v>
      </c>
      <c r="AA894" s="4">
        <f t="shared" si="481"/>
        <v>800000</v>
      </c>
      <c r="AB894" s="4">
        <f t="shared" si="482"/>
        <v>300000</v>
      </c>
      <c r="AC894" s="4" t="s">
        <v>30</v>
      </c>
      <c r="AD894" s="16">
        <f>IFERROR(VLOOKUP(AC894,'Kode Diskon'!$C$2:$D$9,2,0),0)</f>
        <v>0.1</v>
      </c>
      <c r="AE894" s="31">
        <f t="shared" si="483"/>
        <v>80000</v>
      </c>
      <c r="AF894" s="31">
        <f t="shared" si="484"/>
        <v>720000</v>
      </c>
      <c r="AG894" s="31">
        <f t="shared" si="485"/>
        <v>500000</v>
      </c>
      <c r="AH894" s="31">
        <f t="shared" si="486"/>
        <v>420000</v>
      </c>
      <c r="AI894" s="4" t="s">
        <v>8</v>
      </c>
      <c r="AJ894" s="4" t="s">
        <v>9</v>
      </c>
      <c r="AK894" s="4" t="str">
        <f>IFERROR(VLOOKUP(AJ894,'Guide '!$A$13:$B$16,2,0),"-")</f>
        <v>TK</v>
      </c>
      <c r="AL894" s="4" t="s">
        <v>1006</v>
      </c>
      <c r="AM894" s="40">
        <v>45622</v>
      </c>
      <c r="AN894">
        <f t="shared" si="487"/>
        <v>29</v>
      </c>
      <c r="AO894">
        <f t="shared" si="488"/>
        <v>32</v>
      </c>
      <c r="AP894">
        <f t="shared" si="489"/>
        <v>40</v>
      </c>
      <c r="AQ894">
        <f t="shared" si="490"/>
        <v>43</v>
      </c>
      <c r="AR894" s="26" t="str">
        <f t="shared" si="491"/>
        <v>-</v>
      </c>
      <c r="AS894" s="26" t="str">
        <f t="shared" si="492"/>
        <v>-</v>
      </c>
      <c r="AT894" s="21">
        <f t="shared" si="493"/>
        <v>12</v>
      </c>
      <c r="AU894" s="21">
        <f t="shared" si="494"/>
        <v>19</v>
      </c>
      <c r="AV894" t="str">
        <f t="shared" si="495"/>
        <v>-</v>
      </c>
      <c r="AW894" t="str">
        <f t="shared" si="496"/>
        <v>-</v>
      </c>
      <c r="AX894" t="str">
        <f t="shared" si="497"/>
        <v>-</v>
      </c>
      <c r="AY894" t="str">
        <f t="shared" si="498"/>
        <v>-</v>
      </c>
      <c r="AZ894" t="str">
        <f t="shared" si="499"/>
        <v>-</v>
      </c>
      <c r="BA894" t="str">
        <f t="shared" si="500"/>
        <v>-</v>
      </c>
      <c r="BB894" t="str">
        <f t="shared" si="501"/>
        <v>-</v>
      </c>
      <c r="BC894" t="str">
        <f t="shared" si="502"/>
        <v>-</v>
      </c>
      <c r="BD894" s="29" t="str">
        <f t="shared" si="503"/>
        <v>-</v>
      </c>
      <c r="BE894" s="29" t="str">
        <f t="shared" si="504"/>
        <v>-</v>
      </c>
    </row>
    <row r="895" spans="1:57" ht="15" x14ac:dyDescent="0.2">
      <c r="A895" s="2">
        <v>262</v>
      </c>
      <c r="B895" s="2" t="str">
        <f t="shared" si="469"/>
        <v>0262</v>
      </c>
      <c r="C895" t="str">
        <f t="shared" si="470"/>
        <v>ORD-SP-0262-27/11/24</v>
      </c>
      <c r="D895" s="3" t="s">
        <v>326</v>
      </c>
      <c r="E895" t="str">
        <f t="shared" si="471"/>
        <v>PP003</v>
      </c>
      <c r="F895" t="str">
        <f>INDEX(Katalog!$B$4:$B$13,MATCH('Main Data'!E895,Katalog!$C$4:$C$13,0))</f>
        <v>Jaket Jeans</v>
      </c>
      <c r="G895" t="str">
        <f>VLOOKUP(E895,Katalog!$A$15:$B$25,2,0)</f>
        <v>Pakaian Pria</v>
      </c>
      <c r="H895" t="str">
        <f t="shared" si="472"/>
        <v>3</v>
      </c>
      <c r="I895" t="str">
        <f t="shared" si="473"/>
        <v>5</v>
      </c>
      <c r="J895" s="18">
        <f>VLOOKUP(E895,Katalog!$C$3:$F$13,2,0)</f>
        <v>150000</v>
      </c>
      <c r="K895" s="18">
        <f>VLOOKUP(E895,Katalog!$C$3:$F$13,3,0)</f>
        <v>70000</v>
      </c>
      <c r="L895" t="str">
        <f t="shared" si="474"/>
        <v>PW001</v>
      </c>
      <c r="M895" t="str">
        <f>IFERROR(INDEX(Katalog!$B$4:$B$13,MATCH('Main Data'!L895,Katalog!$C$4:$C$13,0)), "-")</f>
        <v>Dress</v>
      </c>
      <c r="N895" t="str">
        <f>IFERROR(VLOOKUP(L895,Katalog!$A$15:$B$25,2,0),"-")</f>
        <v>Pakaian Wanita</v>
      </c>
      <c r="O895" t="str">
        <f t="shared" si="475"/>
        <v>1</v>
      </c>
      <c r="P895" t="str">
        <f t="shared" si="476"/>
        <v>1</v>
      </c>
      <c r="Q895" s="18">
        <f>IFERROR(VLOOKUP(L895,Katalog!$C$3:$F$13,2,0),0)</f>
        <v>150000</v>
      </c>
      <c r="R895" s="18">
        <f>IFERROR(VLOOKUP(L895,Katalog!$C$3:$F$13,3,0),0)</f>
        <v>55000</v>
      </c>
      <c r="S895" t="str">
        <f t="shared" si="477"/>
        <v>-</v>
      </c>
      <c r="T895" t="str">
        <f>IFERROR(INDEX(Katalog!$B$4:$B$13,MATCH('Main Data'!S895,Katalog!$C$4:$C$13,0)),"-")</f>
        <v>-</v>
      </c>
      <c r="U895" t="str">
        <f>IFERROR(VLOOKUP(S895,Katalog!$A$15:$B$25,2,0),"-")</f>
        <v>-</v>
      </c>
      <c r="V895">
        <f t="shared" si="478"/>
        <v>0</v>
      </c>
      <c r="W895" s="28" t="str">
        <f t="shared" si="479"/>
        <v>-</v>
      </c>
      <c r="X895" s="18">
        <f>IFERROR(VLOOKUP(S895,Katalog!$C$3:$F$13,2,0),0)</f>
        <v>0</v>
      </c>
      <c r="Y895" s="30">
        <f>IFERROR(VLOOKUP(S895,Katalog!$C$3:$F$13,3,0),0)</f>
        <v>0</v>
      </c>
      <c r="Z895" s="2">
        <f t="shared" si="480"/>
        <v>4</v>
      </c>
      <c r="AA895" s="4">
        <f t="shared" si="481"/>
        <v>600000</v>
      </c>
      <c r="AB895" s="4">
        <f t="shared" si="482"/>
        <v>265000</v>
      </c>
      <c r="AC895" s="4" t="s">
        <v>5</v>
      </c>
      <c r="AD895" s="16">
        <f>IFERROR(VLOOKUP(AC895,'Kode Diskon'!$C$2:$D$9,2,0),0)</f>
        <v>0.1</v>
      </c>
      <c r="AE895" s="31">
        <f t="shared" si="483"/>
        <v>60000</v>
      </c>
      <c r="AF895" s="31">
        <f t="shared" si="484"/>
        <v>540000</v>
      </c>
      <c r="AG895" s="31">
        <f t="shared" si="485"/>
        <v>335000</v>
      </c>
      <c r="AH895" s="31">
        <f t="shared" si="486"/>
        <v>275000</v>
      </c>
      <c r="AI895" s="4" t="s">
        <v>28</v>
      </c>
      <c r="AJ895" s="4" t="s">
        <v>6</v>
      </c>
      <c r="AK895" s="4" t="str">
        <f>IFERROR(VLOOKUP(AJ895,'Guide '!$A$13:$B$16,2,0),"-")</f>
        <v>SP</v>
      </c>
      <c r="AL895" s="4" t="s">
        <v>921</v>
      </c>
      <c r="AM895" s="40">
        <v>45623</v>
      </c>
      <c r="AN895">
        <f t="shared" si="487"/>
        <v>29</v>
      </c>
      <c r="AO895">
        <f t="shared" si="488"/>
        <v>32</v>
      </c>
      <c r="AP895">
        <f t="shared" si="489"/>
        <v>40</v>
      </c>
      <c r="AQ895">
        <f t="shared" si="490"/>
        <v>43</v>
      </c>
      <c r="AR895" s="26">
        <f t="shared" si="491"/>
        <v>56</v>
      </c>
      <c r="AS895" s="26">
        <f t="shared" si="492"/>
        <v>63</v>
      </c>
      <c r="AT895" s="21">
        <f t="shared" si="493"/>
        <v>12</v>
      </c>
      <c r="AU895" s="21">
        <f t="shared" si="494"/>
        <v>19</v>
      </c>
      <c r="AV895">
        <f t="shared" si="495"/>
        <v>73</v>
      </c>
      <c r="AW895">
        <f t="shared" si="496"/>
        <v>76</v>
      </c>
      <c r="AX895">
        <f t="shared" si="497"/>
        <v>84</v>
      </c>
      <c r="AY895">
        <f t="shared" si="498"/>
        <v>87</v>
      </c>
      <c r="AZ895" t="str">
        <f t="shared" si="499"/>
        <v>-</v>
      </c>
      <c r="BA895" t="str">
        <f t="shared" si="500"/>
        <v>-</v>
      </c>
      <c r="BB895" t="str">
        <f t="shared" si="501"/>
        <v>-</v>
      </c>
      <c r="BC895" t="str">
        <f t="shared" si="502"/>
        <v>-</v>
      </c>
      <c r="BD895" s="29" t="str">
        <f t="shared" si="503"/>
        <v>-</v>
      </c>
      <c r="BE895" s="29" t="str">
        <f t="shared" si="504"/>
        <v>-</v>
      </c>
    </row>
    <row r="896" spans="1:57" ht="15" x14ac:dyDescent="0.2">
      <c r="A896" s="2">
        <v>542</v>
      </c>
      <c r="B896" s="2" t="str">
        <f t="shared" si="469"/>
        <v>0542</v>
      </c>
      <c r="C896" t="str">
        <f t="shared" si="470"/>
        <v>ORD-SP-0542-27/11/24</v>
      </c>
      <c r="D896" s="3" t="s">
        <v>566</v>
      </c>
      <c r="E896" t="str">
        <f t="shared" si="471"/>
        <v>PP002</v>
      </c>
      <c r="F896" t="str">
        <f>INDEX(Katalog!$B$4:$B$13,MATCH('Main Data'!E896,Katalog!$C$4:$C$13,0))</f>
        <v>Celana Pendek</v>
      </c>
      <c r="G896" t="str">
        <f>VLOOKUP(E896,Katalog!$A$15:$B$25,2,0)</f>
        <v>Pakaian Pria</v>
      </c>
      <c r="H896" t="str">
        <f t="shared" si="472"/>
        <v>1</v>
      </c>
      <c r="I896" t="str">
        <f t="shared" si="473"/>
        <v>4</v>
      </c>
      <c r="J896" s="18">
        <f>VLOOKUP(E896,Katalog!$C$3:$F$13,2,0)</f>
        <v>60000</v>
      </c>
      <c r="K896" s="18">
        <f>VLOOKUP(E896,Katalog!$C$3:$F$13,3,0)</f>
        <v>25000</v>
      </c>
      <c r="L896" t="str">
        <f t="shared" si="474"/>
        <v>PW001</v>
      </c>
      <c r="M896" t="str">
        <f>IFERROR(INDEX(Katalog!$B$4:$B$13,MATCH('Main Data'!L896,Katalog!$C$4:$C$13,0)), "-")</f>
        <v>Dress</v>
      </c>
      <c r="N896" t="str">
        <f>IFERROR(VLOOKUP(L896,Katalog!$A$15:$B$25,2,0),"-")</f>
        <v>Pakaian Wanita</v>
      </c>
      <c r="O896" t="str">
        <f t="shared" si="475"/>
        <v>2</v>
      </c>
      <c r="P896" t="str">
        <f t="shared" si="476"/>
        <v>2</v>
      </c>
      <c r="Q896" s="18">
        <f>IFERROR(VLOOKUP(L896,Katalog!$C$3:$F$13,2,0),0)</f>
        <v>150000</v>
      </c>
      <c r="R896" s="18">
        <f>IFERROR(VLOOKUP(L896,Katalog!$C$3:$F$13,3,0),0)</f>
        <v>55000</v>
      </c>
      <c r="S896" t="str">
        <f t="shared" si="477"/>
        <v>PU001</v>
      </c>
      <c r="T896" t="str">
        <f>IFERROR(INDEX(Katalog!$B$4:$B$13,MATCH('Main Data'!S896,Katalog!$C$4:$C$13,0)),"-")</f>
        <v>Jaket Hoodie</v>
      </c>
      <c r="U896" t="str">
        <f>IFERROR(VLOOKUP(S896,Katalog!$A$15:$B$25,2,0),"-")</f>
        <v>Pakaian Unisex</v>
      </c>
      <c r="V896" t="str">
        <f t="shared" si="478"/>
        <v>2</v>
      </c>
      <c r="W896" s="28" t="str">
        <f t="shared" si="479"/>
        <v>4</v>
      </c>
      <c r="X896" s="18">
        <f>IFERROR(VLOOKUP(S896,Katalog!$C$3:$F$13,2,0),0)</f>
        <v>160000</v>
      </c>
      <c r="Y896" s="30">
        <f>IFERROR(VLOOKUP(S896,Katalog!$C$3:$F$13,3,0),0)</f>
        <v>60000</v>
      </c>
      <c r="Z896" s="2">
        <f t="shared" si="480"/>
        <v>5</v>
      </c>
      <c r="AA896" s="4">
        <f t="shared" si="481"/>
        <v>680000</v>
      </c>
      <c r="AB896" s="4">
        <f t="shared" si="482"/>
        <v>255000</v>
      </c>
      <c r="AC896" s="4" t="s">
        <v>5</v>
      </c>
      <c r="AD896" s="16">
        <f>IFERROR(VLOOKUP(AC896,'Kode Diskon'!$C$2:$D$9,2,0),0)</f>
        <v>0.1</v>
      </c>
      <c r="AE896" s="31">
        <f t="shared" si="483"/>
        <v>68000</v>
      </c>
      <c r="AF896" s="31">
        <f t="shared" si="484"/>
        <v>612000</v>
      </c>
      <c r="AG896" s="31">
        <f t="shared" si="485"/>
        <v>425000</v>
      </c>
      <c r="AH896" s="31">
        <f t="shared" si="486"/>
        <v>357000</v>
      </c>
      <c r="AI896" s="4" t="s">
        <v>28</v>
      </c>
      <c r="AJ896" s="4" t="s">
        <v>6</v>
      </c>
      <c r="AK896" s="4" t="str">
        <f>IFERROR(VLOOKUP(AJ896,'Guide '!$A$13:$B$16,2,0),"-")</f>
        <v>SP</v>
      </c>
      <c r="AL896" s="4" t="s">
        <v>921</v>
      </c>
      <c r="AM896" s="40">
        <v>45623</v>
      </c>
      <c r="AN896">
        <f t="shared" si="487"/>
        <v>29</v>
      </c>
      <c r="AO896">
        <f t="shared" si="488"/>
        <v>32</v>
      </c>
      <c r="AP896">
        <f t="shared" si="489"/>
        <v>40</v>
      </c>
      <c r="AQ896">
        <f t="shared" si="490"/>
        <v>43</v>
      </c>
      <c r="AR896" s="26">
        <f t="shared" si="491"/>
        <v>56</v>
      </c>
      <c r="AS896" s="26">
        <f t="shared" si="492"/>
        <v>63</v>
      </c>
      <c r="AT896" s="21">
        <f t="shared" si="493"/>
        <v>12</v>
      </c>
      <c r="AU896" s="21">
        <f t="shared" si="494"/>
        <v>19</v>
      </c>
      <c r="AV896">
        <f t="shared" si="495"/>
        <v>73</v>
      </c>
      <c r="AW896">
        <f t="shared" si="496"/>
        <v>76</v>
      </c>
      <c r="AX896">
        <f t="shared" si="497"/>
        <v>84</v>
      </c>
      <c r="AY896">
        <f t="shared" si="498"/>
        <v>87</v>
      </c>
      <c r="AZ896">
        <f t="shared" si="499"/>
        <v>100</v>
      </c>
      <c r="BA896">
        <f t="shared" si="500"/>
        <v>107</v>
      </c>
      <c r="BB896">
        <f t="shared" si="501"/>
        <v>117</v>
      </c>
      <c r="BC896">
        <f t="shared" si="502"/>
        <v>120</v>
      </c>
      <c r="BD896" s="29">
        <f t="shared" si="503"/>
        <v>128</v>
      </c>
      <c r="BE896" s="29">
        <f t="shared" si="504"/>
        <v>131</v>
      </c>
    </row>
    <row r="897" spans="1:57" ht="15" x14ac:dyDescent="0.2">
      <c r="A897" s="2">
        <v>638</v>
      </c>
      <c r="B897" s="2" t="str">
        <f t="shared" si="469"/>
        <v>0638</v>
      </c>
      <c r="C897" t="str">
        <f t="shared" si="470"/>
        <v>ORD-BB-0638-27/11/24</v>
      </c>
      <c r="D897" s="3" t="s">
        <v>645</v>
      </c>
      <c r="E897" t="str">
        <f t="shared" si="471"/>
        <v>PW001</v>
      </c>
      <c r="F897" t="str">
        <f>INDEX(Katalog!$B$4:$B$13,MATCH('Main Data'!E897,Katalog!$C$4:$C$13,0))</f>
        <v>Dress</v>
      </c>
      <c r="G897" t="str">
        <f>VLOOKUP(E897,Katalog!$A$15:$B$25,2,0)</f>
        <v>Pakaian Wanita</v>
      </c>
      <c r="H897" t="str">
        <f t="shared" si="472"/>
        <v>4</v>
      </c>
      <c r="I897" t="str">
        <f t="shared" si="473"/>
        <v>4</v>
      </c>
      <c r="J897" s="18">
        <f>VLOOKUP(E897,Katalog!$C$3:$F$13,2,0)</f>
        <v>150000</v>
      </c>
      <c r="K897" s="18">
        <f>VLOOKUP(E897,Katalog!$C$3:$F$13,3,0)</f>
        <v>55000</v>
      </c>
      <c r="L897" t="str">
        <f t="shared" si="474"/>
        <v>-</v>
      </c>
      <c r="M897" t="str">
        <f>IFERROR(INDEX(Katalog!$B$4:$B$13,MATCH('Main Data'!L897,Katalog!$C$4:$C$13,0)), "-")</f>
        <v>-</v>
      </c>
      <c r="N897" t="str">
        <f>IFERROR(VLOOKUP(L897,Katalog!$A$15:$B$25,2,0),"-")</f>
        <v>-</v>
      </c>
      <c r="O897">
        <f t="shared" si="475"/>
        <v>0</v>
      </c>
      <c r="P897" t="str">
        <f t="shared" si="476"/>
        <v>-</v>
      </c>
      <c r="Q897" s="18">
        <f>IFERROR(VLOOKUP(L897,Katalog!$C$3:$F$13,2,0),0)</f>
        <v>0</v>
      </c>
      <c r="R897" s="18">
        <f>IFERROR(VLOOKUP(L897,Katalog!$C$3:$F$13,3,0),0)</f>
        <v>0</v>
      </c>
      <c r="S897" t="str">
        <f t="shared" si="477"/>
        <v>-</v>
      </c>
      <c r="T897" t="str">
        <f>IFERROR(INDEX(Katalog!$B$4:$B$13,MATCH('Main Data'!S897,Katalog!$C$4:$C$13,0)),"-")</f>
        <v>-</v>
      </c>
      <c r="U897" t="str">
        <f>IFERROR(VLOOKUP(S897,Katalog!$A$15:$B$25,2,0),"-")</f>
        <v>-</v>
      </c>
      <c r="V897">
        <f t="shared" si="478"/>
        <v>0</v>
      </c>
      <c r="W897" s="28" t="str">
        <f t="shared" si="479"/>
        <v>-</v>
      </c>
      <c r="X897" s="18">
        <f>IFERROR(VLOOKUP(S897,Katalog!$C$3:$F$13,2,0),0)</f>
        <v>0</v>
      </c>
      <c r="Y897" s="30">
        <f>IFERROR(VLOOKUP(S897,Katalog!$C$3:$F$13,3,0),0)</f>
        <v>0</v>
      </c>
      <c r="Z897" s="2">
        <f t="shared" si="480"/>
        <v>4</v>
      </c>
      <c r="AA897" s="4">
        <f t="shared" si="481"/>
        <v>600000</v>
      </c>
      <c r="AB897" s="4">
        <f t="shared" si="482"/>
        <v>220000</v>
      </c>
      <c r="AC897" s="4" t="s">
        <v>27</v>
      </c>
      <c r="AD897" s="16">
        <f>IFERROR(VLOOKUP(AC897,'Kode Diskon'!$C$2:$D$9,2,0),0)</f>
        <v>0.15</v>
      </c>
      <c r="AE897" s="31">
        <f t="shared" si="483"/>
        <v>90000</v>
      </c>
      <c r="AF897" s="31">
        <f t="shared" si="484"/>
        <v>510000</v>
      </c>
      <c r="AG897" s="31">
        <f t="shared" si="485"/>
        <v>380000</v>
      </c>
      <c r="AH897" s="31">
        <f t="shared" si="486"/>
        <v>290000</v>
      </c>
      <c r="AI897" s="4" t="s">
        <v>28</v>
      </c>
      <c r="AJ897" s="4" t="s">
        <v>13</v>
      </c>
      <c r="AK897" s="4" t="str">
        <f>IFERROR(VLOOKUP(AJ897,'Guide '!$A$13:$B$16,2,0),"-")</f>
        <v>BB</v>
      </c>
      <c r="AL897" s="4" t="s">
        <v>925</v>
      </c>
      <c r="AM897" s="40">
        <v>45623</v>
      </c>
      <c r="AN897">
        <f t="shared" si="487"/>
        <v>29</v>
      </c>
      <c r="AO897">
        <f t="shared" si="488"/>
        <v>32</v>
      </c>
      <c r="AP897">
        <f t="shared" si="489"/>
        <v>40</v>
      </c>
      <c r="AQ897">
        <f t="shared" si="490"/>
        <v>43</v>
      </c>
      <c r="AR897" s="26" t="str">
        <f t="shared" si="491"/>
        <v>-</v>
      </c>
      <c r="AS897" s="26" t="str">
        <f t="shared" si="492"/>
        <v>-</v>
      </c>
      <c r="AT897" s="21">
        <f t="shared" si="493"/>
        <v>12</v>
      </c>
      <c r="AU897" s="21">
        <f t="shared" si="494"/>
        <v>19</v>
      </c>
      <c r="AV897" t="str">
        <f t="shared" si="495"/>
        <v>-</v>
      </c>
      <c r="AW897" t="str">
        <f t="shared" si="496"/>
        <v>-</v>
      </c>
      <c r="AX897" t="str">
        <f t="shared" si="497"/>
        <v>-</v>
      </c>
      <c r="AY897" t="str">
        <f t="shared" si="498"/>
        <v>-</v>
      </c>
      <c r="AZ897" t="str">
        <f t="shared" si="499"/>
        <v>-</v>
      </c>
      <c r="BA897" t="str">
        <f t="shared" si="500"/>
        <v>-</v>
      </c>
      <c r="BB897" t="str">
        <f t="shared" si="501"/>
        <v>-</v>
      </c>
      <c r="BC897" t="str">
        <f t="shared" si="502"/>
        <v>-</v>
      </c>
      <c r="BD897" s="29" t="str">
        <f t="shared" si="503"/>
        <v>-</v>
      </c>
      <c r="BE897" s="29" t="str">
        <f t="shared" si="504"/>
        <v>-</v>
      </c>
    </row>
    <row r="898" spans="1:57" ht="15" x14ac:dyDescent="0.2">
      <c r="A898" s="2">
        <v>181</v>
      </c>
      <c r="B898" s="2" t="str">
        <f t="shared" si="469"/>
        <v>0181</v>
      </c>
      <c r="C898" t="str">
        <f t="shared" si="470"/>
        <v>ORD-SP-0181-28/11/24</v>
      </c>
      <c r="D898" s="3" t="s">
        <v>250</v>
      </c>
      <c r="E898" t="str">
        <f t="shared" si="471"/>
        <v>PW002</v>
      </c>
      <c r="F898" t="str">
        <f>INDEX(Katalog!$B$4:$B$13,MATCH('Main Data'!E898,Katalog!$C$4:$C$13,0))</f>
        <v>Blouse</v>
      </c>
      <c r="G898" t="str">
        <f>VLOOKUP(E898,Katalog!$A$15:$B$25,2,0)</f>
        <v>Pakaian Wanita</v>
      </c>
      <c r="H898" t="str">
        <f t="shared" si="472"/>
        <v>5</v>
      </c>
      <c r="I898" t="str">
        <f t="shared" si="473"/>
        <v>5</v>
      </c>
      <c r="J898" s="18">
        <f>VLOOKUP(E898,Katalog!$C$3:$F$13,2,0)</f>
        <v>125000</v>
      </c>
      <c r="K898" s="18">
        <f>VLOOKUP(E898,Katalog!$C$3:$F$13,3,0)</f>
        <v>50000</v>
      </c>
      <c r="L898" t="str">
        <f t="shared" si="474"/>
        <v>PP003</v>
      </c>
      <c r="M898" t="str">
        <f>IFERROR(INDEX(Katalog!$B$4:$B$13,MATCH('Main Data'!L898,Katalog!$C$4:$C$13,0)), "-")</f>
        <v>Jaket Jeans</v>
      </c>
      <c r="N898" t="str">
        <f>IFERROR(VLOOKUP(L898,Katalog!$A$15:$B$25,2,0),"-")</f>
        <v>Pakaian Pria</v>
      </c>
      <c r="O898" t="str">
        <f t="shared" si="475"/>
        <v>2</v>
      </c>
      <c r="P898" t="str">
        <f t="shared" si="476"/>
        <v>2</v>
      </c>
      <c r="Q898" s="18">
        <f>IFERROR(VLOOKUP(L898,Katalog!$C$3:$F$13,2,0),0)</f>
        <v>150000</v>
      </c>
      <c r="R898" s="18">
        <f>IFERROR(VLOOKUP(L898,Katalog!$C$3:$F$13,3,0),0)</f>
        <v>70000</v>
      </c>
      <c r="S898" t="str">
        <f t="shared" si="477"/>
        <v>-</v>
      </c>
      <c r="T898" t="str">
        <f>IFERROR(INDEX(Katalog!$B$4:$B$13,MATCH('Main Data'!S898,Katalog!$C$4:$C$13,0)),"-")</f>
        <v>-</v>
      </c>
      <c r="U898" t="str">
        <f>IFERROR(VLOOKUP(S898,Katalog!$A$15:$B$25,2,0),"-")</f>
        <v>-</v>
      </c>
      <c r="V898">
        <f t="shared" si="478"/>
        <v>0</v>
      </c>
      <c r="W898" s="28" t="str">
        <f t="shared" si="479"/>
        <v>-</v>
      </c>
      <c r="X898" s="18">
        <f>IFERROR(VLOOKUP(S898,Katalog!$C$3:$F$13,2,0),0)</f>
        <v>0</v>
      </c>
      <c r="Y898" s="30">
        <f>IFERROR(VLOOKUP(S898,Katalog!$C$3:$F$13,3,0),0)</f>
        <v>0</v>
      </c>
      <c r="Z898" s="2">
        <f t="shared" si="480"/>
        <v>7</v>
      </c>
      <c r="AA898" s="4">
        <f t="shared" si="481"/>
        <v>925000</v>
      </c>
      <c r="AB898" s="4">
        <f t="shared" si="482"/>
        <v>390000</v>
      </c>
      <c r="AC898" s="4" t="s">
        <v>5</v>
      </c>
      <c r="AD898" s="16">
        <f>IFERROR(VLOOKUP(AC898,'Kode Diskon'!$C$2:$D$9,2,0),0)</f>
        <v>0.1</v>
      </c>
      <c r="AE898" s="31">
        <f t="shared" si="483"/>
        <v>92500</v>
      </c>
      <c r="AF898" s="31">
        <f t="shared" si="484"/>
        <v>832500</v>
      </c>
      <c r="AG898" s="31">
        <f t="shared" si="485"/>
        <v>535000</v>
      </c>
      <c r="AH898" s="31">
        <f t="shared" si="486"/>
        <v>442500</v>
      </c>
      <c r="AI898" s="4" t="s">
        <v>28</v>
      </c>
      <c r="AJ898" s="4" t="s">
        <v>6</v>
      </c>
      <c r="AK898" s="4" t="str">
        <f>IFERROR(VLOOKUP(AJ898,'Guide '!$A$13:$B$16,2,0),"-")</f>
        <v>SP</v>
      </c>
      <c r="AL898" s="4" t="s">
        <v>925</v>
      </c>
      <c r="AM898" s="40">
        <v>45624</v>
      </c>
      <c r="AN898">
        <f t="shared" si="487"/>
        <v>29</v>
      </c>
      <c r="AO898">
        <f t="shared" si="488"/>
        <v>32</v>
      </c>
      <c r="AP898">
        <f t="shared" si="489"/>
        <v>40</v>
      </c>
      <c r="AQ898">
        <f t="shared" si="490"/>
        <v>43</v>
      </c>
      <c r="AR898" s="26">
        <f t="shared" si="491"/>
        <v>56</v>
      </c>
      <c r="AS898" s="26">
        <f t="shared" si="492"/>
        <v>63</v>
      </c>
      <c r="AT898" s="21">
        <f t="shared" si="493"/>
        <v>12</v>
      </c>
      <c r="AU898" s="21">
        <f t="shared" si="494"/>
        <v>19</v>
      </c>
      <c r="AV898">
        <f t="shared" si="495"/>
        <v>73</v>
      </c>
      <c r="AW898">
        <f t="shared" si="496"/>
        <v>76</v>
      </c>
      <c r="AX898">
        <f t="shared" si="497"/>
        <v>84</v>
      </c>
      <c r="AY898">
        <f t="shared" si="498"/>
        <v>87</v>
      </c>
      <c r="AZ898" t="str">
        <f t="shared" si="499"/>
        <v>-</v>
      </c>
      <c r="BA898" t="str">
        <f t="shared" si="500"/>
        <v>-</v>
      </c>
      <c r="BB898" t="str">
        <f t="shared" si="501"/>
        <v>-</v>
      </c>
      <c r="BC898" t="str">
        <f t="shared" si="502"/>
        <v>-</v>
      </c>
      <c r="BD898" s="29" t="str">
        <f t="shared" si="503"/>
        <v>-</v>
      </c>
      <c r="BE898" s="29" t="str">
        <f t="shared" si="504"/>
        <v>-</v>
      </c>
    </row>
    <row r="899" spans="1:57" ht="15" x14ac:dyDescent="0.2">
      <c r="A899" s="2">
        <v>430</v>
      </c>
      <c r="B899" s="2" t="str">
        <f t="shared" ref="B899:B962" si="505">TEXT(A899,"0000")</f>
        <v>0430</v>
      </c>
      <c r="C899" t="str">
        <f t="shared" ref="C899:C962" si="506">CONCATENATE("ORD","-",AK899,"-",B899,"-",TEXT(AM899,"dd/mm/yy"))</f>
        <v>ORD-BL-0430-28/11/24</v>
      </c>
      <c r="D899" s="3" t="s">
        <v>471</v>
      </c>
      <c r="E899" t="str">
        <f t="shared" ref="E899:E962" si="507">MID(D899,AT899+2,AU899-AT899-2)</f>
        <v>SW001</v>
      </c>
      <c r="F899" t="str">
        <f>INDEX(Katalog!$B$4:$B$13,MATCH('Main Data'!E899,Katalog!$C$4:$C$13,0))</f>
        <v>Flat Shoes</v>
      </c>
      <c r="G899" t="str">
        <f>VLOOKUP(E899,Katalog!$A$15:$B$25,2,0)</f>
        <v>Sepatu Wanita</v>
      </c>
      <c r="H899" t="str">
        <f t="shared" ref="H899:H962" si="508">MID(D899,AN899+2,AO899-AN899-2)</f>
        <v>2</v>
      </c>
      <c r="I899" t="str">
        <f t="shared" ref="I899:I962" si="509">MID(D899,AP899+2,AQ899-AP899-2)</f>
        <v>4</v>
      </c>
      <c r="J899" s="18">
        <f>VLOOKUP(E899,Katalog!$C$3:$F$13,2,0)</f>
        <v>150000</v>
      </c>
      <c r="K899" s="18">
        <f>VLOOKUP(E899,Katalog!$C$3:$F$13,3,0)</f>
        <v>70000</v>
      </c>
      <c r="L899" t="str">
        <f t="shared" ref="L899:L962" si="510">IFERROR(MID(D899,AR899+2,AS899-AR899-2),"-")</f>
        <v>PW001</v>
      </c>
      <c r="M899" t="str">
        <f>IFERROR(INDEX(Katalog!$B$4:$B$13,MATCH('Main Data'!L899,Katalog!$C$4:$C$13,0)), "-")</f>
        <v>Dress</v>
      </c>
      <c r="N899" t="str">
        <f>IFERROR(VLOOKUP(L899,Katalog!$A$15:$B$25,2,0),"-")</f>
        <v>Pakaian Wanita</v>
      </c>
      <c r="O899" t="str">
        <f t="shared" ref="O899:O962" si="511">IFERROR(MID(D899,AV899+2,AW899-AV899-2),0)</f>
        <v>1</v>
      </c>
      <c r="P899" t="str">
        <f t="shared" ref="P899:P962" si="512">IFERROR(MID(D899,AX899+2,AY899-AX899-2),"-")</f>
        <v>4</v>
      </c>
      <c r="Q899" s="18">
        <f>IFERROR(VLOOKUP(L899,Katalog!$C$3:$F$13,2,0),0)</f>
        <v>150000</v>
      </c>
      <c r="R899" s="18">
        <f>IFERROR(VLOOKUP(L899,Katalog!$C$3:$F$13,3,0),0)</f>
        <v>55000</v>
      </c>
      <c r="S899" t="str">
        <f t="shared" ref="S899:S962" si="513">IFERROR(MID(D899,AZ899+2,BA899-AZ899-2),"-")</f>
        <v>-</v>
      </c>
      <c r="T899" t="str">
        <f>IFERROR(INDEX(Katalog!$B$4:$B$13,MATCH('Main Data'!S899,Katalog!$C$4:$C$13,0)),"-")</f>
        <v>-</v>
      </c>
      <c r="U899" t="str">
        <f>IFERROR(VLOOKUP(S899,Katalog!$A$15:$B$25,2,0),"-")</f>
        <v>-</v>
      </c>
      <c r="V899">
        <f t="shared" ref="V899:V962" si="514">IFERROR(MID(D899,BB899+2,BC899-BB899-2),0)</f>
        <v>0</v>
      </c>
      <c r="W899" s="28" t="str">
        <f t="shared" ref="W899:W962" si="515">IFERROR(MID(D899,BD899+2,BE899-BD899-2),"-")</f>
        <v>-</v>
      </c>
      <c r="X899" s="18">
        <f>IFERROR(VLOOKUP(S899,Katalog!$C$3:$F$13,2,0),0)</f>
        <v>0</v>
      </c>
      <c r="Y899" s="30">
        <f>IFERROR(VLOOKUP(S899,Katalog!$C$3:$F$13,3,0),0)</f>
        <v>0</v>
      </c>
      <c r="Z899" s="2">
        <f t="shared" ref="Z899:Z962" si="516">H899+O899+V899</f>
        <v>3</v>
      </c>
      <c r="AA899" s="4">
        <f t="shared" ref="AA899:AA962" si="517">J899*H899+Q899*O899+X899*V899</f>
        <v>450000</v>
      </c>
      <c r="AB899" s="4">
        <f t="shared" ref="AB899:AB962" si="518">K899*H899+R899*O899+Y899*V899</f>
        <v>195000</v>
      </c>
      <c r="AC899" s="4" t="s">
        <v>31</v>
      </c>
      <c r="AD899" s="16">
        <f>IFERROR(VLOOKUP(AC899,'Kode Diskon'!$C$2:$D$9,2,0),0)</f>
        <v>0.15</v>
      </c>
      <c r="AE899" s="31">
        <f t="shared" ref="AE899:AE962" si="519">AA899*AD899</f>
        <v>67500</v>
      </c>
      <c r="AF899" s="31">
        <f t="shared" ref="AF899:AF962" si="520">AA899-AE899</f>
        <v>382500</v>
      </c>
      <c r="AG899" s="31">
        <f t="shared" ref="AG899:AG962" si="521">AA899-AB899</f>
        <v>255000</v>
      </c>
      <c r="AH899" s="31">
        <f t="shared" ref="AH899:AH962" si="522">AF899-AB899</f>
        <v>187500</v>
      </c>
      <c r="AI899" s="4" t="s">
        <v>8</v>
      </c>
      <c r="AJ899" s="4" t="s">
        <v>11</v>
      </c>
      <c r="AK899" s="4" t="str">
        <f>IFERROR(VLOOKUP(AJ899,'Guide '!$A$13:$B$16,2,0),"-")</f>
        <v>BL</v>
      </c>
      <c r="AL899" s="4" t="s">
        <v>922</v>
      </c>
      <c r="AM899" s="40">
        <v>45624</v>
      </c>
      <c r="AN899">
        <f t="shared" ref="AN899:AN962" si="523">FIND(":",D899,AT899+1)</f>
        <v>29</v>
      </c>
      <c r="AO899">
        <f t="shared" ref="AO899:AO962" si="524">FIND(",",D899,AU899+1)</f>
        <v>32</v>
      </c>
      <c r="AP899">
        <f t="shared" ref="AP899:AP962" si="525">FIND(":",D899,AN899+1)</f>
        <v>40</v>
      </c>
      <c r="AQ899">
        <f t="shared" ref="AQ899:AQ962" si="526">FIND("}",D899,AO899+1)</f>
        <v>43</v>
      </c>
      <c r="AR899" s="26">
        <f t="shared" ref="AR899:AR962" si="527">IFERROR(FIND(":",D899,AP899+1),"-")</f>
        <v>56</v>
      </c>
      <c r="AS899" s="26">
        <f t="shared" ref="AS899:AS962" si="528">IFERROR(FIND(",",D899,AQ899+2),"-")</f>
        <v>63</v>
      </c>
      <c r="AT899" s="21">
        <f t="shared" ref="AT899:AT962" si="529">FIND(":",D899)</f>
        <v>12</v>
      </c>
      <c r="AU899" s="21">
        <f t="shared" ref="AU899:AU962" si="530">FIND(",",D899)</f>
        <v>19</v>
      </c>
      <c r="AV899">
        <f t="shared" ref="AV899:AV962" si="531">IFERROR(FIND(":",D899,AR899+1),"-")</f>
        <v>73</v>
      </c>
      <c r="AW899">
        <f t="shared" ref="AW899:AW962" si="532">IFERROR(FIND(",",D899,AS899+1),"-")</f>
        <v>76</v>
      </c>
      <c r="AX899">
        <f t="shared" ref="AX899:AX962" si="533">IFERROR(FIND(":",D899,AV899+1),"-")</f>
        <v>84</v>
      </c>
      <c r="AY899">
        <f t="shared" ref="AY899:AY962" si="534">IFERROR(FIND("}",D899,AW899+1),"-")</f>
        <v>87</v>
      </c>
      <c r="AZ899" t="str">
        <f t="shared" ref="AZ899:AZ962" si="535">IFERROR(FIND(":",D899,AX899+1),"-")</f>
        <v>-</v>
      </c>
      <c r="BA899" t="str">
        <f t="shared" ref="BA899:BA962" si="536">IFERROR(FIND(",",D899,AY899+2),"-")</f>
        <v>-</v>
      </c>
      <c r="BB899" t="str">
        <f t="shared" ref="BB899:BB962" si="537">IFERROR(FIND(":",D899,AZ899+1),"-")</f>
        <v>-</v>
      </c>
      <c r="BC899" t="str">
        <f t="shared" ref="BC899:BC962" si="538">IFERROR(FIND(",",D899,BA899+1),"-")</f>
        <v>-</v>
      </c>
      <c r="BD899" s="29" t="str">
        <f t="shared" ref="BD899:BD962" si="539">IFERROR(FIND(":",D899,BB899+1),"-")</f>
        <v>-</v>
      </c>
      <c r="BE899" s="29" t="str">
        <f t="shared" ref="BE899:BE962" si="540">IFERROR(FIND("}",D899,BC899+1),"-")</f>
        <v>-</v>
      </c>
    </row>
    <row r="900" spans="1:57" ht="15" x14ac:dyDescent="0.2">
      <c r="A900" s="2">
        <v>452</v>
      </c>
      <c r="B900" s="2" t="str">
        <f t="shared" si="505"/>
        <v>0452</v>
      </c>
      <c r="C900" t="str">
        <f t="shared" si="506"/>
        <v>ORD-SP-0452-28/11/24</v>
      </c>
      <c r="D900" s="3" t="s">
        <v>491</v>
      </c>
      <c r="E900" t="str">
        <f t="shared" si="507"/>
        <v>PP003</v>
      </c>
      <c r="F900" t="str">
        <f>INDEX(Katalog!$B$4:$B$13,MATCH('Main Data'!E900,Katalog!$C$4:$C$13,0))</f>
        <v>Jaket Jeans</v>
      </c>
      <c r="G900" t="str">
        <f>VLOOKUP(E900,Katalog!$A$15:$B$25,2,0)</f>
        <v>Pakaian Pria</v>
      </c>
      <c r="H900" t="str">
        <f t="shared" si="508"/>
        <v>2</v>
      </c>
      <c r="I900" t="str">
        <f t="shared" si="509"/>
        <v>2</v>
      </c>
      <c r="J900" s="18">
        <f>VLOOKUP(E900,Katalog!$C$3:$F$13,2,0)</f>
        <v>150000</v>
      </c>
      <c r="K900" s="18">
        <f>VLOOKUP(E900,Katalog!$C$3:$F$13,3,0)</f>
        <v>70000</v>
      </c>
      <c r="L900" t="str">
        <f t="shared" si="510"/>
        <v>-</v>
      </c>
      <c r="M900" t="str">
        <f>IFERROR(INDEX(Katalog!$B$4:$B$13,MATCH('Main Data'!L900,Katalog!$C$4:$C$13,0)), "-")</f>
        <v>-</v>
      </c>
      <c r="N900" t="str">
        <f>IFERROR(VLOOKUP(L900,Katalog!$A$15:$B$25,2,0),"-")</f>
        <v>-</v>
      </c>
      <c r="O900">
        <f t="shared" si="511"/>
        <v>0</v>
      </c>
      <c r="P900" t="str">
        <f t="shared" si="512"/>
        <v>-</v>
      </c>
      <c r="Q900" s="18">
        <f>IFERROR(VLOOKUP(L900,Katalog!$C$3:$F$13,2,0),0)</f>
        <v>0</v>
      </c>
      <c r="R900" s="18">
        <f>IFERROR(VLOOKUP(L900,Katalog!$C$3:$F$13,3,0),0)</f>
        <v>0</v>
      </c>
      <c r="S900" t="str">
        <f t="shared" si="513"/>
        <v>-</v>
      </c>
      <c r="T900" t="str">
        <f>IFERROR(INDEX(Katalog!$B$4:$B$13,MATCH('Main Data'!S900,Katalog!$C$4:$C$13,0)),"-")</f>
        <v>-</v>
      </c>
      <c r="U900" t="str">
        <f>IFERROR(VLOOKUP(S900,Katalog!$A$15:$B$25,2,0),"-")</f>
        <v>-</v>
      </c>
      <c r="V900">
        <f t="shared" si="514"/>
        <v>0</v>
      </c>
      <c r="W900" s="28" t="str">
        <f t="shared" si="515"/>
        <v>-</v>
      </c>
      <c r="X900" s="18">
        <f>IFERROR(VLOOKUP(S900,Katalog!$C$3:$F$13,2,0),0)</f>
        <v>0</v>
      </c>
      <c r="Y900" s="30">
        <f>IFERROR(VLOOKUP(S900,Katalog!$C$3:$F$13,3,0),0)</f>
        <v>0</v>
      </c>
      <c r="Z900" s="2">
        <f t="shared" si="516"/>
        <v>2</v>
      </c>
      <c r="AA900" s="4">
        <f t="shared" si="517"/>
        <v>300000</v>
      </c>
      <c r="AB900" s="4">
        <f t="shared" si="518"/>
        <v>140000</v>
      </c>
      <c r="AC900" s="4" t="s">
        <v>12</v>
      </c>
      <c r="AD900" s="16">
        <f>IFERROR(VLOOKUP(AC900,'Kode Diskon'!$C$2:$D$9,2,0),0)</f>
        <v>0.15</v>
      </c>
      <c r="AE900" s="31">
        <f t="shared" si="519"/>
        <v>45000</v>
      </c>
      <c r="AF900" s="31">
        <f t="shared" si="520"/>
        <v>255000</v>
      </c>
      <c r="AG900" s="31">
        <f t="shared" si="521"/>
        <v>160000</v>
      </c>
      <c r="AH900" s="31">
        <f t="shared" si="522"/>
        <v>115000</v>
      </c>
      <c r="AI900" s="4" t="s">
        <v>28</v>
      </c>
      <c r="AJ900" s="4" t="s">
        <v>6</v>
      </c>
      <c r="AK900" s="4" t="str">
        <f>IFERROR(VLOOKUP(AJ900,'Guide '!$A$13:$B$16,2,0),"-")</f>
        <v>SP</v>
      </c>
      <c r="AL900" s="4" t="s">
        <v>925</v>
      </c>
      <c r="AM900" s="40">
        <v>45624</v>
      </c>
      <c r="AN900">
        <f t="shared" si="523"/>
        <v>29</v>
      </c>
      <c r="AO900">
        <f t="shared" si="524"/>
        <v>32</v>
      </c>
      <c r="AP900">
        <f t="shared" si="525"/>
        <v>40</v>
      </c>
      <c r="AQ900">
        <f t="shared" si="526"/>
        <v>43</v>
      </c>
      <c r="AR900" s="26" t="str">
        <f t="shared" si="527"/>
        <v>-</v>
      </c>
      <c r="AS900" s="26" t="str">
        <f t="shared" si="528"/>
        <v>-</v>
      </c>
      <c r="AT900" s="21">
        <f t="shared" si="529"/>
        <v>12</v>
      </c>
      <c r="AU900" s="21">
        <f t="shared" si="530"/>
        <v>19</v>
      </c>
      <c r="AV900" t="str">
        <f t="shared" si="531"/>
        <v>-</v>
      </c>
      <c r="AW900" t="str">
        <f t="shared" si="532"/>
        <v>-</v>
      </c>
      <c r="AX900" t="str">
        <f t="shared" si="533"/>
        <v>-</v>
      </c>
      <c r="AY900" t="str">
        <f t="shared" si="534"/>
        <v>-</v>
      </c>
      <c r="AZ900" t="str">
        <f t="shared" si="535"/>
        <v>-</v>
      </c>
      <c r="BA900" t="str">
        <f t="shared" si="536"/>
        <v>-</v>
      </c>
      <c r="BB900" t="str">
        <f t="shared" si="537"/>
        <v>-</v>
      </c>
      <c r="BC900" t="str">
        <f t="shared" si="538"/>
        <v>-</v>
      </c>
      <c r="BD900" s="29" t="str">
        <f t="shared" si="539"/>
        <v>-</v>
      </c>
      <c r="BE900" s="29" t="str">
        <f t="shared" si="540"/>
        <v>-</v>
      </c>
    </row>
    <row r="901" spans="1:57" ht="15" x14ac:dyDescent="0.2">
      <c r="A901" s="2">
        <v>219</v>
      </c>
      <c r="B901" s="2" t="str">
        <f t="shared" si="505"/>
        <v>0219</v>
      </c>
      <c r="C901" t="str">
        <f t="shared" si="506"/>
        <v>ORD-TK-0219-29/11/24</v>
      </c>
      <c r="D901" s="3" t="s">
        <v>287</v>
      </c>
      <c r="E901" t="str">
        <f t="shared" si="507"/>
        <v>PW003</v>
      </c>
      <c r="F901" t="str">
        <f>INDEX(Katalog!$B$4:$B$13,MATCH('Main Data'!E901,Katalog!$C$4:$C$13,0))</f>
        <v>Kaftan</v>
      </c>
      <c r="G901" t="str">
        <f>VLOOKUP(E901,Katalog!$A$15:$B$25,2,0)</f>
        <v>Pakaian Wanita</v>
      </c>
      <c r="H901" t="str">
        <f t="shared" si="508"/>
        <v>3</v>
      </c>
      <c r="I901" t="str">
        <f t="shared" si="509"/>
        <v>5</v>
      </c>
      <c r="J901" s="18">
        <f>VLOOKUP(E901,Katalog!$C$3:$F$13,2,0)</f>
        <v>200000</v>
      </c>
      <c r="K901" s="18">
        <f>VLOOKUP(E901,Katalog!$C$3:$F$13,3,0)</f>
        <v>100000</v>
      </c>
      <c r="L901" t="str">
        <f t="shared" si="510"/>
        <v>PP002</v>
      </c>
      <c r="M901" t="str">
        <f>IFERROR(INDEX(Katalog!$B$4:$B$13,MATCH('Main Data'!L901,Katalog!$C$4:$C$13,0)), "-")</f>
        <v>Celana Pendek</v>
      </c>
      <c r="N901" t="str">
        <f>IFERROR(VLOOKUP(L901,Katalog!$A$15:$B$25,2,0),"-")</f>
        <v>Pakaian Pria</v>
      </c>
      <c r="O901" t="str">
        <f t="shared" si="511"/>
        <v>2</v>
      </c>
      <c r="P901" t="str">
        <f t="shared" si="512"/>
        <v>4</v>
      </c>
      <c r="Q901" s="18">
        <f>IFERROR(VLOOKUP(L901,Katalog!$C$3:$F$13,2,0),0)</f>
        <v>60000</v>
      </c>
      <c r="R901" s="18">
        <f>IFERROR(VLOOKUP(L901,Katalog!$C$3:$F$13,3,0),0)</f>
        <v>25000</v>
      </c>
      <c r="S901" t="str">
        <f t="shared" si="513"/>
        <v>-</v>
      </c>
      <c r="T901" t="str">
        <f>IFERROR(INDEX(Katalog!$B$4:$B$13,MATCH('Main Data'!S901,Katalog!$C$4:$C$13,0)),"-")</f>
        <v>-</v>
      </c>
      <c r="U901" t="str">
        <f>IFERROR(VLOOKUP(S901,Katalog!$A$15:$B$25,2,0),"-")</f>
        <v>-</v>
      </c>
      <c r="V901">
        <f t="shared" si="514"/>
        <v>0</v>
      </c>
      <c r="W901" s="28" t="str">
        <f t="shared" si="515"/>
        <v>-</v>
      </c>
      <c r="X901" s="18">
        <f>IFERROR(VLOOKUP(S901,Katalog!$C$3:$F$13,2,0),0)</f>
        <v>0</v>
      </c>
      <c r="Y901" s="30">
        <f>IFERROR(VLOOKUP(S901,Katalog!$C$3:$F$13,3,0),0)</f>
        <v>0</v>
      </c>
      <c r="Z901" s="2">
        <f t="shared" si="516"/>
        <v>5</v>
      </c>
      <c r="AA901" s="4">
        <f t="shared" si="517"/>
        <v>720000</v>
      </c>
      <c r="AB901" s="4">
        <f t="shared" si="518"/>
        <v>350000</v>
      </c>
      <c r="AC901" s="4" t="s">
        <v>30</v>
      </c>
      <c r="AD901" s="16">
        <f>IFERROR(VLOOKUP(AC901,'Kode Diskon'!$C$2:$D$9,2,0),0)</f>
        <v>0.1</v>
      </c>
      <c r="AE901" s="31">
        <f t="shared" si="519"/>
        <v>72000</v>
      </c>
      <c r="AF901" s="31">
        <f t="shared" si="520"/>
        <v>648000</v>
      </c>
      <c r="AG901" s="31">
        <f t="shared" si="521"/>
        <v>370000</v>
      </c>
      <c r="AH901" s="31">
        <f t="shared" si="522"/>
        <v>298000</v>
      </c>
      <c r="AI901" s="4" t="s">
        <v>8</v>
      </c>
      <c r="AJ901" s="4" t="s">
        <v>9</v>
      </c>
      <c r="AK901" s="4" t="str">
        <f>IFERROR(VLOOKUP(AJ901,'Guide '!$A$13:$B$16,2,0),"-")</f>
        <v>TK</v>
      </c>
      <c r="AL901" s="4" t="s">
        <v>1006</v>
      </c>
      <c r="AM901" s="40">
        <v>45625</v>
      </c>
      <c r="AN901">
        <f t="shared" si="523"/>
        <v>29</v>
      </c>
      <c r="AO901">
        <f t="shared" si="524"/>
        <v>32</v>
      </c>
      <c r="AP901">
        <f t="shared" si="525"/>
        <v>40</v>
      </c>
      <c r="AQ901">
        <f t="shared" si="526"/>
        <v>43</v>
      </c>
      <c r="AR901" s="26">
        <f t="shared" si="527"/>
        <v>56</v>
      </c>
      <c r="AS901" s="26">
        <f t="shared" si="528"/>
        <v>63</v>
      </c>
      <c r="AT901" s="21">
        <f t="shared" si="529"/>
        <v>12</v>
      </c>
      <c r="AU901" s="21">
        <f t="shared" si="530"/>
        <v>19</v>
      </c>
      <c r="AV901">
        <f t="shared" si="531"/>
        <v>73</v>
      </c>
      <c r="AW901">
        <f t="shared" si="532"/>
        <v>76</v>
      </c>
      <c r="AX901">
        <f t="shared" si="533"/>
        <v>84</v>
      </c>
      <c r="AY901">
        <f t="shared" si="534"/>
        <v>87</v>
      </c>
      <c r="AZ901" t="str">
        <f t="shared" si="535"/>
        <v>-</v>
      </c>
      <c r="BA901" t="str">
        <f t="shared" si="536"/>
        <v>-</v>
      </c>
      <c r="BB901" t="str">
        <f t="shared" si="537"/>
        <v>-</v>
      </c>
      <c r="BC901" t="str">
        <f t="shared" si="538"/>
        <v>-</v>
      </c>
      <c r="BD901" s="29" t="str">
        <f t="shared" si="539"/>
        <v>-</v>
      </c>
      <c r="BE901" s="29" t="str">
        <f t="shared" si="540"/>
        <v>-</v>
      </c>
    </row>
    <row r="902" spans="1:57" ht="15" x14ac:dyDescent="0.2">
      <c r="A902" s="2">
        <v>287</v>
      </c>
      <c r="B902" s="2" t="str">
        <f t="shared" si="505"/>
        <v>0287</v>
      </c>
      <c r="C902" t="str">
        <f t="shared" si="506"/>
        <v>ORD-BB-0287-29/11/24</v>
      </c>
      <c r="D902" s="3" t="s">
        <v>343</v>
      </c>
      <c r="E902" t="str">
        <f t="shared" si="507"/>
        <v>PP003</v>
      </c>
      <c r="F902" t="str">
        <f>INDEX(Katalog!$B$4:$B$13,MATCH('Main Data'!E902,Katalog!$C$4:$C$13,0))</f>
        <v>Jaket Jeans</v>
      </c>
      <c r="G902" t="str">
        <f>VLOOKUP(E902,Katalog!$A$15:$B$25,2,0)</f>
        <v>Pakaian Pria</v>
      </c>
      <c r="H902" t="str">
        <f t="shared" si="508"/>
        <v>1</v>
      </c>
      <c r="I902" t="str">
        <f t="shared" si="509"/>
        <v>2</v>
      </c>
      <c r="J902" s="18">
        <f>VLOOKUP(E902,Katalog!$C$3:$F$13,2,0)</f>
        <v>150000</v>
      </c>
      <c r="K902" s="18">
        <f>VLOOKUP(E902,Katalog!$C$3:$F$13,3,0)</f>
        <v>70000</v>
      </c>
      <c r="L902" t="str">
        <f t="shared" si="510"/>
        <v>SP002</v>
      </c>
      <c r="M902" t="str">
        <f>IFERROR(INDEX(Katalog!$B$4:$B$13,MATCH('Main Data'!L902,Katalog!$C$4:$C$13,0)), "-")</f>
        <v>Sandal Slip On</v>
      </c>
      <c r="N902" t="str">
        <f>IFERROR(VLOOKUP(L902,Katalog!$A$15:$B$25,2,0),"-")</f>
        <v>Sepatu Pria</v>
      </c>
      <c r="O902" t="str">
        <f t="shared" si="511"/>
        <v>2</v>
      </c>
      <c r="P902" t="str">
        <f t="shared" si="512"/>
        <v>1</v>
      </c>
      <c r="Q902" s="18">
        <f>IFERROR(VLOOKUP(L902,Katalog!$C$3:$F$13,2,0),0)</f>
        <v>120000</v>
      </c>
      <c r="R902" s="18">
        <f>IFERROR(VLOOKUP(L902,Katalog!$C$3:$F$13,3,0),0)</f>
        <v>60000</v>
      </c>
      <c r="S902" t="str">
        <f t="shared" si="513"/>
        <v>PP002</v>
      </c>
      <c r="T902" t="str">
        <f>IFERROR(INDEX(Katalog!$B$4:$B$13,MATCH('Main Data'!S902,Katalog!$C$4:$C$13,0)),"-")</f>
        <v>Celana Pendek</v>
      </c>
      <c r="U902" t="str">
        <f>IFERROR(VLOOKUP(S902,Katalog!$A$15:$B$25,2,0),"-")</f>
        <v>Pakaian Pria</v>
      </c>
      <c r="V902" t="str">
        <f t="shared" si="514"/>
        <v>4</v>
      </c>
      <c r="W902" s="28" t="str">
        <f t="shared" si="515"/>
        <v>2</v>
      </c>
      <c r="X902" s="18">
        <f>IFERROR(VLOOKUP(S902,Katalog!$C$3:$F$13,2,0),0)</f>
        <v>60000</v>
      </c>
      <c r="Y902" s="30">
        <f>IFERROR(VLOOKUP(S902,Katalog!$C$3:$F$13,3,0),0)</f>
        <v>25000</v>
      </c>
      <c r="Z902" s="2">
        <f t="shared" si="516"/>
        <v>7</v>
      </c>
      <c r="AA902" s="4">
        <f t="shared" si="517"/>
        <v>630000</v>
      </c>
      <c r="AB902" s="4">
        <f t="shared" si="518"/>
        <v>290000</v>
      </c>
      <c r="AC902" s="4" t="s">
        <v>27</v>
      </c>
      <c r="AD902" s="16">
        <f>IFERROR(VLOOKUP(AC902,'Kode Diskon'!$C$2:$D$9,2,0),0)</f>
        <v>0.15</v>
      </c>
      <c r="AE902" s="31">
        <f t="shared" si="519"/>
        <v>94500</v>
      </c>
      <c r="AF902" s="31">
        <f t="shared" si="520"/>
        <v>535500</v>
      </c>
      <c r="AG902" s="31">
        <f t="shared" si="521"/>
        <v>340000</v>
      </c>
      <c r="AH902" s="31">
        <f t="shared" si="522"/>
        <v>245500</v>
      </c>
      <c r="AI902" s="4" t="s">
        <v>28</v>
      </c>
      <c r="AJ902" s="4" t="s">
        <v>13</v>
      </c>
      <c r="AK902" s="4" t="str">
        <f>IFERROR(VLOOKUP(AJ902,'Guide '!$A$13:$B$16,2,0),"-")</f>
        <v>BB</v>
      </c>
      <c r="AL902" s="4" t="s">
        <v>925</v>
      </c>
      <c r="AM902" s="40">
        <v>45625</v>
      </c>
      <c r="AN902">
        <f t="shared" si="523"/>
        <v>29</v>
      </c>
      <c r="AO902">
        <f t="shared" si="524"/>
        <v>32</v>
      </c>
      <c r="AP902">
        <f t="shared" si="525"/>
        <v>40</v>
      </c>
      <c r="AQ902">
        <f t="shared" si="526"/>
        <v>43</v>
      </c>
      <c r="AR902" s="26">
        <f t="shared" si="527"/>
        <v>56</v>
      </c>
      <c r="AS902" s="26">
        <f t="shared" si="528"/>
        <v>63</v>
      </c>
      <c r="AT902" s="21">
        <f t="shared" si="529"/>
        <v>12</v>
      </c>
      <c r="AU902" s="21">
        <f t="shared" si="530"/>
        <v>19</v>
      </c>
      <c r="AV902">
        <f t="shared" si="531"/>
        <v>73</v>
      </c>
      <c r="AW902">
        <f t="shared" si="532"/>
        <v>76</v>
      </c>
      <c r="AX902">
        <f t="shared" si="533"/>
        <v>84</v>
      </c>
      <c r="AY902">
        <f t="shared" si="534"/>
        <v>87</v>
      </c>
      <c r="AZ902">
        <f t="shared" si="535"/>
        <v>100</v>
      </c>
      <c r="BA902">
        <f t="shared" si="536"/>
        <v>107</v>
      </c>
      <c r="BB902">
        <f t="shared" si="537"/>
        <v>117</v>
      </c>
      <c r="BC902">
        <f t="shared" si="538"/>
        <v>120</v>
      </c>
      <c r="BD902" s="29">
        <f t="shared" si="539"/>
        <v>128</v>
      </c>
      <c r="BE902" s="29">
        <f t="shared" si="540"/>
        <v>131</v>
      </c>
    </row>
    <row r="903" spans="1:57" ht="15" x14ac:dyDescent="0.2">
      <c r="A903" s="2">
        <v>728</v>
      </c>
      <c r="B903" s="2" t="str">
        <f t="shared" si="505"/>
        <v>0728</v>
      </c>
      <c r="C903" t="str">
        <f t="shared" si="506"/>
        <v>ORD-SP-0728-29/11/24</v>
      </c>
      <c r="D903" s="3" t="s">
        <v>714</v>
      </c>
      <c r="E903" t="str">
        <f t="shared" si="507"/>
        <v>PP003</v>
      </c>
      <c r="F903" t="str">
        <f>INDEX(Katalog!$B$4:$B$13,MATCH('Main Data'!E903,Katalog!$C$4:$C$13,0))</f>
        <v>Jaket Jeans</v>
      </c>
      <c r="G903" t="str">
        <f>VLOOKUP(E903,Katalog!$A$15:$B$25,2,0)</f>
        <v>Pakaian Pria</v>
      </c>
      <c r="H903" t="str">
        <f t="shared" si="508"/>
        <v>1</v>
      </c>
      <c r="I903" t="str">
        <f t="shared" si="509"/>
        <v>4</v>
      </c>
      <c r="J903" s="18">
        <f>VLOOKUP(E903,Katalog!$C$3:$F$13,2,0)</f>
        <v>150000</v>
      </c>
      <c r="K903" s="18">
        <f>VLOOKUP(E903,Katalog!$C$3:$F$13,3,0)</f>
        <v>70000</v>
      </c>
      <c r="L903" t="str">
        <f t="shared" si="510"/>
        <v>-</v>
      </c>
      <c r="M903" t="str">
        <f>IFERROR(INDEX(Katalog!$B$4:$B$13,MATCH('Main Data'!L903,Katalog!$C$4:$C$13,0)), "-")</f>
        <v>-</v>
      </c>
      <c r="N903" t="str">
        <f>IFERROR(VLOOKUP(L903,Katalog!$A$15:$B$25,2,0),"-")</f>
        <v>-</v>
      </c>
      <c r="O903">
        <f t="shared" si="511"/>
        <v>0</v>
      </c>
      <c r="P903" t="str">
        <f t="shared" si="512"/>
        <v>-</v>
      </c>
      <c r="Q903" s="18">
        <f>IFERROR(VLOOKUP(L903,Katalog!$C$3:$F$13,2,0),0)</f>
        <v>0</v>
      </c>
      <c r="R903" s="18">
        <f>IFERROR(VLOOKUP(L903,Katalog!$C$3:$F$13,3,0),0)</f>
        <v>0</v>
      </c>
      <c r="S903" t="str">
        <f t="shared" si="513"/>
        <v>-</v>
      </c>
      <c r="T903" t="str">
        <f>IFERROR(INDEX(Katalog!$B$4:$B$13,MATCH('Main Data'!S903,Katalog!$C$4:$C$13,0)),"-")</f>
        <v>-</v>
      </c>
      <c r="U903" t="str">
        <f>IFERROR(VLOOKUP(S903,Katalog!$A$15:$B$25,2,0),"-")</f>
        <v>-</v>
      </c>
      <c r="V903">
        <f t="shared" si="514"/>
        <v>0</v>
      </c>
      <c r="W903" s="28" t="str">
        <f t="shared" si="515"/>
        <v>-</v>
      </c>
      <c r="X903" s="18">
        <f>IFERROR(VLOOKUP(S903,Katalog!$C$3:$F$13,2,0),0)</f>
        <v>0</v>
      </c>
      <c r="Y903" s="30">
        <f>IFERROR(VLOOKUP(S903,Katalog!$C$3:$F$13,3,0),0)</f>
        <v>0</v>
      </c>
      <c r="Z903" s="2">
        <f t="shared" si="516"/>
        <v>1</v>
      </c>
      <c r="AA903" s="4">
        <f t="shared" si="517"/>
        <v>150000</v>
      </c>
      <c r="AB903" s="4">
        <f t="shared" si="518"/>
        <v>70000</v>
      </c>
      <c r="AC903" s="4" t="s">
        <v>10</v>
      </c>
      <c r="AD903" s="16">
        <f>IFERROR(VLOOKUP(AC903,'Kode Diskon'!$C$2:$D$9,2,0),0)</f>
        <v>0</v>
      </c>
      <c r="AE903" s="31">
        <f t="shared" si="519"/>
        <v>0</v>
      </c>
      <c r="AF903" s="31">
        <f t="shared" si="520"/>
        <v>150000</v>
      </c>
      <c r="AG903" s="31">
        <f t="shared" si="521"/>
        <v>80000</v>
      </c>
      <c r="AH903" s="31">
        <f t="shared" si="522"/>
        <v>80000</v>
      </c>
      <c r="AI903" s="4" t="s">
        <v>10</v>
      </c>
      <c r="AJ903" s="4" t="s">
        <v>6</v>
      </c>
      <c r="AK903" s="4" t="str">
        <f>IFERROR(VLOOKUP(AJ903,'Guide '!$A$13:$B$16,2,0),"-")</f>
        <v>SP</v>
      </c>
      <c r="AL903" s="4" t="s">
        <v>924</v>
      </c>
      <c r="AM903" s="40">
        <v>45625</v>
      </c>
      <c r="AN903">
        <f t="shared" si="523"/>
        <v>29</v>
      </c>
      <c r="AO903">
        <f t="shared" si="524"/>
        <v>32</v>
      </c>
      <c r="AP903">
        <f t="shared" si="525"/>
        <v>40</v>
      </c>
      <c r="AQ903">
        <f t="shared" si="526"/>
        <v>43</v>
      </c>
      <c r="AR903" s="26" t="str">
        <f t="shared" si="527"/>
        <v>-</v>
      </c>
      <c r="AS903" s="26" t="str">
        <f t="shared" si="528"/>
        <v>-</v>
      </c>
      <c r="AT903" s="21">
        <f t="shared" si="529"/>
        <v>12</v>
      </c>
      <c r="AU903" s="21">
        <f t="shared" si="530"/>
        <v>19</v>
      </c>
      <c r="AV903" t="str">
        <f t="shared" si="531"/>
        <v>-</v>
      </c>
      <c r="AW903" t="str">
        <f t="shared" si="532"/>
        <v>-</v>
      </c>
      <c r="AX903" t="str">
        <f t="shared" si="533"/>
        <v>-</v>
      </c>
      <c r="AY903" t="str">
        <f t="shared" si="534"/>
        <v>-</v>
      </c>
      <c r="AZ903" t="str">
        <f t="shared" si="535"/>
        <v>-</v>
      </c>
      <c r="BA903" t="str">
        <f t="shared" si="536"/>
        <v>-</v>
      </c>
      <c r="BB903" t="str">
        <f t="shared" si="537"/>
        <v>-</v>
      </c>
      <c r="BC903" t="str">
        <f t="shared" si="538"/>
        <v>-</v>
      </c>
      <c r="BD903" s="29" t="str">
        <f t="shared" si="539"/>
        <v>-</v>
      </c>
      <c r="BE903" s="29" t="str">
        <f t="shared" si="540"/>
        <v>-</v>
      </c>
    </row>
    <row r="904" spans="1:57" ht="15" x14ac:dyDescent="0.2">
      <c r="A904" s="2">
        <v>898</v>
      </c>
      <c r="B904" s="2" t="str">
        <f t="shared" si="505"/>
        <v>0898</v>
      </c>
      <c r="C904" t="str">
        <f t="shared" si="506"/>
        <v>ORD-SP-0898-29/11/24</v>
      </c>
      <c r="D904" s="3" t="s">
        <v>838</v>
      </c>
      <c r="E904" t="str">
        <f t="shared" si="507"/>
        <v>SP001</v>
      </c>
      <c r="F904" t="str">
        <f>INDEX(Katalog!$B$4:$B$13,MATCH('Main Data'!E904,Katalog!$C$4:$C$13,0))</f>
        <v>Sneakers</v>
      </c>
      <c r="G904" t="str">
        <f>VLOOKUP(E904,Katalog!$A$15:$B$25,2,0)</f>
        <v>Sepatu Pria</v>
      </c>
      <c r="H904" t="str">
        <f t="shared" si="508"/>
        <v>3</v>
      </c>
      <c r="I904" t="str">
        <f t="shared" si="509"/>
        <v>1</v>
      </c>
      <c r="J904" s="18">
        <f>VLOOKUP(E904,Katalog!$C$3:$F$13,2,0)</f>
        <v>300000</v>
      </c>
      <c r="K904" s="18">
        <f>VLOOKUP(E904,Katalog!$C$3:$F$13,3,0)</f>
        <v>100000</v>
      </c>
      <c r="L904" t="str">
        <f t="shared" si="510"/>
        <v>SW001</v>
      </c>
      <c r="M904" t="str">
        <f>IFERROR(INDEX(Katalog!$B$4:$B$13,MATCH('Main Data'!L904,Katalog!$C$4:$C$13,0)), "-")</f>
        <v>Flat Shoes</v>
      </c>
      <c r="N904" t="str">
        <f>IFERROR(VLOOKUP(L904,Katalog!$A$15:$B$25,2,0),"-")</f>
        <v>Sepatu Wanita</v>
      </c>
      <c r="O904" t="str">
        <f t="shared" si="511"/>
        <v>1</v>
      </c>
      <c r="P904" t="str">
        <f t="shared" si="512"/>
        <v>4</v>
      </c>
      <c r="Q904" s="18">
        <f>IFERROR(VLOOKUP(L904,Katalog!$C$3:$F$13,2,0),0)</f>
        <v>150000</v>
      </c>
      <c r="R904" s="18">
        <f>IFERROR(VLOOKUP(L904,Katalog!$C$3:$F$13,3,0),0)</f>
        <v>70000</v>
      </c>
      <c r="S904" t="str">
        <f t="shared" si="513"/>
        <v>-</v>
      </c>
      <c r="T904" t="str">
        <f>IFERROR(INDEX(Katalog!$B$4:$B$13,MATCH('Main Data'!S904,Katalog!$C$4:$C$13,0)),"-")</f>
        <v>-</v>
      </c>
      <c r="U904" t="str">
        <f>IFERROR(VLOOKUP(S904,Katalog!$A$15:$B$25,2,0),"-")</f>
        <v>-</v>
      </c>
      <c r="V904">
        <f t="shared" si="514"/>
        <v>0</v>
      </c>
      <c r="W904" s="28" t="str">
        <f t="shared" si="515"/>
        <v>-</v>
      </c>
      <c r="X904" s="18">
        <f>IFERROR(VLOOKUP(S904,Katalog!$C$3:$F$13,2,0),0)</f>
        <v>0</v>
      </c>
      <c r="Y904" s="30">
        <f>IFERROR(VLOOKUP(S904,Katalog!$C$3:$F$13,3,0),0)</f>
        <v>0</v>
      </c>
      <c r="Z904" s="2">
        <f t="shared" si="516"/>
        <v>4</v>
      </c>
      <c r="AA904" s="4">
        <f t="shared" si="517"/>
        <v>1050000</v>
      </c>
      <c r="AB904" s="4">
        <f t="shared" si="518"/>
        <v>370000</v>
      </c>
      <c r="AC904" s="4" t="s">
        <v>5</v>
      </c>
      <c r="AD904" s="16">
        <f>IFERROR(VLOOKUP(AC904,'Kode Diskon'!$C$2:$D$9,2,0),0)</f>
        <v>0.1</v>
      </c>
      <c r="AE904" s="31">
        <f t="shared" si="519"/>
        <v>105000</v>
      </c>
      <c r="AF904" s="31">
        <f t="shared" si="520"/>
        <v>945000</v>
      </c>
      <c r="AG904" s="31">
        <f t="shared" si="521"/>
        <v>680000</v>
      </c>
      <c r="AH904" s="31">
        <f t="shared" si="522"/>
        <v>575000</v>
      </c>
      <c r="AI904" s="4" t="s">
        <v>28</v>
      </c>
      <c r="AJ904" s="4" t="s">
        <v>6</v>
      </c>
      <c r="AK904" s="4" t="str">
        <f>IFERROR(VLOOKUP(AJ904,'Guide '!$A$13:$B$16,2,0),"-")</f>
        <v>SP</v>
      </c>
      <c r="AL904" s="4" t="s">
        <v>922</v>
      </c>
      <c r="AM904" s="40">
        <v>45625</v>
      </c>
      <c r="AN904">
        <f t="shared" si="523"/>
        <v>29</v>
      </c>
      <c r="AO904">
        <f t="shared" si="524"/>
        <v>32</v>
      </c>
      <c r="AP904">
        <f t="shared" si="525"/>
        <v>40</v>
      </c>
      <c r="AQ904">
        <f t="shared" si="526"/>
        <v>43</v>
      </c>
      <c r="AR904" s="26">
        <f t="shared" si="527"/>
        <v>56</v>
      </c>
      <c r="AS904" s="26">
        <f t="shared" si="528"/>
        <v>63</v>
      </c>
      <c r="AT904" s="21">
        <f t="shared" si="529"/>
        <v>12</v>
      </c>
      <c r="AU904" s="21">
        <f t="shared" si="530"/>
        <v>19</v>
      </c>
      <c r="AV904">
        <f t="shared" si="531"/>
        <v>73</v>
      </c>
      <c r="AW904">
        <f t="shared" si="532"/>
        <v>76</v>
      </c>
      <c r="AX904">
        <f t="shared" si="533"/>
        <v>84</v>
      </c>
      <c r="AY904">
        <f t="shared" si="534"/>
        <v>87</v>
      </c>
      <c r="AZ904" t="str">
        <f t="shared" si="535"/>
        <v>-</v>
      </c>
      <c r="BA904" t="str">
        <f t="shared" si="536"/>
        <v>-</v>
      </c>
      <c r="BB904" t="str">
        <f t="shared" si="537"/>
        <v>-</v>
      </c>
      <c r="BC904" t="str">
        <f t="shared" si="538"/>
        <v>-</v>
      </c>
      <c r="BD904" s="29" t="str">
        <f t="shared" si="539"/>
        <v>-</v>
      </c>
      <c r="BE904" s="29" t="str">
        <f t="shared" si="540"/>
        <v>-</v>
      </c>
    </row>
    <row r="905" spans="1:57" ht="15" x14ac:dyDescent="0.2">
      <c r="A905" s="2">
        <v>316</v>
      </c>
      <c r="B905" s="2" t="str">
        <f t="shared" si="505"/>
        <v>0316</v>
      </c>
      <c r="C905" t="str">
        <f t="shared" si="506"/>
        <v>ORD-BB-0316-30/11/24</v>
      </c>
      <c r="D905" s="3" t="s">
        <v>371</v>
      </c>
      <c r="E905" t="str">
        <f t="shared" si="507"/>
        <v>PW002</v>
      </c>
      <c r="F905" t="str">
        <f>INDEX(Katalog!$B$4:$B$13,MATCH('Main Data'!E905,Katalog!$C$4:$C$13,0))</f>
        <v>Blouse</v>
      </c>
      <c r="G905" t="str">
        <f>VLOOKUP(E905,Katalog!$A$15:$B$25,2,0)</f>
        <v>Pakaian Wanita</v>
      </c>
      <c r="H905" t="str">
        <f t="shared" si="508"/>
        <v>1</v>
      </c>
      <c r="I905" t="str">
        <f t="shared" si="509"/>
        <v>1</v>
      </c>
      <c r="J905" s="18">
        <f>VLOOKUP(E905,Katalog!$C$3:$F$13,2,0)</f>
        <v>125000</v>
      </c>
      <c r="K905" s="18">
        <f>VLOOKUP(E905,Katalog!$C$3:$F$13,3,0)</f>
        <v>50000</v>
      </c>
      <c r="L905" t="str">
        <f t="shared" si="510"/>
        <v>SP002</v>
      </c>
      <c r="M905" t="str">
        <f>IFERROR(INDEX(Katalog!$B$4:$B$13,MATCH('Main Data'!L905,Katalog!$C$4:$C$13,0)), "-")</f>
        <v>Sandal Slip On</v>
      </c>
      <c r="N905" t="str">
        <f>IFERROR(VLOOKUP(L905,Katalog!$A$15:$B$25,2,0),"-")</f>
        <v>Sepatu Pria</v>
      </c>
      <c r="O905" t="str">
        <f t="shared" si="511"/>
        <v>1</v>
      </c>
      <c r="P905" t="str">
        <f t="shared" si="512"/>
        <v>5</v>
      </c>
      <c r="Q905" s="18">
        <f>IFERROR(VLOOKUP(L905,Katalog!$C$3:$F$13,2,0),0)</f>
        <v>120000</v>
      </c>
      <c r="R905" s="18">
        <f>IFERROR(VLOOKUP(L905,Katalog!$C$3:$F$13,3,0),0)</f>
        <v>60000</v>
      </c>
      <c r="S905" t="str">
        <f t="shared" si="513"/>
        <v>PP001</v>
      </c>
      <c r="T905" t="str">
        <f>IFERROR(INDEX(Katalog!$B$4:$B$13,MATCH('Main Data'!S905,Katalog!$C$4:$C$13,0)),"-")</f>
        <v>Kaos Polo</v>
      </c>
      <c r="U905" t="str">
        <f>IFERROR(VLOOKUP(S905,Katalog!$A$15:$B$25,2,0),"-")</f>
        <v>Pakaian Pria</v>
      </c>
      <c r="V905" t="str">
        <f t="shared" si="514"/>
        <v>1</v>
      </c>
      <c r="W905" s="28" t="str">
        <f t="shared" si="515"/>
        <v>3</v>
      </c>
      <c r="X905" s="18">
        <f>IFERROR(VLOOKUP(S905,Katalog!$C$3:$F$13,2,0),0)</f>
        <v>80000</v>
      </c>
      <c r="Y905" s="30">
        <f>IFERROR(VLOOKUP(S905,Katalog!$C$3:$F$13,3,0),0)</f>
        <v>30000</v>
      </c>
      <c r="Z905" s="2">
        <f t="shared" si="516"/>
        <v>3</v>
      </c>
      <c r="AA905" s="4">
        <f t="shared" si="517"/>
        <v>325000</v>
      </c>
      <c r="AB905" s="4">
        <f t="shared" si="518"/>
        <v>140000</v>
      </c>
      <c r="AC905" s="4" t="s">
        <v>27</v>
      </c>
      <c r="AD905" s="16">
        <f>IFERROR(VLOOKUP(AC905,'Kode Diskon'!$C$2:$D$9,2,0),0)</f>
        <v>0.15</v>
      </c>
      <c r="AE905" s="31">
        <f t="shared" si="519"/>
        <v>48750</v>
      </c>
      <c r="AF905" s="31">
        <f t="shared" si="520"/>
        <v>276250</v>
      </c>
      <c r="AG905" s="31">
        <f t="shared" si="521"/>
        <v>185000</v>
      </c>
      <c r="AH905" s="31">
        <f t="shared" si="522"/>
        <v>136250</v>
      </c>
      <c r="AI905" s="4" t="s">
        <v>28</v>
      </c>
      <c r="AJ905" s="4" t="s">
        <v>13</v>
      </c>
      <c r="AK905" s="4" t="str">
        <f>IFERROR(VLOOKUP(AJ905,'Guide '!$A$13:$B$16,2,0),"-")</f>
        <v>BB</v>
      </c>
      <c r="AL905" s="4" t="s">
        <v>925</v>
      </c>
      <c r="AM905" s="40">
        <v>45626</v>
      </c>
      <c r="AN905">
        <f t="shared" si="523"/>
        <v>29</v>
      </c>
      <c r="AO905">
        <f t="shared" si="524"/>
        <v>32</v>
      </c>
      <c r="AP905">
        <f t="shared" si="525"/>
        <v>40</v>
      </c>
      <c r="AQ905">
        <f t="shared" si="526"/>
        <v>43</v>
      </c>
      <c r="AR905" s="26">
        <f t="shared" si="527"/>
        <v>56</v>
      </c>
      <c r="AS905" s="26">
        <f t="shared" si="528"/>
        <v>63</v>
      </c>
      <c r="AT905" s="21">
        <f t="shared" si="529"/>
        <v>12</v>
      </c>
      <c r="AU905" s="21">
        <f t="shared" si="530"/>
        <v>19</v>
      </c>
      <c r="AV905">
        <f t="shared" si="531"/>
        <v>73</v>
      </c>
      <c r="AW905">
        <f t="shared" si="532"/>
        <v>76</v>
      </c>
      <c r="AX905">
        <f t="shared" si="533"/>
        <v>84</v>
      </c>
      <c r="AY905">
        <f t="shared" si="534"/>
        <v>87</v>
      </c>
      <c r="AZ905">
        <f t="shared" si="535"/>
        <v>100</v>
      </c>
      <c r="BA905">
        <f t="shared" si="536"/>
        <v>107</v>
      </c>
      <c r="BB905">
        <f t="shared" si="537"/>
        <v>117</v>
      </c>
      <c r="BC905">
        <f t="shared" si="538"/>
        <v>120</v>
      </c>
      <c r="BD905" s="29">
        <f t="shared" si="539"/>
        <v>128</v>
      </c>
      <c r="BE905" s="29">
        <f t="shared" si="540"/>
        <v>131</v>
      </c>
    </row>
    <row r="906" spans="1:57" ht="15" x14ac:dyDescent="0.2">
      <c r="A906" s="2">
        <v>522</v>
      </c>
      <c r="B906" s="2" t="str">
        <f t="shared" si="505"/>
        <v>0522</v>
      </c>
      <c r="C906" t="str">
        <f t="shared" si="506"/>
        <v>ORD-SP-0522-30/11/24</v>
      </c>
      <c r="D906" s="3" t="s">
        <v>550</v>
      </c>
      <c r="E906" t="str">
        <f t="shared" si="507"/>
        <v>PP001</v>
      </c>
      <c r="F906" t="str">
        <f>INDEX(Katalog!$B$4:$B$13,MATCH('Main Data'!E906,Katalog!$C$4:$C$13,0))</f>
        <v>Kaos Polo</v>
      </c>
      <c r="G906" t="str">
        <f>VLOOKUP(E906,Katalog!$A$15:$B$25,2,0)</f>
        <v>Pakaian Pria</v>
      </c>
      <c r="H906" t="str">
        <f t="shared" si="508"/>
        <v>3</v>
      </c>
      <c r="I906" t="str">
        <f t="shared" si="509"/>
        <v>4</v>
      </c>
      <c r="J906" s="18">
        <f>VLOOKUP(E906,Katalog!$C$3:$F$13,2,0)</f>
        <v>80000</v>
      </c>
      <c r="K906" s="18">
        <f>VLOOKUP(E906,Katalog!$C$3:$F$13,3,0)</f>
        <v>30000</v>
      </c>
      <c r="L906" t="str">
        <f t="shared" si="510"/>
        <v>PW001</v>
      </c>
      <c r="M906" t="str">
        <f>IFERROR(INDEX(Katalog!$B$4:$B$13,MATCH('Main Data'!L906,Katalog!$C$4:$C$13,0)), "-")</f>
        <v>Dress</v>
      </c>
      <c r="N906" t="str">
        <f>IFERROR(VLOOKUP(L906,Katalog!$A$15:$B$25,2,0),"-")</f>
        <v>Pakaian Wanita</v>
      </c>
      <c r="O906" t="str">
        <f t="shared" si="511"/>
        <v>1</v>
      </c>
      <c r="P906" t="str">
        <f t="shared" si="512"/>
        <v>4</v>
      </c>
      <c r="Q906" s="18">
        <f>IFERROR(VLOOKUP(L906,Katalog!$C$3:$F$13,2,0),0)</f>
        <v>150000</v>
      </c>
      <c r="R906" s="18">
        <f>IFERROR(VLOOKUP(L906,Katalog!$C$3:$F$13,3,0),0)</f>
        <v>55000</v>
      </c>
      <c r="S906" t="str">
        <f t="shared" si="513"/>
        <v>-</v>
      </c>
      <c r="T906" t="str">
        <f>IFERROR(INDEX(Katalog!$B$4:$B$13,MATCH('Main Data'!S906,Katalog!$C$4:$C$13,0)),"-")</f>
        <v>-</v>
      </c>
      <c r="U906" t="str">
        <f>IFERROR(VLOOKUP(S906,Katalog!$A$15:$B$25,2,0),"-")</f>
        <v>-</v>
      </c>
      <c r="V906">
        <f t="shared" si="514"/>
        <v>0</v>
      </c>
      <c r="W906" s="28" t="str">
        <f t="shared" si="515"/>
        <v>-</v>
      </c>
      <c r="X906" s="18">
        <f>IFERROR(VLOOKUP(S906,Katalog!$C$3:$F$13,2,0),0)</f>
        <v>0</v>
      </c>
      <c r="Y906" s="30">
        <f>IFERROR(VLOOKUP(S906,Katalog!$C$3:$F$13,3,0),0)</f>
        <v>0</v>
      </c>
      <c r="Z906" s="2">
        <f t="shared" si="516"/>
        <v>4</v>
      </c>
      <c r="AA906" s="4">
        <f t="shared" si="517"/>
        <v>390000</v>
      </c>
      <c r="AB906" s="4">
        <f t="shared" si="518"/>
        <v>145000</v>
      </c>
      <c r="AC906" s="4" t="s">
        <v>5</v>
      </c>
      <c r="AD906" s="16">
        <f>IFERROR(VLOOKUP(AC906,'Kode Diskon'!$C$2:$D$9,2,0),0)</f>
        <v>0.1</v>
      </c>
      <c r="AE906" s="31">
        <f t="shared" si="519"/>
        <v>39000</v>
      </c>
      <c r="AF906" s="31">
        <f t="shared" si="520"/>
        <v>351000</v>
      </c>
      <c r="AG906" s="31">
        <f t="shared" si="521"/>
        <v>245000</v>
      </c>
      <c r="AH906" s="31">
        <f t="shared" si="522"/>
        <v>206000</v>
      </c>
      <c r="AI906" s="4" t="s">
        <v>28</v>
      </c>
      <c r="AJ906" s="4" t="s">
        <v>6</v>
      </c>
      <c r="AK906" s="4" t="str">
        <f>IFERROR(VLOOKUP(AJ906,'Guide '!$A$13:$B$16,2,0),"-")</f>
        <v>SP</v>
      </c>
      <c r="AL906" s="4" t="s">
        <v>924</v>
      </c>
      <c r="AM906" s="40">
        <v>45626</v>
      </c>
      <c r="AN906">
        <f t="shared" si="523"/>
        <v>29</v>
      </c>
      <c r="AO906">
        <f t="shared" si="524"/>
        <v>32</v>
      </c>
      <c r="AP906">
        <f t="shared" si="525"/>
        <v>40</v>
      </c>
      <c r="AQ906">
        <f t="shared" si="526"/>
        <v>43</v>
      </c>
      <c r="AR906" s="26">
        <f t="shared" si="527"/>
        <v>56</v>
      </c>
      <c r="AS906" s="26">
        <f t="shared" si="528"/>
        <v>63</v>
      </c>
      <c r="AT906" s="21">
        <f t="shared" si="529"/>
        <v>12</v>
      </c>
      <c r="AU906" s="21">
        <f t="shared" si="530"/>
        <v>19</v>
      </c>
      <c r="AV906">
        <f t="shared" si="531"/>
        <v>73</v>
      </c>
      <c r="AW906">
        <f t="shared" si="532"/>
        <v>76</v>
      </c>
      <c r="AX906">
        <f t="shared" si="533"/>
        <v>84</v>
      </c>
      <c r="AY906">
        <f t="shared" si="534"/>
        <v>87</v>
      </c>
      <c r="AZ906" t="str">
        <f t="shared" si="535"/>
        <v>-</v>
      </c>
      <c r="BA906" t="str">
        <f t="shared" si="536"/>
        <v>-</v>
      </c>
      <c r="BB906" t="str">
        <f t="shared" si="537"/>
        <v>-</v>
      </c>
      <c r="BC906" t="str">
        <f t="shared" si="538"/>
        <v>-</v>
      </c>
      <c r="BD906" s="29" t="str">
        <f t="shared" si="539"/>
        <v>-</v>
      </c>
      <c r="BE906" s="29" t="str">
        <f t="shared" si="540"/>
        <v>-</v>
      </c>
    </row>
    <row r="907" spans="1:57" ht="15" x14ac:dyDescent="0.2">
      <c r="A907" s="2">
        <v>580</v>
      </c>
      <c r="B907" s="2" t="str">
        <f t="shared" si="505"/>
        <v>0580</v>
      </c>
      <c r="C907" t="str">
        <f t="shared" si="506"/>
        <v>ORD-BB-0580-30/11/24</v>
      </c>
      <c r="D907" s="3" t="s">
        <v>597</v>
      </c>
      <c r="E907" t="str">
        <f t="shared" si="507"/>
        <v>SW001</v>
      </c>
      <c r="F907" t="str">
        <f>INDEX(Katalog!$B$4:$B$13,MATCH('Main Data'!E907,Katalog!$C$4:$C$13,0))</f>
        <v>Flat Shoes</v>
      </c>
      <c r="G907" t="str">
        <f>VLOOKUP(E907,Katalog!$A$15:$B$25,2,0)</f>
        <v>Sepatu Wanita</v>
      </c>
      <c r="H907" t="str">
        <f t="shared" si="508"/>
        <v>1</v>
      </c>
      <c r="I907" t="str">
        <f t="shared" si="509"/>
        <v>5</v>
      </c>
      <c r="J907" s="18">
        <f>VLOOKUP(E907,Katalog!$C$3:$F$13,2,0)</f>
        <v>150000</v>
      </c>
      <c r="K907" s="18">
        <f>VLOOKUP(E907,Katalog!$C$3:$F$13,3,0)</f>
        <v>70000</v>
      </c>
      <c r="L907" t="str">
        <f t="shared" si="510"/>
        <v>SP001</v>
      </c>
      <c r="M907" t="str">
        <f>IFERROR(INDEX(Katalog!$B$4:$B$13,MATCH('Main Data'!L907,Katalog!$C$4:$C$13,0)), "-")</f>
        <v>Sneakers</v>
      </c>
      <c r="N907" t="str">
        <f>IFERROR(VLOOKUP(L907,Katalog!$A$15:$B$25,2,0),"-")</f>
        <v>Sepatu Pria</v>
      </c>
      <c r="O907" t="str">
        <f t="shared" si="511"/>
        <v>1</v>
      </c>
      <c r="P907" t="str">
        <f t="shared" si="512"/>
        <v>4</v>
      </c>
      <c r="Q907" s="18">
        <f>IFERROR(VLOOKUP(L907,Katalog!$C$3:$F$13,2,0),0)</f>
        <v>300000</v>
      </c>
      <c r="R907" s="18">
        <f>IFERROR(VLOOKUP(L907,Katalog!$C$3:$F$13,3,0),0)</f>
        <v>100000</v>
      </c>
      <c r="S907" t="str">
        <f t="shared" si="513"/>
        <v>PW001</v>
      </c>
      <c r="T907" t="str">
        <f>IFERROR(INDEX(Katalog!$B$4:$B$13,MATCH('Main Data'!S907,Katalog!$C$4:$C$13,0)),"-")</f>
        <v>Dress</v>
      </c>
      <c r="U907" t="str">
        <f>IFERROR(VLOOKUP(S907,Katalog!$A$15:$B$25,2,0),"-")</f>
        <v>Pakaian Wanita</v>
      </c>
      <c r="V907" t="str">
        <f t="shared" si="514"/>
        <v>1</v>
      </c>
      <c r="W907" s="28" t="str">
        <f t="shared" si="515"/>
        <v>5</v>
      </c>
      <c r="X907" s="18">
        <f>IFERROR(VLOOKUP(S907,Katalog!$C$3:$F$13,2,0),0)</f>
        <v>150000</v>
      </c>
      <c r="Y907" s="30">
        <f>IFERROR(VLOOKUP(S907,Katalog!$C$3:$F$13,3,0),0)</f>
        <v>55000</v>
      </c>
      <c r="Z907" s="2">
        <f t="shared" si="516"/>
        <v>3</v>
      </c>
      <c r="AA907" s="4">
        <f t="shared" si="517"/>
        <v>600000</v>
      </c>
      <c r="AB907" s="4">
        <f t="shared" si="518"/>
        <v>225000</v>
      </c>
      <c r="AC907" s="4" t="s">
        <v>27</v>
      </c>
      <c r="AD907" s="16">
        <f>IFERROR(VLOOKUP(AC907,'Kode Diskon'!$C$2:$D$9,2,0),0)</f>
        <v>0.15</v>
      </c>
      <c r="AE907" s="31">
        <f t="shared" si="519"/>
        <v>90000</v>
      </c>
      <c r="AF907" s="31">
        <f t="shared" si="520"/>
        <v>510000</v>
      </c>
      <c r="AG907" s="31">
        <f t="shared" si="521"/>
        <v>375000</v>
      </c>
      <c r="AH907" s="31">
        <f t="shared" si="522"/>
        <v>285000</v>
      </c>
      <c r="AI907" s="4" t="s">
        <v>28</v>
      </c>
      <c r="AJ907" s="4" t="s">
        <v>13</v>
      </c>
      <c r="AK907" s="4" t="str">
        <f>IFERROR(VLOOKUP(AJ907,'Guide '!$A$13:$B$16,2,0),"-")</f>
        <v>BB</v>
      </c>
      <c r="AL907" s="4" t="s">
        <v>922</v>
      </c>
      <c r="AM907" s="40">
        <v>45626</v>
      </c>
      <c r="AN907">
        <f t="shared" si="523"/>
        <v>29</v>
      </c>
      <c r="AO907">
        <f t="shared" si="524"/>
        <v>32</v>
      </c>
      <c r="AP907">
        <f t="shared" si="525"/>
        <v>40</v>
      </c>
      <c r="AQ907">
        <f t="shared" si="526"/>
        <v>43</v>
      </c>
      <c r="AR907" s="26">
        <f t="shared" si="527"/>
        <v>56</v>
      </c>
      <c r="AS907" s="26">
        <f t="shared" si="528"/>
        <v>63</v>
      </c>
      <c r="AT907" s="21">
        <f t="shared" si="529"/>
        <v>12</v>
      </c>
      <c r="AU907" s="21">
        <f t="shared" si="530"/>
        <v>19</v>
      </c>
      <c r="AV907">
        <f t="shared" si="531"/>
        <v>73</v>
      </c>
      <c r="AW907">
        <f t="shared" si="532"/>
        <v>76</v>
      </c>
      <c r="AX907">
        <f t="shared" si="533"/>
        <v>84</v>
      </c>
      <c r="AY907">
        <f t="shared" si="534"/>
        <v>87</v>
      </c>
      <c r="AZ907">
        <f t="shared" si="535"/>
        <v>100</v>
      </c>
      <c r="BA907">
        <f t="shared" si="536"/>
        <v>107</v>
      </c>
      <c r="BB907">
        <f t="shared" si="537"/>
        <v>117</v>
      </c>
      <c r="BC907">
        <f t="shared" si="538"/>
        <v>120</v>
      </c>
      <c r="BD907" s="29">
        <f t="shared" si="539"/>
        <v>128</v>
      </c>
      <c r="BE907" s="29">
        <f t="shared" si="540"/>
        <v>131</v>
      </c>
    </row>
    <row r="908" spans="1:57" ht="15" x14ac:dyDescent="0.2">
      <c r="A908" s="2">
        <v>639</v>
      </c>
      <c r="B908" s="2" t="str">
        <f t="shared" si="505"/>
        <v>0639</v>
      </c>
      <c r="C908" t="str">
        <f t="shared" si="506"/>
        <v>ORD-TK-0639-30/11/24</v>
      </c>
      <c r="D908" s="3" t="s">
        <v>383</v>
      </c>
      <c r="E908" t="str">
        <f t="shared" si="507"/>
        <v>PW002</v>
      </c>
      <c r="F908" t="str">
        <f>INDEX(Katalog!$B$4:$B$13,MATCH('Main Data'!E908,Katalog!$C$4:$C$13,0))</f>
        <v>Blouse</v>
      </c>
      <c r="G908" t="str">
        <f>VLOOKUP(E908,Katalog!$A$15:$B$25,2,0)</f>
        <v>Pakaian Wanita</v>
      </c>
      <c r="H908" t="str">
        <f t="shared" si="508"/>
        <v>1</v>
      </c>
      <c r="I908" t="str">
        <f t="shared" si="509"/>
        <v>1</v>
      </c>
      <c r="J908" s="18">
        <f>VLOOKUP(E908,Katalog!$C$3:$F$13,2,0)</f>
        <v>125000</v>
      </c>
      <c r="K908" s="18">
        <f>VLOOKUP(E908,Katalog!$C$3:$F$13,3,0)</f>
        <v>50000</v>
      </c>
      <c r="L908" t="str">
        <f t="shared" si="510"/>
        <v>-</v>
      </c>
      <c r="M908" t="str">
        <f>IFERROR(INDEX(Katalog!$B$4:$B$13,MATCH('Main Data'!L908,Katalog!$C$4:$C$13,0)), "-")</f>
        <v>-</v>
      </c>
      <c r="N908" t="str">
        <f>IFERROR(VLOOKUP(L908,Katalog!$A$15:$B$25,2,0),"-")</f>
        <v>-</v>
      </c>
      <c r="O908">
        <f t="shared" si="511"/>
        <v>0</v>
      </c>
      <c r="P908" t="str">
        <f t="shared" si="512"/>
        <v>-</v>
      </c>
      <c r="Q908" s="18">
        <f>IFERROR(VLOOKUP(L908,Katalog!$C$3:$F$13,2,0),0)</f>
        <v>0</v>
      </c>
      <c r="R908" s="18">
        <f>IFERROR(VLOOKUP(L908,Katalog!$C$3:$F$13,3,0),0)</f>
        <v>0</v>
      </c>
      <c r="S908" t="str">
        <f t="shared" si="513"/>
        <v>-</v>
      </c>
      <c r="T908" t="str">
        <f>IFERROR(INDEX(Katalog!$B$4:$B$13,MATCH('Main Data'!S908,Katalog!$C$4:$C$13,0)),"-")</f>
        <v>-</v>
      </c>
      <c r="U908" t="str">
        <f>IFERROR(VLOOKUP(S908,Katalog!$A$15:$B$25,2,0),"-")</f>
        <v>-</v>
      </c>
      <c r="V908">
        <f t="shared" si="514"/>
        <v>0</v>
      </c>
      <c r="W908" s="28" t="str">
        <f t="shared" si="515"/>
        <v>-</v>
      </c>
      <c r="X908" s="18">
        <f>IFERROR(VLOOKUP(S908,Katalog!$C$3:$F$13,2,0),0)</f>
        <v>0</v>
      </c>
      <c r="Y908" s="30">
        <f>IFERROR(VLOOKUP(S908,Katalog!$C$3:$F$13,3,0),0)</f>
        <v>0</v>
      </c>
      <c r="Z908" s="2">
        <f t="shared" si="516"/>
        <v>1</v>
      </c>
      <c r="AA908" s="4">
        <f t="shared" si="517"/>
        <v>125000</v>
      </c>
      <c r="AB908" s="4">
        <f t="shared" si="518"/>
        <v>50000</v>
      </c>
      <c r="AC908" s="4" t="s">
        <v>30</v>
      </c>
      <c r="AD908" s="16">
        <f>IFERROR(VLOOKUP(AC908,'Kode Diskon'!$C$2:$D$9,2,0),0)</f>
        <v>0.1</v>
      </c>
      <c r="AE908" s="31">
        <f t="shared" si="519"/>
        <v>12500</v>
      </c>
      <c r="AF908" s="31">
        <f t="shared" si="520"/>
        <v>112500</v>
      </c>
      <c r="AG908" s="31">
        <f t="shared" si="521"/>
        <v>75000</v>
      </c>
      <c r="AH908" s="31">
        <f t="shared" si="522"/>
        <v>62500</v>
      </c>
      <c r="AI908" s="4" t="s">
        <v>8</v>
      </c>
      <c r="AJ908" s="4" t="s">
        <v>9</v>
      </c>
      <c r="AK908" s="4" t="str">
        <f>IFERROR(VLOOKUP(AJ908,'Guide '!$A$13:$B$16,2,0),"-")</f>
        <v>TK</v>
      </c>
      <c r="AL908" s="4" t="s">
        <v>925</v>
      </c>
      <c r="AM908" s="40">
        <v>45626</v>
      </c>
      <c r="AN908">
        <f t="shared" si="523"/>
        <v>29</v>
      </c>
      <c r="AO908">
        <f t="shared" si="524"/>
        <v>32</v>
      </c>
      <c r="AP908">
        <f t="shared" si="525"/>
        <v>40</v>
      </c>
      <c r="AQ908">
        <f t="shared" si="526"/>
        <v>43</v>
      </c>
      <c r="AR908" s="26" t="str">
        <f t="shared" si="527"/>
        <v>-</v>
      </c>
      <c r="AS908" s="26" t="str">
        <f t="shared" si="528"/>
        <v>-</v>
      </c>
      <c r="AT908" s="21">
        <f t="shared" si="529"/>
        <v>12</v>
      </c>
      <c r="AU908" s="21">
        <f t="shared" si="530"/>
        <v>19</v>
      </c>
      <c r="AV908" t="str">
        <f t="shared" si="531"/>
        <v>-</v>
      </c>
      <c r="AW908" t="str">
        <f t="shared" si="532"/>
        <v>-</v>
      </c>
      <c r="AX908" t="str">
        <f t="shared" si="533"/>
        <v>-</v>
      </c>
      <c r="AY908" t="str">
        <f t="shared" si="534"/>
        <v>-</v>
      </c>
      <c r="AZ908" t="str">
        <f t="shared" si="535"/>
        <v>-</v>
      </c>
      <c r="BA908" t="str">
        <f t="shared" si="536"/>
        <v>-</v>
      </c>
      <c r="BB908" t="str">
        <f t="shared" si="537"/>
        <v>-</v>
      </c>
      <c r="BC908" t="str">
        <f t="shared" si="538"/>
        <v>-</v>
      </c>
      <c r="BD908" s="29" t="str">
        <f t="shared" si="539"/>
        <v>-</v>
      </c>
      <c r="BE908" s="29" t="str">
        <f t="shared" si="540"/>
        <v>-</v>
      </c>
    </row>
    <row r="909" spans="1:57" ht="15" x14ac:dyDescent="0.2">
      <c r="A909" s="2">
        <v>74</v>
      </c>
      <c r="B909" s="2" t="str">
        <f t="shared" si="505"/>
        <v>0074</v>
      </c>
      <c r="C909" t="str">
        <f t="shared" si="506"/>
        <v>ORD-TK-0074-01/12/24</v>
      </c>
      <c r="D909" s="3" t="s">
        <v>147</v>
      </c>
      <c r="E909" t="str">
        <f t="shared" si="507"/>
        <v>PW001</v>
      </c>
      <c r="F909" t="str">
        <f>INDEX(Katalog!$B$4:$B$13,MATCH('Main Data'!E909,Katalog!$C$4:$C$13,0))</f>
        <v>Dress</v>
      </c>
      <c r="G909" t="str">
        <f>VLOOKUP(E909,Katalog!$A$15:$B$25,2,0)</f>
        <v>Pakaian Wanita</v>
      </c>
      <c r="H909" t="str">
        <f t="shared" si="508"/>
        <v>3</v>
      </c>
      <c r="I909" t="str">
        <f t="shared" si="509"/>
        <v>4</v>
      </c>
      <c r="J909" s="18">
        <f>VLOOKUP(E909,Katalog!$C$3:$F$13,2,0)</f>
        <v>150000</v>
      </c>
      <c r="K909" s="18">
        <f>VLOOKUP(E909,Katalog!$C$3:$F$13,3,0)</f>
        <v>55000</v>
      </c>
      <c r="L909" t="str">
        <f t="shared" si="510"/>
        <v>-</v>
      </c>
      <c r="M909" t="str">
        <f>IFERROR(INDEX(Katalog!$B$4:$B$13,MATCH('Main Data'!L909,Katalog!$C$4:$C$13,0)), "-")</f>
        <v>-</v>
      </c>
      <c r="N909" t="str">
        <f>IFERROR(VLOOKUP(L909,Katalog!$A$15:$B$25,2,0),"-")</f>
        <v>-</v>
      </c>
      <c r="O909">
        <f t="shared" si="511"/>
        <v>0</v>
      </c>
      <c r="P909" t="str">
        <f t="shared" si="512"/>
        <v>-</v>
      </c>
      <c r="Q909" s="18">
        <f>IFERROR(VLOOKUP(L909,Katalog!$C$3:$F$13,2,0),0)</f>
        <v>0</v>
      </c>
      <c r="R909" s="18">
        <f>IFERROR(VLOOKUP(L909,Katalog!$C$3:$F$13,3,0),0)</f>
        <v>0</v>
      </c>
      <c r="S909" t="str">
        <f t="shared" si="513"/>
        <v>-</v>
      </c>
      <c r="T909" t="str">
        <f>IFERROR(INDEX(Katalog!$B$4:$B$13,MATCH('Main Data'!S909,Katalog!$C$4:$C$13,0)),"-")</f>
        <v>-</v>
      </c>
      <c r="U909" t="str">
        <f>IFERROR(VLOOKUP(S909,Katalog!$A$15:$B$25,2,0),"-")</f>
        <v>-</v>
      </c>
      <c r="V909">
        <f t="shared" si="514"/>
        <v>0</v>
      </c>
      <c r="W909" s="28" t="str">
        <f t="shared" si="515"/>
        <v>-</v>
      </c>
      <c r="X909" s="18">
        <f>IFERROR(VLOOKUP(S909,Katalog!$C$3:$F$13,2,0),0)</f>
        <v>0</v>
      </c>
      <c r="Y909" s="30">
        <f>IFERROR(VLOOKUP(S909,Katalog!$C$3:$F$13,3,0),0)</f>
        <v>0</v>
      </c>
      <c r="Z909" s="2">
        <f t="shared" si="516"/>
        <v>3</v>
      </c>
      <c r="AA909" s="4">
        <f t="shared" si="517"/>
        <v>450000</v>
      </c>
      <c r="AB909" s="4">
        <f t="shared" si="518"/>
        <v>165000</v>
      </c>
      <c r="AC909" s="4" t="s">
        <v>29</v>
      </c>
      <c r="AD909" s="16">
        <f>IFERROR(VLOOKUP(AC909,'Kode Diskon'!$C$2:$D$9,2,0),0)</f>
        <v>0.1</v>
      </c>
      <c r="AE909" s="31">
        <f t="shared" si="519"/>
        <v>45000</v>
      </c>
      <c r="AF909" s="31">
        <f t="shared" si="520"/>
        <v>405000</v>
      </c>
      <c r="AG909" s="31">
        <f t="shared" si="521"/>
        <v>285000</v>
      </c>
      <c r="AH909" s="31">
        <f t="shared" si="522"/>
        <v>240000</v>
      </c>
      <c r="AI909" s="4" t="s">
        <v>28</v>
      </c>
      <c r="AJ909" s="4" t="s">
        <v>9</v>
      </c>
      <c r="AK909" s="4" t="str">
        <f>IFERROR(VLOOKUP(AJ909,'Guide '!$A$13:$B$16,2,0),"-")</f>
        <v>TK</v>
      </c>
      <c r="AL909" s="4" t="s">
        <v>924</v>
      </c>
      <c r="AM909" s="40">
        <v>45627</v>
      </c>
      <c r="AN909">
        <f t="shared" si="523"/>
        <v>29</v>
      </c>
      <c r="AO909">
        <f t="shared" si="524"/>
        <v>32</v>
      </c>
      <c r="AP909">
        <f t="shared" si="525"/>
        <v>40</v>
      </c>
      <c r="AQ909">
        <f t="shared" si="526"/>
        <v>43</v>
      </c>
      <c r="AR909" s="26" t="str">
        <f t="shared" si="527"/>
        <v>-</v>
      </c>
      <c r="AS909" s="26" t="str">
        <f t="shared" si="528"/>
        <v>-</v>
      </c>
      <c r="AT909" s="21">
        <f t="shared" si="529"/>
        <v>12</v>
      </c>
      <c r="AU909" s="21">
        <f t="shared" si="530"/>
        <v>19</v>
      </c>
      <c r="AV909" t="str">
        <f t="shared" si="531"/>
        <v>-</v>
      </c>
      <c r="AW909" t="str">
        <f t="shared" si="532"/>
        <v>-</v>
      </c>
      <c r="AX909" t="str">
        <f t="shared" si="533"/>
        <v>-</v>
      </c>
      <c r="AY909" t="str">
        <f t="shared" si="534"/>
        <v>-</v>
      </c>
      <c r="AZ909" t="str">
        <f t="shared" si="535"/>
        <v>-</v>
      </c>
      <c r="BA909" t="str">
        <f t="shared" si="536"/>
        <v>-</v>
      </c>
      <c r="BB909" t="str">
        <f t="shared" si="537"/>
        <v>-</v>
      </c>
      <c r="BC909" t="str">
        <f t="shared" si="538"/>
        <v>-</v>
      </c>
      <c r="BD909" s="29" t="str">
        <f t="shared" si="539"/>
        <v>-</v>
      </c>
      <c r="BE909" s="29" t="str">
        <f t="shared" si="540"/>
        <v>-</v>
      </c>
    </row>
    <row r="910" spans="1:57" ht="15" x14ac:dyDescent="0.2">
      <c r="A910" s="2">
        <v>140</v>
      </c>
      <c r="B910" s="2" t="str">
        <f t="shared" si="505"/>
        <v>0140</v>
      </c>
      <c r="C910" t="str">
        <f t="shared" si="506"/>
        <v>ORD-BL-0140-01/12/24</v>
      </c>
      <c r="D910" s="3" t="s">
        <v>210</v>
      </c>
      <c r="E910" t="str">
        <f t="shared" si="507"/>
        <v>SP002</v>
      </c>
      <c r="F910" t="str">
        <f>INDEX(Katalog!$B$4:$B$13,MATCH('Main Data'!E910,Katalog!$C$4:$C$13,0))</f>
        <v>Sandal Slip On</v>
      </c>
      <c r="G910" t="str">
        <f>VLOOKUP(E910,Katalog!$A$15:$B$25,2,0)</f>
        <v>Sepatu Pria</v>
      </c>
      <c r="H910" t="str">
        <f t="shared" si="508"/>
        <v>3</v>
      </c>
      <c r="I910" t="str">
        <f t="shared" si="509"/>
        <v>3</v>
      </c>
      <c r="J910" s="18">
        <f>VLOOKUP(E910,Katalog!$C$3:$F$13,2,0)</f>
        <v>120000</v>
      </c>
      <c r="K910" s="18">
        <f>VLOOKUP(E910,Katalog!$C$3:$F$13,3,0)</f>
        <v>60000</v>
      </c>
      <c r="L910" t="str">
        <f t="shared" si="510"/>
        <v>PW001</v>
      </c>
      <c r="M910" t="str">
        <f>IFERROR(INDEX(Katalog!$B$4:$B$13,MATCH('Main Data'!L910,Katalog!$C$4:$C$13,0)), "-")</f>
        <v>Dress</v>
      </c>
      <c r="N910" t="str">
        <f>IFERROR(VLOOKUP(L910,Katalog!$A$15:$B$25,2,0),"-")</f>
        <v>Pakaian Wanita</v>
      </c>
      <c r="O910" t="str">
        <f t="shared" si="511"/>
        <v>1</v>
      </c>
      <c r="P910" t="str">
        <f t="shared" si="512"/>
        <v>3</v>
      </c>
      <c r="Q910" s="18">
        <f>IFERROR(VLOOKUP(L910,Katalog!$C$3:$F$13,2,0),0)</f>
        <v>150000</v>
      </c>
      <c r="R910" s="18">
        <f>IFERROR(VLOOKUP(L910,Katalog!$C$3:$F$13,3,0),0)</f>
        <v>55000</v>
      </c>
      <c r="S910" t="str">
        <f t="shared" si="513"/>
        <v>SP002</v>
      </c>
      <c r="T910" t="str">
        <f>IFERROR(INDEX(Katalog!$B$4:$B$13,MATCH('Main Data'!S910,Katalog!$C$4:$C$13,0)),"-")</f>
        <v>Sandal Slip On</v>
      </c>
      <c r="U910" t="str">
        <f>IFERROR(VLOOKUP(S910,Katalog!$A$15:$B$25,2,0),"-")</f>
        <v>Sepatu Pria</v>
      </c>
      <c r="V910" t="str">
        <f t="shared" si="514"/>
        <v>1</v>
      </c>
      <c r="W910" s="28" t="str">
        <f t="shared" si="515"/>
        <v>4</v>
      </c>
      <c r="X910" s="18">
        <f>IFERROR(VLOOKUP(S910,Katalog!$C$3:$F$13,2,0),0)</f>
        <v>120000</v>
      </c>
      <c r="Y910" s="30">
        <f>IFERROR(VLOOKUP(S910,Katalog!$C$3:$F$13,3,0),0)</f>
        <v>60000</v>
      </c>
      <c r="Z910" s="2">
        <f t="shared" si="516"/>
        <v>5</v>
      </c>
      <c r="AA910" s="4">
        <f t="shared" si="517"/>
        <v>630000</v>
      </c>
      <c r="AB910" s="4">
        <f t="shared" si="518"/>
        <v>295000</v>
      </c>
      <c r="AC910" s="4" t="s">
        <v>31</v>
      </c>
      <c r="AD910" s="16">
        <f>IFERROR(VLOOKUP(AC910,'Kode Diskon'!$C$2:$D$9,2,0),0)</f>
        <v>0.15</v>
      </c>
      <c r="AE910" s="31">
        <f t="shared" si="519"/>
        <v>94500</v>
      </c>
      <c r="AF910" s="31">
        <f t="shared" si="520"/>
        <v>535500</v>
      </c>
      <c r="AG910" s="31">
        <f t="shared" si="521"/>
        <v>335000</v>
      </c>
      <c r="AH910" s="31">
        <f t="shared" si="522"/>
        <v>240500</v>
      </c>
      <c r="AI910" s="4" t="s">
        <v>8</v>
      </c>
      <c r="AJ910" s="4" t="s">
        <v>11</v>
      </c>
      <c r="AK910" s="4" t="str">
        <f>IFERROR(VLOOKUP(AJ910,'Guide '!$A$13:$B$16,2,0),"-")</f>
        <v>BL</v>
      </c>
      <c r="AL910" s="4" t="s">
        <v>1006</v>
      </c>
      <c r="AM910" s="40">
        <v>45627</v>
      </c>
      <c r="AN910">
        <f t="shared" si="523"/>
        <v>29</v>
      </c>
      <c r="AO910">
        <f t="shared" si="524"/>
        <v>32</v>
      </c>
      <c r="AP910">
        <f t="shared" si="525"/>
        <v>40</v>
      </c>
      <c r="AQ910">
        <f t="shared" si="526"/>
        <v>43</v>
      </c>
      <c r="AR910" s="26">
        <f t="shared" si="527"/>
        <v>56</v>
      </c>
      <c r="AS910" s="26">
        <f t="shared" si="528"/>
        <v>63</v>
      </c>
      <c r="AT910" s="21">
        <f t="shared" si="529"/>
        <v>12</v>
      </c>
      <c r="AU910" s="21">
        <f t="shared" si="530"/>
        <v>19</v>
      </c>
      <c r="AV910">
        <f t="shared" si="531"/>
        <v>73</v>
      </c>
      <c r="AW910">
        <f t="shared" si="532"/>
        <v>76</v>
      </c>
      <c r="AX910">
        <f t="shared" si="533"/>
        <v>84</v>
      </c>
      <c r="AY910">
        <f t="shared" si="534"/>
        <v>87</v>
      </c>
      <c r="AZ910">
        <f t="shared" si="535"/>
        <v>100</v>
      </c>
      <c r="BA910">
        <f t="shared" si="536"/>
        <v>107</v>
      </c>
      <c r="BB910">
        <f t="shared" si="537"/>
        <v>117</v>
      </c>
      <c r="BC910">
        <f t="shared" si="538"/>
        <v>120</v>
      </c>
      <c r="BD910" s="29">
        <f t="shared" si="539"/>
        <v>128</v>
      </c>
      <c r="BE910" s="29">
        <f t="shared" si="540"/>
        <v>131</v>
      </c>
    </row>
    <row r="911" spans="1:57" ht="15" x14ac:dyDescent="0.2">
      <c r="A911" s="2">
        <v>267</v>
      </c>
      <c r="B911" s="2" t="str">
        <f t="shared" si="505"/>
        <v>0267</v>
      </c>
      <c r="C911" t="str">
        <f t="shared" si="506"/>
        <v>ORD-TK-0267-01/12/24</v>
      </c>
      <c r="D911" s="3" t="s">
        <v>329</v>
      </c>
      <c r="E911" t="str">
        <f t="shared" si="507"/>
        <v>SP002</v>
      </c>
      <c r="F911" t="str">
        <f>INDEX(Katalog!$B$4:$B$13,MATCH('Main Data'!E911,Katalog!$C$4:$C$13,0))</f>
        <v>Sandal Slip On</v>
      </c>
      <c r="G911" t="str">
        <f>VLOOKUP(E911,Katalog!$A$15:$B$25,2,0)</f>
        <v>Sepatu Pria</v>
      </c>
      <c r="H911" t="str">
        <f t="shared" si="508"/>
        <v>6</v>
      </c>
      <c r="I911" t="str">
        <f t="shared" si="509"/>
        <v>1</v>
      </c>
      <c r="J911" s="18">
        <f>VLOOKUP(E911,Katalog!$C$3:$F$13,2,0)</f>
        <v>120000</v>
      </c>
      <c r="K911" s="18">
        <f>VLOOKUP(E911,Katalog!$C$3:$F$13,3,0)</f>
        <v>60000</v>
      </c>
      <c r="L911" t="str">
        <f t="shared" si="510"/>
        <v>-</v>
      </c>
      <c r="M911" t="str">
        <f>IFERROR(INDEX(Katalog!$B$4:$B$13,MATCH('Main Data'!L911,Katalog!$C$4:$C$13,0)), "-")</f>
        <v>-</v>
      </c>
      <c r="N911" t="str">
        <f>IFERROR(VLOOKUP(L911,Katalog!$A$15:$B$25,2,0),"-")</f>
        <v>-</v>
      </c>
      <c r="O911">
        <f t="shared" si="511"/>
        <v>0</v>
      </c>
      <c r="P911" t="str">
        <f t="shared" si="512"/>
        <v>-</v>
      </c>
      <c r="Q911" s="18">
        <f>IFERROR(VLOOKUP(L911,Katalog!$C$3:$F$13,2,0),0)</f>
        <v>0</v>
      </c>
      <c r="R911" s="18">
        <f>IFERROR(VLOOKUP(L911,Katalog!$C$3:$F$13,3,0),0)</f>
        <v>0</v>
      </c>
      <c r="S911" t="str">
        <f t="shared" si="513"/>
        <v>-</v>
      </c>
      <c r="T911" t="str">
        <f>IFERROR(INDEX(Katalog!$B$4:$B$13,MATCH('Main Data'!S911,Katalog!$C$4:$C$13,0)),"-")</f>
        <v>-</v>
      </c>
      <c r="U911" t="str">
        <f>IFERROR(VLOOKUP(S911,Katalog!$A$15:$B$25,2,0),"-")</f>
        <v>-</v>
      </c>
      <c r="V911">
        <f t="shared" si="514"/>
        <v>0</v>
      </c>
      <c r="W911" s="28" t="str">
        <f t="shared" si="515"/>
        <v>-</v>
      </c>
      <c r="X911" s="18">
        <f>IFERROR(VLOOKUP(S911,Katalog!$C$3:$F$13,2,0),0)</f>
        <v>0</v>
      </c>
      <c r="Y911" s="30">
        <f>IFERROR(VLOOKUP(S911,Katalog!$C$3:$F$13,3,0),0)</f>
        <v>0</v>
      </c>
      <c r="Z911" s="2">
        <f t="shared" si="516"/>
        <v>6</v>
      </c>
      <c r="AA911" s="4">
        <f t="shared" si="517"/>
        <v>720000</v>
      </c>
      <c r="AB911" s="4">
        <f t="shared" si="518"/>
        <v>360000</v>
      </c>
      <c r="AC911" s="4" t="s">
        <v>29</v>
      </c>
      <c r="AD911" s="16">
        <f>IFERROR(VLOOKUP(AC911,'Kode Diskon'!$C$2:$D$9,2,0),0)</f>
        <v>0.1</v>
      </c>
      <c r="AE911" s="31">
        <f t="shared" si="519"/>
        <v>72000</v>
      </c>
      <c r="AF911" s="31">
        <f t="shared" si="520"/>
        <v>648000</v>
      </c>
      <c r="AG911" s="31">
        <f t="shared" si="521"/>
        <v>360000</v>
      </c>
      <c r="AH911" s="31">
        <f t="shared" si="522"/>
        <v>288000</v>
      </c>
      <c r="AI911" s="4" t="s">
        <v>28</v>
      </c>
      <c r="AJ911" s="4" t="s">
        <v>9</v>
      </c>
      <c r="AK911" s="4" t="str">
        <f>IFERROR(VLOOKUP(AJ911,'Guide '!$A$13:$B$16,2,0),"-")</f>
        <v>TK</v>
      </c>
      <c r="AL911" s="4" t="s">
        <v>1006</v>
      </c>
      <c r="AM911" s="40">
        <v>45627</v>
      </c>
      <c r="AN911">
        <f t="shared" si="523"/>
        <v>29</v>
      </c>
      <c r="AO911">
        <f t="shared" si="524"/>
        <v>32</v>
      </c>
      <c r="AP911">
        <f t="shared" si="525"/>
        <v>40</v>
      </c>
      <c r="AQ911">
        <f t="shared" si="526"/>
        <v>43</v>
      </c>
      <c r="AR911" s="26" t="str">
        <f t="shared" si="527"/>
        <v>-</v>
      </c>
      <c r="AS911" s="26" t="str">
        <f t="shared" si="528"/>
        <v>-</v>
      </c>
      <c r="AT911" s="21">
        <f t="shared" si="529"/>
        <v>12</v>
      </c>
      <c r="AU911" s="21">
        <f t="shared" si="530"/>
        <v>19</v>
      </c>
      <c r="AV911" t="str">
        <f t="shared" si="531"/>
        <v>-</v>
      </c>
      <c r="AW911" t="str">
        <f t="shared" si="532"/>
        <v>-</v>
      </c>
      <c r="AX911" t="str">
        <f t="shared" si="533"/>
        <v>-</v>
      </c>
      <c r="AY911" t="str">
        <f t="shared" si="534"/>
        <v>-</v>
      </c>
      <c r="AZ911" t="str">
        <f t="shared" si="535"/>
        <v>-</v>
      </c>
      <c r="BA911" t="str">
        <f t="shared" si="536"/>
        <v>-</v>
      </c>
      <c r="BB911" t="str">
        <f t="shared" si="537"/>
        <v>-</v>
      </c>
      <c r="BC911" t="str">
        <f t="shared" si="538"/>
        <v>-</v>
      </c>
      <c r="BD911" s="29" t="str">
        <f t="shared" si="539"/>
        <v>-</v>
      </c>
      <c r="BE911" s="29" t="str">
        <f t="shared" si="540"/>
        <v>-</v>
      </c>
    </row>
    <row r="912" spans="1:57" ht="15" x14ac:dyDescent="0.2">
      <c r="A912" s="2">
        <v>536</v>
      </c>
      <c r="B912" s="2" t="str">
        <f t="shared" si="505"/>
        <v>0536</v>
      </c>
      <c r="C912" t="str">
        <f t="shared" si="506"/>
        <v>ORD-BB-0536-01/12/24</v>
      </c>
      <c r="D912" s="3" t="s">
        <v>561</v>
      </c>
      <c r="E912" t="str">
        <f t="shared" si="507"/>
        <v>PU001</v>
      </c>
      <c r="F912" t="str">
        <f>INDEX(Katalog!$B$4:$B$13,MATCH('Main Data'!E912,Katalog!$C$4:$C$13,0))</f>
        <v>Jaket Hoodie</v>
      </c>
      <c r="G912" t="str">
        <f>VLOOKUP(E912,Katalog!$A$15:$B$25,2,0)</f>
        <v>Pakaian Unisex</v>
      </c>
      <c r="H912" t="str">
        <f t="shared" si="508"/>
        <v>6</v>
      </c>
      <c r="I912" t="str">
        <f t="shared" si="509"/>
        <v>5</v>
      </c>
      <c r="J912" s="18">
        <f>VLOOKUP(E912,Katalog!$C$3:$F$13,2,0)</f>
        <v>160000</v>
      </c>
      <c r="K912" s="18">
        <f>VLOOKUP(E912,Katalog!$C$3:$F$13,3,0)</f>
        <v>60000</v>
      </c>
      <c r="L912" t="str">
        <f t="shared" si="510"/>
        <v>PW002</v>
      </c>
      <c r="M912" t="str">
        <f>IFERROR(INDEX(Katalog!$B$4:$B$13,MATCH('Main Data'!L912,Katalog!$C$4:$C$13,0)), "-")</f>
        <v>Blouse</v>
      </c>
      <c r="N912" t="str">
        <f>IFERROR(VLOOKUP(L912,Katalog!$A$15:$B$25,2,0),"-")</f>
        <v>Pakaian Wanita</v>
      </c>
      <c r="O912" t="str">
        <f t="shared" si="511"/>
        <v>1</v>
      </c>
      <c r="P912" t="str">
        <f t="shared" si="512"/>
        <v>3</v>
      </c>
      <c r="Q912" s="18">
        <f>IFERROR(VLOOKUP(L912,Katalog!$C$3:$F$13,2,0),0)</f>
        <v>125000</v>
      </c>
      <c r="R912" s="18">
        <f>IFERROR(VLOOKUP(L912,Katalog!$C$3:$F$13,3,0),0)</f>
        <v>50000</v>
      </c>
      <c r="S912" t="str">
        <f t="shared" si="513"/>
        <v>-</v>
      </c>
      <c r="T912" t="str">
        <f>IFERROR(INDEX(Katalog!$B$4:$B$13,MATCH('Main Data'!S912,Katalog!$C$4:$C$13,0)),"-")</f>
        <v>-</v>
      </c>
      <c r="U912" t="str">
        <f>IFERROR(VLOOKUP(S912,Katalog!$A$15:$B$25,2,0),"-")</f>
        <v>-</v>
      </c>
      <c r="V912">
        <f t="shared" si="514"/>
        <v>0</v>
      </c>
      <c r="W912" s="28" t="str">
        <f t="shared" si="515"/>
        <v>-</v>
      </c>
      <c r="X912" s="18">
        <f>IFERROR(VLOOKUP(S912,Katalog!$C$3:$F$13,2,0),0)</f>
        <v>0</v>
      </c>
      <c r="Y912" s="30">
        <f>IFERROR(VLOOKUP(S912,Katalog!$C$3:$F$13,3,0),0)</f>
        <v>0</v>
      </c>
      <c r="Z912" s="2">
        <f t="shared" si="516"/>
        <v>7</v>
      </c>
      <c r="AA912" s="4">
        <f t="shared" si="517"/>
        <v>1085000</v>
      </c>
      <c r="AB912" s="4">
        <f t="shared" si="518"/>
        <v>410000</v>
      </c>
      <c r="AC912" s="4" t="s">
        <v>27</v>
      </c>
      <c r="AD912" s="16">
        <f>IFERROR(VLOOKUP(AC912,'Kode Diskon'!$C$2:$D$9,2,0),0)</f>
        <v>0.15</v>
      </c>
      <c r="AE912" s="31">
        <f t="shared" si="519"/>
        <v>162750</v>
      </c>
      <c r="AF912" s="31">
        <f t="shared" si="520"/>
        <v>922250</v>
      </c>
      <c r="AG912" s="31">
        <f t="shared" si="521"/>
        <v>675000</v>
      </c>
      <c r="AH912" s="31">
        <f t="shared" si="522"/>
        <v>512250</v>
      </c>
      <c r="AI912" s="4" t="s">
        <v>28</v>
      </c>
      <c r="AJ912" s="4" t="s">
        <v>13</v>
      </c>
      <c r="AK912" s="4" t="str">
        <f>IFERROR(VLOOKUP(AJ912,'Guide '!$A$13:$B$16,2,0),"-")</f>
        <v>BB</v>
      </c>
      <c r="AL912" s="4" t="s">
        <v>1006</v>
      </c>
      <c r="AM912" s="40">
        <v>45627</v>
      </c>
      <c r="AN912">
        <f t="shared" si="523"/>
        <v>29</v>
      </c>
      <c r="AO912">
        <f t="shared" si="524"/>
        <v>32</v>
      </c>
      <c r="AP912">
        <f t="shared" si="525"/>
        <v>40</v>
      </c>
      <c r="AQ912">
        <f t="shared" si="526"/>
        <v>43</v>
      </c>
      <c r="AR912" s="26">
        <f t="shared" si="527"/>
        <v>56</v>
      </c>
      <c r="AS912" s="26">
        <f t="shared" si="528"/>
        <v>63</v>
      </c>
      <c r="AT912" s="21">
        <f t="shared" si="529"/>
        <v>12</v>
      </c>
      <c r="AU912" s="21">
        <f t="shared" si="530"/>
        <v>19</v>
      </c>
      <c r="AV912">
        <f t="shared" si="531"/>
        <v>73</v>
      </c>
      <c r="AW912">
        <f t="shared" si="532"/>
        <v>76</v>
      </c>
      <c r="AX912">
        <f t="shared" si="533"/>
        <v>84</v>
      </c>
      <c r="AY912">
        <f t="shared" si="534"/>
        <v>87</v>
      </c>
      <c r="AZ912" t="str">
        <f t="shared" si="535"/>
        <v>-</v>
      </c>
      <c r="BA912" t="str">
        <f t="shared" si="536"/>
        <v>-</v>
      </c>
      <c r="BB912" t="str">
        <f t="shared" si="537"/>
        <v>-</v>
      </c>
      <c r="BC912" t="str">
        <f t="shared" si="538"/>
        <v>-</v>
      </c>
      <c r="BD912" s="29" t="str">
        <f t="shared" si="539"/>
        <v>-</v>
      </c>
      <c r="BE912" s="29" t="str">
        <f t="shared" si="540"/>
        <v>-</v>
      </c>
    </row>
    <row r="913" spans="1:57" ht="15" x14ac:dyDescent="0.2">
      <c r="A913" s="2">
        <v>581</v>
      </c>
      <c r="B913" s="2" t="str">
        <f t="shared" si="505"/>
        <v>0581</v>
      </c>
      <c r="C913" t="str">
        <f t="shared" si="506"/>
        <v>ORD-SP-0581-01/12/24</v>
      </c>
      <c r="D913" s="3" t="s">
        <v>598</v>
      </c>
      <c r="E913" t="str">
        <f t="shared" si="507"/>
        <v>SP002</v>
      </c>
      <c r="F913" t="str">
        <f>INDEX(Katalog!$B$4:$B$13,MATCH('Main Data'!E913,Katalog!$C$4:$C$13,0))</f>
        <v>Sandal Slip On</v>
      </c>
      <c r="G913" t="str">
        <f>VLOOKUP(E913,Katalog!$A$15:$B$25,2,0)</f>
        <v>Sepatu Pria</v>
      </c>
      <c r="H913" t="str">
        <f t="shared" si="508"/>
        <v>7</v>
      </c>
      <c r="I913" t="str">
        <f t="shared" si="509"/>
        <v>2</v>
      </c>
      <c r="J913" s="18">
        <f>VLOOKUP(E913,Katalog!$C$3:$F$13,2,0)</f>
        <v>120000</v>
      </c>
      <c r="K913" s="18">
        <f>VLOOKUP(E913,Katalog!$C$3:$F$13,3,0)</f>
        <v>60000</v>
      </c>
      <c r="L913" t="str">
        <f t="shared" si="510"/>
        <v>-</v>
      </c>
      <c r="M913" t="str">
        <f>IFERROR(INDEX(Katalog!$B$4:$B$13,MATCH('Main Data'!L913,Katalog!$C$4:$C$13,0)), "-")</f>
        <v>-</v>
      </c>
      <c r="N913" t="str">
        <f>IFERROR(VLOOKUP(L913,Katalog!$A$15:$B$25,2,0),"-")</f>
        <v>-</v>
      </c>
      <c r="O913">
        <f t="shared" si="511"/>
        <v>0</v>
      </c>
      <c r="P913" t="str">
        <f t="shared" si="512"/>
        <v>-</v>
      </c>
      <c r="Q913" s="18">
        <f>IFERROR(VLOOKUP(L913,Katalog!$C$3:$F$13,2,0),0)</f>
        <v>0</v>
      </c>
      <c r="R913" s="18">
        <f>IFERROR(VLOOKUP(L913,Katalog!$C$3:$F$13,3,0),0)</f>
        <v>0</v>
      </c>
      <c r="S913" t="str">
        <f t="shared" si="513"/>
        <v>-</v>
      </c>
      <c r="T913" t="str">
        <f>IFERROR(INDEX(Katalog!$B$4:$B$13,MATCH('Main Data'!S913,Katalog!$C$4:$C$13,0)),"-")</f>
        <v>-</v>
      </c>
      <c r="U913" t="str">
        <f>IFERROR(VLOOKUP(S913,Katalog!$A$15:$B$25,2,0),"-")</f>
        <v>-</v>
      </c>
      <c r="V913">
        <f t="shared" si="514"/>
        <v>0</v>
      </c>
      <c r="W913" s="28" t="str">
        <f t="shared" si="515"/>
        <v>-</v>
      </c>
      <c r="X913" s="18">
        <f>IFERROR(VLOOKUP(S913,Katalog!$C$3:$F$13,2,0),0)</f>
        <v>0</v>
      </c>
      <c r="Y913" s="30">
        <f>IFERROR(VLOOKUP(S913,Katalog!$C$3:$F$13,3,0),0)</f>
        <v>0</v>
      </c>
      <c r="Z913" s="2">
        <f t="shared" si="516"/>
        <v>7</v>
      </c>
      <c r="AA913" s="4">
        <f t="shared" si="517"/>
        <v>840000</v>
      </c>
      <c r="AB913" s="4">
        <f t="shared" si="518"/>
        <v>420000</v>
      </c>
      <c r="AC913" s="4" t="s">
        <v>12</v>
      </c>
      <c r="AD913" s="16">
        <f>IFERROR(VLOOKUP(AC913,'Kode Diskon'!$C$2:$D$9,2,0),0)</f>
        <v>0.15</v>
      </c>
      <c r="AE913" s="31">
        <f t="shared" si="519"/>
        <v>126000</v>
      </c>
      <c r="AF913" s="31">
        <f t="shared" si="520"/>
        <v>714000</v>
      </c>
      <c r="AG913" s="31">
        <f t="shared" si="521"/>
        <v>420000</v>
      </c>
      <c r="AH913" s="31">
        <f t="shared" si="522"/>
        <v>294000</v>
      </c>
      <c r="AI913" s="4" t="s">
        <v>28</v>
      </c>
      <c r="AJ913" s="4" t="s">
        <v>6</v>
      </c>
      <c r="AK913" s="4" t="str">
        <f>IFERROR(VLOOKUP(AJ913,'Guide '!$A$13:$B$16,2,0),"-")</f>
        <v>SP</v>
      </c>
      <c r="AL913" s="4" t="s">
        <v>923</v>
      </c>
      <c r="AM913" s="40">
        <v>45627</v>
      </c>
      <c r="AN913">
        <f t="shared" si="523"/>
        <v>29</v>
      </c>
      <c r="AO913">
        <f t="shared" si="524"/>
        <v>32</v>
      </c>
      <c r="AP913">
        <f t="shared" si="525"/>
        <v>40</v>
      </c>
      <c r="AQ913">
        <f t="shared" si="526"/>
        <v>43</v>
      </c>
      <c r="AR913" s="26" t="str">
        <f t="shared" si="527"/>
        <v>-</v>
      </c>
      <c r="AS913" s="26" t="str">
        <f t="shared" si="528"/>
        <v>-</v>
      </c>
      <c r="AT913" s="21">
        <f t="shared" si="529"/>
        <v>12</v>
      </c>
      <c r="AU913" s="21">
        <f t="shared" si="530"/>
        <v>19</v>
      </c>
      <c r="AV913" t="str">
        <f t="shared" si="531"/>
        <v>-</v>
      </c>
      <c r="AW913" t="str">
        <f t="shared" si="532"/>
        <v>-</v>
      </c>
      <c r="AX913" t="str">
        <f t="shared" si="533"/>
        <v>-</v>
      </c>
      <c r="AY913" t="str">
        <f t="shared" si="534"/>
        <v>-</v>
      </c>
      <c r="AZ913" t="str">
        <f t="shared" si="535"/>
        <v>-</v>
      </c>
      <c r="BA913" t="str">
        <f t="shared" si="536"/>
        <v>-</v>
      </c>
      <c r="BB913" t="str">
        <f t="shared" si="537"/>
        <v>-</v>
      </c>
      <c r="BC913" t="str">
        <f t="shared" si="538"/>
        <v>-</v>
      </c>
      <c r="BD913" s="29" t="str">
        <f t="shared" si="539"/>
        <v>-</v>
      </c>
      <c r="BE913" s="29" t="str">
        <f t="shared" si="540"/>
        <v>-</v>
      </c>
    </row>
    <row r="914" spans="1:57" ht="15" x14ac:dyDescent="0.2">
      <c r="A914" s="2">
        <v>651</v>
      </c>
      <c r="B914" s="2" t="str">
        <f t="shared" si="505"/>
        <v>0651</v>
      </c>
      <c r="C914" t="str">
        <f t="shared" si="506"/>
        <v>ORD-BL-0651-01/12/24</v>
      </c>
      <c r="D914" s="3" t="s">
        <v>654</v>
      </c>
      <c r="E914" t="str">
        <f t="shared" si="507"/>
        <v>SP002</v>
      </c>
      <c r="F914" t="str">
        <f>INDEX(Katalog!$B$4:$B$13,MATCH('Main Data'!E914,Katalog!$C$4:$C$13,0))</f>
        <v>Sandal Slip On</v>
      </c>
      <c r="G914" t="str">
        <f>VLOOKUP(E914,Katalog!$A$15:$B$25,2,0)</f>
        <v>Sepatu Pria</v>
      </c>
      <c r="H914" t="str">
        <f t="shared" si="508"/>
        <v>1</v>
      </c>
      <c r="I914" t="str">
        <f t="shared" si="509"/>
        <v>5</v>
      </c>
      <c r="J914" s="18">
        <f>VLOOKUP(E914,Katalog!$C$3:$F$13,2,0)</f>
        <v>120000</v>
      </c>
      <c r="K914" s="18">
        <f>VLOOKUP(E914,Katalog!$C$3:$F$13,3,0)</f>
        <v>60000</v>
      </c>
      <c r="L914" t="str">
        <f t="shared" si="510"/>
        <v>PW002</v>
      </c>
      <c r="M914" t="str">
        <f>IFERROR(INDEX(Katalog!$B$4:$B$13,MATCH('Main Data'!L914,Katalog!$C$4:$C$13,0)), "-")</f>
        <v>Blouse</v>
      </c>
      <c r="N914" t="str">
        <f>IFERROR(VLOOKUP(L914,Katalog!$A$15:$B$25,2,0),"-")</f>
        <v>Pakaian Wanita</v>
      </c>
      <c r="O914" t="str">
        <f t="shared" si="511"/>
        <v>2</v>
      </c>
      <c r="P914" t="str">
        <f t="shared" si="512"/>
        <v>2</v>
      </c>
      <c r="Q914" s="18">
        <f>IFERROR(VLOOKUP(L914,Katalog!$C$3:$F$13,2,0),0)</f>
        <v>125000</v>
      </c>
      <c r="R914" s="18">
        <f>IFERROR(VLOOKUP(L914,Katalog!$C$3:$F$13,3,0),0)</f>
        <v>50000</v>
      </c>
      <c r="S914" t="str">
        <f t="shared" si="513"/>
        <v>-</v>
      </c>
      <c r="T914" t="str">
        <f>IFERROR(INDEX(Katalog!$B$4:$B$13,MATCH('Main Data'!S914,Katalog!$C$4:$C$13,0)),"-")</f>
        <v>-</v>
      </c>
      <c r="U914" t="str">
        <f>IFERROR(VLOOKUP(S914,Katalog!$A$15:$B$25,2,0),"-")</f>
        <v>-</v>
      </c>
      <c r="V914">
        <f t="shared" si="514"/>
        <v>0</v>
      </c>
      <c r="W914" s="28" t="str">
        <f t="shared" si="515"/>
        <v>-</v>
      </c>
      <c r="X914" s="18">
        <f>IFERROR(VLOOKUP(S914,Katalog!$C$3:$F$13,2,0),0)</f>
        <v>0</v>
      </c>
      <c r="Y914" s="30">
        <f>IFERROR(VLOOKUP(S914,Katalog!$C$3:$F$13,3,0),0)</f>
        <v>0</v>
      </c>
      <c r="Z914" s="2">
        <f t="shared" si="516"/>
        <v>3</v>
      </c>
      <c r="AA914" s="4">
        <f t="shared" si="517"/>
        <v>370000</v>
      </c>
      <c r="AB914" s="4">
        <f t="shared" si="518"/>
        <v>160000</v>
      </c>
      <c r="AC914" s="4" t="s">
        <v>31</v>
      </c>
      <c r="AD914" s="16">
        <f>IFERROR(VLOOKUP(AC914,'Kode Diskon'!$C$2:$D$9,2,0),0)</f>
        <v>0.15</v>
      </c>
      <c r="AE914" s="31">
        <f t="shared" si="519"/>
        <v>55500</v>
      </c>
      <c r="AF914" s="31">
        <f t="shared" si="520"/>
        <v>314500</v>
      </c>
      <c r="AG914" s="31">
        <f t="shared" si="521"/>
        <v>210000</v>
      </c>
      <c r="AH914" s="31">
        <f t="shared" si="522"/>
        <v>154500</v>
      </c>
      <c r="AI914" s="4" t="s">
        <v>8</v>
      </c>
      <c r="AJ914" s="4" t="s">
        <v>11</v>
      </c>
      <c r="AK914" s="4" t="str">
        <f>IFERROR(VLOOKUP(AJ914,'Guide '!$A$13:$B$16,2,0),"-")</f>
        <v>BL</v>
      </c>
      <c r="AL914" s="4" t="s">
        <v>921</v>
      </c>
      <c r="AM914" s="40">
        <v>45627</v>
      </c>
      <c r="AN914">
        <f t="shared" si="523"/>
        <v>29</v>
      </c>
      <c r="AO914">
        <f t="shared" si="524"/>
        <v>32</v>
      </c>
      <c r="AP914">
        <f t="shared" si="525"/>
        <v>40</v>
      </c>
      <c r="AQ914">
        <f t="shared" si="526"/>
        <v>43</v>
      </c>
      <c r="AR914" s="26">
        <f t="shared" si="527"/>
        <v>56</v>
      </c>
      <c r="AS914" s="26">
        <f t="shared" si="528"/>
        <v>63</v>
      </c>
      <c r="AT914" s="21">
        <f t="shared" si="529"/>
        <v>12</v>
      </c>
      <c r="AU914" s="21">
        <f t="shared" si="530"/>
        <v>19</v>
      </c>
      <c r="AV914">
        <f t="shared" si="531"/>
        <v>73</v>
      </c>
      <c r="AW914">
        <f t="shared" si="532"/>
        <v>76</v>
      </c>
      <c r="AX914">
        <f t="shared" si="533"/>
        <v>84</v>
      </c>
      <c r="AY914">
        <f t="shared" si="534"/>
        <v>87</v>
      </c>
      <c r="AZ914" t="str">
        <f t="shared" si="535"/>
        <v>-</v>
      </c>
      <c r="BA914" t="str">
        <f t="shared" si="536"/>
        <v>-</v>
      </c>
      <c r="BB914" t="str">
        <f t="shared" si="537"/>
        <v>-</v>
      </c>
      <c r="BC914" t="str">
        <f t="shared" si="538"/>
        <v>-</v>
      </c>
      <c r="BD914" s="29" t="str">
        <f t="shared" si="539"/>
        <v>-</v>
      </c>
      <c r="BE914" s="29" t="str">
        <f t="shared" si="540"/>
        <v>-</v>
      </c>
    </row>
    <row r="915" spans="1:57" ht="15" x14ac:dyDescent="0.2">
      <c r="A915" s="2">
        <v>294</v>
      </c>
      <c r="B915" s="2" t="str">
        <f t="shared" si="505"/>
        <v>0294</v>
      </c>
      <c r="C915" t="str">
        <f t="shared" si="506"/>
        <v>ORD-SP-0294-02/12/24</v>
      </c>
      <c r="D915" s="3" t="s">
        <v>350</v>
      </c>
      <c r="E915" t="str">
        <f t="shared" si="507"/>
        <v>PW002</v>
      </c>
      <c r="F915" t="str">
        <f>INDEX(Katalog!$B$4:$B$13,MATCH('Main Data'!E915,Katalog!$C$4:$C$13,0))</f>
        <v>Blouse</v>
      </c>
      <c r="G915" t="str">
        <f>VLOOKUP(E915,Katalog!$A$15:$B$25,2,0)</f>
        <v>Pakaian Wanita</v>
      </c>
      <c r="H915" t="str">
        <f t="shared" si="508"/>
        <v>1</v>
      </c>
      <c r="I915" t="str">
        <f t="shared" si="509"/>
        <v>2</v>
      </c>
      <c r="J915" s="18">
        <f>VLOOKUP(E915,Katalog!$C$3:$F$13,2,0)</f>
        <v>125000</v>
      </c>
      <c r="K915" s="18">
        <f>VLOOKUP(E915,Katalog!$C$3:$F$13,3,0)</f>
        <v>50000</v>
      </c>
      <c r="L915" t="str">
        <f t="shared" si="510"/>
        <v>PW003</v>
      </c>
      <c r="M915" t="str">
        <f>IFERROR(INDEX(Katalog!$B$4:$B$13,MATCH('Main Data'!L915,Katalog!$C$4:$C$13,0)), "-")</f>
        <v>Kaftan</v>
      </c>
      <c r="N915" t="str">
        <f>IFERROR(VLOOKUP(L915,Katalog!$A$15:$B$25,2,0),"-")</f>
        <v>Pakaian Wanita</v>
      </c>
      <c r="O915" t="str">
        <f t="shared" si="511"/>
        <v>1</v>
      </c>
      <c r="P915" t="str">
        <f t="shared" si="512"/>
        <v>3</v>
      </c>
      <c r="Q915" s="18">
        <f>IFERROR(VLOOKUP(L915,Katalog!$C$3:$F$13,2,0),0)</f>
        <v>200000</v>
      </c>
      <c r="R915" s="18">
        <f>IFERROR(VLOOKUP(L915,Katalog!$C$3:$F$13,3,0),0)</f>
        <v>100000</v>
      </c>
      <c r="S915" t="str">
        <f t="shared" si="513"/>
        <v>-</v>
      </c>
      <c r="T915" t="str">
        <f>IFERROR(INDEX(Katalog!$B$4:$B$13,MATCH('Main Data'!S915,Katalog!$C$4:$C$13,0)),"-")</f>
        <v>-</v>
      </c>
      <c r="U915" t="str">
        <f>IFERROR(VLOOKUP(S915,Katalog!$A$15:$B$25,2,0),"-")</f>
        <v>-</v>
      </c>
      <c r="V915">
        <f t="shared" si="514"/>
        <v>0</v>
      </c>
      <c r="W915" s="28" t="str">
        <f t="shared" si="515"/>
        <v>-</v>
      </c>
      <c r="X915" s="18">
        <f>IFERROR(VLOOKUP(S915,Katalog!$C$3:$F$13,2,0),0)</f>
        <v>0</v>
      </c>
      <c r="Y915" s="30">
        <f>IFERROR(VLOOKUP(S915,Katalog!$C$3:$F$13,3,0),0)</f>
        <v>0</v>
      </c>
      <c r="Z915" s="2">
        <f t="shared" si="516"/>
        <v>2</v>
      </c>
      <c r="AA915" s="4">
        <f t="shared" si="517"/>
        <v>325000</v>
      </c>
      <c r="AB915" s="4">
        <f t="shared" si="518"/>
        <v>150000</v>
      </c>
      <c r="AC915" s="4" t="s">
        <v>7</v>
      </c>
      <c r="AD915" s="16">
        <f>IFERROR(VLOOKUP(AC915,'Kode Diskon'!$C$2:$D$9,2,0),0)</f>
        <v>0.2</v>
      </c>
      <c r="AE915" s="31">
        <f t="shared" si="519"/>
        <v>65000</v>
      </c>
      <c r="AF915" s="31">
        <f t="shared" si="520"/>
        <v>260000</v>
      </c>
      <c r="AG915" s="31">
        <f t="shared" si="521"/>
        <v>175000</v>
      </c>
      <c r="AH915" s="31">
        <f t="shared" si="522"/>
        <v>110000</v>
      </c>
      <c r="AI915" s="4" t="s">
        <v>8</v>
      </c>
      <c r="AJ915" s="4" t="s">
        <v>6</v>
      </c>
      <c r="AK915" s="4" t="str">
        <f>IFERROR(VLOOKUP(AJ915,'Guide '!$A$13:$B$16,2,0),"-")</f>
        <v>SP</v>
      </c>
      <c r="AL915" s="4" t="s">
        <v>922</v>
      </c>
      <c r="AM915" s="40">
        <v>45628</v>
      </c>
      <c r="AN915">
        <f t="shared" si="523"/>
        <v>29</v>
      </c>
      <c r="AO915">
        <f t="shared" si="524"/>
        <v>32</v>
      </c>
      <c r="AP915">
        <f t="shared" si="525"/>
        <v>40</v>
      </c>
      <c r="AQ915">
        <f t="shared" si="526"/>
        <v>43</v>
      </c>
      <c r="AR915" s="26">
        <f t="shared" si="527"/>
        <v>56</v>
      </c>
      <c r="AS915" s="26">
        <f t="shared" si="528"/>
        <v>63</v>
      </c>
      <c r="AT915" s="21">
        <f t="shared" si="529"/>
        <v>12</v>
      </c>
      <c r="AU915" s="21">
        <f t="shared" si="530"/>
        <v>19</v>
      </c>
      <c r="AV915">
        <f t="shared" si="531"/>
        <v>73</v>
      </c>
      <c r="AW915">
        <f t="shared" si="532"/>
        <v>76</v>
      </c>
      <c r="AX915">
        <f t="shared" si="533"/>
        <v>84</v>
      </c>
      <c r="AY915">
        <f t="shared" si="534"/>
        <v>87</v>
      </c>
      <c r="AZ915" t="str">
        <f t="shared" si="535"/>
        <v>-</v>
      </c>
      <c r="BA915" t="str">
        <f t="shared" si="536"/>
        <v>-</v>
      </c>
      <c r="BB915" t="str">
        <f t="shared" si="537"/>
        <v>-</v>
      </c>
      <c r="BC915" t="str">
        <f t="shared" si="538"/>
        <v>-</v>
      </c>
      <c r="BD915" s="29" t="str">
        <f t="shared" si="539"/>
        <v>-</v>
      </c>
      <c r="BE915" s="29" t="str">
        <f t="shared" si="540"/>
        <v>-</v>
      </c>
    </row>
    <row r="916" spans="1:57" ht="15" x14ac:dyDescent="0.2">
      <c r="A916" s="2">
        <v>575</v>
      </c>
      <c r="B916" s="2" t="str">
        <f t="shared" si="505"/>
        <v>0575</v>
      </c>
      <c r="C916" t="str">
        <f t="shared" si="506"/>
        <v>ORD-BB-0575-02/12/24</v>
      </c>
      <c r="D916" s="3" t="s">
        <v>593</v>
      </c>
      <c r="E916" t="str">
        <f t="shared" si="507"/>
        <v>PW001</v>
      </c>
      <c r="F916" t="str">
        <f>INDEX(Katalog!$B$4:$B$13,MATCH('Main Data'!E916,Katalog!$C$4:$C$13,0))</f>
        <v>Dress</v>
      </c>
      <c r="G916" t="str">
        <f>VLOOKUP(E916,Katalog!$A$15:$B$25,2,0)</f>
        <v>Pakaian Wanita</v>
      </c>
      <c r="H916" t="str">
        <f t="shared" si="508"/>
        <v>1</v>
      </c>
      <c r="I916" t="str">
        <f t="shared" si="509"/>
        <v>2</v>
      </c>
      <c r="J916" s="18">
        <f>VLOOKUP(E916,Katalog!$C$3:$F$13,2,0)</f>
        <v>150000</v>
      </c>
      <c r="K916" s="18">
        <f>VLOOKUP(E916,Katalog!$C$3:$F$13,3,0)</f>
        <v>55000</v>
      </c>
      <c r="L916" t="str">
        <f t="shared" si="510"/>
        <v>-</v>
      </c>
      <c r="M916" t="str">
        <f>IFERROR(INDEX(Katalog!$B$4:$B$13,MATCH('Main Data'!L916,Katalog!$C$4:$C$13,0)), "-")</f>
        <v>-</v>
      </c>
      <c r="N916" t="str">
        <f>IFERROR(VLOOKUP(L916,Katalog!$A$15:$B$25,2,0),"-")</f>
        <v>-</v>
      </c>
      <c r="O916">
        <f t="shared" si="511"/>
        <v>0</v>
      </c>
      <c r="P916" t="str">
        <f t="shared" si="512"/>
        <v>-</v>
      </c>
      <c r="Q916" s="18">
        <f>IFERROR(VLOOKUP(L916,Katalog!$C$3:$F$13,2,0),0)</f>
        <v>0</v>
      </c>
      <c r="R916" s="18">
        <f>IFERROR(VLOOKUP(L916,Katalog!$C$3:$F$13,3,0),0)</f>
        <v>0</v>
      </c>
      <c r="S916" t="str">
        <f t="shared" si="513"/>
        <v>-</v>
      </c>
      <c r="T916" t="str">
        <f>IFERROR(INDEX(Katalog!$B$4:$B$13,MATCH('Main Data'!S916,Katalog!$C$4:$C$13,0)),"-")</f>
        <v>-</v>
      </c>
      <c r="U916" t="str">
        <f>IFERROR(VLOOKUP(S916,Katalog!$A$15:$B$25,2,0),"-")</f>
        <v>-</v>
      </c>
      <c r="V916">
        <f t="shared" si="514"/>
        <v>0</v>
      </c>
      <c r="W916" s="28" t="str">
        <f t="shared" si="515"/>
        <v>-</v>
      </c>
      <c r="X916" s="18">
        <f>IFERROR(VLOOKUP(S916,Katalog!$C$3:$F$13,2,0),0)</f>
        <v>0</v>
      </c>
      <c r="Y916" s="30">
        <f>IFERROR(VLOOKUP(S916,Katalog!$C$3:$F$13,3,0),0)</f>
        <v>0</v>
      </c>
      <c r="Z916" s="2">
        <f t="shared" si="516"/>
        <v>1</v>
      </c>
      <c r="AA916" s="4">
        <f t="shared" si="517"/>
        <v>150000</v>
      </c>
      <c r="AB916" s="4">
        <f t="shared" si="518"/>
        <v>55000</v>
      </c>
      <c r="AC916" s="4" t="s">
        <v>27</v>
      </c>
      <c r="AD916" s="16">
        <f>IFERROR(VLOOKUP(AC916,'Kode Diskon'!$C$2:$D$9,2,0),0)</f>
        <v>0.15</v>
      </c>
      <c r="AE916" s="31">
        <f t="shared" si="519"/>
        <v>22500</v>
      </c>
      <c r="AF916" s="31">
        <f t="shared" si="520"/>
        <v>127500</v>
      </c>
      <c r="AG916" s="31">
        <f t="shared" si="521"/>
        <v>95000</v>
      </c>
      <c r="AH916" s="31">
        <f t="shared" si="522"/>
        <v>72500</v>
      </c>
      <c r="AI916" s="4" t="s">
        <v>28</v>
      </c>
      <c r="AJ916" s="4" t="s">
        <v>13</v>
      </c>
      <c r="AK916" s="4" t="str">
        <f>IFERROR(VLOOKUP(AJ916,'Guide '!$A$13:$B$16,2,0),"-")</f>
        <v>BB</v>
      </c>
      <c r="AL916" s="4" t="s">
        <v>925</v>
      </c>
      <c r="AM916" s="40">
        <v>45628</v>
      </c>
      <c r="AN916">
        <f t="shared" si="523"/>
        <v>29</v>
      </c>
      <c r="AO916">
        <f t="shared" si="524"/>
        <v>32</v>
      </c>
      <c r="AP916">
        <f t="shared" si="525"/>
        <v>40</v>
      </c>
      <c r="AQ916">
        <f t="shared" si="526"/>
        <v>43</v>
      </c>
      <c r="AR916" s="26" t="str">
        <f t="shared" si="527"/>
        <v>-</v>
      </c>
      <c r="AS916" s="26" t="str">
        <f t="shared" si="528"/>
        <v>-</v>
      </c>
      <c r="AT916" s="21">
        <f t="shared" si="529"/>
        <v>12</v>
      </c>
      <c r="AU916" s="21">
        <f t="shared" si="530"/>
        <v>19</v>
      </c>
      <c r="AV916" t="str">
        <f t="shared" si="531"/>
        <v>-</v>
      </c>
      <c r="AW916" t="str">
        <f t="shared" si="532"/>
        <v>-</v>
      </c>
      <c r="AX916" t="str">
        <f t="shared" si="533"/>
        <v>-</v>
      </c>
      <c r="AY916" t="str">
        <f t="shared" si="534"/>
        <v>-</v>
      </c>
      <c r="AZ916" t="str">
        <f t="shared" si="535"/>
        <v>-</v>
      </c>
      <c r="BA916" t="str">
        <f t="shared" si="536"/>
        <v>-</v>
      </c>
      <c r="BB916" t="str">
        <f t="shared" si="537"/>
        <v>-</v>
      </c>
      <c r="BC916" t="str">
        <f t="shared" si="538"/>
        <v>-</v>
      </c>
      <c r="BD916" s="29" t="str">
        <f t="shared" si="539"/>
        <v>-</v>
      </c>
      <c r="BE916" s="29" t="str">
        <f t="shared" si="540"/>
        <v>-</v>
      </c>
    </row>
    <row r="917" spans="1:57" ht="15" x14ac:dyDescent="0.2">
      <c r="A917" s="2">
        <v>783</v>
      </c>
      <c r="B917" s="2" t="str">
        <f t="shared" si="505"/>
        <v>0783</v>
      </c>
      <c r="C917" t="str">
        <f t="shared" si="506"/>
        <v>ORD-SP-0783-02/12/24</v>
      </c>
      <c r="D917" s="3" t="s">
        <v>755</v>
      </c>
      <c r="E917" t="str">
        <f t="shared" si="507"/>
        <v>PW001</v>
      </c>
      <c r="F917" t="str">
        <f>INDEX(Katalog!$B$4:$B$13,MATCH('Main Data'!E917,Katalog!$C$4:$C$13,0))</f>
        <v>Dress</v>
      </c>
      <c r="G917" t="str">
        <f>VLOOKUP(E917,Katalog!$A$15:$B$25,2,0)</f>
        <v>Pakaian Wanita</v>
      </c>
      <c r="H917" t="str">
        <f t="shared" si="508"/>
        <v>2</v>
      </c>
      <c r="I917" t="str">
        <f t="shared" si="509"/>
        <v>2</v>
      </c>
      <c r="J917" s="18">
        <f>VLOOKUP(E917,Katalog!$C$3:$F$13,2,0)</f>
        <v>150000</v>
      </c>
      <c r="K917" s="18">
        <f>VLOOKUP(E917,Katalog!$C$3:$F$13,3,0)</f>
        <v>55000</v>
      </c>
      <c r="L917" t="str">
        <f t="shared" si="510"/>
        <v>PW003</v>
      </c>
      <c r="M917" t="str">
        <f>IFERROR(INDEX(Katalog!$B$4:$B$13,MATCH('Main Data'!L917,Katalog!$C$4:$C$13,0)), "-")</f>
        <v>Kaftan</v>
      </c>
      <c r="N917" t="str">
        <f>IFERROR(VLOOKUP(L917,Katalog!$A$15:$B$25,2,0),"-")</f>
        <v>Pakaian Wanita</v>
      </c>
      <c r="O917" t="str">
        <f t="shared" si="511"/>
        <v>1</v>
      </c>
      <c r="P917" t="str">
        <f t="shared" si="512"/>
        <v>5</v>
      </c>
      <c r="Q917" s="18">
        <f>IFERROR(VLOOKUP(L917,Katalog!$C$3:$F$13,2,0),0)</f>
        <v>200000</v>
      </c>
      <c r="R917" s="18">
        <f>IFERROR(VLOOKUP(L917,Katalog!$C$3:$F$13,3,0),0)</f>
        <v>100000</v>
      </c>
      <c r="S917" t="str">
        <f t="shared" si="513"/>
        <v>SW001</v>
      </c>
      <c r="T917" t="str">
        <f>IFERROR(INDEX(Katalog!$B$4:$B$13,MATCH('Main Data'!S917,Katalog!$C$4:$C$13,0)),"-")</f>
        <v>Flat Shoes</v>
      </c>
      <c r="U917" t="str">
        <f>IFERROR(VLOOKUP(S917,Katalog!$A$15:$B$25,2,0),"-")</f>
        <v>Sepatu Wanita</v>
      </c>
      <c r="V917" t="str">
        <f t="shared" si="514"/>
        <v>1</v>
      </c>
      <c r="W917" s="28" t="str">
        <f t="shared" si="515"/>
        <v>4</v>
      </c>
      <c r="X917" s="18">
        <f>IFERROR(VLOOKUP(S917,Katalog!$C$3:$F$13,2,0),0)</f>
        <v>150000</v>
      </c>
      <c r="Y917" s="30">
        <f>IFERROR(VLOOKUP(S917,Katalog!$C$3:$F$13,3,0),0)</f>
        <v>70000</v>
      </c>
      <c r="Z917" s="2">
        <f t="shared" si="516"/>
        <v>4</v>
      </c>
      <c r="AA917" s="4">
        <f t="shared" si="517"/>
        <v>650000</v>
      </c>
      <c r="AB917" s="4">
        <f t="shared" si="518"/>
        <v>280000</v>
      </c>
      <c r="AC917" s="4" t="s">
        <v>12</v>
      </c>
      <c r="AD917" s="16">
        <f>IFERROR(VLOOKUP(AC917,'Kode Diskon'!$C$2:$D$9,2,0),0)</f>
        <v>0.15</v>
      </c>
      <c r="AE917" s="31">
        <f t="shared" si="519"/>
        <v>97500</v>
      </c>
      <c r="AF917" s="31">
        <f t="shared" si="520"/>
        <v>552500</v>
      </c>
      <c r="AG917" s="31">
        <f t="shared" si="521"/>
        <v>370000</v>
      </c>
      <c r="AH917" s="31">
        <f t="shared" si="522"/>
        <v>272500</v>
      </c>
      <c r="AI917" s="4" t="s">
        <v>28</v>
      </c>
      <c r="AJ917" s="4" t="s">
        <v>6</v>
      </c>
      <c r="AK917" s="4" t="str">
        <f>IFERROR(VLOOKUP(AJ917,'Guide '!$A$13:$B$16,2,0),"-")</f>
        <v>SP</v>
      </c>
      <c r="AL917" s="4" t="s">
        <v>924</v>
      </c>
      <c r="AM917" s="40">
        <v>45628</v>
      </c>
      <c r="AN917">
        <f t="shared" si="523"/>
        <v>29</v>
      </c>
      <c r="AO917">
        <f t="shared" si="524"/>
        <v>32</v>
      </c>
      <c r="AP917">
        <f t="shared" si="525"/>
        <v>40</v>
      </c>
      <c r="AQ917">
        <f t="shared" si="526"/>
        <v>43</v>
      </c>
      <c r="AR917" s="26">
        <f t="shared" si="527"/>
        <v>56</v>
      </c>
      <c r="AS917" s="26">
        <f t="shared" si="528"/>
        <v>63</v>
      </c>
      <c r="AT917" s="21">
        <f t="shared" si="529"/>
        <v>12</v>
      </c>
      <c r="AU917" s="21">
        <f t="shared" si="530"/>
        <v>19</v>
      </c>
      <c r="AV917">
        <f t="shared" si="531"/>
        <v>73</v>
      </c>
      <c r="AW917">
        <f t="shared" si="532"/>
        <v>76</v>
      </c>
      <c r="AX917">
        <f t="shared" si="533"/>
        <v>84</v>
      </c>
      <c r="AY917">
        <f t="shared" si="534"/>
        <v>87</v>
      </c>
      <c r="AZ917">
        <f t="shared" si="535"/>
        <v>100</v>
      </c>
      <c r="BA917">
        <f t="shared" si="536"/>
        <v>107</v>
      </c>
      <c r="BB917">
        <f t="shared" si="537"/>
        <v>117</v>
      </c>
      <c r="BC917">
        <f t="shared" si="538"/>
        <v>120</v>
      </c>
      <c r="BD917" s="29">
        <f t="shared" si="539"/>
        <v>128</v>
      </c>
      <c r="BE917" s="29">
        <f t="shared" si="540"/>
        <v>131</v>
      </c>
    </row>
    <row r="918" spans="1:57" ht="15" x14ac:dyDescent="0.2">
      <c r="A918" s="2">
        <v>443</v>
      </c>
      <c r="B918" s="2" t="str">
        <f t="shared" si="505"/>
        <v>0443</v>
      </c>
      <c r="C918" t="str">
        <f t="shared" si="506"/>
        <v>ORD-BB-0443-03/12/24</v>
      </c>
      <c r="D918" s="3" t="s">
        <v>483</v>
      </c>
      <c r="E918" t="str">
        <f t="shared" si="507"/>
        <v>SP002</v>
      </c>
      <c r="F918" t="str">
        <f>INDEX(Katalog!$B$4:$B$13,MATCH('Main Data'!E918,Katalog!$C$4:$C$13,0))</f>
        <v>Sandal Slip On</v>
      </c>
      <c r="G918" t="str">
        <f>VLOOKUP(E918,Katalog!$A$15:$B$25,2,0)</f>
        <v>Sepatu Pria</v>
      </c>
      <c r="H918" t="str">
        <f t="shared" si="508"/>
        <v>5</v>
      </c>
      <c r="I918" t="str">
        <f t="shared" si="509"/>
        <v>5</v>
      </c>
      <c r="J918" s="18">
        <f>VLOOKUP(E918,Katalog!$C$3:$F$13,2,0)</f>
        <v>120000</v>
      </c>
      <c r="K918" s="18">
        <f>VLOOKUP(E918,Katalog!$C$3:$F$13,3,0)</f>
        <v>60000</v>
      </c>
      <c r="L918" t="str">
        <f t="shared" si="510"/>
        <v>-</v>
      </c>
      <c r="M918" t="str">
        <f>IFERROR(INDEX(Katalog!$B$4:$B$13,MATCH('Main Data'!L918,Katalog!$C$4:$C$13,0)), "-")</f>
        <v>-</v>
      </c>
      <c r="N918" t="str">
        <f>IFERROR(VLOOKUP(L918,Katalog!$A$15:$B$25,2,0),"-")</f>
        <v>-</v>
      </c>
      <c r="O918">
        <f t="shared" si="511"/>
        <v>0</v>
      </c>
      <c r="P918" t="str">
        <f t="shared" si="512"/>
        <v>-</v>
      </c>
      <c r="Q918" s="18">
        <f>IFERROR(VLOOKUP(L918,Katalog!$C$3:$F$13,2,0),0)</f>
        <v>0</v>
      </c>
      <c r="R918" s="18">
        <f>IFERROR(VLOOKUP(L918,Katalog!$C$3:$F$13,3,0),0)</f>
        <v>0</v>
      </c>
      <c r="S918" t="str">
        <f t="shared" si="513"/>
        <v>-</v>
      </c>
      <c r="T918" t="str">
        <f>IFERROR(INDEX(Katalog!$B$4:$B$13,MATCH('Main Data'!S918,Katalog!$C$4:$C$13,0)),"-")</f>
        <v>-</v>
      </c>
      <c r="U918" t="str">
        <f>IFERROR(VLOOKUP(S918,Katalog!$A$15:$B$25,2,0),"-")</f>
        <v>-</v>
      </c>
      <c r="V918">
        <f t="shared" si="514"/>
        <v>0</v>
      </c>
      <c r="W918" s="28" t="str">
        <f t="shared" si="515"/>
        <v>-</v>
      </c>
      <c r="X918" s="18">
        <f>IFERROR(VLOOKUP(S918,Katalog!$C$3:$F$13,2,0),0)</f>
        <v>0</v>
      </c>
      <c r="Y918" s="30">
        <f>IFERROR(VLOOKUP(S918,Katalog!$C$3:$F$13,3,0),0)</f>
        <v>0</v>
      </c>
      <c r="Z918" s="2">
        <f t="shared" si="516"/>
        <v>5</v>
      </c>
      <c r="AA918" s="4">
        <f t="shared" si="517"/>
        <v>600000</v>
      </c>
      <c r="AB918" s="4">
        <f t="shared" si="518"/>
        <v>300000</v>
      </c>
      <c r="AC918" s="4" t="s">
        <v>27</v>
      </c>
      <c r="AD918" s="16">
        <f>IFERROR(VLOOKUP(AC918,'Kode Diskon'!$C$2:$D$9,2,0),0)</f>
        <v>0.15</v>
      </c>
      <c r="AE918" s="31">
        <f t="shared" si="519"/>
        <v>90000</v>
      </c>
      <c r="AF918" s="31">
        <f t="shared" si="520"/>
        <v>510000</v>
      </c>
      <c r="AG918" s="31">
        <f t="shared" si="521"/>
        <v>300000</v>
      </c>
      <c r="AH918" s="31">
        <f t="shared" si="522"/>
        <v>210000</v>
      </c>
      <c r="AI918" s="4" t="s">
        <v>28</v>
      </c>
      <c r="AJ918" s="4" t="s">
        <v>13</v>
      </c>
      <c r="AK918" s="4" t="str">
        <f>IFERROR(VLOOKUP(AJ918,'Guide '!$A$13:$B$16,2,0),"-")</f>
        <v>BB</v>
      </c>
      <c r="AL918" s="4" t="s">
        <v>925</v>
      </c>
      <c r="AM918" s="40">
        <v>45629</v>
      </c>
      <c r="AN918">
        <f t="shared" si="523"/>
        <v>29</v>
      </c>
      <c r="AO918">
        <f t="shared" si="524"/>
        <v>32</v>
      </c>
      <c r="AP918">
        <f t="shared" si="525"/>
        <v>40</v>
      </c>
      <c r="AQ918">
        <f t="shared" si="526"/>
        <v>43</v>
      </c>
      <c r="AR918" s="26" t="str">
        <f t="shared" si="527"/>
        <v>-</v>
      </c>
      <c r="AS918" s="26" t="str">
        <f t="shared" si="528"/>
        <v>-</v>
      </c>
      <c r="AT918" s="21">
        <f t="shared" si="529"/>
        <v>12</v>
      </c>
      <c r="AU918" s="21">
        <f t="shared" si="530"/>
        <v>19</v>
      </c>
      <c r="AV918" t="str">
        <f t="shared" si="531"/>
        <v>-</v>
      </c>
      <c r="AW918" t="str">
        <f t="shared" si="532"/>
        <v>-</v>
      </c>
      <c r="AX918" t="str">
        <f t="shared" si="533"/>
        <v>-</v>
      </c>
      <c r="AY918" t="str">
        <f t="shared" si="534"/>
        <v>-</v>
      </c>
      <c r="AZ918" t="str">
        <f t="shared" si="535"/>
        <v>-</v>
      </c>
      <c r="BA918" t="str">
        <f t="shared" si="536"/>
        <v>-</v>
      </c>
      <c r="BB918" t="str">
        <f t="shared" si="537"/>
        <v>-</v>
      </c>
      <c r="BC918" t="str">
        <f t="shared" si="538"/>
        <v>-</v>
      </c>
      <c r="BD918" s="29" t="str">
        <f t="shared" si="539"/>
        <v>-</v>
      </c>
      <c r="BE918" s="29" t="str">
        <f t="shared" si="540"/>
        <v>-</v>
      </c>
    </row>
    <row r="919" spans="1:57" ht="15" x14ac:dyDescent="0.2">
      <c r="A919" s="2">
        <v>873</v>
      </c>
      <c r="B919" s="2" t="str">
        <f t="shared" si="505"/>
        <v>0873</v>
      </c>
      <c r="C919" t="str">
        <f t="shared" si="506"/>
        <v>ORD-TK-0873-03/12/24</v>
      </c>
      <c r="D919" s="3" t="s">
        <v>817</v>
      </c>
      <c r="E919" t="str">
        <f t="shared" si="507"/>
        <v>PP001</v>
      </c>
      <c r="F919" t="str">
        <f>INDEX(Katalog!$B$4:$B$13,MATCH('Main Data'!E919,Katalog!$C$4:$C$13,0))</f>
        <v>Kaos Polo</v>
      </c>
      <c r="G919" t="str">
        <f>VLOOKUP(E919,Katalog!$A$15:$B$25,2,0)</f>
        <v>Pakaian Pria</v>
      </c>
      <c r="H919" t="str">
        <f t="shared" si="508"/>
        <v>1</v>
      </c>
      <c r="I919" t="str">
        <f t="shared" si="509"/>
        <v>3</v>
      </c>
      <c r="J919" s="18">
        <f>VLOOKUP(E919,Katalog!$C$3:$F$13,2,0)</f>
        <v>80000</v>
      </c>
      <c r="K919" s="18">
        <f>VLOOKUP(E919,Katalog!$C$3:$F$13,3,0)</f>
        <v>30000</v>
      </c>
      <c r="L919" t="str">
        <f t="shared" si="510"/>
        <v>PU001</v>
      </c>
      <c r="M919" t="str">
        <f>IFERROR(INDEX(Katalog!$B$4:$B$13,MATCH('Main Data'!L919,Katalog!$C$4:$C$13,0)), "-")</f>
        <v>Jaket Hoodie</v>
      </c>
      <c r="N919" t="str">
        <f>IFERROR(VLOOKUP(L919,Katalog!$A$15:$B$25,2,0),"-")</f>
        <v>Pakaian Unisex</v>
      </c>
      <c r="O919" t="str">
        <f t="shared" si="511"/>
        <v>2</v>
      </c>
      <c r="P919" t="str">
        <f t="shared" si="512"/>
        <v>5</v>
      </c>
      <c r="Q919" s="18">
        <f>IFERROR(VLOOKUP(L919,Katalog!$C$3:$F$13,2,0),0)</f>
        <v>160000</v>
      </c>
      <c r="R919" s="18">
        <f>IFERROR(VLOOKUP(L919,Katalog!$C$3:$F$13,3,0),0)</f>
        <v>60000</v>
      </c>
      <c r="S919" t="str">
        <f t="shared" si="513"/>
        <v>PP002</v>
      </c>
      <c r="T919" t="str">
        <f>IFERROR(INDEX(Katalog!$B$4:$B$13,MATCH('Main Data'!S919,Katalog!$C$4:$C$13,0)),"-")</f>
        <v>Celana Pendek</v>
      </c>
      <c r="U919" t="str">
        <f>IFERROR(VLOOKUP(S919,Katalog!$A$15:$B$25,2,0),"-")</f>
        <v>Pakaian Pria</v>
      </c>
      <c r="V919" t="str">
        <f t="shared" si="514"/>
        <v>1</v>
      </c>
      <c r="W919" s="28" t="str">
        <f t="shared" si="515"/>
        <v>4</v>
      </c>
      <c r="X919" s="18">
        <f>IFERROR(VLOOKUP(S919,Katalog!$C$3:$F$13,2,0),0)</f>
        <v>60000</v>
      </c>
      <c r="Y919" s="30">
        <f>IFERROR(VLOOKUP(S919,Katalog!$C$3:$F$13,3,0),0)</f>
        <v>25000</v>
      </c>
      <c r="Z919" s="2">
        <f t="shared" si="516"/>
        <v>4</v>
      </c>
      <c r="AA919" s="4">
        <f t="shared" si="517"/>
        <v>460000</v>
      </c>
      <c r="AB919" s="4">
        <f t="shared" si="518"/>
        <v>175000</v>
      </c>
      <c r="AC919" s="4" t="s">
        <v>29</v>
      </c>
      <c r="AD919" s="16">
        <f>IFERROR(VLOOKUP(AC919,'Kode Diskon'!$C$2:$D$9,2,0),0)</f>
        <v>0.1</v>
      </c>
      <c r="AE919" s="31">
        <f t="shared" si="519"/>
        <v>46000</v>
      </c>
      <c r="AF919" s="31">
        <f t="shared" si="520"/>
        <v>414000</v>
      </c>
      <c r="AG919" s="31">
        <f t="shared" si="521"/>
        <v>285000</v>
      </c>
      <c r="AH919" s="31">
        <f t="shared" si="522"/>
        <v>239000</v>
      </c>
      <c r="AI919" s="4" t="s">
        <v>28</v>
      </c>
      <c r="AJ919" s="4" t="s">
        <v>9</v>
      </c>
      <c r="AK919" s="4" t="str">
        <f>IFERROR(VLOOKUP(AJ919,'Guide '!$A$13:$B$16,2,0),"-")</f>
        <v>TK</v>
      </c>
      <c r="AL919" s="4" t="s">
        <v>924</v>
      </c>
      <c r="AM919" s="40">
        <v>45629</v>
      </c>
      <c r="AN919">
        <f t="shared" si="523"/>
        <v>29</v>
      </c>
      <c r="AO919">
        <f t="shared" si="524"/>
        <v>32</v>
      </c>
      <c r="AP919">
        <f t="shared" si="525"/>
        <v>40</v>
      </c>
      <c r="AQ919">
        <f t="shared" si="526"/>
        <v>43</v>
      </c>
      <c r="AR919" s="26">
        <f t="shared" si="527"/>
        <v>56</v>
      </c>
      <c r="AS919" s="26">
        <f t="shared" si="528"/>
        <v>63</v>
      </c>
      <c r="AT919" s="21">
        <f t="shared" si="529"/>
        <v>12</v>
      </c>
      <c r="AU919" s="21">
        <f t="shared" si="530"/>
        <v>19</v>
      </c>
      <c r="AV919">
        <f t="shared" si="531"/>
        <v>73</v>
      </c>
      <c r="AW919">
        <f t="shared" si="532"/>
        <v>76</v>
      </c>
      <c r="AX919">
        <f t="shared" si="533"/>
        <v>84</v>
      </c>
      <c r="AY919">
        <f t="shared" si="534"/>
        <v>87</v>
      </c>
      <c r="AZ919">
        <f t="shared" si="535"/>
        <v>100</v>
      </c>
      <c r="BA919">
        <f t="shared" si="536"/>
        <v>107</v>
      </c>
      <c r="BB919">
        <f t="shared" si="537"/>
        <v>117</v>
      </c>
      <c r="BC919">
        <f t="shared" si="538"/>
        <v>120</v>
      </c>
      <c r="BD919" s="29">
        <f t="shared" si="539"/>
        <v>128</v>
      </c>
      <c r="BE919" s="29">
        <f t="shared" si="540"/>
        <v>131</v>
      </c>
    </row>
    <row r="920" spans="1:57" ht="15" x14ac:dyDescent="0.2">
      <c r="A920" s="2">
        <v>911</v>
      </c>
      <c r="B920" s="2" t="str">
        <f t="shared" si="505"/>
        <v>0911</v>
      </c>
      <c r="C920" t="str">
        <f t="shared" si="506"/>
        <v>ORD-BB-0911-03/12/24</v>
      </c>
      <c r="D920" s="3" t="s">
        <v>847</v>
      </c>
      <c r="E920" t="str">
        <f t="shared" si="507"/>
        <v>PW001</v>
      </c>
      <c r="F920" t="str">
        <f>INDEX(Katalog!$B$4:$B$13,MATCH('Main Data'!E920,Katalog!$C$4:$C$13,0))</f>
        <v>Dress</v>
      </c>
      <c r="G920" t="str">
        <f>VLOOKUP(E920,Katalog!$A$15:$B$25,2,0)</f>
        <v>Pakaian Wanita</v>
      </c>
      <c r="H920" t="str">
        <f t="shared" si="508"/>
        <v>6</v>
      </c>
      <c r="I920" t="str">
        <f t="shared" si="509"/>
        <v>2</v>
      </c>
      <c r="J920" s="18">
        <f>VLOOKUP(E920,Katalog!$C$3:$F$13,2,0)</f>
        <v>150000</v>
      </c>
      <c r="K920" s="18">
        <f>VLOOKUP(E920,Katalog!$C$3:$F$13,3,0)</f>
        <v>55000</v>
      </c>
      <c r="L920" t="str">
        <f t="shared" si="510"/>
        <v>-</v>
      </c>
      <c r="M920" t="str">
        <f>IFERROR(INDEX(Katalog!$B$4:$B$13,MATCH('Main Data'!L920,Katalog!$C$4:$C$13,0)), "-")</f>
        <v>-</v>
      </c>
      <c r="N920" t="str">
        <f>IFERROR(VLOOKUP(L920,Katalog!$A$15:$B$25,2,0),"-")</f>
        <v>-</v>
      </c>
      <c r="O920">
        <f t="shared" si="511"/>
        <v>0</v>
      </c>
      <c r="P920" t="str">
        <f t="shared" si="512"/>
        <v>-</v>
      </c>
      <c r="Q920" s="18">
        <f>IFERROR(VLOOKUP(L920,Katalog!$C$3:$F$13,2,0),0)</f>
        <v>0</v>
      </c>
      <c r="R920" s="18">
        <f>IFERROR(VLOOKUP(L920,Katalog!$C$3:$F$13,3,0),0)</f>
        <v>0</v>
      </c>
      <c r="S920" t="str">
        <f t="shared" si="513"/>
        <v>-</v>
      </c>
      <c r="T920" t="str">
        <f>IFERROR(INDEX(Katalog!$B$4:$B$13,MATCH('Main Data'!S920,Katalog!$C$4:$C$13,0)),"-")</f>
        <v>-</v>
      </c>
      <c r="U920" t="str">
        <f>IFERROR(VLOOKUP(S920,Katalog!$A$15:$B$25,2,0),"-")</f>
        <v>-</v>
      </c>
      <c r="V920">
        <f t="shared" si="514"/>
        <v>0</v>
      </c>
      <c r="W920" s="28" t="str">
        <f t="shared" si="515"/>
        <v>-</v>
      </c>
      <c r="X920" s="18">
        <f>IFERROR(VLOOKUP(S920,Katalog!$C$3:$F$13,2,0),0)</f>
        <v>0</v>
      </c>
      <c r="Y920" s="30">
        <f>IFERROR(VLOOKUP(S920,Katalog!$C$3:$F$13,3,0),0)</f>
        <v>0</v>
      </c>
      <c r="Z920" s="2">
        <f t="shared" si="516"/>
        <v>6</v>
      </c>
      <c r="AA920" s="4">
        <f t="shared" si="517"/>
        <v>900000</v>
      </c>
      <c r="AB920" s="4">
        <f t="shared" si="518"/>
        <v>330000</v>
      </c>
      <c r="AC920" s="4" t="s">
        <v>27</v>
      </c>
      <c r="AD920" s="16">
        <f>IFERROR(VLOOKUP(AC920,'Kode Diskon'!$C$2:$D$9,2,0),0)</f>
        <v>0.15</v>
      </c>
      <c r="AE920" s="31">
        <f t="shared" si="519"/>
        <v>135000</v>
      </c>
      <c r="AF920" s="31">
        <f t="shared" si="520"/>
        <v>765000</v>
      </c>
      <c r="AG920" s="31">
        <f t="shared" si="521"/>
        <v>570000</v>
      </c>
      <c r="AH920" s="31">
        <f t="shared" si="522"/>
        <v>435000</v>
      </c>
      <c r="AI920" s="4" t="s">
        <v>28</v>
      </c>
      <c r="AJ920" s="4" t="s">
        <v>13</v>
      </c>
      <c r="AK920" s="4" t="str">
        <f>IFERROR(VLOOKUP(AJ920,'Guide '!$A$13:$B$16,2,0),"-")</f>
        <v>BB</v>
      </c>
      <c r="AL920" s="4" t="s">
        <v>924</v>
      </c>
      <c r="AM920" s="40">
        <v>45629</v>
      </c>
      <c r="AN920">
        <f t="shared" si="523"/>
        <v>29</v>
      </c>
      <c r="AO920">
        <f t="shared" si="524"/>
        <v>32</v>
      </c>
      <c r="AP920">
        <f t="shared" si="525"/>
        <v>40</v>
      </c>
      <c r="AQ920">
        <f t="shared" si="526"/>
        <v>43</v>
      </c>
      <c r="AR920" s="26" t="str">
        <f t="shared" si="527"/>
        <v>-</v>
      </c>
      <c r="AS920" s="26" t="str">
        <f t="shared" si="528"/>
        <v>-</v>
      </c>
      <c r="AT920" s="21">
        <f t="shared" si="529"/>
        <v>12</v>
      </c>
      <c r="AU920" s="21">
        <f t="shared" si="530"/>
        <v>19</v>
      </c>
      <c r="AV920" t="str">
        <f t="shared" si="531"/>
        <v>-</v>
      </c>
      <c r="AW920" t="str">
        <f t="shared" si="532"/>
        <v>-</v>
      </c>
      <c r="AX920" t="str">
        <f t="shared" si="533"/>
        <v>-</v>
      </c>
      <c r="AY920" t="str">
        <f t="shared" si="534"/>
        <v>-</v>
      </c>
      <c r="AZ920" t="str">
        <f t="shared" si="535"/>
        <v>-</v>
      </c>
      <c r="BA920" t="str">
        <f t="shared" si="536"/>
        <v>-</v>
      </c>
      <c r="BB920" t="str">
        <f t="shared" si="537"/>
        <v>-</v>
      </c>
      <c r="BC920" t="str">
        <f t="shared" si="538"/>
        <v>-</v>
      </c>
      <c r="BD920" s="29" t="str">
        <f t="shared" si="539"/>
        <v>-</v>
      </c>
      <c r="BE920" s="29" t="str">
        <f t="shared" si="540"/>
        <v>-</v>
      </c>
    </row>
    <row r="921" spans="1:57" ht="15" x14ac:dyDescent="0.2">
      <c r="A921" s="2">
        <v>435</v>
      </c>
      <c r="B921" s="2" t="str">
        <f t="shared" si="505"/>
        <v>0435</v>
      </c>
      <c r="C921" t="str">
        <f t="shared" si="506"/>
        <v>ORD-SP-0435-04/12/24</v>
      </c>
      <c r="D921" s="3" t="s">
        <v>476</v>
      </c>
      <c r="E921" t="str">
        <f t="shared" si="507"/>
        <v>PW003</v>
      </c>
      <c r="F921" t="str">
        <f>INDEX(Katalog!$B$4:$B$13,MATCH('Main Data'!E921,Katalog!$C$4:$C$13,0))</f>
        <v>Kaftan</v>
      </c>
      <c r="G921" t="str">
        <f>VLOOKUP(E921,Katalog!$A$15:$B$25,2,0)</f>
        <v>Pakaian Wanita</v>
      </c>
      <c r="H921" t="str">
        <f t="shared" si="508"/>
        <v>1</v>
      </c>
      <c r="I921" t="str">
        <f t="shared" si="509"/>
        <v>3</v>
      </c>
      <c r="J921" s="18">
        <f>VLOOKUP(E921,Katalog!$C$3:$F$13,2,0)</f>
        <v>200000</v>
      </c>
      <c r="K921" s="18">
        <f>VLOOKUP(E921,Katalog!$C$3:$F$13,3,0)</f>
        <v>100000</v>
      </c>
      <c r="L921" t="str">
        <f t="shared" si="510"/>
        <v>PU001</v>
      </c>
      <c r="M921" t="str">
        <f>IFERROR(INDEX(Katalog!$B$4:$B$13,MATCH('Main Data'!L921,Katalog!$C$4:$C$13,0)), "-")</f>
        <v>Jaket Hoodie</v>
      </c>
      <c r="N921" t="str">
        <f>IFERROR(VLOOKUP(L921,Katalog!$A$15:$B$25,2,0),"-")</f>
        <v>Pakaian Unisex</v>
      </c>
      <c r="O921" t="str">
        <f t="shared" si="511"/>
        <v>1</v>
      </c>
      <c r="P921" t="str">
        <f t="shared" si="512"/>
        <v>3</v>
      </c>
      <c r="Q921" s="18">
        <f>IFERROR(VLOOKUP(L921,Katalog!$C$3:$F$13,2,0),0)</f>
        <v>160000</v>
      </c>
      <c r="R921" s="18">
        <f>IFERROR(VLOOKUP(L921,Katalog!$C$3:$F$13,3,0),0)</f>
        <v>60000</v>
      </c>
      <c r="S921" t="str">
        <f t="shared" si="513"/>
        <v>SW001</v>
      </c>
      <c r="T921" t="str">
        <f>IFERROR(INDEX(Katalog!$B$4:$B$13,MATCH('Main Data'!S921,Katalog!$C$4:$C$13,0)),"-")</f>
        <v>Flat Shoes</v>
      </c>
      <c r="U921" t="str">
        <f>IFERROR(VLOOKUP(S921,Katalog!$A$15:$B$25,2,0),"-")</f>
        <v>Sepatu Wanita</v>
      </c>
      <c r="V921" t="str">
        <f t="shared" si="514"/>
        <v>4</v>
      </c>
      <c r="W921" s="28" t="str">
        <f t="shared" si="515"/>
        <v>2</v>
      </c>
      <c r="X921" s="18">
        <f>IFERROR(VLOOKUP(S921,Katalog!$C$3:$F$13,2,0),0)</f>
        <v>150000</v>
      </c>
      <c r="Y921" s="30">
        <f>IFERROR(VLOOKUP(S921,Katalog!$C$3:$F$13,3,0),0)</f>
        <v>70000</v>
      </c>
      <c r="Z921" s="2">
        <f t="shared" si="516"/>
        <v>6</v>
      </c>
      <c r="AA921" s="4">
        <f t="shared" si="517"/>
        <v>960000</v>
      </c>
      <c r="AB921" s="4">
        <f t="shared" si="518"/>
        <v>440000</v>
      </c>
      <c r="AC921" s="4" t="s">
        <v>12</v>
      </c>
      <c r="AD921" s="16">
        <f>IFERROR(VLOOKUP(AC921,'Kode Diskon'!$C$2:$D$9,2,0),0)</f>
        <v>0.15</v>
      </c>
      <c r="AE921" s="31">
        <f t="shared" si="519"/>
        <v>144000</v>
      </c>
      <c r="AF921" s="31">
        <f t="shared" si="520"/>
        <v>816000</v>
      </c>
      <c r="AG921" s="31">
        <f t="shared" si="521"/>
        <v>520000</v>
      </c>
      <c r="AH921" s="31">
        <f t="shared" si="522"/>
        <v>376000</v>
      </c>
      <c r="AI921" s="4" t="s">
        <v>28</v>
      </c>
      <c r="AJ921" s="4" t="s">
        <v>6</v>
      </c>
      <c r="AK921" s="4" t="str">
        <f>IFERROR(VLOOKUP(AJ921,'Guide '!$A$13:$B$16,2,0),"-")</f>
        <v>SP</v>
      </c>
      <c r="AL921" s="4" t="s">
        <v>924</v>
      </c>
      <c r="AM921" s="40">
        <v>45630</v>
      </c>
      <c r="AN921">
        <f t="shared" si="523"/>
        <v>29</v>
      </c>
      <c r="AO921">
        <f t="shared" si="524"/>
        <v>32</v>
      </c>
      <c r="AP921">
        <f t="shared" si="525"/>
        <v>40</v>
      </c>
      <c r="AQ921">
        <f t="shared" si="526"/>
        <v>43</v>
      </c>
      <c r="AR921" s="26">
        <f t="shared" si="527"/>
        <v>56</v>
      </c>
      <c r="AS921" s="26">
        <f t="shared" si="528"/>
        <v>63</v>
      </c>
      <c r="AT921" s="21">
        <f t="shared" si="529"/>
        <v>12</v>
      </c>
      <c r="AU921" s="21">
        <f t="shared" si="530"/>
        <v>19</v>
      </c>
      <c r="AV921">
        <f t="shared" si="531"/>
        <v>73</v>
      </c>
      <c r="AW921">
        <f t="shared" si="532"/>
        <v>76</v>
      </c>
      <c r="AX921">
        <f t="shared" si="533"/>
        <v>84</v>
      </c>
      <c r="AY921">
        <f t="shared" si="534"/>
        <v>87</v>
      </c>
      <c r="AZ921">
        <f t="shared" si="535"/>
        <v>100</v>
      </c>
      <c r="BA921">
        <f t="shared" si="536"/>
        <v>107</v>
      </c>
      <c r="BB921">
        <f t="shared" si="537"/>
        <v>117</v>
      </c>
      <c r="BC921">
        <f t="shared" si="538"/>
        <v>120</v>
      </c>
      <c r="BD921" s="29">
        <f t="shared" si="539"/>
        <v>128</v>
      </c>
      <c r="BE921" s="29">
        <f t="shared" si="540"/>
        <v>131</v>
      </c>
    </row>
    <row r="922" spans="1:57" ht="15" x14ac:dyDescent="0.2">
      <c r="A922" s="2">
        <v>964</v>
      </c>
      <c r="B922" s="2" t="str">
        <f t="shared" si="505"/>
        <v>0964</v>
      </c>
      <c r="C922" t="str">
        <f t="shared" si="506"/>
        <v>ORD-BB-0964-04/12/24</v>
      </c>
      <c r="D922" s="3" t="s">
        <v>892</v>
      </c>
      <c r="E922" t="str">
        <f t="shared" si="507"/>
        <v>PP003</v>
      </c>
      <c r="F922" t="str">
        <f>INDEX(Katalog!$B$4:$B$13,MATCH('Main Data'!E922,Katalog!$C$4:$C$13,0))</f>
        <v>Jaket Jeans</v>
      </c>
      <c r="G922" t="str">
        <f>VLOOKUP(E922,Katalog!$A$15:$B$25,2,0)</f>
        <v>Pakaian Pria</v>
      </c>
      <c r="H922" t="str">
        <f t="shared" si="508"/>
        <v>3</v>
      </c>
      <c r="I922" t="str">
        <f t="shared" si="509"/>
        <v>3</v>
      </c>
      <c r="J922" s="18">
        <f>VLOOKUP(E922,Katalog!$C$3:$F$13,2,0)</f>
        <v>150000</v>
      </c>
      <c r="K922" s="18">
        <f>VLOOKUP(E922,Katalog!$C$3:$F$13,3,0)</f>
        <v>70000</v>
      </c>
      <c r="L922" t="str">
        <f t="shared" si="510"/>
        <v>PW002</v>
      </c>
      <c r="M922" t="str">
        <f>IFERROR(INDEX(Katalog!$B$4:$B$13,MATCH('Main Data'!L922,Katalog!$C$4:$C$13,0)), "-")</f>
        <v>Blouse</v>
      </c>
      <c r="N922" t="str">
        <f>IFERROR(VLOOKUP(L922,Katalog!$A$15:$B$25,2,0),"-")</f>
        <v>Pakaian Wanita</v>
      </c>
      <c r="O922" t="str">
        <f t="shared" si="511"/>
        <v>3</v>
      </c>
      <c r="P922" t="str">
        <f t="shared" si="512"/>
        <v>2</v>
      </c>
      <c r="Q922" s="18">
        <f>IFERROR(VLOOKUP(L922,Katalog!$C$3:$F$13,2,0),0)</f>
        <v>125000</v>
      </c>
      <c r="R922" s="18">
        <f>IFERROR(VLOOKUP(L922,Katalog!$C$3:$F$13,3,0),0)</f>
        <v>50000</v>
      </c>
      <c r="S922" t="str">
        <f t="shared" si="513"/>
        <v>-</v>
      </c>
      <c r="T922" t="str">
        <f>IFERROR(INDEX(Katalog!$B$4:$B$13,MATCH('Main Data'!S922,Katalog!$C$4:$C$13,0)),"-")</f>
        <v>-</v>
      </c>
      <c r="U922" t="str">
        <f>IFERROR(VLOOKUP(S922,Katalog!$A$15:$B$25,2,0),"-")</f>
        <v>-</v>
      </c>
      <c r="V922">
        <f t="shared" si="514"/>
        <v>0</v>
      </c>
      <c r="W922" s="28" t="str">
        <f t="shared" si="515"/>
        <v>-</v>
      </c>
      <c r="X922" s="18">
        <f>IFERROR(VLOOKUP(S922,Katalog!$C$3:$F$13,2,0),0)</f>
        <v>0</v>
      </c>
      <c r="Y922" s="30">
        <f>IFERROR(VLOOKUP(S922,Katalog!$C$3:$F$13,3,0),0)</f>
        <v>0</v>
      </c>
      <c r="Z922" s="2">
        <f t="shared" si="516"/>
        <v>6</v>
      </c>
      <c r="AA922" s="4">
        <f t="shared" si="517"/>
        <v>825000</v>
      </c>
      <c r="AB922" s="4">
        <f t="shared" si="518"/>
        <v>360000</v>
      </c>
      <c r="AC922" s="4" t="s">
        <v>27</v>
      </c>
      <c r="AD922" s="16">
        <f>IFERROR(VLOOKUP(AC922,'Kode Diskon'!$C$2:$D$9,2,0),0)</f>
        <v>0.15</v>
      </c>
      <c r="AE922" s="31">
        <f t="shared" si="519"/>
        <v>123750</v>
      </c>
      <c r="AF922" s="31">
        <f t="shared" si="520"/>
        <v>701250</v>
      </c>
      <c r="AG922" s="31">
        <f t="shared" si="521"/>
        <v>465000</v>
      </c>
      <c r="AH922" s="31">
        <f t="shared" si="522"/>
        <v>341250</v>
      </c>
      <c r="AI922" s="4" t="s">
        <v>28</v>
      </c>
      <c r="AJ922" s="4" t="s">
        <v>13</v>
      </c>
      <c r="AK922" s="4" t="str">
        <f>IFERROR(VLOOKUP(AJ922,'Guide '!$A$13:$B$16,2,0),"-")</f>
        <v>BB</v>
      </c>
      <c r="AL922" s="4" t="s">
        <v>1006</v>
      </c>
      <c r="AM922" s="40">
        <v>45630</v>
      </c>
      <c r="AN922">
        <f t="shared" si="523"/>
        <v>29</v>
      </c>
      <c r="AO922">
        <f t="shared" si="524"/>
        <v>32</v>
      </c>
      <c r="AP922">
        <f t="shared" si="525"/>
        <v>40</v>
      </c>
      <c r="AQ922">
        <f t="shared" si="526"/>
        <v>43</v>
      </c>
      <c r="AR922" s="26">
        <f t="shared" si="527"/>
        <v>56</v>
      </c>
      <c r="AS922" s="26">
        <f t="shared" si="528"/>
        <v>63</v>
      </c>
      <c r="AT922" s="21">
        <f t="shared" si="529"/>
        <v>12</v>
      </c>
      <c r="AU922" s="21">
        <f t="shared" si="530"/>
        <v>19</v>
      </c>
      <c r="AV922">
        <f t="shared" si="531"/>
        <v>73</v>
      </c>
      <c r="AW922">
        <f t="shared" si="532"/>
        <v>76</v>
      </c>
      <c r="AX922">
        <f t="shared" si="533"/>
        <v>84</v>
      </c>
      <c r="AY922">
        <f t="shared" si="534"/>
        <v>87</v>
      </c>
      <c r="AZ922" t="str">
        <f t="shared" si="535"/>
        <v>-</v>
      </c>
      <c r="BA922" t="str">
        <f t="shared" si="536"/>
        <v>-</v>
      </c>
      <c r="BB922" t="str">
        <f t="shared" si="537"/>
        <v>-</v>
      </c>
      <c r="BC922" t="str">
        <f t="shared" si="538"/>
        <v>-</v>
      </c>
      <c r="BD922" s="29" t="str">
        <f t="shared" si="539"/>
        <v>-</v>
      </c>
      <c r="BE922" s="29" t="str">
        <f t="shared" si="540"/>
        <v>-</v>
      </c>
    </row>
    <row r="923" spans="1:57" ht="15" x14ac:dyDescent="0.2">
      <c r="A923" s="2">
        <v>418</v>
      </c>
      <c r="B923" s="2" t="str">
        <f t="shared" si="505"/>
        <v>0418</v>
      </c>
      <c r="C923" t="str">
        <f t="shared" si="506"/>
        <v>ORD-BB-0418-05/12/24</v>
      </c>
      <c r="D923" s="3" t="s">
        <v>462</v>
      </c>
      <c r="E923" t="str">
        <f t="shared" si="507"/>
        <v>PW001</v>
      </c>
      <c r="F923" t="str">
        <f>INDEX(Katalog!$B$4:$B$13,MATCH('Main Data'!E923,Katalog!$C$4:$C$13,0))</f>
        <v>Dress</v>
      </c>
      <c r="G923" t="str">
        <f>VLOOKUP(E923,Katalog!$A$15:$B$25,2,0)</f>
        <v>Pakaian Wanita</v>
      </c>
      <c r="H923" t="str">
        <f t="shared" si="508"/>
        <v>2</v>
      </c>
      <c r="I923" t="str">
        <f t="shared" si="509"/>
        <v>5</v>
      </c>
      <c r="J923" s="18">
        <f>VLOOKUP(E923,Katalog!$C$3:$F$13,2,0)</f>
        <v>150000</v>
      </c>
      <c r="K923" s="18">
        <f>VLOOKUP(E923,Katalog!$C$3:$F$13,3,0)</f>
        <v>55000</v>
      </c>
      <c r="L923" t="str">
        <f t="shared" si="510"/>
        <v>SW001</v>
      </c>
      <c r="M923" t="str">
        <f>IFERROR(INDEX(Katalog!$B$4:$B$13,MATCH('Main Data'!L923,Katalog!$C$4:$C$13,0)), "-")</f>
        <v>Flat Shoes</v>
      </c>
      <c r="N923" t="str">
        <f>IFERROR(VLOOKUP(L923,Katalog!$A$15:$B$25,2,0),"-")</f>
        <v>Sepatu Wanita</v>
      </c>
      <c r="O923" t="str">
        <f t="shared" si="511"/>
        <v>1</v>
      </c>
      <c r="P923" t="str">
        <f t="shared" si="512"/>
        <v>5</v>
      </c>
      <c r="Q923" s="18">
        <f>IFERROR(VLOOKUP(L923,Katalog!$C$3:$F$13,2,0),0)</f>
        <v>150000</v>
      </c>
      <c r="R923" s="18">
        <f>IFERROR(VLOOKUP(L923,Katalog!$C$3:$F$13,3,0),0)</f>
        <v>70000</v>
      </c>
      <c r="S923" t="str">
        <f t="shared" si="513"/>
        <v>SP001</v>
      </c>
      <c r="T923" t="str">
        <f>IFERROR(INDEX(Katalog!$B$4:$B$13,MATCH('Main Data'!S923,Katalog!$C$4:$C$13,0)),"-")</f>
        <v>Sneakers</v>
      </c>
      <c r="U923" t="str">
        <f>IFERROR(VLOOKUP(S923,Katalog!$A$15:$B$25,2,0),"-")</f>
        <v>Sepatu Pria</v>
      </c>
      <c r="V923" t="str">
        <f t="shared" si="514"/>
        <v>1</v>
      </c>
      <c r="W923" s="28" t="str">
        <f t="shared" si="515"/>
        <v>3</v>
      </c>
      <c r="X923" s="18">
        <f>IFERROR(VLOOKUP(S923,Katalog!$C$3:$F$13,2,0),0)</f>
        <v>300000</v>
      </c>
      <c r="Y923" s="30">
        <f>IFERROR(VLOOKUP(S923,Katalog!$C$3:$F$13,3,0),0)</f>
        <v>100000</v>
      </c>
      <c r="Z923" s="2">
        <f t="shared" si="516"/>
        <v>4</v>
      </c>
      <c r="AA923" s="4">
        <f t="shared" si="517"/>
        <v>750000</v>
      </c>
      <c r="AB923" s="4">
        <f t="shared" si="518"/>
        <v>280000</v>
      </c>
      <c r="AC923" s="4" t="s">
        <v>27</v>
      </c>
      <c r="AD923" s="16">
        <f>IFERROR(VLOOKUP(AC923,'Kode Diskon'!$C$2:$D$9,2,0),0)</f>
        <v>0.15</v>
      </c>
      <c r="AE923" s="31">
        <f t="shared" si="519"/>
        <v>112500</v>
      </c>
      <c r="AF923" s="31">
        <f t="shared" si="520"/>
        <v>637500</v>
      </c>
      <c r="AG923" s="31">
        <f t="shared" si="521"/>
        <v>470000</v>
      </c>
      <c r="AH923" s="31">
        <f t="shared" si="522"/>
        <v>357500</v>
      </c>
      <c r="AI923" s="4" t="s">
        <v>28</v>
      </c>
      <c r="AJ923" s="4" t="s">
        <v>13</v>
      </c>
      <c r="AK923" s="4" t="str">
        <f>IFERROR(VLOOKUP(AJ923,'Guide '!$A$13:$B$16,2,0),"-")</f>
        <v>BB</v>
      </c>
      <c r="AL923" s="4" t="s">
        <v>924</v>
      </c>
      <c r="AM923" s="40">
        <v>45631</v>
      </c>
      <c r="AN923">
        <f t="shared" si="523"/>
        <v>29</v>
      </c>
      <c r="AO923">
        <f t="shared" si="524"/>
        <v>32</v>
      </c>
      <c r="AP923">
        <f t="shared" si="525"/>
        <v>40</v>
      </c>
      <c r="AQ923">
        <f t="shared" si="526"/>
        <v>43</v>
      </c>
      <c r="AR923" s="26">
        <f t="shared" si="527"/>
        <v>56</v>
      </c>
      <c r="AS923" s="26">
        <f t="shared" si="528"/>
        <v>63</v>
      </c>
      <c r="AT923" s="21">
        <f t="shared" si="529"/>
        <v>12</v>
      </c>
      <c r="AU923" s="21">
        <f t="shared" si="530"/>
        <v>19</v>
      </c>
      <c r="AV923">
        <f t="shared" si="531"/>
        <v>73</v>
      </c>
      <c r="AW923">
        <f t="shared" si="532"/>
        <v>76</v>
      </c>
      <c r="AX923">
        <f t="shared" si="533"/>
        <v>84</v>
      </c>
      <c r="AY923">
        <f t="shared" si="534"/>
        <v>87</v>
      </c>
      <c r="AZ923">
        <f t="shared" si="535"/>
        <v>100</v>
      </c>
      <c r="BA923">
        <f t="shared" si="536"/>
        <v>107</v>
      </c>
      <c r="BB923">
        <f t="shared" si="537"/>
        <v>117</v>
      </c>
      <c r="BC923">
        <f t="shared" si="538"/>
        <v>120</v>
      </c>
      <c r="BD923" s="29">
        <f t="shared" si="539"/>
        <v>128</v>
      </c>
      <c r="BE923" s="29">
        <f t="shared" si="540"/>
        <v>131</v>
      </c>
    </row>
    <row r="924" spans="1:57" ht="15" x14ac:dyDescent="0.2">
      <c r="A924" s="2">
        <v>348</v>
      </c>
      <c r="B924" s="2" t="str">
        <f t="shared" si="505"/>
        <v>0348</v>
      </c>
      <c r="C924" t="str">
        <f t="shared" si="506"/>
        <v>ORD-SP-0348-06/12/24</v>
      </c>
      <c r="D924" s="3" t="s">
        <v>400</v>
      </c>
      <c r="E924" t="str">
        <f t="shared" si="507"/>
        <v>SP001</v>
      </c>
      <c r="F924" t="str">
        <f>INDEX(Katalog!$B$4:$B$13,MATCH('Main Data'!E924,Katalog!$C$4:$C$13,0))</f>
        <v>Sneakers</v>
      </c>
      <c r="G924" t="str">
        <f>VLOOKUP(E924,Katalog!$A$15:$B$25,2,0)</f>
        <v>Sepatu Pria</v>
      </c>
      <c r="H924" t="str">
        <f t="shared" si="508"/>
        <v>2</v>
      </c>
      <c r="I924" t="str">
        <f t="shared" si="509"/>
        <v>5</v>
      </c>
      <c r="J924" s="18">
        <f>VLOOKUP(E924,Katalog!$C$3:$F$13,2,0)</f>
        <v>300000</v>
      </c>
      <c r="K924" s="18">
        <f>VLOOKUP(E924,Katalog!$C$3:$F$13,3,0)</f>
        <v>100000</v>
      </c>
      <c r="L924" t="str">
        <f t="shared" si="510"/>
        <v>SP002</v>
      </c>
      <c r="M924" t="str">
        <f>IFERROR(INDEX(Katalog!$B$4:$B$13,MATCH('Main Data'!L924,Katalog!$C$4:$C$13,0)), "-")</f>
        <v>Sandal Slip On</v>
      </c>
      <c r="N924" t="str">
        <f>IFERROR(VLOOKUP(L924,Katalog!$A$15:$B$25,2,0),"-")</f>
        <v>Sepatu Pria</v>
      </c>
      <c r="O924" t="str">
        <f t="shared" si="511"/>
        <v>1</v>
      </c>
      <c r="P924" t="str">
        <f t="shared" si="512"/>
        <v>4</v>
      </c>
      <c r="Q924" s="18">
        <f>IFERROR(VLOOKUP(L924,Katalog!$C$3:$F$13,2,0),0)</f>
        <v>120000</v>
      </c>
      <c r="R924" s="18">
        <f>IFERROR(VLOOKUP(L924,Katalog!$C$3:$F$13,3,0),0)</f>
        <v>60000</v>
      </c>
      <c r="S924" t="str">
        <f t="shared" si="513"/>
        <v>-</v>
      </c>
      <c r="T924" t="str">
        <f>IFERROR(INDEX(Katalog!$B$4:$B$13,MATCH('Main Data'!S924,Katalog!$C$4:$C$13,0)),"-")</f>
        <v>-</v>
      </c>
      <c r="U924" t="str">
        <f>IFERROR(VLOOKUP(S924,Katalog!$A$15:$B$25,2,0),"-")</f>
        <v>-</v>
      </c>
      <c r="V924">
        <f t="shared" si="514"/>
        <v>0</v>
      </c>
      <c r="W924" s="28" t="str">
        <f t="shared" si="515"/>
        <v>-</v>
      </c>
      <c r="X924" s="18">
        <f>IFERROR(VLOOKUP(S924,Katalog!$C$3:$F$13,2,0),0)</f>
        <v>0</v>
      </c>
      <c r="Y924" s="30">
        <f>IFERROR(VLOOKUP(S924,Katalog!$C$3:$F$13,3,0),0)</f>
        <v>0</v>
      </c>
      <c r="Z924" s="2">
        <f t="shared" si="516"/>
        <v>3</v>
      </c>
      <c r="AA924" s="4">
        <f t="shared" si="517"/>
        <v>720000</v>
      </c>
      <c r="AB924" s="4">
        <f t="shared" si="518"/>
        <v>260000</v>
      </c>
      <c r="AC924" s="4" t="s">
        <v>5</v>
      </c>
      <c r="AD924" s="16">
        <f>IFERROR(VLOOKUP(AC924,'Kode Diskon'!$C$2:$D$9,2,0),0)</f>
        <v>0.1</v>
      </c>
      <c r="AE924" s="31">
        <f t="shared" si="519"/>
        <v>72000</v>
      </c>
      <c r="AF924" s="31">
        <f t="shared" si="520"/>
        <v>648000</v>
      </c>
      <c r="AG924" s="31">
        <f t="shared" si="521"/>
        <v>460000</v>
      </c>
      <c r="AH924" s="31">
        <f t="shared" si="522"/>
        <v>388000</v>
      </c>
      <c r="AI924" s="4" t="s">
        <v>28</v>
      </c>
      <c r="AJ924" s="4" t="s">
        <v>6</v>
      </c>
      <c r="AK924" s="4" t="str">
        <f>IFERROR(VLOOKUP(AJ924,'Guide '!$A$13:$B$16,2,0),"-")</f>
        <v>SP</v>
      </c>
      <c r="AL924" s="4" t="s">
        <v>925</v>
      </c>
      <c r="AM924" s="40">
        <v>45632</v>
      </c>
      <c r="AN924">
        <f t="shared" si="523"/>
        <v>29</v>
      </c>
      <c r="AO924">
        <f t="shared" si="524"/>
        <v>32</v>
      </c>
      <c r="AP924">
        <f t="shared" si="525"/>
        <v>40</v>
      </c>
      <c r="AQ924">
        <f t="shared" si="526"/>
        <v>43</v>
      </c>
      <c r="AR924" s="26">
        <f t="shared" si="527"/>
        <v>56</v>
      </c>
      <c r="AS924" s="26">
        <f t="shared" si="528"/>
        <v>63</v>
      </c>
      <c r="AT924" s="21">
        <f t="shared" si="529"/>
        <v>12</v>
      </c>
      <c r="AU924" s="21">
        <f t="shared" si="530"/>
        <v>19</v>
      </c>
      <c r="AV924">
        <f t="shared" si="531"/>
        <v>73</v>
      </c>
      <c r="AW924">
        <f t="shared" si="532"/>
        <v>76</v>
      </c>
      <c r="AX924">
        <f t="shared" si="533"/>
        <v>84</v>
      </c>
      <c r="AY924">
        <f t="shared" si="534"/>
        <v>87</v>
      </c>
      <c r="AZ924" t="str">
        <f t="shared" si="535"/>
        <v>-</v>
      </c>
      <c r="BA924" t="str">
        <f t="shared" si="536"/>
        <v>-</v>
      </c>
      <c r="BB924" t="str">
        <f t="shared" si="537"/>
        <v>-</v>
      </c>
      <c r="BC924" t="str">
        <f t="shared" si="538"/>
        <v>-</v>
      </c>
      <c r="BD924" s="29" t="str">
        <f t="shared" si="539"/>
        <v>-</v>
      </c>
      <c r="BE924" s="29" t="str">
        <f t="shared" si="540"/>
        <v>-</v>
      </c>
    </row>
    <row r="925" spans="1:57" ht="15" x14ac:dyDescent="0.2">
      <c r="A925" s="2">
        <v>528</v>
      </c>
      <c r="B925" s="2" t="str">
        <f t="shared" si="505"/>
        <v>0528</v>
      </c>
      <c r="C925" t="str">
        <f t="shared" si="506"/>
        <v>ORD-SP-0528-06/12/24</v>
      </c>
      <c r="D925" s="3" t="s">
        <v>556</v>
      </c>
      <c r="E925" t="str">
        <f t="shared" si="507"/>
        <v>PW003</v>
      </c>
      <c r="F925" t="str">
        <f>INDEX(Katalog!$B$4:$B$13,MATCH('Main Data'!E925,Katalog!$C$4:$C$13,0))</f>
        <v>Kaftan</v>
      </c>
      <c r="G925" t="str">
        <f>VLOOKUP(E925,Katalog!$A$15:$B$25,2,0)</f>
        <v>Pakaian Wanita</v>
      </c>
      <c r="H925" t="str">
        <f t="shared" si="508"/>
        <v>1</v>
      </c>
      <c r="I925" t="str">
        <f t="shared" si="509"/>
        <v>4</v>
      </c>
      <c r="J925" s="18">
        <f>VLOOKUP(E925,Katalog!$C$3:$F$13,2,0)</f>
        <v>200000</v>
      </c>
      <c r="K925" s="18">
        <f>VLOOKUP(E925,Katalog!$C$3:$F$13,3,0)</f>
        <v>100000</v>
      </c>
      <c r="L925" t="str">
        <f t="shared" si="510"/>
        <v>PP002</v>
      </c>
      <c r="M925" t="str">
        <f>IFERROR(INDEX(Katalog!$B$4:$B$13,MATCH('Main Data'!L925,Katalog!$C$4:$C$13,0)), "-")</f>
        <v>Celana Pendek</v>
      </c>
      <c r="N925" t="str">
        <f>IFERROR(VLOOKUP(L925,Katalog!$A$15:$B$25,2,0),"-")</f>
        <v>Pakaian Pria</v>
      </c>
      <c r="O925" t="str">
        <f t="shared" si="511"/>
        <v>3</v>
      </c>
      <c r="P925" t="str">
        <f t="shared" si="512"/>
        <v>2</v>
      </c>
      <c r="Q925" s="18">
        <f>IFERROR(VLOOKUP(L925,Katalog!$C$3:$F$13,2,0),0)</f>
        <v>60000</v>
      </c>
      <c r="R925" s="18">
        <f>IFERROR(VLOOKUP(L925,Katalog!$C$3:$F$13,3,0),0)</f>
        <v>25000</v>
      </c>
      <c r="S925" t="str">
        <f t="shared" si="513"/>
        <v>PP002</v>
      </c>
      <c r="T925" t="str">
        <f>IFERROR(INDEX(Katalog!$B$4:$B$13,MATCH('Main Data'!S925,Katalog!$C$4:$C$13,0)),"-")</f>
        <v>Celana Pendek</v>
      </c>
      <c r="U925" t="str">
        <f>IFERROR(VLOOKUP(S925,Katalog!$A$15:$B$25,2,0),"-")</f>
        <v>Pakaian Pria</v>
      </c>
      <c r="V925" t="str">
        <f t="shared" si="514"/>
        <v>1</v>
      </c>
      <c r="W925" s="28" t="str">
        <f t="shared" si="515"/>
        <v>2</v>
      </c>
      <c r="X925" s="18">
        <f>IFERROR(VLOOKUP(S925,Katalog!$C$3:$F$13,2,0),0)</f>
        <v>60000</v>
      </c>
      <c r="Y925" s="30">
        <f>IFERROR(VLOOKUP(S925,Katalog!$C$3:$F$13,3,0),0)</f>
        <v>25000</v>
      </c>
      <c r="Z925" s="2">
        <f t="shared" si="516"/>
        <v>5</v>
      </c>
      <c r="AA925" s="4">
        <f t="shared" si="517"/>
        <v>440000</v>
      </c>
      <c r="AB925" s="4">
        <f t="shared" si="518"/>
        <v>200000</v>
      </c>
      <c r="AC925" s="4" t="s">
        <v>7</v>
      </c>
      <c r="AD925" s="16">
        <f>IFERROR(VLOOKUP(AC925,'Kode Diskon'!$C$2:$D$9,2,0),0)</f>
        <v>0.2</v>
      </c>
      <c r="AE925" s="31">
        <f t="shared" si="519"/>
        <v>88000</v>
      </c>
      <c r="AF925" s="31">
        <f t="shared" si="520"/>
        <v>352000</v>
      </c>
      <c r="AG925" s="31">
        <f t="shared" si="521"/>
        <v>240000</v>
      </c>
      <c r="AH925" s="31">
        <f t="shared" si="522"/>
        <v>152000</v>
      </c>
      <c r="AI925" s="4" t="s">
        <v>8</v>
      </c>
      <c r="AJ925" s="4" t="s">
        <v>6</v>
      </c>
      <c r="AK925" s="4" t="str">
        <f>IFERROR(VLOOKUP(AJ925,'Guide '!$A$13:$B$16,2,0),"-")</f>
        <v>SP</v>
      </c>
      <c r="AL925" s="4" t="s">
        <v>1006</v>
      </c>
      <c r="AM925" s="40">
        <v>45632</v>
      </c>
      <c r="AN925">
        <f t="shared" si="523"/>
        <v>29</v>
      </c>
      <c r="AO925">
        <f t="shared" si="524"/>
        <v>32</v>
      </c>
      <c r="AP925">
        <f t="shared" si="525"/>
        <v>40</v>
      </c>
      <c r="AQ925">
        <f t="shared" si="526"/>
        <v>43</v>
      </c>
      <c r="AR925" s="26">
        <f t="shared" si="527"/>
        <v>56</v>
      </c>
      <c r="AS925" s="26">
        <f t="shared" si="528"/>
        <v>63</v>
      </c>
      <c r="AT925" s="21">
        <f t="shared" si="529"/>
        <v>12</v>
      </c>
      <c r="AU925" s="21">
        <f t="shared" si="530"/>
        <v>19</v>
      </c>
      <c r="AV925">
        <f t="shared" si="531"/>
        <v>73</v>
      </c>
      <c r="AW925">
        <f t="shared" si="532"/>
        <v>76</v>
      </c>
      <c r="AX925">
        <f t="shared" si="533"/>
        <v>84</v>
      </c>
      <c r="AY925">
        <f t="shared" si="534"/>
        <v>87</v>
      </c>
      <c r="AZ925">
        <f t="shared" si="535"/>
        <v>100</v>
      </c>
      <c r="BA925">
        <f t="shared" si="536"/>
        <v>107</v>
      </c>
      <c r="BB925">
        <f t="shared" si="537"/>
        <v>117</v>
      </c>
      <c r="BC925">
        <f t="shared" si="538"/>
        <v>120</v>
      </c>
      <c r="BD925" s="29">
        <f t="shared" si="539"/>
        <v>128</v>
      </c>
      <c r="BE925" s="29">
        <f t="shared" si="540"/>
        <v>131</v>
      </c>
    </row>
    <row r="926" spans="1:57" ht="15" x14ac:dyDescent="0.2">
      <c r="A926" s="2">
        <v>303</v>
      </c>
      <c r="B926" s="2" t="str">
        <f t="shared" si="505"/>
        <v>0303</v>
      </c>
      <c r="C926" t="str">
        <f t="shared" si="506"/>
        <v>ORD-SP-0303-07/12/24</v>
      </c>
      <c r="D926" s="3" t="s">
        <v>358</v>
      </c>
      <c r="E926" t="str">
        <f t="shared" si="507"/>
        <v>SW001</v>
      </c>
      <c r="F926" t="str">
        <f>INDEX(Katalog!$B$4:$B$13,MATCH('Main Data'!E926,Katalog!$C$4:$C$13,0))</f>
        <v>Flat Shoes</v>
      </c>
      <c r="G926" t="str">
        <f>VLOOKUP(E926,Katalog!$A$15:$B$25,2,0)</f>
        <v>Sepatu Wanita</v>
      </c>
      <c r="H926" t="str">
        <f t="shared" si="508"/>
        <v>6</v>
      </c>
      <c r="I926" t="str">
        <f t="shared" si="509"/>
        <v>2</v>
      </c>
      <c r="J926" s="18">
        <f>VLOOKUP(E926,Katalog!$C$3:$F$13,2,0)</f>
        <v>150000</v>
      </c>
      <c r="K926" s="18">
        <f>VLOOKUP(E926,Katalog!$C$3:$F$13,3,0)</f>
        <v>70000</v>
      </c>
      <c r="L926" t="str">
        <f t="shared" si="510"/>
        <v>PU001</v>
      </c>
      <c r="M926" t="str">
        <f>IFERROR(INDEX(Katalog!$B$4:$B$13,MATCH('Main Data'!L926,Katalog!$C$4:$C$13,0)), "-")</f>
        <v>Jaket Hoodie</v>
      </c>
      <c r="N926" t="str">
        <f>IFERROR(VLOOKUP(L926,Katalog!$A$15:$B$25,2,0),"-")</f>
        <v>Pakaian Unisex</v>
      </c>
      <c r="O926" t="str">
        <f t="shared" si="511"/>
        <v>1</v>
      </c>
      <c r="P926" t="str">
        <f t="shared" si="512"/>
        <v>3</v>
      </c>
      <c r="Q926" s="18">
        <f>IFERROR(VLOOKUP(L926,Katalog!$C$3:$F$13,2,0),0)</f>
        <v>160000</v>
      </c>
      <c r="R926" s="18">
        <f>IFERROR(VLOOKUP(L926,Katalog!$C$3:$F$13,3,0),0)</f>
        <v>60000</v>
      </c>
      <c r="S926" t="str">
        <f t="shared" si="513"/>
        <v>-</v>
      </c>
      <c r="T926" t="str">
        <f>IFERROR(INDEX(Katalog!$B$4:$B$13,MATCH('Main Data'!S926,Katalog!$C$4:$C$13,0)),"-")</f>
        <v>-</v>
      </c>
      <c r="U926" t="str">
        <f>IFERROR(VLOOKUP(S926,Katalog!$A$15:$B$25,2,0),"-")</f>
        <v>-</v>
      </c>
      <c r="V926">
        <f t="shared" si="514"/>
        <v>0</v>
      </c>
      <c r="W926" s="28" t="str">
        <f t="shared" si="515"/>
        <v>-</v>
      </c>
      <c r="X926" s="18">
        <f>IFERROR(VLOOKUP(S926,Katalog!$C$3:$F$13,2,0),0)</f>
        <v>0</v>
      </c>
      <c r="Y926" s="30">
        <f>IFERROR(VLOOKUP(S926,Katalog!$C$3:$F$13,3,0),0)</f>
        <v>0</v>
      </c>
      <c r="Z926" s="2">
        <f t="shared" si="516"/>
        <v>7</v>
      </c>
      <c r="AA926" s="4">
        <f t="shared" si="517"/>
        <v>1060000</v>
      </c>
      <c r="AB926" s="4">
        <f t="shared" si="518"/>
        <v>480000</v>
      </c>
      <c r="AC926" s="4" t="s">
        <v>5</v>
      </c>
      <c r="AD926" s="16">
        <f>IFERROR(VLOOKUP(AC926,'Kode Diskon'!$C$2:$D$9,2,0),0)</f>
        <v>0.1</v>
      </c>
      <c r="AE926" s="31">
        <f t="shared" si="519"/>
        <v>106000</v>
      </c>
      <c r="AF926" s="31">
        <f t="shared" si="520"/>
        <v>954000</v>
      </c>
      <c r="AG926" s="31">
        <f t="shared" si="521"/>
        <v>580000</v>
      </c>
      <c r="AH926" s="31">
        <f t="shared" si="522"/>
        <v>474000</v>
      </c>
      <c r="AI926" s="4" t="s">
        <v>28</v>
      </c>
      <c r="AJ926" s="4" t="s">
        <v>6</v>
      </c>
      <c r="AK926" s="4" t="str">
        <f>IFERROR(VLOOKUP(AJ926,'Guide '!$A$13:$B$16,2,0),"-")</f>
        <v>SP</v>
      </c>
      <c r="AL926" s="4" t="s">
        <v>1006</v>
      </c>
      <c r="AM926" s="40">
        <v>45633</v>
      </c>
      <c r="AN926">
        <f t="shared" si="523"/>
        <v>29</v>
      </c>
      <c r="AO926">
        <f t="shared" si="524"/>
        <v>32</v>
      </c>
      <c r="AP926">
        <f t="shared" si="525"/>
        <v>40</v>
      </c>
      <c r="AQ926">
        <f t="shared" si="526"/>
        <v>43</v>
      </c>
      <c r="AR926" s="26">
        <f t="shared" si="527"/>
        <v>56</v>
      </c>
      <c r="AS926" s="26">
        <f t="shared" si="528"/>
        <v>63</v>
      </c>
      <c r="AT926" s="21">
        <f t="shared" si="529"/>
        <v>12</v>
      </c>
      <c r="AU926" s="21">
        <f t="shared" si="530"/>
        <v>19</v>
      </c>
      <c r="AV926">
        <f t="shared" si="531"/>
        <v>73</v>
      </c>
      <c r="AW926">
        <f t="shared" si="532"/>
        <v>76</v>
      </c>
      <c r="AX926">
        <f t="shared" si="533"/>
        <v>84</v>
      </c>
      <c r="AY926">
        <f t="shared" si="534"/>
        <v>87</v>
      </c>
      <c r="AZ926" t="str">
        <f t="shared" si="535"/>
        <v>-</v>
      </c>
      <c r="BA926" t="str">
        <f t="shared" si="536"/>
        <v>-</v>
      </c>
      <c r="BB926" t="str">
        <f t="shared" si="537"/>
        <v>-</v>
      </c>
      <c r="BC926" t="str">
        <f t="shared" si="538"/>
        <v>-</v>
      </c>
      <c r="BD926" s="29" t="str">
        <f t="shared" si="539"/>
        <v>-</v>
      </c>
      <c r="BE926" s="29" t="str">
        <f t="shared" si="540"/>
        <v>-</v>
      </c>
    </row>
    <row r="927" spans="1:57" ht="15" x14ac:dyDescent="0.2">
      <c r="A927" s="2">
        <v>886</v>
      </c>
      <c r="B927" s="2" t="str">
        <f t="shared" si="505"/>
        <v>0886</v>
      </c>
      <c r="C927" t="str">
        <f t="shared" si="506"/>
        <v>ORD-SP-0886-07/12/24</v>
      </c>
      <c r="D927" s="3" t="s">
        <v>827</v>
      </c>
      <c r="E927" t="str">
        <f t="shared" si="507"/>
        <v>PU001</v>
      </c>
      <c r="F927" t="str">
        <f>INDEX(Katalog!$B$4:$B$13,MATCH('Main Data'!E927,Katalog!$C$4:$C$13,0))</f>
        <v>Jaket Hoodie</v>
      </c>
      <c r="G927" t="str">
        <f>VLOOKUP(E927,Katalog!$A$15:$B$25,2,0)</f>
        <v>Pakaian Unisex</v>
      </c>
      <c r="H927" t="str">
        <f t="shared" si="508"/>
        <v>2</v>
      </c>
      <c r="I927" t="str">
        <f t="shared" si="509"/>
        <v>5</v>
      </c>
      <c r="J927" s="18">
        <f>VLOOKUP(E927,Katalog!$C$3:$F$13,2,0)</f>
        <v>160000</v>
      </c>
      <c r="K927" s="18">
        <f>VLOOKUP(E927,Katalog!$C$3:$F$13,3,0)</f>
        <v>60000</v>
      </c>
      <c r="L927" t="str">
        <f t="shared" si="510"/>
        <v>PP001</v>
      </c>
      <c r="M927" t="str">
        <f>IFERROR(INDEX(Katalog!$B$4:$B$13,MATCH('Main Data'!L927,Katalog!$C$4:$C$13,0)), "-")</f>
        <v>Kaos Polo</v>
      </c>
      <c r="N927" t="str">
        <f>IFERROR(VLOOKUP(L927,Katalog!$A$15:$B$25,2,0),"-")</f>
        <v>Pakaian Pria</v>
      </c>
      <c r="O927" t="str">
        <f t="shared" si="511"/>
        <v>2</v>
      </c>
      <c r="P927" t="str">
        <f t="shared" si="512"/>
        <v>5</v>
      </c>
      <c r="Q927" s="18">
        <f>IFERROR(VLOOKUP(L927,Katalog!$C$3:$F$13,2,0),0)</f>
        <v>80000</v>
      </c>
      <c r="R927" s="18">
        <f>IFERROR(VLOOKUP(L927,Katalog!$C$3:$F$13,3,0),0)</f>
        <v>30000</v>
      </c>
      <c r="S927" t="str">
        <f t="shared" si="513"/>
        <v>SW001</v>
      </c>
      <c r="T927" t="str">
        <f>IFERROR(INDEX(Katalog!$B$4:$B$13,MATCH('Main Data'!S927,Katalog!$C$4:$C$13,0)),"-")</f>
        <v>Flat Shoes</v>
      </c>
      <c r="U927" t="str">
        <f>IFERROR(VLOOKUP(S927,Katalog!$A$15:$B$25,2,0),"-")</f>
        <v>Sepatu Wanita</v>
      </c>
      <c r="V927" t="str">
        <f t="shared" si="514"/>
        <v>2</v>
      </c>
      <c r="W927" s="28" t="str">
        <f t="shared" si="515"/>
        <v>1</v>
      </c>
      <c r="X927" s="18">
        <f>IFERROR(VLOOKUP(S927,Katalog!$C$3:$F$13,2,0),0)</f>
        <v>150000</v>
      </c>
      <c r="Y927" s="30">
        <f>IFERROR(VLOOKUP(S927,Katalog!$C$3:$F$13,3,0),0)</f>
        <v>70000</v>
      </c>
      <c r="Z927" s="2">
        <f t="shared" si="516"/>
        <v>6</v>
      </c>
      <c r="AA927" s="4">
        <f t="shared" si="517"/>
        <v>780000</v>
      </c>
      <c r="AB927" s="4">
        <f t="shared" si="518"/>
        <v>320000</v>
      </c>
      <c r="AC927" s="4" t="s">
        <v>7</v>
      </c>
      <c r="AD927" s="16">
        <f>IFERROR(VLOOKUP(AC927,'Kode Diskon'!$C$2:$D$9,2,0),0)</f>
        <v>0.2</v>
      </c>
      <c r="AE927" s="31">
        <f t="shared" si="519"/>
        <v>156000</v>
      </c>
      <c r="AF927" s="31">
        <f t="shared" si="520"/>
        <v>624000</v>
      </c>
      <c r="AG927" s="31">
        <f t="shared" si="521"/>
        <v>460000</v>
      </c>
      <c r="AH927" s="31">
        <f t="shared" si="522"/>
        <v>304000</v>
      </c>
      <c r="AI927" s="4" t="s">
        <v>8</v>
      </c>
      <c r="AJ927" s="4" t="s">
        <v>6</v>
      </c>
      <c r="AK927" s="4" t="str">
        <f>IFERROR(VLOOKUP(AJ927,'Guide '!$A$13:$B$16,2,0),"-")</f>
        <v>SP</v>
      </c>
      <c r="AL927" s="4" t="s">
        <v>1006</v>
      </c>
      <c r="AM927" s="40">
        <v>45633</v>
      </c>
      <c r="AN927">
        <f t="shared" si="523"/>
        <v>29</v>
      </c>
      <c r="AO927">
        <f t="shared" si="524"/>
        <v>32</v>
      </c>
      <c r="AP927">
        <f t="shared" si="525"/>
        <v>40</v>
      </c>
      <c r="AQ927">
        <f t="shared" si="526"/>
        <v>43</v>
      </c>
      <c r="AR927" s="26">
        <f t="shared" si="527"/>
        <v>56</v>
      </c>
      <c r="AS927" s="26">
        <f t="shared" si="528"/>
        <v>63</v>
      </c>
      <c r="AT927" s="21">
        <f t="shared" si="529"/>
        <v>12</v>
      </c>
      <c r="AU927" s="21">
        <f t="shared" si="530"/>
        <v>19</v>
      </c>
      <c r="AV927">
        <f t="shared" si="531"/>
        <v>73</v>
      </c>
      <c r="AW927">
        <f t="shared" si="532"/>
        <v>76</v>
      </c>
      <c r="AX927">
        <f t="shared" si="533"/>
        <v>84</v>
      </c>
      <c r="AY927">
        <f t="shared" si="534"/>
        <v>87</v>
      </c>
      <c r="AZ927">
        <f t="shared" si="535"/>
        <v>100</v>
      </c>
      <c r="BA927">
        <f t="shared" si="536"/>
        <v>107</v>
      </c>
      <c r="BB927">
        <f t="shared" si="537"/>
        <v>117</v>
      </c>
      <c r="BC927">
        <f t="shared" si="538"/>
        <v>120</v>
      </c>
      <c r="BD927" s="29">
        <f t="shared" si="539"/>
        <v>128</v>
      </c>
      <c r="BE927" s="29">
        <f t="shared" si="540"/>
        <v>131</v>
      </c>
    </row>
    <row r="928" spans="1:57" ht="15" x14ac:dyDescent="0.2">
      <c r="A928" s="2">
        <v>183</v>
      </c>
      <c r="B928" s="2" t="str">
        <f t="shared" si="505"/>
        <v>0183</v>
      </c>
      <c r="C928" t="str">
        <f t="shared" si="506"/>
        <v>ORD-BL-0183-08/12/24</v>
      </c>
      <c r="D928" s="3" t="s">
        <v>252</v>
      </c>
      <c r="E928" t="str">
        <f t="shared" si="507"/>
        <v>PW002</v>
      </c>
      <c r="F928" t="str">
        <f>INDEX(Katalog!$B$4:$B$13,MATCH('Main Data'!E928,Katalog!$C$4:$C$13,0))</f>
        <v>Blouse</v>
      </c>
      <c r="G928" t="str">
        <f>VLOOKUP(E928,Katalog!$A$15:$B$25,2,0)</f>
        <v>Pakaian Wanita</v>
      </c>
      <c r="H928" t="str">
        <f t="shared" si="508"/>
        <v>7</v>
      </c>
      <c r="I928" t="str">
        <f t="shared" si="509"/>
        <v>4</v>
      </c>
      <c r="J928" s="18">
        <f>VLOOKUP(E928,Katalog!$C$3:$F$13,2,0)</f>
        <v>125000</v>
      </c>
      <c r="K928" s="18">
        <f>VLOOKUP(E928,Katalog!$C$3:$F$13,3,0)</f>
        <v>50000</v>
      </c>
      <c r="L928" t="str">
        <f t="shared" si="510"/>
        <v>-</v>
      </c>
      <c r="M928" t="str">
        <f>IFERROR(INDEX(Katalog!$B$4:$B$13,MATCH('Main Data'!L928,Katalog!$C$4:$C$13,0)), "-")</f>
        <v>-</v>
      </c>
      <c r="N928" t="str">
        <f>IFERROR(VLOOKUP(L928,Katalog!$A$15:$B$25,2,0),"-")</f>
        <v>-</v>
      </c>
      <c r="O928">
        <f t="shared" si="511"/>
        <v>0</v>
      </c>
      <c r="P928" t="str">
        <f t="shared" si="512"/>
        <v>-</v>
      </c>
      <c r="Q928" s="18">
        <f>IFERROR(VLOOKUP(L928,Katalog!$C$3:$F$13,2,0),0)</f>
        <v>0</v>
      </c>
      <c r="R928" s="18">
        <f>IFERROR(VLOOKUP(L928,Katalog!$C$3:$F$13,3,0),0)</f>
        <v>0</v>
      </c>
      <c r="S928" t="str">
        <f t="shared" si="513"/>
        <v>-</v>
      </c>
      <c r="T928" t="str">
        <f>IFERROR(INDEX(Katalog!$B$4:$B$13,MATCH('Main Data'!S928,Katalog!$C$4:$C$13,0)),"-")</f>
        <v>-</v>
      </c>
      <c r="U928" t="str">
        <f>IFERROR(VLOOKUP(S928,Katalog!$A$15:$B$25,2,0),"-")</f>
        <v>-</v>
      </c>
      <c r="V928">
        <f t="shared" si="514"/>
        <v>0</v>
      </c>
      <c r="W928" s="28" t="str">
        <f t="shared" si="515"/>
        <v>-</v>
      </c>
      <c r="X928" s="18">
        <f>IFERROR(VLOOKUP(S928,Katalog!$C$3:$F$13,2,0),0)</f>
        <v>0</v>
      </c>
      <c r="Y928" s="30">
        <f>IFERROR(VLOOKUP(S928,Katalog!$C$3:$F$13,3,0),0)</f>
        <v>0</v>
      </c>
      <c r="Z928" s="2">
        <f t="shared" si="516"/>
        <v>7</v>
      </c>
      <c r="AA928" s="4">
        <f t="shared" si="517"/>
        <v>875000</v>
      </c>
      <c r="AB928" s="4">
        <f t="shared" si="518"/>
        <v>350000</v>
      </c>
      <c r="AC928" s="4" t="s">
        <v>31</v>
      </c>
      <c r="AD928" s="16">
        <f>IFERROR(VLOOKUP(AC928,'Kode Diskon'!$C$2:$D$9,2,0),0)</f>
        <v>0.15</v>
      </c>
      <c r="AE928" s="31">
        <f t="shared" si="519"/>
        <v>131250</v>
      </c>
      <c r="AF928" s="31">
        <f t="shared" si="520"/>
        <v>743750</v>
      </c>
      <c r="AG928" s="31">
        <f t="shared" si="521"/>
        <v>525000</v>
      </c>
      <c r="AH928" s="31">
        <f t="shared" si="522"/>
        <v>393750</v>
      </c>
      <c r="AI928" s="4" t="s">
        <v>8</v>
      </c>
      <c r="AJ928" s="4" t="s">
        <v>11</v>
      </c>
      <c r="AK928" s="4" t="str">
        <f>IFERROR(VLOOKUP(AJ928,'Guide '!$A$13:$B$16,2,0),"-")</f>
        <v>BL</v>
      </c>
      <c r="AL928" s="4" t="s">
        <v>922</v>
      </c>
      <c r="AM928" s="40">
        <v>45634</v>
      </c>
      <c r="AN928">
        <f t="shared" si="523"/>
        <v>29</v>
      </c>
      <c r="AO928">
        <f t="shared" si="524"/>
        <v>32</v>
      </c>
      <c r="AP928">
        <f t="shared" si="525"/>
        <v>40</v>
      </c>
      <c r="AQ928">
        <f t="shared" si="526"/>
        <v>43</v>
      </c>
      <c r="AR928" s="26" t="str">
        <f t="shared" si="527"/>
        <v>-</v>
      </c>
      <c r="AS928" s="26" t="str">
        <f t="shared" si="528"/>
        <v>-</v>
      </c>
      <c r="AT928" s="21">
        <f t="shared" si="529"/>
        <v>12</v>
      </c>
      <c r="AU928" s="21">
        <f t="shared" si="530"/>
        <v>19</v>
      </c>
      <c r="AV928" t="str">
        <f t="shared" si="531"/>
        <v>-</v>
      </c>
      <c r="AW928" t="str">
        <f t="shared" si="532"/>
        <v>-</v>
      </c>
      <c r="AX928" t="str">
        <f t="shared" si="533"/>
        <v>-</v>
      </c>
      <c r="AY928" t="str">
        <f t="shared" si="534"/>
        <v>-</v>
      </c>
      <c r="AZ928" t="str">
        <f t="shared" si="535"/>
        <v>-</v>
      </c>
      <c r="BA928" t="str">
        <f t="shared" si="536"/>
        <v>-</v>
      </c>
      <c r="BB928" t="str">
        <f t="shared" si="537"/>
        <v>-</v>
      </c>
      <c r="BC928" t="str">
        <f t="shared" si="538"/>
        <v>-</v>
      </c>
      <c r="BD928" s="29" t="str">
        <f t="shared" si="539"/>
        <v>-</v>
      </c>
      <c r="BE928" s="29" t="str">
        <f t="shared" si="540"/>
        <v>-</v>
      </c>
    </row>
    <row r="929" spans="1:57" ht="15" x14ac:dyDescent="0.2">
      <c r="A929" s="2">
        <v>498</v>
      </c>
      <c r="B929" s="2" t="str">
        <f t="shared" si="505"/>
        <v>0498</v>
      </c>
      <c r="C929" t="str">
        <f t="shared" si="506"/>
        <v>ORD-TK-0498-08/12/24</v>
      </c>
      <c r="D929" s="3" t="s">
        <v>528</v>
      </c>
      <c r="E929" t="str">
        <f t="shared" si="507"/>
        <v>PP003</v>
      </c>
      <c r="F929" t="str">
        <f>INDEX(Katalog!$B$4:$B$13,MATCH('Main Data'!E929,Katalog!$C$4:$C$13,0))</f>
        <v>Jaket Jeans</v>
      </c>
      <c r="G929" t="str">
        <f>VLOOKUP(E929,Katalog!$A$15:$B$25,2,0)</f>
        <v>Pakaian Pria</v>
      </c>
      <c r="H929" t="str">
        <f t="shared" si="508"/>
        <v>4</v>
      </c>
      <c r="I929" t="str">
        <f t="shared" si="509"/>
        <v>5</v>
      </c>
      <c r="J929" s="18">
        <f>VLOOKUP(E929,Katalog!$C$3:$F$13,2,0)</f>
        <v>150000</v>
      </c>
      <c r="K929" s="18">
        <f>VLOOKUP(E929,Katalog!$C$3:$F$13,3,0)</f>
        <v>70000</v>
      </c>
      <c r="L929" t="str">
        <f t="shared" si="510"/>
        <v>PP001</v>
      </c>
      <c r="M929" t="str">
        <f>IFERROR(INDEX(Katalog!$B$4:$B$13,MATCH('Main Data'!L929,Katalog!$C$4:$C$13,0)), "-")</f>
        <v>Kaos Polo</v>
      </c>
      <c r="N929" t="str">
        <f>IFERROR(VLOOKUP(L929,Katalog!$A$15:$B$25,2,0),"-")</f>
        <v>Pakaian Pria</v>
      </c>
      <c r="O929" t="str">
        <f t="shared" si="511"/>
        <v>2</v>
      </c>
      <c r="P929" t="str">
        <f t="shared" si="512"/>
        <v>4</v>
      </c>
      <c r="Q929" s="18">
        <f>IFERROR(VLOOKUP(L929,Katalog!$C$3:$F$13,2,0),0)</f>
        <v>80000</v>
      </c>
      <c r="R929" s="18">
        <f>IFERROR(VLOOKUP(L929,Katalog!$C$3:$F$13,3,0),0)</f>
        <v>30000</v>
      </c>
      <c r="S929" t="str">
        <f t="shared" si="513"/>
        <v>-</v>
      </c>
      <c r="T929" t="str">
        <f>IFERROR(INDEX(Katalog!$B$4:$B$13,MATCH('Main Data'!S929,Katalog!$C$4:$C$13,0)),"-")</f>
        <v>-</v>
      </c>
      <c r="U929" t="str">
        <f>IFERROR(VLOOKUP(S929,Katalog!$A$15:$B$25,2,0),"-")</f>
        <v>-</v>
      </c>
      <c r="V929">
        <f t="shared" si="514"/>
        <v>0</v>
      </c>
      <c r="W929" s="28" t="str">
        <f t="shared" si="515"/>
        <v>-</v>
      </c>
      <c r="X929" s="18">
        <f>IFERROR(VLOOKUP(S929,Katalog!$C$3:$F$13,2,0),0)</f>
        <v>0</v>
      </c>
      <c r="Y929" s="30">
        <f>IFERROR(VLOOKUP(S929,Katalog!$C$3:$F$13,3,0),0)</f>
        <v>0</v>
      </c>
      <c r="Z929" s="2">
        <f t="shared" si="516"/>
        <v>6</v>
      </c>
      <c r="AA929" s="4">
        <f t="shared" si="517"/>
        <v>760000</v>
      </c>
      <c r="AB929" s="4">
        <f t="shared" si="518"/>
        <v>340000</v>
      </c>
      <c r="AC929" s="4" t="s">
        <v>10</v>
      </c>
      <c r="AD929" s="16">
        <f>IFERROR(VLOOKUP(AC929,'Kode Diskon'!$C$2:$D$9,2,0),0)</f>
        <v>0</v>
      </c>
      <c r="AE929" s="31">
        <f t="shared" si="519"/>
        <v>0</v>
      </c>
      <c r="AF929" s="31">
        <f t="shared" si="520"/>
        <v>760000</v>
      </c>
      <c r="AG929" s="31">
        <f t="shared" si="521"/>
        <v>420000</v>
      </c>
      <c r="AH929" s="31">
        <f t="shared" si="522"/>
        <v>420000</v>
      </c>
      <c r="AI929" s="4" t="s">
        <v>10</v>
      </c>
      <c r="AJ929" s="4" t="s">
        <v>9</v>
      </c>
      <c r="AK929" s="4" t="str">
        <f>IFERROR(VLOOKUP(AJ929,'Guide '!$A$13:$B$16,2,0),"-")</f>
        <v>TK</v>
      </c>
      <c r="AL929" s="4" t="s">
        <v>925</v>
      </c>
      <c r="AM929" s="40">
        <v>45634</v>
      </c>
      <c r="AN929">
        <f t="shared" si="523"/>
        <v>29</v>
      </c>
      <c r="AO929">
        <f t="shared" si="524"/>
        <v>32</v>
      </c>
      <c r="AP929">
        <f t="shared" si="525"/>
        <v>40</v>
      </c>
      <c r="AQ929">
        <f t="shared" si="526"/>
        <v>43</v>
      </c>
      <c r="AR929" s="26">
        <f t="shared" si="527"/>
        <v>56</v>
      </c>
      <c r="AS929" s="26">
        <f t="shared" si="528"/>
        <v>63</v>
      </c>
      <c r="AT929" s="21">
        <f t="shared" si="529"/>
        <v>12</v>
      </c>
      <c r="AU929" s="21">
        <f t="shared" si="530"/>
        <v>19</v>
      </c>
      <c r="AV929">
        <f t="shared" si="531"/>
        <v>73</v>
      </c>
      <c r="AW929">
        <f t="shared" si="532"/>
        <v>76</v>
      </c>
      <c r="AX929">
        <f t="shared" si="533"/>
        <v>84</v>
      </c>
      <c r="AY929">
        <f t="shared" si="534"/>
        <v>87</v>
      </c>
      <c r="AZ929" t="str">
        <f t="shared" si="535"/>
        <v>-</v>
      </c>
      <c r="BA929" t="str">
        <f t="shared" si="536"/>
        <v>-</v>
      </c>
      <c r="BB929" t="str">
        <f t="shared" si="537"/>
        <v>-</v>
      </c>
      <c r="BC929" t="str">
        <f t="shared" si="538"/>
        <v>-</v>
      </c>
      <c r="BD929" s="29" t="str">
        <f t="shared" si="539"/>
        <v>-</v>
      </c>
      <c r="BE929" s="29" t="str">
        <f t="shared" si="540"/>
        <v>-</v>
      </c>
    </row>
    <row r="930" spans="1:57" ht="15" x14ac:dyDescent="0.2">
      <c r="A930" s="2">
        <v>687</v>
      </c>
      <c r="B930" s="2" t="str">
        <f t="shared" si="505"/>
        <v>0687</v>
      </c>
      <c r="C930" t="str">
        <f t="shared" si="506"/>
        <v>ORD-SP-0687-08/12/24</v>
      </c>
      <c r="D930" s="3" t="s">
        <v>303</v>
      </c>
      <c r="E930" t="str">
        <f t="shared" si="507"/>
        <v>PW003</v>
      </c>
      <c r="F930" t="str">
        <f>INDEX(Katalog!$B$4:$B$13,MATCH('Main Data'!E930,Katalog!$C$4:$C$13,0))</f>
        <v>Kaftan</v>
      </c>
      <c r="G930" t="str">
        <f>VLOOKUP(E930,Katalog!$A$15:$B$25,2,0)</f>
        <v>Pakaian Wanita</v>
      </c>
      <c r="H930" t="str">
        <f t="shared" si="508"/>
        <v>3</v>
      </c>
      <c r="I930" t="str">
        <f t="shared" si="509"/>
        <v>3</v>
      </c>
      <c r="J930" s="18">
        <f>VLOOKUP(E930,Katalog!$C$3:$F$13,2,0)</f>
        <v>200000</v>
      </c>
      <c r="K930" s="18">
        <f>VLOOKUP(E930,Katalog!$C$3:$F$13,3,0)</f>
        <v>100000</v>
      </c>
      <c r="L930" t="str">
        <f t="shared" si="510"/>
        <v>-</v>
      </c>
      <c r="M930" t="str">
        <f>IFERROR(INDEX(Katalog!$B$4:$B$13,MATCH('Main Data'!L930,Katalog!$C$4:$C$13,0)), "-")</f>
        <v>-</v>
      </c>
      <c r="N930" t="str">
        <f>IFERROR(VLOOKUP(L930,Katalog!$A$15:$B$25,2,0),"-")</f>
        <v>-</v>
      </c>
      <c r="O930">
        <f t="shared" si="511"/>
        <v>0</v>
      </c>
      <c r="P930" t="str">
        <f t="shared" si="512"/>
        <v>-</v>
      </c>
      <c r="Q930" s="18">
        <f>IFERROR(VLOOKUP(L930,Katalog!$C$3:$F$13,2,0),0)</f>
        <v>0</v>
      </c>
      <c r="R930" s="18">
        <f>IFERROR(VLOOKUP(L930,Katalog!$C$3:$F$13,3,0),0)</f>
        <v>0</v>
      </c>
      <c r="S930" t="str">
        <f t="shared" si="513"/>
        <v>-</v>
      </c>
      <c r="T930" t="str">
        <f>IFERROR(INDEX(Katalog!$B$4:$B$13,MATCH('Main Data'!S930,Katalog!$C$4:$C$13,0)),"-")</f>
        <v>-</v>
      </c>
      <c r="U930" t="str">
        <f>IFERROR(VLOOKUP(S930,Katalog!$A$15:$B$25,2,0),"-")</f>
        <v>-</v>
      </c>
      <c r="V930">
        <f t="shared" si="514"/>
        <v>0</v>
      </c>
      <c r="W930" s="28" t="str">
        <f t="shared" si="515"/>
        <v>-</v>
      </c>
      <c r="X930" s="18">
        <f>IFERROR(VLOOKUP(S930,Katalog!$C$3:$F$13,2,0),0)</f>
        <v>0</v>
      </c>
      <c r="Y930" s="30">
        <f>IFERROR(VLOOKUP(S930,Katalog!$C$3:$F$13,3,0),0)</f>
        <v>0</v>
      </c>
      <c r="Z930" s="2">
        <f t="shared" si="516"/>
        <v>3</v>
      </c>
      <c r="AA930" s="4">
        <f t="shared" si="517"/>
        <v>600000</v>
      </c>
      <c r="AB930" s="4">
        <f t="shared" si="518"/>
        <v>300000</v>
      </c>
      <c r="AC930" s="4" t="s">
        <v>7</v>
      </c>
      <c r="AD930" s="16">
        <f>IFERROR(VLOOKUP(AC930,'Kode Diskon'!$C$2:$D$9,2,0),0)</f>
        <v>0.2</v>
      </c>
      <c r="AE930" s="31">
        <f t="shared" si="519"/>
        <v>120000</v>
      </c>
      <c r="AF930" s="31">
        <f t="shared" si="520"/>
        <v>480000</v>
      </c>
      <c r="AG930" s="31">
        <f t="shared" si="521"/>
        <v>300000</v>
      </c>
      <c r="AH930" s="31">
        <f t="shared" si="522"/>
        <v>180000</v>
      </c>
      <c r="AI930" s="4" t="s">
        <v>8</v>
      </c>
      <c r="AJ930" s="4" t="s">
        <v>6</v>
      </c>
      <c r="AK930" s="4" t="str">
        <f>IFERROR(VLOOKUP(AJ930,'Guide '!$A$13:$B$16,2,0),"-")</f>
        <v>SP</v>
      </c>
      <c r="AL930" s="4" t="s">
        <v>925</v>
      </c>
      <c r="AM930" s="40">
        <v>45634</v>
      </c>
      <c r="AN930">
        <f t="shared" si="523"/>
        <v>29</v>
      </c>
      <c r="AO930">
        <f t="shared" si="524"/>
        <v>32</v>
      </c>
      <c r="AP930">
        <f t="shared" si="525"/>
        <v>40</v>
      </c>
      <c r="AQ930">
        <f t="shared" si="526"/>
        <v>43</v>
      </c>
      <c r="AR930" s="26" t="str">
        <f t="shared" si="527"/>
        <v>-</v>
      </c>
      <c r="AS930" s="26" t="str">
        <f t="shared" si="528"/>
        <v>-</v>
      </c>
      <c r="AT930" s="21">
        <f t="shared" si="529"/>
        <v>12</v>
      </c>
      <c r="AU930" s="21">
        <f t="shared" si="530"/>
        <v>19</v>
      </c>
      <c r="AV930" t="str">
        <f t="shared" si="531"/>
        <v>-</v>
      </c>
      <c r="AW930" t="str">
        <f t="shared" si="532"/>
        <v>-</v>
      </c>
      <c r="AX930" t="str">
        <f t="shared" si="533"/>
        <v>-</v>
      </c>
      <c r="AY930" t="str">
        <f t="shared" si="534"/>
        <v>-</v>
      </c>
      <c r="AZ930" t="str">
        <f t="shared" si="535"/>
        <v>-</v>
      </c>
      <c r="BA930" t="str">
        <f t="shared" si="536"/>
        <v>-</v>
      </c>
      <c r="BB930" t="str">
        <f t="shared" si="537"/>
        <v>-</v>
      </c>
      <c r="BC930" t="str">
        <f t="shared" si="538"/>
        <v>-</v>
      </c>
      <c r="BD930" s="29" t="str">
        <f t="shared" si="539"/>
        <v>-</v>
      </c>
      <c r="BE930" s="29" t="str">
        <f t="shared" si="540"/>
        <v>-</v>
      </c>
    </row>
    <row r="931" spans="1:57" ht="15" x14ac:dyDescent="0.2">
      <c r="A931" s="2">
        <v>9</v>
      </c>
      <c r="B931" s="2" t="str">
        <f t="shared" si="505"/>
        <v>0009</v>
      </c>
      <c r="C931" t="str">
        <f t="shared" si="506"/>
        <v>ORD-TK-0009-09/12/24</v>
      </c>
      <c r="D931" s="3" t="s">
        <v>83</v>
      </c>
      <c r="E931" t="str">
        <f t="shared" si="507"/>
        <v>PW002</v>
      </c>
      <c r="F931" t="str">
        <f>INDEX(Katalog!$B$4:$B$13,MATCH('Main Data'!E931,Katalog!$C$4:$C$13,0))</f>
        <v>Blouse</v>
      </c>
      <c r="G931" t="str">
        <f>VLOOKUP(E931,Katalog!$A$15:$B$25,2,0)</f>
        <v>Pakaian Wanita</v>
      </c>
      <c r="H931" t="str">
        <f t="shared" si="508"/>
        <v>1</v>
      </c>
      <c r="I931" t="str">
        <f t="shared" si="509"/>
        <v>3</v>
      </c>
      <c r="J931" s="18">
        <f>VLOOKUP(E931,Katalog!$C$3:$F$13,2,0)</f>
        <v>125000</v>
      </c>
      <c r="K931" s="18">
        <f>VLOOKUP(E931,Katalog!$C$3:$F$13,3,0)</f>
        <v>50000</v>
      </c>
      <c r="L931" t="str">
        <f t="shared" si="510"/>
        <v>PW001</v>
      </c>
      <c r="M931" t="str">
        <f>IFERROR(INDEX(Katalog!$B$4:$B$13,MATCH('Main Data'!L931,Katalog!$C$4:$C$13,0)), "-")</f>
        <v>Dress</v>
      </c>
      <c r="N931" t="str">
        <f>IFERROR(VLOOKUP(L931,Katalog!$A$15:$B$25,2,0),"-")</f>
        <v>Pakaian Wanita</v>
      </c>
      <c r="O931" t="str">
        <f t="shared" si="511"/>
        <v>1</v>
      </c>
      <c r="P931" t="str">
        <f t="shared" si="512"/>
        <v>2</v>
      </c>
      <c r="Q931" s="18">
        <f>IFERROR(VLOOKUP(L931,Katalog!$C$3:$F$13,2,0),0)</f>
        <v>150000</v>
      </c>
      <c r="R931" s="18">
        <f>IFERROR(VLOOKUP(L931,Katalog!$C$3:$F$13,3,0),0)</f>
        <v>55000</v>
      </c>
      <c r="S931" t="str">
        <f t="shared" si="513"/>
        <v>-</v>
      </c>
      <c r="T931" t="str">
        <f>IFERROR(INDEX(Katalog!$B$4:$B$13,MATCH('Main Data'!S931,Katalog!$C$4:$C$13,0)),"-")</f>
        <v>-</v>
      </c>
      <c r="U931" t="str">
        <f>IFERROR(VLOOKUP(S931,Katalog!$A$15:$B$25,2,0),"-")</f>
        <v>-</v>
      </c>
      <c r="V931">
        <f t="shared" si="514"/>
        <v>0</v>
      </c>
      <c r="W931" s="28" t="str">
        <f t="shared" si="515"/>
        <v>-</v>
      </c>
      <c r="X931" s="18">
        <f>IFERROR(VLOOKUP(S931,Katalog!$C$3:$F$13,2,0),0)</f>
        <v>0</v>
      </c>
      <c r="Y931" s="30">
        <f>IFERROR(VLOOKUP(S931,Katalog!$C$3:$F$13,3,0),0)</f>
        <v>0</v>
      </c>
      <c r="Z931" s="2">
        <f t="shared" si="516"/>
        <v>2</v>
      </c>
      <c r="AA931" s="4">
        <f t="shared" si="517"/>
        <v>275000</v>
      </c>
      <c r="AB931" s="4">
        <f t="shared" si="518"/>
        <v>105000</v>
      </c>
      <c r="AC931" s="4" t="s">
        <v>30</v>
      </c>
      <c r="AD931" s="16">
        <f>IFERROR(VLOOKUP(AC931,'Kode Diskon'!$C$2:$D$9,2,0),0)</f>
        <v>0.1</v>
      </c>
      <c r="AE931" s="31">
        <f t="shared" si="519"/>
        <v>27500</v>
      </c>
      <c r="AF931" s="31">
        <f t="shared" si="520"/>
        <v>247500</v>
      </c>
      <c r="AG931" s="31">
        <f t="shared" si="521"/>
        <v>170000</v>
      </c>
      <c r="AH931" s="31">
        <f t="shared" si="522"/>
        <v>142500</v>
      </c>
      <c r="AI931" s="4" t="s">
        <v>8</v>
      </c>
      <c r="AJ931" s="4" t="s">
        <v>9</v>
      </c>
      <c r="AK931" s="4" t="str">
        <f>IFERROR(VLOOKUP(AJ931,'Guide '!$A$13:$B$16,2,0),"-")</f>
        <v>TK</v>
      </c>
      <c r="AL931" s="4" t="s">
        <v>924</v>
      </c>
      <c r="AM931" s="40">
        <v>45635</v>
      </c>
      <c r="AN931">
        <f t="shared" si="523"/>
        <v>29</v>
      </c>
      <c r="AO931">
        <f t="shared" si="524"/>
        <v>32</v>
      </c>
      <c r="AP931">
        <f t="shared" si="525"/>
        <v>40</v>
      </c>
      <c r="AQ931">
        <f t="shared" si="526"/>
        <v>43</v>
      </c>
      <c r="AR931" s="26">
        <f t="shared" si="527"/>
        <v>56</v>
      </c>
      <c r="AS931" s="26">
        <f t="shared" si="528"/>
        <v>63</v>
      </c>
      <c r="AT931" s="21">
        <f t="shared" si="529"/>
        <v>12</v>
      </c>
      <c r="AU931" s="21">
        <f t="shared" si="530"/>
        <v>19</v>
      </c>
      <c r="AV931">
        <f t="shared" si="531"/>
        <v>73</v>
      </c>
      <c r="AW931">
        <f t="shared" si="532"/>
        <v>76</v>
      </c>
      <c r="AX931">
        <f t="shared" si="533"/>
        <v>84</v>
      </c>
      <c r="AY931">
        <f t="shared" si="534"/>
        <v>87</v>
      </c>
      <c r="AZ931" t="str">
        <f t="shared" si="535"/>
        <v>-</v>
      </c>
      <c r="BA931" t="str">
        <f t="shared" si="536"/>
        <v>-</v>
      </c>
      <c r="BB931" t="str">
        <f t="shared" si="537"/>
        <v>-</v>
      </c>
      <c r="BC931" t="str">
        <f t="shared" si="538"/>
        <v>-</v>
      </c>
      <c r="BD931" s="29" t="str">
        <f t="shared" si="539"/>
        <v>-</v>
      </c>
      <c r="BE931" s="29" t="str">
        <f t="shared" si="540"/>
        <v>-</v>
      </c>
    </row>
    <row r="932" spans="1:57" ht="15" x14ac:dyDescent="0.2">
      <c r="A932" s="2">
        <v>163</v>
      </c>
      <c r="B932" s="2" t="str">
        <f t="shared" si="505"/>
        <v>0163</v>
      </c>
      <c r="C932" t="str">
        <f t="shared" si="506"/>
        <v>ORD-BL-0163-09/12/24</v>
      </c>
      <c r="D932" s="3" t="s">
        <v>232</v>
      </c>
      <c r="E932" t="str">
        <f t="shared" si="507"/>
        <v>PP001</v>
      </c>
      <c r="F932" t="str">
        <f>INDEX(Katalog!$B$4:$B$13,MATCH('Main Data'!E932,Katalog!$C$4:$C$13,0))</f>
        <v>Kaos Polo</v>
      </c>
      <c r="G932" t="str">
        <f>VLOOKUP(E932,Katalog!$A$15:$B$25,2,0)</f>
        <v>Pakaian Pria</v>
      </c>
      <c r="H932" t="str">
        <f t="shared" si="508"/>
        <v>2</v>
      </c>
      <c r="I932" t="str">
        <f t="shared" si="509"/>
        <v>3</v>
      </c>
      <c r="J932" s="18">
        <f>VLOOKUP(E932,Katalog!$C$3:$F$13,2,0)</f>
        <v>80000</v>
      </c>
      <c r="K932" s="18">
        <f>VLOOKUP(E932,Katalog!$C$3:$F$13,3,0)</f>
        <v>30000</v>
      </c>
      <c r="L932" t="str">
        <f t="shared" si="510"/>
        <v>SP002</v>
      </c>
      <c r="M932" t="str">
        <f>IFERROR(INDEX(Katalog!$B$4:$B$13,MATCH('Main Data'!L932,Katalog!$C$4:$C$13,0)), "-")</f>
        <v>Sandal Slip On</v>
      </c>
      <c r="N932" t="str">
        <f>IFERROR(VLOOKUP(L932,Katalog!$A$15:$B$25,2,0),"-")</f>
        <v>Sepatu Pria</v>
      </c>
      <c r="O932" t="str">
        <f t="shared" si="511"/>
        <v>1</v>
      </c>
      <c r="P932" t="str">
        <f t="shared" si="512"/>
        <v>2</v>
      </c>
      <c r="Q932" s="18">
        <f>IFERROR(VLOOKUP(L932,Katalog!$C$3:$F$13,2,0),0)</f>
        <v>120000</v>
      </c>
      <c r="R932" s="18">
        <f>IFERROR(VLOOKUP(L932,Katalog!$C$3:$F$13,3,0),0)</f>
        <v>60000</v>
      </c>
      <c r="S932" t="str">
        <f t="shared" si="513"/>
        <v>PU001</v>
      </c>
      <c r="T932" t="str">
        <f>IFERROR(INDEX(Katalog!$B$4:$B$13,MATCH('Main Data'!S932,Katalog!$C$4:$C$13,0)),"-")</f>
        <v>Jaket Hoodie</v>
      </c>
      <c r="U932" t="str">
        <f>IFERROR(VLOOKUP(S932,Katalog!$A$15:$B$25,2,0),"-")</f>
        <v>Pakaian Unisex</v>
      </c>
      <c r="V932" t="str">
        <f t="shared" si="514"/>
        <v>1</v>
      </c>
      <c r="W932" s="28" t="str">
        <f t="shared" si="515"/>
        <v>1</v>
      </c>
      <c r="X932" s="18">
        <f>IFERROR(VLOOKUP(S932,Katalog!$C$3:$F$13,2,0),0)</f>
        <v>160000</v>
      </c>
      <c r="Y932" s="30">
        <f>IFERROR(VLOOKUP(S932,Katalog!$C$3:$F$13,3,0),0)</f>
        <v>60000</v>
      </c>
      <c r="Z932" s="2">
        <f t="shared" si="516"/>
        <v>4</v>
      </c>
      <c r="AA932" s="4">
        <f t="shared" si="517"/>
        <v>440000</v>
      </c>
      <c r="AB932" s="4">
        <f t="shared" si="518"/>
        <v>180000</v>
      </c>
      <c r="AC932" s="4" t="s">
        <v>31</v>
      </c>
      <c r="AD932" s="16">
        <f>IFERROR(VLOOKUP(AC932,'Kode Diskon'!$C$2:$D$9,2,0),0)</f>
        <v>0.15</v>
      </c>
      <c r="AE932" s="31">
        <f t="shared" si="519"/>
        <v>66000</v>
      </c>
      <c r="AF932" s="31">
        <f t="shared" si="520"/>
        <v>374000</v>
      </c>
      <c r="AG932" s="31">
        <f t="shared" si="521"/>
        <v>260000</v>
      </c>
      <c r="AH932" s="31">
        <f t="shared" si="522"/>
        <v>194000</v>
      </c>
      <c r="AI932" s="4" t="s">
        <v>8</v>
      </c>
      <c r="AJ932" s="4" t="s">
        <v>11</v>
      </c>
      <c r="AK932" s="4" t="str">
        <f>IFERROR(VLOOKUP(AJ932,'Guide '!$A$13:$B$16,2,0),"-")</f>
        <v>BL</v>
      </c>
      <c r="AL932" s="4" t="s">
        <v>921</v>
      </c>
      <c r="AM932" s="40">
        <v>45635</v>
      </c>
      <c r="AN932">
        <f t="shared" si="523"/>
        <v>29</v>
      </c>
      <c r="AO932">
        <f t="shared" si="524"/>
        <v>32</v>
      </c>
      <c r="AP932">
        <f t="shared" si="525"/>
        <v>40</v>
      </c>
      <c r="AQ932">
        <f t="shared" si="526"/>
        <v>43</v>
      </c>
      <c r="AR932" s="26">
        <f t="shared" si="527"/>
        <v>56</v>
      </c>
      <c r="AS932" s="26">
        <f t="shared" si="528"/>
        <v>63</v>
      </c>
      <c r="AT932" s="21">
        <f t="shared" si="529"/>
        <v>12</v>
      </c>
      <c r="AU932" s="21">
        <f t="shared" si="530"/>
        <v>19</v>
      </c>
      <c r="AV932">
        <f t="shared" si="531"/>
        <v>73</v>
      </c>
      <c r="AW932">
        <f t="shared" si="532"/>
        <v>76</v>
      </c>
      <c r="AX932">
        <f t="shared" si="533"/>
        <v>84</v>
      </c>
      <c r="AY932">
        <f t="shared" si="534"/>
        <v>87</v>
      </c>
      <c r="AZ932">
        <f t="shared" si="535"/>
        <v>100</v>
      </c>
      <c r="BA932">
        <f t="shared" si="536"/>
        <v>107</v>
      </c>
      <c r="BB932">
        <f t="shared" si="537"/>
        <v>117</v>
      </c>
      <c r="BC932">
        <f t="shared" si="538"/>
        <v>120</v>
      </c>
      <c r="BD932" s="29">
        <f t="shared" si="539"/>
        <v>128</v>
      </c>
      <c r="BE932" s="29">
        <f t="shared" si="540"/>
        <v>131</v>
      </c>
    </row>
    <row r="933" spans="1:57" ht="15" x14ac:dyDescent="0.2">
      <c r="A933" s="2">
        <v>541</v>
      </c>
      <c r="B933" s="2" t="str">
        <f t="shared" si="505"/>
        <v>0541</v>
      </c>
      <c r="C933" t="str">
        <f t="shared" si="506"/>
        <v>ORD-TK-0541-09/12/24</v>
      </c>
      <c r="D933" s="3" t="s">
        <v>565</v>
      </c>
      <c r="E933" t="str">
        <f t="shared" si="507"/>
        <v>PW001</v>
      </c>
      <c r="F933" t="str">
        <f>INDEX(Katalog!$B$4:$B$13,MATCH('Main Data'!E933,Katalog!$C$4:$C$13,0))</f>
        <v>Dress</v>
      </c>
      <c r="G933" t="str">
        <f>VLOOKUP(E933,Katalog!$A$15:$B$25,2,0)</f>
        <v>Pakaian Wanita</v>
      </c>
      <c r="H933" t="str">
        <f t="shared" si="508"/>
        <v>1</v>
      </c>
      <c r="I933" t="str">
        <f t="shared" si="509"/>
        <v>2</v>
      </c>
      <c r="J933" s="18">
        <f>VLOOKUP(E933,Katalog!$C$3:$F$13,2,0)</f>
        <v>150000</v>
      </c>
      <c r="K933" s="18">
        <f>VLOOKUP(E933,Katalog!$C$3:$F$13,3,0)</f>
        <v>55000</v>
      </c>
      <c r="L933" t="str">
        <f t="shared" si="510"/>
        <v>PP003</v>
      </c>
      <c r="M933" t="str">
        <f>IFERROR(INDEX(Katalog!$B$4:$B$13,MATCH('Main Data'!L933,Katalog!$C$4:$C$13,0)), "-")</f>
        <v>Jaket Jeans</v>
      </c>
      <c r="N933" t="str">
        <f>IFERROR(VLOOKUP(L933,Katalog!$A$15:$B$25,2,0),"-")</f>
        <v>Pakaian Pria</v>
      </c>
      <c r="O933" t="str">
        <f t="shared" si="511"/>
        <v>1</v>
      </c>
      <c r="P933" t="str">
        <f t="shared" si="512"/>
        <v>4</v>
      </c>
      <c r="Q933" s="18">
        <f>IFERROR(VLOOKUP(L933,Katalog!$C$3:$F$13,2,0),0)</f>
        <v>150000</v>
      </c>
      <c r="R933" s="18">
        <f>IFERROR(VLOOKUP(L933,Katalog!$C$3:$F$13,3,0),0)</f>
        <v>70000</v>
      </c>
      <c r="S933" t="str">
        <f t="shared" si="513"/>
        <v>-</v>
      </c>
      <c r="T933" t="str">
        <f>IFERROR(INDEX(Katalog!$B$4:$B$13,MATCH('Main Data'!S933,Katalog!$C$4:$C$13,0)),"-")</f>
        <v>-</v>
      </c>
      <c r="U933" t="str">
        <f>IFERROR(VLOOKUP(S933,Katalog!$A$15:$B$25,2,0),"-")</f>
        <v>-</v>
      </c>
      <c r="V933">
        <f t="shared" si="514"/>
        <v>0</v>
      </c>
      <c r="W933" s="28" t="str">
        <f t="shared" si="515"/>
        <v>-</v>
      </c>
      <c r="X933" s="18">
        <f>IFERROR(VLOOKUP(S933,Katalog!$C$3:$F$13,2,0),0)</f>
        <v>0</v>
      </c>
      <c r="Y933" s="30">
        <f>IFERROR(VLOOKUP(S933,Katalog!$C$3:$F$13,3,0),0)</f>
        <v>0</v>
      </c>
      <c r="Z933" s="2">
        <f t="shared" si="516"/>
        <v>2</v>
      </c>
      <c r="AA933" s="4">
        <f t="shared" si="517"/>
        <v>300000</v>
      </c>
      <c r="AB933" s="4">
        <f t="shared" si="518"/>
        <v>125000</v>
      </c>
      <c r="AC933" s="4" t="s">
        <v>29</v>
      </c>
      <c r="AD933" s="16">
        <f>IFERROR(VLOOKUP(AC933,'Kode Diskon'!$C$2:$D$9,2,0),0)</f>
        <v>0.1</v>
      </c>
      <c r="AE933" s="31">
        <f t="shared" si="519"/>
        <v>30000</v>
      </c>
      <c r="AF933" s="31">
        <f t="shared" si="520"/>
        <v>270000</v>
      </c>
      <c r="AG933" s="31">
        <f t="shared" si="521"/>
        <v>175000</v>
      </c>
      <c r="AH933" s="31">
        <f t="shared" si="522"/>
        <v>145000</v>
      </c>
      <c r="AI933" s="4" t="s">
        <v>28</v>
      </c>
      <c r="AJ933" s="4" t="s">
        <v>9</v>
      </c>
      <c r="AK933" s="4" t="str">
        <f>IFERROR(VLOOKUP(AJ933,'Guide '!$A$13:$B$16,2,0),"-")</f>
        <v>TK</v>
      </c>
      <c r="AL933" s="4" t="s">
        <v>925</v>
      </c>
      <c r="AM933" s="40">
        <v>45635</v>
      </c>
      <c r="AN933">
        <f t="shared" si="523"/>
        <v>29</v>
      </c>
      <c r="AO933">
        <f t="shared" si="524"/>
        <v>32</v>
      </c>
      <c r="AP933">
        <f t="shared" si="525"/>
        <v>40</v>
      </c>
      <c r="AQ933">
        <f t="shared" si="526"/>
        <v>43</v>
      </c>
      <c r="AR933" s="26">
        <f t="shared" si="527"/>
        <v>56</v>
      </c>
      <c r="AS933" s="26">
        <f t="shared" si="528"/>
        <v>63</v>
      </c>
      <c r="AT933" s="21">
        <f t="shared" si="529"/>
        <v>12</v>
      </c>
      <c r="AU933" s="21">
        <f t="shared" si="530"/>
        <v>19</v>
      </c>
      <c r="AV933">
        <f t="shared" si="531"/>
        <v>73</v>
      </c>
      <c r="AW933">
        <f t="shared" si="532"/>
        <v>76</v>
      </c>
      <c r="AX933">
        <f t="shared" si="533"/>
        <v>84</v>
      </c>
      <c r="AY933">
        <f t="shared" si="534"/>
        <v>87</v>
      </c>
      <c r="AZ933" t="str">
        <f t="shared" si="535"/>
        <v>-</v>
      </c>
      <c r="BA933" t="str">
        <f t="shared" si="536"/>
        <v>-</v>
      </c>
      <c r="BB933" t="str">
        <f t="shared" si="537"/>
        <v>-</v>
      </c>
      <c r="BC933" t="str">
        <f t="shared" si="538"/>
        <v>-</v>
      </c>
      <c r="BD933" s="29" t="str">
        <f t="shared" si="539"/>
        <v>-</v>
      </c>
      <c r="BE933" s="29" t="str">
        <f t="shared" si="540"/>
        <v>-</v>
      </c>
    </row>
    <row r="934" spans="1:57" ht="15" x14ac:dyDescent="0.2">
      <c r="A934" s="2">
        <v>377</v>
      </c>
      <c r="B934" s="2" t="str">
        <f t="shared" si="505"/>
        <v>0377</v>
      </c>
      <c r="C934" t="str">
        <f t="shared" si="506"/>
        <v>ORD-SP-0377-10/12/24</v>
      </c>
      <c r="D934" s="3" t="s">
        <v>426</v>
      </c>
      <c r="E934" t="str">
        <f t="shared" si="507"/>
        <v>PW001</v>
      </c>
      <c r="F934" t="str">
        <f>INDEX(Katalog!$B$4:$B$13,MATCH('Main Data'!E934,Katalog!$C$4:$C$13,0))</f>
        <v>Dress</v>
      </c>
      <c r="G934" t="str">
        <f>VLOOKUP(E934,Katalog!$A$15:$B$25,2,0)</f>
        <v>Pakaian Wanita</v>
      </c>
      <c r="H934" t="str">
        <f t="shared" si="508"/>
        <v>2</v>
      </c>
      <c r="I934" t="str">
        <f t="shared" si="509"/>
        <v>1</v>
      </c>
      <c r="J934" s="18">
        <f>VLOOKUP(E934,Katalog!$C$3:$F$13,2,0)</f>
        <v>150000</v>
      </c>
      <c r="K934" s="18">
        <f>VLOOKUP(E934,Katalog!$C$3:$F$13,3,0)</f>
        <v>55000</v>
      </c>
      <c r="L934" t="str">
        <f t="shared" si="510"/>
        <v>SP001</v>
      </c>
      <c r="M934" t="str">
        <f>IFERROR(INDEX(Katalog!$B$4:$B$13,MATCH('Main Data'!L934,Katalog!$C$4:$C$13,0)), "-")</f>
        <v>Sneakers</v>
      </c>
      <c r="N934" t="str">
        <f>IFERROR(VLOOKUP(L934,Katalog!$A$15:$B$25,2,0),"-")</f>
        <v>Sepatu Pria</v>
      </c>
      <c r="O934" t="str">
        <f t="shared" si="511"/>
        <v>4</v>
      </c>
      <c r="P934" t="str">
        <f t="shared" si="512"/>
        <v>3</v>
      </c>
      <c r="Q934" s="18">
        <f>IFERROR(VLOOKUP(L934,Katalog!$C$3:$F$13,2,0),0)</f>
        <v>300000</v>
      </c>
      <c r="R934" s="18">
        <f>IFERROR(VLOOKUP(L934,Katalog!$C$3:$F$13,3,0),0)</f>
        <v>100000</v>
      </c>
      <c r="S934" t="str">
        <f t="shared" si="513"/>
        <v>-</v>
      </c>
      <c r="T934" t="str">
        <f>IFERROR(INDEX(Katalog!$B$4:$B$13,MATCH('Main Data'!S934,Katalog!$C$4:$C$13,0)),"-")</f>
        <v>-</v>
      </c>
      <c r="U934" t="str">
        <f>IFERROR(VLOOKUP(S934,Katalog!$A$15:$B$25,2,0),"-")</f>
        <v>-</v>
      </c>
      <c r="V934">
        <f t="shared" si="514"/>
        <v>0</v>
      </c>
      <c r="W934" s="28" t="str">
        <f t="shared" si="515"/>
        <v>-</v>
      </c>
      <c r="X934" s="18">
        <f>IFERROR(VLOOKUP(S934,Katalog!$C$3:$F$13,2,0),0)</f>
        <v>0</v>
      </c>
      <c r="Y934" s="30">
        <f>IFERROR(VLOOKUP(S934,Katalog!$C$3:$F$13,3,0),0)</f>
        <v>0</v>
      </c>
      <c r="Z934" s="2">
        <f t="shared" si="516"/>
        <v>6</v>
      </c>
      <c r="AA934" s="4">
        <f t="shared" si="517"/>
        <v>1500000</v>
      </c>
      <c r="AB934" s="4">
        <f t="shared" si="518"/>
        <v>510000</v>
      </c>
      <c r="AC934" s="4" t="s">
        <v>7</v>
      </c>
      <c r="AD934" s="16">
        <f>IFERROR(VLOOKUP(AC934,'Kode Diskon'!$C$2:$D$9,2,0),0)</f>
        <v>0.2</v>
      </c>
      <c r="AE934" s="31">
        <f t="shared" si="519"/>
        <v>300000</v>
      </c>
      <c r="AF934" s="31">
        <f t="shared" si="520"/>
        <v>1200000</v>
      </c>
      <c r="AG934" s="31">
        <f t="shared" si="521"/>
        <v>990000</v>
      </c>
      <c r="AH934" s="31">
        <f t="shared" si="522"/>
        <v>690000</v>
      </c>
      <c r="AI934" s="4" t="s">
        <v>8</v>
      </c>
      <c r="AJ934" s="4" t="s">
        <v>6</v>
      </c>
      <c r="AK934" s="4" t="str">
        <f>IFERROR(VLOOKUP(AJ934,'Guide '!$A$13:$B$16,2,0),"-")</f>
        <v>SP</v>
      </c>
      <c r="AL934" s="4" t="s">
        <v>925</v>
      </c>
      <c r="AM934" s="40">
        <v>45636</v>
      </c>
      <c r="AN934">
        <f t="shared" si="523"/>
        <v>29</v>
      </c>
      <c r="AO934">
        <f t="shared" si="524"/>
        <v>32</v>
      </c>
      <c r="AP934">
        <f t="shared" si="525"/>
        <v>40</v>
      </c>
      <c r="AQ934">
        <f t="shared" si="526"/>
        <v>43</v>
      </c>
      <c r="AR934" s="26">
        <f t="shared" si="527"/>
        <v>56</v>
      </c>
      <c r="AS934" s="26">
        <f t="shared" si="528"/>
        <v>63</v>
      </c>
      <c r="AT934" s="21">
        <f t="shared" si="529"/>
        <v>12</v>
      </c>
      <c r="AU934" s="21">
        <f t="shared" si="530"/>
        <v>19</v>
      </c>
      <c r="AV934">
        <f t="shared" si="531"/>
        <v>73</v>
      </c>
      <c r="AW934">
        <f t="shared" si="532"/>
        <v>76</v>
      </c>
      <c r="AX934">
        <f t="shared" si="533"/>
        <v>84</v>
      </c>
      <c r="AY934">
        <f t="shared" si="534"/>
        <v>87</v>
      </c>
      <c r="AZ934" t="str">
        <f t="shared" si="535"/>
        <v>-</v>
      </c>
      <c r="BA934" t="str">
        <f t="shared" si="536"/>
        <v>-</v>
      </c>
      <c r="BB934" t="str">
        <f t="shared" si="537"/>
        <v>-</v>
      </c>
      <c r="BC934" t="str">
        <f t="shared" si="538"/>
        <v>-</v>
      </c>
      <c r="BD934" s="29" t="str">
        <f t="shared" si="539"/>
        <v>-</v>
      </c>
      <c r="BE934" s="29" t="str">
        <f t="shared" si="540"/>
        <v>-</v>
      </c>
    </row>
    <row r="935" spans="1:57" ht="15" x14ac:dyDescent="0.2">
      <c r="A935" s="2">
        <v>426</v>
      </c>
      <c r="B935" s="2" t="str">
        <f t="shared" si="505"/>
        <v>0426</v>
      </c>
      <c r="C935" t="str">
        <f t="shared" si="506"/>
        <v>ORD-SP-0426-10/12/24</v>
      </c>
      <c r="D935" s="3" t="s">
        <v>116</v>
      </c>
      <c r="E935" t="str">
        <f t="shared" si="507"/>
        <v>PP003</v>
      </c>
      <c r="F935" t="str">
        <f>INDEX(Katalog!$B$4:$B$13,MATCH('Main Data'!E935,Katalog!$C$4:$C$13,0))</f>
        <v>Jaket Jeans</v>
      </c>
      <c r="G935" t="str">
        <f>VLOOKUP(E935,Katalog!$A$15:$B$25,2,0)</f>
        <v>Pakaian Pria</v>
      </c>
      <c r="H935" t="str">
        <f t="shared" si="508"/>
        <v>1</v>
      </c>
      <c r="I935" t="str">
        <f t="shared" si="509"/>
        <v>5</v>
      </c>
      <c r="J935" s="18">
        <f>VLOOKUP(E935,Katalog!$C$3:$F$13,2,0)</f>
        <v>150000</v>
      </c>
      <c r="K935" s="18">
        <f>VLOOKUP(E935,Katalog!$C$3:$F$13,3,0)</f>
        <v>70000</v>
      </c>
      <c r="L935" t="str">
        <f t="shared" si="510"/>
        <v>-</v>
      </c>
      <c r="M935" t="str">
        <f>IFERROR(INDEX(Katalog!$B$4:$B$13,MATCH('Main Data'!L935,Katalog!$C$4:$C$13,0)), "-")</f>
        <v>-</v>
      </c>
      <c r="N935" t="str">
        <f>IFERROR(VLOOKUP(L935,Katalog!$A$15:$B$25,2,0),"-")</f>
        <v>-</v>
      </c>
      <c r="O935">
        <f t="shared" si="511"/>
        <v>0</v>
      </c>
      <c r="P935" t="str">
        <f t="shared" si="512"/>
        <v>-</v>
      </c>
      <c r="Q935" s="18">
        <f>IFERROR(VLOOKUP(L935,Katalog!$C$3:$F$13,2,0),0)</f>
        <v>0</v>
      </c>
      <c r="R935" s="18">
        <f>IFERROR(VLOOKUP(L935,Katalog!$C$3:$F$13,3,0),0)</f>
        <v>0</v>
      </c>
      <c r="S935" t="str">
        <f t="shared" si="513"/>
        <v>-</v>
      </c>
      <c r="T935" t="str">
        <f>IFERROR(INDEX(Katalog!$B$4:$B$13,MATCH('Main Data'!S935,Katalog!$C$4:$C$13,0)),"-")</f>
        <v>-</v>
      </c>
      <c r="U935" t="str">
        <f>IFERROR(VLOOKUP(S935,Katalog!$A$15:$B$25,2,0),"-")</f>
        <v>-</v>
      </c>
      <c r="V935">
        <f t="shared" si="514"/>
        <v>0</v>
      </c>
      <c r="W935" s="28" t="str">
        <f t="shared" si="515"/>
        <v>-</v>
      </c>
      <c r="X935" s="18">
        <f>IFERROR(VLOOKUP(S935,Katalog!$C$3:$F$13,2,0),0)</f>
        <v>0</v>
      </c>
      <c r="Y935" s="30">
        <f>IFERROR(VLOOKUP(S935,Katalog!$C$3:$F$13,3,0),0)</f>
        <v>0</v>
      </c>
      <c r="Z935" s="2">
        <f t="shared" si="516"/>
        <v>1</v>
      </c>
      <c r="AA935" s="4">
        <f t="shared" si="517"/>
        <v>150000</v>
      </c>
      <c r="AB935" s="4">
        <f t="shared" si="518"/>
        <v>70000</v>
      </c>
      <c r="AC935" s="4" t="s">
        <v>7</v>
      </c>
      <c r="AD935" s="16">
        <f>IFERROR(VLOOKUP(AC935,'Kode Diskon'!$C$2:$D$9,2,0),0)</f>
        <v>0.2</v>
      </c>
      <c r="AE935" s="31">
        <f t="shared" si="519"/>
        <v>30000</v>
      </c>
      <c r="AF935" s="31">
        <f t="shared" si="520"/>
        <v>120000</v>
      </c>
      <c r="AG935" s="31">
        <f t="shared" si="521"/>
        <v>80000</v>
      </c>
      <c r="AH935" s="31">
        <f t="shared" si="522"/>
        <v>50000</v>
      </c>
      <c r="AI935" s="4" t="s">
        <v>8</v>
      </c>
      <c r="AJ935" s="4" t="s">
        <v>6</v>
      </c>
      <c r="AK935" s="4" t="str">
        <f>IFERROR(VLOOKUP(AJ935,'Guide '!$A$13:$B$16,2,0),"-")</f>
        <v>SP</v>
      </c>
      <c r="AL935" s="4" t="s">
        <v>921</v>
      </c>
      <c r="AM935" s="40">
        <v>45636</v>
      </c>
      <c r="AN935">
        <f t="shared" si="523"/>
        <v>29</v>
      </c>
      <c r="AO935">
        <f t="shared" si="524"/>
        <v>32</v>
      </c>
      <c r="AP935">
        <f t="shared" si="525"/>
        <v>40</v>
      </c>
      <c r="AQ935">
        <f t="shared" si="526"/>
        <v>43</v>
      </c>
      <c r="AR935" s="26" t="str">
        <f t="shared" si="527"/>
        <v>-</v>
      </c>
      <c r="AS935" s="26" t="str">
        <f t="shared" si="528"/>
        <v>-</v>
      </c>
      <c r="AT935" s="21">
        <f t="shared" si="529"/>
        <v>12</v>
      </c>
      <c r="AU935" s="21">
        <f t="shared" si="530"/>
        <v>19</v>
      </c>
      <c r="AV935" t="str">
        <f t="shared" si="531"/>
        <v>-</v>
      </c>
      <c r="AW935" t="str">
        <f t="shared" si="532"/>
        <v>-</v>
      </c>
      <c r="AX935" t="str">
        <f t="shared" si="533"/>
        <v>-</v>
      </c>
      <c r="AY935" t="str">
        <f t="shared" si="534"/>
        <v>-</v>
      </c>
      <c r="AZ935" t="str">
        <f t="shared" si="535"/>
        <v>-</v>
      </c>
      <c r="BA935" t="str">
        <f t="shared" si="536"/>
        <v>-</v>
      </c>
      <c r="BB935" t="str">
        <f t="shared" si="537"/>
        <v>-</v>
      </c>
      <c r="BC935" t="str">
        <f t="shared" si="538"/>
        <v>-</v>
      </c>
      <c r="BD935" s="29" t="str">
        <f t="shared" si="539"/>
        <v>-</v>
      </c>
      <c r="BE935" s="29" t="str">
        <f t="shared" si="540"/>
        <v>-</v>
      </c>
    </row>
    <row r="936" spans="1:57" ht="15" x14ac:dyDescent="0.2">
      <c r="A936" s="2">
        <v>526</v>
      </c>
      <c r="B936" s="2" t="str">
        <f t="shared" si="505"/>
        <v>0526</v>
      </c>
      <c r="C936" t="str">
        <f t="shared" si="506"/>
        <v>ORD-TK-0526-10/12/24</v>
      </c>
      <c r="D936" s="3" t="s">
        <v>554</v>
      </c>
      <c r="E936" t="str">
        <f t="shared" si="507"/>
        <v>PP002</v>
      </c>
      <c r="F936" t="str">
        <f>INDEX(Katalog!$B$4:$B$13,MATCH('Main Data'!E936,Katalog!$C$4:$C$13,0))</f>
        <v>Celana Pendek</v>
      </c>
      <c r="G936" t="str">
        <f>VLOOKUP(E936,Katalog!$A$15:$B$25,2,0)</f>
        <v>Pakaian Pria</v>
      </c>
      <c r="H936" t="str">
        <f t="shared" si="508"/>
        <v>1</v>
      </c>
      <c r="I936" t="str">
        <f t="shared" si="509"/>
        <v>5</v>
      </c>
      <c r="J936" s="18">
        <f>VLOOKUP(E936,Katalog!$C$3:$F$13,2,0)</f>
        <v>60000</v>
      </c>
      <c r="K936" s="18">
        <f>VLOOKUP(E936,Katalog!$C$3:$F$13,3,0)</f>
        <v>25000</v>
      </c>
      <c r="L936" t="str">
        <f t="shared" si="510"/>
        <v>SP002</v>
      </c>
      <c r="M936" t="str">
        <f>IFERROR(INDEX(Katalog!$B$4:$B$13,MATCH('Main Data'!L936,Katalog!$C$4:$C$13,0)), "-")</f>
        <v>Sandal Slip On</v>
      </c>
      <c r="N936" t="str">
        <f>IFERROR(VLOOKUP(L936,Katalog!$A$15:$B$25,2,0),"-")</f>
        <v>Sepatu Pria</v>
      </c>
      <c r="O936" t="str">
        <f t="shared" si="511"/>
        <v>4</v>
      </c>
      <c r="P936" t="str">
        <f t="shared" si="512"/>
        <v>4</v>
      </c>
      <c r="Q936" s="18">
        <f>IFERROR(VLOOKUP(L936,Katalog!$C$3:$F$13,2,0),0)</f>
        <v>120000</v>
      </c>
      <c r="R936" s="18">
        <f>IFERROR(VLOOKUP(L936,Katalog!$C$3:$F$13,3,0),0)</f>
        <v>60000</v>
      </c>
      <c r="S936" t="str">
        <f t="shared" si="513"/>
        <v>PW002</v>
      </c>
      <c r="T936" t="str">
        <f>IFERROR(INDEX(Katalog!$B$4:$B$13,MATCH('Main Data'!S936,Katalog!$C$4:$C$13,0)),"-")</f>
        <v>Blouse</v>
      </c>
      <c r="U936" t="str">
        <f>IFERROR(VLOOKUP(S936,Katalog!$A$15:$B$25,2,0),"-")</f>
        <v>Pakaian Wanita</v>
      </c>
      <c r="V936" t="str">
        <f t="shared" si="514"/>
        <v>1</v>
      </c>
      <c r="W936" s="28" t="str">
        <f t="shared" si="515"/>
        <v>5</v>
      </c>
      <c r="X936" s="18">
        <f>IFERROR(VLOOKUP(S936,Katalog!$C$3:$F$13,2,0),0)</f>
        <v>125000</v>
      </c>
      <c r="Y936" s="30">
        <f>IFERROR(VLOOKUP(S936,Katalog!$C$3:$F$13,3,0),0)</f>
        <v>50000</v>
      </c>
      <c r="Z936" s="2">
        <f t="shared" si="516"/>
        <v>6</v>
      </c>
      <c r="AA936" s="4">
        <f t="shared" si="517"/>
        <v>665000</v>
      </c>
      <c r="AB936" s="4">
        <f t="shared" si="518"/>
        <v>315000</v>
      </c>
      <c r="AC936" s="4" t="s">
        <v>30</v>
      </c>
      <c r="AD936" s="16">
        <f>IFERROR(VLOOKUP(AC936,'Kode Diskon'!$C$2:$D$9,2,0),0)</f>
        <v>0.1</v>
      </c>
      <c r="AE936" s="31">
        <f t="shared" si="519"/>
        <v>66500</v>
      </c>
      <c r="AF936" s="31">
        <f t="shared" si="520"/>
        <v>598500</v>
      </c>
      <c r="AG936" s="31">
        <f t="shared" si="521"/>
        <v>350000</v>
      </c>
      <c r="AH936" s="31">
        <f t="shared" si="522"/>
        <v>283500</v>
      </c>
      <c r="AI936" s="4" t="s">
        <v>8</v>
      </c>
      <c r="AJ936" s="4" t="s">
        <v>9</v>
      </c>
      <c r="AK936" s="4" t="str">
        <f>IFERROR(VLOOKUP(AJ936,'Guide '!$A$13:$B$16,2,0),"-")</f>
        <v>TK</v>
      </c>
      <c r="AL936" s="4" t="s">
        <v>922</v>
      </c>
      <c r="AM936" s="40">
        <v>45636</v>
      </c>
      <c r="AN936">
        <f t="shared" si="523"/>
        <v>29</v>
      </c>
      <c r="AO936">
        <f t="shared" si="524"/>
        <v>32</v>
      </c>
      <c r="AP936">
        <f t="shared" si="525"/>
        <v>40</v>
      </c>
      <c r="AQ936">
        <f t="shared" si="526"/>
        <v>43</v>
      </c>
      <c r="AR936" s="26">
        <f t="shared" si="527"/>
        <v>56</v>
      </c>
      <c r="AS936" s="26">
        <f t="shared" si="528"/>
        <v>63</v>
      </c>
      <c r="AT936" s="21">
        <f t="shared" si="529"/>
        <v>12</v>
      </c>
      <c r="AU936" s="21">
        <f t="shared" si="530"/>
        <v>19</v>
      </c>
      <c r="AV936">
        <f t="shared" si="531"/>
        <v>73</v>
      </c>
      <c r="AW936">
        <f t="shared" si="532"/>
        <v>76</v>
      </c>
      <c r="AX936">
        <f t="shared" si="533"/>
        <v>84</v>
      </c>
      <c r="AY936">
        <f t="shared" si="534"/>
        <v>87</v>
      </c>
      <c r="AZ936">
        <f t="shared" si="535"/>
        <v>100</v>
      </c>
      <c r="BA936">
        <f t="shared" si="536"/>
        <v>107</v>
      </c>
      <c r="BB936">
        <f t="shared" si="537"/>
        <v>117</v>
      </c>
      <c r="BC936">
        <f t="shared" si="538"/>
        <v>120</v>
      </c>
      <c r="BD936" s="29">
        <f t="shared" si="539"/>
        <v>128</v>
      </c>
      <c r="BE936" s="29">
        <f t="shared" si="540"/>
        <v>131</v>
      </c>
    </row>
    <row r="937" spans="1:57" ht="15" x14ac:dyDescent="0.2">
      <c r="A937" s="2">
        <v>533</v>
      </c>
      <c r="B937" s="2" t="str">
        <f t="shared" si="505"/>
        <v>0533</v>
      </c>
      <c r="C937" t="str">
        <f t="shared" si="506"/>
        <v>ORD-BB-0533-10/12/24</v>
      </c>
      <c r="D937" s="3" t="s">
        <v>560</v>
      </c>
      <c r="E937" t="str">
        <f t="shared" si="507"/>
        <v>PW002</v>
      </c>
      <c r="F937" t="str">
        <f>INDEX(Katalog!$B$4:$B$13,MATCH('Main Data'!E937,Katalog!$C$4:$C$13,0))</f>
        <v>Blouse</v>
      </c>
      <c r="G937" t="str">
        <f>VLOOKUP(E937,Katalog!$A$15:$B$25,2,0)</f>
        <v>Pakaian Wanita</v>
      </c>
      <c r="H937" t="str">
        <f t="shared" si="508"/>
        <v>5</v>
      </c>
      <c r="I937" t="str">
        <f t="shared" si="509"/>
        <v>1</v>
      </c>
      <c r="J937" s="18">
        <f>VLOOKUP(E937,Katalog!$C$3:$F$13,2,0)</f>
        <v>125000</v>
      </c>
      <c r="K937" s="18">
        <f>VLOOKUP(E937,Katalog!$C$3:$F$13,3,0)</f>
        <v>50000</v>
      </c>
      <c r="L937" t="str">
        <f t="shared" si="510"/>
        <v>PP001</v>
      </c>
      <c r="M937" t="str">
        <f>IFERROR(INDEX(Katalog!$B$4:$B$13,MATCH('Main Data'!L937,Katalog!$C$4:$C$13,0)), "-")</f>
        <v>Kaos Polo</v>
      </c>
      <c r="N937" t="str">
        <f>IFERROR(VLOOKUP(L937,Katalog!$A$15:$B$25,2,0),"-")</f>
        <v>Pakaian Pria</v>
      </c>
      <c r="O937" t="str">
        <f t="shared" si="511"/>
        <v>2</v>
      </c>
      <c r="P937" t="str">
        <f t="shared" si="512"/>
        <v>2</v>
      </c>
      <c r="Q937" s="18">
        <f>IFERROR(VLOOKUP(L937,Katalog!$C$3:$F$13,2,0),0)</f>
        <v>80000</v>
      </c>
      <c r="R937" s="18">
        <f>IFERROR(VLOOKUP(L937,Katalog!$C$3:$F$13,3,0),0)</f>
        <v>30000</v>
      </c>
      <c r="S937" t="str">
        <f t="shared" si="513"/>
        <v>-</v>
      </c>
      <c r="T937" t="str">
        <f>IFERROR(INDEX(Katalog!$B$4:$B$13,MATCH('Main Data'!S937,Katalog!$C$4:$C$13,0)),"-")</f>
        <v>-</v>
      </c>
      <c r="U937" t="str">
        <f>IFERROR(VLOOKUP(S937,Katalog!$A$15:$B$25,2,0),"-")</f>
        <v>-</v>
      </c>
      <c r="V937">
        <f t="shared" si="514"/>
        <v>0</v>
      </c>
      <c r="W937" s="28" t="str">
        <f t="shared" si="515"/>
        <v>-</v>
      </c>
      <c r="X937" s="18">
        <f>IFERROR(VLOOKUP(S937,Katalog!$C$3:$F$13,2,0),0)</f>
        <v>0</v>
      </c>
      <c r="Y937" s="30">
        <f>IFERROR(VLOOKUP(S937,Katalog!$C$3:$F$13,3,0),0)</f>
        <v>0</v>
      </c>
      <c r="Z937" s="2">
        <f t="shared" si="516"/>
        <v>7</v>
      </c>
      <c r="AA937" s="4">
        <f t="shared" si="517"/>
        <v>785000</v>
      </c>
      <c r="AB937" s="4">
        <f t="shared" si="518"/>
        <v>310000</v>
      </c>
      <c r="AC937" s="4" t="s">
        <v>27</v>
      </c>
      <c r="AD937" s="16">
        <f>IFERROR(VLOOKUP(AC937,'Kode Diskon'!$C$2:$D$9,2,0),0)</f>
        <v>0.15</v>
      </c>
      <c r="AE937" s="31">
        <f t="shared" si="519"/>
        <v>117750</v>
      </c>
      <c r="AF937" s="31">
        <f t="shared" si="520"/>
        <v>667250</v>
      </c>
      <c r="AG937" s="31">
        <f t="shared" si="521"/>
        <v>475000</v>
      </c>
      <c r="AH937" s="31">
        <f t="shared" si="522"/>
        <v>357250</v>
      </c>
      <c r="AI937" s="4" t="s">
        <v>28</v>
      </c>
      <c r="AJ937" s="4" t="s">
        <v>13</v>
      </c>
      <c r="AK937" s="4" t="str">
        <f>IFERROR(VLOOKUP(AJ937,'Guide '!$A$13:$B$16,2,0),"-")</f>
        <v>BB</v>
      </c>
      <c r="AL937" s="4" t="s">
        <v>925</v>
      </c>
      <c r="AM937" s="40">
        <v>45636</v>
      </c>
      <c r="AN937">
        <f t="shared" si="523"/>
        <v>29</v>
      </c>
      <c r="AO937">
        <f t="shared" si="524"/>
        <v>32</v>
      </c>
      <c r="AP937">
        <f t="shared" si="525"/>
        <v>40</v>
      </c>
      <c r="AQ937">
        <f t="shared" si="526"/>
        <v>43</v>
      </c>
      <c r="AR937" s="26">
        <f t="shared" si="527"/>
        <v>56</v>
      </c>
      <c r="AS937" s="26">
        <f t="shared" si="528"/>
        <v>63</v>
      </c>
      <c r="AT937" s="21">
        <f t="shared" si="529"/>
        <v>12</v>
      </c>
      <c r="AU937" s="21">
        <f t="shared" si="530"/>
        <v>19</v>
      </c>
      <c r="AV937">
        <f t="shared" si="531"/>
        <v>73</v>
      </c>
      <c r="AW937">
        <f t="shared" si="532"/>
        <v>76</v>
      </c>
      <c r="AX937">
        <f t="shared" si="533"/>
        <v>84</v>
      </c>
      <c r="AY937">
        <f t="shared" si="534"/>
        <v>87</v>
      </c>
      <c r="AZ937" t="str">
        <f t="shared" si="535"/>
        <v>-</v>
      </c>
      <c r="BA937" t="str">
        <f t="shared" si="536"/>
        <v>-</v>
      </c>
      <c r="BB937" t="str">
        <f t="shared" si="537"/>
        <v>-</v>
      </c>
      <c r="BC937" t="str">
        <f t="shared" si="538"/>
        <v>-</v>
      </c>
      <c r="BD937" s="29" t="str">
        <f t="shared" si="539"/>
        <v>-</v>
      </c>
      <c r="BE937" s="29" t="str">
        <f t="shared" si="540"/>
        <v>-</v>
      </c>
    </row>
    <row r="938" spans="1:57" ht="15" x14ac:dyDescent="0.2">
      <c r="A938" s="2">
        <v>562</v>
      </c>
      <c r="B938" s="2" t="str">
        <f t="shared" si="505"/>
        <v>0562</v>
      </c>
      <c r="C938" t="str">
        <f t="shared" si="506"/>
        <v>ORD-SP-0562-10/12/24</v>
      </c>
      <c r="D938" s="3" t="s">
        <v>584</v>
      </c>
      <c r="E938" t="str">
        <f t="shared" si="507"/>
        <v>PP003</v>
      </c>
      <c r="F938" t="str">
        <f>INDEX(Katalog!$B$4:$B$13,MATCH('Main Data'!E938,Katalog!$C$4:$C$13,0))</f>
        <v>Jaket Jeans</v>
      </c>
      <c r="G938" t="str">
        <f>VLOOKUP(E938,Katalog!$A$15:$B$25,2,0)</f>
        <v>Pakaian Pria</v>
      </c>
      <c r="H938" t="str">
        <f t="shared" si="508"/>
        <v>1</v>
      </c>
      <c r="I938" t="str">
        <f t="shared" si="509"/>
        <v>3</v>
      </c>
      <c r="J938" s="18">
        <f>VLOOKUP(E938,Katalog!$C$3:$F$13,2,0)</f>
        <v>150000</v>
      </c>
      <c r="K938" s="18">
        <f>VLOOKUP(E938,Katalog!$C$3:$F$13,3,0)</f>
        <v>70000</v>
      </c>
      <c r="L938" t="str">
        <f t="shared" si="510"/>
        <v>SP002</v>
      </c>
      <c r="M938" t="str">
        <f>IFERROR(INDEX(Katalog!$B$4:$B$13,MATCH('Main Data'!L938,Katalog!$C$4:$C$13,0)), "-")</f>
        <v>Sandal Slip On</v>
      </c>
      <c r="N938" t="str">
        <f>IFERROR(VLOOKUP(L938,Katalog!$A$15:$B$25,2,0),"-")</f>
        <v>Sepatu Pria</v>
      </c>
      <c r="O938" t="str">
        <f t="shared" si="511"/>
        <v>6</v>
      </c>
      <c r="P938" t="str">
        <f t="shared" si="512"/>
        <v>5</v>
      </c>
      <c r="Q938" s="18">
        <f>IFERROR(VLOOKUP(L938,Katalog!$C$3:$F$13,2,0),0)</f>
        <v>120000</v>
      </c>
      <c r="R938" s="18">
        <f>IFERROR(VLOOKUP(L938,Katalog!$C$3:$F$13,3,0),0)</f>
        <v>60000</v>
      </c>
      <c r="S938" t="str">
        <f t="shared" si="513"/>
        <v>-</v>
      </c>
      <c r="T938" t="str">
        <f>IFERROR(INDEX(Katalog!$B$4:$B$13,MATCH('Main Data'!S938,Katalog!$C$4:$C$13,0)),"-")</f>
        <v>-</v>
      </c>
      <c r="U938" t="str">
        <f>IFERROR(VLOOKUP(S938,Katalog!$A$15:$B$25,2,0),"-")</f>
        <v>-</v>
      </c>
      <c r="V938">
        <f t="shared" si="514"/>
        <v>0</v>
      </c>
      <c r="W938" s="28" t="str">
        <f t="shared" si="515"/>
        <v>-</v>
      </c>
      <c r="X938" s="18">
        <f>IFERROR(VLOOKUP(S938,Katalog!$C$3:$F$13,2,0),0)</f>
        <v>0</v>
      </c>
      <c r="Y938" s="30">
        <f>IFERROR(VLOOKUP(S938,Katalog!$C$3:$F$13,3,0),0)</f>
        <v>0</v>
      </c>
      <c r="Z938" s="2">
        <f t="shared" si="516"/>
        <v>7</v>
      </c>
      <c r="AA938" s="4">
        <f t="shared" si="517"/>
        <v>870000</v>
      </c>
      <c r="AB938" s="4">
        <f t="shared" si="518"/>
        <v>430000</v>
      </c>
      <c r="AC938" s="4" t="s">
        <v>5</v>
      </c>
      <c r="AD938" s="16">
        <f>IFERROR(VLOOKUP(AC938,'Kode Diskon'!$C$2:$D$9,2,0),0)</f>
        <v>0.1</v>
      </c>
      <c r="AE938" s="31">
        <f t="shared" si="519"/>
        <v>87000</v>
      </c>
      <c r="AF938" s="31">
        <f t="shared" si="520"/>
        <v>783000</v>
      </c>
      <c r="AG938" s="31">
        <f t="shared" si="521"/>
        <v>440000</v>
      </c>
      <c r="AH938" s="31">
        <f t="shared" si="522"/>
        <v>353000</v>
      </c>
      <c r="AI938" s="4" t="s">
        <v>28</v>
      </c>
      <c r="AJ938" s="4" t="s">
        <v>6</v>
      </c>
      <c r="AK938" s="4" t="str">
        <f>IFERROR(VLOOKUP(AJ938,'Guide '!$A$13:$B$16,2,0),"-")</f>
        <v>SP</v>
      </c>
      <c r="AL938" s="4" t="s">
        <v>923</v>
      </c>
      <c r="AM938" s="40">
        <v>45636</v>
      </c>
      <c r="AN938">
        <f t="shared" si="523"/>
        <v>29</v>
      </c>
      <c r="AO938">
        <f t="shared" si="524"/>
        <v>32</v>
      </c>
      <c r="AP938">
        <f t="shared" si="525"/>
        <v>40</v>
      </c>
      <c r="AQ938">
        <f t="shared" si="526"/>
        <v>43</v>
      </c>
      <c r="AR938" s="26">
        <f t="shared" si="527"/>
        <v>56</v>
      </c>
      <c r="AS938" s="26">
        <f t="shared" si="528"/>
        <v>63</v>
      </c>
      <c r="AT938" s="21">
        <f t="shared" si="529"/>
        <v>12</v>
      </c>
      <c r="AU938" s="21">
        <f t="shared" si="530"/>
        <v>19</v>
      </c>
      <c r="AV938">
        <f t="shared" si="531"/>
        <v>73</v>
      </c>
      <c r="AW938">
        <f t="shared" si="532"/>
        <v>76</v>
      </c>
      <c r="AX938">
        <f t="shared" si="533"/>
        <v>84</v>
      </c>
      <c r="AY938">
        <f t="shared" si="534"/>
        <v>87</v>
      </c>
      <c r="AZ938" t="str">
        <f t="shared" si="535"/>
        <v>-</v>
      </c>
      <c r="BA938" t="str">
        <f t="shared" si="536"/>
        <v>-</v>
      </c>
      <c r="BB938" t="str">
        <f t="shared" si="537"/>
        <v>-</v>
      </c>
      <c r="BC938" t="str">
        <f t="shared" si="538"/>
        <v>-</v>
      </c>
      <c r="BD938" s="29" t="str">
        <f t="shared" si="539"/>
        <v>-</v>
      </c>
      <c r="BE938" s="29" t="str">
        <f t="shared" si="540"/>
        <v>-</v>
      </c>
    </row>
    <row r="939" spans="1:57" ht="15" x14ac:dyDescent="0.2">
      <c r="A939" s="2">
        <v>595</v>
      </c>
      <c r="B939" s="2" t="str">
        <f t="shared" si="505"/>
        <v>0595</v>
      </c>
      <c r="C939" t="str">
        <f t="shared" si="506"/>
        <v>ORD-BL-0595-10/12/24</v>
      </c>
      <c r="D939" s="3" t="s">
        <v>608</v>
      </c>
      <c r="E939" t="str">
        <f t="shared" si="507"/>
        <v>PW002</v>
      </c>
      <c r="F939" t="str">
        <f>INDEX(Katalog!$B$4:$B$13,MATCH('Main Data'!E939,Katalog!$C$4:$C$13,0))</f>
        <v>Blouse</v>
      </c>
      <c r="G939" t="str">
        <f>VLOOKUP(E939,Katalog!$A$15:$B$25,2,0)</f>
        <v>Pakaian Wanita</v>
      </c>
      <c r="H939" t="str">
        <f t="shared" si="508"/>
        <v>2</v>
      </c>
      <c r="I939" t="str">
        <f t="shared" si="509"/>
        <v>3</v>
      </c>
      <c r="J939" s="18">
        <f>VLOOKUP(E939,Katalog!$C$3:$F$13,2,0)</f>
        <v>125000</v>
      </c>
      <c r="K939" s="18">
        <f>VLOOKUP(E939,Katalog!$C$3:$F$13,3,0)</f>
        <v>50000</v>
      </c>
      <c r="L939" t="str">
        <f t="shared" si="510"/>
        <v>PW001</v>
      </c>
      <c r="M939" t="str">
        <f>IFERROR(INDEX(Katalog!$B$4:$B$13,MATCH('Main Data'!L939,Katalog!$C$4:$C$13,0)), "-")</f>
        <v>Dress</v>
      </c>
      <c r="N939" t="str">
        <f>IFERROR(VLOOKUP(L939,Katalog!$A$15:$B$25,2,0),"-")</f>
        <v>Pakaian Wanita</v>
      </c>
      <c r="O939" t="str">
        <f t="shared" si="511"/>
        <v>2</v>
      </c>
      <c r="P939" t="str">
        <f t="shared" si="512"/>
        <v>2</v>
      </c>
      <c r="Q939" s="18">
        <f>IFERROR(VLOOKUP(L939,Katalog!$C$3:$F$13,2,0),0)</f>
        <v>150000</v>
      </c>
      <c r="R939" s="18">
        <f>IFERROR(VLOOKUP(L939,Katalog!$C$3:$F$13,3,0),0)</f>
        <v>55000</v>
      </c>
      <c r="S939" t="str">
        <f t="shared" si="513"/>
        <v>SP001</v>
      </c>
      <c r="T939" t="str">
        <f>IFERROR(INDEX(Katalog!$B$4:$B$13,MATCH('Main Data'!S939,Katalog!$C$4:$C$13,0)),"-")</f>
        <v>Sneakers</v>
      </c>
      <c r="U939" t="str">
        <f>IFERROR(VLOOKUP(S939,Katalog!$A$15:$B$25,2,0),"-")</f>
        <v>Sepatu Pria</v>
      </c>
      <c r="V939" t="str">
        <f t="shared" si="514"/>
        <v>2</v>
      </c>
      <c r="W939" s="28" t="str">
        <f t="shared" si="515"/>
        <v>2</v>
      </c>
      <c r="X939" s="18">
        <f>IFERROR(VLOOKUP(S939,Katalog!$C$3:$F$13,2,0),0)</f>
        <v>300000</v>
      </c>
      <c r="Y939" s="30">
        <f>IFERROR(VLOOKUP(S939,Katalog!$C$3:$F$13,3,0),0)</f>
        <v>100000</v>
      </c>
      <c r="Z939" s="2">
        <f t="shared" si="516"/>
        <v>6</v>
      </c>
      <c r="AA939" s="4">
        <f t="shared" si="517"/>
        <v>1150000</v>
      </c>
      <c r="AB939" s="4">
        <f t="shared" si="518"/>
        <v>410000</v>
      </c>
      <c r="AC939" s="4" t="s">
        <v>31</v>
      </c>
      <c r="AD939" s="16">
        <f>IFERROR(VLOOKUP(AC939,'Kode Diskon'!$C$2:$D$9,2,0),0)</f>
        <v>0.15</v>
      </c>
      <c r="AE939" s="31">
        <f t="shared" si="519"/>
        <v>172500</v>
      </c>
      <c r="AF939" s="31">
        <f t="shared" si="520"/>
        <v>977500</v>
      </c>
      <c r="AG939" s="31">
        <f t="shared" si="521"/>
        <v>740000</v>
      </c>
      <c r="AH939" s="31">
        <f t="shared" si="522"/>
        <v>567500</v>
      </c>
      <c r="AI939" s="4" t="s">
        <v>8</v>
      </c>
      <c r="AJ939" s="4" t="s">
        <v>11</v>
      </c>
      <c r="AK939" s="4" t="str">
        <f>IFERROR(VLOOKUP(AJ939,'Guide '!$A$13:$B$16,2,0),"-")</f>
        <v>BL</v>
      </c>
      <c r="AL939" s="4" t="s">
        <v>1006</v>
      </c>
      <c r="AM939" s="40">
        <v>45636</v>
      </c>
      <c r="AN939">
        <f t="shared" si="523"/>
        <v>29</v>
      </c>
      <c r="AO939">
        <f t="shared" si="524"/>
        <v>32</v>
      </c>
      <c r="AP939">
        <f t="shared" si="525"/>
        <v>40</v>
      </c>
      <c r="AQ939">
        <f t="shared" si="526"/>
        <v>43</v>
      </c>
      <c r="AR939" s="26">
        <f t="shared" si="527"/>
        <v>56</v>
      </c>
      <c r="AS939" s="26">
        <f t="shared" si="528"/>
        <v>63</v>
      </c>
      <c r="AT939" s="21">
        <f t="shared" si="529"/>
        <v>12</v>
      </c>
      <c r="AU939" s="21">
        <f t="shared" si="530"/>
        <v>19</v>
      </c>
      <c r="AV939">
        <f t="shared" si="531"/>
        <v>73</v>
      </c>
      <c r="AW939">
        <f t="shared" si="532"/>
        <v>76</v>
      </c>
      <c r="AX939">
        <f t="shared" si="533"/>
        <v>84</v>
      </c>
      <c r="AY939">
        <f t="shared" si="534"/>
        <v>87</v>
      </c>
      <c r="AZ939">
        <f t="shared" si="535"/>
        <v>100</v>
      </c>
      <c r="BA939">
        <f t="shared" si="536"/>
        <v>107</v>
      </c>
      <c r="BB939">
        <f t="shared" si="537"/>
        <v>117</v>
      </c>
      <c r="BC939">
        <f t="shared" si="538"/>
        <v>120</v>
      </c>
      <c r="BD939" s="29">
        <f t="shared" si="539"/>
        <v>128</v>
      </c>
      <c r="BE939" s="29">
        <f t="shared" si="540"/>
        <v>131</v>
      </c>
    </row>
    <row r="940" spans="1:57" ht="15" x14ac:dyDescent="0.2">
      <c r="A940" s="2">
        <v>662</v>
      </c>
      <c r="B940" s="2" t="str">
        <f t="shared" si="505"/>
        <v>0662</v>
      </c>
      <c r="C940" t="str">
        <f t="shared" si="506"/>
        <v>ORD-SP-0662-10/12/24</v>
      </c>
      <c r="D940" s="3" t="s">
        <v>663</v>
      </c>
      <c r="E940" t="str">
        <f t="shared" si="507"/>
        <v>PW003</v>
      </c>
      <c r="F940" t="str">
        <f>INDEX(Katalog!$B$4:$B$13,MATCH('Main Data'!E940,Katalog!$C$4:$C$13,0))</f>
        <v>Kaftan</v>
      </c>
      <c r="G940" t="str">
        <f>VLOOKUP(E940,Katalog!$A$15:$B$25,2,0)</f>
        <v>Pakaian Wanita</v>
      </c>
      <c r="H940" t="str">
        <f t="shared" si="508"/>
        <v>1</v>
      </c>
      <c r="I940" t="str">
        <f t="shared" si="509"/>
        <v>5</v>
      </c>
      <c r="J940" s="18">
        <f>VLOOKUP(E940,Katalog!$C$3:$F$13,2,0)</f>
        <v>200000</v>
      </c>
      <c r="K940" s="18">
        <f>VLOOKUP(E940,Katalog!$C$3:$F$13,3,0)</f>
        <v>100000</v>
      </c>
      <c r="L940" t="str">
        <f t="shared" si="510"/>
        <v>PU001</v>
      </c>
      <c r="M940" t="str">
        <f>IFERROR(INDEX(Katalog!$B$4:$B$13,MATCH('Main Data'!L940,Katalog!$C$4:$C$13,0)), "-")</f>
        <v>Jaket Hoodie</v>
      </c>
      <c r="N940" t="str">
        <f>IFERROR(VLOOKUP(L940,Katalog!$A$15:$B$25,2,0),"-")</f>
        <v>Pakaian Unisex</v>
      </c>
      <c r="O940" t="str">
        <f t="shared" si="511"/>
        <v>1</v>
      </c>
      <c r="P940" t="str">
        <f t="shared" si="512"/>
        <v>4</v>
      </c>
      <c r="Q940" s="18">
        <f>IFERROR(VLOOKUP(L940,Katalog!$C$3:$F$13,2,0),0)</f>
        <v>160000</v>
      </c>
      <c r="R940" s="18">
        <f>IFERROR(VLOOKUP(L940,Katalog!$C$3:$F$13,3,0),0)</f>
        <v>60000</v>
      </c>
      <c r="S940" t="str">
        <f t="shared" si="513"/>
        <v>-</v>
      </c>
      <c r="T940" t="str">
        <f>IFERROR(INDEX(Katalog!$B$4:$B$13,MATCH('Main Data'!S940,Katalog!$C$4:$C$13,0)),"-")</f>
        <v>-</v>
      </c>
      <c r="U940" t="str">
        <f>IFERROR(VLOOKUP(S940,Katalog!$A$15:$B$25,2,0),"-")</f>
        <v>-</v>
      </c>
      <c r="V940">
        <f t="shared" si="514"/>
        <v>0</v>
      </c>
      <c r="W940" s="28" t="str">
        <f t="shared" si="515"/>
        <v>-</v>
      </c>
      <c r="X940" s="18">
        <f>IFERROR(VLOOKUP(S940,Katalog!$C$3:$F$13,2,0),0)</f>
        <v>0</v>
      </c>
      <c r="Y940" s="30">
        <f>IFERROR(VLOOKUP(S940,Katalog!$C$3:$F$13,3,0),0)</f>
        <v>0</v>
      </c>
      <c r="Z940" s="2">
        <f t="shared" si="516"/>
        <v>2</v>
      </c>
      <c r="AA940" s="4">
        <f t="shared" si="517"/>
        <v>360000</v>
      </c>
      <c r="AB940" s="4">
        <f t="shared" si="518"/>
        <v>160000</v>
      </c>
      <c r="AC940" s="4" t="s">
        <v>12</v>
      </c>
      <c r="AD940" s="16">
        <f>IFERROR(VLOOKUP(AC940,'Kode Diskon'!$C$2:$D$9,2,0),0)</f>
        <v>0.15</v>
      </c>
      <c r="AE940" s="31">
        <f t="shared" si="519"/>
        <v>54000</v>
      </c>
      <c r="AF940" s="31">
        <f t="shared" si="520"/>
        <v>306000</v>
      </c>
      <c r="AG940" s="31">
        <f t="shared" si="521"/>
        <v>200000</v>
      </c>
      <c r="AH940" s="31">
        <f t="shared" si="522"/>
        <v>146000</v>
      </c>
      <c r="AI940" s="4" t="s">
        <v>28</v>
      </c>
      <c r="AJ940" s="4" t="s">
        <v>6</v>
      </c>
      <c r="AK940" s="4" t="str">
        <f>IFERROR(VLOOKUP(AJ940,'Guide '!$A$13:$B$16,2,0),"-")</f>
        <v>SP</v>
      </c>
      <c r="AL940" s="4" t="s">
        <v>1006</v>
      </c>
      <c r="AM940" s="40">
        <v>45636</v>
      </c>
      <c r="AN940">
        <f t="shared" si="523"/>
        <v>29</v>
      </c>
      <c r="AO940">
        <f t="shared" si="524"/>
        <v>32</v>
      </c>
      <c r="AP940">
        <f t="shared" si="525"/>
        <v>40</v>
      </c>
      <c r="AQ940">
        <f t="shared" si="526"/>
        <v>43</v>
      </c>
      <c r="AR940" s="26">
        <f t="shared" si="527"/>
        <v>56</v>
      </c>
      <c r="AS940" s="26">
        <f t="shared" si="528"/>
        <v>63</v>
      </c>
      <c r="AT940" s="21">
        <f t="shared" si="529"/>
        <v>12</v>
      </c>
      <c r="AU940" s="21">
        <f t="shared" si="530"/>
        <v>19</v>
      </c>
      <c r="AV940">
        <f t="shared" si="531"/>
        <v>73</v>
      </c>
      <c r="AW940">
        <f t="shared" si="532"/>
        <v>76</v>
      </c>
      <c r="AX940">
        <f t="shared" si="533"/>
        <v>84</v>
      </c>
      <c r="AY940">
        <f t="shared" si="534"/>
        <v>87</v>
      </c>
      <c r="AZ940" t="str">
        <f t="shared" si="535"/>
        <v>-</v>
      </c>
      <c r="BA940" t="str">
        <f t="shared" si="536"/>
        <v>-</v>
      </c>
      <c r="BB940" t="str">
        <f t="shared" si="537"/>
        <v>-</v>
      </c>
      <c r="BC940" t="str">
        <f t="shared" si="538"/>
        <v>-</v>
      </c>
      <c r="BD940" s="29" t="str">
        <f t="shared" si="539"/>
        <v>-</v>
      </c>
      <c r="BE940" s="29" t="str">
        <f t="shared" si="540"/>
        <v>-</v>
      </c>
    </row>
    <row r="941" spans="1:57" ht="15" x14ac:dyDescent="0.2">
      <c r="A941" s="2">
        <v>295</v>
      </c>
      <c r="B941" s="2" t="str">
        <f t="shared" si="505"/>
        <v>0295</v>
      </c>
      <c r="C941" t="str">
        <f t="shared" si="506"/>
        <v>ORD-SP-0295-12/12/24</v>
      </c>
      <c r="D941" s="3" t="s">
        <v>351</v>
      </c>
      <c r="E941" t="str">
        <f t="shared" si="507"/>
        <v>PW002</v>
      </c>
      <c r="F941" t="str">
        <f>INDEX(Katalog!$B$4:$B$13,MATCH('Main Data'!E941,Katalog!$C$4:$C$13,0))</f>
        <v>Blouse</v>
      </c>
      <c r="G941" t="str">
        <f>VLOOKUP(E941,Katalog!$A$15:$B$25,2,0)</f>
        <v>Pakaian Wanita</v>
      </c>
      <c r="H941" t="str">
        <f t="shared" si="508"/>
        <v>6</v>
      </c>
      <c r="I941" t="str">
        <f t="shared" si="509"/>
        <v>4</v>
      </c>
      <c r="J941" s="18">
        <f>VLOOKUP(E941,Katalog!$C$3:$F$13,2,0)</f>
        <v>125000</v>
      </c>
      <c r="K941" s="18">
        <f>VLOOKUP(E941,Katalog!$C$3:$F$13,3,0)</f>
        <v>50000</v>
      </c>
      <c r="L941" t="str">
        <f t="shared" si="510"/>
        <v>-</v>
      </c>
      <c r="M941" t="str">
        <f>IFERROR(INDEX(Katalog!$B$4:$B$13,MATCH('Main Data'!L941,Katalog!$C$4:$C$13,0)), "-")</f>
        <v>-</v>
      </c>
      <c r="N941" t="str">
        <f>IFERROR(VLOOKUP(L941,Katalog!$A$15:$B$25,2,0),"-")</f>
        <v>-</v>
      </c>
      <c r="O941">
        <f t="shared" si="511"/>
        <v>0</v>
      </c>
      <c r="P941" t="str">
        <f t="shared" si="512"/>
        <v>-</v>
      </c>
      <c r="Q941" s="18">
        <f>IFERROR(VLOOKUP(L941,Katalog!$C$3:$F$13,2,0),0)</f>
        <v>0</v>
      </c>
      <c r="R941" s="18">
        <f>IFERROR(VLOOKUP(L941,Katalog!$C$3:$F$13,3,0),0)</f>
        <v>0</v>
      </c>
      <c r="S941" t="str">
        <f t="shared" si="513"/>
        <v>-</v>
      </c>
      <c r="T941" t="str">
        <f>IFERROR(INDEX(Katalog!$B$4:$B$13,MATCH('Main Data'!S941,Katalog!$C$4:$C$13,0)),"-")</f>
        <v>-</v>
      </c>
      <c r="U941" t="str">
        <f>IFERROR(VLOOKUP(S941,Katalog!$A$15:$B$25,2,0),"-")</f>
        <v>-</v>
      </c>
      <c r="V941">
        <f t="shared" si="514"/>
        <v>0</v>
      </c>
      <c r="W941" s="28" t="str">
        <f t="shared" si="515"/>
        <v>-</v>
      </c>
      <c r="X941" s="18">
        <f>IFERROR(VLOOKUP(S941,Katalog!$C$3:$F$13,2,0),0)</f>
        <v>0</v>
      </c>
      <c r="Y941" s="30">
        <f>IFERROR(VLOOKUP(S941,Katalog!$C$3:$F$13,3,0),0)</f>
        <v>0</v>
      </c>
      <c r="Z941" s="2">
        <f t="shared" si="516"/>
        <v>6</v>
      </c>
      <c r="AA941" s="4">
        <f t="shared" si="517"/>
        <v>750000</v>
      </c>
      <c r="AB941" s="4">
        <f t="shared" si="518"/>
        <v>300000</v>
      </c>
      <c r="AC941" s="4" t="s">
        <v>5</v>
      </c>
      <c r="AD941" s="16">
        <f>IFERROR(VLOOKUP(AC941,'Kode Diskon'!$C$2:$D$9,2,0),0)</f>
        <v>0.1</v>
      </c>
      <c r="AE941" s="31">
        <f t="shared" si="519"/>
        <v>75000</v>
      </c>
      <c r="AF941" s="31">
        <f t="shared" si="520"/>
        <v>675000</v>
      </c>
      <c r="AG941" s="31">
        <f t="shared" si="521"/>
        <v>450000</v>
      </c>
      <c r="AH941" s="31">
        <f t="shared" si="522"/>
        <v>375000</v>
      </c>
      <c r="AI941" s="4" t="s">
        <v>28</v>
      </c>
      <c r="AJ941" s="4" t="s">
        <v>6</v>
      </c>
      <c r="AK941" s="4" t="str">
        <f>IFERROR(VLOOKUP(AJ941,'Guide '!$A$13:$B$16,2,0),"-")</f>
        <v>SP</v>
      </c>
      <c r="AL941" s="4" t="s">
        <v>1006</v>
      </c>
      <c r="AM941" s="40">
        <v>45638</v>
      </c>
      <c r="AN941">
        <f t="shared" si="523"/>
        <v>29</v>
      </c>
      <c r="AO941">
        <f t="shared" si="524"/>
        <v>32</v>
      </c>
      <c r="AP941">
        <f t="shared" si="525"/>
        <v>40</v>
      </c>
      <c r="AQ941">
        <f t="shared" si="526"/>
        <v>43</v>
      </c>
      <c r="AR941" s="26" t="str">
        <f t="shared" si="527"/>
        <v>-</v>
      </c>
      <c r="AS941" s="26" t="str">
        <f t="shared" si="528"/>
        <v>-</v>
      </c>
      <c r="AT941" s="21">
        <f t="shared" si="529"/>
        <v>12</v>
      </c>
      <c r="AU941" s="21">
        <f t="shared" si="530"/>
        <v>19</v>
      </c>
      <c r="AV941" t="str">
        <f t="shared" si="531"/>
        <v>-</v>
      </c>
      <c r="AW941" t="str">
        <f t="shared" si="532"/>
        <v>-</v>
      </c>
      <c r="AX941" t="str">
        <f t="shared" si="533"/>
        <v>-</v>
      </c>
      <c r="AY941" t="str">
        <f t="shared" si="534"/>
        <v>-</v>
      </c>
      <c r="AZ941" t="str">
        <f t="shared" si="535"/>
        <v>-</v>
      </c>
      <c r="BA941" t="str">
        <f t="shared" si="536"/>
        <v>-</v>
      </c>
      <c r="BB941" t="str">
        <f t="shared" si="537"/>
        <v>-</v>
      </c>
      <c r="BC941" t="str">
        <f t="shared" si="538"/>
        <v>-</v>
      </c>
      <c r="BD941" s="29" t="str">
        <f t="shared" si="539"/>
        <v>-</v>
      </c>
      <c r="BE941" s="29" t="str">
        <f t="shared" si="540"/>
        <v>-</v>
      </c>
    </row>
    <row r="942" spans="1:57" ht="15" x14ac:dyDescent="0.2">
      <c r="A942" s="2">
        <v>297</v>
      </c>
      <c r="B942" s="2" t="str">
        <f t="shared" si="505"/>
        <v>0297</v>
      </c>
      <c r="C942" t="str">
        <f t="shared" si="506"/>
        <v>ORD-BB-0297-12/12/24</v>
      </c>
      <c r="D942" s="3" t="s">
        <v>353</v>
      </c>
      <c r="E942" t="str">
        <f t="shared" si="507"/>
        <v>PP003</v>
      </c>
      <c r="F942" t="str">
        <f>INDEX(Katalog!$B$4:$B$13,MATCH('Main Data'!E942,Katalog!$C$4:$C$13,0))</f>
        <v>Jaket Jeans</v>
      </c>
      <c r="G942" t="str">
        <f>VLOOKUP(E942,Katalog!$A$15:$B$25,2,0)</f>
        <v>Pakaian Pria</v>
      </c>
      <c r="H942" t="str">
        <f t="shared" si="508"/>
        <v>6</v>
      </c>
      <c r="I942" t="str">
        <f t="shared" si="509"/>
        <v>5</v>
      </c>
      <c r="J942" s="18">
        <f>VLOOKUP(E942,Katalog!$C$3:$F$13,2,0)</f>
        <v>150000</v>
      </c>
      <c r="K942" s="18">
        <f>VLOOKUP(E942,Katalog!$C$3:$F$13,3,0)</f>
        <v>70000</v>
      </c>
      <c r="L942" t="str">
        <f t="shared" si="510"/>
        <v>-</v>
      </c>
      <c r="M942" t="str">
        <f>IFERROR(INDEX(Katalog!$B$4:$B$13,MATCH('Main Data'!L942,Katalog!$C$4:$C$13,0)), "-")</f>
        <v>-</v>
      </c>
      <c r="N942" t="str">
        <f>IFERROR(VLOOKUP(L942,Katalog!$A$15:$B$25,2,0),"-")</f>
        <v>-</v>
      </c>
      <c r="O942">
        <f t="shared" si="511"/>
        <v>0</v>
      </c>
      <c r="P942" t="str">
        <f t="shared" si="512"/>
        <v>-</v>
      </c>
      <c r="Q942" s="18">
        <f>IFERROR(VLOOKUP(L942,Katalog!$C$3:$F$13,2,0),0)</f>
        <v>0</v>
      </c>
      <c r="R942" s="18">
        <f>IFERROR(VLOOKUP(L942,Katalog!$C$3:$F$13,3,0),0)</f>
        <v>0</v>
      </c>
      <c r="S942" t="str">
        <f t="shared" si="513"/>
        <v>-</v>
      </c>
      <c r="T942" t="str">
        <f>IFERROR(INDEX(Katalog!$B$4:$B$13,MATCH('Main Data'!S942,Katalog!$C$4:$C$13,0)),"-")</f>
        <v>-</v>
      </c>
      <c r="U942" t="str">
        <f>IFERROR(VLOOKUP(S942,Katalog!$A$15:$B$25,2,0),"-")</f>
        <v>-</v>
      </c>
      <c r="V942">
        <f t="shared" si="514"/>
        <v>0</v>
      </c>
      <c r="W942" s="28" t="str">
        <f t="shared" si="515"/>
        <v>-</v>
      </c>
      <c r="X942" s="18">
        <f>IFERROR(VLOOKUP(S942,Katalog!$C$3:$F$13,2,0),0)</f>
        <v>0</v>
      </c>
      <c r="Y942" s="30">
        <f>IFERROR(VLOOKUP(S942,Katalog!$C$3:$F$13,3,0),0)</f>
        <v>0</v>
      </c>
      <c r="Z942" s="2">
        <f t="shared" si="516"/>
        <v>6</v>
      </c>
      <c r="AA942" s="4">
        <f t="shared" si="517"/>
        <v>900000</v>
      </c>
      <c r="AB942" s="4">
        <f t="shared" si="518"/>
        <v>420000</v>
      </c>
      <c r="AC942" s="4" t="s">
        <v>10</v>
      </c>
      <c r="AD942" s="16">
        <f>IFERROR(VLOOKUP(AC942,'Kode Diskon'!$C$2:$D$9,2,0),0)</f>
        <v>0</v>
      </c>
      <c r="AE942" s="31">
        <f t="shared" si="519"/>
        <v>0</v>
      </c>
      <c r="AF942" s="31">
        <f t="shared" si="520"/>
        <v>900000</v>
      </c>
      <c r="AG942" s="31">
        <f t="shared" si="521"/>
        <v>480000</v>
      </c>
      <c r="AH942" s="31">
        <f t="shared" si="522"/>
        <v>480000</v>
      </c>
      <c r="AI942" s="4" t="s">
        <v>10</v>
      </c>
      <c r="AJ942" s="4" t="s">
        <v>13</v>
      </c>
      <c r="AK942" s="4" t="str">
        <f>IFERROR(VLOOKUP(AJ942,'Guide '!$A$13:$B$16,2,0),"-")</f>
        <v>BB</v>
      </c>
      <c r="AL942" s="4" t="s">
        <v>925</v>
      </c>
      <c r="AM942" s="40">
        <v>45638</v>
      </c>
      <c r="AN942">
        <f t="shared" si="523"/>
        <v>29</v>
      </c>
      <c r="AO942">
        <f t="shared" si="524"/>
        <v>32</v>
      </c>
      <c r="AP942">
        <f t="shared" si="525"/>
        <v>40</v>
      </c>
      <c r="AQ942">
        <f t="shared" si="526"/>
        <v>43</v>
      </c>
      <c r="AR942" s="26" t="str">
        <f t="shared" si="527"/>
        <v>-</v>
      </c>
      <c r="AS942" s="26" t="str">
        <f t="shared" si="528"/>
        <v>-</v>
      </c>
      <c r="AT942" s="21">
        <f t="shared" si="529"/>
        <v>12</v>
      </c>
      <c r="AU942" s="21">
        <f t="shared" si="530"/>
        <v>19</v>
      </c>
      <c r="AV942" t="str">
        <f t="shared" si="531"/>
        <v>-</v>
      </c>
      <c r="AW942" t="str">
        <f t="shared" si="532"/>
        <v>-</v>
      </c>
      <c r="AX942" t="str">
        <f t="shared" si="533"/>
        <v>-</v>
      </c>
      <c r="AY942" t="str">
        <f t="shared" si="534"/>
        <v>-</v>
      </c>
      <c r="AZ942" t="str">
        <f t="shared" si="535"/>
        <v>-</v>
      </c>
      <c r="BA942" t="str">
        <f t="shared" si="536"/>
        <v>-</v>
      </c>
      <c r="BB942" t="str">
        <f t="shared" si="537"/>
        <v>-</v>
      </c>
      <c r="BC942" t="str">
        <f t="shared" si="538"/>
        <v>-</v>
      </c>
      <c r="BD942" s="29" t="str">
        <f t="shared" si="539"/>
        <v>-</v>
      </c>
      <c r="BE942" s="29" t="str">
        <f t="shared" si="540"/>
        <v>-</v>
      </c>
    </row>
    <row r="943" spans="1:57" ht="15" x14ac:dyDescent="0.2">
      <c r="A943" s="2">
        <v>574</v>
      </c>
      <c r="B943" s="2" t="str">
        <f t="shared" si="505"/>
        <v>0574</v>
      </c>
      <c r="C943" t="str">
        <f t="shared" si="506"/>
        <v>ORD-BB-0574-12/12/24</v>
      </c>
      <c r="D943" s="3" t="s">
        <v>233</v>
      </c>
      <c r="E943" t="str">
        <f t="shared" si="507"/>
        <v>PP003</v>
      </c>
      <c r="F943" t="str">
        <f>INDEX(Katalog!$B$4:$B$13,MATCH('Main Data'!E943,Katalog!$C$4:$C$13,0))</f>
        <v>Jaket Jeans</v>
      </c>
      <c r="G943" t="str">
        <f>VLOOKUP(E943,Katalog!$A$15:$B$25,2,0)</f>
        <v>Pakaian Pria</v>
      </c>
      <c r="H943" t="str">
        <f t="shared" si="508"/>
        <v>2</v>
      </c>
      <c r="I943" t="str">
        <f t="shared" si="509"/>
        <v>5</v>
      </c>
      <c r="J943" s="18">
        <f>VLOOKUP(E943,Katalog!$C$3:$F$13,2,0)</f>
        <v>150000</v>
      </c>
      <c r="K943" s="18">
        <f>VLOOKUP(E943,Katalog!$C$3:$F$13,3,0)</f>
        <v>70000</v>
      </c>
      <c r="L943" t="str">
        <f t="shared" si="510"/>
        <v>-</v>
      </c>
      <c r="M943" t="str">
        <f>IFERROR(INDEX(Katalog!$B$4:$B$13,MATCH('Main Data'!L943,Katalog!$C$4:$C$13,0)), "-")</f>
        <v>-</v>
      </c>
      <c r="N943" t="str">
        <f>IFERROR(VLOOKUP(L943,Katalog!$A$15:$B$25,2,0),"-")</f>
        <v>-</v>
      </c>
      <c r="O943">
        <f t="shared" si="511"/>
        <v>0</v>
      </c>
      <c r="P943" t="str">
        <f t="shared" si="512"/>
        <v>-</v>
      </c>
      <c r="Q943" s="18">
        <f>IFERROR(VLOOKUP(L943,Katalog!$C$3:$F$13,2,0),0)</f>
        <v>0</v>
      </c>
      <c r="R943" s="18">
        <f>IFERROR(VLOOKUP(L943,Katalog!$C$3:$F$13,3,0),0)</f>
        <v>0</v>
      </c>
      <c r="S943" t="str">
        <f t="shared" si="513"/>
        <v>-</v>
      </c>
      <c r="T943" t="str">
        <f>IFERROR(INDEX(Katalog!$B$4:$B$13,MATCH('Main Data'!S943,Katalog!$C$4:$C$13,0)),"-")</f>
        <v>-</v>
      </c>
      <c r="U943" t="str">
        <f>IFERROR(VLOOKUP(S943,Katalog!$A$15:$B$25,2,0),"-")</f>
        <v>-</v>
      </c>
      <c r="V943">
        <f t="shared" si="514"/>
        <v>0</v>
      </c>
      <c r="W943" s="28" t="str">
        <f t="shared" si="515"/>
        <v>-</v>
      </c>
      <c r="X943" s="18">
        <f>IFERROR(VLOOKUP(S943,Katalog!$C$3:$F$13,2,0),0)</f>
        <v>0</v>
      </c>
      <c r="Y943" s="30">
        <f>IFERROR(VLOOKUP(S943,Katalog!$C$3:$F$13,3,0),0)</f>
        <v>0</v>
      </c>
      <c r="Z943" s="2">
        <f t="shared" si="516"/>
        <v>2</v>
      </c>
      <c r="AA943" s="4">
        <f t="shared" si="517"/>
        <v>300000</v>
      </c>
      <c r="AB943" s="4">
        <f t="shared" si="518"/>
        <v>140000</v>
      </c>
      <c r="AC943" s="4" t="s">
        <v>27</v>
      </c>
      <c r="AD943" s="16">
        <f>IFERROR(VLOOKUP(AC943,'Kode Diskon'!$C$2:$D$9,2,0),0)</f>
        <v>0.15</v>
      </c>
      <c r="AE943" s="31">
        <f t="shared" si="519"/>
        <v>45000</v>
      </c>
      <c r="AF943" s="31">
        <f t="shared" si="520"/>
        <v>255000</v>
      </c>
      <c r="AG943" s="31">
        <f t="shared" si="521"/>
        <v>160000</v>
      </c>
      <c r="AH943" s="31">
        <f t="shared" si="522"/>
        <v>115000</v>
      </c>
      <c r="AI943" s="4" t="s">
        <v>28</v>
      </c>
      <c r="AJ943" s="4" t="s">
        <v>13</v>
      </c>
      <c r="AK943" s="4" t="str">
        <f>IFERROR(VLOOKUP(AJ943,'Guide '!$A$13:$B$16,2,0),"-")</f>
        <v>BB</v>
      </c>
      <c r="AL943" s="4" t="s">
        <v>922</v>
      </c>
      <c r="AM943" s="40">
        <v>45638</v>
      </c>
      <c r="AN943">
        <f t="shared" si="523"/>
        <v>29</v>
      </c>
      <c r="AO943">
        <f t="shared" si="524"/>
        <v>32</v>
      </c>
      <c r="AP943">
        <f t="shared" si="525"/>
        <v>40</v>
      </c>
      <c r="AQ943">
        <f t="shared" si="526"/>
        <v>43</v>
      </c>
      <c r="AR943" s="26" t="str">
        <f t="shared" si="527"/>
        <v>-</v>
      </c>
      <c r="AS943" s="26" t="str">
        <f t="shared" si="528"/>
        <v>-</v>
      </c>
      <c r="AT943" s="21">
        <f t="shared" si="529"/>
        <v>12</v>
      </c>
      <c r="AU943" s="21">
        <f t="shared" si="530"/>
        <v>19</v>
      </c>
      <c r="AV943" t="str">
        <f t="shared" si="531"/>
        <v>-</v>
      </c>
      <c r="AW943" t="str">
        <f t="shared" si="532"/>
        <v>-</v>
      </c>
      <c r="AX943" t="str">
        <f t="shared" si="533"/>
        <v>-</v>
      </c>
      <c r="AY943" t="str">
        <f t="shared" si="534"/>
        <v>-</v>
      </c>
      <c r="AZ943" t="str">
        <f t="shared" si="535"/>
        <v>-</v>
      </c>
      <c r="BA943" t="str">
        <f t="shared" si="536"/>
        <v>-</v>
      </c>
      <c r="BB943" t="str">
        <f t="shared" si="537"/>
        <v>-</v>
      </c>
      <c r="BC943" t="str">
        <f t="shared" si="538"/>
        <v>-</v>
      </c>
      <c r="BD943" s="29" t="str">
        <f t="shared" si="539"/>
        <v>-</v>
      </c>
      <c r="BE943" s="29" t="str">
        <f t="shared" si="540"/>
        <v>-</v>
      </c>
    </row>
    <row r="944" spans="1:57" ht="15" x14ac:dyDescent="0.2">
      <c r="A944" s="2">
        <v>827</v>
      </c>
      <c r="B944" s="2" t="str">
        <f t="shared" si="505"/>
        <v>0827</v>
      </c>
      <c r="C944" t="str">
        <f t="shared" si="506"/>
        <v>ORD-SP-0827-12/12/24</v>
      </c>
      <c r="D944" s="3" t="s">
        <v>485</v>
      </c>
      <c r="E944" t="str">
        <f t="shared" si="507"/>
        <v>PP001</v>
      </c>
      <c r="F944" t="str">
        <f>INDEX(Katalog!$B$4:$B$13,MATCH('Main Data'!E944,Katalog!$C$4:$C$13,0))</f>
        <v>Kaos Polo</v>
      </c>
      <c r="G944" t="str">
        <f>VLOOKUP(E944,Katalog!$A$15:$B$25,2,0)</f>
        <v>Pakaian Pria</v>
      </c>
      <c r="H944" t="str">
        <f t="shared" si="508"/>
        <v>1</v>
      </c>
      <c r="I944" t="str">
        <f t="shared" si="509"/>
        <v>5</v>
      </c>
      <c r="J944" s="18">
        <f>VLOOKUP(E944,Katalog!$C$3:$F$13,2,0)</f>
        <v>80000</v>
      </c>
      <c r="K944" s="18">
        <f>VLOOKUP(E944,Katalog!$C$3:$F$13,3,0)</f>
        <v>30000</v>
      </c>
      <c r="L944" t="str">
        <f t="shared" si="510"/>
        <v>-</v>
      </c>
      <c r="M944" t="str">
        <f>IFERROR(INDEX(Katalog!$B$4:$B$13,MATCH('Main Data'!L944,Katalog!$C$4:$C$13,0)), "-")</f>
        <v>-</v>
      </c>
      <c r="N944" t="str">
        <f>IFERROR(VLOOKUP(L944,Katalog!$A$15:$B$25,2,0),"-")</f>
        <v>-</v>
      </c>
      <c r="O944">
        <f t="shared" si="511"/>
        <v>0</v>
      </c>
      <c r="P944" t="str">
        <f t="shared" si="512"/>
        <v>-</v>
      </c>
      <c r="Q944" s="18">
        <f>IFERROR(VLOOKUP(L944,Katalog!$C$3:$F$13,2,0),0)</f>
        <v>0</v>
      </c>
      <c r="R944" s="18">
        <f>IFERROR(VLOOKUP(L944,Katalog!$C$3:$F$13,3,0),0)</f>
        <v>0</v>
      </c>
      <c r="S944" t="str">
        <f t="shared" si="513"/>
        <v>-</v>
      </c>
      <c r="T944" t="str">
        <f>IFERROR(INDEX(Katalog!$B$4:$B$13,MATCH('Main Data'!S944,Katalog!$C$4:$C$13,0)),"-")</f>
        <v>-</v>
      </c>
      <c r="U944" t="str">
        <f>IFERROR(VLOOKUP(S944,Katalog!$A$15:$B$25,2,0),"-")</f>
        <v>-</v>
      </c>
      <c r="V944">
        <f t="shared" si="514"/>
        <v>0</v>
      </c>
      <c r="W944" s="28" t="str">
        <f t="shared" si="515"/>
        <v>-</v>
      </c>
      <c r="X944" s="18">
        <f>IFERROR(VLOOKUP(S944,Katalog!$C$3:$F$13,2,0),0)</f>
        <v>0</v>
      </c>
      <c r="Y944" s="30">
        <f>IFERROR(VLOOKUP(S944,Katalog!$C$3:$F$13,3,0),0)</f>
        <v>0</v>
      </c>
      <c r="Z944" s="2">
        <f t="shared" si="516"/>
        <v>1</v>
      </c>
      <c r="AA944" s="4">
        <f t="shared" si="517"/>
        <v>80000</v>
      </c>
      <c r="AB944" s="4">
        <f t="shared" si="518"/>
        <v>30000</v>
      </c>
      <c r="AC944" s="4" t="s">
        <v>12</v>
      </c>
      <c r="AD944" s="16">
        <f>IFERROR(VLOOKUP(AC944,'Kode Diskon'!$C$2:$D$9,2,0),0)</f>
        <v>0.15</v>
      </c>
      <c r="AE944" s="31">
        <f t="shared" si="519"/>
        <v>12000</v>
      </c>
      <c r="AF944" s="31">
        <f t="shared" si="520"/>
        <v>68000</v>
      </c>
      <c r="AG944" s="31">
        <f t="shared" si="521"/>
        <v>50000</v>
      </c>
      <c r="AH944" s="31">
        <f t="shared" si="522"/>
        <v>38000</v>
      </c>
      <c r="AI944" s="4" t="s">
        <v>28</v>
      </c>
      <c r="AJ944" s="4" t="s">
        <v>6</v>
      </c>
      <c r="AK944" s="4" t="str">
        <f>IFERROR(VLOOKUP(AJ944,'Guide '!$A$13:$B$16,2,0),"-")</f>
        <v>SP</v>
      </c>
      <c r="AL944" s="4" t="s">
        <v>921</v>
      </c>
      <c r="AM944" s="40">
        <v>45638</v>
      </c>
      <c r="AN944">
        <f t="shared" si="523"/>
        <v>29</v>
      </c>
      <c r="AO944">
        <f t="shared" si="524"/>
        <v>32</v>
      </c>
      <c r="AP944">
        <f t="shared" si="525"/>
        <v>40</v>
      </c>
      <c r="AQ944">
        <f t="shared" si="526"/>
        <v>43</v>
      </c>
      <c r="AR944" s="26" t="str">
        <f t="shared" si="527"/>
        <v>-</v>
      </c>
      <c r="AS944" s="26" t="str">
        <f t="shared" si="528"/>
        <v>-</v>
      </c>
      <c r="AT944" s="21">
        <f t="shared" si="529"/>
        <v>12</v>
      </c>
      <c r="AU944" s="21">
        <f t="shared" si="530"/>
        <v>19</v>
      </c>
      <c r="AV944" t="str">
        <f t="shared" si="531"/>
        <v>-</v>
      </c>
      <c r="AW944" t="str">
        <f t="shared" si="532"/>
        <v>-</v>
      </c>
      <c r="AX944" t="str">
        <f t="shared" si="533"/>
        <v>-</v>
      </c>
      <c r="AY944" t="str">
        <f t="shared" si="534"/>
        <v>-</v>
      </c>
      <c r="AZ944" t="str">
        <f t="shared" si="535"/>
        <v>-</v>
      </c>
      <c r="BA944" t="str">
        <f t="shared" si="536"/>
        <v>-</v>
      </c>
      <c r="BB944" t="str">
        <f t="shared" si="537"/>
        <v>-</v>
      </c>
      <c r="BC944" t="str">
        <f t="shared" si="538"/>
        <v>-</v>
      </c>
      <c r="BD944" s="29" t="str">
        <f t="shared" si="539"/>
        <v>-</v>
      </c>
      <c r="BE944" s="29" t="str">
        <f t="shared" si="540"/>
        <v>-</v>
      </c>
    </row>
    <row r="945" spans="1:57" ht="15" x14ac:dyDescent="0.2">
      <c r="A945" s="2">
        <v>33</v>
      </c>
      <c r="B945" s="2" t="str">
        <f t="shared" si="505"/>
        <v>0033</v>
      </c>
      <c r="C945" t="str">
        <f t="shared" si="506"/>
        <v>ORD-BB-0033-13/12/24</v>
      </c>
      <c r="D945" s="3" t="s">
        <v>107</v>
      </c>
      <c r="E945" t="str">
        <f t="shared" si="507"/>
        <v>PW001</v>
      </c>
      <c r="F945" t="str">
        <f>INDEX(Katalog!$B$4:$B$13,MATCH('Main Data'!E945,Katalog!$C$4:$C$13,0))</f>
        <v>Dress</v>
      </c>
      <c r="G945" t="str">
        <f>VLOOKUP(E945,Katalog!$A$15:$B$25,2,0)</f>
        <v>Pakaian Wanita</v>
      </c>
      <c r="H945" t="str">
        <f t="shared" si="508"/>
        <v>4</v>
      </c>
      <c r="I945" t="str">
        <f t="shared" si="509"/>
        <v>1</v>
      </c>
      <c r="J945" s="18">
        <f>VLOOKUP(E945,Katalog!$C$3:$F$13,2,0)</f>
        <v>150000</v>
      </c>
      <c r="K945" s="18">
        <f>VLOOKUP(E945,Katalog!$C$3:$F$13,3,0)</f>
        <v>55000</v>
      </c>
      <c r="L945" t="str">
        <f t="shared" si="510"/>
        <v>-</v>
      </c>
      <c r="M945" t="str">
        <f>IFERROR(INDEX(Katalog!$B$4:$B$13,MATCH('Main Data'!L945,Katalog!$C$4:$C$13,0)), "-")</f>
        <v>-</v>
      </c>
      <c r="N945" t="str">
        <f>IFERROR(VLOOKUP(L945,Katalog!$A$15:$B$25,2,0),"-")</f>
        <v>-</v>
      </c>
      <c r="O945">
        <f t="shared" si="511"/>
        <v>0</v>
      </c>
      <c r="P945" t="str">
        <f t="shared" si="512"/>
        <v>-</v>
      </c>
      <c r="Q945" s="18">
        <f>IFERROR(VLOOKUP(L945,Katalog!$C$3:$F$13,2,0),0)</f>
        <v>0</v>
      </c>
      <c r="R945" s="18">
        <f>IFERROR(VLOOKUP(L945,Katalog!$C$3:$F$13,3,0),0)</f>
        <v>0</v>
      </c>
      <c r="S945" t="str">
        <f t="shared" si="513"/>
        <v>-</v>
      </c>
      <c r="T945" t="str">
        <f>IFERROR(INDEX(Katalog!$B$4:$B$13,MATCH('Main Data'!S945,Katalog!$C$4:$C$13,0)),"-")</f>
        <v>-</v>
      </c>
      <c r="U945" t="str">
        <f>IFERROR(VLOOKUP(S945,Katalog!$A$15:$B$25,2,0),"-")</f>
        <v>-</v>
      </c>
      <c r="V945">
        <f t="shared" si="514"/>
        <v>0</v>
      </c>
      <c r="W945" s="28" t="str">
        <f t="shared" si="515"/>
        <v>-</v>
      </c>
      <c r="X945" s="18">
        <f>IFERROR(VLOOKUP(S945,Katalog!$C$3:$F$13,2,0),0)</f>
        <v>0</v>
      </c>
      <c r="Y945" s="30">
        <f>IFERROR(VLOOKUP(S945,Katalog!$C$3:$F$13,3,0),0)</f>
        <v>0</v>
      </c>
      <c r="Z945" s="2">
        <f t="shared" si="516"/>
        <v>4</v>
      </c>
      <c r="AA945" s="4">
        <f t="shared" si="517"/>
        <v>600000</v>
      </c>
      <c r="AB945" s="4">
        <f t="shared" si="518"/>
        <v>220000</v>
      </c>
      <c r="AC945" s="4" t="s">
        <v>27</v>
      </c>
      <c r="AD945" s="16">
        <f>IFERROR(VLOOKUP(AC945,'Kode Diskon'!$C$2:$D$9,2,0),0)</f>
        <v>0.15</v>
      </c>
      <c r="AE945" s="31">
        <f t="shared" si="519"/>
        <v>90000</v>
      </c>
      <c r="AF945" s="31">
        <f t="shared" si="520"/>
        <v>510000</v>
      </c>
      <c r="AG945" s="31">
        <f t="shared" si="521"/>
        <v>380000</v>
      </c>
      <c r="AH945" s="31">
        <f t="shared" si="522"/>
        <v>290000</v>
      </c>
      <c r="AI945" s="4" t="s">
        <v>28</v>
      </c>
      <c r="AJ945" s="4" t="s">
        <v>13</v>
      </c>
      <c r="AK945" s="4" t="str">
        <f>IFERROR(VLOOKUP(AJ945,'Guide '!$A$13:$B$16,2,0),"-")</f>
        <v>BB</v>
      </c>
      <c r="AL945" s="4" t="s">
        <v>925</v>
      </c>
      <c r="AM945" s="40">
        <v>45639</v>
      </c>
      <c r="AN945">
        <f t="shared" si="523"/>
        <v>29</v>
      </c>
      <c r="AO945">
        <f t="shared" si="524"/>
        <v>32</v>
      </c>
      <c r="AP945">
        <f t="shared" si="525"/>
        <v>40</v>
      </c>
      <c r="AQ945">
        <f t="shared" si="526"/>
        <v>43</v>
      </c>
      <c r="AR945" s="26" t="str">
        <f t="shared" si="527"/>
        <v>-</v>
      </c>
      <c r="AS945" s="26" t="str">
        <f t="shared" si="528"/>
        <v>-</v>
      </c>
      <c r="AT945" s="21">
        <f t="shared" si="529"/>
        <v>12</v>
      </c>
      <c r="AU945" s="21">
        <f t="shared" si="530"/>
        <v>19</v>
      </c>
      <c r="AV945" t="str">
        <f t="shared" si="531"/>
        <v>-</v>
      </c>
      <c r="AW945" t="str">
        <f t="shared" si="532"/>
        <v>-</v>
      </c>
      <c r="AX945" t="str">
        <f t="shared" si="533"/>
        <v>-</v>
      </c>
      <c r="AY945" t="str">
        <f t="shared" si="534"/>
        <v>-</v>
      </c>
      <c r="AZ945" t="str">
        <f t="shared" si="535"/>
        <v>-</v>
      </c>
      <c r="BA945" t="str">
        <f t="shared" si="536"/>
        <v>-</v>
      </c>
      <c r="BB945" t="str">
        <f t="shared" si="537"/>
        <v>-</v>
      </c>
      <c r="BC945" t="str">
        <f t="shared" si="538"/>
        <v>-</v>
      </c>
      <c r="BD945" s="29" t="str">
        <f t="shared" si="539"/>
        <v>-</v>
      </c>
      <c r="BE945" s="29" t="str">
        <f t="shared" si="540"/>
        <v>-</v>
      </c>
    </row>
    <row r="946" spans="1:57" ht="15" x14ac:dyDescent="0.2">
      <c r="A946" s="2">
        <v>559</v>
      </c>
      <c r="B946" s="2" t="str">
        <f t="shared" si="505"/>
        <v>0559</v>
      </c>
      <c r="C946" t="str">
        <f t="shared" si="506"/>
        <v>ORD-BL-0559-13/12/24</v>
      </c>
      <c r="D946" s="3" t="s">
        <v>581</v>
      </c>
      <c r="E946" t="str">
        <f t="shared" si="507"/>
        <v>PW003</v>
      </c>
      <c r="F946" t="str">
        <f>INDEX(Katalog!$B$4:$B$13,MATCH('Main Data'!E946,Katalog!$C$4:$C$13,0))</f>
        <v>Kaftan</v>
      </c>
      <c r="G946" t="str">
        <f>VLOOKUP(E946,Katalog!$A$15:$B$25,2,0)</f>
        <v>Pakaian Wanita</v>
      </c>
      <c r="H946" t="str">
        <f t="shared" si="508"/>
        <v>1</v>
      </c>
      <c r="I946" t="str">
        <f t="shared" si="509"/>
        <v>3</v>
      </c>
      <c r="J946" s="18">
        <f>VLOOKUP(E946,Katalog!$C$3:$F$13,2,0)</f>
        <v>200000</v>
      </c>
      <c r="K946" s="18">
        <f>VLOOKUP(E946,Katalog!$C$3:$F$13,3,0)</f>
        <v>100000</v>
      </c>
      <c r="L946" t="str">
        <f t="shared" si="510"/>
        <v>PW001</v>
      </c>
      <c r="M946" t="str">
        <f>IFERROR(INDEX(Katalog!$B$4:$B$13,MATCH('Main Data'!L946,Katalog!$C$4:$C$13,0)), "-")</f>
        <v>Dress</v>
      </c>
      <c r="N946" t="str">
        <f>IFERROR(VLOOKUP(L946,Katalog!$A$15:$B$25,2,0),"-")</f>
        <v>Pakaian Wanita</v>
      </c>
      <c r="O946" t="str">
        <f t="shared" si="511"/>
        <v>4</v>
      </c>
      <c r="P946" t="str">
        <f t="shared" si="512"/>
        <v>4</v>
      </c>
      <c r="Q946" s="18">
        <f>IFERROR(VLOOKUP(L946,Katalog!$C$3:$F$13,2,0),0)</f>
        <v>150000</v>
      </c>
      <c r="R946" s="18">
        <f>IFERROR(VLOOKUP(L946,Katalog!$C$3:$F$13,3,0),0)</f>
        <v>55000</v>
      </c>
      <c r="S946" t="str">
        <f t="shared" si="513"/>
        <v>PW002</v>
      </c>
      <c r="T946" t="str">
        <f>IFERROR(INDEX(Katalog!$B$4:$B$13,MATCH('Main Data'!S946,Katalog!$C$4:$C$13,0)),"-")</f>
        <v>Blouse</v>
      </c>
      <c r="U946" t="str">
        <f>IFERROR(VLOOKUP(S946,Katalog!$A$15:$B$25,2,0),"-")</f>
        <v>Pakaian Wanita</v>
      </c>
      <c r="V946" t="str">
        <f t="shared" si="514"/>
        <v>1</v>
      </c>
      <c r="W946" s="28" t="str">
        <f t="shared" si="515"/>
        <v>1</v>
      </c>
      <c r="X946" s="18">
        <f>IFERROR(VLOOKUP(S946,Katalog!$C$3:$F$13,2,0),0)</f>
        <v>125000</v>
      </c>
      <c r="Y946" s="30">
        <f>IFERROR(VLOOKUP(S946,Katalog!$C$3:$F$13,3,0),0)</f>
        <v>50000</v>
      </c>
      <c r="Z946" s="2">
        <f t="shared" si="516"/>
        <v>6</v>
      </c>
      <c r="AA946" s="4">
        <f t="shared" si="517"/>
        <v>925000</v>
      </c>
      <c r="AB946" s="4">
        <f t="shared" si="518"/>
        <v>370000</v>
      </c>
      <c r="AC946" s="4" t="s">
        <v>31</v>
      </c>
      <c r="AD946" s="16">
        <f>IFERROR(VLOOKUP(AC946,'Kode Diskon'!$C$2:$D$9,2,0),0)</f>
        <v>0.15</v>
      </c>
      <c r="AE946" s="31">
        <f t="shared" si="519"/>
        <v>138750</v>
      </c>
      <c r="AF946" s="31">
        <f t="shared" si="520"/>
        <v>786250</v>
      </c>
      <c r="AG946" s="31">
        <f t="shared" si="521"/>
        <v>555000</v>
      </c>
      <c r="AH946" s="31">
        <f t="shared" si="522"/>
        <v>416250</v>
      </c>
      <c r="AI946" s="4" t="s">
        <v>8</v>
      </c>
      <c r="AJ946" s="4" t="s">
        <v>11</v>
      </c>
      <c r="AK946" s="4" t="str">
        <f>IFERROR(VLOOKUP(AJ946,'Guide '!$A$13:$B$16,2,0),"-")</f>
        <v>BL</v>
      </c>
      <c r="AL946" s="4" t="s">
        <v>924</v>
      </c>
      <c r="AM946" s="40">
        <v>45639</v>
      </c>
      <c r="AN946">
        <f t="shared" si="523"/>
        <v>29</v>
      </c>
      <c r="AO946">
        <f t="shared" si="524"/>
        <v>32</v>
      </c>
      <c r="AP946">
        <f t="shared" si="525"/>
        <v>40</v>
      </c>
      <c r="AQ946">
        <f t="shared" si="526"/>
        <v>43</v>
      </c>
      <c r="AR946" s="26">
        <f t="shared" si="527"/>
        <v>56</v>
      </c>
      <c r="AS946" s="26">
        <f t="shared" si="528"/>
        <v>63</v>
      </c>
      <c r="AT946" s="21">
        <f t="shared" si="529"/>
        <v>12</v>
      </c>
      <c r="AU946" s="21">
        <f t="shared" si="530"/>
        <v>19</v>
      </c>
      <c r="AV946">
        <f t="shared" si="531"/>
        <v>73</v>
      </c>
      <c r="AW946">
        <f t="shared" si="532"/>
        <v>76</v>
      </c>
      <c r="AX946">
        <f t="shared" si="533"/>
        <v>84</v>
      </c>
      <c r="AY946">
        <f t="shared" si="534"/>
        <v>87</v>
      </c>
      <c r="AZ946">
        <f t="shared" si="535"/>
        <v>100</v>
      </c>
      <c r="BA946">
        <f t="shared" si="536"/>
        <v>107</v>
      </c>
      <c r="BB946">
        <f t="shared" si="537"/>
        <v>117</v>
      </c>
      <c r="BC946">
        <f t="shared" si="538"/>
        <v>120</v>
      </c>
      <c r="BD946" s="29">
        <f t="shared" si="539"/>
        <v>128</v>
      </c>
      <c r="BE946" s="29">
        <f t="shared" si="540"/>
        <v>131</v>
      </c>
    </row>
    <row r="947" spans="1:57" ht="15" x14ac:dyDescent="0.2">
      <c r="A947" s="2">
        <v>900</v>
      </c>
      <c r="B947" s="2" t="str">
        <f t="shared" si="505"/>
        <v>0900</v>
      </c>
      <c r="C947" t="str">
        <f t="shared" si="506"/>
        <v>ORD-TK-0900-13/12/24</v>
      </c>
      <c r="D947" s="3" t="s">
        <v>839</v>
      </c>
      <c r="E947" t="str">
        <f t="shared" si="507"/>
        <v>PW003</v>
      </c>
      <c r="F947" t="str">
        <f>INDEX(Katalog!$B$4:$B$13,MATCH('Main Data'!E947,Katalog!$C$4:$C$13,0))</f>
        <v>Kaftan</v>
      </c>
      <c r="G947" t="str">
        <f>VLOOKUP(E947,Katalog!$A$15:$B$25,2,0)</f>
        <v>Pakaian Wanita</v>
      </c>
      <c r="H947" t="str">
        <f t="shared" si="508"/>
        <v>2</v>
      </c>
      <c r="I947" t="str">
        <f t="shared" si="509"/>
        <v>2</v>
      </c>
      <c r="J947" s="18">
        <f>VLOOKUP(E947,Katalog!$C$3:$F$13,2,0)</f>
        <v>200000</v>
      </c>
      <c r="K947" s="18">
        <f>VLOOKUP(E947,Katalog!$C$3:$F$13,3,0)</f>
        <v>100000</v>
      </c>
      <c r="L947" t="str">
        <f t="shared" si="510"/>
        <v>SP001</v>
      </c>
      <c r="M947" t="str">
        <f>IFERROR(INDEX(Katalog!$B$4:$B$13,MATCH('Main Data'!L947,Katalog!$C$4:$C$13,0)), "-")</f>
        <v>Sneakers</v>
      </c>
      <c r="N947" t="str">
        <f>IFERROR(VLOOKUP(L947,Katalog!$A$15:$B$25,2,0),"-")</f>
        <v>Sepatu Pria</v>
      </c>
      <c r="O947" t="str">
        <f t="shared" si="511"/>
        <v>2</v>
      </c>
      <c r="P947" t="str">
        <f t="shared" si="512"/>
        <v>5</v>
      </c>
      <c r="Q947" s="18">
        <f>IFERROR(VLOOKUP(L947,Katalog!$C$3:$F$13,2,0),0)</f>
        <v>300000</v>
      </c>
      <c r="R947" s="18">
        <f>IFERROR(VLOOKUP(L947,Katalog!$C$3:$F$13,3,0),0)</f>
        <v>100000</v>
      </c>
      <c r="S947" t="str">
        <f t="shared" si="513"/>
        <v>-</v>
      </c>
      <c r="T947" t="str">
        <f>IFERROR(INDEX(Katalog!$B$4:$B$13,MATCH('Main Data'!S947,Katalog!$C$4:$C$13,0)),"-")</f>
        <v>-</v>
      </c>
      <c r="U947" t="str">
        <f>IFERROR(VLOOKUP(S947,Katalog!$A$15:$B$25,2,0),"-")</f>
        <v>-</v>
      </c>
      <c r="V947">
        <f t="shared" si="514"/>
        <v>0</v>
      </c>
      <c r="W947" s="28" t="str">
        <f t="shared" si="515"/>
        <v>-</v>
      </c>
      <c r="X947" s="18">
        <f>IFERROR(VLOOKUP(S947,Katalog!$C$3:$F$13,2,0),0)</f>
        <v>0</v>
      </c>
      <c r="Y947" s="30">
        <f>IFERROR(VLOOKUP(S947,Katalog!$C$3:$F$13,3,0),0)</f>
        <v>0</v>
      </c>
      <c r="Z947" s="2">
        <f t="shared" si="516"/>
        <v>4</v>
      </c>
      <c r="AA947" s="4">
        <f t="shared" si="517"/>
        <v>1000000</v>
      </c>
      <c r="AB947" s="4">
        <f t="shared" si="518"/>
        <v>400000</v>
      </c>
      <c r="AC947" s="4" t="s">
        <v>10</v>
      </c>
      <c r="AD947" s="16">
        <f>IFERROR(VLOOKUP(AC947,'Kode Diskon'!$C$2:$D$9,2,0),0)</f>
        <v>0</v>
      </c>
      <c r="AE947" s="31">
        <f t="shared" si="519"/>
        <v>0</v>
      </c>
      <c r="AF947" s="31">
        <f t="shared" si="520"/>
        <v>1000000</v>
      </c>
      <c r="AG947" s="31">
        <f t="shared" si="521"/>
        <v>600000</v>
      </c>
      <c r="AH947" s="31">
        <f t="shared" si="522"/>
        <v>600000</v>
      </c>
      <c r="AI947" s="4" t="s">
        <v>10</v>
      </c>
      <c r="AJ947" s="4" t="s">
        <v>9</v>
      </c>
      <c r="AK947" s="4" t="str">
        <f>IFERROR(VLOOKUP(AJ947,'Guide '!$A$13:$B$16,2,0),"-")</f>
        <v>TK</v>
      </c>
      <c r="AL947" s="4" t="s">
        <v>924</v>
      </c>
      <c r="AM947" s="40">
        <v>45639</v>
      </c>
      <c r="AN947">
        <f t="shared" si="523"/>
        <v>29</v>
      </c>
      <c r="AO947">
        <f t="shared" si="524"/>
        <v>32</v>
      </c>
      <c r="AP947">
        <f t="shared" si="525"/>
        <v>40</v>
      </c>
      <c r="AQ947">
        <f t="shared" si="526"/>
        <v>43</v>
      </c>
      <c r="AR947" s="26">
        <f t="shared" si="527"/>
        <v>56</v>
      </c>
      <c r="AS947" s="26">
        <f t="shared" si="528"/>
        <v>63</v>
      </c>
      <c r="AT947" s="21">
        <f t="shared" si="529"/>
        <v>12</v>
      </c>
      <c r="AU947" s="21">
        <f t="shared" si="530"/>
        <v>19</v>
      </c>
      <c r="AV947">
        <f t="shared" si="531"/>
        <v>73</v>
      </c>
      <c r="AW947">
        <f t="shared" si="532"/>
        <v>76</v>
      </c>
      <c r="AX947">
        <f t="shared" si="533"/>
        <v>84</v>
      </c>
      <c r="AY947">
        <f t="shared" si="534"/>
        <v>87</v>
      </c>
      <c r="AZ947" t="str">
        <f t="shared" si="535"/>
        <v>-</v>
      </c>
      <c r="BA947" t="str">
        <f t="shared" si="536"/>
        <v>-</v>
      </c>
      <c r="BB947" t="str">
        <f t="shared" si="537"/>
        <v>-</v>
      </c>
      <c r="BC947" t="str">
        <f t="shared" si="538"/>
        <v>-</v>
      </c>
      <c r="BD947" s="29" t="str">
        <f t="shared" si="539"/>
        <v>-</v>
      </c>
      <c r="BE947" s="29" t="str">
        <f t="shared" si="540"/>
        <v>-</v>
      </c>
    </row>
    <row r="948" spans="1:57" ht="15" x14ac:dyDescent="0.2">
      <c r="A948" s="2">
        <v>929</v>
      </c>
      <c r="B948" s="2" t="str">
        <f t="shared" si="505"/>
        <v>0929</v>
      </c>
      <c r="C948" t="str">
        <f t="shared" si="506"/>
        <v>ORD-TK-0929-13/12/24</v>
      </c>
      <c r="D948" s="3" t="s">
        <v>861</v>
      </c>
      <c r="E948" t="str">
        <f t="shared" si="507"/>
        <v>PP003</v>
      </c>
      <c r="F948" t="str">
        <f>INDEX(Katalog!$B$4:$B$13,MATCH('Main Data'!E948,Katalog!$C$4:$C$13,0))</f>
        <v>Jaket Jeans</v>
      </c>
      <c r="G948" t="str">
        <f>VLOOKUP(E948,Katalog!$A$15:$B$25,2,0)</f>
        <v>Pakaian Pria</v>
      </c>
      <c r="H948" t="str">
        <f t="shared" si="508"/>
        <v>1</v>
      </c>
      <c r="I948" t="str">
        <f t="shared" si="509"/>
        <v>5</v>
      </c>
      <c r="J948" s="18">
        <f>VLOOKUP(E948,Katalog!$C$3:$F$13,2,0)</f>
        <v>150000</v>
      </c>
      <c r="K948" s="18">
        <f>VLOOKUP(E948,Katalog!$C$3:$F$13,3,0)</f>
        <v>70000</v>
      </c>
      <c r="L948" t="str">
        <f t="shared" si="510"/>
        <v>PW001</v>
      </c>
      <c r="M948" t="str">
        <f>IFERROR(INDEX(Katalog!$B$4:$B$13,MATCH('Main Data'!L948,Katalog!$C$4:$C$13,0)), "-")</f>
        <v>Dress</v>
      </c>
      <c r="N948" t="str">
        <f>IFERROR(VLOOKUP(L948,Katalog!$A$15:$B$25,2,0),"-")</f>
        <v>Pakaian Wanita</v>
      </c>
      <c r="O948" t="str">
        <f t="shared" si="511"/>
        <v>1</v>
      </c>
      <c r="P948" t="str">
        <f t="shared" si="512"/>
        <v>1</v>
      </c>
      <c r="Q948" s="18">
        <f>IFERROR(VLOOKUP(L948,Katalog!$C$3:$F$13,2,0),0)</f>
        <v>150000</v>
      </c>
      <c r="R948" s="18">
        <f>IFERROR(VLOOKUP(L948,Katalog!$C$3:$F$13,3,0),0)</f>
        <v>55000</v>
      </c>
      <c r="S948" t="str">
        <f t="shared" si="513"/>
        <v>-</v>
      </c>
      <c r="T948" t="str">
        <f>IFERROR(INDEX(Katalog!$B$4:$B$13,MATCH('Main Data'!S948,Katalog!$C$4:$C$13,0)),"-")</f>
        <v>-</v>
      </c>
      <c r="U948" t="str">
        <f>IFERROR(VLOOKUP(S948,Katalog!$A$15:$B$25,2,0),"-")</f>
        <v>-</v>
      </c>
      <c r="V948">
        <f t="shared" si="514"/>
        <v>0</v>
      </c>
      <c r="W948" s="28" t="str">
        <f t="shared" si="515"/>
        <v>-</v>
      </c>
      <c r="X948" s="18">
        <f>IFERROR(VLOOKUP(S948,Katalog!$C$3:$F$13,2,0),0)</f>
        <v>0</v>
      </c>
      <c r="Y948" s="30">
        <f>IFERROR(VLOOKUP(S948,Katalog!$C$3:$F$13,3,0),0)</f>
        <v>0</v>
      </c>
      <c r="Z948" s="2">
        <f t="shared" si="516"/>
        <v>2</v>
      </c>
      <c r="AA948" s="4">
        <f t="shared" si="517"/>
        <v>300000</v>
      </c>
      <c r="AB948" s="4">
        <f t="shared" si="518"/>
        <v>125000</v>
      </c>
      <c r="AC948" s="4" t="s">
        <v>29</v>
      </c>
      <c r="AD948" s="16">
        <f>IFERROR(VLOOKUP(AC948,'Kode Diskon'!$C$2:$D$9,2,0),0)</f>
        <v>0.1</v>
      </c>
      <c r="AE948" s="31">
        <f t="shared" si="519"/>
        <v>30000</v>
      </c>
      <c r="AF948" s="31">
        <f t="shared" si="520"/>
        <v>270000</v>
      </c>
      <c r="AG948" s="31">
        <f t="shared" si="521"/>
        <v>175000</v>
      </c>
      <c r="AH948" s="31">
        <f t="shared" si="522"/>
        <v>145000</v>
      </c>
      <c r="AI948" s="4" t="s">
        <v>28</v>
      </c>
      <c r="AJ948" s="4" t="s">
        <v>9</v>
      </c>
      <c r="AK948" s="4" t="str">
        <f>IFERROR(VLOOKUP(AJ948,'Guide '!$A$13:$B$16,2,0),"-")</f>
        <v>TK</v>
      </c>
      <c r="AL948" s="4" t="s">
        <v>925</v>
      </c>
      <c r="AM948" s="40">
        <v>45639</v>
      </c>
      <c r="AN948">
        <f t="shared" si="523"/>
        <v>29</v>
      </c>
      <c r="AO948">
        <f t="shared" si="524"/>
        <v>32</v>
      </c>
      <c r="AP948">
        <f t="shared" si="525"/>
        <v>40</v>
      </c>
      <c r="AQ948">
        <f t="shared" si="526"/>
        <v>43</v>
      </c>
      <c r="AR948" s="26">
        <f t="shared" si="527"/>
        <v>56</v>
      </c>
      <c r="AS948" s="26">
        <f t="shared" si="528"/>
        <v>63</v>
      </c>
      <c r="AT948" s="21">
        <f t="shared" si="529"/>
        <v>12</v>
      </c>
      <c r="AU948" s="21">
        <f t="shared" si="530"/>
        <v>19</v>
      </c>
      <c r="AV948">
        <f t="shared" si="531"/>
        <v>73</v>
      </c>
      <c r="AW948">
        <f t="shared" si="532"/>
        <v>76</v>
      </c>
      <c r="AX948">
        <f t="shared" si="533"/>
        <v>84</v>
      </c>
      <c r="AY948">
        <f t="shared" si="534"/>
        <v>87</v>
      </c>
      <c r="AZ948" t="str">
        <f t="shared" si="535"/>
        <v>-</v>
      </c>
      <c r="BA948" t="str">
        <f t="shared" si="536"/>
        <v>-</v>
      </c>
      <c r="BB948" t="str">
        <f t="shared" si="537"/>
        <v>-</v>
      </c>
      <c r="BC948" t="str">
        <f t="shared" si="538"/>
        <v>-</v>
      </c>
      <c r="BD948" s="29" t="str">
        <f t="shared" si="539"/>
        <v>-</v>
      </c>
      <c r="BE948" s="29" t="str">
        <f t="shared" si="540"/>
        <v>-</v>
      </c>
    </row>
    <row r="949" spans="1:57" ht="15" x14ac:dyDescent="0.2">
      <c r="A949" s="2">
        <v>319</v>
      </c>
      <c r="B949" s="2" t="str">
        <f t="shared" si="505"/>
        <v>0319</v>
      </c>
      <c r="C949" t="str">
        <f t="shared" si="506"/>
        <v>ORD-TK-0319-15/12/24</v>
      </c>
      <c r="D949" s="3" t="s">
        <v>374</v>
      </c>
      <c r="E949" t="str">
        <f t="shared" si="507"/>
        <v>PW002</v>
      </c>
      <c r="F949" t="str">
        <f>INDEX(Katalog!$B$4:$B$13,MATCH('Main Data'!E949,Katalog!$C$4:$C$13,0))</f>
        <v>Blouse</v>
      </c>
      <c r="G949" t="str">
        <f>VLOOKUP(E949,Katalog!$A$15:$B$25,2,0)</f>
        <v>Pakaian Wanita</v>
      </c>
      <c r="H949" t="str">
        <f t="shared" si="508"/>
        <v>3</v>
      </c>
      <c r="I949" t="str">
        <f t="shared" si="509"/>
        <v>4</v>
      </c>
      <c r="J949" s="18">
        <f>VLOOKUP(E949,Katalog!$C$3:$F$13,2,0)</f>
        <v>125000</v>
      </c>
      <c r="K949" s="18">
        <f>VLOOKUP(E949,Katalog!$C$3:$F$13,3,0)</f>
        <v>50000</v>
      </c>
      <c r="L949" t="str">
        <f t="shared" si="510"/>
        <v>PU001</v>
      </c>
      <c r="M949" t="str">
        <f>IFERROR(INDEX(Katalog!$B$4:$B$13,MATCH('Main Data'!L949,Katalog!$C$4:$C$13,0)), "-")</f>
        <v>Jaket Hoodie</v>
      </c>
      <c r="N949" t="str">
        <f>IFERROR(VLOOKUP(L949,Katalog!$A$15:$B$25,2,0),"-")</f>
        <v>Pakaian Unisex</v>
      </c>
      <c r="O949" t="str">
        <f t="shared" si="511"/>
        <v>2</v>
      </c>
      <c r="P949" t="str">
        <f t="shared" si="512"/>
        <v>3</v>
      </c>
      <c r="Q949" s="18">
        <f>IFERROR(VLOOKUP(L949,Katalog!$C$3:$F$13,2,0),0)</f>
        <v>160000</v>
      </c>
      <c r="R949" s="18">
        <f>IFERROR(VLOOKUP(L949,Katalog!$C$3:$F$13,3,0),0)</f>
        <v>60000</v>
      </c>
      <c r="S949" t="str">
        <f t="shared" si="513"/>
        <v>-</v>
      </c>
      <c r="T949" t="str">
        <f>IFERROR(INDEX(Katalog!$B$4:$B$13,MATCH('Main Data'!S949,Katalog!$C$4:$C$13,0)),"-")</f>
        <v>-</v>
      </c>
      <c r="U949" t="str">
        <f>IFERROR(VLOOKUP(S949,Katalog!$A$15:$B$25,2,0),"-")</f>
        <v>-</v>
      </c>
      <c r="V949">
        <f t="shared" si="514"/>
        <v>0</v>
      </c>
      <c r="W949" s="28" t="str">
        <f t="shared" si="515"/>
        <v>-</v>
      </c>
      <c r="X949" s="18">
        <f>IFERROR(VLOOKUP(S949,Katalog!$C$3:$F$13,2,0),0)</f>
        <v>0</v>
      </c>
      <c r="Y949" s="30">
        <f>IFERROR(VLOOKUP(S949,Katalog!$C$3:$F$13,3,0),0)</f>
        <v>0</v>
      </c>
      <c r="Z949" s="2">
        <f t="shared" si="516"/>
        <v>5</v>
      </c>
      <c r="AA949" s="4">
        <f t="shared" si="517"/>
        <v>695000</v>
      </c>
      <c r="AB949" s="4">
        <f t="shared" si="518"/>
        <v>270000</v>
      </c>
      <c r="AC949" s="4" t="s">
        <v>29</v>
      </c>
      <c r="AD949" s="16">
        <f>IFERROR(VLOOKUP(AC949,'Kode Diskon'!$C$2:$D$9,2,0),0)</f>
        <v>0.1</v>
      </c>
      <c r="AE949" s="31">
        <f t="shared" si="519"/>
        <v>69500</v>
      </c>
      <c r="AF949" s="31">
        <f t="shared" si="520"/>
        <v>625500</v>
      </c>
      <c r="AG949" s="31">
        <f t="shared" si="521"/>
        <v>425000</v>
      </c>
      <c r="AH949" s="31">
        <f t="shared" si="522"/>
        <v>355500</v>
      </c>
      <c r="AI949" s="4" t="s">
        <v>28</v>
      </c>
      <c r="AJ949" s="4" t="s">
        <v>9</v>
      </c>
      <c r="AK949" s="4" t="str">
        <f>IFERROR(VLOOKUP(AJ949,'Guide '!$A$13:$B$16,2,0),"-")</f>
        <v>TK</v>
      </c>
      <c r="AL949" s="4" t="s">
        <v>921</v>
      </c>
      <c r="AM949" s="40">
        <v>45641</v>
      </c>
      <c r="AN949">
        <f t="shared" si="523"/>
        <v>29</v>
      </c>
      <c r="AO949">
        <f t="shared" si="524"/>
        <v>32</v>
      </c>
      <c r="AP949">
        <f t="shared" si="525"/>
        <v>40</v>
      </c>
      <c r="AQ949">
        <f t="shared" si="526"/>
        <v>43</v>
      </c>
      <c r="AR949" s="26">
        <f t="shared" si="527"/>
        <v>56</v>
      </c>
      <c r="AS949" s="26">
        <f t="shared" si="528"/>
        <v>63</v>
      </c>
      <c r="AT949" s="21">
        <f t="shared" si="529"/>
        <v>12</v>
      </c>
      <c r="AU949" s="21">
        <f t="shared" si="530"/>
        <v>19</v>
      </c>
      <c r="AV949">
        <f t="shared" si="531"/>
        <v>73</v>
      </c>
      <c r="AW949">
        <f t="shared" si="532"/>
        <v>76</v>
      </c>
      <c r="AX949">
        <f t="shared" si="533"/>
        <v>84</v>
      </c>
      <c r="AY949">
        <f t="shared" si="534"/>
        <v>87</v>
      </c>
      <c r="AZ949" t="str">
        <f t="shared" si="535"/>
        <v>-</v>
      </c>
      <c r="BA949" t="str">
        <f t="shared" si="536"/>
        <v>-</v>
      </c>
      <c r="BB949" t="str">
        <f t="shared" si="537"/>
        <v>-</v>
      </c>
      <c r="BC949" t="str">
        <f t="shared" si="538"/>
        <v>-</v>
      </c>
      <c r="BD949" s="29" t="str">
        <f t="shared" si="539"/>
        <v>-</v>
      </c>
      <c r="BE949" s="29" t="str">
        <f t="shared" si="540"/>
        <v>-</v>
      </c>
    </row>
    <row r="950" spans="1:57" ht="15" x14ac:dyDescent="0.2">
      <c r="A950" s="2">
        <v>453</v>
      </c>
      <c r="B950" s="2" t="str">
        <f t="shared" si="505"/>
        <v>0453</v>
      </c>
      <c r="C950" t="str">
        <f t="shared" si="506"/>
        <v>ORD-BL-0453-15/12/24</v>
      </c>
      <c r="D950" s="3" t="s">
        <v>281</v>
      </c>
      <c r="E950" t="str">
        <f t="shared" si="507"/>
        <v>PW003</v>
      </c>
      <c r="F950" t="str">
        <f>INDEX(Katalog!$B$4:$B$13,MATCH('Main Data'!E950,Katalog!$C$4:$C$13,0))</f>
        <v>Kaftan</v>
      </c>
      <c r="G950" t="str">
        <f>VLOOKUP(E950,Katalog!$A$15:$B$25,2,0)</f>
        <v>Pakaian Wanita</v>
      </c>
      <c r="H950" t="str">
        <f t="shared" si="508"/>
        <v>1</v>
      </c>
      <c r="I950" t="str">
        <f t="shared" si="509"/>
        <v>5</v>
      </c>
      <c r="J950" s="18">
        <f>VLOOKUP(E950,Katalog!$C$3:$F$13,2,0)</f>
        <v>200000</v>
      </c>
      <c r="K950" s="18">
        <f>VLOOKUP(E950,Katalog!$C$3:$F$13,3,0)</f>
        <v>100000</v>
      </c>
      <c r="L950" t="str">
        <f t="shared" si="510"/>
        <v>-</v>
      </c>
      <c r="M950" t="str">
        <f>IFERROR(INDEX(Katalog!$B$4:$B$13,MATCH('Main Data'!L950,Katalog!$C$4:$C$13,0)), "-")</f>
        <v>-</v>
      </c>
      <c r="N950" t="str">
        <f>IFERROR(VLOOKUP(L950,Katalog!$A$15:$B$25,2,0),"-")</f>
        <v>-</v>
      </c>
      <c r="O950">
        <f t="shared" si="511"/>
        <v>0</v>
      </c>
      <c r="P950" t="str">
        <f t="shared" si="512"/>
        <v>-</v>
      </c>
      <c r="Q950" s="18">
        <f>IFERROR(VLOOKUP(L950,Katalog!$C$3:$F$13,2,0),0)</f>
        <v>0</v>
      </c>
      <c r="R950" s="18">
        <f>IFERROR(VLOOKUP(L950,Katalog!$C$3:$F$13,3,0),0)</f>
        <v>0</v>
      </c>
      <c r="S950" t="str">
        <f t="shared" si="513"/>
        <v>-</v>
      </c>
      <c r="T950" t="str">
        <f>IFERROR(INDEX(Katalog!$B$4:$B$13,MATCH('Main Data'!S950,Katalog!$C$4:$C$13,0)),"-")</f>
        <v>-</v>
      </c>
      <c r="U950" t="str">
        <f>IFERROR(VLOOKUP(S950,Katalog!$A$15:$B$25,2,0),"-")</f>
        <v>-</v>
      </c>
      <c r="V950">
        <f t="shared" si="514"/>
        <v>0</v>
      </c>
      <c r="W950" s="28" t="str">
        <f t="shared" si="515"/>
        <v>-</v>
      </c>
      <c r="X950" s="18">
        <f>IFERROR(VLOOKUP(S950,Katalog!$C$3:$F$13,2,0),0)</f>
        <v>0</v>
      </c>
      <c r="Y950" s="30">
        <f>IFERROR(VLOOKUP(S950,Katalog!$C$3:$F$13,3,0),0)</f>
        <v>0</v>
      </c>
      <c r="Z950" s="2">
        <f t="shared" si="516"/>
        <v>1</v>
      </c>
      <c r="AA950" s="4">
        <f t="shared" si="517"/>
        <v>200000</v>
      </c>
      <c r="AB950" s="4">
        <f t="shared" si="518"/>
        <v>100000</v>
      </c>
      <c r="AC950" s="4" t="s">
        <v>10</v>
      </c>
      <c r="AD950" s="16">
        <f>IFERROR(VLOOKUP(AC950,'Kode Diskon'!$C$2:$D$9,2,0),0)</f>
        <v>0</v>
      </c>
      <c r="AE950" s="31">
        <f t="shared" si="519"/>
        <v>0</v>
      </c>
      <c r="AF950" s="31">
        <f t="shared" si="520"/>
        <v>200000</v>
      </c>
      <c r="AG950" s="31">
        <f t="shared" si="521"/>
        <v>100000</v>
      </c>
      <c r="AH950" s="31">
        <f t="shared" si="522"/>
        <v>100000</v>
      </c>
      <c r="AI950" s="4" t="s">
        <v>10</v>
      </c>
      <c r="AJ950" s="4" t="s">
        <v>11</v>
      </c>
      <c r="AK950" s="4" t="str">
        <f>IFERROR(VLOOKUP(AJ950,'Guide '!$A$13:$B$16,2,0),"-")</f>
        <v>BL</v>
      </c>
      <c r="AL950" s="4" t="s">
        <v>925</v>
      </c>
      <c r="AM950" s="40">
        <v>45641</v>
      </c>
      <c r="AN950">
        <f t="shared" si="523"/>
        <v>29</v>
      </c>
      <c r="AO950">
        <f t="shared" si="524"/>
        <v>32</v>
      </c>
      <c r="AP950">
        <f t="shared" si="525"/>
        <v>40</v>
      </c>
      <c r="AQ950">
        <f t="shared" si="526"/>
        <v>43</v>
      </c>
      <c r="AR950" s="26" t="str">
        <f t="shared" si="527"/>
        <v>-</v>
      </c>
      <c r="AS950" s="26" t="str">
        <f t="shared" si="528"/>
        <v>-</v>
      </c>
      <c r="AT950" s="21">
        <f t="shared" si="529"/>
        <v>12</v>
      </c>
      <c r="AU950" s="21">
        <f t="shared" si="530"/>
        <v>19</v>
      </c>
      <c r="AV950" t="str">
        <f t="shared" si="531"/>
        <v>-</v>
      </c>
      <c r="AW950" t="str">
        <f t="shared" si="532"/>
        <v>-</v>
      </c>
      <c r="AX950" t="str">
        <f t="shared" si="533"/>
        <v>-</v>
      </c>
      <c r="AY950" t="str">
        <f t="shared" si="534"/>
        <v>-</v>
      </c>
      <c r="AZ950" t="str">
        <f t="shared" si="535"/>
        <v>-</v>
      </c>
      <c r="BA950" t="str">
        <f t="shared" si="536"/>
        <v>-</v>
      </c>
      <c r="BB950" t="str">
        <f t="shared" si="537"/>
        <v>-</v>
      </c>
      <c r="BC950" t="str">
        <f t="shared" si="538"/>
        <v>-</v>
      </c>
      <c r="BD950" s="29" t="str">
        <f t="shared" si="539"/>
        <v>-</v>
      </c>
      <c r="BE950" s="29" t="str">
        <f t="shared" si="540"/>
        <v>-</v>
      </c>
    </row>
    <row r="951" spans="1:57" ht="15" x14ac:dyDescent="0.2">
      <c r="A951" s="2">
        <v>858</v>
      </c>
      <c r="B951" s="2" t="str">
        <f t="shared" si="505"/>
        <v>0858</v>
      </c>
      <c r="C951" t="str">
        <f t="shared" si="506"/>
        <v>ORD-SP-0858-15/12/24</v>
      </c>
      <c r="D951" s="3" t="s">
        <v>809</v>
      </c>
      <c r="E951" t="str">
        <f t="shared" si="507"/>
        <v>SP001</v>
      </c>
      <c r="F951" t="str">
        <f>INDEX(Katalog!$B$4:$B$13,MATCH('Main Data'!E951,Katalog!$C$4:$C$13,0))</f>
        <v>Sneakers</v>
      </c>
      <c r="G951" t="str">
        <f>VLOOKUP(E951,Katalog!$A$15:$B$25,2,0)</f>
        <v>Sepatu Pria</v>
      </c>
      <c r="H951" t="str">
        <f t="shared" si="508"/>
        <v>1</v>
      </c>
      <c r="I951" t="str">
        <f t="shared" si="509"/>
        <v>3</v>
      </c>
      <c r="J951" s="18">
        <f>VLOOKUP(E951,Katalog!$C$3:$F$13,2,0)</f>
        <v>300000</v>
      </c>
      <c r="K951" s="18">
        <f>VLOOKUP(E951,Katalog!$C$3:$F$13,3,0)</f>
        <v>100000</v>
      </c>
      <c r="L951" t="str">
        <f t="shared" si="510"/>
        <v>PP003</v>
      </c>
      <c r="M951" t="str">
        <f>IFERROR(INDEX(Katalog!$B$4:$B$13,MATCH('Main Data'!L951,Katalog!$C$4:$C$13,0)), "-")</f>
        <v>Jaket Jeans</v>
      </c>
      <c r="N951" t="str">
        <f>IFERROR(VLOOKUP(L951,Katalog!$A$15:$B$25,2,0),"-")</f>
        <v>Pakaian Pria</v>
      </c>
      <c r="O951" t="str">
        <f t="shared" si="511"/>
        <v>1</v>
      </c>
      <c r="P951" t="str">
        <f t="shared" si="512"/>
        <v>1</v>
      </c>
      <c r="Q951" s="18">
        <f>IFERROR(VLOOKUP(L951,Katalog!$C$3:$F$13,2,0),0)</f>
        <v>150000</v>
      </c>
      <c r="R951" s="18">
        <f>IFERROR(VLOOKUP(L951,Katalog!$C$3:$F$13,3,0),0)</f>
        <v>70000</v>
      </c>
      <c r="S951" t="str">
        <f t="shared" si="513"/>
        <v>SW001</v>
      </c>
      <c r="T951" t="str">
        <f>IFERROR(INDEX(Katalog!$B$4:$B$13,MATCH('Main Data'!S951,Katalog!$C$4:$C$13,0)),"-")</f>
        <v>Flat Shoes</v>
      </c>
      <c r="U951" t="str">
        <f>IFERROR(VLOOKUP(S951,Katalog!$A$15:$B$25,2,0),"-")</f>
        <v>Sepatu Wanita</v>
      </c>
      <c r="V951" t="str">
        <f t="shared" si="514"/>
        <v>3</v>
      </c>
      <c r="W951" s="28" t="str">
        <f t="shared" si="515"/>
        <v>1</v>
      </c>
      <c r="X951" s="18">
        <f>IFERROR(VLOOKUP(S951,Katalog!$C$3:$F$13,2,0),0)</f>
        <v>150000</v>
      </c>
      <c r="Y951" s="30">
        <f>IFERROR(VLOOKUP(S951,Katalog!$C$3:$F$13,3,0),0)</f>
        <v>70000</v>
      </c>
      <c r="Z951" s="2">
        <f t="shared" si="516"/>
        <v>5</v>
      </c>
      <c r="AA951" s="4">
        <f t="shared" si="517"/>
        <v>900000</v>
      </c>
      <c r="AB951" s="4">
        <f t="shared" si="518"/>
        <v>380000</v>
      </c>
      <c r="AC951" s="4" t="s">
        <v>12</v>
      </c>
      <c r="AD951" s="16">
        <f>IFERROR(VLOOKUP(AC951,'Kode Diskon'!$C$2:$D$9,2,0),0)</f>
        <v>0.15</v>
      </c>
      <c r="AE951" s="31">
        <f t="shared" si="519"/>
        <v>135000</v>
      </c>
      <c r="AF951" s="31">
        <f t="shared" si="520"/>
        <v>765000</v>
      </c>
      <c r="AG951" s="31">
        <f t="shared" si="521"/>
        <v>520000</v>
      </c>
      <c r="AH951" s="31">
        <f t="shared" si="522"/>
        <v>385000</v>
      </c>
      <c r="AI951" s="4" t="s">
        <v>28</v>
      </c>
      <c r="AJ951" s="4" t="s">
        <v>6</v>
      </c>
      <c r="AK951" s="4" t="str">
        <f>IFERROR(VLOOKUP(AJ951,'Guide '!$A$13:$B$16,2,0),"-")</f>
        <v>SP</v>
      </c>
      <c r="AL951" s="4" t="s">
        <v>921</v>
      </c>
      <c r="AM951" s="40">
        <v>45641</v>
      </c>
      <c r="AN951">
        <f t="shared" si="523"/>
        <v>29</v>
      </c>
      <c r="AO951">
        <f t="shared" si="524"/>
        <v>32</v>
      </c>
      <c r="AP951">
        <f t="shared" si="525"/>
        <v>40</v>
      </c>
      <c r="AQ951">
        <f t="shared" si="526"/>
        <v>43</v>
      </c>
      <c r="AR951" s="26">
        <f t="shared" si="527"/>
        <v>56</v>
      </c>
      <c r="AS951" s="26">
        <f t="shared" si="528"/>
        <v>63</v>
      </c>
      <c r="AT951" s="21">
        <f t="shared" si="529"/>
        <v>12</v>
      </c>
      <c r="AU951" s="21">
        <f t="shared" si="530"/>
        <v>19</v>
      </c>
      <c r="AV951">
        <f t="shared" si="531"/>
        <v>73</v>
      </c>
      <c r="AW951">
        <f t="shared" si="532"/>
        <v>76</v>
      </c>
      <c r="AX951">
        <f t="shared" si="533"/>
        <v>84</v>
      </c>
      <c r="AY951">
        <f t="shared" si="534"/>
        <v>87</v>
      </c>
      <c r="AZ951">
        <f t="shared" si="535"/>
        <v>100</v>
      </c>
      <c r="BA951">
        <f t="shared" si="536"/>
        <v>107</v>
      </c>
      <c r="BB951">
        <f t="shared" si="537"/>
        <v>117</v>
      </c>
      <c r="BC951">
        <f t="shared" si="538"/>
        <v>120</v>
      </c>
      <c r="BD951" s="29">
        <f t="shared" si="539"/>
        <v>128</v>
      </c>
      <c r="BE951" s="29">
        <f t="shared" si="540"/>
        <v>131</v>
      </c>
    </row>
    <row r="952" spans="1:57" ht="15" x14ac:dyDescent="0.2">
      <c r="A952" s="2">
        <v>959</v>
      </c>
      <c r="B952" s="2" t="str">
        <f t="shared" si="505"/>
        <v>0959</v>
      </c>
      <c r="C952" t="str">
        <f t="shared" si="506"/>
        <v>ORD-TK-0959-15/12/24</v>
      </c>
      <c r="D952" s="3" t="s">
        <v>889</v>
      </c>
      <c r="E952" t="str">
        <f t="shared" si="507"/>
        <v>PU001</v>
      </c>
      <c r="F952" t="str">
        <f>INDEX(Katalog!$B$4:$B$13,MATCH('Main Data'!E952,Katalog!$C$4:$C$13,0))</f>
        <v>Jaket Hoodie</v>
      </c>
      <c r="G952" t="str">
        <f>VLOOKUP(E952,Katalog!$A$15:$B$25,2,0)</f>
        <v>Pakaian Unisex</v>
      </c>
      <c r="H952" t="str">
        <f t="shared" si="508"/>
        <v>4</v>
      </c>
      <c r="I952" t="str">
        <f t="shared" si="509"/>
        <v>3</v>
      </c>
      <c r="J952" s="18">
        <f>VLOOKUP(E952,Katalog!$C$3:$F$13,2,0)</f>
        <v>160000</v>
      </c>
      <c r="K952" s="18">
        <f>VLOOKUP(E952,Katalog!$C$3:$F$13,3,0)</f>
        <v>60000</v>
      </c>
      <c r="L952" t="str">
        <f t="shared" si="510"/>
        <v>PP001</v>
      </c>
      <c r="M952" t="str">
        <f>IFERROR(INDEX(Katalog!$B$4:$B$13,MATCH('Main Data'!L952,Katalog!$C$4:$C$13,0)), "-")</f>
        <v>Kaos Polo</v>
      </c>
      <c r="N952" t="str">
        <f>IFERROR(VLOOKUP(L952,Katalog!$A$15:$B$25,2,0),"-")</f>
        <v>Pakaian Pria</v>
      </c>
      <c r="O952" t="str">
        <f t="shared" si="511"/>
        <v>2</v>
      </c>
      <c r="P952" t="str">
        <f t="shared" si="512"/>
        <v>4</v>
      </c>
      <c r="Q952" s="18">
        <f>IFERROR(VLOOKUP(L952,Katalog!$C$3:$F$13,2,0),0)</f>
        <v>80000</v>
      </c>
      <c r="R952" s="18">
        <f>IFERROR(VLOOKUP(L952,Katalog!$C$3:$F$13,3,0),0)</f>
        <v>30000</v>
      </c>
      <c r="S952" t="str">
        <f t="shared" si="513"/>
        <v>PW002</v>
      </c>
      <c r="T952" t="str">
        <f>IFERROR(INDEX(Katalog!$B$4:$B$13,MATCH('Main Data'!S952,Katalog!$C$4:$C$13,0)),"-")</f>
        <v>Blouse</v>
      </c>
      <c r="U952" t="str">
        <f>IFERROR(VLOOKUP(S952,Katalog!$A$15:$B$25,2,0),"-")</f>
        <v>Pakaian Wanita</v>
      </c>
      <c r="V952" t="str">
        <f t="shared" si="514"/>
        <v>1</v>
      </c>
      <c r="W952" s="28" t="str">
        <f t="shared" si="515"/>
        <v>2</v>
      </c>
      <c r="X952" s="18">
        <f>IFERROR(VLOOKUP(S952,Katalog!$C$3:$F$13,2,0),0)</f>
        <v>125000</v>
      </c>
      <c r="Y952" s="30">
        <f>IFERROR(VLOOKUP(S952,Katalog!$C$3:$F$13,3,0),0)</f>
        <v>50000</v>
      </c>
      <c r="Z952" s="2">
        <f t="shared" si="516"/>
        <v>7</v>
      </c>
      <c r="AA952" s="4">
        <f t="shared" si="517"/>
        <v>925000</v>
      </c>
      <c r="AB952" s="4">
        <f t="shared" si="518"/>
        <v>350000</v>
      </c>
      <c r="AC952" s="4" t="s">
        <v>30</v>
      </c>
      <c r="AD952" s="16">
        <f>IFERROR(VLOOKUP(AC952,'Kode Diskon'!$C$2:$D$9,2,0),0)</f>
        <v>0.1</v>
      </c>
      <c r="AE952" s="31">
        <f t="shared" si="519"/>
        <v>92500</v>
      </c>
      <c r="AF952" s="31">
        <f t="shared" si="520"/>
        <v>832500</v>
      </c>
      <c r="AG952" s="31">
        <f t="shared" si="521"/>
        <v>575000</v>
      </c>
      <c r="AH952" s="31">
        <f t="shared" si="522"/>
        <v>482500</v>
      </c>
      <c r="AI952" s="4" t="s">
        <v>8</v>
      </c>
      <c r="AJ952" s="4" t="s">
        <v>9</v>
      </c>
      <c r="AK952" s="4" t="str">
        <f>IFERROR(VLOOKUP(AJ952,'Guide '!$A$13:$B$16,2,0),"-")</f>
        <v>TK</v>
      </c>
      <c r="AL952" s="4" t="s">
        <v>924</v>
      </c>
      <c r="AM952" s="40">
        <v>45641</v>
      </c>
      <c r="AN952">
        <f t="shared" si="523"/>
        <v>29</v>
      </c>
      <c r="AO952">
        <f t="shared" si="524"/>
        <v>32</v>
      </c>
      <c r="AP952">
        <f t="shared" si="525"/>
        <v>40</v>
      </c>
      <c r="AQ952">
        <f t="shared" si="526"/>
        <v>43</v>
      </c>
      <c r="AR952" s="26">
        <f t="shared" si="527"/>
        <v>56</v>
      </c>
      <c r="AS952" s="26">
        <f t="shared" si="528"/>
        <v>63</v>
      </c>
      <c r="AT952" s="21">
        <f t="shared" si="529"/>
        <v>12</v>
      </c>
      <c r="AU952" s="21">
        <f t="shared" si="530"/>
        <v>19</v>
      </c>
      <c r="AV952">
        <f t="shared" si="531"/>
        <v>73</v>
      </c>
      <c r="AW952">
        <f t="shared" si="532"/>
        <v>76</v>
      </c>
      <c r="AX952">
        <f t="shared" si="533"/>
        <v>84</v>
      </c>
      <c r="AY952">
        <f t="shared" si="534"/>
        <v>87</v>
      </c>
      <c r="AZ952">
        <f t="shared" si="535"/>
        <v>100</v>
      </c>
      <c r="BA952">
        <f t="shared" si="536"/>
        <v>107</v>
      </c>
      <c r="BB952">
        <f t="shared" si="537"/>
        <v>117</v>
      </c>
      <c r="BC952">
        <f t="shared" si="538"/>
        <v>120</v>
      </c>
      <c r="BD952" s="29">
        <f t="shared" si="539"/>
        <v>128</v>
      </c>
      <c r="BE952" s="29">
        <f t="shared" si="540"/>
        <v>131</v>
      </c>
    </row>
    <row r="953" spans="1:57" ht="15" x14ac:dyDescent="0.2">
      <c r="A953" s="2">
        <v>138</v>
      </c>
      <c r="B953" s="2" t="str">
        <f t="shared" si="505"/>
        <v>0138</v>
      </c>
      <c r="C953" t="str">
        <f t="shared" si="506"/>
        <v>ORD-TK-0138-16/12/24</v>
      </c>
      <c r="D953" s="3" t="s">
        <v>208</v>
      </c>
      <c r="E953" t="str">
        <f t="shared" si="507"/>
        <v>SW001</v>
      </c>
      <c r="F953" t="str">
        <f>INDEX(Katalog!$B$4:$B$13,MATCH('Main Data'!E953,Katalog!$C$4:$C$13,0))</f>
        <v>Flat Shoes</v>
      </c>
      <c r="G953" t="str">
        <f>VLOOKUP(E953,Katalog!$A$15:$B$25,2,0)</f>
        <v>Sepatu Wanita</v>
      </c>
      <c r="H953" t="str">
        <f t="shared" si="508"/>
        <v>1</v>
      </c>
      <c r="I953" t="str">
        <f t="shared" si="509"/>
        <v>2</v>
      </c>
      <c r="J953" s="18">
        <f>VLOOKUP(E953,Katalog!$C$3:$F$13,2,0)</f>
        <v>150000</v>
      </c>
      <c r="K953" s="18">
        <f>VLOOKUP(E953,Katalog!$C$3:$F$13,3,0)</f>
        <v>70000</v>
      </c>
      <c r="L953" t="str">
        <f t="shared" si="510"/>
        <v>PU001</v>
      </c>
      <c r="M953" t="str">
        <f>IFERROR(INDEX(Katalog!$B$4:$B$13,MATCH('Main Data'!L953,Katalog!$C$4:$C$13,0)), "-")</f>
        <v>Jaket Hoodie</v>
      </c>
      <c r="N953" t="str">
        <f>IFERROR(VLOOKUP(L953,Katalog!$A$15:$B$25,2,0),"-")</f>
        <v>Pakaian Unisex</v>
      </c>
      <c r="O953" t="str">
        <f t="shared" si="511"/>
        <v>1</v>
      </c>
      <c r="P953" t="str">
        <f t="shared" si="512"/>
        <v>4</v>
      </c>
      <c r="Q953" s="18">
        <f>IFERROR(VLOOKUP(L953,Katalog!$C$3:$F$13,2,0),0)</f>
        <v>160000</v>
      </c>
      <c r="R953" s="18">
        <f>IFERROR(VLOOKUP(L953,Katalog!$C$3:$F$13,3,0),0)</f>
        <v>60000</v>
      </c>
      <c r="S953" t="str">
        <f t="shared" si="513"/>
        <v>PW001</v>
      </c>
      <c r="T953" t="str">
        <f>IFERROR(INDEX(Katalog!$B$4:$B$13,MATCH('Main Data'!S953,Katalog!$C$4:$C$13,0)),"-")</f>
        <v>Dress</v>
      </c>
      <c r="U953" t="str">
        <f>IFERROR(VLOOKUP(S953,Katalog!$A$15:$B$25,2,0),"-")</f>
        <v>Pakaian Wanita</v>
      </c>
      <c r="V953" t="str">
        <f t="shared" si="514"/>
        <v>3</v>
      </c>
      <c r="W953" s="28" t="str">
        <f t="shared" si="515"/>
        <v>3</v>
      </c>
      <c r="X953" s="18">
        <f>IFERROR(VLOOKUP(S953,Katalog!$C$3:$F$13,2,0),0)</f>
        <v>150000</v>
      </c>
      <c r="Y953" s="30">
        <f>IFERROR(VLOOKUP(S953,Katalog!$C$3:$F$13,3,0),0)</f>
        <v>55000</v>
      </c>
      <c r="Z953" s="2">
        <f t="shared" si="516"/>
        <v>5</v>
      </c>
      <c r="AA953" s="4">
        <f t="shared" si="517"/>
        <v>760000</v>
      </c>
      <c r="AB953" s="4">
        <f t="shared" si="518"/>
        <v>295000</v>
      </c>
      <c r="AC953" s="4" t="s">
        <v>30</v>
      </c>
      <c r="AD953" s="16">
        <f>IFERROR(VLOOKUP(AC953,'Kode Diskon'!$C$2:$D$9,2,0),0)</f>
        <v>0.1</v>
      </c>
      <c r="AE953" s="31">
        <f t="shared" si="519"/>
        <v>76000</v>
      </c>
      <c r="AF953" s="31">
        <f t="shared" si="520"/>
        <v>684000</v>
      </c>
      <c r="AG953" s="31">
        <f t="shared" si="521"/>
        <v>465000</v>
      </c>
      <c r="AH953" s="31">
        <f t="shared" si="522"/>
        <v>389000</v>
      </c>
      <c r="AI953" s="4" t="s">
        <v>8</v>
      </c>
      <c r="AJ953" s="4" t="s">
        <v>9</v>
      </c>
      <c r="AK953" s="4" t="str">
        <f>IFERROR(VLOOKUP(AJ953,'Guide '!$A$13:$B$16,2,0),"-")</f>
        <v>TK</v>
      </c>
      <c r="AL953" s="4" t="s">
        <v>1006</v>
      </c>
      <c r="AM953" s="40">
        <v>45642</v>
      </c>
      <c r="AN953">
        <f t="shared" si="523"/>
        <v>29</v>
      </c>
      <c r="AO953">
        <f t="shared" si="524"/>
        <v>32</v>
      </c>
      <c r="AP953">
        <f t="shared" si="525"/>
        <v>40</v>
      </c>
      <c r="AQ953">
        <f t="shared" si="526"/>
        <v>43</v>
      </c>
      <c r="AR953" s="26">
        <f t="shared" si="527"/>
        <v>56</v>
      </c>
      <c r="AS953" s="26">
        <f t="shared" si="528"/>
        <v>63</v>
      </c>
      <c r="AT953" s="21">
        <f t="shared" si="529"/>
        <v>12</v>
      </c>
      <c r="AU953" s="21">
        <f t="shared" si="530"/>
        <v>19</v>
      </c>
      <c r="AV953">
        <f t="shared" si="531"/>
        <v>73</v>
      </c>
      <c r="AW953">
        <f t="shared" si="532"/>
        <v>76</v>
      </c>
      <c r="AX953">
        <f t="shared" si="533"/>
        <v>84</v>
      </c>
      <c r="AY953">
        <f t="shared" si="534"/>
        <v>87</v>
      </c>
      <c r="AZ953">
        <f t="shared" si="535"/>
        <v>100</v>
      </c>
      <c r="BA953">
        <f t="shared" si="536"/>
        <v>107</v>
      </c>
      <c r="BB953">
        <f t="shared" si="537"/>
        <v>117</v>
      </c>
      <c r="BC953">
        <f t="shared" si="538"/>
        <v>120</v>
      </c>
      <c r="BD953" s="29">
        <f t="shared" si="539"/>
        <v>128</v>
      </c>
      <c r="BE953" s="29">
        <f t="shared" si="540"/>
        <v>131</v>
      </c>
    </row>
    <row r="954" spans="1:57" ht="15" x14ac:dyDescent="0.2">
      <c r="A954" s="2">
        <v>349</v>
      </c>
      <c r="B954" s="2" t="str">
        <f t="shared" si="505"/>
        <v>0349</v>
      </c>
      <c r="C954" t="str">
        <f t="shared" si="506"/>
        <v>ORD-SP-0349-16/12/24</v>
      </c>
      <c r="D954" s="3" t="s">
        <v>401</v>
      </c>
      <c r="E954" t="str">
        <f t="shared" si="507"/>
        <v>PP003</v>
      </c>
      <c r="F954" t="str">
        <f>INDEX(Katalog!$B$4:$B$13,MATCH('Main Data'!E954,Katalog!$C$4:$C$13,0))</f>
        <v>Jaket Jeans</v>
      </c>
      <c r="G954" t="str">
        <f>VLOOKUP(E954,Katalog!$A$15:$B$25,2,0)</f>
        <v>Pakaian Pria</v>
      </c>
      <c r="H954" t="str">
        <f t="shared" si="508"/>
        <v>2</v>
      </c>
      <c r="I954" t="str">
        <f t="shared" si="509"/>
        <v>2</v>
      </c>
      <c r="J954" s="18">
        <f>VLOOKUP(E954,Katalog!$C$3:$F$13,2,0)</f>
        <v>150000</v>
      </c>
      <c r="K954" s="18">
        <f>VLOOKUP(E954,Katalog!$C$3:$F$13,3,0)</f>
        <v>70000</v>
      </c>
      <c r="L954" t="str">
        <f t="shared" si="510"/>
        <v>PW003</v>
      </c>
      <c r="M954" t="str">
        <f>IFERROR(INDEX(Katalog!$B$4:$B$13,MATCH('Main Data'!L954,Katalog!$C$4:$C$13,0)), "-")</f>
        <v>Kaftan</v>
      </c>
      <c r="N954" t="str">
        <f>IFERROR(VLOOKUP(L954,Katalog!$A$15:$B$25,2,0),"-")</f>
        <v>Pakaian Wanita</v>
      </c>
      <c r="O954" t="str">
        <f t="shared" si="511"/>
        <v>3</v>
      </c>
      <c r="P954" t="str">
        <f t="shared" si="512"/>
        <v>4</v>
      </c>
      <c r="Q954" s="18">
        <f>IFERROR(VLOOKUP(L954,Katalog!$C$3:$F$13,2,0),0)</f>
        <v>200000</v>
      </c>
      <c r="R954" s="18">
        <f>IFERROR(VLOOKUP(L954,Katalog!$C$3:$F$13,3,0),0)</f>
        <v>100000</v>
      </c>
      <c r="S954" t="str">
        <f t="shared" si="513"/>
        <v>-</v>
      </c>
      <c r="T954" t="str">
        <f>IFERROR(INDEX(Katalog!$B$4:$B$13,MATCH('Main Data'!S954,Katalog!$C$4:$C$13,0)),"-")</f>
        <v>-</v>
      </c>
      <c r="U954" t="str">
        <f>IFERROR(VLOOKUP(S954,Katalog!$A$15:$B$25,2,0),"-")</f>
        <v>-</v>
      </c>
      <c r="V954">
        <f t="shared" si="514"/>
        <v>0</v>
      </c>
      <c r="W954" s="28" t="str">
        <f t="shared" si="515"/>
        <v>-</v>
      </c>
      <c r="X954" s="18">
        <f>IFERROR(VLOOKUP(S954,Katalog!$C$3:$F$13,2,0),0)</f>
        <v>0</v>
      </c>
      <c r="Y954" s="30">
        <f>IFERROR(VLOOKUP(S954,Katalog!$C$3:$F$13,3,0),0)</f>
        <v>0</v>
      </c>
      <c r="Z954" s="2">
        <f t="shared" si="516"/>
        <v>5</v>
      </c>
      <c r="AA954" s="4">
        <f t="shared" si="517"/>
        <v>900000</v>
      </c>
      <c r="AB954" s="4">
        <f t="shared" si="518"/>
        <v>440000</v>
      </c>
      <c r="AC954" s="4" t="s">
        <v>10</v>
      </c>
      <c r="AD954" s="16">
        <f>IFERROR(VLOOKUP(AC954,'Kode Diskon'!$C$2:$D$9,2,0),0)</f>
        <v>0</v>
      </c>
      <c r="AE954" s="31">
        <f t="shared" si="519"/>
        <v>0</v>
      </c>
      <c r="AF954" s="31">
        <f t="shared" si="520"/>
        <v>900000</v>
      </c>
      <c r="AG954" s="31">
        <f t="shared" si="521"/>
        <v>460000</v>
      </c>
      <c r="AH954" s="31">
        <f t="shared" si="522"/>
        <v>460000</v>
      </c>
      <c r="AI954" s="4" t="s">
        <v>10</v>
      </c>
      <c r="AJ954" s="4" t="s">
        <v>6</v>
      </c>
      <c r="AK954" s="4" t="str">
        <f>IFERROR(VLOOKUP(AJ954,'Guide '!$A$13:$B$16,2,0),"-")</f>
        <v>SP</v>
      </c>
      <c r="AL954" s="4" t="s">
        <v>923</v>
      </c>
      <c r="AM954" s="40">
        <v>45642</v>
      </c>
      <c r="AN954">
        <f t="shared" si="523"/>
        <v>29</v>
      </c>
      <c r="AO954">
        <f t="shared" si="524"/>
        <v>32</v>
      </c>
      <c r="AP954">
        <f t="shared" si="525"/>
        <v>40</v>
      </c>
      <c r="AQ954">
        <f t="shared" si="526"/>
        <v>43</v>
      </c>
      <c r="AR954" s="26">
        <f t="shared" si="527"/>
        <v>56</v>
      </c>
      <c r="AS954" s="26">
        <f t="shared" si="528"/>
        <v>63</v>
      </c>
      <c r="AT954" s="21">
        <f t="shared" si="529"/>
        <v>12</v>
      </c>
      <c r="AU954" s="21">
        <f t="shared" si="530"/>
        <v>19</v>
      </c>
      <c r="AV954">
        <f t="shared" si="531"/>
        <v>73</v>
      </c>
      <c r="AW954">
        <f t="shared" si="532"/>
        <v>76</v>
      </c>
      <c r="AX954">
        <f t="shared" si="533"/>
        <v>84</v>
      </c>
      <c r="AY954">
        <f t="shared" si="534"/>
        <v>87</v>
      </c>
      <c r="AZ954" t="str">
        <f t="shared" si="535"/>
        <v>-</v>
      </c>
      <c r="BA954" t="str">
        <f t="shared" si="536"/>
        <v>-</v>
      </c>
      <c r="BB954" t="str">
        <f t="shared" si="537"/>
        <v>-</v>
      </c>
      <c r="BC954" t="str">
        <f t="shared" si="538"/>
        <v>-</v>
      </c>
      <c r="BD954" s="29" t="str">
        <f t="shared" si="539"/>
        <v>-</v>
      </c>
      <c r="BE954" s="29" t="str">
        <f t="shared" si="540"/>
        <v>-</v>
      </c>
    </row>
    <row r="955" spans="1:57" ht="15" x14ac:dyDescent="0.2">
      <c r="A955" s="2">
        <v>84</v>
      </c>
      <c r="B955" s="2" t="str">
        <f t="shared" si="505"/>
        <v>0084</v>
      </c>
      <c r="C955" t="str">
        <f t="shared" si="506"/>
        <v>ORD-BL-0084-17/12/24</v>
      </c>
      <c r="D955" s="3" t="s">
        <v>157</v>
      </c>
      <c r="E955" t="str">
        <f t="shared" si="507"/>
        <v>PW001</v>
      </c>
      <c r="F955" t="str">
        <f>INDEX(Katalog!$B$4:$B$13,MATCH('Main Data'!E955,Katalog!$C$4:$C$13,0))</f>
        <v>Dress</v>
      </c>
      <c r="G955" t="str">
        <f>VLOOKUP(E955,Katalog!$A$15:$B$25,2,0)</f>
        <v>Pakaian Wanita</v>
      </c>
      <c r="H955" t="str">
        <f t="shared" si="508"/>
        <v>2</v>
      </c>
      <c r="I955" t="str">
        <f t="shared" si="509"/>
        <v>4</v>
      </c>
      <c r="J955" s="18">
        <f>VLOOKUP(E955,Katalog!$C$3:$F$13,2,0)</f>
        <v>150000</v>
      </c>
      <c r="K955" s="18">
        <f>VLOOKUP(E955,Katalog!$C$3:$F$13,3,0)</f>
        <v>55000</v>
      </c>
      <c r="L955" t="str">
        <f t="shared" si="510"/>
        <v>PP001</v>
      </c>
      <c r="M955" t="str">
        <f>IFERROR(INDEX(Katalog!$B$4:$B$13,MATCH('Main Data'!L955,Katalog!$C$4:$C$13,0)), "-")</f>
        <v>Kaos Polo</v>
      </c>
      <c r="N955" t="str">
        <f>IFERROR(VLOOKUP(L955,Katalog!$A$15:$B$25,2,0),"-")</f>
        <v>Pakaian Pria</v>
      </c>
      <c r="O955" t="str">
        <f t="shared" si="511"/>
        <v>1</v>
      </c>
      <c r="P955" t="str">
        <f t="shared" si="512"/>
        <v>3</v>
      </c>
      <c r="Q955" s="18">
        <f>IFERROR(VLOOKUP(L955,Katalog!$C$3:$F$13,2,0),0)</f>
        <v>80000</v>
      </c>
      <c r="R955" s="18">
        <f>IFERROR(VLOOKUP(L955,Katalog!$C$3:$F$13,3,0),0)</f>
        <v>30000</v>
      </c>
      <c r="S955" t="str">
        <f t="shared" si="513"/>
        <v>-</v>
      </c>
      <c r="T955" t="str">
        <f>IFERROR(INDEX(Katalog!$B$4:$B$13,MATCH('Main Data'!S955,Katalog!$C$4:$C$13,0)),"-")</f>
        <v>-</v>
      </c>
      <c r="U955" t="str">
        <f>IFERROR(VLOOKUP(S955,Katalog!$A$15:$B$25,2,0),"-")</f>
        <v>-</v>
      </c>
      <c r="V955">
        <f t="shared" si="514"/>
        <v>0</v>
      </c>
      <c r="W955" s="28" t="str">
        <f t="shared" si="515"/>
        <v>-</v>
      </c>
      <c r="X955" s="18">
        <f>IFERROR(VLOOKUP(S955,Katalog!$C$3:$F$13,2,0),0)</f>
        <v>0</v>
      </c>
      <c r="Y955" s="30">
        <f>IFERROR(VLOOKUP(S955,Katalog!$C$3:$F$13,3,0),0)</f>
        <v>0</v>
      </c>
      <c r="Z955" s="2">
        <f t="shared" si="516"/>
        <v>3</v>
      </c>
      <c r="AA955" s="4">
        <f t="shared" si="517"/>
        <v>380000</v>
      </c>
      <c r="AB955" s="4">
        <f t="shared" si="518"/>
        <v>140000</v>
      </c>
      <c r="AC955" s="4" t="s">
        <v>31</v>
      </c>
      <c r="AD955" s="16">
        <f>IFERROR(VLOOKUP(AC955,'Kode Diskon'!$C$2:$D$9,2,0),0)</f>
        <v>0.15</v>
      </c>
      <c r="AE955" s="31">
        <f t="shared" si="519"/>
        <v>57000</v>
      </c>
      <c r="AF955" s="31">
        <f t="shared" si="520"/>
        <v>323000</v>
      </c>
      <c r="AG955" s="31">
        <f t="shared" si="521"/>
        <v>240000</v>
      </c>
      <c r="AH955" s="31">
        <f t="shared" si="522"/>
        <v>183000</v>
      </c>
      <c r="AI955" s="4" t="s">
        <v>8</v>
      </c>
      <c r="AJ955" s="4" t="s">
        <v>11</v>
      </c>
      <c r="AK955" s="4" t="str">
        <f>IFERROR(VLOOKUP(AJ955,'Guide '!$A$13:$B$16,2,0),"-")</f>
        <v>BL</v>
      </c>
      <c r="AL955" s="4" t="s">
        <v>1006</v>
      </c>
      <c r="AM955" s="40">
        <v>45643</v>
      </c>
      <c r="AN955">
        <f t="shared" si="523"/>
        <v>29</v>
      </c>
      <c r="AO955">
        <f t="shared" si="524"/>
        <v>32</v>
      </c>
      <c r="AP955">
        <f t="shared" si="525"/>
        <v>40</v>
      </c>
      <c r="AQ955">
        <f t="shared" si="526"/>
        <v>43</v>
      </c>
      <c r="AR955" s="26">
        <f t="shared" si="527"/>
        <v>56</v>
      </c>
      <c r="AS955" s="26">
        <f t="shared" si="528"/>
        <v>63</v>
      </c>
      <c r="AT955" s="21">
        <f t="shared" si="529"/>
        <v>12</v>
      </c>
      <c r="AU955" s="21">
        <f t="shared" si="530"/>
        <v>19</v>
      </c>
      <c r="AV955">
        <f t="shared" si="531"/>
        <v>73</v>
      </c>
      <c r="AW955">
        <f t="shared" si="532"/>
        <v>76</v>
      </c>
      <c r="AX955">
        <f t="shared" si="533"/>
        <v>84</v>
      </c>
      <c r="AY955">
        <f t="shared" si="534"/>
        <v>87</v>
      </c>
      <c r="AZ955" t="str">
        <f t="shared" si="535"/>
        <v>-</v>
      </c>
      <c r="BA955" t="str">
        <f t="shared" si="536"/>
        <v>-</v>
      </c>
      <c r="BB955" t="str">
        <f t="shared" si="537"/>
        <v>-</v>
      </c>
      <c r="BC955" t="str">
        <f t="shared" si="538"/>
        <v>-</v>
      </c>
      <c r="BD955" s="29" t="str">
        <f t="shared" si="539"/>
        <v>-</v>
      </c>
      <c r="BE955" s="29" t="str">
        <f t="shared" si="540"/>
        <v>-</v>
      </c>
    </row>
    <row r="956" spans="1:57" ht="15" x14ac:dyDescent="0.2">
      <c r="A956" s="2">
        <v>247</v>
      </c>
      <c r="B956" s="2" t="str">
        <f t="shared" si="505"/>
        <v>0247</v>
      </c>
      <c r="C956" t="str">
        <f t="shared" si="506"/>
        <v>ORD-TK-0247-17/12/24</v>
      </c>
      <c r="D956" s="3" t="s">
        <v>312</v>
      </c>
      <c r="E956" t="str">
        <f t="shared" si="507"/>
        <v>PP003</v>
      </c>
      <c r="F956" t="str">
        <f>INDEX(Katalog!$B$4:$B$13,MATCH('Main Data'!E956,Katalog!$C$4:$C$13,0))</f>
        <v>Jaket Jeans</v>
      </c>
      <c r="G956" t="str">
        <f>VLOOKUP(E956,Katalog!$A$15:$B$25,2,0)</f>
        <v>Pakaian Pria</v>
      </c>
      <c r="H956" t="str">
        <f t="shared" si="508"/>
        <v>1</v>
      </c>
      <c r="I956" t="str">
        <f t="shared" si="509"/>
        <v>5</v>
      </c>
      <c r="J956" s="18">
        <f>VLOOKUP(E956,Katalog!$C$3:$F$13,2,0)</f>
        <v>150000</v>
      </c>
      <c r="K956" s="18">
        <f>VLOOKUP(E956,Katalog!$C$3:$F$13,3,0)</f>
        <v>70000</v>
      </c>
      <c r="L956" t="str">
        <f t="shared" si="510"/>
        <v>PU001</v>
      </c>
      <c r="M956" t="str">
        <f>IFERROR(INDEX(Katalog!$B$4:$B$13,MATCH('Main Data'!L956,Katalog!$C$4:$C$13,0)), "-")</f>
        <v>Jaket Hoodie</v>
      </c>
      <c r="N956" t="str">
        <f>IFERROR(VLOOKUP(L956,Katalog!$A$15:$B$25,2,0),"-")</f>
        <v>Pakaian Unisex</v>
      </c>
      <c r="O956" t="str">
        <f t="shared" si="511"/>
        <v>3</v>
      </c>
      <c r="P956" t="str">
        <f t="shared" si="512"/>
        <v>4</v>
      </c>
      <c r="Q956" s="18">
        <f>IFERROR(VLOOKUP(L956,Katalog!$C$3:$F$13,2,0),0)</f>
        <v>160000</v>
      </c>
      <c r="R956" s="18">
        <f>IFERROR(VLOOKUP(L956,Katalog!$C$3:$F$13,3,0),0)</f>
        <v>60000</v>
      </c>
      <c r="S956" t="str">
        <f t="shared" si="513"/>
        <v>-</v>
      </c>
      <c r="T956" t="str">
        <f>IFERROR(INDEX(Katalog!$B$4:$B$13,MATCH('Main Data'!S956,Katalog!$C$4:$C$13,0)),"-")</f>
        <v>-</v>
      </c>
      <c r="U956" t="str">
        <f>IFERROR(VLOOKUP(S956,Katalog!$A$15:$B$25,2,0),"-")</f>
        <v>-</v>
      </c>
      <c r="V956">
        <f t="shared" si="514"/>
        <v>0</v>
      </c>
      <c r="W956" s="28" t="str">
        <f t="shared" si="515"/>
        <v>-</v>
      </c>
      <c r="X956" s="18">
        <f>IFERROR(VLOOKUP(S956,Katalog!$C$3:$F$13,2,0),0)</f>
        <v>0</v>
      </c>
      <c r="Y956" s="30">
        <f>IFERROR(VLOOKUP(S956,Katalog!$C$3:$F$13,3,0),0)</f>
        <v>0</v>
      </c>
      <c r="Z956" s="2">
        <f t="shared" si="516"/>
        <v>4</v>
      </c>
      <c r="AA956" s="4">
        <f t="shared" si="517"/>
        <v>630000</v>
      </c>
      <c r="AB956" s="4">
        <f t="shared" si="518"/>
        <v>250000</v>
      </c>
      <c r="AC956" s="4" t="s">
        <v>30</v>
      </c>
      <c r="AD956" s="16">
        <f>IFERROR(VLOOKUP(AC956,'Kode Diskon'!$C$2:$D$9,2,0),0)</f>
        <v>0.1</v>
      </c>
      <c r="AE956" s="31">
        <f t="shared" si="519"/>
        <v>63000</v>
      </c>
      <c r="AF956" s="31">
        <f t="shared" si="520"/>
        <v>567000</v>
      </c>
      <c r="AG956" s="31">
        <f t="shared" si="521"/>
        <v>380000</v>
      </c>
      <c r="AH956" s="31">
        <f t="shared" si="522"/>
        <v>317000</v>
      </c>
      <c r="AI956" s="4" t="s">
        <v>8</v>
      </c>
      <c r="AJ956" s="4" t="s">
        <v>9</v>
      </c>
      <c r="AK956" s="4" t="str">
        <f>IFERROR(VLOOKUP(AJ956,'Guide '!$A$13:$B$16,2,0),"-")</f>
        <v>TK</v>
      </c>
      <c r="AL956" s="4" t="s">
        <v>1006</v>
      </c>
      <c r="AM956" s="40">
        <v>45643</v>
      </c>
      <c r="AN956">
        <f t="shared" si="523"/>
        <v>29</v>
      </c>
      <c r="AO956">
        <f t="shared" si="524"/>
        <v>32</v>
      </c>
      <c r="AP956">
        <f t="shared" si="525"/>
        <v>40</v>
      </c>
      <c r="AQ956">
        <f t="shared" si="526"/>
        <v>43</v>
      </c>
      <c r="AR956" s="26">
        <f t="shared" si="527"/>
        <v>56</v>
      </c>
      <c r="AS956" s="26">
        <f t="shared" si="528"/>
        <v>63</v>
      </c>
      <c r="AT956" s="21">
        <f t="shared" si="529"/>
        <v>12</v>
      </c>
      <c r="AU956" s="21">
        <f t="shared" si="530"/>
        <v>19</v>
      </c>
      <c r="AV956">
        <f t="shared" si="531"/>
        <v>73</v>
      </c>
      <c r="AW956">
        <f t="shared" si="532"/>
        <v>76</v>
      </c>
      <c r="AX956">
        <f t="shared" si="533"/>
        <v>84</v>
      </c>
      <c r="AY956">
        <f t="shared" si="534"/>
        <v>87</v>
      </c>
      <c r="AZ956" t="str">
        <f t="shared" si="535"/>
        <v>-</v>
      </c>
      <c r="BA956" t="str">
        <f t="shared" si="536"/>
        <v>-</v>
      </c>
      <c r="BB956" t="str">
        <f t="shared" si="537"/>
        <v>-</v>
      </c>
      <c r="BC956" t="str">
        <f t="shared" si="538"/>
        <v>-</v>
      </c>
      <c r="BD956" s="29" t="str">
        <f t="shared" si="539"/>
        <v>-</v>
      </c>
      <c r="BE956" s="29" t="str">
        <f t="shared" si="540"/>
        <v>-</v>
      </c>
    </row>
    <row r="957" spans="1:57" ht="15" x14ac:dyDescent="0.2">
      <c r="A957" s="2">
        <v>306</v>
      </c>
      <c r="B957" s="2" t="str">
        <f t="shared" si="505"/>
        <v>0306</v>
      </c>
      <c r="C957" t="str">
        <f t="shared" si="506"/>
        <v>ORD-BB-0306-17/12/24</v>
      </c>
      <c r="D957" s="3" t="s">
        <v>361</v>
      </c>
      <c r="E957" t="str">
        <f t="shared" si="507"/>
        <v>PP003</v>
      </c>
      <c r="F957" t="str">
        <f>INDEX(Katalog!$B$4:$B$13,MATCH('Main Data'!E957,Katalog!$C$4:$C$13,0))</f>
        <v>Jaket Jeans</v>
      </c>
      <c r="G957" t="str">
        <f>VLOOKUP(E957,Katalog!$A$15:$B$25,2,0)</f>
        <v>Pakaian Pria</v>
      </c>
      <c r="H957" t="str">
        <f t="shared" si="508"/>
        <v>2</v>
      </c>
      <c r="I957" t="str">
        <f t="shared" si="509"/>
        <v>4</v>
      </c>
      <c r="J957" s="18">
        <f>VLOOKUP(E957,Katalog!$C$3:$F$13,2,0)</f>
        <v>150000</v>
      </c>
      <c r="K957" s="18">
        <f>VLOOKUP(E957,Katalog!$C$3:$F$13,3,0)</f>
        <v>70000</v>
      </c>
      <c r="L957" t="str">
        <f t="shared" si="510"/>
        <v>PW002</v>
      </c>
      <c r="M957" t="str">
        <f>IFERROR(INDEX(Katalog!$B$4:$B$13,MATCH('Main Data'!L957,Katalog!$C$4:$C$13,0)), "-")</f>
        <v>Blouse</v>
      </c>
      <c r="N957" t="str">
        <f>IFERROR(VLOOKUP(L957,Katalog!$A$15:$B$25,2,0),"-")</f>
        <v>Pakaian Wanita</v>
      </c>
      <c r="O957" t="str">
        <f t="shared" si="511"/>
        <v>2</v>
      </c>
      <c r="P957" t="str">
        <f t="shared" si="512"/>
        <v>4</v>
      </c>
      <c r="Q957" s="18">
        <f>IFERROR(VLOOKUP(L957,Katalog!$C$3:$F$13,2,0),0)</f>
        <v>125000</v>
      </c>
      <c r="R957" s="18">
        <f>IFERROR(VLOOKUP(L957,Katalog!$C$3:$F$13,3,0),0)</f>
        <v>50000</v>
      </c>
      <c r="S957" t="str">
        <f t="shared" si="513"/>
        <v>-</v>
      </c>
      <c r="T957" t="str">
        <f>IFERROR(INDEX(Katalog!$B$4:$B$13,MATCH('Main Data'!S957,Katalog!$C$4:$C$13,0)),"-")</f>
        <v>-</v>
      </c>
      <c r="U957" t="str">
        <f>IFERROR(VLOOKUP(S957,Katalog!$A$15:$B$25,2,0),"-")</f>
        <v>-</v>
      </c>
      <c r="V957">
        <f t="shared" si="514"/>
        <v>0</v>
      </c>
      <c r="W957" s="28" t="str">
        <f t="shared" si="515"/>
        <v>-</v>
      </c>
      <c r="X957" s="18">
        <f>IFERROR(VLOOKUP(S957,Katalog!$C$3:$F$13,2,0),0)</f>
        <v>0</v>
      </c>
      <c r="Y957" s="30">
        <f>IFERROR(VLOOKUP(S957,Katalog!$C$3:$F$13,3,0),0)</f>
        <v>0</v>
      </c>
      <c r="Z957" s="2">
        <f t="shared" si="516"/>
        <v>4</v>
      </c>
      <c r="AA957" s="4">
        <f t="shared" si="517"/>
        <v>550000</v>
      </c>
      <c r="AB957" s="4">
        <f t="shared" si="518"/>
        <v>240000</v>
      </c>
      <c r="AC957" s="4" t="s">
        <v>27</v>
      </c>
      <c r="AD957" s="16">
        <f>IFERROR(VLOOKUP(AC957,'Kode Diskon'!$C$2:$D$9,2,0),0)</f>
        <v>0.15</v>
      </c>
      <c r="AE957" s="31">
        <f t="shared" si="519"/>
        <v>82500</v>
      </c>
      <c r="AF957" s="31">
        <f t="shared" si="520"/>
        <v>467500</v>
      </c>
      <c r="AG957" s="31">
        <f t="shared" si="521"/>
        <v>310000</v>
      </c>
      <c r="AH957" s="31">
        <f t="shared" si="522"/>
        <v>227500</v>
      </c>
      <c r="AI957" s="4" t="s">
        <v>28</v>
      </c>
      <c r="AJ957" s="4" t="s">
        <v>13</v>
      </c>
      <c r="AK957" s="4" t="str">
        <f>IFERROR(VLOOKUP(AJ957,'Guide '!$A$13:$B$16,2,0),"-")</f>
        <v>BB</v>
      </c>
      <c r="AL957" s="4" t="s">
        <v>1006</v>
      </c>
      <c r="AM957" s="40">
        <v>45643</v>
      </c>
      <c r="AN957">
        <f t="shared" si="523"/>
        <v>29</v>
      </c>
      <c r="AO957">
        <f t="shared" si="524"/>
        <v>32</v>
      </c>
      <c r="AP957">
        <f t="shared" si="525"/>
        <v>40</v>
      </c>
      <c r="AQ957">
        <f t="shared" si="526"/>
        <v>43</v>
      </c>
      <c r="AR957" s="26">
        <f t="shared" si="527"/>
        <v>56</v>
      </c>
      <c r="AS957" s="26">
        <f t="shared" si="528"/>
        <v>63</v>
      </c>
      <c r="AT957" s="21">
        <f t="shared" si="529"/>
        <v>12</v>
      </c>
      <c r="AU957" s="21">
        <f t="shared" si="530"/>
        <v>19</v>
      </c>
      <c r="AV957">
        <f t="shared" si="531"/>
        <v>73</v>
      </c>
      <c r="AW957">
        <f t="shared" si="532"/>
        <v>76</v>
      </c>
      <c r="AX957">
        <f t="shared" si="533"/>
        <v>84</v>
      </c>
      <c r="AY957">
        <f t="shared" si="534"/>
        <v>87</v>
      </c>
      <c r="AZ957" t="str">
        <f t="shared" si="535"/>
        <v>-</v>
      </c>
      <c r="BA957" t="str">
        <f t="shared" si="536"/>
        <v>-</v>
      </c>
      <c r="BB957" t="str">
        <f t="shared" si="537"/>
        <v>-</v>
      </c>
      <c r="BC957" t="str">
        <f t="shared" si="538"/>
        <v>-</v>
      </c>
      <c r="BD957" s="29" t="str">
        <f t="shared" si="539"/>
        <v>-</v>
      </c>
      <c r="BE957" s="29" t="str">
        <f t="shared" si="540"/>
        <v>-</v>
      </c>
    </row>
    <row r="958" spans="1:57" ht="15" x14ac:dyDescent="0.2">
      <c r="A958" s="2">
        <v>408</v>
      </c>
      <c r="B958" s="2" t="str">
        <f t="shared" si="505"/>
        <v>0408</v>
      </c>
      <c r="C958" t="str">
        <f t="shared" si="506"/>
        <v>ORD-TK-0408-17/12/24</v>
      </c>
      <c r="D958" s="3" t="s">
        <v>454</v>
      </c>
      <c r="E958" t="str">
        <f t="shared" si="507"/>
        <v>PP003</v>
      </c>
      <c r="F958" t="str">
        <f>INDEX(Katalog!$B$4:$B$13,MATCH('Main Data'!E958,Katalog!$C$4:$C$13,0))</f>
        <v>Jaket Jeans</v>
      </c>
      <c r="G958" t="str">
        <f>VLOOKUP(E958,Katalog!$A$15:$B$25,2,0)</f>
        <v>Pakaian Pria</v>
      </c>
      <c r="H958" t="str">
        <f t="shared" si="508"/>
        <v>1</v>
      </c>
      <c r="I958" t="str">
        <f t="shared" si="509"/>
        <v>2</v>
      </c>
      <c r="J958" s="18">
        <f>VLOOKUP(E958,Katalog!$C$3:$F$13,2,0)</f>
        <v>150000</v>
      </c>
      <c r="K958" s="18">
        <f>VLOOKUP(E958,Katalog!$C$3:$F$13,3,0)</f>
        <v>70000</v>
      </c>
      <c r="L958" t="str">
        <f t="shared" si="510"/>
        <v>PP001</v>
      </c>
      <c r="M958" t="str">
        <f>IFERROR(INDEX(Katalog!$B$4:$B$13,MATCH('Main Data'!L958,Katalog!$C$4:$C$13,0)), "-")</f>
        <v>Kaos Polo</v>
      </c>
      <c r="N958" t="str">
        <f>IFERROR(VLOOKUP(L958,Katalog!$A$15:$B$25,2,0),"-")</f>
        <v>Pakaian Pria</v>
      </c>
      <c r="O958" t="str">
        <f t="shared" si="511"/>
        <v>1</v>
      </c>
      <c r="P958" t="str">
        <f t="shared" si="512"/>
        <v>2</v>
      </c>
      <c r="Q958" s="18">
        <f>IFERROR(VLOOKUP(L958,Katalog!$C$3:$F$13,2,0),0)</f>
        <v>80000</v>
      </c>
      <c r="R958" s="18">
        <f>IFERROR(VLOOKUP(L958,Katalog!$C$3:$F$13,3,0),0)</f>
        <v>30000</v>
      </c>
      <c r="S958" t="str">
        <f t="shared" si="513"/>
        <v>SP001</v>
      </c>
      <c r="T958" t="str">
        <f>IFERROR(INDEX(Katalog!$B$4:$B$13,MATCH('Main Data'!S958,Katalog!$C$4:$C$13,0)),"-")</f>
        <v>Sneakers</v>
      </c>
      <c r="U958" t="str">
        <f>IFERROR(VLOOKUP(S958,Katalog!$A$15:$B$25,2,0),"-")</f>
        <v>Sepatu Pria</v>
      </c>
      <c r="V958" t="str">
        <f t="shared" si="514"/>
        <v>3</v>
      </c>
      <c r="W958" s="28" t="str">
        <f t="shared" si="515"/>
        <v>4</v>
      </c>
      <c r="X958" s="18">
        <f>IFERROR(VLOOKUP(S958,Katalog!$C$3:$F$13,2,0),0)</f>
        <v>300000</v>
      </c>
      <c r="Y958" s="30">
        <f>IFERROR(VLOOKUP(S958,Katalog!$C$3:$F$13,3,0),0)</f>
        <v>100000</v>
      </c>
      <c r="Z958" s="2">
        <f t="shared" si="516"/>
        <v>5</v>
      </c>
      <c r="AA958" s="4">
        <f t="shared" si="517"/>
        <v>1130000</v>
      </c>
      <c r="AB958" s="4">
        <f t="shared" si="518"/>
        <v>400000</v>
      </c>
      <c r="AC958" s="4" t="s">
        <v>10</v>
      </c>
      <c r="AD958" s="16">
        <f>IFERROR(VLOOKUP(AC958,'Kode Diskon'!$C$2:$D$9,2,0),0)</f>
        <v>0</v>
      </c>
      <c r="AE958" s="31">
        <f t="shared" si="519"/>
        <v>0</v>
      </c>
      <c r="AF958" s="31">
        <f t="shared" si="520"/>
        <v>1130000</v>
      </c>
      <c r="AG958" s="31">
        <f t="shared" si="521"/>
        <v>730000</v>
      </c>
      <c r="AH958" s="31">
        <f t="shared" si="522"/>
        <v>730000</v>
      </c>
      <c r="AI958" s="4" t="s">
        <v>10</v>
      </c>
      <c r="AJ958" s="4" t="s">
        <v>9</v>
      </c>
      <c r="AK958" s="4" t="str">
        <f>IFERROR(VLOOKUP(AJ958,'Guide '!$A$13:$B$16,2,0),"-")</f>
        <v>TK</v>
      </c>
      <c r="AL958" s="4" t="s">
        <v>925</v>
      </c>
      <c r="AM958" s="40">
        <v>45643</v>
      </c>
      <c r="AN958">
        <f t="shared" si="523"/>
        <v>29</v>
      </c>
      <c r="AO958">
        <f t="shared" si="524"/>
        <v>32</v>
      </c>
      <c r="AP958">
        <f t="shared" si="525"/>
        <v>40</v>
      </c>
      <c r="AQ958">
        <f t="shared" si="526"/>
        <v>43</v>
      </c>
      <c r="AR958" s="26">
        <f t="shared" si="527"/>
        <v>56</v>
      </c>
      <c r="AS958" s="26">
        <f t="shared" si="528"/>
        <v>63</v>
      </c>
      <c r="AT958" s="21">
        <f t="shared" si="529"/>
        <v>12</v>
      </c>
      <c r="AU958" s="21">
        <f t="shared" si="530"/>
        <v>19</v>
      </c>
      <c r="AV958">
        <f t="shared" si="531"/>
        <v>73</v>
      </c>
      <c r="AW958">
        <f t="shared" si="532"/>
        <v>76</v>
      </c>
      <c r="AX958">
        <f t="shared" si="533"/>
        <v>84</v>
      </c>
      <c r="AY958">
        <f t="shared" si="534"/>
        <v>87</v>
      </c>
      <c r="AZ958">
        <f t="shared" si="535"/>
        <v>100</v>
      </c>
      <c r="BA958">
        <f t="shared" si="536"/>
        <v>107</v>
      </c>
      <c r="BB958">
        <f t="shared" si="537"/>
        <v>117</v>
      </c>
      <c r="BC958">
        <f t="shared" si="538"/>
        <v>120</v>
      </c>
      <c r="BD958" s="29">
        <f t="shared" si="539"/>
        <v>128</v>
      </c>
      <c r="BE958" s="29">
        <f t="shared" si="540"/>
        <v>131</v>
      </c>
    </row>
    <row r="959" spans="1:57" ht="15" x14ac:dyDescent="0.2">
      <c r="A959" s="2">
        <v>527</v>
      </c>
      <c r="B959" s="2" t="str">
        <f t="shared" si="505"/>
        <v>0527</v>
      </c>
      <c r="C959" t="str">
        <f t="shared" si="506"/>
        <v>ORD-SP-0527-17/12/24</v>
      </c>
      <c r="D959" s="3" t="s">
        <v>555</v>
      </c>
      <c r="E959" t="str">
        <f t="shared" si="507"/>
        <v>PU001</v>
      </c>
      <c r="F959" t="str">
        <f>INDEX(Katalog!$B$4:$B$13,MATCH('Main Data'!E959,Katalog!$C$4:$C$13,0))</f>
        <v>Jaket Hoodie</v>
      </c>
      <c r="G959" t="str">
        <f>VLOOKUP(E959,Katalog!$A$15:$B$25,2,0)</f>
        <v>Pakaian Unisex</v>
      </c>
      <c r="H959" t="str">
        <f t="shared" si="508"/>
        <v>6</v>
      </c>
      <c r="I959" t="str">
        <f t="shared" si="509"/>
        <v>4</v>
      </c>
      <c r="J959" s="18">
        <f>VLOOKUP(E959,Katalog!$C$3:$F$13,2,0)</f>
        <v>160000</v>
      </c>
      <c r="K959" s="18">
        <f>VLOOKUP(E959,Katalog!$C$3:$F$13,3,0)</f>
        <v>60000</v>
      </c>
      <c r="L959" t="str">
        <f t="shared" si="510"/>
        <v>PW003</v>
      </c>
      <c r="M959" t="str">
        <f>IFERROR(INDEX(Katalog!$B$4:$B$13,MATCH('Main Data'!L959,Katalog!$C$4:$C$13,0)), "-")</f>
        <v>Kaftan</v>
      </c>
      <c r="N959" t="str">
        <f>IFERROR(VLOOKUP(L959,Katalog!$A$15:$B$25,2,0),"-")</f>
        <v>Pakaian Wanita</v>
      </c>
      <c r="O959" t="str">
        <f t="shared" si="511"/>
        <v>1</v>
      </c>
      <c r="P959" t="str">
        <f t="shared" si="512"/>
        <v>4</v>
      </c>
      <c r="Q959" s="18">
        <f>IFERROR(VLOOKUP(L959,Katalog!$C$3:$F$13,2,0),0)</f>
        <v>200000</v>
      </c>
      <c r="R959" s="18">
        <f>IFERROR(VLOOKUP(L959,Katalog!$C$3:$F$13,3,0),0)</f>
        <v>100000</v>
      </c>
      <c r="S959" t="str">
        <f t="shared" si="513"/>
        <v>-</v>
      </c>
      <c r="T959" t="str">
        <f>IFERROR(INDEX(Katalog!$B$4:$B$13,MATCH('Main Data'!S959,Katalog!$C$4:$C$13,0)),"-")</f>
        <v>-</v>
      </c>
      <c r="U959" t="str">
        <f>IFERROR(VLOOKUP(S959,Katalog!$A$15:$B$25,2,0),"-")</f>
        <v>-</v>
      </c>
      <c r="V959">
        <f t="shared" si="514"/>
        <v>0</v>
      </c>
      <c r="W959" s="28" t="str">
        <f t="shared" si="515"/>
        <v>-</v>
      </c>
      <c r="X959" s="18">
        <f>IFERROR(VLOOKUP(S959,Katalog!$C$3:$F$13,2,0),0)</f>
        <v>0</v>
      </c>
      <c r="Y959" s="30">
        <f>IFERROR(VLOOKUP(S959,Katalog!$C$3:$F$13,3,0),0)</f>
        <v>0</v>
      </c>
      <c r="Z959" s="2">
        <f t="shared" si="516"/>
        <v>7</v>
      </c>
      <c r="AA959" s="4">
        <f t="shared" si="517"/>
        <v>1160000</v>
      </c>
      <c r="AB959" s="4">
        <f t="shared" si="518"/>
        <v>460000</v>
      </c>
      <c r="AC959" s="4" t="s">
        <v>7</v>
      </c>
      <c r="AD959" s="16">
        <f>IFERROR(VLOOKUP(AC959,'Kode Diskon'!$C$2:$D$9,2,0),0)</f>
        <v>0.2</v>
      </c>
      <c r="AE959" s="31">
        <f t="shared" si="519"/>
        <v>232000</v>
      </c>
      <c r="AF959" s="31">
        <f t="shared" si="520"/>
        <v>928000</v>
      </c>
      <c r="AG959" s="31">
        <f t="shared" si="521"/>
        <v>700000</v>
      </c>
      <c r="AH959" s="31">
        <f t="shared" si="522"/>
        <v>468000</v>
      </c>
      <c r="AI959" s="4" t="s">
        <v>8</v>
      </c>
      <c r="AJ959" s="4" t="s">
        <v>6</v>
      </c>
      <c r="AK959" s="4" t="str">
        <f>IFERROR(VLOOKUP(AJ959,'Guide '!$A$13:$B$16,2,0),"-")</f>
        <v>SP</v>
      </c>
      <c r="AL959" s="4" t="s">
        <v>922</v>
      </c>
      <c r="AM959" s="40">
        <v>45643</v>
      </c>
      <c r="AN959">
        <f t="shared" si="523"/>
        <v>29</v>
      </c>
      <c r="AO959">
        <f t="shared" si="524"/>
        <v>32</v>
      </c>
      <c r="AP959">
        <f t="shared" si="525"/>
        <v>40</v>
      </c>
      <c r="AQ959">
        <f t="shared" si="526"/>
        <v>43</v>
      </c>
      <c r="AR959" s="26">
        <f t="shared" si="527"/>
        <v>56</v>
      </c>
      <c r="AS959" s="26">
        <f t="shared" si="528"/>
        <v>63</v>
      </c>
      <c r="AT959" s="21">
        <f t="shared" si="529"/>
        <v>12</v>
      </c>
      <c r="AU959" s="21">
        <f t="shared" si="530"/>
        <v>19</v>
      </c>
      <c r="AV959">
        <f t="shared" si="531"/>
        <v>73</v>
      </c>
      <c r="AW959">
        <f t="shared" si="532"/>
        <v>76</v>
      </c>
      <c r="AX959">
        <f t="shared" si="533"/>
        <v>84</v>
      </c>
      <c r="AY959">
        <f t="shared" si="534"/>
        <v>87</v>
      </c>
      <c r="AZ959" t="str">
        <f t="shared" si="535"/>
        <v>-</v>
      </c>
      <c r="BA959" t="str">
        <f t="shared" si="536"/>
        <v>-</v>
      </c>
      <c r="BB959" t="str">
        <f t="shared" si="537"/>
        <v>-</v>
      </c>
      <c r="BC959" t="str">
        <f t="shared" si="538"/>
        <v>-</v>
      </c>
      <c r="BD959" s="29" t="str">
        <f t="shared" si="539"/>
        <v>-</v>
      </c>
      <c r="BE959" s="29" t="str">
        <f t="shared" si="540"/>
        <v>-</v>
      </c>
    </row>
    <row r="960" spans="1:57" ht="15" x14ac:dyDescent="0.2">
      <c r="A960" s="2">
        <v>584</v>
      </c>
      <c r="B960" s="2" t="str">
        <f t="shared" si="505"/>
        <v>0584</v>
      </c>
      <c r="C960" t="str">
        <f t="shared" si="506"/>
        <v>ORD-SP-0584-17/12/24</v>
      </c>
      <c r="D960" s="3" t="s">
        <v>601</v>
      </c>
      <c r="E960" t="str">
        <f t="shared" si="507"/>
        <v>PU001</v>
      </c>
      <c r="F960" t="str">
        <f>INDEX(Katalog!$B$4:$B$13,MATCH('Main Data'!E960,Katalog!$C$4:$C$13,0))</f>
        <v>Jaket Hoodie</v>
      </c>
      <c r="G960" t="str">
        <f>VLOOKUP(E960,Katalog!$A$15:$B$25,2,0)</f>
        <v>Pakaian Unisex</v>
      </c>
      <c r="H960" t="str">
        <f t="shared" si="508"/>
        <v>4</v>
      </c>
      <c r="I960" t="str">
        <f t="shared" si="509"/>
        <v>4</v>
      </c>
      <c r="J960" s="18">
        <f>VLOOKUP(E960,Katalog!$C$3:$F$13,2,0)</f>
        <v>160000</v>
      </c>
      <c r="K960" s="18">
        <f>VLOOKUP(E960,Katalog!$C$3:$F$13,3,0)</f>
        <v>60000</v>
      </c>
      <c r="L960" t="str">
        <f t="shared" si="510"/>
        <v>SP002</v>
      </c>
      <c r="M960" t="str">
        <f>IFERROR(INDEX(Katalog!$B$4:$B$13,MATCH('Main Data'!L960,Katalog!$C$4:$C$13,0)), "-")</f>
        <v>Sandal Slip On</v>
      </c>
      <c r="N960" t="str">
        <f>IFERROR(VLOOKUP(L960,Katalog!$A$15:$B$25,2,0),"-")</f>
        <v>Sepatu Pria</v>
      </c>
      <c r="O960" t="str">
        <f t="shared" si="511"/>
        <v>1</v>
      </c>
      <c r="P960" t="str">
        <f t="shared" si="512"/>
        <v>4</v>
      </c>
      <c r="Q960" s="18">
        <f>IFERROR(VLOOKUP(L960,Katalog!$C$3:$F$13,2,0),0)</f>
        <v>120000</v>
      </c>
      <c r="R960" s="18">
        <f>IFERROR(VLOOKUP(L960,Katalog!$C$3:$F$13,3,0),0)</f>
        <v>60000</v>
      </c>
      <c r="S960" t="str">
        <f t="shared" si="513"/>
        <v>PP003</v>
      </c>
      <c r="T960" t="str">
        <f>IFERROR(INDEX(Katalog!$B$4:$B$13,MATCH('Main Data'!S960,Katalog!$C$4:$C$13,0)),"-")</f>
        <v>Jaket Jeans</v>
      </c>
      <c r="U960" t="str">
        <f>IFERROR(VLOOKUP(S960,Katalog!$A$15:$B$25,2,0),"-")</f>
        <v>Pakaian Pria</v>
      </c>
      <c r="V960" t="str">
        <f t="shared" si="514"/>
        <v>1</v>
      </c>
      <c r="W960" s="28" t="str">
        <f t="shared" si="515"/>
        <v>2</v>
      </c>
      <c r="X960" s="18">
        <f>IFERROR(VLOOKUP(S960,Katalog!$C$3:$F$13,2,0),0)</f>
        <v>150000</v>
      </c>
      <c r="Y960" s="30">
        <f>IFERROR(VLOOKUP(S960,Katalog!$C$3:$F$13,3,0),0)</f>
        <v>70000</v>
      </c>
      <c r="Z960" s="2">
        <f t="shared" si="516"/>
        <v>6</v>
      </c>
      <c r="AA960" s="4">
        <f t="shared" si="517"/>
        <v>910000</v>
      </c>
      <c r="AB960" s="4">
        <f t="shared" si="518"/>
        <v>370000</v>
      </c>
      <c r="AC960" s="4" t="s">
        <v>5</v>
      </c>
      <c r="AD960" s="16">
        <f>IFERROR(VLOOKUP(AC960,'Kode Diskon'!$C$2:$D$9,2,0),0)</f>
        <v>0.1</v>
      </c>
      <c r="AE960" s="31">
        <f t="shared" si="519"/>
        <v>91000</v>
      </c>
      <c r="AF960" s="31">
        <f t="shared" si="520"/>
        <v>819000</v>
      </c>
      <c r="AG960" s="31">
        <f t="shared" si="521"/>
        <v>540000</v>
      </c>
      <c r="AH960" s="31">
        <f t="shared" si="522"/>
        <v>449000</v>
      </c>
      <c r="AI960" s="4" t="s">
        <v>28</v>
      </c>
      <c r="AJ960" s="4" t="s">
        <v>6</v>
      </c>
      <c r="AK960" s="4" t="str">
        <f>IFERROR(VLOOKUP(AJ960,'Guide '!$A$13:$B$16,2,0),"-")</f>
        <v>SP</v>
      </c>
      <c r="AL960" s="4" t="s">
        <v>924</v>
      </c>
      <c r="AM960" s="40">
        <v>45643</v>
      </c>
      <c r="AN960">
        <f t="shared" si="523"/>
        <v>29</v>
      </c>
      <c r="AO960">
        <f t="shared" si="524"/>
        <v>32</v>
      </c>
      <c r="AP960">
        <f t="shared" si="525"/>
        <v>40</v>
      </c>
      <c r="AQ960">
        <f t="shared" si="526"/>
        <v>43</v>
      </c>
      <c r="AR960" s="26">
        <f t="shared" si="527"/>
        <v>56</v>
      </c>
      <c r="AS960" s="26">
        <f t="shared" si="528"/>
        <v>63</v>
      </c>
      <c r="AT960" s="21">
        <f t="shared" si="529"/>
        <v>12</v>
      </c>
      <c r="AU960" s="21">
        <f t="shared" si="530"/>
        <v>19</v>
      </c>
      <c r="AV960">
        <f t="shared" si="531"/>
        <v>73</v>
      </c>
      <c r="AW960">
        <f t="shared" si="532"/>
        <v>76</v>
      </c>
      <c r="AX960">
        <f t="shared" si="533"/>
        <v>84</v>
      </c>
      <c r="AY960">
        <f t="shared" si="534"/>
        <v>87</v>
      </c>
      <c r="AZ960">
        <f t="shared" si="535"/>
        <v>100</v>
      </c>
      <c r="BA960">
        <f t="shared" si="536"/>
        <v>107</v>
      </c>
      <c r="BB960">
        <f t="shared" si="537"/>
        <v>117</v>
      </c>
      <c r="BC960">
        <f t="shared" si="538"/>
        <v>120</v>
      </c>
      <c r="BD960" s="29">
        <f t="shared" si="539"/>
        <v>128</v>
      </c>
      <c r="BE960" s="29">
        <f t="shared" si="540"/>
        <v>131</v>
      </c>
    </row>
    <row r="961" spans="1:57" ht="15" x14ac:dyDescent="0.2">
      <c r="A961" s="2">
        <v>782</v>
      </c>
      <c r="B961" s="2" t="str">
        <f t="shared" si="505"/>
        <v>0782</v>
      </c>
      <c r="C961" t="str">
        <f t="shared" si="506"/>
        <v>ORD-TK-0782-17/12/24</v>
      </c>
      <c r="D961" s="3" t="s">
        <v>754</v>
      </c>
      <c r="E961" t="str">
        <f t="shared" si="507"/>
        <v>PW003</v>
      </c>
      <c r="F961" t="str">
        <f>INDEX(Katalog!$B$4:$B$13,MATCH('Main Data'!E961,Katalog!$C$4:$C$13,0))</f>
        <v>Kaftan</v>
      </c>
      <c r="G961" t="str">
        <f>VLOOKUP(E961,Katalog!$A$15:$B$25,2,0)</f>
        <v>Pakaian Wanita</v>
      </c>
      <c r="H961" t="str">
        <f t="shared" si="508"/>
        <v>4</v>
      </c>
      <c r="I961" t="str">
        <f t="shared" si="509"/>
        <v>5</v>
      </c>
      <c r="J961" s="18">
        <f>VLOOKUP(E961,Katalog!$C$3:$F$13,2,0)</f>
        <v>200000</v>
      </c>
      <c r="K961" s="18">
        <f>VLOOKUP(E961,Katalog!$C$3:$F$13,3,0)</f>
        <v>100000</v>
      </c>
      <c r="L961" t="str">
        <f t="shared" si="510"/>
        <v>SW001</v>
      </c>
      <c r="M961" t="str">
        <f>IFERROR(INDEX(Katalog!$B$4:$B$13,MATCH('Main Data'!L961,Katalog!$C$4:$C$13,0)), "-")</f>
        <v>Flat Shoes</v>
      </c>
      <c r="N961" t="str">
        <f>IFERROR(VLOOKUP(L961,Katalog!$A$15:$B$25,2,0),"-")</f>
        <v>Sepatu Wanita</v>
      </c>
      <c r="O961" t="str">
        <f t="shared" si="511"/>
        <v>3</v>
      </c>
      <c r="P961" t="str">
        <f t="shared" si="512"/>
        <v>1</v>
      </c>
      <c r="Q961" s="18">
        <f>IFERROR(VLOOKUP(L961,Katalog!$C$3:$F$13,2,0),0)</f>
        <v>150000</v>
      </c>
      <c r="R961" s="18">
        <f>IFERROR(VLOOKUP(L961,Katalog!$C$3:$F$13,3,0),0)</f>
        <v>70000</v>
      </c>
      <c r="S961" t="str">
        <f t="shared" si="513"/>
        <v>-</v>
      </c>
      <c r="T961" t="str">
        <f>IFERROR(INDEX(Katalog!$B$4:$B$13,MATCH('Main Data'!S961,Katalog!$C$4:$C$13,0)),"-")</f>
        <v>-</v>
      </c>
      <c r="U961" t="str">
        <f>IFERROR(VLOOKUP(S961,Katalog!$A$15:$B$25,2,0),"-")</f>
        <v>-</v>
      </c>
      <c r="V961">
        <f t="shared" si="514"/>
        <v>0</v>
      </c>
      <c r="W961" s="28" t="str">
        <f t="shared" si="515"/>
        <v>-</v>
      </c>
      <c r="X961" s="18">
        <f>IFERROR(VLOOKUP(S961,Katalog!$C$3:$F$13,2,0),0)</f>
        <v>0</v>
      </c>
      <c r="Y961" s="30">
        <f>IFERROR(VLOOKUP(S961,Katalog!$C$3:$F$13,3,0),0)</f>
        <v>0</v>
      </c>
      <c r="Z961" s="2">
        <f t="shared" si="516"/>
        <v>7</v>
      </c>
      <c r="AA961" s="4">
        <f t="shared" si="517"/>
        <v>1250000</v>
      </c>
      <c r="AB961" s="4">
        <f t="shared" si="518"/>
        <v>610000</v>
      </c>
      <c r="AC961" s="4" t="s">
        <v>29</v>
      </c>
      <c r="AD961" s="16">
        <f>IFERROR(VLOOKUP(AC961,'Kode Diskon'!$C$2:$D$9,2,0),0)</f>
        <v>0.1</v>
      </c>
      <c r="AE961" s="31">
        <f t="shared" si="519"/>
        <v>125000</v>
      </c>
      <c r="AF961" s="31">
        <f t="shared" si="520"/>
        <v>1125000</v>
      </c>
      <c r="AG961" s="31">
        <f t="shared" si="521"/>
        <v>640000</v>
      </c>
      <c r="AH961" s="31">
        <f t="shared" si="522"/>
        <v>515000</v>
      </c>
      <c r="AI961" s="4" t="s">
        <v>28</v>
      </c>
      <c r="AJ961" s="4" t="s">
        <v>9</v>
      </c>
      <c r="AK961" s="4" t="str">
        <f>IFERROR(VLOOKUP(AJ961,'Guide '!$A$13:$B$16,2,0),"-")</f>
        <v>TK</v>
      </c>
      <c r="AL961" s="4" t="s">
        <v>1006</v>
      </c>
      <c r="AM961" s="40">
        <v>45643</v>
      </c>
      <c r="AN961">
        <f t="shared" si="523"/>
        <v>29</v>
      </c>
      <c r="AO961">
        <f t="shared" si="524"/>
        <v>32</v>
      </c>
      <c r="AP961">
        <f t="shared" si="525"/>
        <v>40</v>
      </c>
      <c r="AQ961">
        <f t="shared" si="526"/>
        <v>43</v>
      </c>
      <c r="AR961" s="26">
        <f t="shared" si="527"/>
        <v>56</v>
      </c>
      <c r="AS961" s="26">
        <f t="shared" si="528"/>
        <v>63</v>
      </c>
      <c r="AT961" s="21">
        <f t="shared" si="529"/>
        <v>12</v>
      </c>
      <c r="AU961" s="21">
        <f t="shared" si="530"/>
        <v>19</v>
      </c>
      <c r="AV961">
        <f t="shared" si="531"/>
        <v>73</v>
      </c>
      <c r="AW961">
        <f t="shared" si="532"/>
        <v>76</v>
      </c>
      <c r="AX961">
        <f t="shared" si="533"/>
        <v>84</v>
      </c>
      <c r="AY961">
        <f t="shared" si="534"/>
        <v>87</v>
      </c>
      <c r="AZ961" t="str">
        <f t="shared" si="535"/>
        <v>-</v>
      </c>
      <c r="BA961" t="str">
        <f t="shared" si="536"/>
        <v>-</v>
      </c>
      <c r="BB961" t="str">
        <f t="shared" si="537"/>
        <v>-</v>
      </c>
      <c r="BC961" t="str">
        <f t="shared" si="538"/>
        <v>-</v>
      </c>
      <c r="BD961" s="29" t="str">
        <f t="shared" si="539"/>
        <v>-</v>
      </c>
      <c r="BE961" s="29" t="str">
        <f t="shared" si="540"/>
        <v>-</v>
      </c>
    </row>
    <row r="962" spans="1:57" ht="15" x14ac:dyDescent="0.2">
      <c r="A962" s="2">
        <v>878</v>
      </c>
      <c r="B962" s="2" t="str">
        <f t="shared" si="505"/>
        <v>0878</v>
      </c>
      <c r="C962" t="str">
        <f t="shared" si="506"/>
        <v>ORD-BL-0878-17/12/24</v>
      </c>
      <c r="D962" s="3" t="s">
        <v>820</v>
      </c>
      <c r="E962" t="str">
        <f t="shared" si="507"/>
        <v>PU001</v>
      </c>
      <c r="F962" t="str">
        <f>INDEX(Katalog!$B$4:$B$13,MATCH('Main Data'!E962,Katalog!$C$4:$C$13,0))</f>
        <v>Jaket Hoodie</v>
      </c>
      <c r="G962" t="str">
        <f>VLOOKUP(E962,Katalog!$A$15:$B$25,2,0)</f>
        <v>Pakaian Unisex</v>
      </c>
      <c r="H962" t="str">
        <f t="shared" si="508"/>
        <v>1</v>
      </c>
      <c r="I962" t="str">
        <f t="shared" si="509"/>
        <v>5</v>
      </c>
      <c r="J962" s="18">
        <f>VLOOKUP(E962,Katalog!$C$3:$F$13,2,0)</f>
        <v>160000</v>
      </c>
      <c r="K962" s="18">
        <f>VLOOKUP(E962,Katalog!$C$3:$F$13,3,0)</f>
        <v>60000</v>
      </c>
      <c r="L962" t="str">
        <f t="shared" si="510"/>
        <v>SP001</v>
      </c>
      <c r="M962" t="str">
        <f>IFERROR(INDEX(Katalog!$B$4:$B$13,MATCH('Main Data'!L962,Katalog!$C$4:$C$13,0)), "-")</f>
        <v>Sneakers</v>
      </c>
      <c r="N962" t="str">
        <f>IFERROR(VLOOKUP(L962,Katalog!$A$15:$B$25,2,0),"-")</f>
        <v>Sepatu Pria</v>
      </c>
      <c r="O962" t="str">
        <f t="shared" si="511"/>
        <v>1</v>
      </c>
      <c r="P962" t="str">
        <f t="shared" si="512"/>
        <v>3</v>
      </c>
      <c r="Q962" s="18">
        <f>IFERROR(VLOOKUP(L962,Katalog!$C$3:$F$13,2,0),0)</f>
        <v>300000</v>
      </c>
      <c r="R962" s="18">
        <f>IFERROR(VLOOKUP(L962,Katalog!$C$3:$F$13,3,0),0)</f>
        <v>100000</v>
      </c>
      <c r="S962" t="str">
        <f t="shared" si="513"/>
        <v>PP001</v>
      </c>
      <c r="T962" t="str">
        <f>IFERROR(INDEX(Katalog!$B$4:$B$13,MATCH('Main Data'!S962,Katalog!$C$4:$C$13,0)),"-")</f>
        <v>Kaos Polo</v>
      </c>
      <c r="U962" t="str">
        <f>IFERROR(VLOOKUP(S962,Katalog!$A$15:$B$25,2,0),"-")</f>
        <v>Pakaian Pria</v>
      </c>
      <c r="V962" t="str">
        <f t="shared" si="514"/>
        <v>1</v>
      </c>
      <c r="W962" s="28" t="str">
        <f t="shared" si="515"/>
        <v>1</v>
      </c>
      <c r="X962" s="18">
        <f>IFERROR(VLOOKUP(S962,Katalog!$C$3:$F$13,2,0),0)</f>
        <v>80000</v>
      </c>
      <c r="Y962" s="30">
        <f>IFERROR(VLOOKUP(S962,Katalog!$C$3:$F$13,3,0),0)</f>
        <v>30000</v>
      </c>
      <c r="Z962" s="2">
        <f t="shared" si="516"/>
        <v>3</v>
      </c>
      <c r="AA962" s="4">
        <f t="shared" si="517"/>
        <v>540000</v>
      </c>
      <c r="AB962" s="4">
        <f t="shared" si="518"/>
        <v>190000</v>
      </c>
      <c r="AC962" s="4" t="s">
        <v>31</v>
      </c>
      <c r="AD962" s="16">
        <f>IFERROR(VLOOKUP(AC962,'Kode Diskon'!$C$2:$D$9,2,0),0)</f>
        <v>0.15</v>
      </c>
      <c r="AE962" s="31">
        <f t="shared" si="519"/>
        <v>81000</v>
      </c>
      <c r="AF962" s="31">
        <f t="shared" si="520"/>
        <v>459000</v>
      </c>
      <c r="AG962" s="31">
        <f t="shared" si="521"/>
        <v>350000</v>
      </c>
      <c r="AH962" s="31">
        <f t="shared" si="522"/>
        <v>269000</v>
      </c>
      <c r="AI962" s="4" t="s">
        <v>8</v>
      </c>
      <c r="AJ962" s="4" t="s">
        <v>11</v>
      </c>
      <c r="AK962" s="4" t="str">
        <f>IFERROR(VLOOKUP(AJ962,'Guide '!$A$13:$B$16,2,0),"-")</f>
        <v>BL</v>
      </c>
      <c r="AL962" s="4" t="s">
        <v>922</v>
      </c>
      <c r="AM962" s="40">
        <v>45643</v>
      </c>
      <c r="AN962">
        <f t="shared" si="523"/>
        <v>29</v>
      </c>
      <c r="AO962">
        <f t="shared" si="524"/>
        <v>32</v>
      </c>
      <c r="AP962">
        <f t="shared" si="525"/>
        <v>40</v>
      </c>
      <c r="AQ962">
        <f t="shared" si="526"/>
        <v>43</v>
      </c>
      <c r="AR962" s="26">
        <f t="shared" si="527"/>
        <v>56</v>
      </c>
      <c r="AS962" s="26">
        <f t="shared" si="528"/>
        <v>63</v>
      </c>
      <c r="AT962" s="21">
        <f t="shared" si="529"/>
        <v>12</v>
      </c>
      <c r="AU962" s="21">
        <f t="shared" si="530"/>
        <v>19</v>
      </c>
      <c r="AV962">
        <f t="shared" si="531"/>
        <v>73</v>
      </c>
      <c r="AW962">
        <f t="shared" si="532"/>
        <v>76</v>
      </c>
      <c r="AX962">
        <f t="shared" si="533"/>
        <v>84</v>
      </c>
      <c r="AY962">
        <f t="shared" si="534"/>
        <v>87</v>
      </c>
      <c r="AZ962">
        <f t="shared" si="535"/>
        <v>100</v>
      </c>
      <c r="BA962">
        <f t="shared" si="536"/>
        <v>107</v>
      </c>
      <c r="BB962">
        <f t="shared" si="537"/>
        <v>117</v>
      </c>
      <c r="BC962">
        <f t="shared" si="538"/>
        <v>120</v>
      </c>
      <c r="BD962" s="29">
        <f t="shared" si="539"/>
        <v>128</v>
      </c>
      <c r="BE962" s="29">
        <f t="shared" si="540"/>
        <v>131</v>
      </c>
    </row>
    <row r="963" spans="1:57" ht="15" x14ac:dyDescent="0.2">
      <c r="A963" s="2">
        <v>962</v>
      </c>
      <c r="B963" s="2" t="str">
        <f t="shared" ref="B963:B1002" si="541">TEXT(A963,"0000")</f>
        <v>0962</v>
      </c>
      <c r="C963" t="str">
        <f t="shared" ref="C963:C1002" si="542">CONCATENATE("ORD","-",AK963,"-",B963,"-",TEXT(AM963,"dd/mm/yy"))</f>
        <v>ORD-TK-0962-17/12/24</v>
      </c>
      <c r="D963" s="3" t="s">
        <v>891</v>
      </c>
      <c r="E963" t="str">
        <f t="shared" ref="E963:E1002" si="543">MID(D963,AT963+2,AU963-AT963-2)</f>
        <v>PP002</v>
      </c>
      <c r="F963" t="str">
        <f>INDEX(Katalog!$B$4:$B$13,MATCH('Main Data'!E963,Katalog!$C$4:$C$13,0))</f>
        <v>Celana Pendek</v>
      </c>
      <c r="G963" t="str">
        <f>VLOOKUP(E963,Katalog!$A$15:$B$25,2,0)</f>
        <v>Pakaian Pria</v>
      </c>
      <c r="H963" t="str">
        <f t="shared" ref="H963:H1002" si="544">MID(D963,AN963+2,AO963-AN963-2)</f>
        <v>1</v>
      </c>
      <c r="I963" t="str">
        <f t="shared" ref="I963:I1002" si="545">MID(D963,AP963+2,AQ963-AP963-2)</f>
        <v>4</v>
      </c>
      <c r="J963" s="18">
        <f>VLOOKUP(E963,Katalog!$C$3:$F$13,2,0)</f>
        <v>60000</v>
      </c>
      <c r="K963" s="18">
        <f>VLOOKUP(E963,Katalog!$C$3:$F$13,3,0)</f>
        <v>25000</v>
      </c>
      <c r="L963" t="str">
        <f t="shared" ref="L963:L1002" si="546">IFERROR(MID(D963,AR963+2,AS963-AR963-2),"-")</f>
        <v>SP001</v>
      </c>
      <c r="M963" t="str">
        <f>IFERROR(INDEX(Katalog!$B$4:$B$13,MATCH('Main Data'!L963,Katalog!$C$4:$C$13,0)), "-")</f>
        <v>Sneakers</v>
      </c>
      <c r="N963" t="str">
        <f>IFERROR(VLOOKUP(L963,Katalog!$A$15:$B$25,2,0),"-")</f>
        <v>Sepatu Pria</v>
      </c>
      <c r="O963" t="str">
        <f t="shared" ref="O963:O1002" si="547">IFERROR(MID(D963,AV963+2,AW963-AV963-2),0)</f>
        <v>3</v>
      </c>
      <c r="P963" t="str">
        <f t="shared" ref="P963:P1002" si="548">IFERROR(MID(D963,AX963+2,AY963-AX963-2),"-")</f>
        <v>1</v>
      </c>
      <c r="Q963" s="18">
        <f>IFERROR(VLOOKUP(L963,Katalog!$C$3:$F$13,2,0),0)</f>
        <v>300000</v>
      </c>
      <c r="R963" s="18">
        <f>IFERROR(VLOOKUP(L963,Katalog!$C$3:$F$13,3,0),0)</f>
        <v>100000</v>
      </c>
      <c r="S963" t="str">
        <f t="shared" ref="S963:S1002" si="549">IFERROR(MID(D963,AZ963+2,BA963-AZ963-2),"-")</f>
        <v>SP002</v>
      </c>
      <c r="T963" t="str">
        <f>IFERROR(INDEX(Katalog!$B$4:$B$13,MATCH('Main Data'!S963,Katalog!$C$4:$C$13,0)),"-")</f>
        <v>Sandal Slip On</v>
      </c>
      <c r="U963" t="str">
        <f>IFERROR(VLOOKUP(S963,Katalog!$A$15:$B$25,2,0),"-")</f>
        <v>Sepatu Pria</v>
      </c>
      <c r="V963" t="str">
        <f t="shared" ref="V963:V1002" si="550">IFERROR(MID(D963,BB963+2,BC963-BB963-2),0)</f>
        <v>2</v>
      </c>
      <c r="W963" s="28" t="str">
        <f t="shared" ref="W963:W1002" si="551">IFERROR(MID(D963,BD963+2,BE963-BD963-2),"-")</f>
        <v>4</v>
      </c>
      <c r="X963" s="18">
        <f>IFERROR(VLOOKUP(S963,Katalog!$C$3:$F$13,2,0),0)</f>
        <v>120000</v>
      </c>
      <c r="Y963" s="30">
        <f>IFERROR(VLOOKUP(S963,Katalog!$C$3:$F$13,3,0),0)</f>
        <v>60000</v>
      </c>
      <c r="Z963" s="2">
        <f t="shared" ref="Z963:Z1002" si="552">H963+O963+V963</f>
        <v>6</v>
      </c>
      <c r="AA963" s="4">
        <f t="shared" ref="AA963:AA1002" si="553">J963*H963+Q963*O963+X963*V963</f>
        <v>1200000</v>
      </c>
      <c r="AB963" s="4">
        <f t="shared" ref="AB963:AB1002" si="554">K963*H963+R963*O963+Y963*V963</f>
        <v>445000</v>
      </c>
      <c r="AC963" s="4" t="s">
        <v>29</v>
      </c>
      <c r="AD963" s="16">
        <f>IFERROR(VLOOKUP(AC963,'Kode Diskon'!$C$2:$D$9,2,0),0)</f>
        <v>0.1</v>
      </c>
      <c r="AE963" s="31">
        <f t="shared" ref="AE963:AE1002" si="555">AA963*AD963</f>
        <v>120000</v>
      </c>
      <c r="AF963" s="31">
        <f t="shared" ref="AF963:AF1002" si="556">AA963-AE963</f>
        <v>1080000</v>
      </c>
      <c r="AG963" s="31">
        <f t="shared" ref="AG963:AG1002" si="557">AA963-AB963</f>
        <v>755000</v>
      </c>
      <c r="AH963" s="31">
        <f t="shared" ref="AH963:AH1002" si="558">AF963-AB963</f>
        <v>635000</v>
      </c>
      <c r="AI963" s="4" t="s">
        <v>28</v>
      </c>
      <c r="AJ963" s="4" t="s">
        <v>9</v>
      </c>
      <c r="AK963" s="4" t="str">
        <f>IFERROR(VLOOKUP(AJ963,'Guide '!$A$13:$B$16,2,0),"-")</f>
        <v>TK</v>
      </c>
      <c r="AL963" s="4" t="s">
        <v>925</v>
      </c>
      <c r="AM963" s="40">
        <v>45643</v>
      </c>
      <c r="AN963">
        <f t="shared" ref="AN963:AN1002" si="559">FIND(":",D963,AT963+1)</f>
        <v>29</v>
      </c>
      <c r="AO963">
        <f t="shared" ref="AO963:AO1002" si="560">FIND(",",D963,AU963+1)</f>
        <v>32</v>
      </c>
      <c r="AP963">
        <f t="shared" ref="AP963:AP1002" si="561">FIND(":",D963,AN963+1)</f>
        <v>40</v>
      </c>
      <c r="AQ963">
        <f t="shared" ref="AQ963:AQ1002" si="562">FIND("}",D963,AO963+1)</f>
        <v>43</v>
      </c>
      <c r="AR963" s="26">
        <f t="shared" ref="AR963:AR1002" si="563">IFERROR(FIND(":",D963,AP963+1),"-")</f>
        <v>56</v>
      </c>
      <c r="AS963" s="26">
        <f t="shared" ref="AS963:AS1002" si="564">IFERROR(FIND(",",D963,AQ963+2),"-")</f>
        <v>63</v>
      </c>
      <c r="AT963" s="21">
        <f t="shared" ref="AT963:AT1002" si="565">FIND(":",D963)</f>
        <v>12</v>
      </c>
      <c r="AU963" s="21">
        <f t="shared" ref="AU963:AU1002" si="566">FIND(",",D963)</f>
        <v>19</v>
      </c>
      <c r="AV963">
        <f t="shared" ref="AV963:AV1002" si="567">IFERROR(FIND(":",D963,AR963+1),"-")</f>
        <v>73</v>
      </c>
      <c r="AW963">
        <f t="shared" ref="AW963:AW1002" si="568">IFERROR(FIND(",",D963,AS963+1),"-")</f>
        <v>76</v>
      </c>
      <c r="AX963">
        <f t="shared" ref="AX963:AX1002" si="569">IFERROR(FIND(":",D963,AV963+1),"-")</f>
        <v>84</v>
      </c>
      <c r="AY963">
        <f t="shared" ref="AY963:AY1002" si="570">IFERROR(FIND("}",D963,AW963+1),"-")</f>
        <v>87</v>
      </c>
      <c r="AZ963">
        <f t="shared" ref="AZ963:AZ1002" si="571">IFERROR(FIND(":",D963,AX963+1),"-")</f>
        <v>100</v>
      </c>
      <c r="BA963">
        <f t="shared" ref="BA963:BA1002" si="572">IFERROR(FIND(",",D963,AY963+2),"-")</f>
        <v>107</v>
      </c>
      <c r="BB963">
        <f t="shared" ref="BB963:BB1002" si="573">IFERROR(FIND(":",D963,AZ963+1),"-")</f>
        <v>117</v>
      </c>
      <c r="BC963">
        <f t="shared" ref="BC963:BC1002" si="574">IFERROR(FIND(",",D963,BA963+1),"-")</f>
        <v>120</v>
      </c>
      <c r="BD963" s="29">
        <f t="shared" ref="BD963:BD1002" si="575">IFERROR(FIND(":",D963,BB963+1),"-")</f>
        <v>128</v>
      </c>
      <c r="BE963" s="29">
        <f t="shared" ref="BE963:BE1002" si="576">IFERROR(FIND("}",D963,BC963+1),"-")</f>
        <v>131</v>
      </c>
    </row>
    <row r="964" spans="1:57" ht="15" x14ac:dyDescent="0.2">
      <c r="A964" s="2">
        <v>817</v>
      </c>
      <c r="B964" s="2" t="str">
        <f t="shared" si="541"/>
        <v>0817</v>
      </c>
      <c r="C964" t="str">
        <f t="shared" si="542"/>
        <v>ORD-BL-0817-18/12/24</v>
      </c>
      <c r="D964" s="3" t="s">
        <v>778</v>
      </c>
      <c r="E964" t="str">
        <f t="shared" si="543"/>
        <v>SW001</v>
      </c>
      <c r="F964" t="str">
        <f>INDEX(Katalog!$B$4:$B$13,MATCH('Main Data'!E964,Katalog!$C$4:$C$13,0))</f>
        <v>Flat Shoes</v>
      </c>
      <c r="G964" t="str">
        <f>VLOOKUP(E964,Katalog!$A$15:$B$25,2,0)</f>
        <v>Sepatu Wanita</v>
      </c>
      <c r="H964" t="str">
        <f t="shared" si="544"/>
        <v>3</v>
      </c>
      <c r="I964" t="str">
        <f t="shared" si="545"/>
        <v>3</v>
      </c>
      <c r="J964" s="18">
        <f>VLOOKUP(E964,Katalog!$C$3:$F$13,2,0)</f>
        <v>150000</v>
      </c>
      <c r="K964" s="18">
        <f>VLOOKUP(E964,Katalog!$C$3:$F$13,3,0)</f>
        <v>70000</v>
      </c>
      <c r="L964" t="str">
        <f t="shared" si="546"/>
        <v>SP001</v>
      </c>
      <c r="M964" t="str">
        <f>IFERROR(INDEX(Katalog!$B$4:$B$13,MATCH('Main Data'!L964,Katalog!$C$4:$C$13,0)), "-")</f>
        <v>Sneakers</v>
      </c>
      <c r="N964" t="str">
        <f>IFERROR(VLOOKUP(L964,Katalog!$A$15:$B$25,2,0),"-")</f>
        <v>Sepatu Pria</v>
      </c>
      <c r="O964" t="str">
        <f t="shared" si="547"/>
        <v>1</v>
      </c>
      <c r="P964" t="str">
        <f t="shared" si="548"/>
        <v>4</v>
      </c>
      <c r="Q964" s="18">
        <f>IFERROR(VLOOKUP(L964,Katalog!$C$3:$F$13,2,0),0)</f>
        <v>300000</v>
      </c>
      <c r="R964" s="18">
        <f>IFERROR(VLOOKUP(L964,Katalog!$C$3:$F$13,3,0),0)</f>
        <v>100000</v>
      </c>
      <c r="S964" t="str">
        <f t="shared" si="549"/>
        <v>SP002</v>
      </c>
      <c r="T964" t="str">
        <f>IFERROR(INDEX(Katalog!$B$4:$B$13,MATCH('Main Data'!S964,Katalog!$C$4:$C$13,0)),"-")</f>
        <v>Sandal Slip On</v>
      </c>
      <c r="U964" t="str">
        <f>IFERROR(VLOOKUP(S964,Katalog!$A$15:$B$25,2,0),"-")</f>
        <v>Sepatu Pria</v>
      </c>
      <c r="V964" t="str">
        <f t="shared" si="550"/>
        <v>1</v>
      </c>
      <c r="W964" s="28" t="str">
        <f t="shared" si="551"/>
        <v>4</v>
      </c>
      <c r="X964" s="18">
        <f>IFERROR(VLOOKUP(S964,Katalog!$C$3:$F$13,2,0),0)</f>
        <v>120000</v>
      </c>
      <c r="Y964" s="30">
        <f>IFERROR(VLOOKUP(S964,Katalog!$C$3:$F$13,3,0),0)</f>
        <v>60000</v>
      </c>
      <c r="Z964" s="2">
        <f t="shared" si="552"/>
        <v>5</v>
      </c>
      <c r="AA964" s="4">
        <f t="shared" si="553"/>
        <v>870000</v>
      </c>
      <c r="AB964" s="4">
        <f t="shared" si="554"/>
        <v>370000</v>
      </c>
      <c r="AC964" s="4" t="s">
        <v>31</v>
      </c>
      <c r="AD964" s="16">
        <f>IFERROR(VLOOKUP(AC964,'Kode Diskon'!$C$2:$D$9,2,0),0)</f>
        <v>0.15</v>
      </c>
      <c r="AE964" s="31">
        <f t="shared" si="555"/>
        <v>130500</v>
      </c>
      <c r="AF964" s="31">
        <f t="shared" si="556"/>
        <v>739500</v>
      </c>
      <c r="AG964" s="31">
        <f t="shared" si="557"/>
        <v>500000</v>
      </c>
      <c r="AH964" s="31">
        <f t="shared" si="558"/>
        <v>369500</v>
      </c>
      <c r="AI964" s="4" t="s">
        <v>8</v>
      </c>
      <c r="AJ964" s="4" t="s">
        <v>11</v>
      </c>
      <c r="AK964" s="4" t="str">
        <f>IFERROR(VLOOKUP(AJ964,'Guide '!$A$13:$B$16,2,0),"-")</f>
        <v>BL</v>
      </c>
      <c r="AL964" s="4" t="s">
        <v>1006</v>
      </c>
      <c r="AM964" s="40">
        <v>45644</v>
      </c>
      <c r="AN964">
        <f t="shared" si="559"/>
        <v>29</v>
      </c>
      <c r="AO964">
        <f t="shared" si="560"/>
        <v>32</v>
      </c>
      <c r="AP964">
        <f t="shared" si="561"/>
        <v>40</v>
      </c>
      <c r="AQ964">
        <f t="shared" si="562"/>
        <v>43</v>
      </c>
      <c r="AR964" s="26">
        <f t="shared" si="563"/>
        <v>56</v>
      </c>
      <c r="AS964" s="26">
        <f t="shared" si="564"/>
        <v>63</v>
      </c>
      <c r="AT964" s="21">
        <f t="shared" si="565"/>
        <v>12</v>
      </c>
      <c r="AU964" s="21">
        <f t="shared" si="566"/>
        <v>19</v>
      </c>
      <c r="AV964">
        <f t="shared" si="567"/>
        <v>73</v>
      </c>
      <c r="AW964">
        <f t="shared" si="568"/>
        <v>76</v>
      </c>
      <c r="AX964">
        <f t="shared" si="569"/>
        <v>84</v>
      </c>
      <c r="AY964">
        <f t="shared" si="570"/>
        <v>87</v>
      </c>
      <c r="AZ964">
        <f t="shared" si="571"/>
        <v>100</v>
      </c>
      <c r="BA964">
        <f t="shared" si="572"/>
        <v>107</v>
      </c>
      <c r="BB964">
        <f t="shared" si="573"/>
        <v>117</v>
      </c>
      <c r="BC964">
        <f t="shared" si="574"/>
        <v>120</v>
      </c>
      <c r="BD964" s="29">
        <f t="shared" si="575"/>
        <v>128</v>
      </c>
      <c r="BE964" s="29">
        <f t="shared" si="576"/>
        <v>131</v>
      </c>
    </row>
    <row r="965" spans="1:57" ht="15" x14ac:dyDescent="0.2">
      <c r="A965" s="2">
        <v>979</v>
      </c>
      <c r="B965" s="2" t="str">
        <f t="shared" si="541"/>
        <v>0979</v>
      </c>
      <c r="C965" t="str">
        <f t="shared" si="542"/>
        <v>ORD-SP-0979-18/12/24</v>
      </c>
      <c r="D965" s="3" t="s">
        <v>369</v>
      </c>
      <c r="E965" t="str">
        <f t="shared" si="543"/>
        <v>PW002</v>
      </c>
      <c r="F965" t="str">
        <f>INDEX(Katalog!$B$4:$B$13,MATCH('Main Data'!E965,Katalog!$C$4:$C$13,0))</f>
        <v>Blouse</v>
      </c>
      <c r="G965" t="str">
        <f>VLOOKUP(E965,Katalog!$A$15:$B$25,2,0)</f>
        <v>Pakaian Wanita</v>
      </c>
      <c r="H965" t="str">
        <f t="shared" si="544"/>
        <v>3</v>
      </c>
      <c r="I965" t="str">
        <f t="shared" si="545"/>
        <v>2</v>
      </c>
      <c r="J965" s="18">
        <f>VLOOKUP(E965,Katalog!$C$3:$F$13,2,0)</f>
        <v>125000</v>
      </c>
      <c r="K965" s="18">
        <f>VLOOKUP(E965,Katalog!$C$3:$F$13,3,0)</f>
        <v>50000</v>
      </c>
      <c r="L965" t="str">
        <f t="shared" si="546"/>
        <v>-</v>
      </c>
      <c r="M965" t="str">
        <f>IFERROR(INDEX(Katalog!$B$4:$B$13,MATCH('Main Data'!L965,Katalog!$C$4:$C$13,0)), "-")</f>
        <v>-</v>
      </c>
      <c r="N965" t="str">
        <f>IFERROR(VLOOKUP(L965,Katalog!$A$15:$B$25,2,0),"-")</f>
        <v>-</v>
      </c>
      <c r="O965">
        <f t="shared" si="547"/>
        <v>0</v>
      </c>
      <c r="P965" t="str">
        <f t="shared" si="548"/>
        <v>-</v>
      </c>
      <c r="Q965" s="18">
        <f>IFERROR(VLOOKUP(L965,Katalog!$C$3:$F$13,2,0),0)</f>
        <v>0</v>
      </c>
      <c r="R965" s="18">
        <f>IFERROR(VLOOKUP(L965,Katalog!$C$3:$F$13,3,0),0)</f>
        <v>0</v>
      </c>
      <c r="S965" t="str">
        <f t="shared" si="549"/>
        <v>-</v>
      </c>
      <c r="T965" t="str">
        <f>IFERROR(INDEX(Katalog!$B$4:$B$13,MATCH('Main Data'!S965,Katalog!$C$4:$C$13,0)),"-")</f>
        <v>-</v>
      </c>
      <c r="U965" t="str">
        <f>IFERROR(VLOOKUP(S965,Katalog!$A$15:$B$25,2,0),"-")</f>
        <v>-</v>
      </c>
      <c r="V965">
        <f t="shared" si="550"/>
        <v>0</v>
      </c>
      <c r="W965" s="28" t="str">
        <f t="shared" si="551"/>
        <v>-</v>
      </c>
      <c r="X965" s="18">
        <f>IFERROR(VLOOKUP(S965,Katalog!$C$3:$F$13,2,0),0)</f>
        <v>0</v>
      </c>
      <c r="Y965" s="30">
        <f>IFERROR(VLOOKUP(S965,Katalog!$C$3:$F$13,3,0),0)</f>
        <v>0</v>
      </c>
      <c r="Z965" s="2">
        <f t="shared" si="552"/>
        <v>3</v>
      </c>
      <c r="AA965" s="4">
        <f t="shared" si="553"/>
        <v>375000</v>
      </c>
      <c r="AB965" s="4">
        <f t="shared" si="554"/>
        <v>150000</v>
      </c>
      <c r="AC965" s="4" t="s">
        <v>5</v>
      </c>
      <c r="AD965" s="16">
        <f>IFERROR(VLOOKUP(AC965,'Kode Diskon'!$C$2:$D$9,2,0),0)</f>
        <v>0.1</v>
      </c>
      <c r="AE965" s="31">
        <f t="shared" si="555"/>
        <v>37500</v>
      </c>
      <c r="AF965" s="31">
        <f t="shared" si="556"/>
        <v>337500</v>
      </c>
      <c r="AG965" s="31">
        <f t="shared" si="557"/>
        <v>225000</v>
      </c>
      <c r="AH965" s="31">
        <f t="shared" si="558"/>
        <v>187500</v>
      </c>
      <c r="AI965" s="4" t="s">
        <v>28</v>
      </c>
      <c r="AJ965" s="4" t="s">
        <v>6</v>
      </c>
      <c r="AK965" s="4" t="str">
        <f>IFERROR(VLOOKUP(AJ965,'Guide '!$A$13:$B$16,2,0),"-")</f>
        <v>SP</v>
      </c>
      <c r="AL965" s="4" t="s">
        <v>924</v>
      </c>
      <c r="AM965" s="40">
        <v>45644</v>
      </c>
      <c r="AN965">
        <f t="shared" si="559"/>
        <v>29</v>
      </c>
      <c r="AO965">
        <f t="shared" si="560"/>
        <v>32</v>
      </c>
      <c r="AP965">
        <f t="shared" si="561"/>
        <v>40</v>
      </c>
      <c r="AQ965">
        <f t="shared" si="562"/>
        <v>43</v>
      </c>
      <c r="AR965" s="26" t="str">
        <f t="shared" si="563"/>
        <v>-</v>
      </c>
      <c r="AS965" s="26" t="str">
        <f t="shared" si="564"/>
        <v>-</v>
      </c>
      <c r="AT965" s="21">
        <f t="shared" si="565"/>
        <v>12</v>
      </c>
      <c r="AU965" s="21">
        <f t="shared" si="566"/>
        <v>19</v>
      </c>
      <c r="AV965" t="str">
        <f t="shared" si="567"/>
        <v>-</v>
      </c>
      <c r="AW965" t="str">
        <f t="shared" si="568"/>
        <v>-</v>
      </c>
      <c r="AX965" t="str">
        <f t="shared" si="569"/>
        <v>-</v>
      </c>
      <c r="AY965" t="str">
        <f t="shared" si="570"/>
        <v>-</v>
      </c>
      <c r="AZ965" t="str">
        <f t="shared" si="571"/>
        <v>-</v>
      </c>
      <c r="BA965" t="str">
        <f t="shared" si="572"/>
        <v>-</v>
      </c>
      <c r="BB965" t="str">
        <f t="shared" si="573"/>
        <v>-</v>
      </c>
      <c r="BC965" t="str">
        <f t="shared" si="574"/>
        <v>-</v>
      </c>
      <c r="BD965" s="29" t="str">
        <f t="shared" si="575"/>
        <v>-</v>
      </c>
      <c r="BE965" s="29" t="str">
        <f t="shared" si="576"/>
        <v>-</v>
      </c>
    </row>
    <row r="966" spans="1:57" ht="15" x14ac:dyDescent="0.2">
      <c r="A966" s="2">
        <v>24</v>
      </c>
      <c r="B966" s="2" t="str">
        <f t="shared" si="541"/>
        <v>0024</v>
      </c>
      <c r="C966" t="str">
        <f t="shared" si="542"/>
        <v>ORD-TK-0024-19/12/24</v>
      </c>
      <c r="D966" s="3" t="s">
        <v>98</v>
      </c>
      <c r="E966" t="str">
        <f t="shared" si="543"/>
        <v>PW003</v>
      </c>
      <c r="F966" t="str">
        <f>INDEX(Katalog!$B$4:$B$13,MATCH('Main Data'!E966,Katalog!$C$4:$C$13,0))</f>
        <v>Kaftan</v>
      </c>
      <c r="G966" t="str">
        <f>VLOOKUP(E966,Katalog!$A$15:$B$25,2,0)</f>
        <v>Pakaian Wanita</v>
      </c>
      <c r="H966" t="str">
        <f t="shared" si="544"/>
        <v>7</v>
      </c>
      <c r="I966" t="str">
        <f t="shared" si="545"/>
        <v>4</v>
      </c>
      <c r="J966" s="18">
        <f>VLOOKUP(E966,Katalog!$C$3:$F$13,2,0)</f>
        <v>200000</v>
      </c>
      <c r="K966" s="18">
        <f>VLOOKUP(E966,Katalog!$C$3:$F$13,3,0)</f>
        <v>100000</v>
      </c>
      <c r="L966" t="str">
        <f t="shared" si="546"/>
        <v>-</v>
      </c>
      <c r="M966" t="str">
        <f>IFERROR(INDEX(Katalog!$B$4:$B$13,MATCH('Main Data'!L966,Katalog!$C$4:$C$13,0)), "-")</f>
        <v>-</v>
      </c>
      <c r="N966" t="str">
        <f>IFERROR(VLOOKUP(L966,Katalog!$A$15:$B$25,2,0),"-")</f>
        <v>-</v>
      </c>
      <c r="O966">
        <f t="shared" si="547"/>
        <v>0</v>
      </c>
      <c r="P966" t="str">
        <f t="shared" si="548"/>
        <v>-</v>
      </c>
      <c r="Q966" s="18">
        <f>IFERROR(VLOOKUP(L966,Katalog!$C$3:$F$13,2,0),0)</f>
        <v>0</v>
      </c>
      <c r="R966" s="18">
        <f>IFERROR(VLOOKUP(L966,Katalog!$C$3:$F$13,3,0),0)</f>
        <v>0</v>
      </c>
      <c r="S966" t="str">
        <f t="shared" si="549"/>
        <v>-</v>
      </c>
      <c r="T966" t="str">
        <f>IFERROR(INDEX(Katalog!$B$4:$B$13,MATCH('Main Data'!S966,Katalog!$C$4:$C$13,0)),"-")</f>
        <v>-</v>
      </c>
      <c r="U966" t="str">
        <f>IFERROR(VLOOKUP(S966,Katalog!$A$15:$B$25,2,0),"-")</f>
        <v>-</v>
      </c>
      <c r="V966">
        <f t="shared" si="550"/>
        <v>0</v>
      </c>
      <c r="W966" s="28" t="str">
        <f t="shared" si="551"/>
        <v>-</v>
      </c>
      <c r="X966" s="18">
        <f>IFERROR(VLOOKUP(S966,Katalog!$C$3:$F$13,2,0),0)</f>
        <v>0</v>
      </c>
      <c r="Y966" s="30">
        <f>IFERROR(VLOOKUP(S966,Katalog!$C$3:$F$13,3,0),0)</f>
        <v>0</v>
      </c>
      <c r="Z966" s="2">
        <f t="shared" si="552"/>
        <v>7</v>
      </c>
      <c r="AA966" s="4">
        <f t="shared" si="553"/>
        <v>1400000</v>
      </c>
      <c r="AB966" s="4">
        <f t="shared" si="554"/>
        <v>700000</v>
      </c>
      <c r="AC966" s="4" t="s">
        <v>29</v>
      </c>
      <c r="AD966" s="16">
        <f>IFERROR(VLOOKUP(AC966,'Kode Diskon'!$C$2:$D$9,2,0),0)</f>
        <v>0.1</v>
      </c>
      <c r="AE966" s="31">
        <f t="shared" si="555"/>
        <v>140000</v>
      </c>
      <c r="AF966" s="31">
        <f t="shared" si="556"/>
        <v>1260000</v>
      </c>
      <c r="AG966" s="31">
        <f t="shared" si="557"/>
        <v>700000</v>
      </c>
      <c r="AH966" s="31">
        <f t="shared" si="558"/>
        <v>560000</v>
      </c>
      <c r="AI966" s="4" t="s">
        <v>28</v>
      </c>
      <c r="AJ966" s="4" t="s">
        <v>9</v>
      </c>
      <c r="AK966" s="4" t="str">
        <f>IFERROR(VLOOKUP(AJ966,'Guide '!$A$13:$B$16,2,0),"-")</f>
        <v>TK</v>
      </c>
      <c r="AL966" s="4" t="s">
        <v>923</v>
      </c>
      <c r="AM966" s="40">
        <v>45645</v>
      </c>
      <c r="AN966">
        <f t="shared" si="559"/>
        <v>29</v>
      </c>
      <c r="AO966">
        <f t="shared" si="560"/>
        <v>32</v>
      </c>
      <c r="AP966">
        <f t="shared" si="561"/>
        <v>40</v>
      </c>
      <c r="AQ966">
        <f t="shared" si="562"/>
        <v>43</v>
      </c>
      <c r="AR966" s="26" t="str">
        <f t="shared" si="563"/>
        <v>-</v>
      </c>
      <c r="AS966" s="26" t="str">
        <f t="shared" si="564"/>
        <v>-</v>
      </c>
      <c r="AT966" s="21">
        <f t="shared" si="565"/>
        <v>12</v>
      </c>
      <c r="AU966" s="21">
        <f t="shared" si="566"/>
        <v>19</v>
      </c>
      <c r="AV966" t="str">
        <f t="shared" si="567"/>
        <v>-</v>
      </c>
      <c r="AW966" t="str">
        <f t="shared" si="568"/>
        <v>-</v>
      </c>
      <c r="AX966" t="str">
        <f t="shared" si="569"/>
        <v>-</v>
      </c>
      <c r="AY966" t="str">
        <f t="shared" si="570"/>
        <v>-</v>
      </c>
      <c r="AZ966" t="str">
        <f t="shared" si="571"/>
        <v>-</v>
      </c>
      <c r="BA966" t="str">
        <f t="shared" si="572"/>
        <v>-</v>
      </c>
      <c r="BB966" t="str">
        <f t="shared" si="573"/>
        <v>-</v>
      </c>
      <c r="BC966" t="str">
        <f t="shared" si="574"/>
        <v>-</v>
      </c>
      <c r="BD966" s="29" t="str">
        <f t="shared" si="575"/>
        <v>-</v>
      </c>
      <c r="BE966" s="29" t="str">
        <f t="shared" si="576"/>
        <v>-</v>
      </c>
    </row>
    <row r="967" spans="1:57" ht="15" x14ac:dyDescent="0.2">
      <c r="A967" s="2">
        <v>113</v>
      </c>
      <c r="B967" s="2" t="str">
        <f t="shared" si="541"/>
        <v>0113</v>
      </c>
      <c r="C967" t="str">
        <f t="shared" si="542"/>
        <v>ORD-BB-0113-19/12/24</v>
      </c>
      <c r="D967" s="3" t="s">
        <v>185</v>
      </c>
      <c r="E967" t="str">
        <f t="shared" si="543"/>
        <v>SP001</v>
      </c>
      <c r="F967" t="str">
        <f>INDEX(Katalog!$B$4:$B$13,MATCH('Main Data'!E967,Katalog!$C$4:$C$13,0))</f>
        <v>Sneakers</v>
      </c>
      <c r="G967" t="str">
        <f>VLOOKUP(E967,Katalog!$A$15:$B$25,2,0)</f>
        <v>Sepatu Pria</v>
      </c>
      <c r="H967" t="str">
        <f t="shared" si="544"/>
        <v>3</v>
      </c>
      <c r="I967" t="str">
        <f t="shared" si="545"/>
        <v>1</v>
      </c>
      <c r="J967" s="18">
        <f>VLOOKUP(E967,Katalog!$C$3:$F$13,2,0)</f>
        <v>300000</v>
      </c>
      <c r="K967" s="18">
        <f>VLOOKUP(E967,Katalog!$C$3:$F$13,3,0)</f>
        <v>100000</v>
      </c>
      <c r="L967" t="str">
        <f t="shared" si="546"/>
        <v>PW003</v>
      </c>
      <c r="M967" t="str">
        <f>IFERROR(INDEX(Katalog!$B$4:$B$13,MATCH('Main Data'!L967,Katalog!$C$4:$C$13,0)), "-")</f>
        <v>Kaftan</v>
      </c>
      <c r="N967" t="str">
        <f>IFERROR(VLOOKUP(L967,Katalog!$A$15:$B$25,2,0),"-")</f>
        <v>Pakaian Wanita</v>
      </c>
      <c r="O967" t="str">
        <f t="shared" si="547"/>
        <v>1</v>
      </c>
      <c r="P967" t="str">
        <f t="shared" si="548"/>
        <v>4</v>
      </c>
      <c r="Q967" s="18">
        <f>IFERROR(VLOOKUP(L967,Katalog!$C$3:$F$13,2,0),0)</f>
        <v>200000</v>
      </c>
      <c r="R967" s="18">
        <f>IFERROR(VLOOKUP(L967,Katalog!$C$3:$F$13,3,0),0)</f>
        <v>100000</v>
      </c>
      <c r="S967" t="str">
        <f t="shared" si="549"/>
        <v>-</v>
      </c>
      <c r="T967" t="str">
        <f>IFERROR(INDEX(Katalog!$B$4:$B$13,MATCH('Main Data'!S967,Katalog!$C$4:$C$13,0)),"-")</f>
        <v>-</v>
      </c>
      <c r="U967" t="str">
        <f>IFERROR(VLOOKUP(S967,Katalog!$A$15:$B$25,2,0),"-")</f>
        <v>-</v>
      </c>
      <c r="V967">
        <f t="shared" si="550"/>
        <v>0</v>
      </c>
      <c r="W967" s="28" t="str">
        <f t="shared" si="551"/>
        <v>-</v>
      </c>
      <c r="X967" s="18">
        <f>IFERROR(VLOOKUP(S967,Katalog!$C$3:$F$13,2,0),0)</f>
        <v>0</v>
      </c>
      <c r="Y967" s="30">
        <f>IFERROR(VLOOKUP(S967,Katalog!$C$3:$F$13,3,0),0)</f>
        <v>0</v>
      </c>
      <c r="Z967" s="2">
        <f t="shared" si="552"/>
        <v>4</v>
      </c>
      <c r="AA967" s="4">
        <f t="shared" si="553"/>
        <v>1100000</v>
      </c>
      <c r="AB967" s="4">
        <f t="shared" si="554"/>
        <v>400000</v>
      </c>
      <c r="AC967" s="4" t="s">
        <v>10</v>
      </c>
      <c r="AD967" s="16">
        <f>IFERROR(VLOOKUP(AC967,'Kode Diskon'!$C$2:$D$9,2,0),0)</f>
        <v>0</v>
      </c>
      <c r="AE967" s="31">
        <f t="shared" si="555"/>
        <v>0</v>
      </c>
      <c r="AF967" s="31">
        <f t="shared" si="556"/>
        <v>1100000</v>
      </c>
      <c r="AG967" s="31">
        <f t="shared" si="557"/>
        <v>700000</v>
      </c>
      <c r="AH967" s="31">
        <f t="shared" si="558"/>
        <v>700000</v>
      </c>
      <c r="AI967" s="4" t="s">
        <v>10</v>
      </c>
      <c r="AJ967" s="4" t="s">
        <v>13</v>
      </c>
      <c r="AK967" s="4" t="str">
        <f>IFERROR(VLOOKUP(AJ967,'Guide '!$A$13:$B$16,2,0),"-")</f>
        <v>BB</v>
      </c>
      <c r="AL967" s="4" t="s">
        <v>1006</v>
      </c>
      <c r="AM967" s="40">
        <v>45645</v>
      </c>
      <c r="AN967">
        <f t="shared" si="559"/>
        <v>29</v>
      </c>
      <c r="AO967">
        <f t="shared" si="560"/>
        <v>32</v>
      </c>
      <c r="AP967">
        <f t="shared" si="561"/>
        <v>40</v>
      </c>
      <c r="AQ967">
        <f t="shared" si="562"/>
        <v>43</v>
      </c>
      <c r="AR967" s="26">
        <f t="shared" si="563"/>
        <v>56</v>
      </c>
      <c r="AS967" s="26">
        <f t="shared" si="564"/>
        <v>63</v>
      </c>
      <c r="AT967" s="21">
        <f t="shared" si="565"/>
        <v>12</v>
      </c>
      <c r="AU967" s="21">
        <f t="shared" si="566"/>
        <v>19</v>
      </c>
      <c r="AV967">
        <f t="shared" si="567"/>
        <v>73</v>
      </c>
      <c r="AW967">
        <f t="shared" si="568"/>
        <v>76</v>
      </c>
      <c r="AX967">
        <f t="shared" si="569"/>
        <v>84</v>
      </c>
      <c r="AY967">
        <f t="shared" si="570"/>
        <v>87</v>
      </c>
      <c r="AZ967" t="str">
        <f t="shared" si="571"/>
        <v>-</v>
      </c>
      <c r="BA967" t="str">
        <f t="shared" si="572"/>
        <v>-</v>
      </c>
      <c r="BB967" t="str">
        <f t="shared" si="573"/>
        <v>-</v>
      </c>
      <c r="BC967" t="str">
        <f t="shared" si="574"/>
        <v>-</v>
      </c>
      <c r="BD967" s="29" t="str">
        <f t="shared" si="575"/>
        <v>-</v>
      </c>
      <c r="BE967" s="29" t="str">
        <f t="shared" si="576"/>
        <v>-</v>
      </c>
    </row>
    <row r="968" spans="1:57" ht="15" x14ac:dyDescent="0.2">
      <c r="A968" s="2">
        <v>271</v>
      </c>
      <c r="B968" s="2" t="str">
        <f t="shared" si="541"/>
        <v>0271</v>
      </c>
      <c r="C968" t="str">
        <f t="shared" si="542"/>
        <v>ORD-SP-0271-19/12/24</v>
      </c>
      <c r="D968" s="3" t="s">
        <v>333</v>
      </c>
      <c r="E968" t="str">
        <f t="shared" si="543"/>
        <v>PW003</v>
      </c>
      <c r="F968" t="str">
        <f>INDEX(Katalog!$B$4:$B$13,MATCH('Main Data'!E968,Katalog!$C$4:$C$13,0))</f>
        <v>Kaftan</v>
      </c>
      <c r="G968" t="str">
        <f>VLOOKUP(E968,Katalog!$A$15:$B$25,2,0)</f>
        <v>Pakaian Wanita</v>
      </c>
      <c r="H968" t="str">
        <f t="shared" si="544"/>
        <v>5</v>
      </c>
      <c r="I968" t="str">
        <f t="shared" si="545"/>
        <v>5</v>
      </c>
      <c r="J968" s="18">
        <f>VLOOKUP(E968,Katalog!$C$3:$F$13,2,0)</f>
        <v>200000</v>
      </c>
      <c r="K968" s="18">
        <f>VLOOKUP(E968,Katalog!$C$3:$F$13,3,0)</f>
        <v>100000</v>
      </c>
      <c r="L968" t="str">
        <f t="shared" si="546"/>
        <v>-</v>
      </c>
      <c r="M968" t="str">
        <f>IFERROR(INDEX(Katalog!$B$4:$B$13,MATCH('Main Data'!L968,Katalog!$C$4:$C$13,0)), "-")</f>
        <v>-</v>
      </c>
      <c r="N968" t="str">
        <f>IFERROR(VLOOKUP(L968,Katalog!$A$15:$B$25,2,0),"-")</f>
        <v>-</v>
      </c>
      <c r="O968">
        <f t="shared" si="547"/>
        <v>0</v>
      </c>
      <c r="P968" t="str">
        <f t="shared" si="548"/>
        <v>-</v>
      </c>
      <c r="Q968" s="18">
        <f>IFERROR(VLOOKUP(L968,Katalog!$C$3:$F$13,2,0),0)</f>
        <v>0</v>
      </c>
      <c r="R968" s="18">
        <f>IFERROR(VLOOKUP(L968,Katalog!$C$3:$F$13,3,0),0)</f>
        <v>0</v>
      </c>
      <c r="S968" t="str">
        <f t="shared" si="549"/>
        <v>-</v>
      </c>
      <c r="T968" t="str">
        <f>IFERROR(INDEX(Katalog!$B$4:$B$13,MATCH('Main Data'!S968,Katalog!$C$4:$C$13,0)),"-")</f>
        <v>-</v>
      </c>
      <c r="U968" t="str">
        <f>IFERROR(VLOOKUP(S968,Katalog!$A$15:$B$25,2,0),"-")</f>
        <v>-</v>
      </c>
      <c r="V968">
        <f t="shared" si="550"/>
        <v>0</v>
      </c>
      <c r="W968" s="28" t="str">
        <f t="shared" si="551"/>
        <v>-</v>
      </c>
      <c r="X968" s="18">
        <f>IFERROR(VLOOKUP(S968,Katalog!$C$3:$F$13,2,0),0)</f>
        <v>0</v>
      </c>
      <c r="Y968" s="30">
        <f>IFERROR(VLOOKUP(S968,Katalog!$C$3:$F$13,3,0),0)</f>
        <v>0</v>
      </c>
      <c r="Z968" s="2">
        <f t="shared" si="552"/>
        <v>5</v>
      </c>
      <c r="AA968" s="4">
        <f t="shared" si="553"/>
        <v>1000000</v>
      </c>
      <c r="AB968" s="4">
        <f t="shared" si="554"/>
        <v>500000</v>
      </c>
      <c r="AC968" s="4" t="s">
        <v>10</v>
      </c>
      <c r="AD968" s="16">
        <f>IFERROR(VLOOKUP(AC968,'Kode Diskon'!$C$2:$D$9,2,0),0)</f>
        <v>0</v>
      </c>
      <c r="AE968" s="31">
        <f t="shared" si="555"/>
        <v>0</v>
      </c>
      <c r="AF968" s="31">
        <f t="shared" si="556"/>
        <v>1000000</v>
      </c>
      <c r="AG968" s="31">
        <f t="shared" si="557"/>
        <v>500000</v>
      </c>
      <c r="AH968" s="31">
        <f t="shared" si="558"/>
        <v>500000</v>
      </c>
      <c r="AI968" s="4" t="s">
        <v>10</v>
      </c>
      <c r="AJ968" s="4" t="s">
        <v>6</v>
      </c>
      <c r="AK968" s="4" t="str">
        <f>IFERROR(VLOOKUP(AJ968,'Guide '!$A$13:$B$16,2,0),"-")</f>
        <v>SP</v>
      </c>
      <c r="AL968" s="4" t="s">
        <v>924</v>
      </c>
      <c r="AM968" s="40">
        <v>45645</v>
      </c>
      <c r="AN968">
        <f t="shared" si="559"/>
        <v>29</v>
      </c>
      <c r="AO968">
        <f t="shared" si="560"/>
        <v>32</v>
      </c>
      <c r="AP968">
        <f t="shared" si="561"/>
        <v>40</v>
      </c>
      <c r="AQ968">
        <f t="shared" si="562"/>
        <v>43</v>
      </c>
      <c r="AR968" s="26" t="str">
        <f t="shared" si="563"/>
        <v>-</v>
      </c>
      <c r="AS968" s="26" t="str">
        <f t="shared" si="564"/>
        <v>-</v>
      </c>
      <c r="AT968" s="21">
        <f t="shared" si="565"/>
        <v>12</v>
      </c>
      <c r="AU968" s="21">
        <f t="shared" si="566"/>
        <v>19</v>
      </c>
      <c r="AV968" t="str">
        <f t="shared" si="567"/>
        <v>-</v>
      </c>
      <c r="AW968" t="str">
        <f t="shared" si="568"/>
        <v>-</v>
      </c>
      <c r="AX968" t="str">
        <f t="shared" si="569"/>
        <v>-</v>
      </c>
      <c r="AY968" t="str">
        <f t="shared" si="570"/>
        <v>-</v>
      </c>
      <c r="AZ968" t="str">
        <f t="shared" si="571"/>
        <v>-</v>
      </c>
      <c r="BA968" t="str">
        <f t="shared" si="572"/>
        <v>-</v>
      </c>
      <c r="BB968" t="str">
        <f t="shared" si="573"/>
        <v>-</v>
      </c>
      <c r="BC968" t="str">
        <f t="shared" si="574"/>
        <v>-</v>
      </c>
      <c r="BD968" s="29" t="str">
        <f t="shared" si="575"/>
        <v>-</v>
      </c>
      <c r="BE968" s="29" t="str">
        <f t="shared" si="576"/>
        <v>-</v>
      </c>
    </row>
    <row r="969" spans="1:57" ht="15" x14ac:dyDescent="0.2">
      <c r="A969" s="2">
        <v>461</v>
      </c>
      <c r="B969" s="2" t="str">
        <f t="shared" si="541"/>
        <v>0461</v>
      </c>
      <c r="C969" t="str">
        <f t="shared" si="542"/>
        <v>ORD-SP-0461-19/12/24</v>
      </c>
      <c r="D969" s="3" t="s">
        <v>499</v>
      </c>
      <c r="E969" t="str">
        <f t="shared" si="543"/>
        <v>PU001</v>
      </c>
      <c r="F969" t="str">
        <f>INDEX(Katalog!$B$4:$B$13,MATCH('Main Data'!E969,Katalog!$C$4:$C$13,0))</f>
        <v>Jaket Hoodie</v>
      </c>
      <c r="G969" t="str">
        <f>VLOOKUP(E969,Katalog!$A$15:$B$25,2,0)</f>
        <v>Pakaian Unisex</v>
      </c>
      <c r="H969" t="str">
        <f t="shared" si="544"/>
        <v>1</v>
      </c>
      <c r="I969" t="str">
        <f t="shared" si="545"/>
        <v>5</v>
      </c>
      <c r="J969" s="18">
        <f>VLOOKUP(E969,Katalog!$C$3:$F$13,2,0)</f>
        <v>160000</v>
      </c>
      <c r="K969" s="18">
        <f>VLOOKUP(E969,Katalog!$C$3:$F$13,3,0)</f>
        <v>60000</v>
      </c>
      <c r="L969" t="str">
        <f t="shared" si="546"/>
        <v>-</v>
      </c>
      <c r="M969" t="str">
        <f>IFERROR(INDEX(Katalog!$B$4:$B$13,MATCH('Main Data'!L969,Katalog!$C$4:$C$13,0)), "-")</f>
        <v>-</v>
      </c>
      <c r="N969" t="str">
        <f>IFERROR(VLOOKUP(L969,Katalog!$A$15:$B$25,2,0),"-")</f>
        <v>-</v>
      </c>
      <c r="O969">
        <f t="shared" si="547"/>
        <v>0</v>
      </c>
      <c r="P969" t="str">
        <f t="shared" si="548"/>
        <v>-</v>
      </c>
      <c r="Q969" s="18">
        <f>IFERROR(VLOOKUP(L969,Katalog!$C$3:$F$13,2,0),0)</f>
        <v>0</v>
      </c>
      <c r="R969" s="18">
        <f>IFERROR(VLOOKUP(L969,Katalog!$C$3:$F$13,3,0),0)</f>
        <v>0</v>
      </c>
      <c r="S969" t="str">
        <f t="shared" si="549"/>
        <v>-</v>
      </c>
      <c r="T969" t="str">
        <f>IFERROR(INDEX(Katalog!$B$4:$B$13,MATCH('Main Data'!S969,Katalog!$C$4:$C$13,0)),"-")</f>
        <v>-</v>
      </c>
      <c r="U969" t="str">
        <f>IFERROR(VLOOKUP(S969,Katalog!$A$15:$B$25,2,0),"-")</f>
        <v>-</v>
      </c>
      <c r="V969">
        <f t="shared" si="550"/>
        <v>0</v>
      </c>
      <c r="W969" s="28" t="str">
        <f t="shared" si="551"/>
        <v>-</v>
      </c>
      <c r="X969" s="18">
        <f>IFERROR(VLOOKUP(S969,Katalog!$C$3:$F$13,2,0),0)</f>
        <v>0</v>
      </c>
      <c r="Y969" s="30">
        <f>IFERROR(VLOOKUP(S969,Katalog!$C$3:$F$13,3,0),0)</f>
        <v>0</v>
      </c>
      <c r="Z969" s="2">
        <f t="shared" si="552"/>
        <v>1</v>
      </c>
      <c r="AA969" s="4">
        <f t="shared" si="553"/>
        <v>160000</v>
      </c>
      <c r="AB969" s="4">
        <f t="shared" si="554"/>
        <v>60000</v>
      </c>
      <c r="AC969" s="4" t="s">
        <v>12</v>
      </c>
      <c r="AD969" s="16">
        <f>IFERROR(VLOOKUP(AC969,'Kode Diskon'!$C$2:$D$9,2,0),0)</f>
        <v>0.15</v>
      </c>
      <c r="AE969" s="31">
        <f t="shared" si="555"/>
        <v>24000</v>
      </c>
      <c r="AF969" s="31">
        <f t="shared" si="556"/>
        <v>136000</v>
      </c>
      <c r="AG969" s="31">
        <f t="shared" si="557"/>
        <v>100000</v>
      </c>
      <c r="AH969" s="31">
        <f t="shared" si="558"/>
        <v>76000</v>
      </c>
      <c r="AI969" s="4" t="s">
        <v>28</v>
      </c>
      <c r="AJ969" s="4" t="s">
        <v>6</v>
      </c>
      <c r="AK969" s="4" t="str">
        <f>IFERROR(VLOOKUP(AJ969,'Guide '!$A$13:$B$16,2,0),"-")</f>
        <v>SP</v>
      </c>
      <c r="AL969" s="4" t="s">
        <v>921</v>
      </c>
      <c r="AM969" s="40">
        <v>45645</v>
      </c>
      <c r="AN969">
        <f t="shared" si="559"/>
        <v>29</v>
      </c>
      <c r="AO969">
        <f t="shared" si="560"/>
        <v>32</v>
      </c>
      <c r="AP969">
        <f t="shared" si="561"/>
        <v>40</v>
      </c>
      <c r="AQ969">
        <f t="shared" si="562"/>
        <v>43</v>
      </c>
      <c r="AR969" s="26" t="str">
        <f t="shared" si="563"/>
        <v>-</v>
      </c>
      <c r="AS969" s="26" t="str">
        <f t="shared" si="564"/>
        <v>-</v>
      </c>
      <c r="AT969" s="21">
        <f t="shared" si="565"/>
        <v>12</v>
      </c>
      <c r="AU969" s="21">
        <f t="shared" si="566"/>
        <v>19</v>
      </c>
      <c r="AV969" t="str">
        <f t="shared" si="567"/>
        <v>-</v>
      </c>
      <c r="AW969" t="str">
        <f t="shared" si="568"/>
        <v>-</v>
      </c>
      <c r="AX969" t="str">
        <f t="shared" si="569"/>
        <v>-</v>
      </c>
      <c r="AY969" t="str">
        <f t="shared" si="570"/>
        <v>-</v>
      </c>
      <c r="AZ969" t="str">
        <f t="shared" si="571"/>
        <v>-</v>
      </c>
      <c r="BA969" t="str">
        <f t="shared" si="572"/>
        <v>-</v>
      </c>
      <c r="BB969" t="str">
        <f t="shared" si="573"/>
        <v>-</v>
      </c>
      <c r="BC969" t="str">
        <f t="shared" si="574"/>
        <v>-</v>
      </c>
      <c r="BD969" s="29" t="str">
        <f t="shared" si="575"/>
        <v>-</v>
      </c>
      <c r="BE969" s="29" t="str">
        <f t="shared" si="576"/>
        <v>-</v>
      </c>
    </row>
    <row r="970" spans="1:57" ht="15" x14ac:dyDescent="0.2">
      <c r="A970" s="2">
        <v>17</v>
      </c>
      <c r="B970" s="2" t="str">
        <f t="shared" si="541"/>
        <v>0017</v>
      </c>
      <c r="C970" t="str">
        <f t="shared" si="542"/>
        <v>ORD-BB-0017-20/12/24</v>
      </c>
      <c r="D970" s="3" t="s">
        <v>91</v>
      </c>
      <c r="E970" t="str">
        <f t="shared" si="543"/>
        <v>PU001</v>
      </c>
      <c r="F970" t="str">
        <f>INDEX(Katalog!$B$4:$B$13,MATCH('Main Data'!E970,Katalog!$C$4:$C$13,0))</f>
        <v>Jaket Hoodie</v>
      </c>
      <c r="G970" t="str">
        <f>VLOOKUP(E970,Katalog!$A$15:$B$25,2,0)</f>
        <v>Pakaian Unisex</v>
      </c>
      <c r="H970" t="str">
        <f t="shared" si="544"/>
        <v>2</v>
      </c>
      <c r="I970" t="str">
        <f t="shared" si="545"/>
        <v>4</v>
      </c>
      <c r="J970" s="18">
        <f>VLOOKUP(E970,Katalog!$C$3:$F$13,2,0)</f>
        <v>160000</v>
      </c>
      <c r="K970" s="18">
        <f>VLOOKUP(E970,Katalog!$C$3:$F$13,3,0)</f>
        <v>60000</v>
      </c>
      <c r="L970" t="str">
        <f t="shared" si="546"/>
        <v>PW001</v>
      </c>
      <c r="M970" t="str">
        <f>IFERROR(INDEX(Katalog!$B$4:$B$13,MATCH('Main Data'!L970,Katalog!$C$4:$C$13,0)), "-")</f>
        <v>Dress</v>
      </c>
      <c r="N970" t="str">
        <f>IFERROR(VLOOKUP(L970,Katalog!$A$15:$B$25,2,0),"-")</f>
        <v>Pakaian Wanita</v>
      </c>
      <c r="O970" t="str">
        <f t="shared" si="547"/>
        <v>1</v>
      </c>
      <c r="P970" t="str">
        <f t="shared" si="548"/>
        <v>5</v>
      </c>
      <c r="Q970" s="18">
        <f>IFERROR(VLOOKUP(L970,Katalog!$C$3:$F$13,2,0),0)</f>
        <v>150000</v>
      </c>
      <c r="R970" s="18">
        <f>IFERROR(VLOOKUP(L970,Katalog!$C$3:$F$13,3,0),0)</f>
        <v>55000</v>
      </c>
      <c r="S970" t="str">
        <f t="shared" si="549"/>
        <v>-</v>
      </c>
      <c r="T970" t="str">
        <f>IFERROR(INDEX(Katalog!$B$4:$B$13,MATCH('Main Data'!S970,Katalog!$C$4:$C$13,0)),"-")</f>
        <v>-</v>
      </c>
      <c r="U970" t="str">
        <f>IFERROR(VLOOKUP(S970,Katalog!$A$15:$B$25,2,0),"-")</f>
        <v>-</v>
      </c>
      <c r="V970">
        <f t="shared" si="550"/>
        <v>0</v>
      </c>
      <c r="W970" s="28" t="str">
        <f t="shared" si="551"/>
        <v>-</v>
      </c>
      <c r="X970" s="18">
        <f>IFERROR(VLOOKUP(S970,Katalog!$C$3:$F$13,2,0),0)</f>
        <v>0</v>
      </c>
      <c r="Y970" s="30">
        <f>IFERROR(VLOOKUP(S970,Katalog!$C$3:$F$13,3,0),0)</f>
        <v>0</v>
      </c>
      <c r="Z970" s="2">
        <f t="shared" si="552"/>
        <v>3</v>
      </c>
      <c r="AA970" s="4">
        <f t="shared" si="553"/>
        <v>470000</v>
      </c>
      <c r="AB970" s="4">
        <f t="shared" si="554"/>
        <v>175000</v>
      </c>
      <c r="AC970" s="4" t="s">
        <v>27</v>
      </c>
      <c r="AD970" s="16">
        <f>IFERROR(VLOOKUP(AC970,'Kode Diskon'!$C$2:$D$9,2,0),0)</f>
        <v>0.15</v>
      </c>
      <c r="AE970" s="31">
        <f t="shared" si="555"/>
        <v>70500</v>
      </c>
      <c r="AF970" s="31">
        <f t="shared" si="556"/>
        <v>399500</v>
      </c>
      <c r="AG970" s="31">
        <f t="shared" si="557"/>
        <v>295000</v>
      </c>
      <c r="AH970" s="31">
        <f t="shared" si="558"/>
        <v>224500</v>
      </c>
      <c r="AI970" s="4" t="s">
        <v>28</v>
      </c>
      <c r="AJ970" s="4" t="s">
        <v>13</v>
      </c>
      <c r="AK970" s="4" t="str">
        <f>IFERROR(VLOOKUP(AJ970,'Guide '!$A$13:$B$16,2,0),"-")</f>
        <v>BB</v>
      </c>
      <c r="AL970" s="4" t="s">
        <v>925</v>
      </c>
      <c r="AM970" s="40">
        <v>45646</v>
      </c>
      <c r="AN970">
        <f t="shared" si="559"/>
        <v>29</v>
      </c>
      <c r="AO970">
        <f t="shared" si="560"/>
        <v>32</v>
      </c>
      <c r="AP970">
        <f t="shared" si="561"/>
        <v>40</v>
      </c>
      <c r="AQ970">
        <f t="shared" si="562"/>
        <v>43</v>
      </c>
      <c r="AR970" s="26">
        <f t="shared" si="563"/>
        <v>56</v>
      </c>
      <c r="AS970" s="26">
        <f t="shared" si="564"/>
        <v>63</v>
      </c>
      <c r="AT970" s="21">
        <f t="shared" si="565"/>
        <v>12</v>
      </c>
      <c r="AU970" s="21">
        <f t="shared" si="566"/>
        <v>19</v>
      </c>
      <c r="AV970">
        <f t="shared" si="567"/>
        <v>73</v>
      </c>
      <c r="AW970">
        <f t="shared" si="568"/>
        <v>76</v>
      </c>
      <c r="AX970">
        <f t="shared" si="569"/>
        <v>84</v>
      </c>
      <c r="AY970">
        <f t="shared" si="570"/>
        <v>87</v>
      </c>
      <c r="AZ970" t="str">
        <f t="shared" si="571"/>
        <v>-</v>
      </c>
      <c r="BA970" t="str">
        <f t="shared" si="572"/>
        <v>-</v>
      </c>
      <c r="BB970" t="str">
        <f t="shared" si="573"/>
        <v>-</v>
      </c>
      <c r="BC970" t="str">
        <f t="shared" si="574"/>
        <v>-</v>
      </c>
      <c r="BD970" s="29" t="str">
        <f t="shared" si="575"/>
        <v>-</v>
      </c>
      <c r="BE970" s="29" t="str">
        <f t="shared" si="576"/>
        <v>-</v>
      </c>
    </row>
    <row r="971" spans="1:57" ht="15" x14ac:dyDescent="0.2">
      <c r="A971" s="2">
        <v>180</v>
      </c>
      <c r="B971" s="2" t="str">
        <f t="shared" si="541"/>
        <v>0180</v>
      </c>
      <c r="C971" t="str">
        <f t="shared" si="542"/>
        <v>ORD-TK-0180-20/12/24</v>
      </c>
      <c r="D971" s="3" t="s">
        <v>249</v>
      </c>
      <c r="E971" t="str">
        <f t="shared" si="543"/>
        <v>PP003</v>
      </c>
      <c r="F971" t="str">
        <f>INDEX(Katalog!$B$4:$B$13,MATCH('Main Data'!E971,Katalog!$C$4:$C$13,0))</f>
        <v>Jaket Jeans</v>
      </c>
      <c r="G971" t="str">
        <f>VLOOKUP(E971,Katalog!$A$15:$B$25,2,0)</f>
        <v>Pakaian Pria</v>
      </c>
      <c r="H971" t="str">
        <f t="shared" si="544"/>
        <v>2</v>
      </c>
      <c r="I971" t="str">
        <f t="shared" si="545"/>
        <v>4</v>
      </c>
      <c r="J971" s="18">
        <f>VLOOKUP(E971,Katalog!$C$3:$F$13,2,0)</f>
        <v>150000</v>
      </c>
      <c r="K971" s="18">
        <f>VLOOKUP(E971,Katalog!$C$3:$F$13,3,0)</f>
        <v>70000</v>
      </c>
      <c r="L971" t="str">
        <f t="shared" si="546"/>
        <v>PW003</v>
      </c>
      <c r="M971" t="str">
        <f>IFERROR(INDEX(Katalog!$B$4:$B$13,MATCH('Main Data'!L971,Katalog!$C$4:$C$13,0)), "-")</f>
        <v>Kaftan</v>
      </c>
      <c r="N971" t="str">
        <f>IFERROR(VLOOKUP(L971,Katalog!$A$15:$B$25,2,0),"-")</f>
        <v>Pakaian Wanita</v>
      </c>
      <c r="O971" t="str">
        <f t="shared" si="547"/>
        <v>1</v>
      </c>
      <c r="P971" t="str">
        <f t="shared" si="548"/>
        <v>1</v>
      </c>
      <c r="Q971" s="18">
        <f>IFERROR(VLOOKUP(L971,Katalog!$C$3:$F$13,2,0),0)</f>
        <v>200000</v>
      </c>
      <c r="R971" s="18">
        <f>IFERROR(VLOOKUP(L971,Katalog!$C$3:$F$13,3,0),0)</f>
        <v>100000</v>
      </c>
      <c r="S971" t="str">
        <f t="shared" si="549"/>
        <v>SP002</v>
      </c>
      <c r="T971" t="str">
        <f>IFERROR(INDEX(Katalog!$B$4:$B$13,MATCH('Main Data'!S971,Katalog!$C$4:$C$13,0)),"-")</f>
        <v>Sandal Slip On</v>
      </c>
      <c r="U971" t="str">
        <f>IFERROR(VLOOKUP(S971,Katalog!$A$15:$B$25,2,0),"-")</f>
        <v>Sepatu Pria</v>
      </c>
      <c r="V971" t="str">
        <f t="shared" si="550"/>
        <v>1</v>
      </c>
      <c r="W971" s="28" t="str">
        <f t="shared" si="551"/>
        <v>1</v>
      </c>
      <c r="X971" s="18">
        <f>IFERROR(VLOOKUP(S971,Katalog!$C$3:$F$13,2,0),0)</f>
        <v>120000</v>
      </c>
      <c r="Y971" s="30">
        <f>IFERROR(VLOOKUP(S971,Katalog!$C$3:$F$13,3,0),0)</f>
        <v>60000</v>
      </c>
      <c r="Z971" s="2">
        <f t="shared" si="552"/>
        <v>4</v>
      </c>
      <c r="AA971" s="4">
        <f t="shared" si="553"/>
        <v>620000</v>
      </c>
      <c r="AB971" s="4">
        <f t="shared" si="554"/>
        <v>300000</v>
      </c>
      <c r="AC971" s="4" t="s">
        <v>29</v>
      </c>
      <c r="AD971" s="16">
        <f>IFERROR(VLOOKUP(AC971,'Kode Diskon'!$C$2:$D$9,2,0),0)</f>
        <v>0.1</v>
      </c>
      <c r="AE971" s="31">
        <f t="shared" si="555"/>
        <v>62000</v>
      </c>
      <c r="AF971" s="31">
        <f t="shared" si="556"/>
        <v>558000</v>
      </c>
      <c r="AG971" s="31">
        <f t="shared" si="557"/>
        <v>320000</v>
      </c>
      <c r="AH971" s="31">
        <f t="shared" si="558"/>
        <v>258000</v>
      </c>
      <c r="AI971" s="4" t="s">
        <v>28</v>
      </c>
      <c r="AJ971" s="4" t="s">
        <v>9</v>
      </c>
      <c r="AK971" s="4" t="str">
        <f>IFERROR(VLOOKUP(AJ971,'Guide '!$A$13:$B$16,2,0),"-")</f>
        <v>TK</v>
      </c>
      <c r="AL971" s="4" t="s">
        <v>1006</v>
      </c>
      <c r="AM971" s="40">
        <v>45646</v>
      </c>
      <c r="AN971">
        <f t="shared" si="559"/>
        <v>29</v>
      </c>
      <c r="AO971">
        <f t="shared" si="560"/>
        <v>32</v>
      </c>
      <c r="AP971">
        <f t="shared" si="561"/>
        <v>40</v>
      </c>
      <c r="AQ971">
        <f t="shared" si="562"/>
        <v>43</v>
      </c>
      <c r="AR971" s="26">
        <f t="shared" si="563"/>
        <v>56</v>
      </c>
      <c r="AS971" s="26">
        <f t="shared" si="564"/>
        <v>63</v>
      </c>
      <c r="AT971" s="21">
        <f t="shared" si="565"/>
        <v>12</v>
      </c>
      <c r="AU971" s="21">
        <f t="shared" si="566"/>
        <v>19</v>
      </c>
      <c r="AV971">
        <f t="shared" si="567"/>
        <v>73</v>
      </c>
      <c r="AW971">
        <f t="shared" si="568"/>
        <v>76</v>
      </c>
      <c r="AX971">
        <f t="shared" si="569"/>
        <v>84</v>
      </c>
      <c r="AY971">
        <f t="shared" si="570"/>
        <v>87</v>
      </c>
      <c r="AZ971">
        <f t="shared" si="571"/>
        <v>100</v>
      </c>
      <c r="BA971">
        <f t="shared" si="572"/>
        <v>107</v>
      </c>
      <c r="BB971">
        <f t="shared" si="573"/>
        <v>117</v>
      </c>
      <c r="BC971">
        <f t="shared" si="574"/>
        <v>120</v>
      </c>
      <c r="BD971" s="29">
        <f t="shared" si="575"/>
        <v>128</v>
      </c>
      <c r="BE971" s="29">
        <f t="shared" si="576"/>
        <v>131</v>
      </c>
    </row>
    <row r="972" spans="1:57" ht="15" x14ac:dyDescent="0.2">
      <c r="A972" s="2">
        <v>466</v>
      </c>
      <c r="B972" s="2" t="str">
        <f t="shared" si="541"/>
        <v>0466</v>
      </c>
      <c r="C972" t="str">
        <f t="shared" si="542"/>
        <v>ORD-SP-0466-20/12/24</v>
      </c>
      <c r="D972" s="3" t="s">
        <v>504</v>
      </c>
      <c r="E972" t="str">
        <f t="shared" si="543"/>
        <v>PU001</v>
      </c>
      <c r="F972" t="str">
        <f>INDEX(Katalog!$B$4:$B$13,MATCH('Main Data'!E972,Katalog!$C$4:$C$13,0))</f>
        <v>Jaket Hoodie</v>
      </c>
      <c r="G972" t="str">
        <f>VLOOKUP(E972,Katalog!$A$15:$B$25,2,0)</f>
        <v>Pakaian Unisex</v>
      </c>
      <c r="H972" t="str">
        <f t="shared" si="544"/>
        <v>1</v>
      </c>
      <c r="I972" t="str">
        <f t="shared" si="545"/>
        <v>1</v>
      </c>
      <c r="J972" s="18">
        <f>VLOOKUP(E972,Katalog!$C$3:$F$13,2,0)</f>
        <v>160000</v>
      </c>
      <c r="K972" s="18">
        <f>VLOOKUP(E972,Katalog!$C$3:$F$13,3,0)</f>
        <v>60000</v>
      </c>
      <c r="L972" t="str">
        <f t="shared" si="546"/>
        <v>PP002</v>
      </c>
      <c r="M972" t="str">
        <f>IFERROR(INDEX(Katalog!$B$4:$B$13,MATCH('Main Data'!L972,Katalog!$C$4:$C$13,0)), "-")</f>
        <v>Celana Pendek</v>
      </c>
      <c r="N972" t="str">
        <f>IFERROR(VLOOKUP(L972,Katalog!$A$15:$B$25,2,0),"-")</f>
        <v>Pakaian Pria</v>
      </c>
      <c r="O972" t="str">
        <f t="shared" si="547"/>
        <v>1</v>
      </c>
      <c r="P972" t="str">
        <f t="shared" si="548"/>
        <v>4</v>
      </c>
      <c r="Q972" s="18">
        <f>IFERROR(VLOOKUP(L972,Katalog!$C$3:$F$13,2,0),0)</f>
        <v>60000</v>
      </c>
      <c r="R972" s="18">
        <f>IFERROR(VLOOKUP(L972,Katalog!$C$3:$F$13,3,0),0)</f>
        <v>25000</v>
      </c>
      <c r="S972" t="str">
        <f t="shared" si="549"/>
        <v>-</v>
      </c>
      <c r="T972" t="str">
        <f>IFERROR(INDEX(Katalog!$B$4:$B$13,MATCH('Main Data'!S972,Katalog!$C$4:$C$13,0)),"-")</f>
        <v>-</v>
      </c>
      <c r="U972" t="str">
        <f>IFERROR(VLOOKUP(S972,Katalog!$A$15:$B$25,2,0),"-")</f>
        <v>-</v>
      </c>
      <c r="V972">
        <f t="shared" si="550"/>
        <v>0</v>
      </c>
      <c r="W972" s="28" t="str">
        <f t="shared" si="551"/>
        <v>-</v>
      </c>
      <c r="X972" s="18">
        <f>IFERROR(VLOOKUP(S972,Katalog!$C$3:$F$13,2,0),0)</f>
        <v>0</v>
      </c>
      <c r="Y972" s="30">
        <f>IFERROR(VLOOKUP(S972,Katalog!$C$3:$F$13,3,0),0)</f>
        <v>0</v>
      </c>
      <c r="Z972" s="2">
        <f t="shared" si="552"/>
        <v>2</v>
      </c>
      <c r="AA972" s="4">
        <f t="shared" si="553"/>
        <v>220000</v>
      </c>
      <c r="AB972" s="4">
        <f t="shared" si="554"/>
        <v>85000</v>
      </c>
      <c r="AC972" s="4" t="s">
        <v>12</v>
      </c>
      <c r="AD972" s="16">
        <f>IFERROR(VLOOKUP(AC972,'Kode Diskon'!$C$2:$D$9,2,0),0)</f>
        <v>0.15</v>
      </c>
      <c r="AE972" s="31">
        <f t="shared" si="555"/>
        <v>33000</v>
      </c>
      <c r="AF972" s="31">
        <f t="shared" si="556"/>
        <v>187000</v>
      </c>
      <c r="AG972" s="31">
        <f t="shared" si="557"/>
        <v>135000</v>
      </c>
      <c r="AH972" s="31">
        <f t="shared" si="558"/>
        <v>102000</v>
      </c>
      <c r="AI972" s="4" t="s">
        <v>28</v>
      </c>
      <c r="AJ972" s="4" t="s">
        <v>6</v>
      </c>
      <c r="AK972" s="4" t="str">
        <f>IFERROR(VLOOKUP(AJ972,'Guide '!$A$13:$B$16,2,0),"-")</f>
        <v>SP</v>
      </c>
      <c r="AL972" s="4" t="s">
        <v>925</v>
      </c>
      <c r="AM972" s="40">
        <v>45646</v>
      </c>
      <c r="AN972">
        <f t="shared" si="559"/>
        <v>29</v>
      </c>
      <c r="AO972">
        <f t="shared" si="560"/>
        <v>32</v>
      </c>
      <c r="AP972">
        <f t="shared" si="561"/>
        <v>40</v>
      </c>
      <c r="AQ972">
        <f t="shared" si="562"/>
        <v>43</v>
      </c>
      <c r="AR972" s="26">
        <f t="shared" si="563"/>
        <v>56</v>
      </c>
      <c r="AS972" s="26">
        <f t="shared" si="564"/>
        <v>63</v>
      </c>
      <c r="AT972" s="21">
        <f t="shared" si="565"/>
        <v>12</v>
      </c>
      <c r="AU972" s="21">
        <f t="shared" si="566"/>
        <v>19</v>
      </c>
      <c r="AV972">
        <f t="shared" si="567"/>
        <v>73</v>
      </c>
      <c r="AW972">
        <f t="shared" si="568"/>
        <v>76</v>
      </c>
      <c r="AX972">
        <f t="shared" si="569"/>
        <v>84</v>
      </c>
      <c r="AY972">
        <f t="shared" si="570"/>
        <v>87</v>
      </c>
      <c r="AZ972" t="str">
        <f t="shared" si="571"/>
        <v>-</v>
      </c>
      <c r="BA972" t="str">
        <f t="shared" si="572"/>
        <v>-</v>
      </c>
      <c r="BB972" t="str">
        <f t="shared" si="573"/>
        <v>-</v>
      </c>
      <c r="BC972" t="str">
        <f t="shared" si="574"/>
        <v>-</v>
      </c>
      <c r="BD972" s="29" t="str">
        <f t="shared" si="575"/>
        <v>-</v>
      </c>
      <c r="BE972" s="29" t="str">
        <f t="shared" si="576"/>
        <v>-</v>
      </c>
    </row>
    <row r="973" spans="1:57" ht="15" x14ac:dyDescent="0.2">
      <c r="A973" s="2">
        <v>38</v>
      </c>
      <c r="B973" s="2" t="str">
        <f t="shared" si="541"/>
        <v>0038</v>
      </c>
      <c r="C973" t="str">
        <f t="shared" si="542"/>
        <v>ORD-BB-0038-21/12/24</v>
      </c>
      <c r="D973" s="3" t="s">
        <v>112</v>
      </c>
      <c r="E973" t="str">
        <f t="shared" si="543"/>
        <v>PU001</v>
      </c>
      <c r="F973" t="str">
        <f>INDEX(Katalog!$B$4:$B$13,MATCH('Main Data'!E973,Katalog!$C$4:$C$13,0))</f>
        <v>Jaket Hoodie</v>
      </c>
      <c r="G973" t="str">
        <f>VLOOKUP(E973,Katalog!$A$15:$B$25,2,0)</f>
        <v>Pakaian Unisex</v>
      </c>
      <c r="H973" t="str">
        <f t="shared" si="544"/>
        <v>7</v>
      </c>
      <c r="I973" t="str">
        <f t="shared" si="545"/>
        <v>3</v>
      </c>
      <c r="J973" s="18">
        <f>VLOOKUP(E973,Katalog!$C$3:$F$13,2,0)</f>
        <v>160000</v>
      </c>
      <c r="K973" s="18">
        <f>VLOOKUP(E973,Katalog!$C$3:$F$13,3,0)</f>
        <v>60000</v>
      </c>
      <c r="L973" t="str">
        <f t="shared" si="546"/>
        <v>-</v>
      </c>
      <c r="M973" t="str">
        <f>IFERROR(INDEX(Katalog!$B$4:$B$13,MATCH('Main Data'!L973,Katalog!$C$4:$C$13,0)), "-")</f>
        <v>-</v>
      </c>
      <c r="N973" t="str">
        <f>IFERROR(VLOOKUP(L973,Katalog!$A$15:$B$25,2,0),"-")</f>
        <v>-</v>
      </c>
      <c r="O973">
        <f t="shared" si="547"/>
        <v>0</v>
      </c>
      <c r="P973" t="str">
        <f t="shared" si="548"/>
        <v>-</v>
      </c>
      <c r="Q973" s="18">
        <f>IFERROR(VLOOKUP(L973,Katalog!$C$3:$F$13,2,0),0)</f>
        <v>0</v>
      </c>
      <c r="R973" s="18">
        <f>IFERROR(VLOOKUP(L973,Katalog!$C$3:$F$13,3,0),0)</f>
        <v>0</v>
      </c>
      <c r="S973" t="str">
        <f t="shared" si="549"/>
        <v>-</v>
      </c>
      <c r="T973" t="str">
        <f>IFERROR(INDEX(Katalog!$B$4:$B$13,MATCH('Main Data'!S973,Katalog!$C$4:$C$13,0)),"-")</f>
        <v>-</v>
      </c>
      <c r="U973" t="str">
        <f>IFERROR(VLOOKUP(S973,Katalog!$A$15:$B$25,2,0),"-")</f>
        <v>-</v>
      </c>
      <c r="V973">
        <f t="shared" si="550"/>
        <v>0</v>
      </c>
      <c r="W973" s="28" t="str">
        <f t="shared" si="551"/>
        <v>-</v>
      </c>
      <c r="X973" s="18">
        <f>IFERROR(VLOOKUP(S973,Katalog!$C$3:$F$13,2,0),0)</f>
        <v>0</v>
      </c>
      <c r="Y973" s="30">
        <f>IFERROR(VLOOKUP(S973,Katalog!$C$3:$F$13,3,0),0)</f>
        <v>0</v>
      </c>
      <c r="Z973" s="2">
        <f t="shared" si="552"/>
        <v>7</v>
      </c>
      <c r="AA973" s="4">
        <f t="shared" si="553"/>
        <v>1120000</v>
      </c>
      <c r="AB973" s="4">
        <f t="shared" si="554"/>
        <v>420000</v>
      </c>
      <c r="AC973" s="4" t="s">
        <v>27</v>
      </c>
      <c r="AD973" s="16">
        <f>IFERROR(VLOOKUP(AC973,'Kode Diskon'!$C$2:$D$9,2,0),0)</f>
        <v>0.15</v>
      </c>
      <c r="AE973" s="31">
        <f t="shared" si="555"/>
        <v>168000</v>
      </c>
      <c r="AF973" s="31">
        <f t="shared" si="556"/>
        <v>952000</v>
      </c>
      <c r="AG973" s="31">
        <f t="shared" si="557"/>
        <v>700000</v>
      </c>
      <c r="AH973" s="31">
        <f t="shared" si="558"/>
        <v>532000</v>
      </c>
      <c r="AI973" s="4" t="s">
        <v>28</v>
      </c>
      <c r="AJ973" s="4" t="s">
        <v>13</v>
      </c>
      <c r="AK973" s="4" t="str">
        <f>IFERROR(VLOOKUP(AJ973,'Guide '!$A$13:$B$16,2,0),"-")</f>
        <v>BB</v>
      </c>
      <c r="AL973" s="4" t="s">
        <v>925</v>
      </c>
      <c r="AM973" s="40">
        <v>45647</v>
      </c>
      <c r="AN973">
        <f t="shared" si="559"/>
        <v>29</v>
      </c>
      <c r="AO973">
        <f t="shared" si="560"/>
        <v>32</v>
      </c>
      <c r="AP973">
        <f t="shared" si="561"/>
        <v>40</v>
      </c>
      <c r="AQ973">
        <f t="shared" si="562"/>
        <v>43</v>
      </c>
      <c r="AR973" s="26" t="str">
        <f t="shared" si="563"/>
        <v>-</v>
      </c>
      <c r="AS973" s="26" t="str">
        <f t="shared" si="564"/>
        <v>-</v>
      </c>
      <c r="AT973" s="21">
        <f t="shared" si="565"/>
        <v>12</v>
      </c>
      <c r="AU973" s="21">
        <f t="shared" si="566"/>
        <v>19</v>
      </c>
      <c r="AV973" t="str">
        <f t="shared" si="567"/>
        <v>-</v>
      </c>
      <c r="AW973" t="str">
        <f t="shared" si="568"/>
        <v>-</v>
      </c>
      <c r="AX973" t="str">
        <f t="shared" si="569"/>
        <v>-</v>
      </c>
      <c r="AY973" t="str">
        <f t="shared" si="570"/>
        <v>-</v>
      </c>
      <c r="AZ973" t="str">
        <f t="shared" si="571"/>
        <v>-</v>
      </c>
      <c r="BA973" t="str">
        <f t="shared" si="572"/>
        <v>-</v>
      </c>
      <c r="BB973" t="str">
        <f t="shared" si="573"/>
        <v>-</v>
      </c>
      <c r="BC973" t="str">
        <f t="shared" si="574"/>
        <v>-</v>
      </c>
      <c r="BD973" s="29" t="str">
        <f t="shared" si="575"/>
        <v>-</v>
      </c>
      <c r="BE973" s="29" t="str">
        <f t="shared" si="576"/>
        <v>-</v>
      </c>
    </row>
    <row r="974" spans="1:57" ht="15" x14ac:dyDescent="0.2">
      <c r="A974" s="2">
        <v>755</v>
      </c>
      <c r="B974" s="2" t="str">
        <f t="shared" si="541"/>
        <v>0755</v>
      </c>
      <c r="C974" t="str">
        <f t="shared" si="542"/>
        <v>ORD-TK-0755-21/12/24</v>
      </c>
      <c r="D974" s="3" t="s">
        <v>115</v>
      </c>
      <c r="E974" t="str">
        <f t="shared" si="543"/>
        <v>SP002</v>
      </c>
      <c r="F974" t="str">
        <f>INDEX(Katalog!$B$4:$B$13,MATCH('Main Data'!E974,Katalog!$C$4:$C$13,0))</f>
        <v>Sandal Slip On</v>
      </c>
      <c r="G974" t="str">
        <f>VLOOKUP(E974,Katalog!$A$15:$B$25,2,0)</f>
        <v>Sepatu Pria</v>
      </c>
      <c r="H974" t="str">
        <f t="shared" si="544"/>
        <v>2</v>
      </c>
      <c r="I974" t="str">
        <f t="shared" si="545"/>
        <v>3</v>
      </c>
      <c r="J974" s="18">
        <f>VLOOKUP(E974,Katalog!$C$3:$F$13,2,0)</f>
        <v>120000</v>
      </c>
      <c r="K974" s="18">
        <f>VLOOKUP(E974,Katalog!$C$3:$F$13,3,0)</f>
        <v>60000</v>
      </c>
      <c r="L974" t="str">
        <f t="shared" si="546"/>
        <v>-</v>
      </c>
      <c r="M974" t="str">
        <f>IFERROR(INDEX(Katalog!$B$4:$B$13,MATCH('Main Data'!L974,Katalog!$C$4:$C$13,0)), "-")</f>
        <v>-</v>
      </c>
      <c r="N974" t="str">
        <f>IFERROR(VLOOKUP(L974,Katalog!$A$15:$B$25,2,0),"-")</f>
        <v>-</v>
      </c>
      <c r="O974">
        <f t="shared" si="547"/>
        <v>0</v>
      </c>
      <c r="P974" t="str">
        <f t="shared" si="548"/>
        <v>-</v>
      </c>
      <c r="Q974" s="18">
        <f>IFERROR(VLOOKUP(L974,Katalog!$C$3:$F$13,2,0),0)</f>
        <v>0</v>
      </c>
      <c r="R974" s="18">
        <f>IFERROR(VLOOKUP(L974,Katalog!$C$3:$F$13,3,0),0)</f>
        <v>0</v>
      </c>
      <c r="S974" t="str">
        <f t="shared" si="549"/>
        <v>-</v>
      </c>
      <c r="T974" t="str">
        <f>IFERROR(INDEX(Katalog!$B$4:$B$13,MATCH('Main Data'!S974,Katalog!$C$4:$C$13,0)),"-")</f>
        <v>-</v>
      </c>
      <c r="U974" t="str">
        <f>IFERROR(VLOOKUP(S974,Katalog!$A$15:$B$25,2,0),"-")</f>
        <v>-</v>
      </c>
      <c r="V974">
        <f t="shared" si="550"/>
        <v>0</v>
      </c>
      <c r="W974" s="28" t="str">
        <f t="shared" si="551"/>
        <v>-</v>
      </c>
      <c r="X974" s="18">
        <f>IFERROR(VLOOKUP(S974,Katalog!$C$3:$F$13,2,0),0)</f>
        <v>0</v>
      </c>
      <c r="Y974" s="30">
        <f>IFERROR(VLOOKUP(S974,Katalog!$C$3:$F$13,3,0),0)</f>
        <v>0</v>
      </c>
      <c r="Z974" s="2">
        <f t="shared" si="552"/>
        <v>2</v>
      </c>
      <c r="AA974" s="4">
        <f t="shared" si="553"/>
        <v>240000</v>
      </c>
      <c r="AB974" s="4">
        <f t="shared" si="554"/>
        <v>120000</v>
      </c>
      <c r="AC974" s="4" t="s">
        <v>29</v>
      </c>
      <c r="AD974" s="16">
        <f>IFERROR(VLOOKUP(AC974,'Kode Diskon'!$C$2:$D$9,2,0),0)</f>
        <v>0.1</v>
      </c>
      <c r="AE974" s="31">
        <f t="shared" si="555"/>
        <v>24000</v>
      </c>
      <c r="AF974" s="31">
        <f t="shared" si="556"/>
        <v>216000</v>
      </c>
      <c r="AG974" s="31">
        <f t="shared" si="557"/>
        <v>120000</v>
      </c>
      <c r="AH974" s="31">
        <f t="shared" si="558"/>
        <v>96000</v>
      </c>
      <c r="AI974" s="4" t="s">
        <v>28</v>
      </c>
      <c r="AJ974" s="4" t="s">
        <v>9</v>
      </c>
      <c r="AK974" s="4" t="str">
        <f>IFERROR(VLOOKUP(AJ974,'Guide '!$A$13:$B$16,2,0),"-")</f>
        <v>TK</v>
      </c>
      <c r="AL974" s="4" t="s">
        <v>925</v>
      </c>
      <c r="AM974" s="40">
        <v>45647</v>
      </c>
      <c r="AN974">
        <f t="shared" si="559"/>
        <v>29</v>
      </c>
      <c r="AO974">
        <f t="shared" si="560"/>
        <v>32</v>
      </c>
      <c r="AP974">
        <f t="shared" si="561"/>
        <v>40</v>
      </c>
      <c r="AQ974">
        <f t="shared" si="562"/>
        <v>43</v>
      </c>
      <c r="AR974" s="26" t="str">
        <f t="shared" si="563"/>
        <v>-</v>
      </c>
      <c r="AS974" s="26" t="str">
        <f t="shared" si="564"/>
        <v>-</v>
      </c>
      <c r="AT974" s="21">
        <f t="shared" si="565"/>
        <v>12</v>
      </c>
      <c r="AU974" s="21">
        <f t="shared" si="566"/>
        <v>19</v>
      </c>
      <c r="AV974" t="str">
        <f t="shared" si="567"/>
        <v>-</v>
      </c>
      <c r="AW974" t="str">
        <f t="shared" si="568"/>
        <v>-</v>
      </c>
      <c r="AX974" t="str">
        <f t="shared" si="569"/>
        <v>-</v>
      </c>
      <c r="AY974" t="str">
        <f t="shared" si="570"/>
        <v>-</v>
      </c>
      <c r="AZ974" t="str">
        <f t="shared" si="571"/>
        <v>-</v>
      </c>
      <c r="BA974" t="str">
        <f t="shared" si="572"/>
        <v>-</v>
      </c>
      <c r="BB974" t="str">
        <f t="shared" si="573"/>
        <v>-</v>
      </c>
      <c r="BC974" t="str">
        <f t="shared" si="574"/>
        <v>-</v>
      </c>
      <c r="BD974" s="29" t="str">
        <f t="shared" si="575"/>
        <v>-</v>
      </c>
      <c r="BE974" s="29" t="str">
        <f t="shared" si="576"/>
        <v>-</v>
      </c>
    </row>
    <row r="975" spans="1:57" ht="15" x14ac:dyDescent="0.2">
      <c r="A975" s="2">
        <v>106</v>
      </c>
      <c r="B975" s="2" t="str">
        <f t="shared" si="541"/>
        <v>0106</v>
      </c>
      <c r="C975" t="str">
        <f t="shared" si="542"/>
        <v>ORD-TK-0106-22/12/24</v>
      </c>
      <c r="D975" s="3" t="s">
        <v>178</v>
      </c>
      <c r="E975" t="str">
        <f t="shared" si="543"/>
        <v>PW003</v>
      </c>
      <c r="F975" t="str">
        <f>INDEX(Katalog!$B$4:$B$13,MATCH('Main Data'!E975,Katalog!$C$4:$C$13,0))</f>
        <v>Kaftan</v>
      </c>
      <c r="G975" t="str">
        <f>VLOOKUP(E975,Katalog!$A$15:$B$25,2,0)</f>
        <v>Pakaian Wanita</v>
      </c>
      <c r="H975" t="str">
        <f t="shared" si="544"/>
        <v>5</v>
      </c>
      <c r="I975" t="str">
        <f t="shared" si="545"/>
        <v>4</v>
      </c>
      <c r="J975" s="18">
        <f>VLOOKUP(E975,Katalog!$C$3:$F$13,2,0)</f>
        <v>200000</v>
      </c>
      <c r="K975" s="18">
        <f>VLOOKUP(E975,Katalog!$C$3:$F$13,3,0)</f>
        <v>100000</v>
      </c>
      <c r="L975" t="str">
        <f t="shared" si="546"/>
        <v>-</v>
      </c>
      <c r="M975" t="str">
        <f>IFERROR(INDEX(Katalog!$B$4:$B$13,MATCH('Main Data'!L975,Katalog!$C$4:$C$13,0)), "-")</f>
        <v>-</v>
      </c>
      <c r="N975" t="str">
        <f>IFERROR(VLOOKUP(L975,Katalog!$A$15:$B$25,2,0),"-")</f>
        <v>-</v>
      </c>
      <c r="O975">
        <f t="shared" si="547"/>
        <v>0</v>
      </c>
      <c r="P975" t="str">
        <f t="shared" si="548"/>
        <v>-</v>
      </c>
      <c r="Q975" s="18">
        <f>IFERROR(VLOOKUP(L975,Katalog!$C$3:$F$13,2,0),0)</f>
        <v>0</v>
      </c>
      <c r="R975" s="18">
        <f>IFERROR(VLOOKUP(L975,Katalog!$C$3:$F$13,3,0),0)</f>
        <v>0</v>
      </c>
      <c r="S975" t="str">
        <f t="shared" si="549"/>
        <v>-</v>
      </c>
      <c r="T975" t="str">
        <f>IFERROR(INDEX(Katalog!$B$4:$B$13,MATCH('Main Data'!S975,Katalog!$C$4:$C$13,0)),"-")</f>
        <v>-</v>
      </c>
      <c r="U975" t="str">
        <f>IFERROR(VLOOKUP(S975,Katalog!$A$15:$B$25,2,0),"-")</f>
        <v>-</v>
      </c>
      <c r="V975">
        <f t="shared" si="550"/>
        <v>0</v>
      </c>
      <c r="W975" s="28" t="str">
        <f t="shared" si="551"/>
        <v>-</v>
      </c>
      <c r="X975" s="18">
        <f>IFERROR(VLOOKUP(S975,Katalog!$C$3:$F$13,2,0),0)</f>
        <v>0</v>
      </c>
      <c r="Y975" s="30">
        <f>IFERROR(VLOOKUP(S975,Katalog!$C$3:$F$13,3,0),0)</f>
        <v>0</v>
      </c>
      <c r="Z975" s="2">
        <f t="shared" si="552"/>
        <v>5</v>
      </c>
      <c r="AA975" s="4">
        <f t="shared" si="553"/>
        <v>1000000</v>
      </c>
      <c r="AB975" s="4">
        <f t="shared" si="554"/>
        <v>500000</v>
      </c>
      <c r="AC975" s="4" t="s">
        <v>30</v>
      </c>
      <c r="AD975" s="16">
        <f>IFERROR(VLOOKUP(AC975,'Kode Diskon'!$C$2:$D$9,2,0),0)</f>
        <v>0.1</v>
      </c>
      <c r="AE975" s="31">
        <f t="shared" si="555"/>
        <v>100000</v>
      </c>
      <c r="AF975" s="31">
        <f t="shared" si="556"/>
        <v>900000</v>
      </c>
      <c r="AG975" s="31">
        <f t="shared" si="557"/>
        <v>500000</v>
      </c>
      <c r="AH975" s="31">
        <f t="shared" si="558"/>
        <v>400000</v>
      </c>
      <c r="AI975" s="4" t="s">
        <v>8</v>
      </c>
      <c r="AJ975" s="4" t="s">
        <v>9</v>
      </c>
      <c r="AK975" s="4" t="str">
        <f>IFERROR(VLOOKUP(AJ975,'Guide '!$A$13:$B$16,2,0),"-")</f>
        <v>TK</v>
      </c>
      <c r="AL975" s="4" t="s">
        <v>925</v>
      </c>
      <c r="AM975" s="40">
        <v>45648</v>
      </c>
      <c r="AN975">
        <f t="shared" si="559"/>
        <v>29</v>
      </c>
      <c r="AO975">
        <f t="shared" si="560"/>
        <v>32</v>
      </c>
      <c r="AP975">
        <f t="shared" si="561"/>
        <v>40</v>
      </c>
      <c r="AQ975">
        <f t="shared" si="562"/>
        <v>43</v>
      </c>
      <c r="AR975" s="26" t="str">
        <f t="shared" si="563"/>
        <v>-</v>
      </c>
      <c r="AS975" s="26" t="str">
        <f t="shared" si="564"/>
        <v>-</v>
      </c>
      <c r="AT975" s="21">
        <f t="shared" si="565"/>
        <v>12</v>
      </c>
      <c r="AU975" s="21">
        <f t="shared" si="566"/>
        <v>19</v>
      </c>
      <c r="AV975" t="str">
        <f t="shared" si="567"/>
        <v>-</v>
      </c>
      <c r="AW975" t="str">
        <f t="shared" si="568"/>
        <v>-</v>
      </c>
      <c r="AX975" t="str">
        <f t="shared" si="569"/>
        <v>-</v>
      </c>
      <c r="AY975" t="str">
        <f t="shared" si="570"/>
        <v>-</v>
      </c>
      <c r="AZ975" t="str">
        <f t="shared" si="571"/>
        <v>-</v>
      </c>
      <c r="BA975" t="str">
        <f t="shared" si="572"/>
        <v>-</v>
      </c>
      <c r="BB975" t="str">
        <f t="shared" si="573"/>
        <v>-</v>
      </c>
      <c r="BC975" t="str">
        <f t="shared" si="574"/>
        <v>-</v>
      </c>
      <c r="BD975" s="29" t="str">
        <f t="shared" si="575"/>
        <v>-</v>
      </c>
      <c r="BE975" s="29" t="str">
        <f t="shared" si="576"/>
        <v>-</v>
      </c>
    </row>
    <row r="976" spans="1:57" ht="15" x14ac:dyDescent="0.2">
      <c r="A976" s="2">
        <v>255</v>
      </c>
      <c r="B976" s="2" t="str">
        <f t="shared" si="541"/>
        <v>0255</v>
      </c>
      <c r="C976" t="str">
        <f t="shared" si="542"/>
        <v>ORD-TK-0255-22/12/24</v>
      </c>
      <c r="D976" s="3" t="s">
        <v>319</v>
      </c>
      <c r="E976" t="str">
        <f t="shared" si="543"/>
        <v>SW001</v>
      </c>
      <c r="F976" t="str">
        <f>INDEX(Katalog!$B$4:$B$13,MATCH('Main Data'!E976,Katalog!$C$4:$C$13,0))</f>
        <v>Flat Shoes</v>
      </c>
      <c r="G976" t="str">
        <f>VLOOKUP(E976,Katalog!$A$15:$B$25,2,0)</f>
        <v>Sepatu Wanita</v>
      </c>
      <c r="H976" t="str">
        <f t="shared" si="544"/>
        <v>3</v>
      </c>
      <c r="I976" t="str">
        <f t="shared" si="545"/>
        <v>3</v>
      </c>
      <c r="J976" s="18">
        <f>VLOOKUP(E976,Katalog!$C$3:$F$13,2,0)</f>
        <v>150000</v>
      </c>
      <c r="K976" s="18">
        <f>VLOOKUP(E976,Katalog!$C$3:$F$13,3,0)</f>
        <v>70000</v>
      </c>
      <c r="L976" t="str">
        <f t="shared" si="546"/>
        <v>SP002</v>
      </c>
      <c r="M976" t="str">
        <f>IFERROR(INDEX(Katalog!$B$4:$B$13,MATCH('Main Data'!L976,Katalog!$C$4:$C$13,0)), "-")</f>
        <v>Sandal Slip On</v>
      </c>
      <c r="N976" t="str">
        <f>IFERROR(VLOOKUP(L976,Katalog!$A$15:$B$25,2,0),"-")</f>
        <v>Sepatu Pria</v>
      </c>
      <c r="O976" t="str">
        <f t="shared" si="547"/>
        <v>1</v>
      </c>
      <c r="P976" t="str">
        <f t="shared" si="548"/>
        <v>3</v>
      </c>
      <c r="Q976" s="18">
        <f>IFERROR(VLOOKUP(L976,Katalog!$C$3:$F$13,2,0),0)</f>
        <v>120000</v>
      </c>
      <c r="R976" s="18">
        <f>IFERROR(VLOOKUP(L976,Katalog!$C$3:$F$13,3,0),0)</f>
        <v>60000</v>
      </c>
      <c r="S976" t="str">
        <f t="shared" si="549"/>
        <v>PU001</v>
      </c>
      <c r="T976" t="str">
        <f>IFERROR(INDEX(Katalog!$B$4:$B$13,MATCH('Main Data'!S976,Katalog!$C$4:$C$13,0)),"-")</f>
        <v>Jaket Hoodie</v>
      </c>
      <c r="U976" t="str">
        <f>IFERROR(VLOOKUP(S976,Katalog!$A$15:$B$25,2,0),"-")</f>
        <v>Pakaian Unisex</v>
      </c>
      <c r="V976" t="str">
        <f t="shared" si="550"/>
        <v>1</v>
      </c>
      <c r="W976" s="28" t="str">
        <f t="shared" si="551"/>
        <v>2</v>
      </c>
      <c r="X976" s="18">
        <f>IFERROR(VLOOKUP(S976,Katalog!$C$3:$F$13,2,0),0)</f>
        <v>160000</v>
      </c>
      <c r="Y976" s="30">
        <f>IFERROR(VLOOKUP(S976,Katalog!$C$3:$F$13,3,0),0)</f>
        <v>60000</v>
      </c>
      <c r="Z976" s="2">
        <f t="shared" si="552"/>
        <v>5</v>
      </c>
      <c r="AA976" s="4">
        <f t="shared" si="553"/>
        <v>730000</v>
      </c>
      <c r="AB976" s="4">
        <f t="shared" si="554"/>
        <v>330000</v>
      </c>
      <c r="AC976" s="4" t="s">
        <v>30</v>
      </c>
      <c r="AD976" s="16">
        <f>IFERROR(VLOOKUP(AC976,'Kode Diskon'!$C$2:$D$9,2,0),0)</f>
        <v>0.1</v>
      </c>
      <c r="AE976" s="31">
        <f t="shared" si="555"/>
        <v>73000</v>
      </c>
      <c r="AF976" s="31">
        <f t="shared" si="556"/>
        <v>657000</v>
      </c>
      <c r="AG976" s="31">
        <f t="shared" si="557"/>
        <v>400000</v>
      </c>
      <c r="AH976" s="31">
        <f t="shared" si="558"/>
        <v>327000</v>
      </c>
      <c r="AI976" s="4" t="s">
        <v>8</v>
      </c>
      <c r="AJ976" s="4" t="s">
        <v>9</v>
      </c>
      <c r="AK976" s="4" t="str">
        <f>IFERROR(VLOOKUP(AJ976,'Guide '!$A$13:$B$16,2,0),"-")</f>
        <v>TK</v>
      </c>
      <c r="AL976" s="4" t="s">
        <v>1006</v>
      </c>
      <c r="AM976" s="40">
        <v>45648</v>
      </c>
      <c r="AN976">
        <f t="shared" si="559"/>
        <v>29</v>
      </c>
      <c r="AO976">
        <f t="shared" si="560"/>
        <v>32</v>
      </c>
      <c r="AP976">
        <f t="shared" si="561"/>
        <v>40</v>
      </c>
      <c r="AQ976">
        <f t="shared" si="562"/>
        <v>43</v>
      </c>
      <c r="AR976" s="26">
        <f t="shared" si="563"/>
        <v>56</v>
      </c>
      <c r="AS976" s="26">
        <f t="shared" si="564"/>
        <v>63</v>
      </c>
      <c r="AT976" s="21">
        <f t="shared" si="565"/>
        <v>12</v>
      </c>
      <c r="AU976" s="21">
        <f t="shared" si="566"/>
        <v>19</v>
      </c>
      <c r="AV976">
        <f t="shared" si="567"/>
        <v>73</v>
      </c>
      <c r="AW976">
        <f t="shared" si="568"/>
        <v>76</v>
      </c>
      <c r="AX976">
        <f t="shared" si="569"/>
        <v>84</v>
      </c>
      <c r="AY976">
        <f t="shared" si="570"/>
        <v>87</v>
      </c>
      <c r="AZ976">
        <f t="shared" si="571"/>
        <v>100</v>
      </c>
      <c r="BA976">
        <f t="shared" si="572"/>
        <v>107</v>
      </c>
      <c r="BB976">
        <f t="shared" si="573"/>
        <v>117</v>
      </c>
      <c r="BC976">
        <f t="shared" si="574"/>
        <v>120</v>
      </c>
      <c r="BD976" s="29">
        <f t="shared" si="575"/>
        <v>128</v>
      </c>
      <c r="BE976" s="29">
        <f t="shared" si="576"/>
        <v>131</v>
      </c>
    </row>
    <row r="977" spans="1:57" ht="15" x14ac:dyDescent="0.2">
      <c r="A977" s="2">
        <v>356</v>
      </c>
      <c r="B977" s="2" t="str">
        <f t="shared" si="541"/>
        <v>0356</v>
      </c>
      <c r="C977" t="str">
        <f t="shared" si="542"/>
        <v>ORD-SP-0356-22/12/24</v>
      </c>
      <c r="D977" s="3" t="s">
        <v>407</v>
      </c>
      <c r="E977" t="str">
        <f t="shared" si="543"/>
        <v>PP002</v>
      </c>
      <c r="F977" t="str">
        <f>INDEX(Katalog!$B$4:$B$13,MATCH('Main Data'!E977,Katalog!$C$4:$C$13,0))</f>
        <v>Celana Pendek</v>
      </c>
      <c r="G977" t="str">
        <f>VLOOKUP(E977,Katalog!$A$15:$B$25,2,0)</f>
        <v>Pakaian Pria</v>
      </c>
      <c r="H977" t="str">
        <f t="shared" si="544"/>
        <v>1</v>
      </c>
      <c r="I977" t="str">
        <f t="shared" si="545"/>
        <v>1</v>
      </c>
      <c r="J977" s="18">
        <f>VLOOKUP(E977,Katalog!$C$3:$F$13,2,0)</f>
        <v>60000</v>
      </c>
      <c r="K977" s="18">
        <f>VLOOKUP(E977,Katalog!$C$3:$F$13,3,0)</f>
        <v>25000</v>
      </c>
      <c r="L977" t="str">
        <f t="shared" si="546"/>
        <v>SP002</v>
      </c>
      <c r="M977" t="str">
        <f>IFERROR(INDEX(Katalog!$B$4:$B$13,MATCH('Main Data'!L977,Katalog!$C$4:$C$13,0)), "-")</f>
        <v>Sandal Slip On</v>
      </c>
      <c r="N977" t="str">
        <f>IFERROR(VLOOKUP(L977,Katalog!$A$15:$B$25,2,0),"-")</f>
        <v>Sepatu Pria</v>
      </c>
      <c r="O977" t="str">
        <f t="shared" si="547"/>
        <v>1</v>
      </c>
      <c r="P977" t="str">
        <f t="shared" si="548"/>
        <v>1</v>
      </c>
      <c r="Q977" s="18">
        <f>IFERROR(VLOOKUP(L977,Katalog!$C$3:$F$13,2,0),0)</f>
        <v>120000</v>
      </c>
      <c r="R977" s="18">
        <f>IFERROR(VLOOKUP(L977,Katalog!$C$3:$F$13,3,0),0)</f>
        <v>60000</v>
      </c>
      <c r="S977" t="str">
        <f t="shared" si="549"/>
        <v>PU001</v>
      </c>
      <c r="T977" t="str">
        <f>IFERROR(INDEX(Katalog!$B$4:$B$13,MATCH('Main Data'!S977,Katalog!$C$4:$C$13,0)),"-")</f>
        <v>Jaket Hoodie</v>
      </c>
      <c r="U977" t="str">
        <f>IFERROR(VLOOKUP(S977,Katalog!$A$15:$B$25,2,0),"-")</f>
        <v>Pakaian Unisex</v>
      </c>
      <c r="V977" t="str">
        <f t="shared" si="550"/>
        <v>1</v>
      </c>
      <c r="W977" s="28" t="str">
        <f t="shared" si="551"/>
        <v>4</v>
      </c>
      <c r="X977" s="18">
        <f>IFERROR(VLOOKUP(S977,Katalog!$C$3:$F$13,2,0),0)</f>
        <v>160000</v>
      </c>
      <c r="Y977" s="30">
        <f>IFERROR(VLOOKUP(S977,Katalog!$C$3:$F$13,3,0),0)</f>
        <v>60000</v>
      </c>
      <c r="Z977" s="2">
        <f t="shared" si="552"/>
        <v>3</v>
      </c>
      <c r="AA977" s="4">
        <f t="shared" si="553"/>
        <v>340000</v>
      </c>
      <c r="AB977" s="4">
        <f t="shared" si="554"/>
        <v>145000</v>
      </c>
      <c r="AC977" s="4" t="s">
        <v>7</v>
      </c>
      <c r="AD977" s="16">
        <f>IFERROR(VLOOKUP(AC977,'Kode Diskon'!$C$2:$D$9,2,0),0)</f>
        <v>0.2</v>
      </c>
      <c r="AE977" s="31">
        <f t="shared" si="555"/>
        <v>68000</v>
      </c>
      <c r="AF977" s="31">
        <f t="shared" si="556"/>
        <v>272000</v>
      </c>
      <c r="AG977" s="31">
        <f t="shared" si="557"/>
        <v>195000</v>
      </c>
      <c r="AH977" s="31">
        <f t="shared" si="558"/>
        <v>127000</v>
      </c>
      <c r="AI977" s="4" t="s">
        <v>8</v>
      </c>
      <c r="AJ977" s="4" t="s">
        <v>6</v>
      </c>
      <c r="AK977" s="4" t="str">
        <f>IFERROR(VLOOKUP(AJ977,'Guide '!$A$13:$B$16,2,0),"-")</f>
        <v>SP</v>
      </c>
      <c r="AL977" s="4" t="s">
        <v>925</v>
      </c>
      <c r="AM977" s="40">
        <v>45648</v>
      </c>
      <c r="AN977">
        <f t="shared" si="559"/>
        <v>29</v>
      </c>
      <c r="AO977">
        <f t="shared" si="560"/>
        <v>32</v>
      </c>
      <c r="AP977">
        <f t="shared" si="561"/>
        <v>40</v>
      </c>
      <c r="AQ977">
        <f t="shared" si="562"/>
        <v>43</v>
      </c>
      <c r="AR977" s="26">
        <f t="shared" si="563"/>
        <v>56</v>
      </c>
      <c r="AS977" s="26">
        <f t="shared" si="564"/>
        <v>63</v>
      </c>
      <c r="AT977" s="21">
        <f t="shared" si="565"/>
        <v>12</v>
      </c>
      <c r="AU977" s="21">
        <f t="shared" si="566"/>
        <v>19</v>
      </c>
      <c r="AV977">
        <f t="shared" si="567"/>
        <v>73</v>
      </c>
      <c r="AW977">
        <f t="shared" si="568"/>
        <v>76</v>
      </c>
      <c r="AX977">
        <f t="shared" si="569"/>
        <v>84</v>
      </c>
      <c r="AY977">
        <f t="shared" si="570"/>
        <v>87</v>
      </c>
      <c r="AZ977">
        <f t="shared" si="571"/>
        <v>100</v>
      </c>
      <c r="BA977">
        <f t="shared" si="572"/>
        <v>107</v>
      </c>
      <c r="BB977">
        <f t="shared" si="573"/>
        <v>117</v>
      </c>
      <c r="BC977">
        <f t="shared" si="574"/>
        <v>120</v>
      </c>
      <c r="BD977" s="29">
        <f t="shared" si="575"/>
        <v>128</v>
      </c>
      <c r="BE977" s="29">
        <f t="shared" si="576"/>
        <v>131</v>
      </c>
    </row>
    <row r="978" spans="1:57" ht="15" x14ac:dyDescent="0.2">
      <c r="A978" s="2">
        <v>194</v>
      </c>
      <c r="B978" s="2" t="str">
        <f t="shared" si="541"/>
        <v>0194</v>
      </c>
      <c r="C978" t="str">
        <f t="shared" si="542"/>
        <v>ORD-SP-0194-24/12/24</v>
      </c>
      <c r="D978" s="3" t="s">
        <v>263</v>
      </c>
      <c r="E978" t="str">
        <f t="shared" si="543"/>
        <v>PW002</v>
      </c>
      <c r="F978" t="str">
        <f>INDEX(Katalog!$B$4:$B$13,MATCH('Main Data'!E978,Katalog!$C$4:$C$13,0))</f>
        <v>Blouse</v>
      </c>
      <c r="G978" t="str">
        <f>VLOOKUP(E978,Katalog!$A$15:$B$25,2,0)</f>
        <v>Pakaian Wanita</v>
      </c>
      <c r="H978" t="str">
        <f t="shared" si="544"/>
        <v>1</v>
      </c>
      <c r="I978" t="str">
        <f t="shared" si="545"/>
        <v>3</v>
      </c>
      <c r="J978" s="18">
        <f>VLOOKUP(E978,Katalog!$C$3:$F$13,2,0)</f>
        <v>125000</v>
      </c>
      <c r="K978" s="18">
        <f>VLOOKUP(E978,Katalog!$C$3:$F$13,3,0)</f>
        <v>50000</v>
      </c>
      <c r="L978" t="str">
        <f t="shared" si="546"/>
        <v>-</v>
      </c>
      <c r="M978" t="str">
        <f>IFERROR(INDEX(Katalog!$B$4:$B$13,MATCH('Main Data'!L978,Katalog!$C$4:$C$13,0)), "-")</f>
        <v>-</v>
      </c>
      <c r="N978" t="str">
        <f>IFERROR(VLOOKUP(L978,Katalog!$A$15:$B$25,2,0),"-")</f>
        <v>-</v>
      </c>
      <c r="O978">
        <f t="shared" si="547"/>
        <v>0</v>
      </c>
      <c r="P978" t="str">
        <f t="shared" si="548"/>
        <v>-</v>
      </c>
      <c r="Q978" s="18">
        <f>IFERROR(VLOOKUP(L978,Katalog!$C$3:$F$13,2,0),0)</f>
        <v>0</v>
      </c>
      <c r="R978" s="18">
        <f>IFERROR(VLOOKUP(L978,Katalog!$C$3:$F$13,3,0),0)</f>
        <v>0</v>
      </c>
      <c r="S978" t="str">
        <f t="shared" si="549"/>
        <v>-</v>
      </c>
      <c r="T978" t="str">
        <f>IFERROR(INDEX(Katalog!$B$4:$B$13,MATCH('Main Data'!S978,Katalog!$C$4:$C$13,0)),"-")</f>
        <v>-</v>
      </c>
      <c r="U978" t="str">
        <f>IFERROR(VLOOKUP(S978,Katalog!$A$15:$B$25,2,0),"-")</f>
        <v>-</v>
      </c>
      <c r="V978">
        <f t="shared" si="550"/>
        <v>0</v>
      </c>
      <c r="W978" s="28" t="str">
        <f t="shared" si="551"/>
        <v>-</v>
      </c>
      <c r="X978" s="18">
        <f>IFERROR(VLOOKUP(S978,Katalog!$C$3:$F$13,2,0),0)</f>
        <v>0</v>
      </c>
      <c r="Y978" s="30">
        <f>IFERROR(VLOOKUP(S978,Katalog!$C$3:$F$13,3,0),0)</f>
        <v>0</v>
      </c>
      <c r="Z978" s="2">
        <f t="shared" si="552"/>
        <v>1</v>
      </c>
      <c r="AA978" s="4">
        <f t="shared" si="553"/>
        <v>125000</v>
      </c>
      <c r="AB978" s="4">
        <f t="shared" si="554"/>
        <v>50000</v>
      </c>
      <c r="AC978" s="4" t="s">
        <v>5</v>
      </c>
      <c r="AD978" s="16">
        <f>IFERROR(VLOOKUP(AC978,'Kode Diskon'!$C$2:$D$9,2,0),0)</f>
        <v>0.1</v>
      </c>
      <c r="AE978" s="31">
        <f t="shared" si="555"/>
        <v>12500</v>
      </c>
      <c r="AF978" s="31">
        <f t="shared" si="556"/>
        <v>112500</v>
      </c>
      <c r="AG978" s="31">
        <f t="shared" si="557"/>
        <v>75000</v>
      </c>
      <c r="AH978" s="31">
        <f t="shared" si="558"/>
        <v>62500</v>
      </c>
      <c r="AI978" s="4" t="s">
        <v>28</v>
      </c>
      <c r="AJ978" s="4" t="s">
        <v>6</v>
      </c>
      <c r="AK978" s="4" t="str">
        <f>IFERROR(VLOOKUP(AJ978,'Guide '!$A$13:$B$16,2,0),"-")</f>
        <v>SP</v>
      </c>
      <c r="AL978" s="4" t="s">
        <v>925</v>
      </c>
      <c r="AM978" s="40">
        <v>45650</v>
      </c>
      <c r="AN978">
        <f t="shared" si="559"/>
        <v>29</v>
      </c>
      <c r="AO978">
        <f t="shared" si="560"/>
        <v>32</v>
      </c>
      <c r="AP978">
        <f t="shared" si="561"/>
        <v>40</v>
      </c>
      <c r="AQ978">
        <f t="shared" si="562"/>
        <v>43</v>
      </c>
      <c r="AR978" s="26" t="str">
        <f t="shared" si="563"/>
        <v>-</v>
      </c>
      <c r="AS978" s="26" t="str">
        <f t="shared" si="564"/>
        <v>-</v>
      </c>
      <c r="AT978" s="21">
        <f t="shared" si="565"/>
        <v>12</v>
      </c>
      <c r="AU978" s="21">
        <f t="shared" si="566"/>
        <v>19</v>
      </c>
      <c r="AV978" t="str">
        <f t="shared" si="567"/>
        <v>-</v>
      </c>
      <c r="AW978" t="str">
        <f t="shared" si="568"/>
        <v>-</v>
      </c>
      <c r="AX978" t="str">
        <f t="shared" si="569"/>
        <v>-</v>
      </c>
      <c r="AY978" t="str">
        <f t="shared" si="570"/>
        <v>-</v>
      </c>
      <c r="AZ978" t="str">
        <f t="shared" si="571"/>
        <v>-</v>
      </c>
      <c r="BA978" t="str">
        <f t="shared" si="572"/>
        <v>-</v>
      </c>
      <c r="BB978" t="str">
        <f t="shared" si="573"/>
        <v>-</v>
      </c>
      <c r="BC978" t="str">
        <f t="shared" si="574"/>
        <v>-</v>
      </c>
      <c r="BD978" s="29" t="str">
        <f t="shared" si="575"/>
        <v>-</v>
      </c>
      <c r="BE978" s="29" t="str">
        <f t="shared" si="576"/>
        <v>-</v>
      </c>
    </row>
    <row r="979" spans="1:57" ht="15" x14ac:dyDescent="0.2">
      <c r="A979" s="2">
        <v>816</v>
      </c>
      <c r="B979" s="2" t="str">
        <f t="shared" si="541"/>
        <v>0816</v>
      </c>
      <c r="C979" t="str">
        <f t="shared" si="542"/>
        <v>ORD-TK-0816-24/12/24</v>
      </c>
      <c r="D979" s="3" t="s">
        <v>316</v>
      </c>
      <c r="E979" t="str">
        <f t="shared" si="543"/>
        <v>SP002</v>
      </c>
      <c r="F979" t="str">
        <f>INDEX(Katalog!$B$4:$B$13,MATCH('Main Data'!E979,Katalog!$C$4:$C$13,0))</f>
        <v>Sandal Slip On</v>
      </c>
      <c r="G979" t="str">
        <f>VLOOKUP(E979,Katalog!$A$15:$B$25,2,0)</f>
        <v>Sepatu Pria</v>
      </c>
      <c r="H979" t="str">
        <f t="shared" si="544"/>
        <v>2</v>
      </c>
      <c r="I979" t="str">
        <f t="shared" si="545"/>
        <v>5</v>
      </c>
      <c r="J979" s="18">
        <f>VLOOKUP(E979,Katalog!$C$3:$F$13,2,0)</f>
        <v>120000</v>
      </c>
      <c r="K979" s="18">
        <f>VLOOKUP(E979,Katalog!$C$3:$F$13,3,0)</f>
        <v>60000</v>
      </c>
      <c r="L979" t="str">
        <f t="shared" si="546"/>
        <v>-</v>
      </c>
      <c r="M979" t="str">
        <f>IFERROR(INDEX(Katalog!$B$4:$B$13,MATCH('Main Data'!L979,Katalog!$C$4:$C$13,0)), "-")</f>
        <v>-</v>
      </c>
      <c r="N979" t="str">
        <f>IFERROR(VLOOKUP(L979,Katalog!$A$15:$B$25,2,0),"-")</f>
        <v>-</v>
      </c>
      <c r="O979">
        <f t="shared" si="547"/>
        <v>0</v>
      </c>
      <c r="P979" t="str">
        <f t="shared" si="548"/>
        <v>-</v>
      </c>
      <c r="Q979" s="18">
        <f>IFERROR(VLOOKUP(L979,Katalog!$C$3:$F$13,2,0),0)</f>
        <v>0</v>
      </c>
      <c r="R979" s="18">
        <f>IFERROR(VLOOKUP(L979,Katalog!$C$3:$F$13,3,0),0)</f>
        <v>0</v>
      </c>
      <c r="S979" t="str">
        <f t="shared" si="549"/>
        <v>-</v>
      </c>
      <c r="T979" t="str">
        <f>IFERROR(INDEX(Katalog!$B$4:$B$13,MATCH('Main Data'!S979,Katalog!$C$4:$C$13,0)),"-")</f>
        <v>-</v>
      </c>
      <c r="U979" t="str">
        <f>IFERROR(VLOOKUP(S979,Katalog!$A$15:$B$25,2,0),"-")</f>
        <v>-</v>
      </c>
      <c r="V979">
        <f t="shared" si="550"/>
        <v>0</v>
      </c>
      <c r="W979" s="28" t="str">
        <f t="shared" si="551"/>
        <v>-</v>
      </c>
      <c r="X979" s="18">
        <f>IFERROR(VLOOKUP(S979,Katalog!$C$3:$F$13,2,0),0)</f>
        <v>0</v>
      </c>
      <c r="Y979" s="30">
        <f>IFERROR(VLOOKUP(S979,Katalog!$C$3:$F$13,3,0),0)</f>
        <v>0</v>
      </c>
      <c r="Z979" s="2">
        <f t="shared" si="552"/>
        <v>2</v>
      </c>
      <c r="AA979" s="4">
        <f t="shared" si="553"/>
        <v>240000</v>
      </c>
      <c r="AB979" s="4">
        <f t="shared" si="554"/>
        <v>120000</v>
      </c>
      <c r="AC979" s="4" t="s">
        <v>30</v>
      </c>
      <c r="AD979" s="16">
        <f>IFERROR(VLOOKUP(AC979,'Kode Diskon'!$C$2:$D$9,2,0),0)</f>
        <v>0.1</v>
      </c>
      <c r="AE979" s="31">
        <f t="shared" si="555"/>
        <v>24000</v>
      </c>
      <c r="AF979" s="31">
        <f t="shared" si="556"/>
        <v>216000</v>
      </c>
      <c r="AG979" s="31">
        <f t="shared" si="557"/>
        <v>120000</v>
      </c>
      <c r="AH979" s="31">
        <f t="shared" si="558"/>
        <v>96000</v>
      </c>
      <c r="AI979" s="4" t="s">
        <v>8</v>
      </c>
      <c r="AJ979" s="4" t="s">
        <v>9</v>
      </c>
      <c r="AK979" s="4" t="str">
        <f>IFERROR(VLOOKUP(AJ979,'Guide '!$A$13:$B$16,2,0),"-")</f>
        <v>TK</v>
      </c>
      <c r="AL979" s="4" t="s">
        <v>925</v>
      </c>
      <c r="AM979" s="40">
        <v>45650</v>
      </c>
      <c r="AN979">
        <f t="shared" si="559"/>
        <v>29</v>
      </c>
      <c r="AO979">
        <f t="shared" si="560"/>
        <v>32</v>
      </c>
      <c r="AP979">
        <f t="shared" si="561"/>
        <v>40</v>
      </c>
      <c r="AQ979">
        <f t="shared" si="562"/>
        <v>43</v>
      </c>
      <c r="AR979" s="26" t="str">
        <f t="shared" si="563"/>
        <v>-</v>
      </c>
      <c r="AS979" s="26" t="str">
        <f t="shared" si="564"/>
        <v>-</v>
      </c>
      <c r="AT979" s="21">
        <f t="shared" si="565"/>
        <v>12</v>
      </c>
      <c r="AU979" s="21">
        <f t="shared" si="566"/>
        <v>19</v>
      </c>
      <c r="AV979" t="str">
        <f t="shared" si="567"/>
        <v>-</v>
      </c>
      <c r="AW979" t="str">
        <f t="shared" si="568"/>
        <v>-</v>
      </c>
      <c r="AX979" t="str">
        <f t="shared" si="569"/>
        <v>-</v>
      </c>
      <c r="AY979" t="str">
        <f t="shared" si="570"/>
        <v>-</v>
      </c>
      <c r="AZ979" t="str">
        <f t="shared" si="571"/>
        <v>-</v>
      </c>
      <c r="BA979" t="str">
        <f t="shared" si="572"/>
        <v>-</v>
      </c>
      <c r="BB979" t="str">
        <f t="shared" si="573"/>
        <v>-</v>
      </c>
      <c r="BC979" t="str">
        <f t="shared" si="574"/>
        <v>-</v>
      </c>
      <c r="BD979" s="29" t="str">
        <f t="shared" si="575"/>
        <v>-</v>
      </c>
      <c r="BE979" s="29" t="str">
        <f t="shared" si="576"/>
        <v>-</v>
      </c>
    </row>
    <row r="980" spans="1:57" ht="15" x14ac:dyDescent="0.2">
      <c r="A980" s="2">
        <v>875</v>
      </c>
      <c r="B980" s="2" t="str">
        <f t="shared" si="541"/>
        <v>0875</v>
      </c>
      <c r="C980" t="str">
        <f t="shared" si="542"/>
        <v>ORD-BL-0875-24/12/24</v>
      </c>
      <c r="D980" s="3" t="s">
        <v>819</v>
      </c>
      <c r="E980" t="str">
        <f t="shared" si="543"/>
        <v>PW003</v>
      </c>
      <c r="F980" t="str">
        <f>INDEX(Katalog!$B$4:$B$13,MATCH('Main Data'!E980,Katalog!$C$4:$C$13,0))</f>
        <v>Kaftan</v>
      </c>
      <c r="G980" t="str">
        <f>VLOOKUP(E980,Katalog!$A$15:$B$25,2,0)</f>
        <v>Pakaian Wanita</v>
      </c>
      <c r="H980" t="str">
        <f t="shared" si="544"/>
        <v>4</v>
      </c>
      <c r="I980" t="str">
        <f t="shared" si="545"/>
        <v>1</v>
      </c>
      <c r="J980" s="18">
        <f>VLOOKUP(E980,Katalog!$C$3:$F$13,2,0)</f>
        <v>200000</v>
      </c>
      <c r="K980" s="18">
        <f>VLOOKUP(E980,Katalog!$C$3:$F$13,3,0)</f>
        <v>100000</v>
      </c>
      <c r="L980" t="str">
        <f t="shared" si="546"/>
        <v>PP003</v>
      </c>
      <c r="M980" t="str">
        <f>IFERROR(INDEX(Katalog!$B$4:$B$13,MATCH('Main Data'!L980,Katalog!$C$4:$C$13,0)), "-")</f>
        <v>Jaket Jeans</v>
      </c>
      <c r="N980" t="str">
        <f>IFERROR(VLOOKUP(L980,Katalog!$A$15:$B$25,2,0),"-")</f>
        <v>Pakaian Pria</v>
      </c>
      <c r="O980" t="str">
        <f t="shared" si="547"/>
        <v>2</v>
      </c>
      <c r="P980" t="str">
        <f t="shared" si="548"/>
        <v>4</v>
      </c>
      <c r="Q980" s="18">
        <f>IFERROR(VLOOKUP(L980,Katalog!$C$3:$F$13,2,0),0)</f>
        <v>150000</v>
      </c>
      <c r="R980" s="18">
        <f>IFERROR(VLOOKUP(L980,Katalog!$C$3:$F$13,3,0),0)</f>
        <v>70000</v>
      </c>
      <c r="S980" t="str">
        <f t="shared" si="549"/>
        <v>-</v>
      </c>
      <c r="T980" t="str">
        <f>IFERROR(INDEX(Katalog!$B$4:$B$13,MATCH('Main Data'!S980,Katalog!$C$4:$C$13,0)),"-")</f>
        <v>-</v>
      </c>
      <c r="U980" t="str">
        <f>IFERROR(VLOOKUP(S980,Katalog!$A$15:$B$25,2,0),"-")</f>
        <v>-</v>
      </c>
      <c r="V980">
        <f t="shared" si="550"/>
        <v>0</v>
      </c>
      <c r="W980" s="28" t="str">
        <f t="shared" si="551"/>
        <v>-</v>
      </c>
      <c r="X980" s="18">
        <f>IFERROR(VLOOKUP(S980,Katalog!$C$3:$F$13,2,0),0)</f>
        <v>0</v>
      </c>
      <c r="Y980" s="30">
        <f>IFERROR(VLOOKUP(S980,Katalog!$C$3:$F$13,3,0),0)</f>
        <v>0</v>
      </c>
      <c r="Z980" s="2">
        <f t="shared" si="552"/>
        <v>6</v>
      </c>
      <c r="AA980" s="4">
        <f t="shared" si="553"/>
        <v>1100000</v>
      </c>
      <c r="AB980" s="4">
        <f t="shared" si="554"/>
        <v>540000</v>
      </c>
      <c r="AC980" s="4" t="s">
        <v>31</v>
      </c>
      <c r="AD980" s="16">
        <f>IFERROR(VLOOKUP(AC980,'Kode Diskon'!$C$2:$D$9,2,0),0)</f>
        <v>0.15</v>
      </c>
      <c r="AE980" s="31">
        <f t="shared" si="555"/>
        <v>165000</v>
      </c>
      <c r="AF980" s="31">
        <f t="shared" si="556"/>
        <v>935000</v>
      </c>
      <c r="AG980" s="31">
        <f t="shared" si="557"/>
        <v>560000</v>
      </c>
      <c r="AH980" s="31">
        <f t="shared" si="558"/>
        <v>395000</v>
      </c>
      <c r="AI980" s="4" t="s">
        <v>8</v>
      </c>
      <c r="AJ980" s="4" t="s">
        <v>11</v>
      </c>
      <c r="AK980" s="4" t="str">
        <f>IFERROR(VLOOKUP(AJ980,'Guide '!$A$13:$B$16,2,0),"-")</f>
        <v>BL</v>
      </c>
      <c r="AL980" s="4" t="s">
        <v>925</v>
      </c>
      <c r="AM980" s="40">
        <v>45650</v>
      </c>
      <c r="AN980">
        <f t="shared" si="559"/>
        <v>29</v>
      </c>
      <c r="AO980">
        <f t="shared" si="560"/>
        <v>32</v>
      </c>
      <c r="AP980">
        <f t="shared" si="561"/>
        <v>40</v>
      </c>
      <c r="AQ980">
        <f t="shared" si="562"/>
        <v>43</v>
      </c>
      <c r="AR980" s="26">
        <f t="shared" si="563"/>
        <v>56</v>
      </c>
      <c r="AS980" s="26">
        <f t="shared" si="564"/>
        <v>63</v>
      </c>
      <c r="AT980" s="21">
        <f t="shared" si="565"/>
        <v>12</v>
      </c>
      <c r="AU980" s="21">
        <f t="shared" si="566"/>
        <v>19</v>
      </c>
      <c r="AV980">
        <f t="shared" si="567"/>
        <v>73</v>
      </c>
      <c r="AW980">
        <f t="shared" si="568"/>
        <v>76</v>
      </c>
      <c r="AX980">
        <f t="shared" si="569"/>
        <v>84</v>
      </c>
      <c r="AY980">
        <f t="shared" si="570"/>
        <v>87</v>
      </c>
      <c r="AZ980" t="str">
        <f t="shared" si="571"/>
        <v>-</v>
      </c>
      <c r="BA980" t="str">
        <f t="shared" si="572"/>
        <v>-</v>
      </c>
      <c r="BB980" t="str">
        <f t="shared" si="573"/>
        <v>-</v>
      </c>
      <c r="BC980" t="str">
        <f t="shared" si="574"/>
        <v>-</v>
      </c>
      <c r="BD980" s="29" t="str">
        <f t="shared" si="575"/>
        <v>-</v>
      </c>
      <c r="BE980" s="29" t="str">
        <f t="shared" si="576"/>
        <v>-</v>
      </c>
    </row>
    <row r="981" spans="1:57" ht="15" x14ac:dyDescent="0.2">
      <c r="A981" s="2">
        <v>759</v>
      </c>
      <c r="B981" s="2" t="str">
        <f t="shared" si="541"/>
        <v>0759</v>
      </c>
      <c r="C981" t="str">
        <f t="shared" si="542"/>
        <v>ORD-BL-0759-25/12/24</v>
      </c>
      <c r="D981" s="3" t="s">
        <v>737</v>
      </c>
      <c r="E981" t="str">
        <f t="shared" si="543"/>
        <v>PP001</v>
      </c>
      <c r="F981" t="str">
        <f>INDEX(Katalog!$B$4:$B$13,MATCH('Main Data'!E981,Katalog!$C$4:$C$13,0))</f>
        <v>Kaos Polo</v>
      </c>
      <c r="G981" t="str">
        <f>VLOOKUP(E981,Katalog!$A$15:$B$25,2,0)</f>
        <v>Pakaian Pria</v>
      </c>
      <c r="H981" t="str">
        <f t="shared" si="544"/>
        <v>4</v>
      </c>
      <c r="I981" t="str">
        <f t="shared" si="545"/>
        <v>5</v>
      </c>
      <c r="J981" s="18">
        <f>VLOOKUP(E981,Katalog!$C$3:$F$13,2,0)</f>
        <v>80000</v>
      </c>
      <c r="K981" s="18">
        <f>VLOOKUP(E981,Katalog!$C$3:$F$13,3,0)</f>
        <v>30000</v>
      </c>
      <c r="L981" t="str">
        <f t="shared" si="546"/>
        <v>-</v>
      </c>
      <c r="M981" t="str">
        <f>IFERROR(INDEX(Katalog!$B$4:$B$13,MATCH('Main Data'!L981,Katalog!$C$4:$C$13,0)), "-")</f>
        <v>-</v>
      </c>
      <c r="N981" t="str">
        <f>IFERROR(VLOOKUP(L981,Katalog!$A$15:$B$25,2,0),"-")</f>
        <v>-</v>
      </c>
      <c r="O981">
        <f t="shared" si="547"/>
        <v>0</v>
      </c>
      <c r="P981" t="str">
        <f t="shared" si="548"/>
        <v>-</v>
      </c>
      <c r="Q981" s="18">
        <f>IFERROR(VLOOKUP(L981,Katalog!$C$3:$F$13,2,0),0)</f>
        <v>0</v>
      </c>
      <c r="R981" s="18">
        <f>IFERROR(VLOOKUP(L981,Katalog!$C$3:$F$13,3,0),0)</f>
        <v>0</v>
      </c>
      <c r="S981" t="str">
        <f t="shared" si="549"/>
        <v>-</v>
      </c>
      <c r="T981" t="str">
        <f>IFERROR(INDEX(Katalog!$B$4:$B$13,MATCH('Main Data'!S981,Katalog!$C$4:$C$13,0)),"-")</f>
        <v>-</v>
      </c>
      <c r="U981" t="str">
        <f>IFERROR(VLOOKUP(S981,Katalog!$A$15:$B$25,2,0),"-")</f>
        <v>-</v>
      </c>
      <c r="V981">
        <f t="shared" si="550"/>
        <v>0</v>
      </c>
      <c r="W981" s="28" t="str">
        <f t="shared" si="551"/>
        <v>-</v>
      </c>
      <c r="X981" s="18">
        <f>IFERROR(VLOOKUP(S981,Katalog!$C$3:$F$13,2,0),0)</f>
        <v>0</v>
      </c>
      <c r="Y981" s="30">
        <f>IFERROR(VLOOKUP(S981,Katalog!$C$3:$F$13,3,0),0)</f>
        <v>0</v>
      </c>
      <c r="Z981" s="2">
        <f t="shared" si="552"/>
        <v>4</v>
      </c>
      <c r="AA981" s="4">
        <f t="shared" si="553"/>
        <v>320000</v>
      </c>
      <c r="AB981" s="4">
        <f t="shared" si="554"/>
        <v>120000</v>
      </c>
      <c r="AC981" s="4" t="s">
        <v>31</v>
      </c>
      <c r="AD981" s="16">
        <f>IFERROR(VLOOKUP(AC981,'Kode Diskon'!$C$2:$D$9,2,0),0)</f>
        <v>0.15</v>
      </c>
      <c r="AE981" s="31">
        <f t="shared" si="555"/>
        <v>48000</v>
      </c>
      <c r="AF981" s="31">
        <f t="shared" si="556"/>
        <v>272000</v>
      </c>
      <c r="AG981" s="31">
        <f t="shared" si="557"/>
        <v>200000</v>
      </c>
      <c r="AH981" s="31">
        <f t="shared" si="558"/>
        <v>152000</v>
      </c>
      <c r="AI981" s="4" t="s">
        <v>8</v>
      </c>
      <c r="AJ981" s="4" t="s">
        <v>11</v>
      </c>
      <c r="AK981" s="4" t="str">
        <f>IFERROR(VLOOKUP(AJ981,'Guide '!$A$13:$B$16,2,0),"-")</f>
        <v>BL</v>
      </c>
      <c r="AL981" s="4" t="s">
        <v>921</v>
      </c>
      <c r="AM981" s="40">
        <v>45651</v>
      </c>
      <c r="AN981">
        <f t="shared" si="559"/>
        <v>29</v>
      </c>
      <c r="AO981">
        <f t="shared" si="560"/>
        <v>32</v>
      </c>
      <c r="AP981">
        <f t="shared" si="561"/>
        <v>40</v>
      </c>
      <c r="AQ981">
        <f t="shared" si="562"/>
        <v>43</v>
      </c>
      <c r="AR981" s="26" t="str">
        <f t="shared" si="563"/>
        <v>-</v>
      </c>
      <c r="AS981" s="26" t="str">
        <f t="shared" si="564"/>
        <v>-</v>
      </c>
      <c r="AT981" s="21">
        <f t="shared" si="565"/>
        <v>12</v>
      </c>
      <c r="AU981" s="21">
        <f t="shared" si="566"/>
        <v>19</v>
      </c>
      <c r="AV981" t="str">
        <f t="shared" si="567"/>
        <v>-</v>
      </c>
      <c r="AW981" t="str">
        <f t="shared" si="568"/>
        <v>-</v>
      </c>
      <c r="AX981" t="str">
        <f t="shared" si="569"/>
        <v>-</v>
      </c>
      <c r="AY981" t="str">
        <f t="shared" si="570"/>
        <v>-</v>
      </c>
      <c r="AZ981" t="str">
        <f t="shared" si="571"/>
        <v>-</v>
      </c>
      <c r="BA981" t="str">
        <f t="shared" si="572"/>
        <v>-</v>
      </c>
      <c r="BB981" t="str">
        <f t="shared" si="573"/>
        <v>-</v>
      </c>
      <c r="BC981" t="str">
        <f t="shared" si="574"/>
        <v>-</v>
      </c>
      <c r="BD981" s="29" t="str">
        <f t="shared" si="575"/>
        <v>-</v>
      </c>
      <c r="BE981" s="29" t="str">
        <f t="shared" si="576"/>
        <v>-</v>
      </c>
    </row>
    <row r="982" spans="1:57" ht="15" x14ac:dyDescent="0.2">
      <c r="A982" s="2">
        <v>825</v>
      </c>
      <c r="B982" s="2" t="str">
        <f t="shared" si="541"/>
        <v>0825</v>
      </c>
      <c r="C982" t="str">
        <f t="shared" si="542"/>
        <v>ORD-BL-0825-25/12/24</v>
      </c>
      <c r="D982" s="3" t="s">
        <v>785</v>
      </c>
      <c r="E982" t="str">
        <f t="shared" si="543"/>
        <v>SW001</v>
      </c>
      <c r="F982" t="str">
        <f>INDEX(Katalog!$B$4:$B$13,MATCH('Main Data'!E982,Katalog!$C$4:$C$13,0))</f>
        <v>Flat Shoes</v>
      </c>
      <c r="G982" t="str">
        <f>VLOOKUP(E982,Katalog!$A$15:$B$25,2,0)</f>
        <v>Sepatu Wanita</v>
      </c>
      <c r="H982" t="str">
        <f t="shared" si="544"/>
        <v>2</v>
      </c>
      <c r="I982" t="str">
        <f t="shared" si="545"/>
        <v>2</v>
      </c>
      <c r="J982" s="18">
        <f>VLOOKUP(E982,Katalog!$C$3:$F$13,2,0)</f>
        <v>150000</v>
      </c>
      <c r="K982" s="18">
        <f>VLOOKUP(E982,Katalog!$C$3:$F$13,3,0)</f>
        <v>70000</v>
      </c>
      <c r="L982" t="str">
        <f t="shared" si="546"/>
        <v>PW002</v>
      </c>
      <c r="M982" t="str">
        <f>IFERROR(INDEX(Katalog!$B$4:$B$13,MATCH('Main Data'!L982,Katalog!$C$4:$C$13,0)), "-")</f>
        <v>Blouse</v>
      </c>
      <c r="N982" t="str">
        <f>IFERROR(VLOOKUP(L982,Katalog!$A$15:$B$25,2,0),"-")</f>
        <v>Pakaian Wanita</v>
      </c>
      <c r="O982" t="str">
        <f t="shared" si="547"/>
        <v>4</v>
      </c>
      <c r="P982" t="str">
        <f t="shared" si="548"/>
        <v>1</v>
      </c>
      <c r="Q982" s="18">
        <f>IFERROR(VLOOKUP(L982,Katalog!$C$3:$F$13,2,0),0)</f>
        <v>125000</v>
      </c>
      <c r="R982" s="18">
        <f>IFERROR(VLOOKUP(L982,Katalog!$C$3:$F$13,3,0),0)</f>
        <v>50000</v>
      </c>
      <c r="S982" t="str">
        <f t="shared" si="549"/>
        <v>-</v>
      </c>
      <c r="T982" t="str">
        <f>IFERROR(INDEX(Katalog!$B$4:$B$13,MATCH('Main Data'!S982,Katalog!$C$4:$C$13,0)),"-")</f>
        <v>-</v>
      </c>
      <c r="U982" t="str">
        <f>IFERROR(VLOOKUP(S982,Katalog!$A$15:$B$25,2,0),"-")</f>
        <v>-</v>
      </c>
      <c r="V982">
        <f t="shared" si="550"/>
        <v>0</v>
      </c>
      <c r="W982" s="28" t="str">
        <f t="shared" si="551"/>
        <v>-</v>
      </c>
      <c r="X982" s="18">
        <f>IFERROR(VLOOKUP(S982,Katalog!$C$3:$F$13,2,0),0)</f>
        <v>0</v>
      </c>
      <c r="Y982" s="30">
        <f>IFERROR(VLOOKUP(S982,Katalog!$C$3:$F$13,3,0),0)</f>
        <v>0</v>
      </c>
      <c r="Z982" s="2">
        <f t="shared" si="552"/>
        <v>6</v>
      </c>
      <c r="AA982" s="4">
        <f t="shared" si="553"/>
        <v>800000</v>
      </c>
      <c r="AB982" s="4">
        <f t="shared" si="554"/>
        <v>340000</v>
      </c>
      <c r="AC982" s="4" t="s">
        <v>31</v>
      </c>
      <c r="AD982" s="16">
        <f>IFERROR(VLOOKUP(AC982,'Kode Diskon'!$C$2:$D$9,2,0),0)</f>
        <v>0.15</v>
      </c>
      <c r="AE982" s="31">
        <f t="shared" si="555"/>
        <v>120000</v>
      </c>
      <c r="AF982" s="31">
        <f t="shared" si="556"/>
        <v>680000</v>
      </c>
      <c r="AG982" s="31">
        <f t="shared" si="557"/>
        <v>460000</v>
      </c>
      <c r="AH982" s="31">
        <f t="shared" si="558"/>
        <v>340000</v>
      </c>
      <c r="AI982" s="4" t="s">
        <v>8</v>
      </c>
      <c r="AJ982" s="4" t="s">
        <v>11</v>
      </c>
      <c r="AK982" s="4" t="str">
        <f>IFERROR(VLOOKUP(AJ982,'Guide '!$A$13:$B$16,2,0),"-")</f>
        <v>BL</v>
      </c>
      <c r="AL982" s="4" t="s">
        <v>925</v>
      </c>
      <c r="AM982" s="40">
        <v>45651</v>
      </c>
      <c r="AN982">
        <f t="shared" si="559"/>
        <v>29</v>
      </c>
      <c r="AO982">
        <f t="shared" si="560"/>
        <v>32</v>
      </c>
      <c r="AP982">
        <f t="shared" si="561"/>
        <v>40</v>
      </c>
      <c r="AQ982">
        <f t="shared" si="562"/>
        <v>43</v>
      </c>
      <c r="AR982" s="26">
        <f t="shared" si="563"/>
        <v>56</v>
      </c>
      <c r="AS982" s="26">
        <f t="shared" si="564"/>
        <v>63</v>
      </c>
      <c r="AT982" s="21">
        <f t="shared" si="565"/>
        <v>12</v>
      </c>
      <c r="AU982" s="21">
        <f t="shared" si="566"/>
        <v>19</v>
      </c>
      <c r="AV982">
        <f t="shared" si="567"/>
        <v>73</v>
      </c>
      <c r="AW982">
        <f t="shared" si="568"/>
        <v>76</v>
      </c>
      <c r="AX982">
        <f t="shared" si="569"/>
        <v>84</v>
      </c>
      <c r="AY982">
        <f t="shared" si="570"/>
        <v>87</v>
      </c>
      <c r="AZ982" t="str">
        <f t="shared" si="571"/>
        <v>-</v>
      </c>
      <c r="BA982" t="str">
        <f t="shared" si="572"/>
        <v>-</v>
      </c>
      <c r="BB982" t="str">
        <f t="shared" si="573"/>
        <v>-</v>
      </c>
      <c r="BC982" t="str">
        <f t="shared" si="574"/>
        <v>-</v>
      </c>
      <c r="BD982" s="29" t="str">
        <f t="shared" si="575"/>
        <v>-</v>
      </c>
      <c r="BE982" s="29" t="str">
        <f t="shared" si="576"/>
        <v>-</v>
      </c>
    </row>
    <row r="983" spans="1:57" ht="15" x14ac:dyDescent="0.2">
      <c r="A983" s="2">
        <v>940</v>
      </c>
      <c r="B983" s="2" t="str">
        <f t="shared" si="541"/>
        <v>0940</v>
      </c>
      <c r="C983" t="str">
        <f t="shared" si="542"/>
        <v>ORD-TK-0940-25/12/24</v>
      </c>
      <c r="D983" s="3" t="s">
        <v>872</v>
      </c>
      <c r="E983" t="str">
        <f t="shared" si="543"/>
        <v>SP001</v>
      </c>
      <c r="F983" t="str">
        <f>INDEX(Katalog!$B$4:$B$13,MATCH('Main Data'!E983,Katalog!$C$4:$C$13,0))</f>
        <v>Sneakers</v>
      </c>
      <c r="G983" t="str">
        <f>VLOOKUP(E983,Katalog!$A$15:$B$25,2,0)</f>
        <v>Sepatu Pria</v>
      </c>
      <c r="H983" t="str">
        <f t="shared" si="544"/>
        <v>2</v>
      </c>
      <c r="I983" t="str">
        <f t="shared" si="545"/>
        <v>5</v>
      </c>
      <c r="J983" s="18">
        <f>VLOOKUP(E983,Katalog!$C$3:$F$13,2,0)</f>
        <v>300000</v>
      </c>
      <c r="K983" s="18">
        <f>VLOOKUP(E983,Katalog!$C$3:$F$13,3,0)</f>
        <v>100000</v>
      </c>
      <c r="L983" t="str">
        <f t="shared" si="546"/>
        <v>-</v>
      </c>
      <c r="M983" t="str">
        <f>IFERROR(INDEX(Katalog!$B$4:$B$13,MATCH('Main Data'!L983,Katalog!$C$4:$C$13,0)), "-")</f>
        <v>-</v>
      </c>
      <c r="N983" t="str">
        <f>IFERROR(VLOOKUP(L983,Katalog!$A$15:$B$25,2,0),"-")</f>
        <v>-</v>
      </c>
      <c r="O983">
        <f t="shared" si="547"/>
        <v>0</v>
      </c>
      <c r="P983" t="str">
        <f t="shared" si="548"/>
        <v>-</v>
      </c>
      <c r="Q983" s="18">
        <f>IFERROR(VLOOKUP(L983,Katalog!$C$3:$F$13,2,0),0)</f>
        <v>0</v>
      </c>
      <c r="R983" s="18">
        <f>IFERROR(VLOOKUP(L983,Katalog!$C$3:$F$13,3,0),0)</f>
        <v>0</v>
      </c>
      <c r="S983" t="str">
        <f t="shared" si="549"/>
        <v>-</v>
      </c>
      <c r="T983" t="str">
        <f>IFERROR(INDEX(Katalog!$B$4:$B$13,MATCH('Main Data'!S983,Katalog!$C$4:$C$13,0)),"-")</f>
        <v>-</v>
      </c>
      <c r="U983" t="str">
        <f>IFERROR(VLOOKUP(S983,Katalog!$A$15:$B$25,2,0),"-")</f>
        <v>-</v>
      </c>
      <c r="V983">
        <f t="shared" si="550"/>
        <v>0</v>
      </c>
      <c r="W983" s="28" t="str">
        <f t="shared" si="551"/>
        <v>-</v>
      </c>
      <c r="X983" s="18">
        <f>IFERROR(VLOOKUP(S983,Katalog!$C$3:$F$13,2,0),0)</f>
        <v>0</v>
      </c>
      <c r="Y983" s="30">
        <f>IFERROR(VLOOKUP(S983,Katalog!$C$3:$F$13,3,0),0)</f>
        <v>0</v>
      </c>
      <c r="Z983" s="2">
        <f t="shared" si="552"/>
        <v>2</v>
      </c>
      <c r="AA983" s="4">
        <f t="shared" si="553"/>
        <v>600000</v>
      </c>
      <c r="AB983" s="4">
        <f t="shared" si="554"/>
        <v>200000</v>
      </c>
      <c r="AC983" s="4" t="s">
        <v>29</v>
      </c>
      <c r="AD983" s="16">
        <f>IFERROR(VLOOKUP(AC983,'Kode Diskon'!$C$2:$D$9,2,0),0)</f>
        <v>0.1</v>
      </c>
      <c r="AE983" s="31">
        <f t="shared" si="555"/>
        <v>60000</v>
      </c>
      <c r="AF983" s="31">
        <f t="shared" si="556"/>
        <v>540000</v>
      </c>
      <c r="AG983" s="31">
        <f t="shared" si="557"/>
        <v>400000</v>
      </c>
      <c r="AH983" s="31">
        <f t="shared" si="558"/>
        <v>340000</v>
      </c>
      <c r="AI983" s="4" t="s">
        <v>28</v>
      </c>
      <c r="AJ983" s="4" t="s">
        <v>9</v>
      </c>
      <c r="AK983" s="4" t="str">
        <f>IFERROR(VLOOKUP(AJ983,'Guide '!$A$13:$B$16,2,0),"-")</f>
        <v>TK</v>
      </c>
      <c r="AL983" s="4" t="s">
        <v>924</v>
      </c>
      <c r="AM983" s="40">
        <v>45651</v>
      </c>
      <c r="AN983">
        <f t="shared" si="559"/>
        <v>29</v>
      </c>
      <c r="AO983">
        <f t="shared" si="560"/>
        <v>32</v>
      </c>
      <c r="AP983">
        <f t="shared" si="561"/>
        <v>40</v>
      </c>
      <c r="AQ983">
        <f t="shared" si="562"/>
        <v>43</v>
      </c>
      <c r="AR983" s="26" t="str">
        <f t="shared" si="563"/>
        <v>-</v>
      </c>
      <c r="AS983" s="26" t="str">
        <f t="shared" si="564"/>
        <v>-</v>
      </c>
      <c r="AT983" s="21">
        <f t="shared" si="565"/>
        <v>12</v>
      </c>
      <c r="AU983" s="21">
        <f t="shared" si="566"/>
        <v>19</v>
      </c>
      <c r="AV983" t="str">
        <f t="shared" si="567"/>
        <v>-</v>
      </c>
      <c r="AW983" t="str">
        <f t="shared" si="568"/>
        <v>-</v>
      </c>
      <c r="AX983" t="str">
        <f t="shared" si="569"/>
        <v>-</v>
      </c>
      <c r="AY983" t="str">
        <f t="shared" si="570"/>
        <v>-</v>
      </c>
      <c r="AZ983" t="str">
        <f t="shared" si="571"/>
        <v>-</v>
      </c>
      <c r="BA983" t="str">
        <f t="shared" si="572"/>
        <v>-</v>
      </c>
      <c r="BB983" t="str">
        <f t="shared" si="573"/>
        <v>-</v>
      </c>
      <c r="BC983" t="str">
        <f t="shared" si="574"/>
        <v>-</v>
      </c>
      <c r="BD983" s="29" t="str">
        <f t="shared" si="575"/>
        <v>-</v>
      </c>
      <c r="BE983" s="29" t="str">
        <f t="shared" si="576"/>
        <v>-</v>
      </c>
    </row>
    <row r="984" spans="1:57" ht="15" x14ac:dyDescent="0.2">
      <c r="A984" s="2">
        <v>957</v>
      </c>
      <c r="B984" s="2" t="str">
        <f t="shared" si="541"/>
        <v>0957</v>
      </c>
      <c r="C984" t="str">
        <f t="shared" si="542"/>
        <v>ORD-BL-0957-26/12/24</v>
      </c>
      <c r="D984" s="3" t="s">
        <v>887</v>
      </c>
      <c r="E984" t="str">
        <f t="shared" si="543"/>
        <v>SW001</v>
      </c>
      <c r="F984" t="str">
        <f>INDEX(Katalog!$B$4:$B$13,MATCH('Main Data'!E984,Katalog!$C$4:$C$13,0))</f>
        <v>Flat Shoes</v>
      </c>
      <c r="G984" t="str">
        <f>VLOOKUP(E984,Katalog!$A$15:$B$25,2,0)</f>
        <v>Sepatu Wanita</v>
      </c>
      <c r="H984" t="str">
        <f t="shared" si="544"/>
        <v>5</v>
      </c>
      <c r="I984" t="str">
        <f t="shared" si="545"/>
        <v>4</v>
      </c>
      <c r="J984" s="18">
        <f>VLOOKUP(E984,Katalog!$C$3:$F$13,2,0)</f>
        <v>150000</v>
      </c>
      <c r="K984" s="18">
        <f>VLOOKUP(E984,Katalog!$C$3:$F$13,3,0)</f>
        <v>70000</v>
      </c>
      <c r="L984" t="str">
        <f t="shared" si="546"/>
        <v>SW001</v>
      </c>
      <c r="M984" t="str">
        <f>IFERROR(INDEX(Katalog!$B$4:$B$13,MATCH('Main Data'!L984,Katalog!$C$4:$C$13,0)), "-")</f>
        <v>Flat Shoes</v>
      </c>
      <c r="N984" t="str">
        <f>IFERROR(VLOOKUP(L984,Katalog!$A$15:$B$25,2,0),"-")</f>
        <v>Sepatu Wanita</v>
      </c>
      <c r="O984" t="str">
        <f t="shared" si="547"/>
        <v>1</v>
      </c>
      <c r="P984" t="str">
        <f t="shared" si="548"/>
        <v>2</v>
      </c>
      <c r="Q984" s="18">
        <f>IFERROR(VLOOKUP(L984,Katalog!$C$3:$F$13,2,0),0)</f>
        <v>150000</v>
      </c>
      <c r="R984" s="18">
        <f>IFERROR(VLOOKUP(L984,Katalog!$C$3:$F$13,3,0),0)</f>
        <v>70000</v>
      </c>
      <c r="S984" t="str">
        <f t="shared" si="549"/>
        <v>-</v>
      </c>
      <c r="T984" t="str">
        <f>IFERROR(INDEX(Katalog!$B$4:$B$13,MATCH('Main Data'!S984,Katalog!$C$4:$C$13,0)),"-")</f>
        <v>-</v>
      </c>
      <c r="U984" t="str">
        <f>IFERROR(VLOOKUP(S984,Katalog!$A$15:$B$25,2,0),"-")</f>
        <v>-</v>
      </c>
      <c r="V984">
        <f t="shared" si="550"/>
        <v>0</v>
      </c>
      <c r="W984" s="28" t="str">
        <f t="shared" si="551"/>
        <v>-</v>
      </c>
      <c r="X984" s="18">
        <f>IFERROR(VLOOKUP(S984,Katalog!$C$3:$F$13,2,0),0)</f>
        <v>0</v>
      </c>
      <c r="Y984" s="30">
        <f>IFERROR(VLOOKUP(S984,Katalog!$C$3:$F$13,3,0),0)</f>
        <v>0</v>
      </c>
      <c r="Z984" s="2">
        <f t="shared" si="552"/>
        <v>6</v>
      </c>
      <c r="AA984" s="4">
        <f t="shared" si="553"/>
        <v>900000</v>
      </c>
      <c r="AB984" s="4">
        <f t="shared" si="554"/>
        <v>420000</v>
      </c>
      <c r="AC984" s="4" t="s">
        <v>31</v>
      </c>
      <c r="AD984" s="16">
        <f>IFERROR(VLOOKUP(AC984,'Kode Diskon'!$C$2:$D$9,2,0),0)</f>
        <v>0.15</v>
      </c>
      <c r="AE984" s="31">
        <f t="shared" si="555"/>
        <v>135000</v>
      </c>
      <c r="AF984" s="31">
        <f t="shared" si="556"/>
        <v>765000</v>
      </c>
      <c r="AG984" s="31">
        <f t="shared" si="557"/>
        <v>480000</v>
      </c>
      <c r="AH984" s="31">
        <f t="shared" si="558"/>
        <v>345000</v>
      </c>
      <c r="AI984" s="4" t="s">
        <v>8</v>
      </c>
      <c r="AJ984" s="4" t="s">
        <v>11</v>
      </c>
      <c r="AK984" s="4" t="str">
        <f>IFERROR(VLOOKUP(AJ984,'Guide '!$A$13:$B$16,2,0),"-")</f>
        <v>BL</v>
      </c>
      <c r="AL984" s="4" t="s">
        <v>925</v>
      </c>
      <c r="AM984" s="40">
        <v>45652</v>
      </c>
      <c r="AN984">
        <f t="shared" si="559"/>
        <v>29</v>
      </c>
      <c r="AO984">
        <f t="shared" si="560"/>
        <v>32</v>
      </c>
      <c r="AP984">
        <f t="shared" si="561"/>
        <v>40</v>
      </c>
      <c r="AQ984">
        <f t="shared" si="562"/>
        <v>43</v>
      </c>
      <c r="AR984" s="26">
        <f t="shared" si="563"/>
        <v>56</v>
      </c>
      <c r="AS984" s="26">
        <f t="shared" si="564"/>
        <v>63</v>
      </c>
      <c r="AT984" s="21">
        <f t="shared" si="565"/>
        <v>12</v>
      </c>
      <c r="AU984" s="21">
        <f t="shared" si="566"/>
        <v>19</v>
      </c>
      <c r="AV984">
        <f t="shared" si="567"/>
        <v>73</v>
      </c>
      <c r="AW984">
        <f t="shared" si="568"/>
        <v>76</v>
      </c>
      <c r="AX984">
        <f t="shared" si="569"/>
        <v>84</v>
      </c>
      <c r="AY984">
        <f t="shared" si="570"/>
        <v>87</v>
      </c>
      <c r="AZ984" t="str">
        <f t="shared" si="571"/>
        <v>-</v>
      </c>
      <c r="BA984" t="str">
        <f t="shared" si="572"/>
        <v>-</v>
      </c>
      <c r="BB984" t="str">
        <f t="shared" si="573"/>
        <v>-</v>
      </c>
      <c r="BC984" t="str">
        <f t="shared" si="574"/>
        <v>-</v>
      </c>
      <c r="BD984" s="29" t="str">
        <f t="shared" si="575"/>
        <v>-</v>
      </c>
      <c r="BE984" s="29" t="str">
        <f t="shared" si="576"/>
        <v>-</v>
      </c>
    </row>
    <row r="985" spans="1:57" ht="15" x14ac:dyDescent="0.2">
      <c r="A985" s="2">
        <v>76</v>
      </c>
      <c r="B985" s="2" t="str">
        <f t="shared" si="541"/>
        <v>0076</v>
      </c>
      <c r="C985" t="str">
        <f t="shared" si="542"/>
        <v>ORD-SP-0076-27/12/24</v>
      </c>
      <c r="D985" s="3" t="s">
        <v>149</v>
      </c>
      <c r="E985" t="str">
        <f t="shared" si="543"/>
        <v>PW002</v>
      </c>
      <c r="F985" t="str">
        <f>INDEX(Katalog!$B$4:$B$13,MATCH('Main Data'!E985,Katalog!$C$4:$C$13,0))</f>
        <v>Blouse</v>
      </c>
      <c r="G985" t="str">
        <f>VLOOKUP(E985,Katalog!$A$15:$B$25,2,0)</f>
        <v>Pakaian Wanita</v>
      </c>
      <c r="H985" t="str">
        <f t="shared" si="544"/>
        <v>3</v>
      </c>
      <c r="I985" t="str">
        <f t="shared" si="545"/>
        <v>1</v>
      </c>
      <c r="J985" s="18">
        <f>VLOOKUP(E985,Katalog!$C$3:$F$13,2,0)</f>
        <v>125000</v>
      </c>
      <c r="K985" s="18">
        <f>VLOOKUP(E985,Katalog!$C$3:$F$13,3,0)</f>
        <v>50000</v>
      </c>
      <c r="L985" t="str">
        <f t="shared" si="546"/>
        <v>-</v>
      </c>
      <c r="M985" t="str">
        <f>IFERROR(INDEX(Katalog!$B$4:$B$13,MATCH('Main Data'!L985,Katalog!$C$4:$C$13,0)), "-")</f>
        <v>-</v>
      </c>
      <c r="N985" t="str">
        <f>IFERROR(VLOOKUP(L985,Katalog!$A$15:$B$25,2,0),"-")</f>
        <v>-</v>
      </c>
      <c r="O985">
        <f t="shared" si="547"/>
        <v>0</v>
      </c>
      <c r="P985" t="str">
        <f t="shared" si="548"/>
        <v>-</v>
      </c>
      <c r="Q985" s="18">
        <f>IFERROR(VLOOKUP(L985,Katalog!$C$3:$F$13,2,0),0)</f>
        <v>0</v>
      </c>
      <c r="R985" s="18">
        <f>IFERROR(VLOOKUP(L985,Katalog!$C$3:$F$13,3,0),0)</f>
        <v>0</v>
      </c>
      <c r="S985" t="str">
        <f t="shared" si="549"/>
        <v>-</v>
      </c>
      <c r="T985" t="str">
        <f>IFERROR(INDEX(Katalog!$B$4:$B$13,MATCH('Main Data'!S985,Katalog!$C$4:$C$13,0)),"-")</f>
        <v>-</v>
      </c>
      <c r="U985" t="str">
        <f>IFERROR(VLOOKUP(S985,Katalog!$A$15:$B$25,2,0),"-")</f>
        <v>-</v>
      </c>
      <c r="V985">
        <f t="shared" si="550"/>
        <v>0</v>
      </c>
      <c r="W985" s="28" t="str">
        <f t="shared" si="551"/>
        <v>-</v>
      </c>
      <c r="X985" s="18">
        <f>IFERROR(VLOOKUP(S985,Katalog!$C$3:$F$13,2,0),0)</f>
        <v>0</v>
      </c>
      <c r="Y985" s="30">
        <f>IFERROR(VLOOKUP(S985,Katalog!$C$3:$F$13,3,0),0)</f>
        <v>0</v>
      </c>
      <c r="Z985" s="2">
        <f t="shared" si="552"/>
        <v>3</v>
      </c>
      <c r="AA985" s="4">
        <f t="shared" si="553"/>
        <v>375000</v>
      </c>
      <c r="AB985" s="4">
        <f t="shared" si="554"/>
        <v>150000</v>
      </c>
      <c r="AC985" s="4" t="s">
        <v>7</v>
      </c>
      <c r="AD985" s="16">
        <f>IFERROR(VLOOKUP(AC985,'Kode Diskon'!$C$2:$D$9,2,0),0)</f>
        <v>0.2</v>
      </c>
      <c r="AE985" s="31">
        <f t="shared" si="555"/>
        <v>75000</v>
      </c>
      <c r="AF985" s="31">
        <f t="shared" si="556"/>
        <v>300000</v>
      </c>
      <c r="AG985" s="31">
        <f t="shared" si="557"/>
        <v>225000</v>
      </c>
      <c r="AH985" s="31">
        <f t="shared" si="558"/>
        <v>150000</v>
      </c>
      <c r="AI985" s="4" t="s">
        <v>8</v>
      </c>
      <c r="AJ985" s="4" t="s">
        <v>6</v>
      </c>
      <c r="AK985" s="4" t="str">
        <f>IFERROR(VLOOKUP(AJ985,'Guide '!$A$13:$B$16,2,0),"-")</f>
        <v>SP</v>
      </c>
      <c r="AL985" s="4" t="s">
        <v>921</v>
      </c>
      <c r="AM985" s="40">
        <v>45653</v>
      </c>
      <c r="AN985">
        <f t="shared" si="559"/>
        <v>29</v>
      </c>
      <c r="AO985">
        <f t="shared" si="560"/>
        <v>32</v>
      </c>
      <c r="AP985">
        <f t="shared" si="561"/>
        <v>40</v>
      </c>
      <c r="AQ985">
        <f t="shared" si="562"/>
        <v>43</v>
      </c>
      <c r="AR985" s="26" t="str">
        <f t="shared" si="563"/>
        <v>-</v>
      </c>
      <c r="AS985" s="26" t="str">
        <f t="shared" si="564"/>
        <v>-</v>
      </c>
      <c r="AT985" s="21">
        <f t="shared" si="565"/>
        <v>12</v>
      </c>
      <c r="AU985" s="21">
        <f t="shared" si="566"/>
        <v>19</v>
      </c>
      <c r="AV985" t="str">
        <f t="shared" si="567"/>
        <v>-</v>
      </c>
      <c r="AW985" t="str">
        <f t="shared" si="568"/>
        <v>-</v>
      </c>
      <c r="AX985" t="str">
        <f t="shared" si="569"/>
        <v>-</v>
      </c>
      <c r="AY985" t="str">
        <f t="shared" si="570"/>
        <v>-</v>
      </c>
      <c r="AZ985" t="str">
        <f t="shared" si="571"/>
        <v>-</v>
      </c>
      <c r="BA985" t="str">
        <f t="shared" si="572"/>
        <v>-</v>
      </c>
      <c r="BB985" t="str">
        <f t="shared" si="573"/>
        <v>-</v>
      </c>
      <c r="BC985" t="str">
        <f t="shared" si="574"/>
        <v>-</v>
      </c>
      <c r="BD985" s="29" t="str">
        <f t="shared" si="575"/>
        <v>-</v>
      </c>
      <c r="BE985" s="29" t="str">
        <f t="shared" si="576"/>
        <v>-</v>
      </c>
    </row>
    <row r="986" spans="1:57" ht="15" x14ac:dyDescent="0.2">
      <c r="A986" s="2">
        <v>176</v>
      </c>
      <c r="B986" s="2" t="str">
        <f t="shared" si="541"/>
        <v>0176</v>
      </c>
      <c r="C986" t="str">
        <f t="shared" si="542"/>
        <v>ORD-BL-0176-27/12/24</v>
      </c>
      <c r="D986" s="3" t="s">
        <v>245</v>
      </c>
      <c r="E986" t="str">
        <f t="shared" si="543"/>
        <v>PU001</v>
      </c>
      <c r="F986" t="str">
        <f>INDEX(Katalog!$B$4:$B$13,MATCH('Main Data'!E986,Katalog!$C$4:$C$13,0))</f>
        <v>Jaket Hoodie</v>
      </c>
      <c r="G986" t="str">
        <f>VLOOKUP(E986,Katalog!$A$15:$B$25,2,0)</f>
        <v>Pakaian Unisex</v>
      </c>
      <c r="H986" t="str">
        <f t="shared" si="544"/>
        <v>1</v>
      </c>
      <c r="I986" t="str">
        <f t="shared" si="545"/>
        <v>3</v>
      </c>
      <c r="J986" s="18">
        <f>VLOOKUP(E986,Katalog!$C$3:$F$13,2,0)</f>
        <v>160000</v>
      </c>
      <c r="K986" s="18">
        <f>VLOOKUP(E986,Katalog!$C$3:$F$13,3,0)</f>
        <v>60000</v>
      </c>
      <c r="L986" t="str">
        <f t="shared" si="546"/>
        <v>PW003</v>
      </c>
      <c r="M986" t="str">
        <f>IFERROR(INDEX(Katalog!$B$4:$B$13,MATCH('Main Data'!L986,Katalog!$C$4:$C$13,0)), "-")</f>
        <v>Kaftan</v>
      </c>
      <c r="N986" t="str">
        <f>IFERROR(VLOOKUP(L986,Katalog!$A$15:$B$25,2,0),"-")</f>
        <v>Pakaian Wanita</v>
      </c>
      <c r="O986" t="str">
        <f t="shared" si="547"/>
        <v>1</v>
      </c>
      <c r="P986" t="str">
        <f t="shared" si="548"/>
        <v>4</v>
      </c>
      <c r="Q986" s="18">
        <f>IFERROR(VLOOKUP(L986,Katalog!$C$3:$F$13,2,0),0)</f>
        <v>200000</v>
      </c>
      <c r="R986" s="18">
        <f>IFERROR(VLOOKUP(L986,Katalog!$C$3:$F$13,3,0),0)</f>
        <v>100000</v>
      </c>
      <c r="S986" t="str">
        <f t="shared" si="549"/>
        <v>-</v>
      </c>
      <c r="T986" t="str">
        <f>IFERROR(INDEX(Katalog!$B$4:$B$13,MATCH('Main Data'!S986,Katalog!$C$4:$C$13,0)),"-")</f>
        <v>-</v>
      </c>
      <c r="U986" t="str">
        <f>IFERROR(VLOOKUP(S986,Katalog!$A$15:$B$25,2,0),"-")</f>
        <v>-</v>
      </c>
      <c r="V986">
        <f t="shared" si="550"/>
        <v>0</v>
      </c>
      <c r="W986" s="28" t="str">
        <f t="shared" si="551"/>
        <v>-</v>
      </c>
      <c r="X986" s="18">
        <f>IFERROR(VLOOKUP(S986,Katalog!$C$3:$F$13,2,0),0)</f>
        <v>0</v>
      </c>
      <c r="Y986" s="30">
        <f>IFERROR(VLOOKUP(S986,Katalog!$C$3:$F$13,3,0),0)</f>
        <v>0</v>
      </c>
      <c r="Z986" s="2">
        <f t="shared" si="552"/>
        <v>2</v>
      </c>
      <c r="AA986" s="4">
        <f t="shared" si="553"/>
        <v>360000</v>
      </c>
      <c r="AB986" s="4">
        <f t="shared" si="554"/>
        <v>160000</v>
      </c>
      <c r="AC986" s="4" t="s">
        <v>31</v>
      </c>
      <c r="AD986" s="16">
        <f>IFERROR(VLOOKUP(AC986,'Kode Diskon'!$C$2:$D$9,2,0),0)</f>
        <v>0.15</v>
      </c>
      <c r="AE986" s="31">
        <f t="shared" si="555"/>
        <v>54000</v>
      </c>
      <c r="AF986" s="31">
        <f t="shared" si="556"/>
        <v>306000</v>
      </c>
      <c r="AG986" s="31">
        <f t="shared" si="557"/>
        <v>200000</v>
      </c>
      <c r="AH986" s="31">
        <f t="shared" si="558"/>
        <v>146000</v>
      </c>
      <c r="AI986" s="4" t="s">
        <v>8</v>
      </c>
      <c r="AJ986" s="4" t="s">
        <v>11</v>
      </c>
      <c r="AK986" s="4" t="str">
        <f>IFERROR(VLOOKUP(AJ986,'Guide '!$A$13:$B$16,2,0),"-")</f>
        <v>BL</v>
      </c>
      <c r="AL986" s="4" t="s">
        <v>924</v>
      </c>
      <c r="AM986" s="40">
        <v>45653</v>
      </c>
      <c r="AN986">
        <f t="shared" si="559"/>
        <v>29</v>
      </c>
      <c r="AO986">
        <f t="shared" si="560"/>
        <v>32</v>
      </c>
      <c r="AP986">
        <f t="shared" si="561"/>
        <v>40</v>
      </c>
      <c r="AQ986">
        <f t="shared" si="562"/>
        <v>43</v>
      </c>
      <c r="AR986" s="26">
        <f t="shared" si="563"/>
        <v>56</v>
      </c>
      <c r="AS986" s="26">
        <f t="shared" si="564"/>
        <v>63</v>
      </c>
      <c r="AT986" s="21">
        <f t="shared" si="565"/>
        <v>12</v>
      </c>
      <c r="AU986" s="21">
        <f t="shared" si="566"/>
        <v>19</v>
      </c>
      <c r="AV986">
        <f t="shared" si="567"/>
        <v>73</v>
      </c>
      <c r="AW986">
        <f t="shared" si="568"/>
        <v>76</v>
      </c>
      <c r="AX986">
        <f t="shared" si="569"/>
        <v>84</v>
      </c>
      <c r="AY986">
        <f t="shared" si="570"/>
        <v>87</v>
      </c>
      <c r="AZ986" t="str">
        <f t="shared" si="571"/>
        <v>-</v>
      </c>
      <c r="BA986" t="str">
        <f t="shared" si="572"/>
        <v>-</v>
      </c>
      <c r="BB986" t="str">
        <f t="shared" si="573"/>
        <v>-</v>
      </c>
      <c r="BC986" t="str">
        <f t="shared" si="574"/>
        <v>-</v>
      </c>
      <c r="BD986" s="29" t="str">
        <f t="shared" si="575"/>
        <v>-</v>
      </c>
      <c r="BE986" s="29" t="str">
        <f t="shared" si="576"/>
        <v>-</v>
      </c>
    </row>
    <row r="987" spans="1:57" ht="15" x14ac:dyDescent="0.2">
      <c r="A987" s="2">
        <v>87</v>
      </c>
      <c r="B987" s="2" t="str">
        <f t="shared" si="541"/>
        <v>0087</v>
      </c>
      <c r="C987" t="str">
        <f t="shared" si="542"/>
        <v>ORD-BL-0087-28/12/24</v>
      </c>
      <c r="D987" s="3" t="s">
        <v>160</v>
      </c>
      <c r="E987" t="str">
        <f t="shared" si="543"/>
        <v>PP002</v>
      </c>
      <c r="F987" t="str">
        <f>INDEX(Katalog!$B$4:$B$13,MATCH('Main Data'!E987,Katalog!$C$4:$C$13,0))</f>
        <v>Celana Pendek</v>
      </c>
      <c r="G987" t="str">
        <f>VLOOKUP(E987,Katalog!$A$15:$B$25,2,0)</f>
        <v>Pakaian Pria</v>
      </c>
      <c r="H987" t="str">
        <f t="shared" si="544"/>
        <v>5</v>
      </c>
      <c r="I987" t="str">
        <f t="shared" si="545"/>
        <v>2</v>
      </c>
      <c r="J987" s="18">
        <f>VLOOKUP(E987,Katalog!$C$3:$F$13,2,0)</f>
        <v>60000</v>
      </c>
      <c r="K987" s="18">
        <f>VLOOKUP(E987,Katalog!$C$3:$F$13,3,0)</f>
        <v>25000</v>
      </c>
      <c r="L987" t="str">
        <f t="shared" si="546"/>
        <v>SP001</v>
      </c>
      <c r="M987" t="str">
        <f>IFERROR(INDEX(Katalog!$B$4:$B$13,MATCH('Main Data'!L987,Katalog!$C$4:$C$13,0)), "-")</f>
        <v>Sneakers</v>
      </c>
      <c r="N987" t="str">
        <f>IFERROR(VLOOKUP(L987,Katalog!$A$15:$B$25,2,0),"-")</f>
        <v>Sepatu Pria</v>
      </c>
      <c r="O987" t="str">
        <f t="shared" si="547"/>
        <v>1</v>
      </c>
      <c r="P987" t="str">
        <f t="shared" si="548"/>
        <v>4</v>
      </c>
      <c r="Q987" s="18">
        <f>IFERROR(VLOOKUP(L987,Katalog!$C$3:$F$13,2,0),0)</f>
        <v>300000</v>
      </c>
      <c r="R987" s="18">
        <f>IFERROR(VLOOKUP(L987,Katalog!$C$3:$F$13,3,0),0)</f>
        <v>100000</v>
      </c>
      <c r="S987" t="str">
        <f t="shared" si="549"/>
        <v>PW002</v>
      </c>
      <c r="T987" t="str">
        <f>IFERROR(INDEX(Katalog!$B$4:$B$13,MATCH('Main Data'!S987,Katalog!$C$4:$C$13,0)),"-")</f>
        <v>Blouse</v>
      </c>
      <c r="U987" t="str">
        <f>IFERROR(VLOOKUP(S987,Katalog!$A$15:$B$25,2,0),"-")</f>
        <v>Pakaian Wanita</v>
      </c>
      <c r="V987" t="str">
        <f t="shared" si="550"/>
        <v>1</v>
      </c>
      <c r="W987" s="28" t="str">
        <f t="shared" si="551"/>
        <v>4</v>
      </c>
      <c r="X987" s="18">
        <f>IFERROR(VLOOKUP(S987,Katalog!$C$3:$F$13,2,0),0)</f>
        <v>125000</v>
      </c>
      <c r="Y987" s="30">
        <f>IFERROR(VLOOKUP(S987,Katalog!$C$3:$F$13,3,0),0)</f>
        <v>50000</v>
      </c>
      <c r="Z987" s="2">
        <f t="shared" si="552"/>
        <v>7</v>
      </c>
      <c r="AA987" s="4">
        <f t="shared" si="553"/>
        <v>725000</v>
      </c>
      <c r="AB987" s="4">
        <f t="shared" si="554"/>
        <v>275000</v>
      </c>
      <c r="AC987" s="4" t="s">
        <v>31</v>
      </c>
      <c r="AD987" s="16">
        <f>IFERROR(VLOOKUP(AC987,'Kode Diskon'!$C$2:$D$9,2,0),0)</f>
        <v>0.15</v>
      </c>
      <c r="AE987" s="31">
        <f t="shared" si="555"/>
        <v>108750</v>
      </c>
      <c r="AF987" s="31">
        <f t="shared" si="556"/>
        <v>616250</v>
      </c>
      <c r="AG987" s="31">
        <f t="shared" si="557"/>
        <v>450000</v>
      </c>
      <c r="AH987" s="31">
        <f t="shared" si="558"/>
        <v>341250</v>
      </c>
      <c r="AI987" s="4" t="s">
        <v>8</v>
      </c>
      <c r="AJ987" s="4" t="s">
        <v>11</v>
      </c>
      <c r="AK987" s="4" t="str">
        <f>IFERROR(VLOOKUP(AJ987,'Guide '!$A$13:$B$16,2,0),"-")</f>
        <v>BL</v>
      </c>
      <c r="AL987" s="4" t="s">
        <v>921</v>
      </c>
      <c r="AM987" s="40">
        <v>45654</v>
      </c>
      <c r="AN987">
        <f t="shared" si="559"/>
        <v>29</v>
      </c>
      <c r="AO987">
        <f t="shared" si="560"/>
        <v>32</v>
      </c>
      <c r="AP987">
        <f t="shared" si="561"/>
        <v>40</v>
      </c>
      <c r="AQ987">
        <f t="shared" si="562"/>
        <v>43</v>
      </c>
      <c r="AR987" s="26">
        <f t="shared" si="563"/>
        <v>56</v>
      </c>
      <c r="AS987" s="26">
        <f t="shared" si="564"/>
        <v>63</v>
      </c>
      <c r="AT987" s="21">
        <f t="shared" si="565"/>
        <v>12</v>
      </c>
      <c r="AU987" s="21">
        <f t="shared" si="566"/>
        <v>19</v>
      </c>
      <c r="AV987">
        <f t="shared" si="567"/>
        <v>73</v>
      </c>
      <c r="AW987">
        <f t="shared" si="568"/>
        <v>76</v>
      </c>
      <c r="AX987">
        <f t="shared" si="569"/>
        <v>84</v>
      </c>
      <c r="AY987">
        <f t="shared" si="570"/>
        <v>87</v>
      </c>
      <c r="AZ987">
        <f t="shared" si="571"/>
        <v>100</v>
      </c>
      <c r="BA987">
        <f t="shared" si="572"/>
        <v>107</v>
      </c>
      <c r="BB987">
        <f t="shared" si="573"/>
        <v>117</v>
      </c>
      <c r="BC987">
        <f t="shared" si="574"/>
        <v>120</v>
      </c>
      <c r="BD987" s="29">
        <f t="shared" si="575"/>
        <v>128</v>
      </c>
      <c r="BE987" s="29">
        <f t="shared" si="576"/>
        <v>131</v>
      </c>
    </row>
    <row r="988" spans="1:57" ht="15" x14ac:dyDescent="0.2">
      <c r="A988" s="2">
        <v>590</v>
      </c>
      <c r="B988" s="2" t="str">
        <f t="shared" si="541"/>
        <v>0590</v>
      </c>
      <c r="C988" t="str">
        <f t="shared" si="542"/>
        <v>ORD-SP-0590-28/12/24</v>
      </c>
      <c r="D988" s="3" t="s">
        <v>604</v>
      </c>
      <c r="E988" t="str">
        <f t="shared" si="543"/>
        <v>PP002</v>
      </c>
      <c r="F988" t="str">
        <f>INDEX(Katalog!$B$4:$B$13,MATCH('Main Data'!E988,Katalog!$C$4:$C$13,0))</f>
        <v>Celana Pendek</v>
      </c>
      <c r="G988" t="str">
        <f>VLOOKUP(E988,Katalog!$A$15:$B$25,2,0)</f>
        <v>Pakaian Pria</v>
      </c>
      <c r="H988" t="str">
        <f t="shared" si="544"/>
        <v>1</v>
      </c>
      <c r="I988" t="str">
        <f t="shared" si="545"/>
        <v>4</v>
      </c>
      <c r="J988" s="18">
        <f>VLOOKUP(E988,Katalog!$C$3:$F$13,2,0)</f>
        <v>60000</v>
      </c>
      <c r="K988" s="18">
        <f>VLOOKUP(E988,Katalog!$C$3:$F$13,3,0)</f>
        <v>25000</v>
      </c>
      <c r="L988" t="str">
        <f t="shared" si="546"/>
        <v>SP001</v>
      </c>
      <c r="M988" t="str">
        <f>IFERROR(INDEX(Katalog!$B$4:$B$13,MATCH('Main Data'!L988,Katalog!$C$4:$C$13,0)), "-")</f>
        <v>Sneakers</v>
      </c>
      <c r="N988" t="str">
        <f>IFERROR(VLOOKUP(L988,Katalog!$A$15:$B$25,2,0),"-")</f>
        <v>Sepatu Pria</v>
      </c>
      <c r="O988" t="str">
        <f t="shared" si="547"/>
        <v>2</v>
      </c>
      <c r="P988" t="str">
        <f t="shared" si="548"/>
        <v>5</v>
      </c>
      <c r="Q988" s="18">
        <f>IFERROR(VLOOKUP(L988,Katalog!$C$3:$F$13,2,0),0)</f>
        <v>300000</v>
      </c>
      <c r="R988" s="18">
        <f>IFERROR(VLOOKUP(L988,Katalog!$C$3:$F$13,3,0),0)</f>
        <v>100000</v>
      </c>
      <c r="S988" t="str">
        <f t="shared" si="549"/>
        <v>SP002</v>
      </c>
      <c r="T988" t="str">
        <f>IFERROR(INDEX(Katalog!$B$4:$B$13,MATCH('Main Data'!S988,Katalog!$C$4:$C$13,0)),"-")</f>
        <v>Sandal Slip On</v>
      </c>
      <c r="U988" t="str">
        <f>IFERROR(VLOOKUP(S988,Katalog!$A$15:$B$25,2,0),"-")</f>
        <v>Sepatu Pria</v>
      </c>
      <c r="V988" t="str">
        <f t="shared" si="550"/>
        <v>3</v>
      </c>
      <c r="W988" s="28" t="str">
        <f t="shared" si="551"/>
        <v>5</v>
      </c>
      <c r="X988" s="18">
        <f>IFERROR(VLOOKUP(S988,Katalog!$C$3:$F$13,2,0),0)</f>
        <v>120000</v>
      </c>
      <c r="Y988" s="30">
        <f>IFERROR(VLOOKUP(S988,Katalog!$C$3:$F$13,3,0),0)</f>
        <v>60000</v>
      </c>
      <c r="Z988" s="2">
        <f t="shared" si="552"/>
        <v>6</v>
      </c>
      <c r="AA988" s="4">
        <f t="shared" si="553"/>
        <v>1020000</v>
      </c>
      <c r="AB988" s="4">
        <f t="shared" si="554"/>
        <v>405000</v>
      </c>
      <c r="AC988" s="4" t="s">
        <v>7</v>
      </c>
      <c r="AD988" s="16">
        <f>IFERROR(VLOOKUP(AC988,'Kode Diskon'!$C$2:$D$9,2,0),0)</f>
        <v>0.2</v>
      </c>
      <c r="AE988" s="31">
        <f t="shared" si="555"/>
        <v>204000</v>
      </c>
      <c r="AF988" s="31">
        <f t="shared" si="556"/>
        <v>816000</v>
      </c>
      <c r="AG988" s="31">
        <f t="shared" si="557"/>
        <v>615000</v>
      </c>
      <c r="AH988" s="31">
        <f t="shared" si="558"/>
        <v>411000</v>
      </c>
      <c r="AI988" s="4" t="s">
        <v>8</v>
      </c>
      <c r="AJ988" s="4" t="s">
        <v>6</v>
      </c>
      <c r="AK988" s="4" t="str">
        <f>IFERROR(VLOOKUP(AJ988,'Guide '!$A$13:$B$16,2,0),"-")</f>
        <v>SP</v>
      </c>
      <c r="AL988" s="4" t="s">
        <v>1006</v>
      </c>
      <c r="AM988" s="40">
        <v>45654</v>
      </c>
      <c r="AN988">
        <f t="shared" si="559"/>
        <v>29</v>
      </c>
      <c r="AO988">
        <f t="shared" si="560"/>
        <v>32</v>
      </c>
      <c r="AP988">
        <f t="shared" si="561"/>
        <v>40</v>
      </c>
      <c r="AQ988">
        <f t="shared" si="562"/>
        <v>43</v>
      </c>
      <c r="AR988" s="26">
        <f t="shared" si="563"/>
        <v>56</v>
      </c>
      <c r="AS988" s="26">
        <f t="shared" si="564"/>
        <v>63</v>
      </c>
      <c r="AT988" s="21">
        <f t="shared" si="565"/>
        <v>12</v>
      </c>
      <c r="AU988" s="21">
        <f t="shared" si="566"/>
        <v>19</v>
      </c>
      <c r="AV988">
        <f t="shared" si="567"/>
        <v>73</v>
      </c>
      <c r="AW988">
        <f t="shared" si="568"/>
        <v>76</v>
      </c>
      <c r="AX988">
        <f t="shared" si="569"/>
        <v>84</v>
      </c>
      <c r="AY988">
        <f t="shared" si="570"/>
        <v>87</v>
      </c>
      <c r="AZ988">
        <f t="shared" si="571"/>
        <v>100</v>
      </c>
      <c r="BA988">
        <f t="shared" si="572"/>
        <v>107</v>
      </c>
      <c r="BB988">
        <f t="shared" si="573"/>
        <v>117</v>
      </c>
      <c r="BC988">
        <f t="shared" si="574"/>
        <v>120</v>
      </c>
      <c r="BD988" s="29">
        <f t="shared" si="575"/>
        <v>128</v>
      </c>
      <c r="BE988" s="29">
        <f t="shared" si="576"/>
        <v>131</v>
      </c>
    </row>
    <row r="989" spans="1:57" ht="15" x14ac:dyDescent="0.2">
      <c r="A989" s="2">
        <v>905</v>
      </c>
      <c r="B989" s="2" t="str">
        <f t="shared" si="541"/>
        <v>0905</v>
      </c>
      <c r="C989" t="str">
        <f t="shared" si="542"/>
        <v>ORD-SP-0905-28/12/24</v>
      </c>
      <c r="D989" s="3" t="s">
        <v>843</v>
      </c>
      <c r="E989" t="str">
        <f t="shared" si="543"/>
        <v>SP001</v>
      </c>
      <c r="F989" t="str">
        <f>INDEX(Katalog!$B$4:$B$13,MATCH('Main Data'!E989,Katalog!$C$4:$C$13,0))</f>
        <v>Sneakers</v>
      </c>
      <c r="G989" t="str">
        <f>VLOOKUP(E989,Katalog!$A$15:$B$25,2,0)</f>
        <v>Sepatu Pria</v>
      </c>
      <c r="H989" t="str">
        <f t="shared" si="544"/>
        <v>3</v>
      </c>
      <c r="I989" t="str">
        <f t="shared" si="545"/>
        <v>4</v>
      </c>
      <c r="J989" s="18">
        <f>VLOOKUP(E989,Katalog!$C$3:$F$13,2,0)</f>
        <v>300000</v>
      </c>
      <c r="K989" s="18">
        <f>VLOOKUP(E989,Katalog!$C$3:$F$13,3,0)</f>
        <v>100000</v>
      </c>
      <c r="L989" t="str">
        <f t="shared" si="546"/>
        <v>PP003</v>
      </c>
      <c r="M989" t="str">
        <f>IFERROR(INDEX(Katalog!$B$4:$B$13,MATCH('Main Data'!L989,Katalog!$C$4:$C$13,0)), "-")</f>
        <v>Jaket Jeans</v>
      </c>
      <c r="N989" t="str">
        <f>IFERROR(VLOOKUP(L989,Katalog!$A$15:$B$25,2,0),"-")</f>
        <v>Pakaian Pria</v>
      </c>
      <c r="O989" t="str">
        <f t="shared" si="547"/>
        <v>1</v>
      </c>
      <c r="P989" t="str">
        <f t="shared" si="548"/>
        <v>2</v>
      </c>
      <c r="Q989" s="18">
        <f>IFERROR(VLOOKUP(L989,Katalog!$C$3:$F$13,2,0),0)</f>
        <v>150000</v>
      </c>
      <c r="R989" s="18">
        <f>IFERROR(VLOOKUP(L989,Katalog!$C$3:$F$13,3,0),0)</f>
        <v>70000</v>
      </c>
      <c r="S989" t="str">
        <f t="shared" si="549"/>
        <v>PP003</v>
      </c>
      <c r="T989" t="str">
        <f>IFERROR(INDEX(Katalog!$B$4:$B$13,MATCH('Main Data'!S989,Katalog!$C$4:$C$13,0)),"-")</f>
        <v>Jaket Jeans</v>
      </c>
      <c r="U989" t="str">
        <f>IFERROR(VLOOKUP(S989,Katalog!$A$15:$B$25,2,0),"-")</f>
        <v>Pakaian Pria</v>
      </c>
      <c r="V989" t="str">
        <f t="shared" si="550"/>
        <v>2</v>
      </c>
      <c r="W989" s="28" t="str">
        <f t="shared" si="551"/>
        <v>2</v>
      </c>
      <c r="X989" s="18">
        <f>IFERROR(VLOOKUP(S989,Katalog!$C$3:$F$13,2,0),0)</f>
        <v>150000</v>
      </c>
      <c r="Y989" s="30">
        <f>IFERROR(VLOOKUP(S989,Katalog!$C$3:$F$13,3,0),0)</f>
        <v>70000</v>
      </c>
      <c r="Z989" s="2">
        <f t="shared" si="552"/>
        <v>6</v>
      </c>
      <c r="AA989" s="4">
        <f t="shared" si="553"/>
        <v>1350000</v>
      </c>
      <c r="AB989" s="4">
        <f t="shared" si="554"/>
        <v>510000</v>
      </c>
      <c r="AC989" s="4" t="s">
        <v>5</v>
      </c>
      <c r="AD989" s="16">
        <f>IFERROR(VLOOKUP(AC989,'Kode Diskon'!$C$2:$D$9,2,0),0)</f>
        <v>0.1</v>
      </c>
      <c r="AE989" s="31">
        <f t="shared" si="555"/>
        <v>135000</v>
      </c>
      <c r="AF989" s="31">
        <f t="shared" si="556"/>
        <v>1215000</v>
      </c>
      <c r="AG989" s="31">
        <f t="shared" si="557"/>
        <v>840000</v>
      </c>
      <c r="AH989" s="31">
        <f t="shared" si="558"/>
        <v>705000</v>
      </c>
      <c r="AI989" s="4" t="s">
        <v>28</v>
      </c>
      <c r="AJ989" s="4" t="s">
        <v>6</v>
      </c>
      <c r="AK989" s="4" t="str">
        <f>IFERROR(VLOOKUP(AJ989,'Guide '!$A$13:$B$16,2,0),"-")</f>
        <v>SP</v>
      </c>
      <c r="AL989" s="4" t="s">
        <v>1006</v>
      </c>
      <c r="AM989" s="40">
        <v>45654</v>
      </c>
      <c r="AN989">
        <f t="shared" si="559"/>
        <v>29</v>
      </c>
      <c r="AO989">
        <f t="shared" si="560"/>
        <v>32</v>
      </c>
      <c r="AP989">
        <f t="shared" si="561"/>
        <v>40</v>
      </c>
      <c r="AQ989">
        <f t="shared" si="562"/>
        <v>43</v>
      </c>
      <c r="AR989" s="26">
        <f t="shared" si="563"/>
        <v>56</v>
      </c>
      <c r="AS989" s="26">
        <f t="shared" si="564"/>
        <v>63</v>
      </c>
      <c r="AT989" s="21">
        <f t="shared" si="565"/>
        <v>12</v>
      </c>
      <c r="AU989" s="21">
        <f t="shared" si="566"/>
        <v>19</v>
      </c>
      <c r="AV989">
        <f t="shared" si="567"/>
        <v>73</v>
      </c>
      <c r="AW989">
        <f t="shared" si="568"/>
        <v>76</v>
      </c>
      <c r="AX989">
        <f t="shared" si="569"/>
        <v>84</v>
      </c>
      <c r="AY989">
        <f t="shared" si="570"/>
        <v>87</v>
      </c>
      <c r="AZ989">
        <f t="shared" si="571"/>
        <v>100</v>
      </c>
      <c r="BA989">
        <f t="shared" si="572"/>
        <v>107</v>
      </c>
      <c r="BB989">
        <f t="shared" si="573"/>
        <v>117</v>
      </c>
      <c r="BC989">
        <f t="shared" si="574"/>
        <v>120</v>
      </c>
      <c r="BD989" s="29">
        <f t="shared" si="575"/>
        <v>128</v>
      </c>
      <c r="BE989" s="29">
        <f t="shared" si="576"/>
        <v>131</v>
      </c>
    </row>
    <row r="990" spans="1:57" ht="15" x14ac:dyDescent="0.2">
      <c r="A990" s="2">
        <v>921</v>
      </c>
      <c r="B990" s="2" t="str">
        <f t="shared" si="541"/>
        <v>0921</v>
      </c>
      <c r="C990" t="str">
        <f t="shared" si="542"/>
        <v>ORD-SP-0921-28/12/24</v>
      </c>
      <c r="D990" s="3" t="s">
        <v>854</v>
      </c>
      <c r="E990" t="str">
        <f t="shared" si="543"/>
        <v>PP002</v>
      </c>
      <c r="F990" t="str">
        <f>INDEX(Katalog!$B$4:$B$13,MATCH('Main Data'!E990,Katalog!$C$4:$C$13,0))</f>
        <v>Celana Pendek</v>
      </c>
      <c r="G990" t="str">
        <f>VLOOKUP(E990,Katalog!$A$15:$B$25,2,0)</f>
        <v>Pakaian Pria</v>
      </c>
      <c r="H990" t="str">
        <f t="shared" si="544"/>
        <v>1</v>
      </c>
      <c r="I990" t="str">
        <f t="shared" si="545"/>
        <v>1</v>
      </c>
      <c r="J990" s="18">
        <f>VLOOKUP(E990,Katalog!$C$3:$F$13,2,0)</f>
        <v>60000</v>
      </c>
      <c r="K990" s="18">
        <f>VLOOKUP(E990,Katalog!$C$3:$F$13,3,0)</f>
        <v>25000</v>
      </c>
      <c r="L990" t="str">
        <f t="shared" si="546"/>
        <v>SP002</v>
      </c>
      <c r="M990" t="str">
        <f>IFERROR(INDEX(Katalog!$B$4:$B$13,MATCH('Main Data'!L990,Katalog!$C$4:$C$13,0)), "-")</f>
        <v>Sandal Slip On</v>
      </c>
      <c r="N990" t="str">
        <f>IFERROR(VLOOKUP(L990,Katalog!$A$15:$B$25,2,0),"-")</f>
        <v>Sepatu Pria</v>
      </c>
      <c r="O990" t="str">
        <f t="shared" si="547"/>
        <v>1</v>
      </c>
      <c r="P990" t="str">
        <f t="shared" si="548"/>
        <v>3</v>
      </c>
      <c r="Q990" s="18">
        <f>IFERROR(VLOOKUP(L990,Katalog!$C$3:$F$13,2,0),0)</f>
        <v>120000</v>
      </c>
      <c r="R990" s="18">
        <f>IFERROR(VLOOKUP(L990,Katalog!$C$3:$F$13,3,0),0)</f>
        <v>60000</v>
      </c>
      <c r="S990" t="str">
        <f t="shared" si="549"/>
        <v>-</v>
      </c>
      <c r="T990" t="str">
        <f>IFERROR(INDEX(Katalog!$B$4:$B$13,MATCH('Main Data'!S990,Katalog!$C$4:$C$13,0)),"-")</f>
        <v>-</v>
      </c>
      <c r="U990" t="str">
        <f>IFERROR(VLOOKUP(S990,Katalog!$A$15:$B$25,2,0),"-")</f>
        <v>-</v>
      </c>
      <c r="V990">
        <f t="shared" si="550"/>
        <v>0</v>
      </c>
      <c r="W990" s="28" t="str">
        <f t="shared" si="551"/>
        <v>-</v>
      </c>
      <c r="X990" s="18">
        <f>IFERROR(VLOOKUP(S990,Katalog!$C$3:$F$13,2,0),0)</f>
        <v>0</v>
      </c>
      <c r="Y990" s="30">
        <f>IFERROR(VLOOKUP(S990,Katalog!$C$3:$F$13,3,0),0)</f>
        <v>0</v>
      </c>
      <c r="Z990" s="2">
        <f t="shared" si="552"/>
        <v>2</v>
      </c>
      <c r="AA990" s="4">
        <f t="shared" si="553"/>
        <v>180000</v>
      </c>
      <c r="AB990" s="4">
        <f t="shared" si="554"/>
        <v>85000</v>
      </c>
      <c r="AC990" s="4" t="s">
        <v>5</v>
      </c>
      <c r="AD990" s="16">
        <f>IFERROR(VLOOKUP(AC990,'Kode Diskon'!$C$2:$D$9,2,0),0)</f>
        <v>0.1</v>
      </c>
      <c r="AE990" s="31">
        <f t="shared" si="555"/>
        <v>18000</v>
      </c>
      <c r="AF990" s="31">
        <f t="shared" si="556"/>
        <v>162000</v>
      </c>
      <c r="AG990" s="31">
        <f t="shared" si="557"/>
        <v>95000</v>
      </c>
      <c r="AH990" s="31">
        <f t="shared" si="558"/>
        <v>77000</v>
      </c>
      <c r="AI990" s="4" t="s">
        <v>28</v>
      </c>
      <c r="AJ990" s="4" t="s">
        <v>6</v>
      </c>
      <c r="AK990" s="4" t="str">
        <f>IFERROR(VLOOKUP(AJ990,'Guide '!$A$13:$B$16,2,0),"-")</f>
        <v>SP</v>
      </c>
      <c r="AL990" s="4" t="s">
        <v>1006</v>
      </c>
      <c r="AM990" s="40">
        <v>45654</v>
      </c>
      <c r="AN990">
        <f t="shared" si="559"/>
        <v>29</v>
      </c>
      <c r="AO990">
        <f t="shared" si="560"/>
        <v>32</v>
      </c>
      <c r="AP990">
        <f t="shared" si="561"/>
        <v>40</v>
      </c>
      <c r="AQ990">
        <f t="shared" si="562"/>
        <v>43</v>
      </c>
      <c r="AR990" s="26">
        <f t="shared" si="563"/>
        <v>56</v>
      </c>
      <c r="AS990" s="26">
        <f t="shared" si="564"/>
        <v>63</v>
      </c>
      <c r="AT990" s="21">
        <f t="shared" si="565"/>
        <v>12</v>
      </c>
      <c r="AU990" s="21">
        <f t="shared" si="566"/>
        <v>19</v>
      </c>
      <c r="AV990">
        <f t="shared" si="567"/>
        <v>73</v>
      </c>
      <c r="AW990">
        <f t="shared" si="568"/>
        <v>76</v>
      </c>
      <c r="AX990">
        <f t="shared" si="569"/>
        <v>84</v>
      </c>
      <c r="AY990">
        <f t="shared" si="570"/>
        <v>87</v>
      </c>
      <c r="AZ990" t="str">
        <f t="shared" si="571"/>
        <v>-</v>
      </c>
      <c r="BA990" t="str">
        <f t="shared" si="572"/>
        <v>-</v>
      </c>
      <c r="BB990" t="str">
        <f t="shared" si="573"/>
        <v>-</v>
      </c>
      <c r="BC990" t="str">
        <f t="shared" si="574"/>
        <v>-</v>
      </c>
      <c r="BD990" s="29" t="str">
        <f t="shared" si="575"/>
        <v>-</v>
      </c>
      <c r="BE990" s="29" t="str">
        <f t="shared" si="576"/>
        <v>-</v>
      </c>
    </row>
    <row r="991" spans="1:57" ht="15" x14ac:dyDescent="0.2">
      <c r="A991" s="2">
        <v>598</v>
      </c>
      <c r="B991" s="2" t="str">
        <f t="shared" si="541"/>
        <v>0598</v>
      </c>
      <c r="C991" t="str">
        <f t="shared" si="542"/>
        <v>ORD-BB-0598-29/12/24</v>
      </c>
      <c r="D991" s="3" t="s">
        <v>611</v>
      </c>
      <c r="E991" t="str">
        <f t="shared" si="543"/>
        <v>PP003</v>
      </c>
      <c r="F991" t="str">
        <f>INDEX(Katalog!$B$4:$B$13,MATCH('Main Data'!E991,Katalog!$C$4:$C$13,0))</f>
        <v>Jaket Jeans</v>
      </c>
      <c r="G991" t="str">
        <f>VLOOKUP(E991,Katalog!$A$15:$B$25,2,0)</f>
        <v>Pakaian Pria</v>
      </c>
      <c r="H991" t="str">
        <f t="shared" si="544"/>
        <v>4</v>
      </c>
      <c r="I991" t="str">
        <f t="shared" si="545"/>
        <v>3</v>
      </c>
      <c r="J991" s="18">
        <f>VLOOKUP(E991,Katalog!$C$3:$F$13,2,0)</f>
        <v>150000</v>
      </c>
      <c r="K991" s="18">
        <f>VLOOKUP(E991,Katalog!$C$3:$F$13,3,0)</f>
        <v>70000</v>
      </c>
      <c r="L991" t="str">
        <f t="shared" si="546"/>
        <v>-</v>
      </c>
      <c r="M991" t="str">
        <f>IFERROR(INDEX(Katalog!$B$4:$B$13,MATCH('Main Data'!L991,Katalog!$C$4:$C$13,0)), "-")</f>
        <v>-</v>
      </c>
      <c r="N991" t="str">
        <f>IFERROR(VLOOKUP(L991,Katalog!$A$15:$B$25,2,0),"-")</f>
        <v>-</v>
      </c>
      <c r="O991">
        <f t="shared" si="547"/>
        <v>0</v>
      </c>
      <c r="P991" t="str">
        <f t="shared" si="548"/>
        <v>-</v>
      </c>
      <c r="Q991" s="18">
        <f>IFERROR(VLOOKUP(L991,Katalog!$C$3:$F$13,2,0),0)</f>
        <v>0</v>
      </c>
      <c r="R991" s="18">
        <f>IFERROR(VLOOKUP(L991,Katalog!$C$3:$F$13,3,0),0)</f>
        <v>0</v>
      </c>
      <c r="S991" t="str">
        <f t="shared" si="549"/>
        <v>-</v>
      </c>
      <c r="T991" t="str">
        <f>IFERROR(INDEX(Katalog!$B$4:$B$13,MATCH('Main Data'!S991,Katalog!$C$4:$C$13,0)),"-")</f>
        <v>-</v>
      </c>
      <c r="U991" t="str">
        <f>IFERROR(VLOOKUP(S991,Katalog!$A$15:$B$25,2,0),"-")</f>
        <v>-</v>
      </c>
      <c r="V991">
        <f t="shared" si="550"/>
        <v>0</v>
      </c>
      <c r="W991" s="28" t="str">
        <f t="shared" si="551"/>
        <v>-</v>
      </c>
      <c r="X991" s="18">
        <f>IFERROR(VLOOKUP(S991,Katalog!$C$3:$F$13,2,0),0)</f>
        <v>0</v>
      </c>
      <c r="Y991" s="30">
        <f>IFERROR(VLOOKUP(S991,Katalog!$C$3:$F$13,3,0),0)</f>
        <v>0</v>
      </c>
      <c r="Z991" s="2">
        <f t="shared" si="552"/>
        <v>4</v>
      </c>
      <c r="AA991" s="4">
        <f t="shared" si="553"/>
        <v>600000</v>
      </c>
      <c r="AB991" s="4">
        <f t="shared" si="554"/>
        <v>280000</v>
      </c>
      <c r="AC991" s="4" t="s">
        <v>27</v>
      </c>
      <c r="AD991" s="16">
        <f>IFERROR(VLOOKUP(AC991,'Kode Diskon'!$C$2:$D$9,2,0),0)</f>
        <v>0.15</v>
      </c>
      <c r="AE991" s="31">
        <f t="shared" si="555"/>
        <v>90000</v>
      </c>
      <c r="AF991" s="31">
        <f t="shared" si="556"/>
        <v>510000</v>
      </c>
      <c r="AG991" s="31">
        <f t="shared" si="557"/>
        <v>320000</v>
      </c>
      <c r="AH991" s="31">
        <f t="shared" si="558"/>
        <v>230000</v>
      </c>
      <c r="AI991" s="4" t="s">
        <v>28</v>
      </c>
      <c r="AJ991" s="4" t="s">
        <v>13</v>
      </c>
      <c r="AK991" s="4" t="str">
        <f>IFERROR(VLOOKUP(AJ991,'Guide '!$A$13:$B$16,2,0),"-")</f>
        <v>BB</v>
      </c>
      <c r="AL991" s="4" t="s">
        <v>925</v>
      </c>
      <c r="AM991" s="40">
        <v>45655</v>
      </c>
      <c r="AN991">
        <f t="shared" si="559"/>
        <v>29</v>
      </c>
      <c r="AO991">
        <f t="shared" si="560"/>
        <v>32</v>
      </c>
      <c r="AP991">
        <f t="shared" si="561"/>
        <v>40</v>
      </c>
      <c r="AQ991">
        <f t="shared" si="562"/>
        <v>43</v>
      </c>
      <c r="AR991" s="26" t="str">
        <f t="shared" si="563"/>
        <v>-</v>
      </c>
      <c r="AS991" s="26" t="str">
        <f t="shared" si="564"/>
        <v>-</v>
      </c>
      <c r="AT991" s="21">
        <f t="shared" si="565"/>
        <v>12</v>
      </c>
      <c r="AU991" s="21">
        <f t="shared" si="566"/>
        <v>19</v>
      </c>
      <c r="AV991" t="str">
        <f t="shared" si="567"/>
        <v>-</v>
      </c>
      <c r="AW991" t="str">
        <f t="shared" si="568"/>
        <v>-</v>
      </c>
      <c r="AX991" t="str">
        <f t="shared" si="569"/>
        <v>-</v>
      </c>
      <c r="AY991" t="str">
        <f t="shared" si="570"/>
        <v>-</v>
      </c>
      <c r="AZ991" t="str">
        <f t="shared" si="571"/>
        <v>-</v>
      </c>
      <c r="BA991" t="str">
        <f t="shared" si="572"/>
        <v>-</v>
      </c>
      <c r="BB991" t="str">
        <f t="shared" si="573"/>
        <v>-</v>
      </c>
      <c r="BC991" t="str">
        <f t="shared" si="574"/>
        <v>-</v>
      </c>
      <c r="BD991" s="29" t="str">
        <f t="shared" si="575"/>
        <v>-</v>
      </c>
      <c r="BE991" s="29" t="str">
        <f t="shared" si="576"/>
        <v>-</v>
      </c>
    </row>
    <row r="992" spans="1:57" ht="15" x14ac:dyDescent="0.2">
      <c r="A992" s="2">
        <v>275</v>
      </c>
      <c r="B992" s="2" t="str">
        <f t="shared" si="541"/>
        <v>0275</v>
      </c>
      <c r="C992" t="str">
        <f t="shared" si="542"/>
        <v>ORD-SP-0275-30/12/24</v>
      </c>
      <c r="D992" s="3" t="s">
        <v>322</v>
      </c>
      <c r="E992" t="str">
        <f t="shared" si="543"/>
        <v>SW001</v>
      </c>
      <c r="F992" t="str">
        <f>INDEX(Katalog!$B$4:$B$13,MATCH('Main Data'!E992,Katalog!$C$4:$C$13,0))</f>
        <v>Flat Shoes</v>
      </c>
      <c r="G992" t="str">
        <f>VLOOKUP(E992,Katalog!$A$15:$B$25,2,0)</f>
        <v>Sepatu Wanita</v>
      </c>
      <c r="H992" t="str">
        <f t="shared" si="544"/>
        <v>1</v>
      </c>
      <c r="I992" t="str">
        <f t="shared" si="545"/>
        <v>1</v>
      </c>
      <c r="J992" s="18">
        <f>VLOOKUP(E992,Katalog!$C$3:$F$13,2,0)</f>
        <v>150000</v>
      </c>
      <c r="K992" s="18">
        <f>VLOOKUP(E992,Katalog!$C$3:$F$13,3,0)</f>
        <v>70000</v>
      </c>
      <c r="L992" t="str">
        <f t="shared" si="546"/>
        <v>-</v>
      </c>
      <c r="M992" t="str">
        <f>IFERROR(INDEX(Katalog!$B$4:$B$13,MATCH('Main Data'!L992,Katalog!$C$4:$C$13,0)), "-")</f>
        <v>-</v>
      </c>
      <c r="N992" t="str">
        <f>IFERROR(VLOOKUP(L992,Katalog!$A$15:$B$25,2,0),"-")</f>
        <v>-</v>
      </c>
      <c r="O992">
        <f t="shared" si="547"/>
        <v>0</v>
      </c>
      <c r="P992" t="str">
        <f t="shared" si="548"/>
        <v>-</v>
      </c>
      <c r="Q992" s="18">
        <f>IFERROR(VLOOKUP(L992,Katalog!$C$3:$F$13,2,0),0)</f>
        <v>0</v>
      </c>
      <c r="R992" s="18">
        <f>IFERROR(VLOOKUP(L992,Katalog!$C$3:$F$13,3,0),0)</f>
        <v>0</v>
      </c>
      <c r="S992" t="str">
        <f t="shared" si="549"/>
        <v>-</v>
      </c>
      <c r="T992" t="str">
        <f>IFERROR(INDEX(Katalog!$B$4:$B$13,MATCH('Main Data'!S992,Katalog!$C$4:$C$13,0)),"-")</f>
        <v>-</v>
      </c>
      <c r="U992" t="str">
        <f>IFERROR(VLOOKUP(S992,Katalog!$A$15:$B$25,2,0),"-")</f>
        <v>-</v>
      </c>
      <c r="V992">
        <f t="shared" si="550"/>
        <v>0</v>
      </c>
      <c r="W992" s="28" t="str">
        <f t="shared" si="551"/>
        <v>-</v>
      </c>
      <c r="X992" s="18">
        <f>IFERROR(VLOOKUP(S992,Katalog!$C$3:$F$13,2,0),0)</f>
        <v>0</v>
      </c>
      <c r="Y992" s="30">
        <f>IFERROR(VLOOKUP(S992,Katalog!$C$3:$F$13,3,0),0)</f>
        <v>0</v>
      </c>
      <c r="Z992" s="2">
        <f t="shared" si="552"/>
        <v>1</v>
      </c>
      <c r="AA992" s="4">
        <f t="shared" si="553"/>
        <v>150000</v>
      </c>
      <c r="AB992" s="4">
        <f t="shared" si="554"/>
        <v>70000</v>
      </c>
      <c r="AC992" s="4" t="s">
        <v>12</v>
      </c>
      <c r="AD992" s="16">
        <f>IFERROR(VLOOKUP(AC992,'Kode Diskon'!$C$2:$D$9,2,0),0)</f>
        <v>0.15</v>
      </c>
      <c r="AE992" s="31">
        <f t="shared" si="555"/>
        <v>22500</v>
      </c>
      <c r="AF992" s="31">
        <f t="shared" si="556"/>
        <v>127500</v>
      </c>
      <c r="AG992" s="31">
        <f t="shared" si="557"/>
        <v>80000</v>
      </c>
      <c r="AH992" s="31">
        <f t="shared" si="558"/>
        <v>57500</v>
      </c>
      <c r="AI992" s="4" t="s">
        <v>28</v>
      </c>
      <c r="AJ992" s="4" t="s">
        <v>6</v>
      </c>
      <c r="AK992" s="4" t="str">
        <f>IFERROR(VLOOKUP(AJ992,'Guide '!$A$13:$B$16,2,0),"-")</f>
        <v>SP</v>
      </c>
      <c r="AL992" s="4" t="s">
        <v>924</v>
      </c>
      <c r="AM992" s="40">
        <v>45656</v>
      </c>
      <c r="AN992">
        <f t="shared" si="559"/>
        <v>29</v>
      </c>
      <c r="AO992">
        <f t="shared" si="560"/>
        <v>32</v>
      </c>
      <c r="AP992">
        <f t="shared" si="561"/>
        <v>40</v>
      </c>
      <c r="AQ992">
        <f t="shared" si="562"/>
        <v>43</v>
      </c>
      <c r="AR992" s="26" t="str">
        <f t="shared" si="563"/>
        <v>-</v>
      </c>
      <c r="AS992" s="26" t="str">
        <f t="shared" si="564"/>
        <v>-</v>
      </c>
      <c r="AT992" s="21">
        <f t="shared" si="565"/>
        <v>12</v>
      </c>
      <c r="AU992" s="21">
        <f t="shared" si="566"/>
        <v>19</v>
      </c>
      <c r="AV992" t="str">
        <f t="shared" si="567"/>
        <v>-</v>
      </c>
      <c r="AW992" t="str">
        <f t="shared" si="568"/>
        <v>-</v>
      </c>
      <c r="AX992" t="str">
        <f t="shared" si="569"/>
        <v>-</v>
      </c>
      <c r="AY992" t="str">
        <f t="shared" si="570"/>
        <v>-</v>
      </c>
      <c r="AZ992" t="str">
        <f t="shared" si="571"/>
        <v>-</v>
      </c>
      <c r="BA992" t="str">
        <f t="shared" si="572"/>
        <v>-</v>
      </c>
      <c r="BB992" t="str">
        <f t="shared" si="573"/>
        <v>-</v>
      </c>
      <c r="BC992" t="str">
        <f t="shared" si="574"/>
        <v>-</v>
      </c>
      <c r="BD992" s="29" t="str">
        <f t="shared" si="575"/>
        <v>-</v>
      </c>
      <c r="BE992" s="29" t="str">
        <f t="shared" si="576"/>
        <v>-</v>
      </c>
    </row>
    <row r="993" spans="1:57" ht="15" x14ac:dyDescent="0.2">
      <c r="A993" s="2">
        <v>327</v>
      </c>
      <c r="B993" s="2" t="str">
        <f t="shared" si="541"/>
        <v>0327</v>
      </c>
      <c r="C993" t="str">
        <f t="shared" si="542"/>
        <v>ORD-TK-0327-30/12/24</v>
      </c>
      <c r="D993" s="3" t="s">
        <v>381</v>
      </c>
      <c r="E993" t="str">
        <f t="shared" si="543"/>
        <v>PP002</v>
      </c>
      <c r="F993" t="str">
        <f>INDEX(Katalog!$B$4:$B$13,MATCH('Main Data'!E993,Katalog!$C$4:$C$13,0))</f>
        <v>Celana Pendek</v>
      </c>
      <c r="G993" t="str">
        <f>VLOOKUP(E993,Katalog!$A$15:$B$25,2,0)</f>
        <v>Pakaian Pria</v>
      </c>
      <c r="H993" t="str">
        <f t="shared" si="544"/>
        <v>2</v>
      </c>
      <c r="I993" t="str">
        <f t="shared" si="545"/>
        <v>5</v>
      </c>
      <c r="J993" s="18">
        <f>VLOOKUP(E993,Katalog!$C$3:$F$13,2,0)</f>
        <v>60000</v>
      </c>
      <c r="K993" s="18">
        <f>VLOOKUP(E993,Katalog!$C$3:$F$13,3,0)</f>
        <v>25000</v>
      </c>
      <c r="L993" t="str">
        <f t="shared" si="546"/>
        <v>PW001</v>
      </c>
      <c r="M993" t="str">
        <f>IFERROR(INDEX(Katalog!$B$4:$B$13,MATCH('Main Data'!L993,Katalog!$C$4:$C$13,0)), "-")</f>
        <v>Dress</v>
      </c>
      <c r="N993" t="str">
        <f>IFERROR(VLOOKUP(L993,Katalog!$A$15:$B$25,2,0),"-")</f>
        <v>Pakaian Wanita</v>
      </c>
      <c r="O993" t="str">
        <f t="shared" si="547"/>
        <v>2</v>
      </c>
      <c r="P993" t="str">
        <f t="shared" si="548"/>
        <v>3</v>
      </c>
      <c r="Q993" s="18">
        <f>IFERROR(VLOOKUP(L993,Katalog!$C$3:$F$13,2,0),0)</f>
        <v>150000</v>
      </c>
      <c r="R993" s="18">
        <f>IFERROR(VLOOKUP(L993,Katalog!$C$3:$F$13,3,0),0)</f>
        <v>55000</v>
      </c>
      <c r="S993" t="str">
        <f t="shared" si="549"/>
        <v>PW003</v>
      </c>
      <c r="T993" t="str">
        <f>IFERROR(INDEX(Katalog!$B$4:$B$13,MATCH('Main Data'!S993,Katalog!$C$4:$C$13,0)),"-")</f>
        <v>Kaftan</v>
      </c>
      <c r="U993" t="str">
        <f>IFERROR(VLOOKUP(S993,Katalog!$A$15:$B$25,2,0),"-")</f>
        <v>Pakaian Wanita</v>
      </c>
      <c r="V993" t="str">
        <f t="shared" si="550"/>
        <v>1</v>
      </c>
      <c r="W993" s="28" t="str">
        <f t="shared" si="551"/>
        <v>5</v>
      </c>
      <c r="X993" s="18">
        <f>IFERROR(VLOOKUP(S993,Katalog!$C$3:$F$13,2,0),0)</f>
        <v>200000</v>
      </c>
      <c r="Y993" s="30">
        <f>IFERROR(VLOOKUP(S993,Katalog!$C$3:$F$13,3,0),0)</f>
        <v>100000</v>
      </c>
      <c r="Z993" s="2">
        <f t="shared" si="552"/>
        <v>5</v>
      </c>
      <c r="AA993" s="4">
        <f t="shared" si="553"/>
        <v>620000</v>
      </c>
      <c r="AB993" s="4">
        <f t="shared" si="554"/>
        <v>260000</v>
      </c>
      <c r="AC993" s="4" t="s">
        <v>29</v>
      </c>
      <c r="AD993" s="16">
        <f>IFERROR(VLOOKUP(AC993,'Kode Diskon'!$C$2:$D$9,2,0),0)</f>
        <v>0.1</v>
      </c>
      <c r="AE993" s="31">
        <f t="shared" si="555"/>
        <v>62000</v>
      </c>
      <c r="AF993" s="31">
        <f t="shared" si="556"/>
        <v>558000</v>
      </c>
      <c r="AG993" s="31">
        <f t="shared" si="557"/>
        <v>360000</v>
      </c>
      <c r="AH993" s="31">
        <f t="shared" si="558"/>
        <v>298000</v>
      </c>
      <c r="AI993" s="4" t="s">
        <v>28</v>
      </c>
      <c r="AJ993" s="4" t="s">
        <v>9</v>
      </c>
      <c r="AK993" s="4" t="str">
        <f>IFERROR(VLOOKUP(AJ993,'Guide '!$A$13:$B$16,2,0),"-")</f>
        <v>TK</v>
      </c>
      <c r="AL993" s="4" t="s">
        <v>1006</v>
      </c>
      <c r="AM993" s="40">
        <v>45656</v>
      </c>
      <c r="AN993">
        <f t="shared" si="559"/>
        <v>29</v>
      </c>
      <c r="AO993">
        <f t="shared" si="560"/>
        <v>32</v>
      </c>
      <c r="AP993">
        <f t="shared" si="561"/>
        <v>40</v>
      </c>
      <c r="AQ993">
        <f t="shared" si="562"/>
        <v>43</v>
      </c>
      <c r="AR993" s="26">
        <f t="shared" si="563"/>
        <v>56</v>
      </c>
      <c r="AS993" s="26">
        <f t="shared" si="564"/>
        <v>63</v>
      </c>
      <c r="AT993" s="21">
        <f t="shared" si="565"/>
        <v>12</v>
      </c>
      <c r="AU993" s="21">
        <f t="shared" si="566"/>
        <v>19</v>
      </c>
      <c r="AV993">
        <f t="shared" si="567"/>
        <v>73</v>
      </c>
      <c r="AW993">
        <f t="shared" si="568"/>
        <v>76</v>
      </c>
      <c r="AX993">
        <f t="shared" si="569"/>
        <v>84</v>
      </c>
      <c r="AY993">
        <f t="shared" si="570"/>
        <v>87</v>
      </c>
      <c r="AZ993">
        <f t="shared" si="571"/>
        <v>100</v>
      </c>
      <c r="BA993">
        <f t="shared" si="572"/>
        <v>107</v>
      </c>
      <c r="BB993">
        <f t="shared" si="573"/>
        <v>117</v>
      </c>
      <c r="BC993">
        <f t="shared" si="574"/>
        <v>120</v>
      </c>
      <c r="BD993" s="29">
        <f t="shared" si="575"/>
        <v>128</v>
      </c>
      <c r="BE993" s="29">
        <f t="shared" si="576"/>
        <v>131</v>
      </c>
    </row>
    <row r="994" spans="1:57" ht="15" x14ac:dyDescent="0.2">
      <c r="A994" s="2">
        <v>505</v>
      </c>
      <c r="B994" s="2" t="str">
        <f t="shared" si="541"/>
        <v>0505</v>
      </c>
      <c r="C994" t="str">
        <f t="shared" si="542"/>
        <v>ORD-TK-0505-30/12/24</v>
      </c>
      <c r="D994" s="3" t="s">
        <v>534</v>
      </c>
      <c r="E994" t="str">
        <f t="shared" si="543"/>
        <v>PW002</v>
      </c>
      <c r="F994" t="str">
        <f>INDEX(Katalog!$B$4:$B$13,MATCH('Main Data'!E994,Katalog!$C$4:$C$13,0))</f>
        <v>Blouse</v>
      </c>
      <c r="G994" t="str">
        <f>VLOOKUP(E994,Katalog!$A$15:$B$25,2,0)</f>
        <v>Pakaian Wanita</v>
      </c>
      <c r="H994" t="str">
        <f t="shared" si="544"/>
        <v>1</v>
      </c>
      <c r="I994" t="str">
        <f t="shared" si="545"/>
        <v>3</v>
      </c>
      <c r="J994" s="18">
        <f>VLOOKUP(E994,Katalog!$C$3:$F$13,2,0)</f>
        <v>125000</v>
      </c>
      <c r="K994" s="18">
        <f>VLOOKUP(E994,Katalog!$C$3:$F$13,3,0)</f>
        <v>50000</v>
      </c>
      <c r="L994" t="str">
        <f t="shared" si="546"/>
        <v>PU001</v>
      </c>
      <c r="M994" t="str">
        <f>IFERROR(INDEX(Katalog!$B$4:$B$13,MATCH('Main Data'!L994,Katalog!$C$4:$C$13,0)), "-")</f>
        <v>Jaket Hoodie</v>
      </c>
      <c r="N994" t="str">
        <f>IFERROR(VLOOKUP(L994,Katalog!$A$15:$B$25,2,0),"-")</f>
        <v>Pakaian Unisex</v>
      </c>
      <c r="O994" t="str">
        <f t="shared" si="547"/>
        <v>1</v>
      </c>
      <c r="P994" t="str">
        <f t="shared" si="548"/>
        <v>5</v>
      </c>
      <c r="Q994" s="18">
        <f>IFERROR(VLOOKUP(L994,Katalog!$C$3:$F$13,2,0),0)</f>
        <v>160000</v>
      </c>
      <c r="R994" s="18">
        <f>IFERROR(VLOOKUP(L994,Katalog!$C$3:$F$13,3,0),0)</f>
        <v>60000</v>
      </c>
      <c r="S994" t="str">
        <f t="shared" si="549"/>
        <v>-</v>
      </c>
      <c r="T994" t="str">
        <f>IFERROR(INDEX(Katalog!$B$4:$B$13,MATCH('Main Data'!S994,Katalog!$C$4:$C$13,0)),"-")</f>
        <v>-</v>
      </c>
      <c r="U994" t="str">
        <f>IFERROR(VLOOKUP(S994,Katalog!$A$15:$B$25,2,0),"-")</f>
        <v>-</v>
      </c>
      <c r="V994">
        <f t="shared" si="550"/>
        <v>0</v>
      </c>
      <c r="W994" s="28" t="str">
        <f t="shared" si="551"/>
        <v>-</v>
      </c>
      <c r="X994" s="18">
        <f>IFERROR(VLOOKUP(S994,Katalog!$C$3:$F$13,2,0),0)</f>
        <v>0</v>
      </c>
      <c r="Y994" s="30">
        <f>IFERROR(VLOOKUP(S994,Katalog!$C$3:$F$13,3,0),0)</f>
        <v>0</v>
      </c>
      <c r="Z994" s="2">
        <f t="shared" si="552"/>
        <v>2</v>
      </c>
      <c r="AA994" s="4">
        <f t="shared" si="553"/>
        <v>285000</v>
      </c>
      <c r="AB994" s="4">
        <f t="shared" si="554"/>
        <v>110000</v>
      </c>
      <c r="AC994" s="4" t="s">
        <v>30</v>
      </c>
      <c r="AD994" s="16">
        <f>IFERROR(VLOOKUP(AC994,'Kode Diskon'!$C$2:$D$9,2,0),0)</f>
        <v>0.1</v>
      </c>
      <c r="AE994" s="31">
        <f t="shared" si="555"/>
        <v>28500</v>
      </c>
      <c r="AF994" s="31">
        <f t="shared" si="556"/>
        <v>256500</v>
      </c>
      <c r="AG994" s="31">
        <f t="shared" si="557"/>
        <v>175000</v>
      </c>
      <c r="AH994" s="31">
        <f t="shared" si="558"/>
        <v>146500</v>
      </c>
      <c r="AI994" s="4" t="s">
        <v>8</v>
      </c>
      <c r="AJ994" s="4" t="s">
        <v>9</v>
      </c>
      <c r="AK994" s="4" t="str">
        <f>IFERROR(VLOOKUP(AJ994,'Guide '!$A$13:$B$16,2,0),"-")</f>
        <v>TK</v>
      </c>
      <c r="AL994" s="4" t="s">
        <v>921</v>
      </c>
      <c r="AM994" s="40">
        <v>45656</v>
      </c>
      <c r="AN994">
        <f t="shared" si="559"/>
        <v>29</v>
      </c>
      <c r="AO994">
        <f t="shared" si="560"/>
        <v>32</v>
      </c>
      <c r="AP994">
        <f t="shared" si="561"/>
        <v>40</v>
      </c>
      <c r="AQ994">
        <f t="shared" si="562"/>
        <v>43</v>
      </c>
      <c r="AR994" s="26">
        <f t="shared" si="563"/>
        <v>56</v>
      </c>
      <c r="AS994" s="26">
        <f t="shared" si="564"/>
        <v>63</v>
      </c>
      <c r="AT994" s="21">
        <f t="shared" si="565"/>
        <v>12</v>
      </c>
      <c r="AU994" s="21">
        <f t="shared" si="566"/>
        <v>19</v>
      </c>
      <c r="AV994">
        <f t="shared" si="567"/>
        <v>73</v>
      </c>
      <c r="AW994">
        <f t="shared" si="568"/>
        <v>76</v>
      </c>
      <c r="AX994">
        <f t="shared" si="569"/>
        <v>84</v>
      </c>
      <c r="AY994">
        <f t="shared" si="570"/>
        <v>87</v>
      </c>
      <c r="AZ994" t="str">
        <f t="shared" si="571"/>
        <v>-</v>
      </c>
      <c r="BA994" t="str">
        <f t="shared" si="572"/>
        <v>-</v>
      </c>
      <c r="BB994" t="str">
        <f t="shared" si="573"/>
        <v>-</v>
      </c>
      <c r="BC994" t="str">
        <f t="shared" si="574"/>
        <v>-</v>
      </c>
      <c r="BD994" s="29" t="str">
        <f t="shared" si="575"/>
        <v>-</v>
      </c>
      <c r="BE994" s="29" t="str">
        <f t="shared" si="576"/>
        <v>-</v>
      </c>
    </row>
    <row r="995" spans="1:57" ht="15" x14ac:dyDescent="0.2">
      <c r="A995" s="2">
        <v>752</v>
      </c>
      <c r="B995" s="2" t="str">
        <f t="shared" si="541"/>
        <v>0752</v>
      </c>
      <c r="C995" t="str">
        <f t="shared" si="542"/>
        <v>ORD-SP-0752-30/12/24</v>
      </c>
      <c r="D995" s="3" t="s">
        <v>733</v>
      </c>
      <c r="E995" t="str">
        <f t="shared" si="543"/>
        <v>PW003</v>
      </c>
      <c r="F995" t="str">
        <f>INDEX(Katalog!$B$4:$B$13,MATCH('Main Data'!E995,Katalog!$C$4:$C$13,0))</f>
        <v>Kaftan</v>
      </c>
      <c r="G995" t="str">
        <f>VLOOKUP(E995,Katalog!$A$15:$B$25,2,0)</f>
        <v>Pakaian Wanita</v>
      </c>
      <c r="H995" t="str">
        <f t="shared" si="544"/>
        <v>3</v>
      </c>
      <c r="I995" t="str">
        <f t="shared" si="545"/>
        <v>4</v>
      </c>
      <c r="J995" s="18">
        <f>VLOOKUP(E995,Katalog!$C$3:$F$13,2,0)</f>
        <v>200000</v>
      </c>
      <c r="K995" s="18">
        <f>VLOOKUP(E995,Katalog!$C$3:$F$13,3,0)</f>
        <v>100000</v>
      </c>
      <c r="L995" t="str">
        <f t="shared" si="546"/>
        <v>SP002</v>
      </c>
      <c r="M995" t="str">
        <f>IFERROR(INDEX(Katalog!$B$4:$B$13,MATCH('Main Data'!L995,Katalog!$C$4:$C$13,0)), "-")</f>
        <v>Sandal Slip On</v>
      </c>
      <c r="N995" t="str">
        <f>IFERROR(VLOOKUP(L995,Katalog!$A$15:$B$25,2,0),"-")</f>
        <v>Sepatu Pria</v>
      </c>
      <c r="O995" t="str">
        <f t="shared" si="547"/>
        <v>1</v>
      </c>
      <c r="P995" t="str">
        <f t="shared" si="548"/>
        <v>3</v>
      </c>
      <c r="Q995" s="18">
        <f>IFERROR(VLOOKUP(L995,Katalog!$C$3:$F$13,2,0),0)</f>
        <v>120000</v>
      </c>
      <c r="R995" s="18">
        <f>IFERROR(VLOOKUP(L995,Katalog!$C$3:$F$13,3,0),0)</f>
        <v>60000</v>
      </c>
      <c r="S995" t="str">
        <f t="shared" si="549"/>
        <v>-</v>
      </c>
      <c r="T995" t="str">
        <f>IFERROR(INDEX(Katalog!$B$4:$B$13,MATCH('Main Data'!S995,Katalog!$C$4:$C$13,0)),"-")</f>
        <v>-</v>
      </c>
      <c r="U995" t="str">
        <f>IFERROR(VLOOKUP(S995,Katalog!$A$15:$B$25,2,0),"-")</f>
        <v>-</v>
      </c>
      <c r="V995">
        <f t="shared" si="550"/>
        <v>0</v>
      </c>
      <c r="W995" s="28" t="str">
        <f t="shared" si="551"/>
        <v>-</v>
      </c>
      <c r="X995" s="18">
        <f>IFERROR(VLOOKUP(S995,Katalog!$C$3:$F$13,2,0),0)</f>
        <v>0</v>
      </c>
      <c r="Y995" s="30">
        <f>IFERROR(VLOOKUP(S995,Katalog!$C$3:$F$13,3,0),0)</f>
        <v>0</v>
      </c>
      <c r="Z995" s="2">
        <f t="shared" si="552"/>
        <v>4</v>
      </c>
      <c r="AA995" s="4">
        <f t="shared" si="553"/>
        <v>720000</v>
      </c>
      <c r="AB995" s="4">
        <f t="shared" si="554"/>
        <v>360000</v>
      </c>
      <c r="AC995" s="4" t="s">
        <v>7</v>
      </c>
      <c r="AD995" s="16">
        <f>IFERROR(VLOOKUP(AC995,'Kode Diskon'!$C$2:$D$9,2,0),0)</f>
        <v>0.2</v>
      </c>
      <c r="AE995" s="31">
        <f t="shared" si="555"/>
        <v>144000</v>
      </c>
      <c r="AF995" s="31">
        <f t="shared" si="556"/>
        <v>576000</v>
      </c>
      <c r="AG995" s="31">
        <f t="shared" si="557"/>
        <v>360000</v>
      </c>
      <c r="AH995" s="31">
        <f t="shared" si="558"/>
        <v>216000</v>
      </c>
      <c r="AI995" s="4" t="s">
        <v>8</v>
      </c>
      <c r="AJ995" s="4" t="s">
        <v>6</v>
      </c>
      <c r="AK995" s="4" t="str">
        <f>IFERROR(VLOOKUP(AJ995,'Guide '!$A$13:$B$16,2,0),"-")</f>
        <v>SP</v>
      </c>
      <c r="AL995" s="4" t="s">
        <v>924</v>
      </c>
      <c r="AM995" s="40">
        <v>45656</v>
      </c>
      <c r="AN995">
        <f t="shared" si="559"/>
        <v>29</v>
      </c>
      <c r="AO995">
        <f t="shared" si="560"/>
        <v>32</v>
      </c>
      <c r="AP995">
        <f t="shared" si="561"/>
        <v>40</v>
      </c>
      <c r="AQ995">
        <f t="shared" si="562"/>
        <v>43</v>
      </c>
      <c r="AR995" s="26">
        <f t="shared" si="563"/>
        <v>56</v>
      </c>
      <c r="AS995" s="26">
        <f t="shared" si="564"/>
        <v>63</v>
      </c>
      <c r="AT995" s="21">
        <f t="shared" si="565"/>
        <v>12</v>
      </c>
      <c r="AU995" s="21">
        <f t="shared" si="566"/>
        <v>19</v>
      </c>
      <c r="AV995">
        <f t="shared" si="567"/>
        <v>73</v>
      </c>
      <c r="AW995">
        <f t="shared" si="568"/>
        <v>76</v>
      </c>
      <c r="AX995">
        <f t="shared" si="569"/>
        <v>84</v>
      </c>
      <c r="AY995">
        <f t="shared" si="570"/>
        <v>87</v>
      </c>
      <c r="AZ995" t="str">
        <f t="shared" si="571"/>
        <v>-</v>
      </c>
      <c r="BA995" t="str">
        <f t="shared" si="572"/>
        <v>-</v>
      </c>
      <c r="BB995" t="str">
        <f t="shared" si="573"/>
        <v>-</v>
      </c>
      <c r="BC995" t="str">
        <f t="shared" si="574"/>
        <v>-</v>
      </c>
      <c r="BD995" s="29" t="str">
        <f t="shared" si="575"/>
        <v>-</v>
      </c>
      <c r="BE995" s="29" t="str">
        <f t="shared" si="576"/>
        <v>-</v>
      </c>
    </row>
    <row r="996" spans="1:57" ht="15" x14ac:dyDescent="0.2">
      <c r="A996" s="2">
        <v>872</v>
      </c>
      <c r="B996" s="2" t="str">
        <f t="shared" si="541"/>
        <v>0872</v>
      </c>
      <c r="C996" t="str">
        <f t="shared" si="542"/>
        <v>ORD-TK-0872-30/12/24</v>
      </c>
      <c r="D996" s="3" t="s">
        <v>816</v>
      </c>
      <c r="E996" t="str">
        <f t="shared" si="543"/>
        <v>PW002</v>
      </c>
      <c r="F996" t="str">
        <f>INDEX(Katalog!$B$4:$B$13,MATCH('Main Data'!E996,Katalog!$C$4:$C$13,0))</f>
        <v>Blouse</v>
      </c>
      <c r="G996" t="str">
        <f>VLOOKUP(E996,Katalog!$A$15:$B$25,2,0)</f>
        <v>Pakaian Wanita</v>
      </c>
      <c r="H996" t="str">
        <f t="shared" si="544"/>
        <v>7</v>
      </c>
      <c r="I996" t="str">
        <f t="shared" si="545"/>
        <v>5</v>
      </c>
      <c r="J996" s="18">
        <f>VLOOKUP(E996,Katalog!$C$3:$F$13,2,0)</f>
        <v>125000</v>
      </c>
      <c r="K996" s="18">
        <f>VLOOKUP(E996,Katalog!$C$3:$F$13,3,0)</f>
        <v>50000</v>
      </c>
      <c r="L996" t="str">
        <f t="shared" si="546"/>
        <v>-</v>
      </c>
      <c r="M996" t="str">
        <f>IFERROR(INDEX(Katalog!$B$4:$B$13,MATCH('Main Data'!L996,Katalog!$C$4:$C$13,0)), "-")</f>
        <v>-</v>
      </c>
      <c r="N996" t="str">
        <f>IFERROR(VLOOKUP(L996,Katalog!$A$15:$B$25,2,0),"-")</f>
        <v>-</v>
      </c>
      <c r="O996">
        <f t="shared" si="547"/>
        <v>0</v>
      </c>
      <c r="P996" t="str">
        <f t="shared" si="548"/>
        <v>-</v>
      </c>
      <c r="Q996" s="18">
        <f>IFERROR(VLOOKUP(L996,Katalog!$C$3:$F$13,2,0),0)</f>
        <v>0</v>
      </c>
      <c r="R996" s="18">
        <f>IFERROR(VLOOKUP(L996,Katalog!$C$3:$F$13,3,0),0)</f>
        <v>0</v>
      </c>
      <c r="S996" t="str">
        <f t="shared" si="549"/>
        <v>-</v>
      </c>
      <c r="T996" t="str">
        <f>IFERROR(INDEX(Katalog!$B$4:$B$13,MATCH('Main Data'!S996,Katalog!$C$4:$C$13,0)),"-")</f>
        <v>-</v>
      </c>
      <c r="U996" t="str">
        <f>IFERROR(VLOOKUP(S996,Katalog!$A$15:$B$25,2,0),"-")</f>
        <v>-</v>
      </c>
      <c r="V996">
        <f t="shared" si="550"/>
        <v>0</v>
      </c>
      <c r="W996" s="28" t="str">
        <f t="shared" si="551"/>
        <v>-</v>
      </c>
      <c r="X996" s="18">
        <f>IFERROR(VLOOKUP(S996,Katalog!$C$3:$F$13,2,0),0)</f>
        <v>0</v>
      </c>
      <c r="Y996" s="30">
        <f>IFERROR(VLOOKUP(S996,Katalog!$C$3:$F$13,3,0),0)</f>
        <v>0</v>
      </c>
      <c r="Z996" s="2">
        <f t="shared" si="552"/>
        <v>7</v>
      </c>
      <c r="AA996" s="4">
        <f t="shared" si="553"/>
        <v>875000</v>
      </c>
      <c r="AB996" s="4">
        <f t="shared" si="554"/>
        <v>350000</v>
      </c>
      <c r="AC996" s="4" t="s">
        <v>30</v>
      </c>
      <c r="AD996" s="16">
        <f>IFERROR(VLOOKUP(AC996,'Kode Diskon'!$C$2:$D$9,2,0),0)</f>
        <v>0.1</v>
      </c>
      <c r="AE996" s="31">
        <f t="shared" si="555"/>
        <v>87500</v>
      </c>
      <c r="AF996" s="31">
        <f t="shared" si="556"/>
        <v>787500</v>
      </c>
      <c r="AG996" s="31">
        <f t="shared" si="557"/>
        <v>525000</v>
      </c>
      <c r="AH996" s="31">
        <f t="shared" si="558"/>
        <v>437500</v>
      </c>
      <c r="AI996" s="4" t="s">
        <v>8</v>
      </c>
      <c r="AJ996" s="4" t="s">
        <v>9</v>
      </c>
      <c r="AK996" s="4" t="str">
        <f>IFERROR(VLOOKUP(AJ996,'Guide '!$A$13:$B$16,2,0),"-")</f>
        <v>TK</v>
      </c>
      <c r="AL996" s="4" t="s">
        <v>925</v>
      </c>
      <c r="AM996" s="40">
        <v>45656</v>
      </c>
      <c r="AN996">
        <f t="shared" si="559"/>
        <v>29</v>
      </c>
      <c r="AO996">
        <f t="shared" si="560"/>
        <v>32</v>
      </c>
      <c r="AP996">
        <f t="shared" si="561"/>
        <v>40</v>
      </c>
      <c r="AQ996">
        <f t="shared" si="562"/>
        <v>43</v>
      </c>
      <c r="AR996" s="26" t="str">
        <f t="shared" si="563"/>
        <v>-</v>
      </c>
      <c r="AS996" s="26" t="str">
        <f t="shared" si="564"/>
        <v>-</v>
      </c>
      <c r="AT996" s="21">
        <f t="shared" si="565"/>
        <v>12</v>
      </c>
      <c r="AU996" s="21">
        <f t="shared" si="566"/>
        <v>19</v>
      </c>
      <c r="AV996" t="str">
        <f t="shared" si="567"/>
        <v>-</v>
      </c>
      <c r="AW996" t="str">
        <f t="shared" si="568"/>
        <v>-</v>
      </c>
      <c r="AX996" t="str">
        <f t="shared" si="569"/>
        <v>-</v>
      </c>
      <c r="AY996" t="str">
        <f t="shared" si="570"/>
        <v>-</v>
      </c>
      <c r="AZ996" t="str">
        <f t="shared" si="571"/>
        <v>-</v>
      </c>
      <c r="BA996" t="str">
        <f t="shared" si="572"/>
        <v>-</v>
      </c>
      <c r="BB996" t="str">
        <f t="shared" si="573"/>
        <v>-</v>
      </c>
      <c r="BC996" t="str">
        <f t="shared" si="574"/>
        <v>-</v>
      </c>
      <c r="BD996" s="29" t="str">
        <f t="shared" si="575"/>
        <v>-</v>
      </c>
      <c r="BE996" s="29" t="str">
        <f t="shared" si="576"/>
        <v>-</v>
      </c>
    </row>
    <row r="997" spans="1:57" ht="15" x14ac:dyDescent="0.2">
      <c r="A997" s="2">
        <v>914</v>
      </c>
      <c r="B997" s="2" t="str">
        <f t="shared" si="541"/>
        <v>0914</v>
      </c>
      <c r="C997" t="str">
        <f t="shared" si="542"/>
        <v>ORD-BB-0914-30/12/24</v>
      </c>
      <c r="D997" s="3" t="s">
        <v>107</v>
      </c>
      <c r="E997" t="str">
        <f t="shared" si="543"/>
        <v>PW001</v>
      </c>
      <c r="F997" t="str">
        <f>INDEX(Katalog!$B$4:$B$13,MATCH('Main Data'!E997,Katalog!$C$4:$C$13,0))</f>
        <v>Dress</v>
      </c>
      <c r="G997" t="str">
        <f>VLOOKUP(E997,Katalog!$A$15:$B$25,2,0)</f>
        <v>Pakaian Wanita</v>
      </c>
      <c r="H997" t="str">
        <f t="shared" si="544"/>
        <v>4</v>
      </c>
      <c r="I997" t="str">
        <f t="shared" si="545"/>
        <v>1</v>
      </c>
      <c r="J997" s="18">
        <f>VLOOKUP(E997,Katalog!$C$3:$F$13,2,0)</f>
        <v>150000</v>
      </c>
      <c r="K997" s="18">
        <f>VLOOKUP(E997,Katalog!$C$3:$F$13,3,0)</f>
        <v>55000</v>
      </c>
      <c r="L997" t="str">
        <f t="shared" si="546"/>
        <v>-</v>
      </c>
      <c r="M997" t="str">
        <f>IFERROR(INDEX(Katalog!$B$4:$B$13,MATCH('Main Data'!L997,Katalog!$C$4:$C$13,0)), "-")</f>
        <v>-</v>
      </c>
      <c r="N997" t="str">
        <f>IFERROR(VLOOKUP(L997,Katalog!$A$15:$B$25,2,0),"-")</f>
        <v>-</v>
      </c>
      <c r="O997">
        <f t="shared" si="547"/>
        <v>0</v>
      </c>
      <c r="P997" t="str">
        <f t="shared" si="548"/>
        <v>-</v>
      </c>
      <c r="Q997" s="18">
        <f>IFERROR(VLOOKUP(L997,Katalog!$C$3:$F$13,2,0),0)</f>
        <v>0</v>
      </c>
      <c r="R997" s="18">
        <f>IFERROR(VLOOKUP(L997,Katalog!$C$3:$F$13,3,0),0)</f>
        <v>0</v>
      </c>
      <c r="S997" t="str">
        <f t="shared" si="549"/>
        <v>-</v>
      </c>
      <c r="T997" t="str">
        <f>IFERROR(INDEX(Katalog!$B$4:$B$13,MATCH('Main Data'!S997,Katalog!$C$4:$C$13,0)),"-")</f>
        <v>-</v>
      </c>
      <c r="U997" t="str">
        <f>IFERROR(VLOOKUP(S997,Katalog!$A$15:$B$25,2,0),"-")</f>
        <v>-</v>
      </c>
      <c r="V997">
        <f t="shared" si="550"/>
        <v>0</v>
      </c>
      <c r="W997" s="28" t="str">
        <f t="shared" si="551"/>
        <v>-</v>
      </c>
      <c r="X997" s="18">
        <f>IFERROR(VLOOKUP(S997,Katalog!$C$3:$F$13,2,0),0)</f>
        <v>0</v>
      </c>
      <c r="Y997" s="30">
        <f>IFERROR(VLOOKUP(S997,Katalog!$C$3:$F$13,3,0),0)</f>
        <v>0</v>
      </c>
      <c r="Z997" s="2">
        <f t="shared" si="552"/>
        <v>4</v>
      </c>
      <c r="AA997" s="4">
        <f t="shared" si="553"/>
        <v>600000</v>
      </c>
      <c r="AB997" s="4">
        <f t="shared" si="554"/>
        <v>220000</v>
      </c>
      <c r="AC997" s="4" t="s">
        <v>27</v>
      </c>
      <c r="AD997" s="16">
        <f>IFERROR(VLOOKUP(AC997,'Kode Diskon'!$C$2:$D$9,2,0),0)</f>
        <v>0.15</v>
      </c>
      <c r="AE997" s="31">
        <f t="shared" si="555"/>
        <v>90000</v>
      </c>
      <c r="AF997" s="31">
        <f t="shared" si="556"/>
        <v>510000</v>
      </c>
      <c r="AG997" s="31">
        <f t="shared" si="557"/>
        <v>380000</v>
      </c>
      <c r="AH997" s="31">
        <f t="shared" si="558"/>
        <v>290000</v>
      </c>
      <c r="AI997" s="4" t="s">
        <v>28</v>
      </c>
      <c r="AJ997" s="4" t="s">
        <v>13</v>
      </c>
      <c r="AK997" s="4" t="str">
        <f>IFERROR(VLOOKUP(AJ997,'Guide '!$A$13:$B$16,2,0),"-")</f>
        <v>BB</v>
      </c>
      <c r="AL997" s="4" t="s">
        <v>925</v>
      </c>
      <c r="AM997" s="40">
        <v>45656</v>
      </c>
      <c r="AN997">
        <f t="shared" si="559"/>
        <v>29</v>
      </c>
      <c r="AO997">
        <f t="shared" si="560"/>
        <v>32</v>
      </c>
      <c r="AP997">
        <f t="shared" si="561"/>
        <v>40</v>
      </c>
      <c r="AQ997">
        <f t="shared" si="562"/>
        <v>43</v>
      </c>
      <c r="AR997" s="26" t="str">
        <f t="shared" si="563"/>
        <v>-</v>
      </c>
      <c r="AS997" s="26" t="str">
        <f t="shared" si="564"/>
        <v>-</v>
      </c>
      <c r="AT997" s="21">
        <f t="shared" si="565"/>
        <v>12</v>
      </c>
      <c r="AU997" s="21">
        <f t="shared" si="566"/>
        <v>19</v>
      </c>
      <c r="AV997" t="str">
        <f t="shared" si="567"/>
        <v>-</v>
      </c>
      <c r="AW997" t="str">
        <f t="shared" si="568"/>
        <v>-</v>
      </c>
      <c r="AX997" t="str">
        <f t="shared" si="569"/>
        <v>-</v>
      </c>
      <c r="AY997" t="str">
        <f t="shared" si="570"/>
        <v>-</v>
      </c>
      <c r="AZ997" t="str">
        <f t="shared" si="571"/>
        <v>-</v>
      </c>
      <c r="BA997" t="str">
        <f t="shared" si="572"/>
        <v>-</v>
      </c>
      <c r="BB997" t="str">
        <f t="shared" si="573"/>
        <v>-</v>
      </c>
      <c r="BC997" t="str">
        <f t="shared" si="574"/>
        <v>-</v>
      </c>
      <c r="BD997" s="29" t="str">
        <f t="shared" si="575"/>
        <v>-</v>
      </c>
      <c r="BE997" s="29" t="str">
        <f t="shared" si="576"/>
        <v>-</v>
      </c>
    </row>
    <row r="998" spans="1:57" ht="15" x14ac:dyDescent="0.2">
      <c r="A998" s="2">
        <v>945</v>
      </c>
      <c r="B998" s="2" t="str">
        <f t="shared" si="541"/>
        <v>0945</v>
      </c>
      <c r="C998" t="str">
        <f t="shared" si="542"/>
        <v>ORD-TK-0945-30/12/24</v>
      </c>
      <c r="D998" s="3" t="s">
        <v>877</v>
      </c>
      <c r="E998" t="str">
        <f t="shared" si="543"/>
        <v>PW001</v>
      </c>
      <c r="F998" t="str">
        <f>INDEX(Katalog!$B$4:$B$13,MATCH('Main Data'!E998,Katalog!$C$4:$C$13,0))</f>
        <v>Dress</v>
      </c>
      <c r="G998" t="str">
        <f>VLOOKUP(E998,Katalog!$A$15:$B$25,2,0)</f>
        <v>Pakaian Wanita</v>
      </c>
      <c r="H998" t="str">
        <f t="shared" si="544"/>
        <v>6</v>
      </c>
      <c r="I998" t="str">
        <f t="shared" si="545"/>
        <v>5</v>
      </c>
      <c r="J998" s="18">
        <f>VLOOKUP(E998,Katalog!$C$3:$F$13,2,0)</f>
        <v>150000</v>
      </c>
      <c r="K998" s="18">
        <f>VLOOKUP(E998,Katalog!$C$3:$F$13,3,0)</f>
        <v>55000</v>
      </c>
      <c r="L998" t="str">
        <f t="shared" si="546"/>
        <v>PP002</v>
      </c>
      <c r="M998" t="str">
        <f>IFERROR(INDEX(Katalog!$B$4:$B$13,MATCH('Main Data'!L998,Katalog!$C$4:$C$13,0)), "-")</f>
        <v>Celana Pendek</v>
      </c>
      <c r="N998" t="str">
        <f>IFERROR(VLOOKUP(L998,Katalog!$A$15:$B$25,2,0),"-")</f>
        <v>Pakaian Pria</v>
      </c>
      <c r="O998" t="str">
        <f t="shared" si="547"/>
        <v>1</v>
      </c>
      <c r="P998" t="str">
        <f t="shared" si="548"/>
        <v>3</v>
      </c>
      <c r="Q998" s="18">
        <f>IFERROR(VLOOKUP(L998,Katalog!$C$3:$F$13,2,0),0)</f>
        <v>60000</v>
      </c>
      <c r="R998" s="18">
        <f>IFERROR(VLOOKUP(L998,Katalog!$C$3:$F$13,3,0),0)</f>
        <v>25000</v>
      </c>
      <c r="S998" t="str">
        <f t="shared" si="549"/>
        <v>-</v>
      </c>
      <c r="T998" t="str">
        <f>IFERROR(INDEX(Katalog!$B$4:$B$13,MATCH('Main Data'!S998,Katalog!$C$4:$C$13,0)),"-")</f>
        <v>-</v>
      </c>
      <c r="U998" t="str">
        <f>IFERROR(VLOOKUP(S998,Katalog!$A$15:$B$25,2,0),"-")</f>
        <v>-</v>
      </c>
      <c r="V998">
        <f t="shared" si="550"/>
        <v>0</v>
      </c>
      <c r="W998" s="28" t="str">
        <f t="shared" si="551"/>
        <v>-</v>
      </c>
      <c r="X998" s="18">
        <f>IFERROR(VLOOKUP(S998,Katalog!$C$3:$F$13,2,0),0)</f>
        <v>0</v>
      </c>
      <c r="Y998" s="30">
        <f>IFERROR(VLOOKUP(S998,Katalog!$C$3:$F$13,3,0),0)</f>
        <v>0</v>
      </c>
      <c r="Z998" s="2">
        <f t="shared" si="552"/>
        <v>7</v>
      </c>
      <c r="AA998" s="4">
        <f t="shared" si="553"/>
        <v>960000</v>
      </c>
      <c r="AB998" s="4">
        <f t="shared" si="554"/>
        <v>355000</v>
      </c>
      <c r="AC998" s="4" t="s">
        <v>29</v>
      </c>
      <c r="AD998" s="16">
        <f>IFERROR(VLOOKUP(AC998,'Kode Diskon'!$C$2:$D$9,2,0),0)</f>
        <v>0.1</v>
      </c>
      <c r="AE998" s="31">
        <f t="shared" si="555"/>
        <v>96000</v>
      </c>
      <c r="AF998" s="31">
        <f t="shared" si="556"/>
        <v>864000</v>
      </c>
      <c r="AG998" s="31">
        <f t="shared" si="557"/>
        <v>605000</v>
      </c>
      <c r="AH998" s="31">
        <f t="shared" si="558"/>
        <v>509000</v>
      </c>
      <c r="AI998" s="4" t="s">
        <v>28</v>
      </c>
      <c r="AJ998" s="4" t="s">
        <v>9</v>
      </c>
      <c r="AK998" s="4" t="str">
        <f>IFERROR(VLOOKUP(AJ998,'Guide '!$A$13:$B$16,2,0),"-")</f>
        <v>TK</v>
      </c>
      <c r="AL998" s="4" t="s">
        <v>922</v>
      </c>
      <c r="AM998" s="40">
        <v>45656</v>
      </c>
      <c r="AN998">
        <f t="shared" si="559"/>
        <v>29</v>
      </c>
      <c r="AO998">
        <f t="shared" si="560"/>
        <v>32</v>
      </c>
      <c r="AP998">
        <f t="shared" si="561"/>
        <v>40</v>
      </c>
      <c r="AQ998">
        <f t="shared" si="562"/>
        <v>43</v>
      </c>
      <c r="AR998" s="26">
        <f t="shared" si="563"/>
        <v>56</v>
      </c>
      <c r="AS998" s="26">
        <f t="shared" si="564"/>
        <v>63</v>
      </c>
      <c r="AT998" s="21">
        <f t="shared" si="565"/>
        <v>12</v>
      </c>
      <c r="AU998" s="21">
        <f t="shared" si="566"/>
        <v>19</v>
      </c>
      <c r="AV998">
        <f t="shared" si="567"/>
        <v>73</v>
      </c>
      <c r="AW998">
        <f t="shared" si="568"/>
        <v>76</v>
      </c>
      <c r="AX998">
        <f t="shared" si="569"/>
        <v>84</v>
      </c>
      <c r="AY998">
        <f t="shared" si="570"/>
        <v>87</v>
      </c>
      <c r="AZ998" t="str">
        <f t="shared" si="571"/>
        <v>-</v>
      </c>
      <c r="BA998" t="str">
        <f t="shared" si="572"/>
        <v>-</v>
      </c>
      <c r="BB998" t="str">
        <f t="shared" si="573"/>
        <v>-</v>
      </c>
      <c r="BC998" t="str">
        <f t="shared" si="574"/>
        <v>-</v>
      </c>
      <c r="BD998" s="29" t="str">
        <f t="shared" si="575"/>
        <v>-</v>
      </c>
      <c r="BE998" s="29" t="str">
        <f t="shared" si="576"/>
        <v>-</v>
      </c>
    </row>
    <row r="999" spans="1:57" ht="15" x14ac:dyDescent="0.2">
      <c r="A999" s="2">
        <v>995</v>
      </c>
      <c r="B999" s="2" t="str">
        <f t="shared" si="541"/>
        <v>0995</v>
      </c>
      <c r="C999" t="str">
        <f t="shared" si="542"/>
        <v>ORD-SP-0995-30/12/24</v>
      </c>
      <c r="D999" s="3" t="s">
        <v>916</v>
      </c>
      <c r="E999" t="str">
        <f t="shared" si="543"/>
        <v>SW001</v>
      </c>
      <c r="F999" t="str">
        <f>INDEX(Katalog!$B$4:$B$13,MATCH('Main Data'!E999,Katalog!$C$4:$C$13,0))</f>
        <v>Flat Shoes</v>
      </c>
      <c r="G999" t="str">
        <f>VLOOKUP(E999,Katalog!$A$15:$B$25,2,0)</f>
        <v>Sepatu Wanita</v>
      </c>
      <c r="H999" t="str">
        <f t="shared" si="544"/>
        <v>5</v>
      </c>
      <c r="I999" t="str">
        <f t="shared" si="545"/>
        <v>5</v>
      </c>
      <c r="J999" s="18">
        <f>VLOOKUP(E999,Katalog!$C$3:$F$13,2,0)</f>
        <v>150000</v>
      </c>
      <c r="K999" s="18">
        <f>VLOOKUP(E999,Katalog!$C$3:$F$13,3,0)</f>
        <v>70000</v>
      </c>
      <c r="L999" t="str">
        <f t="shared" si="546"/>
        <v>PP002</v>
      </c>
      <c r="M999" t="str">
        <f>IFERROR(INDEX(Katalog!$B$4:$B$13,MATCH('Main Data'!L999,Katalog!$C$4:$C$13,0)), "-")</f>
        <v>Celana Pendek</v>
      </c>
      <c r="N999" t="str">
        <f>IFERROR(VLOOKUP(L999,Katalog!$A$15:$B$25,2,0),"-")</f>
        <v>Pakaian Pria</v>
      </c>
      <c r="O999" t="str">
        <f t="shared" si="547"/>
        <v>1</v>
      </c>
      <c r="P999" t="str">
        <f t="shared" si="548"/>
        <v>3</v>
      </c>
      <c r="Q999" s="18">
        <f>IFERROR(VLOOKUP(L999,Katalog!$C$3:$F$13,2,0),0)</f>
        <v>60000</v>
      </c>
      <c r="R999" s="18">
        <f>IFERROR(VLOOKUP(L999,Katalog!$C$3:$F$13,3,0),0)</f>
        <v>25000</v>
      </c>
      <c r="S999" t="str">
        <f t="shared" si="549"/>
        <v>-</v>
      </c>
      <c r="T999" t="str">
        <f>IFERROR(INDEX(Katalog!$B$4:$B$13,MATCH('Main Data'!S999,Katalog!$C$4:$C$13,0)),"-")</f>
        <v>-</v>
      </c>
      <c r="U999" t="str">
        <f>IFERROR(VLOOKUP(S999,Katalog!$A$15:$B$25,2,0),"-")</f>
        <v>-</v>
      </c>
      <c r="V999">
        <f t="shared" si="550"/>
        <v>0</v>
      </c>
      <c r="W999" s="28" t="str">
        <f t="shared" si="551"/>
        <v>-</v>
      </c>
      <c r="X999" s="18">
        <f>IFERROR(VLOOKUP(S999,Katalog!$C$3:$F$13,2,0),0)</f>
        <v>0</v>
      </c>
      <c r="Y999" s="30">
        <f>IFERROR(VLOOKUP(S999,Katalog!$C$3:$F$13,3,0),0)</f>
        <v>0</v>
      </c>
      <c r="Z999" s="2">
        <f t="shared" si="552"/>
        <v>6</v>
      </c>
      <c r="AA999" s="4">
        <f t="shared" si="553"/>
        <v>810000</v>
      </c>
      <c r="AB999" s="4">
        <f t="shared" si="554"/>
        <v>375000</v>
      </c>
      <c r="AC999" s="4" t="s">
        <v>5</v>
      </c>
      <c r="AD999" s="16">
        <f>IFERROR(VLOOKUP(AC999,'Kode Diskon'!$C$2:$D$9,2,0),0)</f>
        <v>0.1</v>
      </c>
      <c r="AE999" s="31">
        <f t="shared" si="555"/>
        <v>81000</v>
      </c>
      <c r="AF999" s="31">
        <f t="shared" si="556"/>
        <v>729000</v>
      </c>
      <c r="AG999" s="31">
        <f t="shared" si="557"/>
        <v>435000</v>
      </c>
      <c r="AH999" s="31">
        <f t="shared" si="558"/>
        <v>354000</v>
      </c>
      <c r="AI999" s="4" t="s">
        <v>28</v>
      </c>
      <c r="AJ999" s="4" t="s">
        <v>6</v>
      </c>
      <c r="AK999" s="4" t="str">
        <f>IFERROR(VLOOKUP(AJ999,'Guide '!$A$13:$B$16,2,0),"-")</f>
        <v>SP</v>
      </c>
      <c r="AL999" s="4" t="s">
        <v>925</v>
      </c>
      <c r="AM999" s="40">
        <v>45656</v>
      </c>
      <c r="AN999">
        <f t="shared" si="559"/>
        <v>29</v>
      </c>
      <c r="AO999">
        <f t="shared" si="560"/>
        <v>32</v>
      </c>
      <c r="AP999">
        <f t="shared" si="561"/>
        <v>40</v>
      </c>
      <c r="AQ999">
        <f t="shared" si="562"/>
        <v>43</v>
      </c>
      <c r="AR999" s="26">
        <f t="shared" si="563"/>
        <v>56</v>
      </c>
      <c r="AS999" s="26">
        <f t="shared" si="564"/>
        <v>63</v>
      </c>
      <c r="AT999" s="21">
        <f t="shared" si="565"/>
        <v>12</v>
      </c>
      <c r="AU999" s="21">
        <f t="shared" si="566"/>
        <v>19</v>
      </c>
      <c r="AV999">
        <f t="shared" si="567"/>
        <v>73</v>
      </c>
      <c r="AW999">
        <f t="shared" si="568"/>
        <v>76</v>
      </c>
      <c r="AX999">
        <f t="shared" si="569"/>
        <v>84</v>
      </c>
      <c r="AY999">
        <f t="shared" si="570"/>
        <v>87</v>
      </c>
      <c r="AZ999" t="str">
        <f t="shared" si="571"/>
        <v>-</v>
      </c>
      <c r="BA999" t="str">
        <f t="shared" si="572"/>
        <v>-</v>
      </c>
      <c r="BB999" t="str">
        <f t="shared" si="573"/>
        <v>-</v>
      </c>
      <c r="BC999" t="str">
        <f t="shared" si="574"/>
        <v>-</v>
      </c>
      <c r="BD999" s="29" t="str">
        <f t="shared" si="575"/>
        <v>-</v>
      </c>
      <c r="BE999" s="29" t="str">
        <f t="shared" si="576"/>
        <v>-</v>
      </c>
    </row>
    <row r="1000" spans="1:57" ht="15" x14ac:dyDescent="0.2">
      <c r="A1000" s="2">
        <v>196</v>
      </c>
      <c r="B1000" s="2" t="str">
        <f t="shared" si="541"/>
        <v>0196</v>
      </c>
      <c r="C1000" t="str">
        <f t="shared" si="542"/>
        <v>ORD-BB-0196-31/12/24</v>
      </c>
      <c r="D1000" s="3" t="s">
        <v>265</v>
      </c>
      <c r="E1000" t="str">
        <f t="shared" si="543"/>
        <v>SP001</v>
      </c>
      <c r="F1000" t="str">
        <f>INDEX(Katalog!$B$4:$B$13,MATCH('Main Data'!E1000,Katalog!$C$4:$C$13,0))</f>
        <v>Sneakers</v>
      </c>
      <c r="G1000" t="str">
        <f>VLOOKUP(E1000,Katalog!$A$15:$B$25,2,0)</f>
        <v>Sepatu Pria</v>
      </c>
      <c r="H1000" t="str">
        <f t="shared" si="544"/>
        <v>6</v>
      </c>
      <c r="I1000" t="str">
        <f t="shared" si="545"/>
        <v>4</v>
      </c>
      <c r="J1000" s="18">
        <f>VLOOKUP(E1000,Katalog!$C$3:$F$13,2,0)</f>
        <v>300000</v>
      </c>
      <c r="K1000" s="18">
        <f>VLOOKUP(E1000,Katalog!$C$3:$F$13,3,0)</f>
        <v>100000</v>
      </c>
      <c r="L1000" t="str">
        <f t="shared" si="546"/>
        <v>PP001</v>
      </c>
      <c r="M1000" t="str">
        <f>IFERROR(INDEX(Katalog!$B$4:$B$13,MATCH('Main Data'!L1000,Katalog!$C$4:$C$13,0)), "-")</f>
        <v>Kaos Polo</v>
      </c>
      <c r="N1000" t="str">
        <f>IFERROR(VLOOKUP(L1000,Katalog!$A$15:$B$25,2,0),"-")</f>
        <v>Pakaian Pria</v>
      </c>
      <c r="O1000" t="str">
        <f t="shared" si="547"/>
        <v>1</v>
      </c>
      <c r="P1000" t="str">
        <f t="shared" si="548"/>
        <v>4</v>
      </c>
      <c r="Q1000" s="18">
        <f>IFERROR(VLOOKUP(L1000,Katalog!$C$3:$F$13,2,0),0)</f>
        <v>80000</v>
      </c>
      <c r="R1000" s="18">
        <f>IFERROR(VLOOKUP(L1000,Katalog!$C$3:$F$13,3,0),0)</f>
        <v>30000</v>
      </c>
      <c r="S1000" t="str">
        <f t="shared" si="549"/>
        <v>-</v>
      </c>
      <c r="T1000" t="str">
        <f>IFERROR(INDEX(Katalog!$B$4:$B$13,MATCH('Main Data'!S1000,Katalog!$C$4:$C$13,0)),"-")</f>
        <v>-</v>
      </c>
      <c r="U1000" t="str">
        <f>IFERROR(VLOOKUP(S1000,Katalog!$A$15:$B$25,2,0),"-")</f>
        <v>-</v>
      </c>
      <c r="V1000">
        <f t="shared" si="550"/>
        <v>0</v>
      </c>
      <c r="W1000" s="28" t="str">
        <f t="shared" si="551"/>
        <v>-</v>
      </c>
      <c r="X1000" s="18">
        <f>IFERROR(VLOOKUP(S1000,Katalog!$C$3:$F$13,2,0),0)</f>
        <v>0</v>
      </c>
      <c r="Y1000" s="30">
        <f>IFERROR(VLOOKUP(S1000,Katalog!$C$3:$F$13,3,0),0)</f>
        <v>0</v>
      </c>
      <c r="Z1000" s="2">
        <f t="shared" si="552"/>
        <v>7</v>
      </c>
      <c r="AA1000" s="4">
        <f t="shared" si="553"/>
        <v>1880000</v>
      </c>
      <c r="AB1000" s="4">
        <f t="shared" si="554"/>
        <v>630000</v>
      </c>
      <c r="AC1000" s="4" t="s">
        <v>27</v>
      </c>
      <c r="AD1000" s="16">
        <f>IFERROR(VLOOKUP(AC1000,'Kode Diskon'!$C$2:$D$9,2,0),0)</f>
        <v>0.15</v>
      </c>
      <c r="AE1000" s="31">
        <f t="shared" si="555"/>
        <v>282000</v>
      </c>
      <c r="AF1000" s="31">
        <f t="shared" si="556"/>
        <v>1598000</v>
      </c>
      <c r="AG1000" s="31">
        <f t="shared" si="557"/>
        <v>1250000</v>
      </c>
      <c r="AH1000" s="31">
        <f t="shared" si="558"/>
        <v>968000</v>
      </c>
      <c r="AI1000" s="4" t="s">
        <v>28</v>
      </c>
      <c r="AJ1000" s="4" t="s">
        <v>13</v>
      </c>
      <c r="AK1000" s="4" t="str">
        <f>IFERROR(VLOOKUP(AJ1000,'Guide '!$A$13:$B$16,2,0),"-")</f>
        <v>BB</v>
      </c>
      <c r="AL1000" s="4" t="s">
        <v>925</v>
      </c>
      <c r="AM1000" s="40">
        <v>45657</v>
      </c>
      <c r="AN1000">
        <f t="shared" si="559"/>
        <v>29</v>
      </c>
      <c r="AO1000">
        <f t="shared" si="560"/>
        <v>32</v>
      </c>
      <c r="AP1000">
        <f t="shared" si="561"/>
        <v>40</v>
      </c>
      <c r="AQ1000">
        <f t="shared" si="562"/>
        <v>43</v>
      </c>
      <c r="AR1000" s="26">
        <f t="shared" si="563"/>
        <v>56</v>
      </c>
      <c r="AS1000" s="26">
        <f t="shared" si="564"/>
        <v>63</v>
      </c>
      <c r="AT1000" s="21">
        <f t="shared" si="565"/>
        <v>12</v>
      </c>
      <c r="AU1000" s="21">
        <f t="shared" si="566"/>
        <v>19</v>
      </c>
      <c r="AV1000">
        <f t="shared" si="567"/>
        <v>73</v>
      </c>
      <c r="AW1000">
        <f t="shared" si="568"/>
        <v>76</v>
      </c>
      <c r="AX1000">
        <f t="shared" si="569"/>
        <v>84</v>
      </c>
      <c r="AY1000">
        <f t="shared" si="570"/>
        <v>87</v>
      </c>
      <c r="AZ1000" t="str">
        <f t="shared" si="571"/>
        <v>-</v>
      </c>
      <c r="BA1000" t="str">
        <f t="shared" si="572"/>
        <v>-</v>
      </c>
      <c r="BB1000" t="str">
        <f t="shared" si="573"/>
        <v>-</v>
      </c>
      <c r="BC1000" t="str">
        <f t="shared" si="574"/>
        <v>-</v>
      </c>
      <c r="BD1000" s="29" t="str">
        <f t="shared" si="575"/>
        <v>-</v>
      </c>
      <c r="BE1000" s="29" t="str">
        <f t="shared" si="576"/>
        <v>-</v>
      </c>
    </row>
    <row r="1001" spans="1:57" ht="15" x14ac:dyDescent="0.2">
      <c r="A1001" s="2">
        <v>736</v>
      </c>
      <c r="B1001" s="2" t="str">
        <f t="shared" si="541"/>
        <v>0736</v>
      </c>
      <c r="C1001" t="str">
        <f t="shared" si="542"/>
        <v>ORD-TK-0736-31/12/24</v>
      </c>
      <c r="D1001" s="3" t="s">
        <v>86</v>
      </c>
      <c r="E1001" t="str">
        <f t="shared" si="543"/>
        <v>PW001</v>
      </c>
      <c r="F1001" t="str">
        <f>INDEX(Katalog!$B$4:$B$13,MATCH('Main Data'!E1001,Katalog!$C$4:$C$13,0))</f>
        <v>Dress</v>
      </c>
      <c r="G1001" t="str">
        <f>VLOOKUP(E1001,Katalog!$A$15:$B$25,2,0)</f>
        <v>Pakaian Wanita</v>
      </c>
      <c r="H1001" t="str">
        <f t="shared" si="544"/>
        <v>1</v>
      </c>
      <c r="I1001" t="str">
        <f t="shared" si="545"/>
        <v>3</v>
      </c>
      <c r="J1001" s="18">
        <f>VLOOKUP(E1001,Katalog!$C$3:$F$13,2,0)</f>
        <v>150000</v>
      </c>
      <c r="K1001" s="18">
        <f>VLOOKUP(E1001,Katalog!$C$3:$F$13,3,0)</f>
        <v>55000</v>
      </c>
      <c r="L1001" t="str">
        <f t="shared" si="546"/>
        <v>-</v>
      </c>
      <c r="M1001" t="str">
        <f>IFERROR(INDEX(Katalog!$B$4:$B$13,MATCH('Main Data'!L1001,Katalog!$C$4:$C$13,0)), "-")</f>
        <v>-</v>
      </c>
      <c r="N1001" t="str">
        <f>IFERROR(VLOOKUP(L1001,Katalog!$A$15:$B$25,2,0),"-")</f>
        <v>-</v>
      </c>
      <c r="O1001">
        <f t="shared" si="547"/>
        <v>0</v>
      </c>
      <c r="P1001" t="str">
        <f t="shared" si="548"/>
        <v>-</v>
      </c>
      <c r="Q1001" s="18">
        <f>IFERROR(VLOOKUP(L1001,Katalog!$C$3:$F$13,2,0),0)</f>
        <v>0</v>
      </c>
      <c r="R1001" s="18">
        <f>IFERROR(VLOOKUP(L1001,Katalog!$C$3:$F$13,3,0),0)</f>
        <v>0</v>
      </c>
      <c r="S1001" t="str">
        <f t="shared" si="549"/>
        <v>-</v>
      </c>
      <c r="T1001" t="str">
        <f>IFERROR(INDEX(Katalog!$B$4:$B$13,MATCH('Main Data'!S1001,Katalog!$C$4:$C$13,0)),"-")</f>
        <v>-</v>
      </c>
      <c r="U1001" t="str">
        <f>IFERROR(VLOOKUP(S1001,Katalog!$A$15:$B$25,2,0),"-")</f>
        <v>-</v>
      </c>
      <c r="V1001">
        <f t="shared" si="550"/>
        <v>0</v>
      </c>
      <c r="W1001" s="28" t="str">
        <f t="shared" si="551"/>
        <v>-</v>
      </c>
      <c r="X1001" s="18">
        <f>IFERROR(VLOOKUP(S1001,Katalog!$C$3:$F$13,2,0),0)</f>
        <v>0</v>
      </c>
      <c r="Y1001" s="30">
        <f>IFERROR(VLOOKUP(S1001,Katalog!$C$3:$F$13,3,0),0)</f>
        <v>0</v>
      </c>
      <c r="Z1001" s="2">
        <f t="shared" si="552"/>
        <v>1</v>
      </c>
      <c r="AA1001" s="4">
        <f t="shared" si="553"/>
        <v>150000</v>
      </c>
      <c r="AB1001" s="4">
        <f t="shared" si="554"/>
        <v>55000</v>
      </c>
      <c r="AC1001" s="4" t="s">
        <v>10</v>
      </c>
      <c r="AD1001" s="16">
        <f>IFERROR(VLOOKUP(AC1001,'Kode Diskon'!$C$2:$D$9,2,0),0)</f>
        <v>0</v>
      </c>
      <c r="AE1001" s="31">
        <f t="shared" si="555"/>
        <v>0</v>
      </c>
      <c r="AF1001" s="31">
        <f t="shared" si="556"/>
        <v>150000</v>
      </c>
      <c r="AG1001" s="31">
        <f t="shared" si="557"/>
        <v>95000</v>
      </c>
      <c r="AH1001" s="31">
        <f t="shared" si="558"/>
        <v>95000</v>
      </c>
      <c r="AI1001" s="4" t="s">
        <v>10</v>
      </c>
      <c r="AJ1001" s="4" t="s">
        <v>9</v>
      </c>
      <c r="AK1001" s="4" t="str">
        <f>IFERROR(VLOOKUP(AJ1001,'Guide '!$A$13:$B$16,2,0),"-")</f>
        <v>TK</v>
      </c>
      <c r="AL1001" s="4" t="s">
        <v>922</v>
      </c>
      <c r="AM1001" s="40">
        <v>45657</v>
      </c>
      <c r="AN1001">
        <f t="shared" si="559"/>
        <v>29</v>
      </c>
      <c r="AO1001">
        <f t="shared" si="560"/>
        <v>32</v>
      </c>
      <c r="AP1001">
        <f t="shared" si="561"/>
        <v>40</v>
      </c>
      <c r="AQ1001">
        <f t="shared" si="562"/>
        <v>43</v>
      </c>
      <c r="AR1001" s="26" t="str">
        <f t="shared" si="563"/>
        <v>-</v>
      </c>
      <c r="AS1001" s="26" t="str">
        <f t="shared" si="564"/>
        <v>-</v>
      </c>
      <c r="AT1001" s="21">
        <f t="shared" si="565"/>
        <v>12</v>
      </c>
      <c r="AU1001" s="21">
        <f t="shared" si="566"/>
        <v>19</v>
      </c>
      <c r="AV1001" t="str">
        <f t="shared" si="567"/>
        <v>-</v>
      </c>
      <c r="AW1001" t="str">
        <f t="shared" si="568"/>
        <v>-</v>
      </c>
      <c r="AX1001" t="str">
        <f t="shared" si="569"/>
        <v>-</v>
      </c>
      <c r="AY1001" t="str">
        <f t="shared" si="570"/>
        <v>-</v>
      </c>
      <c r="AZ1001" t="str">
        <f t="shared" si="571"/>
        <v>-</v>
      </c>
      <c r="BA1001" t="str">
        <f t="shared" si="572"/>
        <v>-</v>
      </c>
      <c r="BB1001" t="str">
        <f t="shared" si="573"/>
        <v>-</v>
      </c>
      <c r="BC1001" t="str">
        <f t="shared" si="574"/>
        <v>-</v>
      </c>
      <c r="BD1001" s="29" t="str">
        <f t="shared" si="575"/>
        <v>-</v>
      </c>
      <c r="BE1001" s="29" t="str">
        <f t="shared" si="576"/>
        <v>-</v>
      </c>
    </row>
    <row r="1002" spans="1:57" ht="15" x14ac:dyDescent="0.2">
      <c r="A1002" s="2">
        <v>793</v>
      </c>
      <c r="B1002" s="2" t="str">
        <f t="shared" si="541"/>
        <v>0793</v>
      </c>
      <c r="C1002" t="str">
        <f t="shared" si="542"/>
        <v>ORD-BL-0793-31/12/24</v>
      </c>
      <c r="D1002" s="3" t="s">
        <v>131</v>
      </c>
      <c r="E1002" t="str">
        <f t="shared" si="543"/>
        <v>SW001</v>
      </c>
      <c r="F1002" t="str">
        <f>INDEX(Katalog!$B$4:$B$13,MATCH('Main Data'!E1002,Katalog!$C$4:$C$13,0))</f>
        <v>Flat Shoes</v>
      </c>
      <c r="G1002" t="str">
        <f>VLOOKUP(E1002,Katalog!$A$15:$B$25,2,0)</f>
        <v>Sepatu Wanita</v>
      </c>
      <c r="H1002" t="str">
        <f t="shared" si="544"/>
        <v>2</v>
      </c>
      <c r="I1002" t="str">
        <f t="shared" si="545"/>
        <v>2</v>
      </c>
      <c r="J1002" s="18">
        <f>VLOOKUP(E1002,Katalog!$C$3:$F$13,2,0)</f>
        <v>150000</v>
      </c>
      <c r="K1002" s="18">
        <f>VLOOKUP(E1002,Katalog!$C$3:$F$13,3,0)</f>
        <v>70000</v>
      </c>
      <c r="L1002" t="str">
        <f t="shared" si="546"/>
        <v>-</v>
      </c>
      <c r="M1002" t="str">
        <f>IFERROR(INDEX(Katalog!$B$4:$B$13,MATCH('Main Data'!L1002,Katalog!$C$4:$C$13,0)), "-")</f>
        <v>-</v>
      </c>
      <c r="N1002" t="str">
        <f>IFERROR(VLOOKUP(L1002,Katalog!$A$15:$B$25,2,0),"-")</f>
        <v>-</v>
      </c>
      <c r="O1002">
        <f t="shared" si="547"/>
        <v>0</v>
      </c>
      <c r="P1002" t="str">
        <f t="shared" si="548"/>
        <v>-</v>
      </c>
      <c r="Q1002" s="18">
        <f>IFERROR(VLOOKUP(L1002,Katalog!$C$3:$F$13,2,0),0)</f>
        <v>0</v>
      </c>
      <c r="R1002" s="18">
        <f>IFERROR(VLOOKUP(L1002,Katalog!$C$3:$F$13,3,0),0)</f>
        <v>0</v>
      </c>
      <c r="S1002" t="str">
        <f t="shared" si="549"/>
        <v>-</v>
      </c>
      <c r="T1002" t="str">
        <f>IFERROR(INDEX(Katalog!$B$4:$B$13,MATCH('Main Data'!S1002,Katalog!$C$4:$C$13,0)),"-")</f>
        <v>-</v>
      </c>
      <c r="U1002" t="str">
        <f>IFERROR(VLOOKUP(S1002,Katalog!$A$15:$B$25,2,0),"-")</f>
        <v>-</v>
      </c>
      <c r="V1002">
        <f t="shared" si="550"/>
        <v>0</v>
      </c>
      <c r="W1002" s="28" t="str">
        <f t="shared" si="551"/>
        <v>-</v>
      </c>
      <c r="X1002" s="18">
        <f>IFERROR(VLOOKUP(S1002,Katalog!$C$3:$F$13,2,0),0)</f>
        <v>0</v>
      </c>
      <c r="Y1002" s="30">
        <f>IFERROR(VLOOKUP(S1002,Katalog!$C$3:$F$13,3,0),0)</f>
        <v>0</v>
      </c>
      <c r="Z1002" s="2">
        <f t="shared" si="552"/>
        <v>2</v>
      </c>
      <c r="AA1002" s="4">
        <f t="shared" si="553"/>
        <v>300000</v>
      </c>
      <c r="AB1002" s="4">
        <f t="shared" si="554"/>
        <v>140000</v>
      </c>
      <c r="AC1002" s="4" t="s">
        <v>31</v>
      </c>
      <c r="AD1002" s="16">
        <f>IFERROR(VLOOKUP(AC1002,'Kode Diskon'!$C$2:$D$9,2,0),0)</f>
        <v>0.15</v>
      </c>
      <c r="AE1002" s="31">
        <f t="shared" si="555"/>
        <v>45000</v>
      </c>
      <c r="AF1002" s="31">
        <f t="shared" si="556"/>
        <v>255000</v>
      </c>
      <c r="AG1002" s="31">
        <f t="shared" si="557"/>
        <v>160000</v>
      </c>
      <c r="AH1002" s="31">
        <f t="shared" si="558"/>
        <v>115000</v>
      </c>
      <c r="AI1002" s="4" t="s">
        <v>8</v>
      </c>
      <c r="AJ1002" s="4" t="s">
        <v>11</v>
      </c>
      <c r="AK1002" s="4" t="str">
        <f>IFERROR(VLOOKUP(AJ1002,'Guide '!$A$13:$B$16,2,0),"-")</f>
        <v>BL</v>
      </c>
      <c r="AL1002" s="4" t="s">
        <v>924</v>
      </c>
      <c r="AM1002" s="40">
        <v>45657</v>
      </c>
      <c r="AN1002">
        <f t="shared" si="559"/>
        <v>29</v>
      </c>
      <c r="AO1002">
        <f t="shared" si="560"/>
        <v>32</v>
      </c>
      <c r="AP1002">
        <f t="shared" si="561"/>
        <v>40</v>
      </c>
      <c r="AQ1002">
        <f t="shared" si="562"/>
        <v>43</v>
      </c>
      <c r="AR1002" s="26" t="str">
        <f t="shared" si="563"/>
        <v>-</v>
      </c>
      <c r="AS1002" s="26" t="str">
        <f t="shared" si="564"/>
        <v>-</v>
      </c>
      <c r="AT1002" s="21">
        <f t="shared" si="565"/>
        <v>12</v>
      </c>
      <c r="AU1002" s="21">
        <f t="shared" si="566"/>
        <v>19</v>
      </c>
      <c r="AV1002" t="str">
        <f t="shared" si="567"/>
        <v>-</v>
      </c>
      <c r="AW1002" t="str">
        <f t="shared" si="568"/>
        <v>-</v>
      </c>
      <c r="AX1002" t="str">
        <f t="shared" si="569"/>
        <v>-</v>
      </c>
      <c r="AY1002" t="str">
        <f t="shared" si="570"/>
        <v>-</v>
      </c>
      <c r="AZ1002" t="str">
        <f t="shared" si="571"/>
        <v>-</v>
      </c>
      <c r="BA1002" t="str">
        <f t="shared" si="572"/>
        <v>-</v>
      </c>
      <c r="BB1002" t="str">
        <f t="shared" si="573"/>
        <v>-</v>
      </c>
      <c r="BC1002" t="str">
        <f t="shared" si="574"/>
        <v>-</v>
      </c>
      <c r="BD1002" s="29" t="str">
        <f t="shared" si="575"/>
        <v>-</v>
      </c>
      <c r="BE1002" s="29" t="str">
        <f t="shared" si="576"/>
        <v>-</v>
      </c>
    </row>
    <row r="1048558" spans="23:41" ht="15.75" customHeight="1" x14ac:dyDescent="0.15">
      <c r="W1048558" s="19"/>
      <c r="Y1048558"/>
      <c r="AC1048558" s="17"/>
      <c r="AL1048558" s="15"/>
      <c r="AM1048558" s="15"/>
      <c r="AN1048558"/>
      <c r="AO1048558"/>
    </row>
  </sheetData>
  <sortState xmlns:xlrd2="http://schemas.microsoft.com/office/spreadsheetml/2017/richdata2" ref="A3:BE1002">
    <sortCondition ref="AM3:AM1002"/>
  </sortState>
  <pageMargins left="0.7" right="0.7" top="0.75" bottom="0.75" header="0.3" footer="0.3"/>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41DC0-3EE3-4E9F-B755-A74EA87FE937}">
  <dimension ref="A1:O500"/>
  <sheetViews>
    <sheetView topLeftCell="A37" zoomScaleNormal="100" workbookViewId="0">
      <selection activeCell="E43" sqref="E43:F54"/>
    </sheetView>
  </sheetViews>
  <sheetFormatPr defaultColWidth="9.16796875" defaultRowHeight="12.75" x14ac:dyDescent="0.15"/>
  <cols>
    <col min="1" max="2" width="12.9453125" style="1" bestFit="1" customWidth="1"/>
    <col min="3" max="3" width="15.5078125" style="1" bestFit="1" customWidth="1"/>
    <col min="4" max="5" width="12.9453125" style="1" bestFit="1" customWidth="1"/>
    <col min="6" max="6" width="21.171875" style="1" bestFit="1" customWidth="1"/>
    <col min="7" max="7" width="21.84375" style="1" bestFit="1" customWidth="1"/>
    <col min="8" max="8" width="12.9453125" style="1" bestFit="1" customWidth="1"/>
    <col min="9" max="9" width="26.69921875" style="1" bestFit="1" customWidth="1"/>
    <col min="10" max="10" width="15.5078125" style="1" bestFit="1" customWidth="1"/>
    <col min="11" max="12" width="21.171875" style="1" bestFit="1" customWidth="1"/>
    <col min="13" max="13" width="13.75390625" style="1" bestFit="1" customWidth="1"/>
    <col min="14" max="14" width="15.5078125" style="1" bestFit="1" customWidth="1"/>
    <col min="15" max="15" width="21.171875" style="1" bestFit="1" customWidth="1"/>
    <col min="16" max="16384" width="9.16796875" style="1"/>
  </cols>
  <sheetData>
    <row r="1" spans="1:15" x14ac:dyDescent="0.15">
      <c r="A1" s="47" t="s">
        <v>987</v>
      </c>
      <c r="B1" s="47" t="s">
        <v>997</v>
      </c>
      <c r="D1" s="47" t="s">
        <v>994</v>
      </c>
      <c r="E1" s="47" t="s">
        <v>996</v>
      </c>
      <c r="G1"/>
      <c r="H1" s="47" t="s">
        <v>981</v>
      </c>
      <c r="I1" s="47" t="s">
        <v>996</v>
      </c>
      <c r="J1" s="47" t="s">
        <v>987</v>
      </c>
    </row>
    <row r="2" spans="1:15" x14ac:dyDescent="0.15">
      <c r="A2" s="47">
        <v>4080</v>
      </c>
      <c r="B2" s="51">
        <v>284175250</v>
      </c>
      <c r="D2" s="49">
        <v>251530000</v>
      </c>
      <c r="E2" s="49">
        <v>607450000</v>
      </c>
      <c r="G2"/>
      <c r="H2" s="48" t="s">
        <v>922</v>
      </c>
      <c r="I2" s="49">
        <v>61395000</v>
      </c>
      <c r="J2" s="47">
        <v>394</v>
      </c>
      <c r="M2" s="1" t="s">
        <v>981</v>
      </c>
      <c r="N2" s="1" t="s">
        <v>996</v>
      </c>
    </row>
    <row r="3" spans="1:15" x14ac:dyDescent="0.15">
      <c r="H3" s="48" t="s">
        <v>925</v>
      </c>
      <c r="I3" s="49">
        <v>216340000</v>
      </c>
      <c r="J3" s="47">
        <v>1421</v>
      </c>
      <c r="K3"/>
      <c r="M3" s="1" t="s">
        <v>13</v>
      </c>
      <c r="N3" s="1">
        <v>5605000</v>
      </c>
    </row>
    <row r="4" spans="1:15" x14ac:dyDescent="0.15">
      <c r="B4" s="41"/>
      <c r="H4" s="48" t="s">
        <v>923</v>
      </c>
      <c r="I4" s="49">
        <v>37200000</v>
      </c>
      <c r="J4" s="47">
        <v>266</v>
      </c>
      <c r="K4"/>
      <c r="M4" s="1" t="s">
        <v>11</v>
      </c>
      <c r="N4" s="1">
        <v>5855000</v>
      </c>
    </row>
    <row r="5" spans="1:15" x14ac:dyDescent="0.15">
      <c r="A5" s="47" t="s">
        <v>981</v>
      </c>
      <c r="B5" s="47" t="s">
        <v>996</v>
      </c>
      <c r="D5" s="47" t="s">
        <v>981</v>
      </c>
      <c r="E5" s="47" t="s">
        <v>987</v>
      </c>
      <c r="H5" s="48" t="s">
        <v>921</v>
      </c>
      <c r="I5" s="49">
        <v>92640000</v>
      </c>
      <c r="J5" s="47">
        <v>645</v>
      </c>
      <c r="K5"/>
      <c r="M5" s="1" t="s">
        <v>6</v>
      </c>
      <c r="N5" s="1">
        <v>23470000</v>
      </c>
    </row>
    <row r="6" spans="1:15" x14ac:dyDescent="0.15">
      <c r="A6" s="48" t="s">
        <v>13</v>
      </c>
      <c r="B6" s="49">
        <v>93190000</v>
      </c>
      <c r="D6" s="48" t="s">
        <v>13</v>
      </c>
      <c r="E6" s="55">
        <v>0.14852941176470588</v>
      </c>
      <c r="H6" s="48" t="s">
        <v>924</v>
      </c>
      <c r="I6" s="49">
        <v>92725000</v>
      </c>
      <c r="J6" s="47">
        <v>643</v>
      </c>
      <c r="K6"/>
      <c r="M6" s="1" t="s">
        <v>9</v>
      </c>
      <c r="N6" s="1">
        <v>12885000</v>
      </c>
    </row>
    <row r="7" spans="1:15" x14ac:dyDescent="0.15">
      <c r="A7" s="48" t="s">
        <v>11</v>
      </c>
      <c r="B7" s="49">
        <v>83220000</v>
      </c>
      <c r="D7" s="48" t="s">
        <v>11</v>
      </c>
      <c r="E7" s="55">
        <v>0.14215686274509803</v>
      </c>
      <c r="H7" s="48" t="s">
        <v>1006</v>
      </c>
      <c r="I7" s="49">
        <v>107150000</v>
      </c>
      <c r="J7" s="47">
        <v>711</v>
      </c>
      <c r="K7"/>
      <c r="M7" s="1" t="s">
        <v>982</v>
      </c>
      <c r="N7" s="1">
        <v>47815000</v>
      </c>
    </row>
    <row r="8" spans="1:15" x14ac:dyDescent="0.15">
      <c r="A8" s="48" t="s">
        <v>6</v>
      </c>
      <c r="B8" s="49">
        <v>259575000</v>
      </c>
      <c r="D8" s="48" t="s">
        <v>6</v>
      </c>
      <c r="E8" s="55">
        <v>0.42769607843137253</v>
      </c>
      <c r="H8" s="48" t="s">
        <v>982</v>
      </c>
      <c r="I8" s="49">
        <v>607450000</v>
      </c>
      <c r="J8" s="47">
        <v>4080</v>
      </c>
      <c r="K8"/>
    </row>
    <row r="9" spans="1:15" x14ac:dyDescent="0.15">
      <c r="A9" s="48" t="s">
        <v>9</v>
      </c>
      <c r="B9" s="49">
        <v>171465000</v>
      </c>
      <c r="D9" s="48" t="s">
        <v>9</v>
      </c>
      <c r="E9" s="55">
        <v>0.28161764705882353</v>
      </c>
      <c r="I9"/>
      <c r="J9"/>
      <c r="K9"/>
      <c r="M9" s="47" t="s">
        <v>1005</v>
      </c>
      <c r="N9" s="47" t="s">
        <v>987</v>
      </c>
      <c r="O9" s="47" t="s">
        <v>996</v>
      </c>
    </row>
    <row r="10" spans="1:15" x14ac:dyDescent="0.15">
      <c r="A10" s="48" t="s">
        <v>982</v>
      </c>
      <c r="B10" s="49">
        <v>607450000</v>
      </c>
      <c r="D10" s="48" t="s">
        <v>982</v>
      </c>
      <c r="E10" s="55">
        <v>1</v>
      </c>
      <c r="I10"/>
      <c r="J10"/>
      <c r="K10"/>
      <c r="M10" s="48" t="s">
        <v>1011</v>
      </c>
      <c r="N10" s="47">
        <v>334</v>
      </c>
      <c r="O10" s="49">
        <v>47815000</v>
      </c>
    </row>
    <row r="11" spans="1:15" x14ac:dyDescent="0.15">
      <c r="I11"/>
      <c r="J11"/>
      <c r="K11"/>
      <c r="M11" s="50">
        <v>45292</v>
      </c>
      <c r="N11" s="47">
        <v>10</v>
      </c>
      <c r="O11" s="49">
        <v>1055000</v>
      </c>
    </row>
    <row r="12" spans="1:15" x14ac:dyDescent="0.15">
      <c r="I12"/>
      <c r="J12"/>
      <c r="K12"/>
      <c r="M12" s="50">
        <v>45293</v>
      </c>
      <c r="N12" s="47">
        <v>12</v>
      </c>
      <c r="O12" s="49">
        <v>1105000</v>
      </c>
    </row>
    <row r="13" spans="1:15" x14ac:dyDescent="0.15">
      <c r="C13"/>
      <c r="E13" s="47" t="s">
        <v>981</v>
      </c>
      <c r="F13" s="47" t="s">
        <v>996</v>
      </c>
      <c r="G13"/>
      <c r="I13"/>
      <c r="J13"/>
      <c r="K13"/>
      <c r="M13" s="50">
        <v>45294</v>
      </c>
      <c r="N13" s="47">
        <v>7</v>
      </c>
      <c r="O13" s="49">
        <v>720000</v>
      </c>
    </row>
    <row r="14" spans="1:15" x14ac:dyDescent="0.15">
      <c r="C14"/>
      <c r="E14" s="48" t="s">
        <v>923</v>
      </c>
      <c r="F14" s="49">
        <v>37200000</v>
      </c>
      <c r="G14"/>
      <c r="I14"/>
      <c r="J14"/>
      <c r="K14"/>
      <c r="M14" s="50">
        <v>45295</v>
      </c>
      <c r="N14" s="47">
        <v>27</v>
      </c>
      <c r="O14" s="49">
        <v>3820000</v>
      </c>
    </row>
    <row r="15" spans="1:15" x14ac:dyDescent="0.15">
      <c r="C15"/>
      <c r="E15" s="48" t="s">
        <v>922</v>
      </c>
      <c r="F15" s="49">
        <v>61395000</v>
      </c>
      <c r="G15"/>
      <c r="I15"/>
      <c r="J15"/>
      <c r="K15"/>
      <c r="M15" s="50">
        <v>45296</v>
      </c>
      <c r="N15" s="47">
        <v>9</v>
      </c>
      <c r="O15" s="49">
        <v>1510000</v>
      </c>
    </row>
    <row r="16" spans="1:15" x14ac:dyDescent="0.15">
      <c r="C16"/>
      <c r="E16" s="48" t="s">
        <v>921</v>
      </c>
      <c r="F16" s="49">
        <v>92640000</v>
      </c>
      <c r="G16"/>
      <c r="I16"/>
      <c r="J16"/>
      <c r="K16"/>
      <c r="M16" s="50">
        <v>45297</v>
      </c>
      <c r="N16" s="47">
        <v>8</v>
      </c>
      <c r="O16" s="49">
        <v>1150000</v>
      </c>
    </row>
    <row r="17" spans="1:15" x14ac:dyDescent="0.15">
      <c r="C17"/>
      <c r="E17" s="48" t="s">
        <v>924</v>
      </c>
      <c r="F17" s="49">
        <v>92725000</v>
      </c>
      <c r="G17"/>
      <c r="I17"/>
      <c r="J17"/>
      <c r="K17"/>
      <c r="M17" s="50">
        <v>45299</v>
      </c>
      <c r="N17" s="47">
        <v>30</v>
      </c>
      <c r="O17" s="49">
        <v>4470000</v>
      </c>
    </row>
    <row r="18" spans="1:15" x14ac:dyDescent="0.15">
      <c r="A18"/>
      <c r="B18"/>
      <c r="C18"/>
      <c r="E18" s="48" t="s">
        <v>1006</v>
      </c>
      <c r="F18" s="49">
        <v>107150000</v>
      </c>
      <c r="G18"/>
      <c r="H18"/>
      <c r="I18"/>
      <c r="J18"/>
      <c r="K18"/>
      <c r="M18" s="50">
        <v>45300</v>
      </c>
      <c r="N18" s="47">
        <v>11</v>
      </c>
      <c r="O18" s="49">
        <v>1570000</v>
      </c>
    </row>
    <row r="19" spans="1:15" x14ac:dyDescent="0.15">
      <c r="A19" s="47" t="s">
        <v>1004</v>
      </c>
      <c r="B19" s="47" t="s">
        <v>996</v>
      </c>
      <c r="C19"/>
      <c r="E19" s="48" t="s">
        <v>925</v>
      </c>
      <c r="F19" s="49">
        <v>216340000</v>
      </c>
      <c r="G19"/>
      <c r="H19"/>
      <c r="I19"/>
      <c r="J19"/>
      <c r="K19"/>
      <c r="M19" s="50">
        <v>45301</v>
      </c>
      <c r="N19" s="47">
        <v>9</v>
      </c>
      <c r="O19" s="49">
        <v>1435000</v>
      </c>
    </row>
    <row r="20" spans="1:15" x14ac:dyDescent="0.15">
      <c r="A20" s="48" t="s">
        <v>19</v>
      </c>
      <c r="B20" s="49">
        <v>41130000</v>
      </c>
      <c r="C20"/>
      <c r="E20" s="48" t="s">
        <v>982</v>
      </c>
      <c r="F20" s="49">
        <v>607450000</v>
      </c>
      <c r="G20"/>
      <c r="H20"/>
      <c r="I20"/>
      <c r="J20"/>
      <c r="K20"/>
      <c r="M20" s="50">
        <v>45302</v>
      </c>
      <c r="N20" s="47">
        <v>24</v>
      </c>
      <c r="O20" s="49">
        <v>4180000</v>
      </c>
    </row>
    <row r="21" spans="1:15" x14ac:dyDescent="0.15">
      <c r="A21" s="48" t="s">
        <v>14</v>
      </c>
      <c r="B21" s="49">
        <v>42970000</v>
      </c>
      <c r="C21"/>
      <c r="G21"/>
      <c r="H21"/>
      <c r="I21"/>
      <c r="J21"/>
      <c r="K21"/>
      <c r="M21" s="50">
        <v>45303</v>
      </c>
      <c r="N21" s="47">
        <v>12</v>
      </c>
      <c r="O21" s="49">
        <v>1040000</v>
      </c>
    </row>
    <row r="22" spans="1:15" x14ac:dyDescent="0.15">
      <c r="A22" s="48" t="s">
        <v>15</v>
      </c>
      <c r="B22" s="49">
        <v>55015000</v>
      </c>
      <c r="C22"/>
      <c r="H22"/>
      <c r="I22"/>
      <c r="J22"/>
      <c r="K22"/>
      <c r="M22" s="50">
        <v>45305</v>
      </c>
      <c r="N22" s="47">
        <v>4</v>
      </c>
      <c r="O22" s="49">
        <v>525000</v>
      </c>
    </row>
    <row r="23" spans="1:15" x14ac:dyDescent="0.15">
      <c r="A23" s="48" t="s">
        <v>57</v>
      </c>
      <c r="B23" s="49">
        <v>55015000</v>
      </c>
      <c r="C23"/>
      <c r="I23"/>
      <c r="J23"/>
      <c r="K23"/>
      <c r="M23" s="50">
        <v>45306</v>
      </c>
      <c r="N23" s="47">
        <v>2</v>
      </c>
      <c r="O23" s="49">
        <v>360000</v>
      </c>
    </row>
    <row r="24" spans="1:15" x14ac:dyDescent="0.15">
      <c r="A24" s="48" t="s">
        <v>56</v>
      </c>
      <c r="B24" s="49">
        <v>56560000</v>
      </c>
      <c r="C24"/>
      <c r="I24"/>
      <c r="J24"/>
      <c r="K24"/>
      <c r="M24" s="50">
        <v>45307</v>
      </c>
      <c r="N24" s="47">
        <v>9</v>
      </c>
      <c r="O24" s="49">
        <v>1040000</v>
      </c>
    </row>
    <row r="25" spans="1:15" x14ac:dyDescent="0.15">
      <c r="A25" s="48" t="s">
        <v>18</v>
      </c>
      <c r="B25" s="49">
        <v>57450000</v>
      </c>
      <c r="I25"/>
      <c r="J25"/>
      <c r="K25"/>
      <c r="M25" s="50">
        <v>45308</v>
      </c>
      <c r="N25" s="47">
        <v>11</v>
      </c>
      <c r="O25" s="49">
        <v>1610000</v>
      </c>
    </row>
    <row r="26" spans="1:15" x14ac:dyDescent="0.15">
      <c r="A26" s="48" t="s">
        <v>20</v>
      </c>
      <c r="B26" s="49">
        <v>59570000</v>
      </c>
      <c r="I26"/>
      <c r="J26"/>
      <c r="K26"/>
      <c r="M26" s="50">
        <v>45309</v>
      </c>
      <c r="N26" s="47">
        <v>4</v>
      </c>
      <c r="O26" s="49">
        <v>560000</v>
      </c>
    </row>
    <row r="27" spans="1:15" x14ac:dyDescent="0.15">
      <c r="A27" s="48" t="s">
        <v>16</v>
      </c>
      <c r="B27" s="49">
        <v>64260000</v>
      </c>
      <c r="I27"/>
      <c r="J27"/>
      <c r="K27"/>
      <c r="M27" s="50">
        <v>45310</v>
      </c>
      <c r="N27" s="47">
        <v>17</v>
      </c>
      <c r="O27" s="49">
        <v>2055000</v>
      </c>
    </row>
    <row r="28" spans="1:15" x14ac:dyDescent="0.15">
      <c r="A28" s="48" t="s">
        <v>17</v>
      </c>
      <c r="B28" s="49">
        <v>75140000</v>
      </c>
      <c r="I28"/>
      <c r="J28"/>
      <c r="K28"/>
      <c r="M28" s="50">
        <v>45312</v>
      </c>
      <c r="N28" s="47">
        <v>9</v>
      </c>
      <c r="O28" s="49">
        <v>1020000</v>
      </c>
    </row>
    <row r="29" spans="1:15" x14ac:dyDescent="0.15">
      <c r="A29" s="48" t="s">
        <v>58</v>
      </c>
      <c r="B29" s="49">
        <v>100340000</v>
      </c>
      <c r="H29" s="1" t="s">
        <v>996</v>
      </c>
      <c r="I29"/>
      <c r="J29"/>
      <c r="K29"/>
      <c r="M29" s="50">
        <v>45313</v>
      </c>
      <c r="N29" s="47">
        <v>7</v>
      </c>
      <c r="O29" s="49">
        <v>950000</v>
      </c>
    </row>
    <row r="30" spans="1:15" x14ac:dyDescent="0.15">
      <c r="A30" s="48" t="s">
        <v>982</v>
      </c>
      <c r="B30" s="49">
        <v>607450000</v>
      </c>
      <c r="E30" s="42"/>
      <c r="G30" s="1" t="s">
        <v>922</v>
      </c>
      <c r="H30" s="1">
        <v>6285000</v>
      </c>
      <c r="I30"/>
      <c r="J30"/>
      <c r="K30"/>
      <c r="M30" s="50">
        <v>45314</v>
      </c>
      <c r="N30" s="47">
        <v>13</v>
      </c>
      <c r="O30" s="49">
        <v>2570000</v>
      </c>
    </row>
    <row r="31" spans="1:15" x14ac:dyDescent="0.15">
      <c r="E31" s="42"/>
      <c r="G31" s="1" t="s">
        <v>1006</v>
      </c>
      <c r="H31" s="1">
        <v>3995000</v>
      </c>
      <c r="I31"/>
      <c r="J31"/>
      <c r="K31"/>
      <c r="M31" s="50">
        <v>45315</v>
      </c>
      <c r="N31" s="47">
        <v>23</v>
      </c>
      <c r="O31" s="49">
        <v>3150000</v>
      </c>
    </row>
    <row r="32" spans="1:15" x14ac:dyDescent="0.15">
      <c r="E32" s="42"/>
      <c r="G32" s="1" t="s">
        <v>925</v>
      </c>
      <c r="H32" s="1">
        <v>16205000</v>
      </c>
      <c r="I32"/>
      <c r="J32"/>
      <c r="K32"/>
      <c r="M32" s="50">
        <v>45316</v>
      </c>
      <c r="N32" s="47">
        <v>23</v>
      </c>
      <c r="O32" s="49">
        <v>4565000</v>
      </c>
    </row>
    <row r="33" spans="1:15" x14ac:dyDescent="0.15">
      <c r="E33" s="42"/>
      <c r="G33" s="1" t="s">
        <v>923</v>
      </c>
      <c r="H33" s="1">
        <v>1620000</v>
      </c>
      <c r="I33"/>
      <c r="J33"/>
      <c r="K33"/>
      <c r="M33" s="50">
        <v>45317</v>
      </c>
      <c r="N33" s="47">
        <v>21</v>
      </c>
      <c r="O33" s="49">
        <v>2945000</v>
      </c>
    </row>
    <row r="34" spans="1:15" x14ac:dyDescent="0.15">
      <c r="G34" s="1" t="s">
        <v>921</v>
      </c>
      <c r="H34" s="1">
        <v>8610000</v>
      </c>
      <c r="I34"/>
      <c r="J34"/>
      <c r="K34"/>
      <c r="M34" s="50">
        <v>45319</v>
      </c>
      <c r="N34" s="47">
        <v>6</v>
      </c>
      <c r="O34" s="49">
        <v>930000</v>
      </c>
    </row>
    <row r="35" spans="1:15" x14ac:dyDescent="0.15">
      <c r="G35" s="1" t="s">
        <v>924</v>
      </c>
      <c r="H35" s="1">
        <v>11100000</v>
      </c>
      <c r="I35"/>
      <c r="J35"/>
      <c r="K35"/>
      <c r="M35" s="50">
        <v>45320</v>
      </c>
      <c r="N35" s="47">
        <v>6</v>
      </c>
      <c r="O35" s="49">
        <v>800000</v>
      </c>
    </row>
    <row r="36" spans="1:15" x14ac:dyDescent="0.15">
      <c r="G36" s="1" t="s">
        <v>982</v>
      </c>
      <c r="H36" s="1">
        <v>47815000</v>
      </c>
      <c r="I36"/>
      <c r="J36"/>
      <c r="K36"/>
      <c r="M36" s="50">
        <v>45321</v>
      </c>
      <c r="N36" s="47">
        <v>10</v>
      </c>
      <c r="O36" s="49">
        <v>1285000</v>
      </c>
    </row>
    <row r="37" spans="1:15" x14ac:dyDescent="0.15">
      <c r="C37"/>
      <c r="D37"/>
      <c r="E37"/>
      <c r="I37"/>
      <c r="J37"/>
      <c r="K37"/>
      <c r="M37" s="50">
        <v>45322</v>
      </c>
      <c r="N37" s="47">
        <v>10</v>
      </c>
      <c r="O37" s="49">
        <v>1395000</v>
      </c>
    </row>
    <row r="38" spans="1:15" x14ac:dyDescent="0.15">
      <c r="B38"/>
      <c r="C38"/>
      <c r="D38"/>
      <c r="E38"/>
      <c r="I38"/>
      <c r="J38"/>
      <c r="K38"/>
      <c r="M38" s="48" t="s">
        <v>1012</v>
      </c>
      <c r="N38" s="47">
        <v>339</v>
      </c>
      <c r="O38" s="49">
        <v>53475000</v>
      </c>
    </row>
    <row r="39" spans="1:15" x14ac:dyDescent="0.15">
      <c r="B39"/>
      <c r="C39"/>
      <c r="D39"/>
      <c r="E39"/>
      <c r="H39" s="43">
        <v>8</v>
      </c>
      <c r="I39"/>
      <c r="J39"/>
      <c r="K39"/>
      <c r="M39" s="50">
        <v>45323</v>
      </c>
      <c r="N39" s="47">
        <v>13</v>
      </c>
      <c r="O39" s="49">
        <v>1990000</v>
      </c>
    </row>
    <row r="40" spans="1:15" x14ac:dyDescent="0.15">
      <c r="A40" s="47" t="s">
        <v>994</v>
      </c>
      <c r="B40" s="47" t="s">
        <v>999</v>
      </c>
      <c r="C40" s="47" t="s">
        <v>997</v>
      </c>
      <c r="D40" s="47" t="s">
        <v>1000</v>
      </c>
      <c r="E40"/>
      <c r="I40"/>
      <c r="J40"/>
      <c r="K40"/>
      <c r="M40" s="50">
        <v>45324</v>
      </c>
      <c r="N40" s="47">
        <v>5</v>
      </c>
      <c r="O40" s="49">
        <v>460000</v>
      </c>
    </row>
    <row r="41" spans="1:15" x14ac:dyDescent="0.15">
      <c r="A41" s="49">
        <v>251530000</v>
      </c>
      <c r="B41" s="51">
        <v>355920000</v>
      </c>
      <c r="C41" s="51">
        <v>284175250</v>
      </c>
      <c r="D41" s="51">
        <v>71744750</v>
      </c>
      <c r="E41"/>
      <c r="I41"/>
      <c r="J41"/>
      <c r="K41"/>
      <c r="M41" s="50">
        <v>45325</v>
      </c>
      <c r="N41" s="47">
        <v>18</v>
      </c>
      <c r="O41" s="49">
        <v>2880000</v>
      </c>
    </row>
    <row r="42" spans="1:15" x14ac:dyDescent="0.15">
      <c r="B42"/>
      <c r="C42"/>
      <c r="D42"/>
      <c r="E42"/>
      <c r="I42"/>
      <c r="J42"/>
      <c r="K42"/>
      <c r="M42" s="50">
        <v>45326</v>
      </c>
      <c r="N42" s="47">
        <v>10</v>
      </c>
      <c r="O42" s="49">
        <v>880000</v>
      </c>
    </row>
    <row r="43" spans="1:15" x14ac:dyDescent="0.15">
      <c r="A43" s="47" t="s">
        <v>1004</v>
      </c>
      <c r="B43" s="47" t="s">
        <v>996</v>
      </c>
      <c r="C43"/>
      <c r="D43"/>
      <c r="E43" s="47" t="s">
        <v>1004</v>
      </c>
      <c r="F43" s="47" t="s">
        <v>997</v>
      </c>
      <c r="I43"/>
      <c r="J43"/>
      <c r="K43"/>
      <c r="M43" s="50">
        <v>45327</v>
      </c>
      <c r="N43" s="47">
        <v>21</v>
      </c>
      <c r="O43" s="49">
        <v>4465000</v>
      </c>
    </row>
    <row r="44" spans="1:15" x14ac:dyDescent="0.15">
      <c r="A44" s="48" t="s">
        <v>16</v>
      </c>
      <c r="B44" s="49">
        <v>64260000</v>
      </c>
      <c r="C44"/>
      <c r="D44"/>
      <c r="E44" s="48" t="s">
        <v>16</v>
      </c>
      <c r="F44" s="51">
        <v>30507750</v>
      </c>
      <c r="I44"/>
      <c r="J44"/>
      <c r="K44"/>
      <c r="M44" s="50">
        <v>45328</v>
      </c>
      <c r="N44" s="47">
        <v>6</v>
      </c>
      <c r="O44" s="49">
        <v>800000</v>
      </c>
    </row>
    <row r="45" spans="1:15" x14ac:dyDescent="0.15">
      <c r="A45" s="48" t="s">
        <v>17</v>
      </c>
      <c r="B45" s="49">
        <v>75140000</v>
      </c>
      <c r="C45"/>
      <c r="D45"/>
      <c r="E45" s="48" t="s">
        <v>17</v>
      </c>
      <c r="F45" s="51">
        <v>33604250</v>
      </c>
      <c r="I45"/>
      <c r="J45"/>
      <c r="K45"/>
      <c r="M45" s="50">
        <v>45329</v>
      </c>
      <c r="N45" s="47">
        <v>5</v>
      </c>
      <c r="O45" s="49">
        <v>695000</v>
      </c>
    </row>
    <row r="46" spans="1:15" x14ac:dyDescent="0.15">
      <c r="A46" s="48" t="s">
        <v>58</v>
      </c>
      <c r="B46" s="49">
        <v>100340000</v>
      </c>
      <c r="C46"/>
      <c r="D46"/>
      <c r="E46" s="48" t="s">
        <v>58</v>
      </c>
      <c r="F46" s="51">
        <v>53251500</v>
      </c>
      <c r="I46"/>
      <c r="J46"/>
      <c r="K46"/>
      <c r="M46" s="50">
        <v>45330</v>
      </c>
      <c r="N46" s="47">
        <v>14</v>
      </c>
      <c r="O46" s="49">
        <v>2380000</v>
      </c>
    </row>
    <row r="47" spans="1:15" x14ac:dyDescent="0.15">
      <c r="A47" s="48" t="s">
        <v>982</v>
      </c>
      <c r="B47" s="49">
        <v>239740000</v>
      </c>
      <c r="C47"/>
      <c r="D47"/>
      <c r="E47" s="48" t="s">
        <v>982</v>
      </c>
      <c r="F47" s="51">
        <v>117363500</v>
      </c>
      <c r="I47"/>
      <c r="J47"/>
      <c r="K47"/>
      <c r="M47" s="50">
        <v>45331</v>
      </c>
      <c r="N47" s="47">
        <v>9</v>
      </c>
      <c r="O47" s="49">
        <v>1555000</v>
      </c>
    </row>
    <row r="48" spans="1:15" x14ac:dyDescent="0.15">
      <c r="A48"/>
      <c r="B48"/>
      <c r="C48"/>
      <c r="D48"/>
      <c r="E48"/>
      <c r="F48"/>
      <c r="I48"/>
      <c r="J48"/>
      <c r="K48"/>
      <c r="M48" s="50">
        <v>45332</v>
      </c>
      <c r="N48" s="47">
        <v>9</v>
      </c>
      <c r="O48" s="49">
        <v>1800000</v>
      </c>
    </row>
    <row r="49" spans="1:15" x14ac:dyDescent="0.15">
      <c r="A49"/>
      <c r="B49"/>
      <c r="C49"/>
      <c r="D49"/>
      <c r="E49"/>
      <c r="F49"/>
      <c r="I49"/>
      <c r="J49"/>
      <c r="K49"/>
      <c r="M49" s="50">
        <v>45333</v>
      </c>
      <c r="N49" s="47">
        <v>11</v>
      </c>
      <c r="O49" s="49">
        <v>1940000</v>
      </c>
    </row>
    <row r="50" spans="1:15" x14ac:dyDescent="0.15">
      <c r="A50"/>
      <c r="B50"/>
      <c r="C50"/>
      <c r="D50"/>
      <c r="E50"/>
      <c r="F50"/>
      <c r="I50"/>
      <c r="J50"/>
      <c r="K50"/>
      <c r="M50" s="50">
        <v>45334</v>
      </c>
      <c r="N50" s="47">
        <v>15</v>
      </c>
      <c r="O50" s="49">
        <v>2120000</v>
      </c>
    </row>
    <row r="51" spans="1:15" x14ac:dyDescent="0.15">
      <c r="A51"/>
      <c r="B51"/>
      <c r="C51"/>
      <c r="D51"/>
      <c r="E51"/>
      <c r="F51"/>
      <c r="I51"/>
      <c r="J51"/>
      <c r="K51"/>
      <c r="M51" s="50">
        <v>45335</v>
      </c>
      <c r="N51" s="47">
        <v>9</v>
      </c>
      <c r="O51" s="49">
        <v>1740000</v>
      </c>
    </row>
    <row r="52" spans="1:15" x14ac:dyDescent="0.15">
      <c r="A52"/>
      <c r="B52"/>
      <c r="C52"/>
      <c r="D52"/>
      <c r="E52"/>
      <c r="F52"/>
      <c r="G52"/>
      <c r="I52"/>
      <c r="J52"/>
      <c r="K52"/>
      <c r="M52" s="50">
        <v>45336</v>
      </c>
      <c r="N52" s="47">
        <v>9</v>
      </c>
      <c r="O52" s="49">
        <v>1785000</v>
      </c>
    </row>
    <row r="53" spans="1:15" x14ac:dyDescent="0.15">
      <c r="A53"/>
      <c r="B53"/>
      <c r="C53"/>
      <c r="D53"/>
      <c r="E53"/>
      <c r="F53"/>
      <c r="G53"/>
      <c r="I53"/>
      <c r="J53"/>
      <c r="K53"/>
      <c r="M53" s="50">
        <v>45338</v>
      </c>
      <c r="N53" s="47">
        <v>12</v>
      </c>
      <c r="O53" s="49">
        <v>1810000</v>
      </c>
    </row>
    <row r="54" spans="1:15" x14ac:dyDescent="0.15">
      <c r="A54"/>
      <c r="B54"/>
      <c r="C54"/>
      <c r="D54"/>
      <c r="E54"/>
      <c r="F54"/>
      <c r="G54"/>
      <c r="I54"/>
      <c r="J54"/>
      <c r="K54"/>
      <c r="M54" s="50">
        <v>45339</v>
      </c>
      <c r="N54" s="47">
        <v>10</v>
      </c>
      <c r="O54" s="49">
        <v>1890000</v>
      </c>
    </row>
    <row r="55" spans="1:15" x14ac:dyDescent="0.15">
      <c r="B55"/>
      <c r="C55"/>
      <c r="D55"/>
      <c r="F55"/>
      <c r="G55"/>
      <c r="I55"/>
      <c r="J55"/>
      <c r="K55"/>
      <c r="M55" s="50">
        <v>45340</v>
      </c>
      <c r="N55" s="47">
        <v>6</v>
      </c>
      <c r="O55" s="49">
        <v>1050000</v>
      </c>
    </row>
    <row r="56" spans="1:15" x14ac:dyDescent="0.15">
      <c r="B56"/>
      <c r="C56"/>
      <c r="D56"/>
      <c r="F56"/>
      <c r="G56"/>
      <c r="I56"/>
      <c r="J56"/>
      <c r="K56"/>
      <c r="M56" s="50">
        <v>45341</v>
      </c>
      <c r="N56" s="47">
        <v>23</v>
      </c>
      <c r="O56" s="49">
        <v>3485000</v>
      </c>
    </row>
    <row r="57" spans="1:15" x14ac:dyDescent="0.15">
      <c r="B57"/>
      <c r="C57"/>
      <c r="D57"/>
      <c r="F57"/>
      <c r="G57"/>
      <c r="I57"/>
      <c r="J57"/>
      <c r="K57"/>
      <c r="M57" s="50">
        <v>45342</v>
      </c>
      <c r="N57" s="47">
        <v>23</v>
      </c>
      <c r="O57" s="49">
        <v>3510000</v>
      </c>
    </row>
    <row r="58" spans="1:15" x14ac:dyDescent="0.15">
      <c r="F58"/>
      <c r="G58"/>
      <c r="I58"/>
      <c r="J58"/>
      <c r="K58"/>
      <c r="M58" s="50">
        <v>45343</v>
      </c>
      <c r="N58" s="47">
        <v>20</v>
      </c>
      <c r="O58" s="49">
        <v>2780000</v>
      </c>
    </row>
    <row r="59" spans="1:15" x14ac:dyDescent="0.15">
      <c r="I59"/>
      <c r="J59"/>
      <c r="K59"/>
      <c r="M59" s="50">
        <v>45344</v>
      </c>
      <c r="N59" s="47">
        <v>3</v>
      </c>
      <c r="O59" s="49">
        <v>460000</v>
      </c>
    </row>
    <row r="60" spans="1:15" x14ac:dyDescent="0.15">
      <c r="I60"/>
      <c r="J60"/>
      <c r="K60"/>
      <c r="M60" s="50">
        <v>45345</v>
      </c>
      <c r="N60" s="47">
        <v>1</v>
      </c>
      <c r="O60" s="49">
        <v>150000</v>
      </c>
    </row>
    <row r="61" spans="1:15" x14ac:dyDescent="0.15">
      <c r="I61"/>
      <c r="J61"/>
      <c r="K61"/>
      <c r="M61" s="50">
        <v>45346</v>
      </c>
      <c r="N61" s="47">
        <v>20</v>
      </c>
      <c r="O61" s="49">
        <v>2340000</v>
      </c>
    </row>
    <row r="62" spans="1:15" x14ac:dyDescent="0.15">
      <c r="I62"/>
      <c r="J62"/>
      <c r="K62"/>
      <c r="M62" s="50">
        <v>45347</v>
      </c>
      <c r="N62" s="47">
        <v>11</v>
      </c>
      <c r="O62" s="49">
        <v>2290000</v>
      </c>
    </row>
    <row r="63" spans="1:15" x14ac:dyDescent="0.15">
      <c r="I63"/>
      <c r="J63"/>
      <c r="K63"/>
      <c r="M63" s="50">
        <v>45348</v>
      </c>
      <c r="N63" s="47">
        <v>15</v>
      </c>
      <c r="O63" s="49">
        <v>2000000</v>
      </c>
    </row>
    <row r="64" spans="1:15" x14ac:dyDescent="0.15">
      <c r="I64"/>
      <c r="J64"/>
      <c r="K64"/>
      <c r="M64" s="50">
        <v>45349</v>
      </c>
      <c r="N64" s="47">
        <v>13</v>
      </c>
      <c r="O64" s="49">
        <v>2075000</v>
      </c>
    </row>
    <row r="65" spans="2:15" x14ac:dyDescent="0.15">
      <c r="I65"/>
      <c r="J65"/>
      <c r="K65"/>
      <c r="M65" s="50">
        <v>45350</v>
      </c>
      <c r="N65" s="47">
        <v>17</v>
      </c>
      <c r="O65" s="49">
        <v>2320000</v>
      </c>
    </row>
    <row r="66" spans="2:15" x14ac:dyDescent="0.15">
      <c r="M66" s="50">
        <v>45351</v>
      </c>
      <c r="N66" s="47">
        <v>11</v>
      </c>
      <c r="O66" s="49">
        <v>1825000</v>
      </c>
    </row>
    <row r="67" spans="2:15" x14ac:dyDescent="0.15">
      <c r="M67" s="48" t="s">
        <v>1013</v>
      </c>
      <c r="N67" s="47">
        <v>355</v>
      </c>
      <c r="O67" s="49">
        <v>51470000</v>
      </c>
    </row>
    <row r="68" spans="2:15" x14ac:dyDescent="0.15">
      <c r="B68" s="47" t="s">
        <v>981</v>
      </c>
      <c r="C68" s="47" t="s">
        <v>996</v>
      </c>
      <c r="D68" s="47" t="s">
        <v>1000</v>
      </c>
      <c r="E68" s="47" t="s">
        <v>999</v>
      </c>
      <c r="F68" s="47" t="s">
        <v>1001</v>
      </c>
      <c r="G68" s="47" t="s">
        <v>997</v>
      </c>
      <c r="H68" s="47" t="s">
        <v>1002</v>
      </c>
      <c r="I68" s="47" t="s">
        <v>1003</v>
      </c>
      <c r="M68" s="50">
        <v>45352</v>
      </c>
      <c r="N68" s="47">
        <v>21</v>
      </c>
      <c r="O68" s="49">
        <v>3315000</v>
      </c>
    </row>
    <row r="69" spans="2:15" x14ac:dyDescent="0.15">
      <c r="B69" s="48" t="s">
        <v>1007</v>
      </c>
      <c r="C69" s="49">
        <v>152760000</v>
      </c>
      <c r="D69" s="51">
        <v>17471750</v>
      </c>
      <c r="E69" s="51">
        <v>89615000</v>
      </c>
      <c r="F69" s="55">
        <v>0.1949645706633934</v>
      </c>
      <c r="G69" s="51">
        <v>72143250</v>
      </c>
      <c r="H69" s="52">
        <v>0.47226531814611156</v>
      </c>
      <c r="I69" s="52">
        <v>1.1425013856995803</v>
      </c>
      <c r="M69" s="50">
        <v>45353</v>
      </c>
      <c r="N69" s="47">
        <v>42</v>
      </c>
      <c r="O69" s="49">
        <v>5630000</v>
      </c>
    </row>
    <row r="70" spans="2:15" x14ac:dyDescent="0.15">
      <c r="B70" s="48" t="s">
        <v>1008</v>
      </c>
      <c r="C70" s="49">
        <v>129015000</v>
      </c>
      <c r="D70" s="51">
        <v>15458500</v>
      </c>
      <c r="E70" s="51">
        <v>75010000</v>
      </c>
      <c r="F70" s="55">
        <v>0.20608585521930409</v>
      </c>
      <c r="G70" s="51">
        <v>59551500</v>
      </c>
      <c r="H70" s="52">
        <v>0.46158586210905711</v>
      </c>
      <c r="I70" s="52">
        <v>1.1027034533839459</v>
      </c>
      <c r="M70" s="50">
        <v>45354</v>
      </c>
      <c r="N70" s="47">
        <v>12</v>
      </c>
      <c r="O70" s="49">
        <v>2500000</v>
      </c>
    </row>
    <row r="71" spans="2:15" x14ac:dyDescent="0.15">
      <c r="B71" s="48" t="s">
        <v>1009</v>
      </c>
      <c r="C71" s="49">
        <v>173085000</v>
      </c>
      <c r="D71" s="51">
        <v>20766750</v>
      </c>
      <c r="E71" s="51">
        <v>102240000</v>
      </c>
      <c r="F71" s="55">
        <v>0.20311766431924883</v>
      </c>
      <c r="G71" s="51">
        <v>81473250</v>
      </c>
      <c r="H71" s="52">
        <v>0.47071236675621803</v>
      </c>
      <c r="I71" s="52">
        <v>1.1500211729832734</v>
      </c>
      <c r="M71" s="50">
        <v>45355</v>
      </c>
      <c r="N71" s="47">
        <v>3</v>
      </c>
      <c r="O71" s="49">
        <v>460000</v>
      </c>
    </row>
    <row r="72" spans="2:15" x14ac:dyDescent="0.15">
      <c r="B72" s="48" t="s">
        <v>1010</v>
      </c>
      <c r="C72" s="49">
        <v>152590000</v>
      </c>
      <c r="D72" s="51">
        <v>18047750</v>
      </c>
      <c r="E72" s="51">
        <v>89055000</v>
      </c>
      <c r="F72" s="55">
        <v>0.20265846948514962</v>
      </c>
      <c r="G72" s="51">
        <v>71007250</v>
      </c>
      <c r="H72" s="52">
        <v>0.46534668064748674</v>
      </c>
      <c r="I72" s="52">
        <v>1.1176084048162429</v>
      </c>
      <c r="M72" s="50">
        <v>45356</v>
      </c>
      <c r="N72" s="47">
        <v>17</v>
      </c>
      <c r="O72" s="49">
        <v>2720000</v>
      </c>
    </row>
    <row r="73" spans="2:15" x14ac:dyDescent="0.15">
      <c r="B73" s="48" t="s">
        <v>982</v>
      </c>
      <c r="C73" s="49">
        <v>607450000</v>
      </c>
      <c r="D73" s="51">
        <v>71744750</v>
      </c>
      <c r="E73" s="51">
        <v>355920000</v>
      </c>
      <c r="F73" s="52">
        <v>0.20157549449314452</v>
      </c>
      <c r="G73" s="51">
        <v>284175250</v>
      </c>
      <c r="H73" s="52">
        <v>0.46781669273191206</v>
      </c>
      <c r="I73" s="52">
        <v>1.1297867053631774</v>
      </c>
      <c r="M73" s="50">
        <v>45357</v>
      </c>
      <c r="N73" s="47">
        <v>1</v>
      </c>
      <c r="O73" s="49">
        <v>150000</v>
      </c>
    </row>
    <row r="74" spans="2:15" x14ac:dyDescent="0.15">
      <c r="M74" s="50">
        <v>45358</v>
      </c>
      <c r="N74" s="47">
        <v>11</v>
      </c>
      <c r="O74" s="49">
        <v>1200000</v>
      </c>
    </row>
    <row r="75" spans="2:15" x14ac:dyDescent="0.15">
      <c r="M75" s="50">
        <v>45359</v>
      </c>
      <c r="N75" s="47">
        <v>26</v>
      </c>
      <c r="O75" s="49">
        <v>3705000</v>
      </c>
    </row>
    <row r="76" spans="2:15" x14ac:dyDescent="0.15">
      <c r="B76" s="47" t="s">
        <v>981</v>
      </c>
      <c r="C76" s="47" t="s">
        <v>996</v>
      </c>
      <c r="D76" s="47" t="s">
        <v>987</v>
      </c>
      <c r="M76" s="50">
        <v>45360</v>
      </c>
      <c r="N76" s="47">
        <v>8</v>
      </c>
      <c r="O76" s="49">
        <v>1600000</v>
      </c>
    </row>
    <row r="77" spans="2:15" x14ac:dyDescent="0.15">
      <c r="B77" s="48" t="s">
        <v>13</v>
      </c>
      <c r="C77" s="49">
        <v>93190000</v>
      </c>
      <c r="D77" s="47">
        <v>606</v>
      </c>
      <c r="M77" s="50">
        <v>45362</v>
      </c>
      <c r="N77" s="47">
        <v>5</v>
      </c>
      <c r="O77" s="49">
        <v>360000</v>
      </c>
    </row>
    <row r="78" spans="2:15" x14ac:dyDescent="0.15">
      <c r="B78" s="48" t="s">
        <v>11</v>
      </c>
      <c r="C78" s="49">
        <v>83220000</v>
      </c>
      <c r="D78" s="47">
        <v>580</v>
      </c>
      <c r="M78" s="50">
        <v>45363</v>
      </c>
      <c r="N78" s="47">
        <v>7</v>
      </c>
      <c r="O78" s="49">
        <v>960000</v>
      </c>
    </row>
    <row r="79" spans="2:15" x14ac:dyDescent="0.15">
      <c r="B79" s="48" t="s">
        <v>6</v>
      </c>
      <c r="C79" s="49">
        <v>259575000</v>
      </c>
      <c r="D79" s="47">
        <v>1745</v>
      </c>
      <c r="M79" s="50">
        <v>45364</v>
      </c>
      <c r="N79" s="47">
        <v>5</v>
      </c>
      <c r="O79" s="49">
        <v>780000</v>
      </c>
    </row>
    <row r="80" spans="2:15" x14ac:dyDescent="0.15">
      <c r="B80" s="48" t="s">
        <v>9</v>
      </c>
      <c r="C80" s="49">
        <v>171465000</v>
      </c>
      <c r="D80" s="47">
        <v>1149</v>
      </c>
      <c r="M80" s="50">
        <v>45365</v>
      </c>
      <c r="N80" s="47">
        <v>16</v>
      </c>
      <c r="O80" s="49">
        <v>2490000</v>
      </c>
    </row>
    <row r="81" spans="2:15" x14ac:dyDescent="0.15">
      <c r="B81" s="48" t="s">
        <v>982</v>
      </c>
      <c r="C81" s="49">
        <v>607450000</v>
      </c>
      <c r="D81" s="47">
        <v>4080</v>
      </c>
      <c r="M81" s="50">
        <v>45366</v>
      </c>
      <c r="N81" s="47">
        <v>20</v>
      </c>
      <c r="O81" s="49">
        <v>4035000</v>
      </c>
    </row>
    <row r="82" spans="2:15" x14ac:dyDescent="0.15">
      <c r="B82"/>
      <c r="C82"/>
      <c r="M82" s="50">
        <v>45367</v>
      </c>
      <c r="N82" s="47">
        <v>7</v>
      </c>
      <c r="O82" s="49">
        <v>1000000</v>
      </c>
    </row>
    <row r="83" spans="2:15" x14ac:dyDescent="0.15">
      <c r="B83"/>
      <c r="C83"/>
      <c r="M83" s="50">
        <v>45368</v>
      </c>
      <c r="N83" s="47">
        <v>5</v>
      </c>
      <c r="O83" s="49">
        <v>970000</v>
      </c>
    </row>
    <row r="84" spans="2:15" x14ac:dyDescent="0.15">
      <c r="M84" s="50">
        <v>45370</v>
      </c>
      <c r="N84" s="47">
        <v>15</v>
      </c>
      <c r="O84" s="49">
        <v>1720000</v>
      </c>
    </row>
    <row r="85" spans="2:15" x14ac:dyDescent="0.15">
      <c r="B85" s="47" t="s">
        <v>981</v>
      </c>
      <c r="C85" s="47" t="s">
        <v>997</v>
      </c>
      <c r="D85"/>
      <c r="E85"/>
      <c r="M85" s="50">
        <v>45371</v>
      </c>
      <c r="N85" s="47">
        <v>7</v>
      </c>
      <c r="O85" s="49">
        <v>1390000</v>
      </c>
    </row>
    <row r="86" spans="2:15" x14ac:dyDescent="0.15">
      <c r="B86" s="48" t="s">
        <v>58</v>
      </c>
      <c r="C86" s="51">
        <v>53251500</v>
      </c>
      <c r="D86"/>
      <c r="E86"/>
      <c r="M86" s="50">
        <v>45372</v>
      </c>
      <c r="N86" s="47">
        <v>5</v>
      </c>
      <c r="O86" s="49">
        <v>990000</v>
      </c>
    </row>
    <row r="87" spans="2:15" x14ac:dyDescent="0.15">
      <c r="B87" s="48" t="s">
        <v>982</v>
      </c>
      <c r="C87" s="51">
        <v>53251500</v>
      </c>
      <c r="D87"/>
      <c r="E87"/>
      <c r="M87" s="50">
        <v>45373</v>
      </c>
      <c r="N87" s="47">
        <v>38</v>
      </c>
      <c r="O87" s="49">
        <v>4520000</v>
      </c>
    </row>
    <row r="88" spans="2:15" x14ac:dyDescent="0.15">
      <c r="B88"/>
      <c r="C88"/>
      <c r="D88"/>
      <c r="E88"/>
      <c r="M88" s="50">
        <v>45374</v>
      </c>
      <c r="N88" s="47">
        <v>13</v>
      </c>
      <c r="O88" s="49">
        <v>1310000</v>
      </c>
    </row>
    <row r="89" spans="2:15" x14ac:dyDescent="0.15">
      <c r="B89"/>
      <c r="C89"/>
      <c r="D89"/>
      <c r="E89"/>
      <c r="M89" s="50">
        <v>45375</v>
      </c>
      <c r="N89" s="47">
        <v>8</v>
      </c>
      <c r="O89" s="49">
        <v>1280000</v>
      </c>
    </row>
    <row r="90" spans="2:15" x14ac:dyDescent="0.15">
      <c r="B90"/>
      <c r="C90"/>
      <c r="D90"/>
      <c r="E90"/>
      <c r="M90" s="50">
        <v>45376</v>
      </c>
      <c r="N90" s="47">
        <v>8</v>
      </c>
      <c r="O90" s="49">
        <v>1600000</v>
      </c>
    </row>
    <row r="91" spans="2:15" x14ac:dyDescent="0.15">
      <c r="B91" s="47" t="s">
        <v>981</v>
      </c>
      <c r="C91" s="47" t="s">
        <v>994</v>
      </c>
      <c r="D91"/>
      <c r="E91"/>
      <c r="J91"/>
      <c r="K91"/>
      <c r="L91"/>
      <c r="M91" s="50">
        <v>45377</v>
      </c>
      <c r="N91" s="47">
        <v>5</v>
      </c>
      <c r="O91" s="49">
        <v>1220000</v>
      </c>
    </row>
    <row r="92" spans="2:15" x14ac:dyDescent="0.15">
      <c r="B92" s="48" t="s">
        <v>58</v>
      </c>
      <c r="C92" s="49">
        <v>35305000</v>
      </c>
      <c r="D92"/>
      <c r="E92"/>
      <c r="J92"/>
      <c r="K92"/>
      <c r="L92"/>
      <c r="M92" s="50">
        <v>45378</v>
      </c>
      <c r="N92" s="47">
        <v>6</v>
      </c>
      <c r="O92" s="49">
        <v>765000</v>
      </c>
    </row>
    <row r="93" spans="2:15" x14ac:dyDescent="0.15">
      <c r="B93" s="48" t="s">
        <v>982</v>
      </c>
      <c r="C93" s="49">
        <v>35305000</v>
      </c>
      <c r="D93"/>
      <c r="E93"/>
      <c r="J93"/>
      <c r="K93"/>
      <c r="L93"/>
      <c r="M93" s="50">
        <v>45379</v>
      </c>
      <c r="N93" s="47">
        <v>12</v>
      </c>
      <c r="O93" s="49">
        <v>1355000</v>
      </c>
    </row>
    <row r="94" spans="2:15" x14ac:dyDescent="0.15">
      <c r="B94"/>
      <c r="C94"/>
      <c r="D94"/>
      <c r="E94"/>
      <c r="J94"/>
      <c r="K94"/>
      <c r="L94"/>
      <c r="M94" s="50">
        <v>45380</v>
      </c>
      <c r="N94" s="47">
        <v>22</v>
      </c>
      <c r="O94" s="49">
        <v>2440000</v>
      </c>
    </row>
    <row r="95" spans="2:15" x14ac:dyDescent="0.15">
      <c r="B95"/>
      <c r="C95"/>
      <c r="D95"/>
      <c r="E95"/>
      <c r="J95"/>
      <c r="K95"/>
      <c r="L95"/>
      <c r="M95" s="50">
        <v>45381</v>
      </c>
      <c r="N95" s="47">
        <v>7</v>
      </c>
      <c r="O95" s="49">
        <v>580000</v>
      </c>
    </row>
    <row r="96" spans="2:15" x14ac:dyDescent="0.15">
      <c r="B96"/>
      <c r="C96"/>
      <c r="D96"/>
      <c r="E96"/>
      <c r="J96"/>
      <c r="K96"/>
      <c r="L96"/>
      <c r="M96" s="50">
        <v>45382</v>
      </c>
      <c r="N96" s="47">
        <v>3</v>
      </c>
      <c r="O96" s="49">
        <v>425000</v>
      </c>
    </row>
    <row r="97" spans="2:15" x14ac:dyDescent="0.15">
      <c r="B97"/>
      <c r="C97"/>
      <c r="J97"/>
      <c r="K97"/>
      <c r="L97"/>
      <c r="M97" s="48" t="s">
        <v>1014</v>
      </c>
      <c r="N97" s="47">
        <v>266</v>
      </c>
      <c r="O97" s="49">
        <v>39775000</v>
      </c>
    </row>
    <row r="98" spans="2:15" x14ac:dyDescent="0.15">
      <c r="B98"/>
      <c r="C98"/>
      <c r="J98"/>
      <c r="K98"/>
      <c r="L98"/>
      <c r="M98" s="50">
        <v>45383</v>
      </c>
      <c r="N98" s="47">
        <v>11</v>
      </c>
      <c r="O98" s="49">
        <v>2010000</v>
      </c>
    </row>
    <row r="99" spans="2:15" x14ac:dyDescent="0.15">
      <c r="B99"/>
      <c r="C99"/>
      <c r="J99"/>
      <c r="K99"/>
      <c r="L99"/>
      <c r="M99" s="50">
        <v>45384</v>
      </c>
      <c r="N99" s="47">
        <v>10</v>
      </c>
      <c r="O99" s="49">
        <v>980000</v>
      </c>
    </row>
    <row r="100" spans="2:15" x14ac:dyDescent="0.15">
      <c r="B100"/>
      <c r="C100"/>
      <c r="J100"/>
      <c r="K100"/>
      <c r="L100"/>
      <c r="M100" s="50">
        <v>45386</v>
      </c>
      <c r="N100" s="47">
        <v>9</v>
      </c>
      <c r="O100" s="49">
        <v>1100000</v>
      </c>
    </row>
    <row r="101" spans="2:15" x14ac:dyDescent="0.15">
      <c r="B101"/>
      <c r="C101"/>
      <c r="J101"/>
      <c r="K101"/>
      <c r="L101"/>
      <c r="M101" s="50">
        <v>45388</v>
      </c>
      <c r="N101" s="47">
        <v>18</v>
      </c>
      <c r="O101" s="49">
        <v>2760000</v>
      </c>
    </row>
    <row r="102" spans="2:15" x14ac:dyDescent="0.15">
      <c r="B102"/>
      <c r="C102"/>
      <c r="J102"/>
      <c r="K102"/>
      <c r="L102"/>
      <c r="M102" s="50">
        <v>45389</v>
      </c>
      <c r="N102" s="47">
        <v>8</v>
      </c>
      <c r="O102" s="49">
        <v>1360000</v>
      </c>
    </row>
    <row r="103" spans="2:15" x14ac:dyDescent="0.15">
      <c r="J103"/>
      <c r="K103"/>
      <c r="L103"/>
      <c r="M103" s="50">
        <v>45390</v>
      </c>
      <c r="N103" s="47">
        <v>5</v>
      </c>
      <c r="O103" s="49">
        <v>890000</v>
      </c>
    </row>
    <row r="104" spans="2:15" x14ac:dyDescent="0.15">
      <c r="J104"/>
      <c r="K104"/>
      <c r="L104"/>
      <c r="M104" s="50">
        <v>45391</v>
      </c>
      <c r="N104" s="47">
        <v>1</v>
      </c>
      <c r="O104" s="49">
        <v>125000</v>
      </c>
    </row>
    <row r="105" spans="2:15" x14ac:dyDescent="0.15">
      <c r="J105"/>
      <c r="K105"/>
      <c r="L105"/>
      <c r="M105" s="50">
        <v>45392</v>
      </c>
      <c r="N105" s="47">
        <v>6</v>
      </c>
      <c r="O105" s="49">
        <v>925000</v>
      </c>
    </row>
    <row r="106" spans="2:15" x14ac:dyDescent="0.15">
      <c r="J106"/>
      <c r="K106"/>
      <c r="L106"/>
      <c r="M106" s="50">
        <v>45393</v>
      </c>
      <c r="N106" s="47">
        <v>12</v>
      </c>
      <c r="O106" s="49">
        <v>1885000</v>
      </c>
    </row>
    <row r="107" spans="2:15" x14ac:dyDescent="0.15">
      <c r="J107"/>
      <c r="K107"/>
      <c r="L107"/>
      <c r="M107" s="50">
        <v>45394</v>
      </c>
      <c r="N107" s="47">
        <v>2</v>
      </c>
      <c r="O107" s="49">
        <v>300000</v>
      </c>
    </row>
    <row r="108" spans="2:15" x14ac:dyDescent="0.15">
      <c r="J108"/>
      <c r="K108"/>
      <c r="L108"/>
      <c r="M108" s="50">
        <v>45395</v>
      </c>
      <c r="N108" s="47">
        <v>1</v>
      </c>
      <c r="O108" s="49">
        <v>80000</v>
      </c>
    </row>
    <row r="109" spans="2:15" x14ac:dyDescent="0.15">
      <c r="J109"/>
      <c r="K109"/>
      <c r="L109"/>
      <c r="M109" s="50">
        <v>45396</v>
      </c>
      <c r="N109" s="47">
        <v>7</v>
      </c>
      <c r="O109" s="49">
        <v>1070000</v>
      </c>
    </row>
    <row r="110" spans="2:15" x14ac:dyDescent="0.15">
      <c r="J110"/>
      <c r="K110"/>
      <c r="L110"/>
      <c r="M110" s="50">
        <v>45397</v>
      </c>
      <c r="N110" s="47">
        <v>18</v>
      </c>
      <c r="O110" s="49">
        <v>2645000</v>
      </c>
    </row>
    <row r="111" spans="2:15" x14ac:dyDescent="0.15">
      <c r="J111"/>
      <c r="K111"/>
      <c r="L111"/>
      <c r="M111" s="50">
        <v>45398</v>
      </c>
      <c r="N111" s="47">
        <v>10</v>
      </c>
      <c r="O111" s="49">
        <v>1370000</v>
      </c>
    </row>
    <row r="112" spans="2:15" x14ac:dyDescent="0.15">
      <c r="J112"/>
      <c r="K112"/>
      <c r="L112"/>
      <c r="M112" s="50">
        <v>45399</v>
      </c>
      <c r="N112" s="47">
        <v>10</v>
      </c>
      <c r="O112" s="49">
        <v>1940000</v>
      </c>
    </row>
    <row r="113" spans="2:15" x14ac:dyDescent="0.15">
      <c r="J113"/>
      <c r="K113"/>
      <c r="L113"/>
      <c r="M113" s="50">
        <v>45400</v>
      </c>
      <c r="N113" s="47">
        <v>20</v>
      </c>
      <c r="O113" s="49">
        <v>3050000</v>
      </c>
    </row>
    <row r="114" spans="2:15" x14ac:dyDescent="0.15">
      <c r="B114" s="47" t="s">
        <v>981</v>
      </c>
      <c r="C114" s="47" t="s">
        <v>997</v>
      </c>
      <c r="D114" s="47" t="s">
        <v>999</v>
      </c>
      <c r="E114"/>
      <c r="F114"/>
      <c r="H114" s="52" t="s">
        <v>981</v>
      </c>
      <c r="I114" s="52" t="s">
        <v>1002</v>
      </c>
      <c r="J114"/>
      <c r="K114"/>
      <c r="L114"/>
      <c r="M114" s="50">
        <v>45401</v>
      </c>
      <c r="N114" s="47">
        <v>13</v>
      </c>
      <c r="O114" s="49">
        <v>1985000</v>
      </c>
    </row>
    <row r="115" spans="2:15" x14ac:dyDescent="0.15">
      <c r="B115" s="48" t="s">
        <v>1007</v>
      </c>
      <c r="C115" s="51">
        <v>72143250</v>
      </c>
      <c r="D115" s="51">
        <v>89615000</v>
      </c>
      <c r="E115"/>
      <c r="F115"/>
      <c r="H115" s="53" t="s">
        <v>1007</v>
      </c>
      <c r="I115" s="52">
        <v>0.47226531814611156</v>
      </c>
      <c r="J115"/>
      <c r="K115"/>
      <c r="L115"/>
      <c r="M115" s="50">
        <v>45402</v>
      </c>
      <c r="N115" s="47">
        <v>9</v>
      </c>
      <c r="O115" s="49">
        <v>1025000</v>
      </c>
    </row>
    <row r="116" spans="2:15" x14ac:dyDescent="0.15">
      <c r="B116" s="48" t="s">
        <v>1008</v>
      </c>
      <c r="C116" s="51">
        <v>59551500</v>
      </c>
      <c r="D116" s="51">
        <v>75010000</v>
      </c>
      <c r="E116"/>
      <c r="F116"/>
      <c r="H116" s="53" t="s">
        <v>1008</v>
      </c>
      <c r="I116" s="52">
        <v>0.46158586210905711</v>
      </c>
      <c r="J116"/>
      <c r="K116"/>
      <c r="L116"/>
      <c r="M116" s="50">
        <v>45403</v>
      </c>
      <c r="N116" s="47">
        <v>20</v>
      </c>
      <c r="O116" s="49">
        <v>2735000</v>
      </c>
    </row>
    <row r="117" spans="2:15" x14ac:dyDescent="0.15">
      <c r="B117" s="48" t="s">
        <v>1009</v>
      </c>
      <c r="C117" s="51">
        <v>81473250</v>
      </c>
      <c r="D117" s="51">
        <v>102240000</v>
      </c>
      <c r="E117"/>
      <c r="F117"/>
      <c r="H117" s="53" t="s">
        <v>1009</v>
      </c>
      <c r="I117" s="52">
        <v>0.47071236675621803</v>
      </c>
      <c r="J117"/>
      <c r="K117"/>
      <c r="L117"/>
      <c r="M117" s="50">
        <v>45404</v>
      </c>
      <c r="N117" s="47">
        <v>6</v>
      </c>
      <c r="O117" s="49">
        <v>850000</v>
      </c>
    </row>
    <row r="118" spans="2:15" x14ac:dyDescent="0.15">
      <c r="B118" s="48" t="s">
        <v>1010</v>
      </c>
      <c r="C118" s="51">
        <v>71007250</v>
      </c>
      <c r="D118" s="51">
        <v>89055000</v>
      </c>
      <c r="E118"/>
      <c r="F118"/>
      <c r="H118" s="53" t="s">
        <v>1010</v>
      </c>
      <c r="I118" s="52">
        <v>0.46534668064748674</v>
      </c>
      <c r="J118"/>
      <c r="K118"/>
      <c r="L118"/>
      <c r="M118" s="50">
        <v>45405</v>
      </c>
      <c r="N118" s="47">
        <v>7</v>
      </c>
      <c r="O118" s="49">
        <v>1070000</v>
      </c>
    </row>
    <row r="119" spans="2:15" x14ac:dyDescent="0.15">
      <c r="B119" s="48" t="s">
        <v>982</v>
      </c>
      <c r="C119" s="51">
        <v>284175250</v>
      </c>
      <c r="D119" s="51">
        <v>355920000</v>
      </c>
      <c r="E119"/>
      <c r="F119"/>
      <c r="H119" s="53" t="s">
        <v>982</v>
      </c>
      <c r="I119" s="52">
        <v>0.46781669273191206</v>
      </c>
      <c r="J119"/>
      <c r="K119"/>
      <c r="L119"/>
      <c r="M119" s="50">
        <v>45406</v>
      </c>
      <c r="N119" s="47">
        <v>1</v>
      </c>
      <c r="O119" s="49">
        <v>60000</v>
      </c>
    </row>
    <row r="120" spans="2:15" x14ac:dyDescent="0.15">
      <c r="J120"/>
      <c r="K120"/>
      <c r="L120"/>
      <c r="M120" s="50">
        <v>45407</v>
      </c>
      <c r="N120" s="47">
        <v>12</v>
      </c>
      <c r="O120" s="49">
        <v>1390000</v>
      </c>
    </row>
    <row r="121" spans="2:15" x14ac:dyDescent="0.15">
      <c r="J121"/>
      <c r="K121"/>
      <c r="L121"/>
      <c r="M121" s="50">
        <v>45408</v>
      </c>
      <c r="N121" s="47">
        <v>5</v>
      </c>
      <c r="O121" s="49">
        <v>625000</v>
      </c>
    </row>
    <row r="122" spans="2:15" x14ac:dyDescent="0.15">
      <c r="J122"/>
      <c r="K122"/>
      <c r="L122"/>
      <c r="M122" s="50">
        <v>45409</v>
      </c>
      <c r="N122" s="47">
        <v>14</v>
      </c>
      <c r="O122" s="49">
        <v>1920000</v>
      </c>
    </row>
    <row r="123" spans="2:15" x14ac:dyDescent="0.15">
      <c r="B123" s="52" t="s">
        <v>981</v>
      </c>
      <c r="C123" s="52" t="s">
        <v>1003</v>
      </c>
      <c r="J123"/>
      <c r="K123"/>
      <c r="L123"/>
      <c r="M123" s="50">
        <v>45410</v>
      </c>
      <c r="N123" s="47">
        <v>18</v>
      </c>
      <c r="O123" s="49">
        <v>2700000</v>
      </c>
    </row>
    <row r="124" spans="2:15" x14ac:dyDescent="0.15">
      <c r="B124" s="53" t="s">
        <v>1007</v>
      </c>
      <c r="C124" s="52">
        <v>1.1425013856995803</v>
      </c>
      <c r="J124"/>
      <c r="K124"/>
      <c r="L124"/>
      <c r="M124" s="50">
        <v>45411</v>
      </c>
      <c r="N124" s="47">
        <v>3</v>
      </c>
      <c r="O124" s="49">
        <v>750000</v>
      </c>
    </row>
    <row r="125" spans="2:15" x14ac:dyDescent="0.15">
      <c r="B125" s="53" t="s">
        <v>1008</v>
      </c>
      <c r="C125" s="52">
        <v>1.1027034533839459</v>
      </c>
      <c r="J125"/>
      <c r="K125"/>
      <c r="L125"/>
      <c r="M125" s="50">
        <v>45412</v>
      </c>
      <c r="N125" s="47">
        <v>10</v>
      </c>
      <c r="O125" s="49">
        <v>2175000</v>
      </c>
    </row>
    <row r="126" spans="2:15" x14ac:dyDescent="0.15">
      <c r="B126" s="53" t="s">
        <v>1009</v>
      </c>
      <c r="C126" s="52">
        <v>1.1500211729832734</v>
      </c>
      <c r="J126"/>
      <c r="K126"/>
      <c r="L126"/>
      <c r="M126" s="48" t="s">
        <v>1015</v>
      </c>
      <c r="N126" s="47">
        <v>381</v>
      </c>
      <c r="O126" s="49">
        <v>53900000</v>
      </c>
    </row>
    <row r="127" spans="2:15" x14ac:dyDescent="0.15">
      <c r="B127" s="53" t="s">
        <v>1010</v>
      </c>
      <c r="C127" s="52">
        <v>1.1176084048162429</v>
      </c>
      <c r="H127" s="47" t="s">
        <v>1004</v>
      </c>
      <c r="I127" s="47" t="s">
        <v>987</v>
      </c>
      <c r="J127"/>
      <c r="K127"/>
      <c r="L127"/>
      <c r="M127" s="50">
        <v>45413</v>
      </c>
      <c r="N127" s="47">
        <v>28</v>
      </c>
      <c r="O127" s="49">
        <v>3465000</v>
      </c>
    </row>
    <row r="128" spans="2:15" x14ac:dyDescent="0.15">
      <c r="B128" s="53" t="s">
        <v>982</v>
      </c>
      <c r="C128" s="52">
        <v>1.1297867053631774</v>
      </c>
      <c r="H128" s="48" t="s">
        <v>17</v>
      </c>
      <c r="I128" s="47">
        <v>522</v>
      </c>
      <c r="J128"/>
      <c r="K128"/>
      <c r="L128"/>
      <c r="M128" s="50">
        <v>45414</v>
      </c>
      <c r="N128" s="47">
        <v>20</v>
      </c>
      <c r="O128" s="49">
        <v>2995000</v>
      </c>
    </row>
    <row r="129" spans="2:15" x14ac:dyDescent="0.15">
      <c r="E129" s="52" t="s">
        <v>981</v>
      </c>
      <c r="F129" s="52" t="s">
        <v>1001</v>
      </c>
      <c r="H129" s="48" t="s">
        <v>982</v>
      </c>
      <c r="I129" s="47">
        <v>522</v>
      </c>
      <c r="J129"/>
      <c r="K129"/>
      <c r="L129"/>
      <c r="M129" s="50">
        <v>45415</v>
      </c>
      <c r="N129" s="47">
        <v>8</v>
      </c>
      <c r="O129" s="49">
        <v>710000</v>
      </c>
    </row>
    <row r="130" spans="2:15" x14ac:dyDescent="0.15">
      <c r="E130" s="53" t="s">
        <v>1007</v>
      </c>
      <c r="F130" s="52">
        <v>0.1949645706633934</v>
      </c>
      <c r="H130"/>
      <c r="I130"/>
      <c r="J130"/>
      <c r="K130"/>
      <c r="L130"/>
      <c r="M130" s="50">
        <v>45416</v>
      </c>
      <c r="N130" s="47">
        <v>16</v>
      </c>
      <c r="O130" s="49">
        <v>2330000</v>
      </c>
    </row>
    <row r="131" spans="2:15" x14ac:dyDescent="0.15">
      <c r="B131" s="52" t="s">
        <v>981</v>
      </c>
      <c r="C131" s="52" t="s">
        <v>987</v>
      </c>
      <c r="E131" s="53" t="s">
        <v>1008</v>
      </c>
      <c r="F131" s="52">
        <v>0.20608585521930409</v>
      </c>
      <c r="H131"/>
      <c r="I131"/>
      <c r="J131"/>
      <c r="K131"/>
      <c r="L131"/>
      <c r="M131" s="50">
        <v>45417</v>
      </c>
      <c r="N131" s="47">
        <v>8</v>
      </c>
      <c r="O131" s="49">
        <v>780000</v>
      </c>
    </row>
    <row r="132" spans="2:15" x14ac:dyDescent="0.15">
      <c r="B132" s="53" t="s">
        <v>922</v>
      </c>
      <c r="C132" s="56">
        <v>394</v>
      </c>
      <c r="E132" s="53" t="s">
        <v>1009</v>
      </c>
      <c r="F132" s="52">
        <v>0.20311766431924883</v>
      </c>
      <c r="H132"/>
      <c r="I132"/>
      <c r="J132"/>
      <c r="K132"/>
      <c r="L132"/>
      <c r="M132" s="50">
        <v>45418</v>
      </c>
      <c r="N132" s="47">
        <v>20</v>
      </c>
      <c r="O132" s="49">
        <v>3430000</v>
      </c>
    </row>
    <row r="133" spans="2:15" x14ac:dyDescent="0.15">
      <c r="B133" s="53" t="s">
        <v>921</v>
      </c>
      <c r="C133" s="56">
        <v>645</v>
      </c>
      <c r="E133" s="53" t="s">
        <v>1010</v>
      </c>
      <c r="F133" s="52">
        <v>0.20265846948514962</v>
      </c>
      <c r="H133"/>
      <c r="I133"/>
      <c r="J133"/>
      <c r="K133"/>
      <c r="L133"/>
      <c r="M133" s="50">
        <v>45419</v>
      </c>
      <c r="N133" s="47">
        <v>5</v>
      </c>
      <c r="O133" s="49">
        <v>600000</v>
      </c>
    </row>
    <row r="134" spans="2:15" x14ac:dyDescent="0.15">
      <c r="B134" s="53" t="s">
        <v>925</v>
      </c>
      <c r="C134" s="56">
        <v>1421</v>
      </c>
      <c r="E134" s="53" t="s">
        <v>982</v>
      </c>
      <c r="F134" s="52">
        <v>0.20157549449314452</v>
      </c>
      <c r="H134"/>
      <c r="I134"/>
      <c r="J134"/>
      <c r="K134"/>
      <c r="L134"/>
      <c r="M134" s="50">
        <v>45420</v>
      </c>
      <c r="N134" s="47">
        <v>7</v>
      </c>
      <c r="O134" s="49">
        <v>875000</v>
      </c>
    </row>
    <row r="135" spans="2:15" x14ac:dyDescent="0.15">
      <c r="B135" s="53" t="s">
        <v>923</v>
      </c>
      <c r="C135" s="56">
        <v>266</v>
      </c>
      <c r="E135"/>
      <c r="F135"/>
      <c r="G135"/>
      <c r="H135"/>
      <c r="I135"/>
      <c r="J135"/>
      <c r="K135"/>
      <c r="L135"/>
      <c r="M135" s="50">
        <v>45421</v>
      </c>
      <c r="N135" s="47">
        <v>6</v>
      </c>
      <c r="O135" s="49">
        <v>1080000</v>
      </c>
    </row>
    <row r="136" spans="2:15" x14ac:dyDescent="0.15">
      <c r="B136" s="53" t="s">
        <v>924</v>
      </c>
      <c r="C136" s="56">
        <v>643</v>
      </c>
      <c r="D136"/>
      <c r="E136"/>
      <c r="F136"/>
      <c r="G136"/>
      <c r="H136"/>
      <c r="I136"/>
      <c r="J136"/>
      <c r="K136"/>
      <c r="L136"/>
      <c r="M136" s="50">
        <v>45422</v>
      </c>
      <c r="N136" s="47">
        <v>9</v>
      </c>
      <c r="O136" s="49">
        <v>1100000</v>
      </c>
    </row>
    <row r="137" spans="2:15" x14ac:dyDescent="0.15">
      <c r="B137" s="53" t="s">
        <v>1006</v>
      </c>
      <c r="C137" s="56">
        <v>711</v>
      </c>
      <c r="D137"/>
      <c r="E137"/>
      <c r="F137"/>
      <c r="G137"/>
      <c r="H137"/>
      <c r="I137"/>
      <c r="J137"/>
      <c r="K137"/>
      <c r="L137"/>
      <c r="M137" s="50">
        <v>45423</v>
      </c>
      <c r="N137" s="47">
        <v>6</v>
      </c>
      <c r="O137" s="49">
        <v>1000000</v>
      </c>
    </row>
    <row r="138" spans="2:15" x14ac:dyDescent="0.15">
      <c r="B138" s="53" t="s">
        <v>982</v>
      </c>
      <c r="C138" s="56">
        <v>4080</v>
      </c>
      <c r="D138"/>
      <c r="E138"/>
      <c r="F138"/>
      <c r="G138"/>
      <c r="H138"/>
      <c r="I138"/>
      <c r="J138"/>
      <c r="K138"/>
      <c r="L138"/>
      <c r="M138" s="50">
        <v>45424</v>
      </c>
      <c r="N138" s="47">
        <v>16</v>
      </c>
      <c r="O138" s="49">
        <v>2025000</v>
      </c>
    </row>
    <row r="139" spans="2:15" x14ac:dyDescent="0.15">
      <c r="B139"/>
      <c r="C139"/>
      <c r="D139"/>
      <c r="E139"/>
      <c r="F139"/>
      <c r="G139"/>
      <c r="H139"/>
      <c r="I139"/>
      <c r="J139"/>
      <c r="K139"/>
      <c r="L139"/>
      <c r="M139" s="50">
        <v>45425</v>
      </c>
      <c r="N139" s="47">
        <v>7</v>
      </c>
      <c r="O139" s="49">
        <v>870000</v>
      </c>
    </row>
    <row r="140" spans="2:15" x14ac:dyDescent="0.15">
      <c r="B140"/>
      <c r="C140"/>
      <c r="D140"/>
      <c r="E140"/>
      <c r="F140"/>
      <c r="G140"/>
      <c r="H140"/>
      <c r="I140"/>
      <c r="J140"/>
      <c r="K140"/>
      <c r="L140"/>
      <c r="M140" s="50">
        <v>45426</v>
      </c>
      <c r="N140" s="47">
        <v>16</v>
      </c>
      <c r="O140" s="49">
        <v>2390000</v>
      </c>
    </row>
    <row r="141" spans="2:15" x14ac:dyDescent="0.15">
      <c r="B141"/>
      <c r="C141"/>
      <c r="D141"/>
      <c r="H141"/>
      <c r="I141"/>
      <c r="J141"/>
      <c r="K141"/>
      <c r="L141"/>
      <c r="M141" s="50">
        <v>45427</v>
      </c>
      <c r="N141" s="47">
        <v>25</v>
      </c>
      <c r="O141" s="49">
        <v>3140000</v>
      </c>
    </row>
    <row r="142" spans="2:15" x14ac:dyDescent="0.15">
      <c r="B142"/>
      <c r="C142"/>
      <c r="D142"/>
      <c r="H142"/>
      <c r="I142"/>
      <c r="J142"/>
      <c r="K142"/>
      <c r="L142"/>
      <c r="M142" s="50">
        <v>45428</v>
      </c>
      <c r="N142" s="47">
        <v>20</v>
      </c>
      <c r="O142" s="49">
        <v>3245000</v>
      </c>
    </row>
    <row r="143" spans="2:15" x14ac:dyDescent="0.15">
      <c r="B143"/>
      <c r="C143"/>
      <c r="D143"/>
      <c r="H143"/>
      <c r="I143"/>
      <c r="J143"/>
      <c r="K143"/>
      <c r="L143"/>
      <c r="M143" s="50">
        <v>45429</v>
      </c>
      <c r="N143" s="47">
        <v>1</v>
      </c>
      <c r="O143" s="49">
        <v>120000</v>
      </c>
    </row>
    <row r="144" spans="2:15" x14ac:dyDescent="0.15">
      <c r="B144"/>
      <c r="C144"/>
      <c r="D144"/>
      <c r="H144"/>
      <c r="I144"/>
      <c r="J144"/>
      <c r="K144"/>
      <c r="L144"/>
      <c r="M144" s="50">
        <v>45430</v>
      </c>
      <c r="N144" s="47">
        <v>12</v>
      </c>
      <c r="O144" s="49">
        <v>1990000</v>
      </c>
    </row>
    <row r="145" spans="2:15" x14ac:dyDescent="0.15">
      <c r="B145"/>
      <c r="C145"/>
      <c r="D145"/>
      <c r="H145"/>
      <c r="I145"/>
      <c r="J145"/>
      <c r="K145"/>
      <c r="L145"/>
      <c r="M145" s="50">
        <v>45431</v>
      </c>
      <c r="N145" s="47">
        <v>13</v>
      </c>
      <c r="O145" s="49">
        <v>1960000</v>
      </c>
    </row>
    <row r="146" spans="2:15" x14ac:dyDescent="0.15">
      <c r="B146"/>
      <c r="C146"/>
      <c r="D146"/>
      <c r="H146"/>
      <c r="I146"/>
      <c r="J146"/>
      <c r="K146"/>
      <c r="L146"/>
      <c r="M146" s="50">
        <v>45432</v>
      </c>
      <c r="N146" s="47">
        <v>7</v>
      </c>
      <c r="O146" s="49">
        <v>1035000</v>
      </c>
    </row>
    <row r="147" spans="2:15" x14ac:dyDescent="0.15">
      <c r="B147"/>
      <c r="C147"/>
      <c r="D147"/>
      <c r="H147"/>
      <c r="I147"/>
      <c r="J147"/>
      <c r="K147"/>
      <c r="L147"/>
      <c r="M147" s="50">
        <v>45433</v>
      </c>
      <c r="N147" s="47">
        <v>8</v>
      </c>
      <c r="O147" s="49">
        <v>960000</v>
      </c>
    </row>
    <row r="148" spans="2:15" x14ac:dyDescent="0.15">
      <c r="B148"/>
      <c r="C148"/>
      <c r="D148"/>
      <c r="H148"/>
      <c r="I148"/>
      <c r="J148"/>
      <c r="K148"/>
      <c r="L148"/>
      <c r="M148" s="50">
        <v>45434</v>
      </c>
      <c r="N148" s="47">
        <v>27</v>
      </c>
      <c r="O148" s="49">
        <v>4730000</v>
      </c>
    </row>
    <row r="149" spans="2:15" x14ac:dyDescent="0.15">
      <c r="B149"/>
      <c r="C149" s="52" t="s">
        <v>981</v>
      </c>
      <c r="D149" s="52" t="s">
        <v>994</v>
      </c>
      <c r="H149"/>
      <c r="I149"/>
      <c r="J149"/>
      <c r="K149"/>
      <c r="L149"/>
      <c r="M149" s="50">
        <v>45435</v>
      </c>
      <c r="N149" s="47">
        <v>15</v>
      </c>
      <c r="O149" s="49">
        <v>1770000</v>
      </c>
    </row>
    <row r="150" spans="2:15" x14ac:dyDescent="0.15">
      <c r="B150"/>
      <c r="C150" s="53" t="s">
        <v>1007</v>
      </c>
      <c r="D150" s="54">
        <v>63145000</v>
      </c>
      <c r="H150"/>
      <c r="I150"/>
      <c r="J150"/>
      <c r="K150"/>
      <c r="L150"/>
      <c r="M150" s="50">
        <v>45436</v>
      </c>
      <c r="N150" s="47">
        <v>11</v>
      </c>
      <c r="O150" s="49">
        <v>1710000</v>
      </c>
    </row>
    <row r="151" spans="2:15" x14ac:dyDescent="0.15">
      <c r="B151"/>
      <c r="C151" s="53" t="s">
        <v>1008</v>
      </c>
      <c r="D151" s="54">
        <v>54005000</v>
      </c>
      <c r="H151"/>
      <c r="I151"/>
      <c r="J151"/>
      <c r="K151"/>
      <c r="L151"/>
      <c r="M151" s="50">
        <v>45437</v>
      </c>
      <c r="N151" s="47">
        <v>10</v>
      </c>
      <c r="O151" s="49">
        <v>1110000</v>
      </c>
    </row>
    <row r="152" spans="2:15" x14ac:dyDescent="0.15">
      <c r="B152"/>
      <c r="C152" s="53" t="s">
        <v>1009</v>
      </c>
      <c r="D152" s="54">
        <v>70845000</v>
      </c>
      <c r="H152"/>
      <c r="I152"/>
      <c r="J152"/>
      <c r="K152"/>
      <c r="L152"/>
      <c r="M152" s="50">
        <v>45438</v>
      </c>
      <c r="N152" s="47">
        <v>22</v>
      </c>
      <c r="O152" s="49">
        <v>3320000</v>
      </c>
    </row>
    <row r="153" spans="2:15" x14ac:dyDescent="0.15">
      <c r="B153"/>
      <c r="C153" s="53" t="s">
        <v>1010</v>
      </c>
      <c r="D153" s="54">
        <v>63535000</v>
      </c>
      <c r="H153"/>
      <c r="I153"/>
      <c r="J153"/>
      <c r="K153"/>
      <c r="L153"/>
      <c r="M153" s="50">
        <v>45439</v>
      </c>
      <c r="N153" s="47">
        <v>10</v>
      </c>
      <c r="O153" s="49">
        <v>1760000</v>
      </c>
    </row>
    <row r="154" spans="2:15" x14ac:dyDescent="0.15">
      <c r="B154"/>
      <c r="C154" s="53" t="s">
        <v>982</v>
      </c>
      <c r="D154" s="54">
        <v>251530000</v>
      </c>
      <c r="H154"/>
      <c r="I154"/>
      <c r="J154"/>
      <c r="K154"/>
      <c r="L154"/>
      <c r="M154" s="50">
        <v>45440</v>
      </c>
      <c r="N154" s="47">
        <v>1</v>
      </c>
      <c r="O154" s="49">
        <v>300000</v>
      </c>
    </row>
    <row r="155" spans="2:15" x14ac:dyDescent="0.15">
      <c r="B155"/>
      <c r="C155"/>
      <c r="H155"/>
      <c r="I155"/>
      <c r="J155"/>
      <c r="K155"/>
      <c r="L155"/>
      <c r="M155" s="50">
        <v>45441</v>
      </c>
      <c r="N155" s="47">
        <v>6</v>
      </c>
      <c r="O155" s="49">
        <v>530000</v>
      </c>
    </row>
    <row r="156" spans="2:15" x14ac:dyDescent="0.15">
      <c r="B156"/>
      <c r="C156"/>
      <c r="H156"/>
      <c r="I156"/>
      <c r="J156"/>
      <c r="K156"/>
      <c r="L156"/>
      <c r="M156" s="50">
        <v>45442</v>
      </c>
      <c r="N156" s="47">
        <v>5</v>
      </c>
      <c r="O156" s="49">
        <v>720000</v>
      </c>
    </row>
    <row r="157" spans="2:15" x14ac:dyDescent="0.15">
      <c r="B157"/>
      <c r="C157"/>
      <c r="H157"/>
      <c r="I157"/>
      <c r="J157"/>
      <c r="K157"/>
      <c r="L157"/>
      <c r="M157" s="50">
        <v>45443</v>
      </c>
      <c r="N157" s="47">
        <v>16</v>
      </c>
      <c r="O157" s="49">
        <v>1850000</v>
      </c>
    </row>
    <row r="158" spans="2:15" x14ac:dyDescent="0.15">
      <c r="B158"/>
      <c r="C158"/>
      <c r="H158"/>
      <c r="I158"/>
      <c r="J158"/>
      <c r="K158"/>
      <c r="L158"/>
      <c r="M158" s="48" t="s">
        <v>1016</v>
      </c>
      <c r="N158" s="47">
        <v>241</v>
      </c>
      <c r="O158" s="49">
        <v>35340000</v>
      </c>
    </row>
    <row r="159" spans="2:15" x14ac:dyDescent="0.15">
      <c r="B159"/>
      <c r="C159"/>
      <c r="H159"/>
      <c r="I159"/>
      <c r="J159"/>
      <c r="K159"/>
      <c r="L159"/>
      <c r="M159" s="50">
        <v>45444</v>
      </c>
      <c r="N159" s="47">
        <v>14</v>
      </c>
      <c r="O159" s="49">
        <v>2780000</v>
      </c>
    </row>
    <row r="160" spans="2:15" x14ac:dyDescent="0.15">
      <c r="B160"/>
      <c r="C160"/>
      <c r="H160"/>
      <c r="I160"/>
      <c r="J160"/>
      <c r="K160"/>
      <c r="L160"/>
      <c r="M160" s="50">
        <v>45445</v>
      </c>
      <c r="N160" s="47">
        <v>1</v>
      </c>
      <c r="O160" s="49">
        <v>160000</v>
      </c>
    </row>
    <row r="161" spans="8:15" x14ac:dyDescent="0.15">
      <c r="H161"/>
      <c r="I161"/>
      <c r="J161"/>
      <c r="K161"/>
      <c r="L161"/>
      <c r="M161" s="50">
        <v>45446</v>
      </c>
      <c r="N161" s="47">
        <v>16</v>
      </c>
      <c r="O161" s="49">
        <v>2315000</v>
      </c>
    </row>
    <row r="162" spans="8:15" x14ac:dyDescent="0.15">
      <c r="H162"/>
      <c r="I162"/>
      <c r="J162"/>
      <c r="K162"/>
      <c r="L162"/>
      <c r="M162" s="50">
        <v>45447</v>
      </c>
      <c r="N162" s="47">
        <v>1</v>
      </c>
      <c r="O162" s="49">
        <v>80000</v>
      </c>
    </row>
    <row r="163" spans="8:15" x14ac:dyDescent="0.15">
      <c r="H163"/>
      <c r="I163"/>
      <c r="J163"/>
      <c r="K163"/>
      <c r="L163"/>
      <c r="M163" s="50">
        <v>45448</v>
      </c>
      <c r="N163" s="47">
        <v>5</v>
      </c>
      <c r="O163" s="49">
        <v>680000</v>
      </c>
    </row>
    <row r="164" spans="8:15" x14ac:dyDescent="0.15">
      <c r="H164"/>
      <c r="I164"/>
      <c r="J164"/>
      <c r="K164"/>
      <c r="L164"/>
      <c r="M164" s="50">
        <v>45449</v>
      </c>
      <c r="N164" s="47">
        <v>6</v>
      </c>
      <c r="O164" s="49">
        <v>700000</v>
      </c>
    </row>
    <row r="165" spans="8:15" x14ac:dyDescent="0.15">
      <c r="H165"/>
      <c r="I165"/>
      <c r="J165"/>
      <c r="K165"/>
      <c r="L165"/>
      <c r="M165" s="50">
        <v>45450</v>
      </c>
      <c r="N165" s="47">
        <v>5</v>
      </c>
      <c r="O165" s="49">
        <v>600000</v>
      </c>
    </row>
    <row r="166" spans="8:15" x14ac:dyDescent="0.15">
      <c r="H166"/>
      <c r="I166"/>
      <c r="J166"/>
      <c r="K166"/>
      <c r="L166"/>
      <c r="M166" s="50">
        <v>45451</v>
      </c>
      <c r="N166" s="47">
        <v>8</v>
      </c>
      <c r="O166" s="49">
        <v>990000</v>
      </c>
    </row>
    <row r="167" spans="8:15" x14ac:dyDescent="0.15">
      <c r="H167"/>
      <c r="I167"/>
      <c r="J167"/>
      <c r="K167"/>
      <c r="L167"/>
      <c r="M167" s="50">
        <v>45452</v>
      </c>
      <c r="N167" s="47">
        <v>6</v>
      </c>
      <c r="O167" s="49">
        <v>1260000</v>
      </c>
    </row>
    <row r="168" spans="8:15" x14ac:dyDescent="0.15">
      <c r="H168"/>
      <c r="I168"/>
      <c r="J168"/>
      <c r="K168"/>
      <c r="L168"/>
      <c r="M168" s="50">
        <v>45454</v>
      </c>
      <c r="N168" s="47">
        <v>2</v>
      </c>
      <c r="O168" s="49">
        <v>275000</v>
      </c>
    </row>
    <row r="169" spans="8:15" x14ac:dyDescent="0.15">
      <c r="H169"/>
      <c r="I169"/>
      <c r="J169"/>
      <c r="K169"/>
      <c r="L169"/>
      <c r="M169" s="50">
        <v>45455</v>
      </c>
      <c r="N169" s="47">
        <v>7</v>
      </c>
      <c r="O169" s="49">
        <v>975000</v>
      </c>
    </row>
    <row r="170" spans="8:15" x14ac:dyDescent="0.15">
      <c r="H170"/>
      <c r="I170"/>
      <c r="J170"/>
      <c r="K170"/>
      <c r="L170"/>
      <c r="M170" s="50">
        <v>45457</v>
      </c>
      <c r="N170" s="47">
        <v>7</v>
      </c>
      <c r="O170" s="49">
        <v>1100000</v>
      </c>
    </row>
    <row r="171" spans="8:15" x14ac:dyDescent="0.15">
      <c r="H171"/>
      <c r="I171"/>
      <c r="J171"/>
      <c r="K171"/>
      <c r="L171"/>
      <c r="M171" s="50">
        <v>45458</v>
      </c>
      <c r="N171" s="47">
        <v>13</v>
      </c>
      <c r="O171" s="49">
        <v>1795000</v>
      </c>
    </row>
    <row r="172" spans="8:15" x14ac:dyDescent="0.15">
      <c r="H172"/>
      <c r="I172"/>
      <c r="J172"/>
      <c r="K172"/>
      <c r="L172"/>
      <c r="M172" s="50">
        <v>45459</v>
      </c>
      <c r="N172" s="47">
        <v>5</v>
      </c>
      <c r="O172" s="49">
        <v>400000</v>
      </c>
    </row>
    <row r="173" spans="8:15" x14ac:dyDescent="0.15">
      <c r="H173"/>
      <c r="I173"/>
      <c r="J173"/>
      <c r="K173"/>
      <c r="L173"/>
      <c r="M173" s="50">
        <v>45460</v>
      </c>
      <c r="N173" s="47">
        <v>13</v>
      </c>
      <c r="O173" s="49">
        <v>1930000</v>
      </c>
    </row>
    <row r="174" spans="8:15" x14ac:dyDescent="0.15">
      <c r="H174"/>
      <c r="I174"/>
      <c r="J174"/>
      <c r="K174"/>
      <c r="L174"/>
      <c r="M174" s="50">
        <v>45461</v>
      </c>
      <c r="N174" s="47">
        <v>9</v>
      </c>
      <c r="O174" s="49">
        <v>1155000</v>
      </c>
    </row>
    <row r="175" spans="8:15" x14ac:dyDescent="0.15">
      <c r="H175"/>
      <c r="I175"/>
      <c r="J175"/>
      <c r="K175"/>
      <c r="L175"/>
      <c r="M175" s="50">
        <v>45462</v>
      </c>
      <c r="N175" s="47">
        <v>1</v>
      </c>
      <c r="O175" s="49">
        <v>300000</v>
      </c>
    </row>
    <row r="176" spans="8:15" x14ac:dyDescent="0.15">
      <c r="H176"/>
      <c r="I176"/>
      <c r="J176"/>
      <c r="K176"/>
      <c r="L176"/>
      <c r="M176" s="50">
        <v>45463</v>
      </c>
      <c r="N176" s="47">
        <v>17</v>
      </c>
      <c r="O176" s="49">
        <v>2540000</v>
      </c>
    </row>
    <row r="177" spans="5:15" x14ac:dyDescent="0.15">
      <c r="E177" s="23"/>
      <c r="H177"/>
      <c r="I177"/>
      <c r="J177"/>
      <c r="K177"/>
      <c r="L177"/>
      <c r="M177" s="50">
        <v>45464</v>
      </c>
      <c r="N177" s="47">
        <v>11</v>
      </c>
      <c r="O177" s="49">
        <v>1565000</v>
      </c>
    </row>
    <row r="178" spans="5:15" x14ac:dyDescent="0.15">
      <c r="E178" s="23"/>
      <c r="H178"/>
      <c r="I178"/>
      <c r="J178"/>
      <c r="K178"/>
      <c r="L178"/>
      <c r="M178" s="50">
        <v>45465</v>
      </c>
      <c r="N178" s="47">
        <v>13</v>
      </c>
      <c r="O178" s="49">
        <v>2195000</v>
      </c>
    </row>
    <row r="179" spans="5:15" x14ac:dyDescent="0.15">
      <c r="E179" s="23"/>
      <c r="H179"/>
      <c r="I179"/>
      <c r="J179"/>
      <c r="K179"/>
      <c r="L179"/>
      <c r="M179" s="50">
        <v>45466</v>
      </c>
      <c r="N179" s="47">
        <v>14</v>
      </c>
      <c r="O179" s="49">
        <v>2120000</v>
      </c>
    </row>
    <row r="180" spans="5:15" x14ac:dyDescent="0.15">
      <c r="E180" s="23"/>
      <c r="H180"/>
      <c r="I180"/>
      <c r="J180"/>
      <c r="K180"/>
      <c r="L180"/>
      <c r="M180" s="50">
        <v>45467</v>
      </c>
      <c r="N180" s="47">
        <v>14</v>
      </c>
      <c r="O180" s="49">
        <v>2210000</v>
      </c>
    </row>
    <row r="181" spans="5:15" x14ac:dyDescent="0.15">
      <c r="E181" s="23"/>
      <c r="H181"/>
      <c r="I181"/>
      <c r="J181"/>
      <c r="K181"/>
      <c r="L181"/>
      <c r="M181" s="50">
        <v>45468</v>
      </c>
      <c r="N181" s="47">
        <v>10</v>
      </c>
      <c r="O181" s="49">
        <v>1520000</v>
      </c>
    </row>
    <row r="182" spans="5:15" x14ac:dyDescent="0.15">
      <c r="H182"/>
      <c r="I182"/>
      <c r="J182"/>
      <c r="K182"/>
      <c r="L182"/>
      <c r="M182" s="50">
        <v>45469</v>
      </c>
      <c r="N182" s="47">
        <v>7</v>
      </c>
      <c r="O182" s="49">
        <v>1050000</v>
      </c>
    </row>
    <row r="183" spans="5:15" x14ac:dyDescent="0.15">
      <c r="H183"/>
      <c r="I183"/>
      <c r="J183"/>
      <c r="K183"/>
      <c r="L183"/>
      <c r="M183" s="50">
        <v>45470</v>
      </c>
      <c r="N183" s="47">
        <v>2</v>
      </c>
      <c r="O183" s="49">
        <v>275000</v>
      </c>
    </row>
    <row r="184" spans="5:15" x14ac:dyDescent="0.15">
      <c r="H184"/>
      <c r="I184"/>
      <c r="J184"/>
      <c r="K184"/>
      <c r="L184"/>
      <c r="M184" s="50">
        <v>45471</v>
      </c>
      <c r="N184" s="47">
        <v>9</v>
      </c>
      <c r="O184" s="49">
        <v>1260000</v>
      </c>
    </row>
    <row r="185" spans="5:15" x14ac:dyDescent="0.15">
      <c r="H185"/>
      <c r="I185"/>
      <c r="J185"/>
      <c r="K185"/>
      <c r="L185"/>
      <c r="M185" s="50">
        <v>45472</v>
      </c>
      <c r="N185" s="47">
        <v>15</v>
      </c>
      <c r="O185" s="49">
        <v>1995000</v>
      </c>
    </row>
    <row r="186" spans="5:15" x14ac:dyDescent="0.15">
      <c r="H186"/>
      <c r="I186"/>
      <c r="J186"/>
      <c r="K186"/>
      <c r="L186"/>
      <c r="M186" s="50">
        <v>45473</v>
      </c>
      <c r="N186" s="47">
        <v>10</v>
      </c>
      <c r="O186" s="49">
        <v>1115000</v>
      </c>
    </row>
    <row r="187" spans="5:15" x14ac:dyDescent="0.15">
      <c r="H187"/>
      <c r="I187"/>
      <c r="J187"/>
      <c r="K187"/>
      <c r="L187"/>
      <c r="M187" s="48" t="s">
        <v>1017</v>
      </c>
      <c r="N187" s="47">
        <v>403</v>
      </c>
      <c r="O187" s="49">
        <v>60700000</v>
      </c>
    </row>
    <row r="188" spans="5:15" x14ac:dyDescent="0.15">
      <c r="H188"/>
      <c r="I188"/>
      <c r="J188"/>
      <c r="K188"/>
      <c r="L188"/>
      <c r="M188" s="50">
        <v>45474</v>
      </c>
      <c r="N188" s="47">
        <v>27</v>
      </c>
      <c r="O188" s="49">
        <v>4610000</v>
      </c>
    </row>
    <row r="189" spans="5:15" x14ac:dyDescent="0.15">
      <c r="H189"/>
      <c r="I189"/>
      <c r="J189"/>
      <c r="K189"/>
      <c r="L189"/>
      <c r="M189" s="50">
        <v>45475</v>
      </c>
      <c r="N189" s="47">
        <v>12</v>
      </c>
      <c r="O189" s="49">
        <v>1550000</v>
      </c>
    </row>
    <row r="190" spans="5:15" x14ac:dyDescent="0.15">
      <c r="H190"/>
      <c r="I190"/>
      <c r="J190"/>
      <c r="K190"/>
      <c r="L190"/>
      <c r="M190" s="50">
        <v>45476</v>
      </c>
      <c r="N190" s="47">
        <v>9</v>
      </c>
      <c r="O190" s="49">
        <v>1310000</v>
      </c>
    </row>
    <row r="191" spans="5:15" x14ac:dyDescent="0.15">
      <c r="H191"/>
      <c r="I191"/>
      <c r="J191"/>
      <c r="K191"/>
      <c r="L191"/>
      <c r="M191" s="50">
        <v>45477</v>
      </c>
      <c r="N191" s="47">
        <v>26</v>
      </c>
      <c r="O191" s="49">
        <v>3975000</v>
      </c>
    </row>
    <row r="192" spans="5:15" x14ac:dyDescent="0.15">
      <c r="H192"/>
      <c r="I192"/>
      <c r="J192"/>
      <c r="K192"/>
      <c r="L192"/>
      <c r="M192" s="50">
        <v>45478</v>
      </c>
      <c r="N192" s="47">
        <v>21</v>
      </c>
      <c r="O192" s="49">
        <v>2645000</v>
      </c>
    </row>
    <row r="193" spans="8:15" x14ac:dyDescent="0.15">
      <c r="H193"/>
      <c r="I193"/>
      <c r="J193"/>
      <c r="K193"/>
      <c r="L193"/>
      <c r="M193" s="50">
        <v>45480</v>
      </c>
      <c r="N193" s="47">
        <v>6</v>
      </c>
      <c r="O193" s="49">
        <v>860000</v>
      </c>
    </row>
    <row r="194" spans="8:15" x14ac:dyDescent="0.15">
      <c r="H194"/>
      <c r="I194"/>
      <c r="J194"/>
      <c r="K194"/>
      <c r="L194"/>
      <c r="M194" s="50">
        <v>45481</v>
      </c>
      <c r="N194" s="47">
        <v>1</v>
      </c>
      <c r="O194" s="49">
        <v>80000</v>
      </c>
    </row>
    <row r="195" spans="8:15" x14ac:dyDescent="0.15">
      <c r="H195"/>
      <c r="I195"/>
      <c r="J195"/>
      <c r="K195"/>
      <c r="L195"/>
      <c r="M195" s="50">
        <v>45482</v>
      </c>
      <c r="N195" s="47">
        <v>3</v>
      </c>
      <c r="O195" s="49">
        <v>500000</v>
      </c>
    </row>
    <row r="196" spans="8:15" x14ac:dyDescent="0.15">
      <c r="H196"/>
      <c r="I196"/>
      <c r="J196"/>
      <c r="K196"/>
      <c r="L196"/>
      <c r="M196" s="50">
        <v>45483</v>
      </c>
      <c r="N196" s="47">
        <v>4</v>
      </c>
      <c r="O196" s="49">
        <v>750000</v>
      </c>
    </row>
    <row r="197" spans="8:15" x14ac:dyDescent="0.15">
      <c r="H197"/>
      <c r="I197"/>
      <c r="J197"/>
      <c r="K197"/>
      <c r="L197"/>
      <c r="M197" s="50">
        <v>45484</v>
      </c>
      <c r="N197" s="47">
        <v>14</v>
      </c>
      <c r="O197" s="49">
        <v>2355000</v>
      </c>
    </row>
    <row r="198" spans="8:15" x14ac:dyDescent="0.15">
      <c r="H198"/>
      <c r="I198"/>
      <c r="J198"/>
      <c r="K198"/>
      <c r="L198"/>
      <c r="M198" s="50">
        <v>45485</v>
      </c>
      <c r="N198" s="47">
        <v>18</v>
      </c>
      <c r="O198" s="49">
        <v>2345000</v>
      </c>
    </row>
    <row r="199" spans="8:15" x14ac:dyDescent="0.15">
      <c r="H199"/>
      <c r="I199"/>
      <c r="J199"/>
      <c r="K199"/>
      <c r="L199"/>
      <c r="M199" s="50">
        <v>45486</v>
      </c>
      <c r="N199" s="47">
        <v>7</v>
      </c>
      <c r="O199" s="49">
        <v>970000</v>
      </c>
    </row>
    <row r="200" spans="8:15" x14ac:dyDescent="0.15">
      <c r="H200"/>
      <c r="I200"/>
      <c r="J200"/>
      <c r="K200"/>
      <c r="L200"/>
      <c r="M200" s="50">
        <v>45488</v>
      </c>
      <c r="N200" s="47">
        <v>10</v>
      </c>
      <c r="O200" s="49">
        <v>1570000</v>
      </c>
    </row>
    <row r="201" spans="8:15" x14ac:dyDescent="0.15">
      <c r="H201"/>
      <c r="I201"/>
      <c r="J201"/>
      <c r="K201"/>
      <c r="L201"/>
      <c r="M201" s="50">
        <v>45489</v>
      </c>
      <c r="N201" s="47">
        <v>18</v>
      </c>
      <c r="O201" s="49">
        <v>2425000</v>
      </c>
    </row>
    <row r="202" spans="8:15" x14ac:dyDescent="0.15">
      <c r="H202"/>
      <c r="I202"/>
      <c r="J202"/>
      <c r="K202"/>
      <c r="L202"/>
      <c r="M202" s="50">
        <v>45490</v>
      </c>
      <c r="N202" s="47">
        <v>29</v>
      </c>
      <c r="O202" s="49">
        <v>4265000</v>
      </c>
    </row>
    <row r="203" spans="8:15" x14ac:dyDescent="0.15">
      <c r="H203"/>
      <c r="I203"/>
      <c r="J203"/>
      <c r="K203"/>
      <c r="L203"/>
      <c r="M203" s="50">
        <v>45491</v>
      </c>
      <c r="N203" s="47">
        <v>29</v>
      </c>
      <c r="O203" s="49">
        <v>4560000</v>
      </c>
    </row>
    <row r="204" spans="8:15" x14ac:dyDescent="0.15">
      <c r="H204"/>
      <c r="I204"/>
      <c r="J204"/>
      <c r="K204"/>
      <c r="L204"/>
      <c r="M204" s="50">
        <v>45492</v>
      </c>
      <c r="N204" s="47">
        <v>4</v>
      </c>
      <c r="O204" s="49">
        <v>540000</v>
      </c>
    </row>
    <row r="205" spans="8:15" x14ac:dyDescent="0.15">
      <c r="H205"/>
      <c r="I205"/>
      <c r="J205"/>
      <c r="K205"/>
      <c r="L205"/>
      <c r="M205" s="50">
        <v>45493</v>
      </c>
      <c r="N205" s="47">
        <v>18</v>
      </c>
      <c r="O205" s="49">
        <v>2530000</v>
      </c>
    </row>
    <row r="206" spans="8:15" x14ac:dyDescent="0.15">
      <c r="H206"/>
      <c r="I206"/>
      <c r="J206"/>
      <c r="K206"/>
      <c r="L206"/>
      <c r="M206" s="50">
        <v>45494</v>
      </c>
      <c r="N206" s="47">
        <v>22</v>
      </c>
      <c r="O206" s="49">
        <v>4430000</v>
      </c>
    </row>
    <row r="207" spans="8:15" x14ac:dyDescent="0.15">
      <c r="H207"/>
      <c r="I207"/>
      <c r="J207"/>
      <c r="K207"/>
      <c r="L207"/>
      <c r="M207" s="50">
        <v>45495</v>
      </c>
      <c r="N207" s="47">
        <v>10</v>
      </c>
      <c r="O207" s="49">
        <v>1475000</v>
      </c>
    </row>
    <row r="208" spans="8:15" x14ac:dyDescent="0.15">
      <c r="H208"/>
      <c r="I208"/>
      <c r="J208"/>
      <c r="K208"/>
      <c r="L208"/>
      <c r="M208" s="50">
        <v>45496</v>
      </c>
      <c r="N208" s="47">
        <v>22</v>
      </c>
      <c r="O208" s="49">
        <v>2900000</v>
      </c>
    </row>
    <row r="209" spans="8:15" x14ac:dyDescent="0.15">
      <c r="H209"/>
      <c r="I209"/>
      <c r="J209"/>
      <c r="K209"/>
      <c r="L209"/>
      <c r="M209" s="50">
        <v>45497</v>
      </c>
      <c r="N209" s="47">
        <v>11</v>
      </c>
      <c r="O209" s="49">
        <v>1240000</v>
      </c>
    </row>
    <row r="210" spans="8:15" x14ac:dyDescent="0.15">
      <c r="H210"/>
      <c r="I210"/>
      <c r="J210"/>
      <c r="K210"/>
      <c r="L210"/>
      <c r="M210" s="50">
        <v>45498</v>
      </c>
      <c r="N210" s="47">
        <v>5</v>
      </c>
      <c r="O210" s="49">
        <v>580000</v>
      </c>
    </row>
    <row r="211" spans="8:15" x14ac:dyDescent="0.15">
      <c r="H211"/>
      <c r="I211"/>
      <c r="J211"/>
      <c r="K211"/>
      <c r="L211"/>
      <c r="M211" s="50">
        <v>45499</v>
      </c>
      <c r="N211" s="47">
        <v>27</v>
      </c>
      <c r="O211" s="49">
        <v>5030000</v>
      </c>
    </row>
    <row r="212" spans="8:15" x14ac:dyDescent="0.15">
      <c r="H212"/>
      <c r="I212"/>
      <c r="J212"/>
      <c r="K212"/>
      <c r="L212"/>
      <c r="M212" s="50">
        <v>45500</v>
      </c>
      <c r="N212" s="47">
        <v>20</v>
      </c>
      <c r="O212" s="49">
        <v>3175000</v>
      </c>
    </row>
    <row r="213" spans="8:15" x14ac:dyDescent="0.15">
      <c r="H213"/>
      <c r="I213"/>
      <c r="J213"/>
      <c r="K213"/>
      <c r="L213"/>
      <c r="M213" s="50">
        <v>45501</v>
      </c>
      <c r="N213" s="47">
        <v>6</v>
      </c>
      <c r="O213" s="49">
        <v>830000</v>
      </c>
    </row>
    <row r="214" spans="8:15" x14ac:dyDescent="0.15">
      <c r="H214"/>
      <c r="I214"/>
      <c r="J214"/>
      <c r="K214"/>
      <c r="L214"/>
      <c r="M214" s="50">
        <v>45502</v>
      </c>
      <c r="N214" s="47">
        <v>7</v>
      </c>
      <c r="O214" s="49">
        <v>850000</v>
      </c>
    </row>
    <row r="215" spans="8:15" x14ac:dyDescent="0.15">
      <c r="H215"/>
      <c r="I215"/>
      <c r="J215"/>
      <c r="K215"/>
      <c r="L215"/>
      <c r="M215" s="50">
        <v>45503</v>
      </c>
      <c r="N215" s="47">
        <v>6</v>
      </c>
      <c r="O215" s="49">
        <v>790000</v>
      </c>
    </row>
    <row r="216" spans="8:15" x14ac:dyDescent="0.15">
      <c r="H216"/>
      <c r="I216"/>
      <c r="J216"/>
      <c r="K216"/>
      <c r="L216"/>
      <c r="M216" s="50">
        <v>45504</v>
      </c>
      <c r="N216" s="47">
        <v>11</v>
      </c>
      <c r="O216" s="49">
        <v>1560000</v>
      </c>
    </row>
    <row r="217" spans="8:15" x14ac:dyDescent="0.15">
      <c r="H217"/>
      <c r="I217"/>
      <c r="J217"/>
      <c r="K217"/>
      <c r="L217"/>
      <c r="M217" s="48" t="s">
        <v>1018</v>
      </c>
      <c r="N217" s="47">
        <v>393</v>
      </c>
      <c r="O217" s="49">
        <v>55900000</v>
      </c>
    </row>
    <row r="218" spans="8:15" x14ac:dyDescent="0.15">
      <c r="H218"/>
      <c r="I218"/>
      <c r="J218"/>
      <c r="K218"/>
      <c r="L218"/>
      <c r="M218" s="50">
        <v>45506</v>
      </c>
      <c r="N218" s="47">
        <v>10</v>
      </c>
      <c r="O218" s="49">
        <v>1450000</v>
      </c>
    </row>
    <row r="219" spans="8:15" x14ac:dyDescent="0.15">
      <c r="H219"/>
      <c r="I219"/>
      <c r="J219"/>
      <c r="K219"/>
      <c r="L219"/>
      <c r="M219" s="50">
        <v>45507</v>
      </c>
      <c r="N219" s="47">
        <v>5</v>
      </c>
      <c r="O219" s="49">
        <v>360000</v>
      </c>
    </row>
    <row r="220" spans="8:15" x14ac:dyDescent="0.15">
      <c r="H220"/>
      <c r="I220"/>
      <c r="J220"/>
      <c r="K220"/>
      <c r="L220"/>
      <c r="M220" s="50">
        <v>45508</v>
      </c>
      <c r="N220" s="47">
        <v>17</v>
      </c>
      <c r="O220" s="49">
        <v>3215000</v>
      </c>
    </row>
    <row r="221" spans="8:15" x14ac:dyDescent="0.15">
      <c r="H221"/>
      <c r="I221"/>
      <c r="J221"/>
      <c r="K221"/>
      <c r="L221"/>
      <c r="M221" s="50">
        <v>45509</v>
      </c>
      <c r="N221" s="47">
        <v>20</v>
      </c>
      <c r="O221" s="49">
        <v>3480000</v>
      </c>
    </row>
    <row r="222" spans="8:15" x14ac:dyDescent="0.15">
      <c r="H222"/>
      <c r="I222"/>
      <c r="J222"/>
      <c r="K222"/>
      <c r="L222"/>
      <c r="M222" s="50">
        <v>45510</v>
      </c>
      <c r="N222" s="47">
        <v>13</v>
      </c>
      <c r="O222" s="49">
        <v>1850000</v>
      </c>
    </row>
    <row r="223" spans="8:15" x14ac:dyDescent="0.15">
      <c r="H223"/>
      <c r="I223"/>
      <c r="J223"/>
      <c r="K223"/>
      <c r="L223"/>
      <c r="M223" s="50">
        <v>45511</v>
      </c>
      <c r="N223" s="47">
        <v>9</v>
      </c>
      <c r="O223" s="49">
        <v>1215000</v>
      </c>
    </row>
    <row r="224" spans="8:15" x14ac:dyDescent="0.15">
      <c r="H224"/>
      <c r="I224"/>
      <c r="J224"/>
      <c r="K224"/>
      <c r="L224"/>
      <c r="M224" s="50">
        <v>45512</v>
      </c>
      <c r="N224" s="47">
        <v>19</v>
      </c>
      <c r="O224" s="49">
        <v>2520000</v>
      </c>
    </row>
    <row r="225" spans="8:15" x14ac:dyDescent="0.15">
      <c r="H225"/>
      <c r="I225"/>
      <c r="J225"/>
      <c r="K225"/>
      <c r="L225"/>
      <c r="M225" s="50">
        <v>45513</v>
      </c>
      <c r="N225" s="47">
        <v>25</v>
      </c>
      <c r="O225" s="49">
        <v>3370000</v>
      </c>
    </row>
    <row r="226" spans="8:15" x14ac:dyDescent="0.15">
      <c r="H226"/>
      <c r="I226"/>
      <c r="J226"/>
      <c r="K226"/>
      <c r="L226"/>
      <c r="M226" s="50">
        <v>45514</v>
      </c>
      <c r="N226" s="47">
        <v>3</v>
      </c>
      <c r="O226" s="49">
        <v>400000</v>
      </c>
    </row>
    <row r="227" spans="8:15" x14ac:dyDescent="0.15">
      <c r="H227"/>
      <c r="I227"/>
      <c r="J227"/>
      <c r="K227"/>
      <c r="L227"/>
      <c r="M227" s="50">
        <v>45515</v>
      </c>
      <c r="N227" s="47">
        <v>12</v>
      </c>
      <c r="O227" s="49">
        <v>1720000</v>
      </c>
    </row>
    <row r="228" spans="8:15" x14ac:dyDescent="0.15">
      <c r="H228"/>
      <c r="I228"/>
      <c r="J228"/>
      <c r="K228"/>
      <c r="L228"/>
      <c r="M228" s="50">
        <v>45516</v>
      </c>
      <c r="N228" s="47">
        <v>7</v>
      </c>
      <c r="O228" s="49">
        <v>1000000</v>
      </c>
    </row>
    <row r="229" spans="8:15" x14ac:dyDescent="0.15">
      <c r="H229"/>
      <c r="I229"/>
      <c r="J229"/>
      <c r="K229"/>
      <c r="L229"/>
      <c r="M229" s="50">
        <v>45517</v>
      </c>
      <c r="N229" s="47">
        <v>1</v>
      </c>
      <c r="O229" s="49">
        <v>150000</v>
      </c>
    </row>
    <row r="230" spans="8:15" x14ac:dyDescent="0.15">
      <c r="H230"/>
      <c r="I230"/>
      <c r="J230"/>
      <c r="K230"/>
      <c r="L230"/>
      <c r="M230" s="50">
        <v>45518</v>
      </c>
      <c r="N230" s="47">
        <v>5</v>
      </c>
      <c r="O230" s="49">
        <v>830000</v>
      </c>
    </row>
    <row r="231" spans="8:15" x14ac:dyDescent="0.15">
      <c r="H231"/>
      <c r="I231"/>
      <c r="J231"/>
      <c r="K231"/>
      <c r="L231"/>
      <c r="M231" s="50">
        <v>45519</v>
      </c>
      <c r="N231" s="47">
        <v>24</v>
      </c>
      <c r="O231" s="49">
        <v>2545000</v>
      </c>
    </row>
    <row r="232" spans="8:15" x14ac:dyDescent="0.15">
      <c r="H232"/>
      <c r="I232"/>
      <c r="J232"/>
      <c r="K232"/>
      <c r="L232"/>
      <c r="M232" s="50">
        <v>45520</v>
      </c>
      <c r="N232" s="47">
        <v>10</v>
      </c>
      <c r="O232" s="49">
        <v>1760000</v>
      </c>
    </row>
    <row r="233" spans="8:15" x14ac:dyDescent="0.15">
      <c r="H233"/>
      <c r="I233"/>
      <c r="J233"/>
      <c r="K233"/>
      <c r="L233"/>
      <c r="M233" s="50">
        <v>45521</v>
      </c>
      <c r="N233" s="47">
        <v>7</v>
      </c>
      <c r="O233" s="49">
        <v>1160000</v>
      </c>
    </row>
    <row r="234" spans="8:15" x14ac:dyDescent="0.15">
      <c r="H234"/>
      <c r="I234"/>
      <c r="J234"/>
      <c r="K234"/>
      <c r="L234"/>
      <c r="M234" s="50">
        <v>45522</v>
      </c>
      <c r="N234" s="47">
        <v>15</v>
      </c>
      <c r="O234" s="49">
        <v>2090000</v>
      </c>
    </row>
    <row r="235" spans="8:15" x14ac:dyDescent="0.15">
      <c r="H235"/>
      <c r="I235"/>
      <c r="J235"/>
      <c r="K235"/>
      <c r="L235"/>
      <c r="M235" s="50">
        <v>45523</v>
      </c>
      <c r="N235" s="47">
        <v>18</v>
      </c>
      <c r="O235" s="49">
        <v>2470000</v>
      </c>
    </row>
    <row r="236" spans="8:15" x14ac:dyDescent="0.15">
      <c r="H236"/>
      <c r="I236"/>
      <c r="J236"/>
      <c r="K236"/>
      <c r="L236"/>
      <c r="M236" s="50">
        <v>45524</v>
      </c>
      <c r="N236" s="47">
        <v>12</v>
      </c>
      <c r="O236" s="49">
        <v>1840000</v>
      </c>
    </row>
    <row r="237" spans="8:15" x14ac:dyDescent="0.15">
      <c r="H237"/>
      <c r="I237"/>
      <c r="J237"/>
      <c r="K237"/>
      <c r="L237"/>
      <c r="M237" s="50">
        <v>45525</v>
      </c>
      <c r="N237" s="47">
        <v>20</v>
      </c>
      <c r="O237" s="49">
        <v>2070000</v>
      </c>
    </row>
    <row r="238" spans="8:15" x14ac:dyDescent="0.15">
      <c r="H238"/>
      <c r="I238"/>
      <c r="J238"/>
      <c r="K238"/>
      <c r="L238"/>
      <c r="M238" s="50">
        <v>45526</v>
      </c>
      <c r="N238" s="47">
        <v>16</v>
      </c>
      <c r="O238" s="49">
        <v>2360000</v>
      </c>
    </row>
    <row r="239" spans="8:15" x14ac:dyDescent="0.15">
      <c r="H239"/>
      <c r="I239"/>
      <c r="J239"/>
      <c r="K239"/>
      <c r="L239"/>
      <c r="M239" s="50">
        <v>45527</v>
      </c>
      <c r="N239" s="47">
        <v>23</v>
      </c>
      <c r="O239" s="49">
        <v>3800000</v>
      </c>
    </row>
    <row r="240" spans="8:15" x14ac:dyDescent="0.15">
      <c r="H240"/>
      <c r="I240"/>
      <c r="J240"/>
      <c r="K240"/>
      <c r="L240"/>
      <c r="M240" s="50">
        <v>45528</v>
      </c>
      <c r="N240" s="47">
        <v>2</v>
      </c>
      <c r="O240" s="49">
        <v>350000</v>
      </c>
    </row>
    <row r="241" spans="8:15" x14ac:dyDescent="0.15">
      <c r="H241"/>
      <c r="I241"/>
      <c r="J241"/>
      <c r="K241"/>
      <c r="L241"/>
      <c r="M241" s="50">
        <v>45529</v>
      </c>
      <c r="N241" s="47">
        <v>17</v>
      </c>
      <c r="O241" s="49">
        <v>2265000</v>
      </c>
    </row>
    <row r="242" spans="8:15" x14ac:dyDescent="0.15">
      <c r="H242"/>
      <c r="I242"/>
      <c r="J242"/>
      <c r="K242"/>
      <c r="L242"/>
      <c r="M242" s="50">
        <v>45530</v>
      </c>
      <c r="N242" s="47">
        <v>21</v>
      </c>
      <c r="O242" s="49">
        <v>2505000</v>
      </c>
    </row>
    <row r="243" spans="8:15" x14ac:dyDescent="0.15">
      <c r="H243"/>
      <c r="I243"/>
      <c r="J243"/>
      <c r="K243"/>
      <c r="L243"/>
      <c r="M243" s="50">
        <v>45531</v>
      </c>
      <c r="N243" s="47">
        <v>4</v>
      </c>
      <c r="O243" s="49">
        <v>800000</v>
      </c>
    </row>
    <row r="244" spans="8:15" x14ac:dyDescent="0.15">
      <c r="H244"/>
      <c r="I244"/>
      <c r="J244"/>
      <c r="K244"/>
      <c r="L244"/>
      <c r="M244" s="50">
        <v>45532</v>
      </c>
      <c r="N244" s="47">
        <v>17</v>
      </c>
      <c r="O244" s="49">
        <v>2475000</v>
      </c>
    </row>
    <row r="245" spans="8:15" x14ac:dyDescent="0.15">
      <c r="H245"/>
      <c r="I245"/>
      <c r="J245"/>
      <c r="K245"/>
      <c r="L245"/>
      <c r="M245" s="50">
        <v>45533</v>
      </c>
      <c r="N245" s="47">
        <v>5</v>
      </c>
      <c r="O245" s="49">
        <v>610000</v>
      </c>
    </row>
    <row r="246" spans="8:15" x14ac:dyDescent="0.15">
      <c r="H246"/>
      <c r="I246"/>
      <c r="J246"/>
      <c r="K246"/>
      <c r="L246"/>
      <c r="M246" s="50">
        <v>45534</v>
      </c>
      <c r="N246" s="47">
        <v>15</v>
      </c>
      <c r="O246" s="49">
        <v>2400000</v>
      </c>
    </row>
    <row r="247" spans="8:15" x14ac:dyDescent="0.15">
      <c r="H247"/>
      <c r="I247"/>
      <c r="J247"/>
      <c r="K247"/>
      <c r="L247"/>
      <c r="M247" s="50">
        <v>45535</v>
      </c>
      <c r="N247" s="47">
        <v>21</v>
      </c>
      <c r="O247" s="49">
        <v>2840000</v>
      </c>
    </row>
    <row r="248" spans="8:15" x14ac:dyDescent="0.15">
      <c r="H248"/>
      <c r="I248"/>
      <c r="J248"/>
      <c r="K248"/>
      <c r="L248"/>
      <c r="M248" s="48" t="s">
        <v>1019</v>
      </c>
      <c r="N248" s="47">
        <v>348</v>
      </c>
      <c r="O248" s="49">
        <v>56485000</v>
      </c>
    </row>
    <row r="249" spans="8:15" x14ac:dyDescent="0.15">
      <c r="H249"/>
      <c r="I249"/>
      <c r="J249"/>
      <c r="K249"/>
      <c r="L249"/>
      <c r="M249" s="50">
        <v>45537</v>
      </c>
      <c r="N249" s="47">
        <v>7</v>
      </c>
      <c r="O249" s="49">
        <v>720000</v>
      </c>
    </row>
    <row r="250" spans="8:15" x14ac:dyDescent="0.15">
      <c r="H250"/>
      <c r="I250"/>
      <c r="J250"/>
      <c r="K250"/>
      <c r="L250"/>
      <c r="M250" s="50">
        <v>45538</v>
      </c>
      <c r="N250" s="47">
        <v>11</v>
      </c>
      <c r="O250" s="49">
        <v>2010000</v>
      </c>
    </row>
    <row r="251" spans="8:15" x14ac:dyDescent="0.15">
      <c r="H251"/>
      <c r="I251"/>
      <c r="J251"/>
      <c r="K251"/>
      <c r="L251"/>
      <c r="M251" s="50">
        <v>45539</v>
      </c>
      <c r="N251" s="47">
        <v>15</v>
      </c>
      <c r="O251" s="49">
        <v>1775000</v>
      </c>
    </row>
    <row r="252" spans="8:15" x14ac:dyDescent="0.15">
      <c r="H252"/>
      <c r="I252"/>
      <c r="J252"/>
      <c r="K252"/>
      <c r="L252"/>
      <c r="M252" s="50">
        <v>45540</v>
      </c>
      <c r="N252" s="47">
        <v>7</v>
      </c>
      <c r="O252" s="49">
        <v>1050000</v>
      </c>
    </row>
    <row r="253" spans="8:15" x14ac:dyDescent="0.15">
      <c r="H253"/>
      <c r="I253"/>
      <c r="J253"/>
      <c r="K253"/>
      <c r="L253"/>
      <c r="M253" s="50">
        <v>45541</v>
      </c>
      <c r="N253" s="47">
        <v>24</v>
      </c>
      <c r="O253" s="49">
        <v>3405000</v>
      </c>
    </row>
    <row r="254" spans="8:15" x14ac:dyDescent="0.15">
      <c r="H254"/>
      <c r="I254"/>
      <c r="J254"/>
      <c r="K254"/>
      <c r="L254"/>
      <c r="M254" s="50">
        <v>45542</v>
      </c>
      <c r="N254" s="47">
        <v>5</v>
      </c>
      <c r="O254" s="49">
        <v>680000</v>
      </c>
    </row>
    <row r="255" spans="8:15" x14ac:dyDescent="0.15">
      <c r="H255"/>
      <c r="I255"/>
      <c r="J255"/>
      <c r="K255"/>
      <c r="L255"/>
      <c r="M255" s="50">
        <v>45543</v>
      </c>
      <c r="N255" s="47">
        <v>21</v>
      </c>
      <c r="O255" s="49">
        <v>5730000</v>
      </c>
    </row>
    <row r="256" spans="8:15" x14ac:dyDescent="0.15">
      <c r="H256"/>
      <c r="I256"/>
      <c r="J256"/>
      <c r="K256"/>
      <c r="L256"/>
      <c r="M256" s="50">
        <v>45544</v>
      </c>
      <c r="N256" s="47">
        <v>18</v>
      </c>
      <c r="O256" s="49">
        <v>3395000</v>
      </c>
    </row>
    <row r="257" spans="8:15" x14ac:dyDescent="0.15">
      <c r="H257"/>
      <c r="I257"/>
      <c r="J257"/>
      <c r="K257"/>
      <c r="L257"/>
      <c r="M257" s="50">
        <v>45545</v>
      </c>
      <c r="N257" s="47">
        <v>14</v>
      </c>
      <c r="O257" s="49">
        <v>1640000</v>
      </c>
    </row>
    <row r="258" spans="8:15" x14ac:dyDescent="0.15">
      <c r="H258"/>
      <c r="I258"/>
      <c r="J258"/>
      <c r="K258"/>
      <c r="L258"/>
      <c r="M258" s="50">
        <v>45546</v>
      </c>
      <c r="N258" s="47">
        <v>22</v>
      </c>
      <c r="O258" s="49">
        <v>3670000</v>
      </c>
    </row>
    <row r="259" spans="8:15" x14ac:dyDescent="0.15">
      <c r="H259"/>
      <c r="I259"/>
      <c r="J259"/>
      <c r="K259"/>
      <c r="L259"/>
      <c r="M259" s="50">
        <v>45547</v>
      </c>
      <c r="N259" s="47">
        <v>14</v>
      </c>
      <c r="O259" s="49">
        <v>3535000</v>
      </c>
    </row>
    <row r="260" spans="8:15" x14ac:dyDescent="0.15">
      <c r="H260"/>
      <c r="I260"/>
      <c r="J260"/>
      <c r="K260"/>
      <c r="L260"/>
      <c r="M260" s="50">
        <v>45548</v>
      </c>
      <c r="N260" s="47">
        <v>21</v>
      </c>
      <c r="O260" s="49">
        <v>3970000</v>
      </c>
    </row>
    <row r="261" spans="8:15" x14ac:dyDescent="0.15">
      <c r="H261"/>
      <c r="I261"/>
      <c r="J261"/>
      <c r="K261"/>
      <c r="L261"/>
      <c r="M261" s="50">
        <v>45550</v>
      </c>
      <c r="N261" s="47">
        <v>5</v>
      </c>
      <c r="O261" s="49">
        <v>910000</v>
      </c>
    </row>
    <row r="262" spans="8:15" x14ac:dyDescent="0.15">
      <c r="H262"/>
      <c r="I262"/>
      <c r="J262"/>
      <c r="K262"/>
      <c r="L262"/>
      <c r="M262" s="50">
        <v>45551</v>
      </c>
      <c r="N262" s="47">
        <v>7</v>
      </c>
      <c r="O262" s="49">
        <v>660000</v>
      </c>
    </row>
    <row r="263" spans="8:15" x14ac:dyDescent="0.15">
      <c r="H263"/>
      <c r="I263"/>
      <c r="J263"/>
      <c r="K263"/>
      <c r="L263"/>
      <c r="M263" s="50">
        <v>45552</v>
      </c>
      <c r="N263" s="47">
        <v>17</v>
      </c>
      <c r="O263" s="49">
        <v>2510000</v>
      </c>
    </row>
    <row r="264" spans="8:15" x14ac:dyDescent="0.15">
      <c r="H264"/>
      <c r="I264"/>
      <c r="J264"/>
      <c r="K264"/>
      <c r="L264"/>
      <c r="M264" s="50">
        <v>45554</v>
      </c>
      <c r="N264" s="47">
        <v>4</v>
      </c>
      <c r="O264" s="49">
        <v>980000</v>
      </c>
    </row>
    <row r="265" spans="8:15" x14ac:dyDescent="0.15">
      <c r="H265"/>
      <c r="I265"/>
      <c r="J265"/>
      <c r="K265"/>
      <c r="L265"/>
      <c r="M265" s="50">
        <v>45556</v>
      </c>
      <c r="N265" s="47">
        <v>2</v>
      </c>
      <c r="O265" s="49">
        <v>120000</v>
      </c>
    </row>
    <row r="266" spans="8:15" x14ac:dyDescent="0.15">
      <c r="H266"/>
      <c r="I266"/>
      <c r="J266"/>
      <c r="K266"/>
      <c r="L266"/>
      <c r="M266" s="50">
        <v>45557</v>
      </c>
      <c r="N266" s="47">
        <v>22</v>
      </c>
      <c r="O266" s="49">
        <v>3335000</v>
      </c>
    </row>
    <row r="267" spans="8:15" x14ac:dyDescent="0.15">
      <c r="H267"/>
      <c r="I267"/>
      <c r="J267"/>
      <c r="K267"/>
      <c r="L267"/>
      <c r="M267" s="50">
        <v>45558</v>
      </c>
      <c r="N267" s="47">
        <v>9</v>
      </c>
      <c r="O267" s="49">
        <v>1310000</v>
      </c>
    </row>
    <row r="268" spans="8:15" x14ac:dyDescent="0.15">
      <c r="H268"/>
      <c r="I268"/>
      <c r="J268"/>
      <c r="K268"/>
      <c r="L268"/>
      <c r="M268" s="50">
        <v>45559</v>
      </c>
      <c r="N268" s="47">
        <v>20</v>
      </c>
      <c r="O268" s="49">
        <v>3335000</v>
      </c>
    </row>
    <row r="269" spans="8:15" x14ac:dyDescent="0.15">
      <c r="H269"/>
      <c r="I269"/>
      <c r="J269"/>
      <c r="K269"/>
      <c r="L269"/>
      <c r="M269" s="50">
        <v>45560</v>
      </c>
      <c r="N269" s="47">
        <v>19</v>
      </c>
      <c r="O269" s="49">
        <v>3190000</v>
      </c>
    </row>
    <row r="270" spans="8:15" x14ac:dyDescent="0.15">
      <c r="H270"/>
      <c r="I270"/>
      <c r="J270"/>
      <c r="K270"/>
      <c r="L270"/>
      <c r="M270" s="50">
        <v>45561</v>
      </c>
      <c r="N270" s="47">
        <v>6</v>
      </c>
      <c r="O270" s="49">
        <v>1050000</v>
      </c>
    </row>
    <row r="271" spans="8:15" x14ac:dyDescent="0.15">
      <c r="H271"/>
      <c r="I271"/>
      <c r="J271"/>
      <c r="K271"/>
      <c r="L271"/>
      <c r="M271" s="50">
        <v>45562</v>
      </c>
      <c r="N271" s="47">
        <v>33</v>
      </c>
      <c r="O271" s="49">
        <v>3835000</v>
      </c>
    </row>
    <row r="272" spans="8:15" x14ac:dyDescent="0.15">
      <c r="H272"/>
      <c r="I272"/>
      <c r="J272"/>
      <c r="K272"/>
      <c r="L272"/>
      <c r="M272" s="50">
        <v>45563</v>
      </c>
      <c r="N272" s="47">
        <v>4</v>
      </c>
      <c r="O272" s="49">
        <v>320000</v>
      </c>
    </row>
    <row r="273" spans="8:15" x14ac:dyDescent="0.15">
      <c r="H273"/>
      <c r="I273"/>
      <c r="J273"/>
      <c r="K273"/>
      <c r="L273"/>
      <c r="M273" s="50">
        <v>45564</v>
      </c>
      <c r="N273" s="47">
        <v>6</v>
      </c>
      <c r="O273" s="49">
        <v>1385000</v>
      </c>
    </row>
    <row r="274" spans="8:15" x14ac:dyDescent="0.15">
      <c r="H274"/>
      <c r="I274"/>
      <c r="J274"/>
      <c r="K274"/>
      <c r="L274"/>
      <c r="M274" s="50">
        <v>45565</v>
      </c>
      <c r="N274" s="47">
        <v>15</v>
      </c>
      <c r="O274" s="49">
        <v>1965000</v>
      </c>
    </row>
    <row r="275" spans="8:15" x14ac:dyDescent="0.15">
      <c r="H275"/>
      <c r="I275"/>
      <c r="J275"/>
      <c r="K275"/>
      <c r="L275"/>
      <c r="M275" s="48" t="s">
        <v>1020</v>
      </c>
      <c r="N275" s="47">
        <v>369</v>
      </c>
      <c r="O275" s="49">
        <v>53675000</v>
      </c>
    </row>
    <row r="276" spans="8:15" x14ac:dyDescent="0.15">
      <c r="H276"/>
      <c r="I276"/>
      <c r="J276"/>
      <c r="K276"/>
      <c r="L276"/>
      <c r="M276" s="50">
        <v>45566</v>
      </c>
      <c r="N276" s="47">
        <v>24</v>
      </c>
      <c r="O276" s="49">
        <v>3940000</v>
      </c>
    </row>
    <row r="277" spans="8:15" x14ac:dyDescent="0.15">
      <c r="H277"/>
      <c r="I277"/>
      <c r="J277"/>
      <c r="K277"/>
      <c r="L277"/>
      <c r="M277" s="50">
        <v>45567</v>
      </c>
      <c r="N277" s="47">
        <v>27</v>
      </c>
      <c r="O277" s="49">
        <v>3640000</v>
      </c>
    </row>
    <row r="278" spans="8:15" x14ac:dyDescent="0.15">
      <c r="H278"/>
      <c r="I278"/>
      <c r="J278"/>
      <c r="K278"/>
      <c r="L278"/>
      <c r="M278" s="50">
        <v>45568</v>
      </c>
      <c r="N278" s="47">
        <v>5</v>
      </c>
      <c r="O278" s="49">
        <v>750000</v>
      </c>
    </row>
    <row r="279" spans="8:15" x14ac:dyDescent="0.15">
      <c r="H279"/>
      <c r="I279"/>
      <c r="J279"/>
      <c r="K279"/>
      <c r="L279"/>
      <c r="M279" s="50">
        <v>45569</v>
      </c>
      <c r="N279" s="47">
        <v>15</v>
      </c>
      <c r="O279" s="49">
        <v>1660000</v>
      </c>
    </row>
    <row r="280" spans="8:15" x14ac:dyDescent="0.15">
      <c r="H280"/>
      <c r="I280"/>
      <c r="J280"/>
      <c r="K280"/>
      <c r="L280"/>
      <c r="M280" s="50">
        <v>45570</v>
      </c>
      <c r="N280" s="47">
        <v>25</v>
      </c>
      <c r="O280" s="49">
        <v>3945000</v>
      </c>
    </row>
    <row r="281" spans="8:15" x14ac:dyDescent="0.15">
      <c r="H281"/>
      <c r="I281"/>
      <c r="J281"/>
      <c r="K281"/>
      <c r="L281"/>
      <c r="M281" s="50">
        <v>45572</v>
      </c>
      <c r="N281" s="47">
        <v>18</v>
      </c>
      <c r="O281" s="49">
        <v>2265000</v>
      </c>
    </row>
    <row r="282" spans="8:15" x14ac:dyDescent="0.15">
      <c r="H282"/>
      <c r="I282"/>
      <c r="J282"/>
      <c r="K282"/>
      <c r="L282"/>
      <c r="M282" s="50">
        <v>45573</v>
      </c>
      <c r="N282" s="47">
        <v>13</v>
      </c>
      <c r="O282" s="49">
        <v>1550000</v>
      </c>
    </row>
    <row r="283" spans="8:15" x14ac:dyDescent="0.15">
      <c r="H283"/>
      <c r="I283"/>
      <c r="J283"/>
      <c r="K283"/>
      <c r="L283"/>
      <c r="M283" s="50">
        <v>45574</v>
      </c>
      <c r="N283" s="47">
        <v>6</v>
      </c>
      <c r="O283" s="49">
        <v>1140000</v>
      </c>
    </row>
    <row r="284" spans="8:15" x14ac:dyDescent="0.15">
      <c r="H284"/>
      <c r="I284"/>
      <c r="J284"/>
      <c r="K284"/>
      <c r="L284"/>
      <c r="M284" s="50">
        <v>45575</v>
      </c>
      <c r="N284" s="47">
        <v>14</v>
      </c>
      <c r="O284" s="49">
        <v>1705000</v>
      </c>
    </row>
    <row r="285" spans="8:15" x14ac:dyDescent="0.15">
      <c r="H285"/>
      <c r="I285"/>
      <c r="J285"/>
      <c r="K285"/>
      <c r="L285"/>
      <c r="M285" s="50">
        <v>45577</v>
      </c>
      <c r="N285" s="47">
        <v>11</v>
      </c>
      <c r="O285" s="49">
        <v>950000</v>
      </c>
    </row>
    <row r="286" spans="8:15" x14ac:dyDescent="0.15">
      <c r="H286"/>
      <c r="I286"/>
      <c r="J286"/>
      <c r="K286"/>
      <c r="L286"/>
      <c r="M286" s="50">
        <v>45578</v>
      </c>
      <c r="N286" s="47">
        <v>13</v>
      </c>
      <c r="O286" s="49">
        <v>1860000</v>
      </c>
    </row>
    <row r="287" spans="8:15" x14ac:dyDescent="0.15">
      <c r="H287"/>
      <c r="I287"/>
      <c r="J287"/>
      <c r="K287"/>
      <c r="L287"/>
      <c r="M287" s="50">
        <v>45579</v>
      </c>
      <c r="N287" s="47">
        <v>9</v>
      </c>
      <c r="O287" s="49">
        <v>1270000</v>
      </c>
    </row>
    <row r="288" spans="8:15" x14ac:dyDescent="0.15">
      <c r="H288"/>
      <c r="I288"/>
      <c r="J288"/>
      <c r="K288"/>
      <c r="L288"/>
      <c r="M288" s="50">
        <v>45580</v>
      </c>
      <c r="N288" s="47">
        <v>14</v>
      </c>
      <c r="O288" s="49">
        <v>1735000</v>
      </c>
    </row>
    <row r="289" spans="8:15" x14ac:dyDescent="0.15">
      <c r="H289"/>
      <c r="I289"/>
      <c r="J289"/>
      <c r="K289"/>
      <c r="L289"/>
      <c r="M289" s="50">
        <v>45581</v>
      </c>
      <c r="N289" s="47">
        <v>6</v>
      </c>
      <c r="O289" s="49">
        <v>830000</v>
      </c>
    </row>
    <row r="290" spans="8:15" x14ac:dyDescent="0.15">
      <c r="H290"/>
      <c r="I290"/>
      <c r="J290"/>
      <c r="K290"/>
      <c r="L290"/>
      <c r="M290" s="50">
        <v>45582</v>
      </c>
      <c r="N290" s="47">
        <v>12</v>
      </c>
      <c r="O290" s="49">
        <v>1470000</v>
      </c>
    </row>
    <row r="291" spans="8:15" x14ac:dyDescent="0.15">
      <c r="H291"/>
      <c r="I291"/>
      <c r="J291"/>
      <c r="K291"/>
      <c r="L291"/>
      <c r="M291" s="50">
        <v>45583</v>
      </c>
      <c r="N291" s="47">
        <v>10</v>
      </c>
      <c r="O291" s="49">
        <v>1130000</v>
      </c>
    </row>
    <row r="292" spans="8:15" x14ac:dyDescent="0.15">
      <c r="H292"/>
      <c r="I292"/>
      <c r="J292"/>
      <c r="K292"/>
      <c r="L292"/>
      <c r="M292" s="50">
        <v>45584</v>
      </c>
      <c r="N292" s="47">
        <v>5</v>
      </c>
      <c r="O292" s="49">
        <v>830000</v>
      </c>
    </row>
    <row r="293" spans="8:15" x14ac:dyDescent="0.15">
      <c r="H293"/>
      <c r="I293"/>
      <c r="J293"/>
      <c r="K293"/>
      <c r="L293"/>
      <c r="M293" s="50">
        <v>45585</v>
      </c>
      <c r="N293" s="47">
        <v>9</v>
      </c>
      <c r="O293" s="49">
        <v>1095000</v>
      </c>
    </row>
    <row r="294" spans="8:15" x14ac:dyDescent="0.15">
      <c r="H294"/>
      <c r="I294"/>
      <c r="J294"/>
      <c r="K294"/>
      <c r="L294"/>
      <c r="M294" s="50">
        <v>45586</v>
      </c>
      <c r="N294" s="47">
        <v>20</v>
      </c>
      <c r="O294" s="49">
        <v>2780000</v>
      </c>
    </row>
    <row r="295" spans="8:15" x14ac:dyDescent="0.15">
      <c r="H295"/>
      <c r="I295"/>
      <c r="J295"/>
      <c r="K295"/>
      <c r="L295"/>
      <c r="M295" s="50">
        <v>45587</v>
      </c>
      <c r="N295" s="47">
        <v>7</v>
      </c>
      <c r="O295" s="49">
        <v>960000</v>
      </c>
    </row>
    <row r="296" spans="8:15" x14ac:dyDescent="0.15">
      <c r="H296"/>
      <c r="I296"/>
      <c r="J296"/>
      <c r="K296"/>
      <c r="L296"/>
      <c r="M296" s="50">
        <v>45588</v>
      </c>
      <c r="N296" s="47">
        <v>11</v>
      </c>
      <c r="O296" s="49">
        <v>1735000</v>
      </c>
    </row>
    <row r="297" spans="8:15" x14ac:dyDescent="0.15">
      <c r="H297"/>
      <c r="I297"/>
      <c r="J297"/>
      <c r="K297"/>
      <c r="L297"/>
      <c r="M297" s="50">
        <v>45589</v>
      </c>
      <c r="N297" s="47">
        <v>12</v>
      </c>
      <c r="O297" s="49">
        <v>2850000</v>
      </c>
    </row>
    <row r="298" spans="8:15" x14ac:dyDescent="0.15">
      <c r="H298"/>
      <c r="I298"/>
      <c r="J298"/>
      <c r="K298"/>
      <c r="L298"/>
      <c r="M298" s="50">
        <v>45590</v>
      </c>
      <c r="N298" s="47">
        <v>9</v>
      </c>
      <c r="O298" s="49">
        <v>1510000</v>
      </c>
    </row>
    <row r="299" spans="8:15" x14ac:dyDescent="0.15">
      <c r="H299"/>
      <c r="I299"/>
      <c r="J299"/>
      <c r="K299"/>
      <c r="L299"/>
      <c r="M299" s="50">
        <v>45591</v>
      </c>
      <c r="N299" s="47">
        <v>19</v>
      </c>
      <c r="O299" s="49">
        <v>3820000</v>
      </c>
    </row>
    <row r="300" spans="8:15" x14ac:dyDescent="0.15">
      <c r="H300"/>
      <c r="I300"/>
      <c r="J300"/>
      <c r="K300"/>
      <c r="L300"/>
      <c r="M300" s="50">
        <v>45593</v>
      </c>
      <c r="N300" s="47">
        <v>17</v>
      </c>
      <c r="O300" s="49">
        <v>2035000</v>
      </c>
    </row>
    <row r="301" spans="8:15" x14ac:dyDescent="0.15">
      <c r="H301"/>
      <c r="I301"/>
      <c r="J301"/>
      <c r="K301"/>
      <c r="L301"/>
      <c r="M301" s="50">
        <v>45594</v>
      </c>
      <c r="N301" s="47">
        <v>21</v>
      </c>
      <c r="O301" s="49">
        <v>3420000</v>
      </c>
    </row>
    <row r="302" spans="8:15" x14ac:dyDescent="0.15">
      <c r="H302"/>
      <c r="I302"/>
      <c r="J302"/>
      <c r="K302"/>
      <c r="L302"/>
      <c r="M302" s="50">
        <v>45595</v>
      </c>
      <c r="N302" s="47">
        <v>10</v>
      </c>
      <c r="O302" s="49">
        <v>1620000</v>
      </c>
    </row>
    <row r="303" spans="8:15" x14ac:dyDescent="0.15">
      <c r="H303"/>
      <c r="I303"/>
      <c r="J303"/>
      <c r="K303"/>
      <c r="L303"/>
      <c r="M303" s="50">
        <v>45596</v>
      </c>
      <c r="N303" s="47">
        <v>7</v>
      </c>
      <c r="O303" s="49">
        <v>1180000</v>
      </c>
    </row>
    <row r="304" spans="8:15" x14ac:dyDescent="0.15">
      <c r="H304"/>
      <c r="I304"/>
      <c r="J304"/>
      <c r="K304"/>
      <c r="L304"/>
      <c r="M304" s="48" t="s">
        <v>1021</v>
      </c>
      <c r="N304" s="47">
        <v>239</v>
      </c>
      <c r="O304" s="49">
        <v>34795000</v>
      </c>
    </row>
    <row r="305" spans="8:15" x14ac:dyDescent="0.15">
      <c r="H305"/>
      <c r="I305"/>
      <c r="J305"/>
      <c r="K305"/>
      <c r="L305"/>
      <c r="M305" s="50">
        <v>45598</v>
      </c>
      <c r="N305" s="47">
        <v>2</v>
      </c>
      <c r="O305" s="49">
        <v>300000</v>
      </c>
    </row>
    <row r="306" spans="8:15" x14ac:dyDescent="0.15">
      <c r="H306"/>
      <c r="I306"/>
      <c r="J306"/>
      <c r="K306"/>
      <c r="L306"/>
      <c r="M306" s="50">
        <v>45600</v>
      </c>
      <c r="N306" s="47">
        <v>9</v>
      </c>
      <c r="O306" s="49">
        <v>890000</v>
      </c>
    </row>
    <row r="307" spans="8:15" x14ac:dyDescent="0.15">
      <c r="H307"/>
      <c r="I307"/>
      <c r="J307"/>
      <c r="K307"/>
      <c r="L307"/>
      <c r="M307" s="50">
        <v>45601</v>
      </c>
      <c r="N307" s="47">
        <v>4</v>
      </c>
      <c r="O307" s="49">
        <v>600000</v>
      </c>
    </row>
    <row r="308" spans="8:15" x14ac:dyDescent="0.15">
      <c r="H308"/>
      <c r="I308"/>
      <c r="J308"/>
      <c r="K308"/>
      <c r="L308"/>
      <c r="M308" s="50">
        <v>45602</v>
      </c>
      <c r="N308" s="47">
        <v>3</v>
      </c>
      <c r="O308" s="49">
        <v>620000</v>
      </c>
    </row>
    <row r="309" spans="8:15" x14ac:dyDescent="0.15">
      <c r="H309"/>
      <c r="I309"/>
      <c r="J309"/>
      <c r="K309"/>
      <c r="L309"/>
      <c r="M309" s="50">
        <v>45603</v>
      </c>
      <c r="N309" s="47">
        <v>7</v>
      </c>
      <c r="O309" s="49">
        <v>1660000</v>
      </c>
    </row>
    <row r="310" spans="8:15" x14ac:dyDescent="0.15">
      <c r="H310"/>
      <c r="I310"/>
      <c r="J310"/>
      <c r="K310"/>
      <c r="L310"/>
      <c r="M310" s="50">
        <v>45605</v>
      </c>
      <c r="N310" s="47">
        <v>3</v>
      </c>
      <c r="O310" s="49">
        <v>450000</v>
      </c>
    </row>
    <row r="311" spans="8:15" x14ac:dyDescent="0.15">
      <c r="H311"/>
      <c r="I311"/>
      <c r="J311"/>
      <c r="K311"/>
      <c r="L311"/>
      <c r="M311" s="50">
        <v>45606</v>
      </c>
      <c r="N311" s="47">
        <v>5</v>
      </c>
      <c r="O311" s="49">
        <v>400000</v>
      </c>
    </row>
    <row r="312" spans="8:15" x14ac:dyDescent="0.15">
      <c r="H312"/>
      <c r="I312"/>
      <c r="J312"/>
      <c r="K312"/>
      <c r="L312"/>
      <c r="M312" s="50">
        <v>45607</v>
      </c>
      <c r="N312" s="47">
        <v>9</v>
      </c>
      <c r="O312" s="49">
        <v>1290000</v>
      </c>
    </row>
    <row r="313" spans="8:15" x14ac:dyDescent="0.15">
      <c r="H313"/>
      <c r="I313"/>
      <c r="J313"/>
      <c r="K313"/>
      <c r="L313"/>
      <c r="M313" s="50">
        <v>45608</v>
      </c>
      <c r="N313" s="47">
        <v>6</v>
      </c>
      <c r="O313" s="49">
        <v>840000</v>
      </c>
    </row>
    <row r="314" spans="8:15" x14ac:dyDescent="0.15">
      <c r="H314"/>
      <c r="I314"/>
      <c r="J314"/>
      <c r="K314"/>
      <c r="L314"/>
      <c r="M314" s="50">
        <v>45609</v>
      </c>
      <c r="N314" s="47">
        <v>9</v>
      </c>
      <c r="O314" s="49">
        <v>1055000</v>
      </c>
    </row>
    <row r="315" spans="8:15" x14ac:dyDescent="0.15">
      <c r="H315"/>
      <c r="I315"/>
      <c r="J315"/>
      <c r="K315"/>
      <c r="L315"/>
      <c r="M315" s="50">
        <v>45610</v>
      </c>
      <c r="N315" s="47">
        <v>13</v>
      </c>
      <c r="O315" s="49">
        <v>2200000</v>
      </c>
    </row>
    <row r="316" spans="8:15" x14ac:dyDescent="0.15">
      <c r="H316"/>
      <c r="I316"/>
      <c r="J316"/>
      <c r="K316"/>
      <c r="L316"/>
      <c r="M316" s="50">
        <v>45611</v>
      </c>
      <c r="N316" s="47">
        <v>5</v>
      </c>
      <c r="O316" s="49">
        <v>750000</v>
      </c>
    </row>
    <row r="317" spans="8:15" x14ac:dyDescent="0.15">
      <c r="H317"/>
      <c r="I317"/>
      <c r="J317"/>
      <c r="K317"/>
      <c r="L317"/>
      <c r="M317" s="50">
        <v>45612</v>
      </c>
      <c r="N317" s="47">
        <v>8</v>
      </c>
      <c r="O317" s="49">
        <v>1530000</v>
      </c>
    </row>
    <row r="318" spans="8:15" x14ac:dyDescent="0.15">
      <c r="H318"/>
      <c r="I318"/>
      <c r="J318"/>
      <c r="K318"/>
      <c r="L318"/>
      <c r="M318" s="50">
        <v>45613</v>
      </c>
      <c r="N318" s="47">
        <v>4</v>
      </c>
      <c r="O318" s="49">
        <v>630000</v>
      </c>
    </row>
    <row r="319" spans="8:15" x14ac:dyDescent="0.15">
      <c r="H319"/>
      <c r="I319"/>
      <c r="J319"/>
      <c r="K319"/>
      <c r="L319"/>
      <c r="M319" s="50">
        <v>45614</v>
      </c>
      <c r="N319" s="47">
        <v>29</v>
      </c>
      <c r="O319" s="49">
        <v>3945000</v>
      </c>
    </row>
    <row r="320" spans="8:15" x14ac:dyDescent="0.15">
      <c r="H320"/>
      <c r="I320"/>
      <c r="J320"/>
      <c r="K320"/>
      <c r="L320"/>
      <c r="M320" s="50">
        <v>45615</v>
      </c>
      <c r="N320" s="47">
        <v>12</v>
      </c>
      <c r="O320" s="49">
        <v>1945000</v>
      </c>
    </row>
    <row r="321" spans="8:15" x14ac:dyDescent="0.15">
      <c r="H321"/>
      <c r="I321"/>
      <c r="J321"/>
      <c r="K321"/>
      <c r="L321"/>
      <c r="M321" s="50">
        <v>45616</v>
      </c>
      <c r="N321" s="47">
        <v>6</v>
      </c>
      <c r="O321" s="49">
        <v>670000</v>
      </c>
    </row>
    <row r="322" spans="8:15" x14ac:dyDescent="0.15">
      <c r="H322"/>
      <c r="I322"/>
      <c r="J322"/>
      <c r="K322"/>
      <c r="L322"/>
      <c r="M322" s="50">
        <v>45617</v>
      </c>
      <c r="N322" s="47">
        <v>11</v>
      </c>
      <c r="O322" s="49">
        <v>1810000</v>
      </c>
    </row>
    <row r="323" spans="8:15" x14ac:dyDescent="0.15">
      <c r="H323"/>
      <c r="I323"/>
      <c r="J323"/>
      <c r="K323"/>
      <c r="L323"/>
      <c r="M323" s="50">
        <v>45618</v>
      </c>
      <c r="N323" s="47">
        <v>3</v>
      </c>
      <c r="O323" s="49">
        <v>310000</v>
      </c>
    </row>
    <row r="324" spans="8:15" x14ac:dyDescent="0.15">
      <c r="H324"/>
      <c r="I324"/>
      <c r="J324"/>
      <c r="K324"/>
      <c r="L324"/>
      <c r="M324" s="50">
        <v>45619</v>
      </c>
      <c r="N324" s="47">
        <v>13</v>
      </c>
      <c r="O324" s="49">
        <v>2145000</v>
      </c>
    </row>
    <row r="325" spans="8:15" x14ac:dyDescent="0.15">
      <c r="H325"/>
      <c r="I325"/>
      <c r="J325"/>
      <c r="K325"/>
      <c r="L325"/>
      <c r="M325" s="50">
        <v>45620</v>
      </c>
      <c r="N325" s="47">
        <v>2</v>
      </c>
      <c r="O325" s="49">
        <v>160000</v>
      </c>
    </row>
    <row r="326" spans="8:15" x14ac:dyDescent="0.15">
      <c r="H326"/>
      <c r="I326"/>
      <c r="J326"/>
      <c r="K326"/>
      <c r="L326"/>
      <c r="M326" s="50">
        <v>45621</v>
      </c>
      <c r="N326" s="47">
        <v>18</v>
      </c>
      <c r="O326" s="49">
        <v>2250000</v>
      </c>
    </row>
    <row r="327" spans="8:15" x14ac:dyDescent="0.15">
      <c r="H327"/>
      <c r="I327"/>
      <c r="J327"/>
      <c r="K327"/>
      <c r="L327"/>
      <c r="M327" s="50">
        <v>45622</v>
      </c>
      <c r="N327" s="47">
        <v>5</v>
      </c>
      <c r="O327" s="49">
        <v>800000</v>
      </c>
    </row>
    <row r="328" spans="8:15" x14ac:dyDescent="0.15">
      <c r="H328"/>
      <c r="I328"/>
      <c r="J328"/>
      <c r="K328"/>
      <c r="L328"/>
      <c r="M328" s="50">
        <v>45623</v>
      </c>
      <c r="N328" s="47">
        <v>13</v>
      </c>
      <c r="O328" s="49">
        <v>1880000</v>
      </c>
    </row>
    <row r="329" spans="8:15" x14ac:dyDescent="0.15">
      <c r="H329"/>
      <c r="I329"/>
      <c r="J329"/>
      <c r="K329"/>
      <c r="L329"/>
      <c r="M329" s="50">
        <v>45624</v>
      </c>
      <c r="N329" s="47">
        <v>12</v>
      </c>
      <c r="O329" s="49">
        <v>1675000</v>
      </c>
    </row>
    <row r="330" spans="8:15" x14ac:dyDescent="0.15">
      <c r="H330"/>
      <c r="I330"/>
      <c r="J330"/>
      <c r="K330"/>
      <c r="L330"/>
      <c r="M330" s="50">
        <v>45625</v>
      </c>
      <c r="N330" s="47">
        <v>17</v>
      </c>
      <c r="O330" s="49">
        <v>2550000</v>
      </c>
    </row>
    <row r="331" spans="8:15" x14ac:dyDescent="0.15">
      <c r="H331"/>
      <c r="I331"/>
      <c r="J331"/>
      <c r="K331"/>
      <c r="L331"/>
      <c r="M331" s="50">
        <v>45626</v>
      </c>
      <c r="N331" s="47">
        <v>11</v>
      </c>
      <c r="O331" s="49">
        <v>1440000</v>
      </c>
    </row>
    <row r="332" spans="8:15" x14ac:dyDescent="0.15">
      <c r="H332"/>
      <c r="I332"/>
      <c r="J332"/>
      <c r="K332"/>
      <c r="L332"/>
      <c r="M332" s="48" t="s">
        <v>1022</v>
      </c>
      <c r="N332" s="47">
        <v>412</v>
      </c>
      <c r="O332" s="49">
        <v>64120000</v>
      </c>
    </row>
    <row r="333" spans="8:15" x14ac:dyDescent="0.15">
      <c r="H333"/>
      <c r="I333"/>
      <c r="J333"/>
      <c r="K333"/>
      <c r="L333"/>
      <c r="M333" s="50">
        <v>45627</v>
      </c>
      <c r="N333" s="47">
        <v>31</v>
      </c>
      <c r="O333" s="49">
        <v>4095000</v>
      </c>
    </row>
    <row r="334" spans="8:15" x14ac:dyDescent="0.15">
      <c r="H334"/>
      <c r="I334"/>
      <c r="J334"/>
      <c r="K334"/>
      <c r="L334"/>
      <c r="M334" s="50">
        <v>45628</v>
      </c>
      <c r="N334" s="47">
        <v>7</v>
      </c>
      <c r="O334" s="49">
        <v>1125000</v>
      </c>
    </row>
    <row r="335" spans="8:15" x14ac:dyDescent="0.15">
      <c r="H335"/>
      <c r="I335"/>
      <c r="J335"/>
      <c r="K335"/>
      <c r="L335"/>
      <c r="M335" s="50">
        <v>45629</v>
      </c>
      <c r="N335" s="47">
        <v>15</v>
      </c>
      <c r="O335" s="49">
        <v>1960000</v>
      </c>
    </row>
    <row r="336" spans="8:15" x14ac:dyDescent="0.15">
      <c r="H336"/>
      <c r="I336"/>
      <c r="J336"/>
      <c r="K336"/>
      <c r="L336"/>
      <c r="M336" s="50">
        <v>45630</v>
      </c>
      <c r="N336" s="47">
        <v>12</v>
      </c>
      <c r="O336" s="49">
        <v>1785000</v>
      </c>
    </row>
    <row r="337" spans="8:15" x14ac:dyDescent="0.15">
      <c r="H337"/>
      <c r="I337"/>
      <c r="J337"/>
      <c r="K337"/>
      <c r="L337"/>
      <c r="M337" s="50">
        <v>45631</v>
      </c>
      <c r="N337" s="47">
        <v>4</v>
      </c>
      <c r="O337" s="49">
        <v>750000</v>
      </c>
    </row>
    <row r="338" spans="8:15" x14ac:dyDescent="0.15">
      <c r="H338"/>
      <c r="I338"/>
      <c r="J338"/>
      <c r="K338"/>
      <c r="L338"/>
      <c r="M338" s="50">
        <v>45632</v>
      </c>
      <c r="N338" s="47">
        <v>8</v>
      </c>
      <c r="O338" s="49">
        <v>1160000</v>
      </c>
    </row>
    <row r="339" spans="8:15" x14ac:dyDescent="0.15">
      <c r="H339"/>
      <c r="I339"/>
      <c r="J339"/>
      <c r="K339"/>
      <c r="L339"/>
      <c r="M339" s="50">
        <v>45633</v>
      </c>
      <c r="N339" s="47">
        <v>13</v>
      </c>
      <c r="O339" s="49">
        <v>1840000</v>
      </c>
    </row>
    <row r="340" spans="8:15" x14ac:dyDescent="0.15">
      <c r="H340"/>
      <c r="I340"/>
      <c r="J340"/>
      <c r="K340"/>
      <c r="L340"/>
      <c r="M340" s="50">
        <v>45634</v>
      </c>
      <c r="N340" s="47">
        <v>16</v>
      </c>
      <c r="O340" s="49">
        <v>2235000</v>
      </c>
    </row>
    <row r="341" spans="8:15" x14ac:dyDescent="0.15">
      <c r="H341"/>
      <c r="I341"/>
      <c r="J341"/>
      <c r="K341"/>
      <c r="L341"/>
      <c r="M341" s="50">
        <v>45635</v>
      </c>
      <c r="N341" s="47">
        <v>8</v>
      </c>
      <c r="O341" s="49">
        <v>1015000</v>
      </c>
    </row>
    <row r="342" spans="8:15" x14ac:dyDescent="0.15">
      <c r="H342"/>
      <c r="I342"/>
      <c r="J342"/>
      <c r="K342"/>
      <c r="L342"/>
      <c r="M342" s="50">
        <v>45636</v>
      </c>
      <c r="N342" s="47">
        <v>35</v>
      </c>
      <c r="O342" s="49">
        <v>5480000</v>
      </c>
    </row>
    <row r="343" spans="8:15" x14ac:dyDescent="0.15">
      <c r="H343"/>
      <c r="I343"/>
      <c r="J343"/>
      <c r="K343"/>
      <c r="L343"/>
      <c r="M343" s="50">
        <v>45638</v>
      </c>
      <c r="N343" s="47">
        <v>15</v>
      </c>
      <c r="O343" s="49">
        <v>2030000</v>
      </c>
    </row>
    <row r="344" spans="8:15" x14ac:dyDescent="0.15">
      <c r="H344"/>
      <c r="I344"/>
      <c r="J344"/>
      <c r="K344"/>
      <c r="L344"/>
      <c r="M344" s="50">
        <v>45639</v>
      </c>
      <c r="N344" s="47">
        <v>16</v>
      </c>
      <c r="O344" s="49">
        <v>2825000</v>
      </c>
    </row>
    <row r="345" spans="8:15" x14ac:dyDescent="0.15">
      <c r="H345"/>
      <c r="I345"/>
      <c r="J345"/>
      <c r="K345"/>
      <c r="L345"/>
      <c r="M345" s="50">
        <v>45641</v>
      </c>
      <c r="N345" s="47">
        <v>18</v>
      </c>
      <c r="O345" s="49">
        <v>2720000</v>
      </c>
    </row>
    <row r="346" spans="8:15" x14ac:dyDescent="0.15">
      <c r="H346"/>
      <c r="I346"/>
      <c r="J346"/>
      <c r="K346"/>
      <c r="L346"/>
      <c r="M346" s="50">
        <v>45642</v>
      </c>
      <c r="N346" s="47">
        <v>10</v>
      </c>
      <c r="O346" s="49">
        <v>1660000</v>
      </c>
    </row>
    <row r="347" spans="8:15" x14ac:dyDescent="0.15">
      <c r="H347"/>
      <c r="I347"/>
      <c r="J347"/>
      <c r="K347"/>
      <c r="L347"/>
      <c r="M347" s="50">
        <v>45643</v>
      </c>
      <c r="N347" s="47">
        <v>45</v>
      </c>
      <c r="O347" s="49">
        <v>7750000</v>
      </c>
    </row>
    <row r="348" spans="8:15" x14ac:dyDescent="0.15">
      <c r="H348"/>
      <c r="I348"/>
      <c r="J348"/>
      <c r="K348"/>
      <c r="L348"/>
      <c r="M348" s="50">
        <v>45644</v>
      </c>
      <c r="N348" s="47">
        <v>8</v>
      </c>
      <c r="O348" s="49">
        <v>1245000</v>
      </c>
    </row>
    <row r="349" spans="8:15" x14ac:dyDescent="0.15">
      <c r="H349"/>
      <c r="I349"/>
      <c r="J349"/>
      <c r="K349"/>
      <c r="L349"/>
      <c r="M349" s="50">
        <v>45645</v>
      </c>
      <c r="N349" s="47">
        <v>17</v>
      </c>
      <c r="O349" s="49">
        <v>3660000</v>
      </c>
    </row>
    <row r="350" spans="8:15" x14ac:dyDescent="0.15">
      <c r="H350"/>
      <c r="I350"/>
      <c r="J350"/>
      <c r="K350"/>
      <c r="L350"/>
      <c r="M350" s="50">
        <v>45646</v>
      </c>
      <c r="N350" s="47">
        <v>9</v>
      </c>
      <c r="O350" s="49">
        <v>1310000</v>
      </c>
    </row>
    <row r="351" spans="8:15" x14ac:dyDescent="0.15">
      <c r="H351"/>
      <c r="I351"/>
      <c r="J351"/>
      <c r="K351"/>
      <c r="L351"/>
      <c r="M351" s="50">
        <v>45647</v>
      </c>
      <c r="N351" s="47">
        <v>9</v>
      </c>
      <c r="O351" s="49">
        <v>1360000</v>
      </c>
    </row>
    <row r="352" spans="8:15" x14ac:dyDescent="0.15">
      <c r="H352"/>
      <c r="I352"/>
      <c r="J352"/>
      <c r="K352"/>
      <c r="L352"/>
      <c r="M352" s="50">
        <v>45648</v>
      </c>
      <c r="N352" s="47">
        <v>13</v>
      </c>
      <c r="O352" s="49">
        <v>2070000</v>
      </c>
    </row>
    <row r="353" spans="8:15" x14ac:dyDescent="0.15">
      <c r="H353"/>
      <c r="I353"/>
      <c r="J353"/>
      <c r="K353"/>
      <c r="L353"/>
      <c r="M353" s="50">
        <v>45650</v>
      </c>
      <c r="N353" s="47">
        <v>9</v>
      </c>
      <c r="O353" s="49">
        <v>1465000</v>
      </c>
    </row>
    <row r="354" spans="8:15" x14ac:dyDescent="0.15">
      <c r="H354"/>
      <c r="I354"/>
      <c r="J354"/>
      <c r="K354"/>
      <c r="L354"/>
      <c r="M354" s="50">
        <v>45651</v>
      </c>
      <c r="N354" s="47">
        <v>12</v>
      </c>
      <c r="O354" s="49">
        <v>1720000</v>
      </c>
    </row>
    <row r="355" spans="8:15" x14ac:dyDescent="0.15">
      <c r="H355"/>
      <c r="I355"/>
      <c r="J355"/>
      <c r="K355"/>
      <c r="L355"/>
      <c r="M355" s="50">
        <v>45652</v>
      </c>
      <c r="N355" s="47">
        <v>6</v>
      </c>
      <c r="O355" s="49">
        <v>900000</v>
      </c>
    </row>
    <row r="356" spans="8:15" x14ac:dyDescent="0.15">
      <c r="H356"/>
      <c r="I356"/>
      <c r="J356"/>
      <c r="K356"/>
      <c r="L356"/>
      <c r="M356" s="50">
        <v>45653</v>
      </c>
      <c r="N356" s="47">
        <v>5</v>
      </c>
      <c r="O356" s="49">
        <v>735000</v>
      </c>
    </row>
    <row r="357" spans="8:15" x14ac:dyDescent="0.15">
      <c r="H357"/>
      <c r="I357"/>
      <c r="J357"/>
      <c r="K357"/>
      <c r="L357"/>
      <c r="M357" s="50">
        <v>45654</v>
      </c>
      <c r="N357" s="47">
        <v>21</v>
      </c>
      <c r="O357" s="49">
        <v>3275000</v>
      </c>
    </row>
    <row r="358" spans="8:15" x14ac:dyDescent="0.15">
      <c r="H358"/>
      <c r="I358"/>
      <c r="J358"/>
      <c r="K358"/>
      <c r="L358"/>
      <c r="M358" s="50">
        <v>45655</v>
      </c>
      <c r="N358" s="47">
        <v>4</v>
      </c>
      <c r="O358" s="49">
        <v>600000</v>
      </c>
    </row>
    <row r="359" spans="8:15" x14ac:dyDescent="0.15">
      <c r="H359"/>
      <c r="I359"/>
      <c r="J359"/>
      <c r="K359"/>
      <c r="L359"/>
      <c r="M359" s="50">
        <v>45656</v>
      </c>
      <c r="N359" s="47">
        <v>36</v>
      </c>
      <c r="O359" s="49">
        <v>5020000</v>
      </c>
    </row>
    <row r="360" spans="8:15" x14ac:dyDescent="0.15">
      <c r="H360"/>
      <c r="I360"/>
      <c r="J360"/>
      <c r="K360"/>
      <c r="L360"/>
      <c r="M360" s="50">
        <v>45657</v>
      </c>
      <c r="N360" s="47">
        <v>10</v>
      </c>
      <c r="O360" s="49">
        <v>2330000</v>
      </c>
    </row>
    <row r="361" spans="8:15" x14ac:dyDescent="0.15">
      <c r="H361"/>
      <c r="I361"/>
      <c r="J361"/>
      <c r="K361"/>
      <c r="L361"/>
      <c r="M361" s="48" t="s">
        <v>982</v>
      </c>
      <c r="N361" s="47">
        <v>4080</v>
      </c>
      <c r="O361" s="49">
        <v>607450000</v>
      </c>
    </row>
    <row r="362" spans="8:15" x14ac:dyDescent="0.15">
      <c r="H362"/>
      <c r="I362"/>
      <c r="J362"/>
      <c r="K362"/>
      <c r="L362"/>
    </row>
    <row r="363" spans="8:15" x14ac:dyDescent="0.15">
      <c r="H363"/>
      <c r="I363"/>
      <c r="J363"/>
      <c r="K363"/>
      <c r="L363"/>
    </row>
    <row r="364" spans="8:15" x14ac:dyDescent="0.15">
      <c r="H364"/>
      <c r="I364"/>
      <c r="J364"/>
      <c r="K364"/>
      <c r="L364"/>
    </row>
    <row r="365" spans="8:15" x14ac:dyDescent="0.15">
      <c r="H365"/>
      <c r="I365"/>
      <c r="J365"/>
      <c r="K365"/>
      <c r="L365"/>
    </row>
    <row r="366" spans="8:15" x14ac:dyDescent="0.15">
      <c r="H366"/>
      <c r="I366"/>
      <c r="J366"/>
      <c r="K366"/>
      <c r="L366"/>
    </row>
    <row r="367" spans="8:15" x14ac:dyDescent="0.15">
      <c r="H367"/>
      <c r="I367"/>
      <c r="J367"/>
      <c r="K367"/>
      <c r="L367"/>
    </row>
    <row r="368" spans="8:15" x14ac:dyDescent="0.15">
      <c r="H368"/>
      <c r="I368"/>
      <c r="J368"/>
      <c r="K368"/>
      <c r="L368"/>
    </row>
    <row r="369" spans="8:12" x14ac:dyDescent="0.15">
      <c r="H369"/>
      <c r="I369"/>
      <c r="J369"/>
      <c r="K369"/>
      <c r="L369"/>
    </row>
    <row r="370" spans="8:12" x14ac:dyDescent="0.15">
      <c r="H370"/>
      <c r="I370"/>
      <c r="J370"/>
      <c r="K370"/>
      <c r="L370"/>
    </row>
    <row r="371" spans="8:12" x14ac:dyDescent="0.15">
      <c r="H371"/>
      <c r="I371"/>
      <c r="J371"/>
      <c r="K371"/>
      <c r="L371"/>
    </row>
    <row r="372" spans="8:12" x14ac:dyDescent="0.15">
      <c r="H372"/>
      <c r="I372"/>
      <c r="J372"/>
      <c r="K372"/>
      <c r="L372"/>
    </row>
    <row r="373" spans="8:12" x14ac:dyDescent="0.15">
      <c r="H373"/>
      <c r="I373"/>
      <c r="J373"/>
      <c r="K373"/>
      <c r="L373"/>
    </row>
    <row r="374" spans="8:12" x14ac:dyDescent="0.15">
      <c r="H374"/>
      <c r="I374"/>
      <c r="J374"/>
      <c r="K374"/>
      <c r="L374"/>
    </row>
    <row r="375" spans="8:12" x14ac:dyDescent="0.15">
      <c r="H375"/>
      <c r="I375"/>
      <c r="J375"/>
      <c r="K375"/>
      <c r="L375"/>
    </row>
    <row r="376" spans="8:12" x14ac:dyDescent="0.15">
      <c r="H376"/>
      <c r="I376"/>
      <c r="J376"/>
      <c r="K376"/>
      <c r="L376"/>
    </row>
    <row r="377" spans="8:12" x14ac:dyDescent="0.15">
      <c r="H377"/>
      <c r="I377"/>
      <c r="J377"/>
      <c r="K377"/>
      <c r="L377"/>
    </row>
    <row r="378" spans="8:12" x14ac:dyDescent="0.15">
      <c r="H378"/>
      <c r="I378"/>
      <c r="J378"/>
      <c r="K378"/>
      <c r="L378"/>
    </row>
    <row r="379" spans="8:12" x14ac:dyDescent="0.15">
      <c r="H379"/>
      <c r="I379"/>
    </row>
    <row r="380" spans="8:12" x14ac:dyDescent="0.15">
      <c r="H380"/>
      <c r="I380"/>
    </row>
    <row r="381" spans="8:12" x14ac:dyDescent="0.15">
      <c r="H381"/>
      <c r="I381"/>
    </row>
    <row r="382" spans="8:12" x14ac:dyDescent="0.15">
      <c r="H382"/>
      <c r="I382"/>
    </row>
    <row r="383" spans="8:12" x14ac:dyDescent="0.15">
      <c r="H383"/>
      <c r="I383"/>
    </row>
    <row r="384" spans="8:12" x14ac:dyDescent="0.15">
      <c r="H384"/>
      <c r="I384"/>
    </row>
    <row r="385" spans="8:9" x14ac:dyDescent="0.15">
      <c r="H385"/>
      <c r="I385"/>
    </row>
    <row r="386" spans="8:9" x14ac:dyDescent="0.15">
      <c r="H386"/>
      <c r="I386"/>
    </row>
    <row r="387" spans="8:9" x14ac:dyDescent="0.15">
      <c r="H387"/>
      <c r="I387"/>
    </row>
    <row r="388" spans="8:9" x14ac:dyDescent="0.15">
      <c r="H388"/>
      <c r="I388"/>
    </row>
    <row r="389" spans="8:9" x14ac:dyDescent="0.15">
      <c r="H389"/>
      <c r="I389"/>
    </row>
    <row r="390" spans="8:9" x14ac:dyDescent="0.15">
      <c r="H390"/>
      <c r="I390"/>
    </row>
    <row r="391" spans="8:9" x14ac:dyDescent="0.15">
      <c r="H391"/>
      <c r="I391"/>
    </row>
    <row r="392" spans="8:9" x14ac:dyDescent="0.15">
      <c r="H392"/>
      <c r="I392"/>
    </row>
    <row r="393" spans="8:9" x14ac:dyDescent="0.15">
      <c r="H393"/>
      <c r="I393"/>
    </row>
    <row r="394" spans="8:9" x14ac:dyDescent="0.15">
      <c r="H394"/>
      <c r="I394"/>
    </row>
    <row r="395" spans="8:9" x14ac:dyDescent="0.15">
      <c r="H395"/>
      <c r="I395"/>
    </row>
    <row r="396" spans="8:9" x14ac:dyDescent="0.15">
      <c r="H396"/>
      <c r="I396"/>
    </row>
    <row r="397" spans="8:9" x14ac:dyDescent="0.15">
      <c r="H397"/>
      <c r="I397"/>
    </row>
    <row r="398" spans="8:9" x14ac:dyDescent="0.15">
      <c r="H398"/>
      <c r="I398"/>
    </row>
    <row r="399" spans="8:9" x14ac:dyDescent="0.15">
      <c r="H399"/>
      <c r="I399"/>
    </row>
    <row r="400" spans="8:9" x14ac:dyDescent="0.15">
      <c r="H400"/>
      <c r="I400"/>
    </row>
    <row r="401" spans="8:9" x14ac:dyDescent="0.15">
      <c r="H401"/>
      <c r="I401"/>
    </row>
    <row r="402" spans="8:9" x14ac:dyDescent="0.15">
      <c r="H402"/>
      <c r="I402"/>
    </row>
    <row r="403" spans="8:9" x14ac:dyDescent="0.15">
      <c r="H403"/>
      <c r="I403"/>
    </row>
    <row r="404" spans="8:9" x14ac:dyDescent="0.15">
      <c r="H404"/>
      <c r="I404"/>
    </row>
    <row r="405" spans="8:9" x14ac:dyDescent="0.15">
      <c r="H405"/>
      <c r="I405"/>
    </row>
    <row r="406" spans="8:9" x14ac:dyDescent="0.15">
      <c r="H406"/>
      <c r="I406"/>
    </row>
    <row r="407" spans="8:9" x14ac:dyDescent="0.15">
      <c r="H407"/>
      <c r="I407"/>
    </row>
    <row r="408" spans="8:9" x14ac:dyDescent="0.15">
      <c r="H408"/>
      <c r="I408"/>
    </row>
    <row r="409" spans="8:9" x14ac:dyDescent="0.15">
      <c r="H409"/>
      <c r="I409"/>
    </row>
    <row r="410" spans="8:9" x14ac:dyDescent="0.15">
      <c r="H410"/>
      <c r="I410"/>
    </row>
    <row r="411" spans="8:9" x14ac:dyDescent="0.15">
      <c r="H411"/>
      <c r="I411"/>
    </row>
    <row r="412" spans="8:9" x14ac:dyDescent="0.15">
      <c r="H412"/>
      <c r="I412"/>
    </row>
    <row r="413" spans="8:9" x14ac:dyDescent="0.15">
      <c r="H413"/>
      <c r="I413"/>
    </row>
    <row r="414" spans="8:9" x14ac:dyDescent="0.15">
      <c r="H414"/>
      <c r="I414"/>
    </row>
    <row r="415" spans="8:9" x14ac:dyDescent="0.15">
      <c r="H415"/>
      <c r="I415"/>
    </row>
    <row r="416" spans="8:9" x14ac:dyDescent="0.15">
      <c r="H416"/>
      <c r="I416"/>
    </row>
    <row r="417" spans="8:9" x14ac:dyDescent="0.15">
      <c r="H417"/>
      <c r="I417"/>
    </row>
    <row r="418" spans="8:9" x14ac:dyDescent="0.15">
      <c r="H418"/>
      <c r="I418"/>
    </row>
    <row r="419" spans="8:9" x14ac:dyDescent="0.15">
      <c r="H419"/>
      <c r="I419"/>
    </row>
    <row r="420" spans="8:9" x14ac:dyDescent="0.15">
      <c r="H420"/>
      <c r="I420"/>
    </row>
    <row r="421" spans="8:9" x14ac:dyDescent="0.15">
      <c r="H421"/>
      <c r="I421"/>
    </row>
    <row r="422" spans="8:9" x14ac:dyDescent="0.15">
      <c r="H422"/>
      <c r="I422"/>
    </row>
    <row r="423" spans="8:9" x14ac:dyDescent="0.15">
      <c r="H423"/>
      <c r="I423"/>
    </row>
    <row r="424" spans="8:9" x14ac:dyDescent="0.15">
      <c r="H424"/>
      <c r="I424"/>
    </row>
    <row r="425" spans="8:9" x14ac:dyDescent="0.15">
      <c r="H425"/>
      <c r="I425"/>
    </row>
    <row r="426" spans="8:9" x14ac:dyDescent="0.15">
      <c r="H426"/>
      <c r="I426"/>
    </row>
    <row r="427" spans="8:9" x14ac:dyDescent="0.15">
      <c r="H427"/>
      <c r="I427"/>
    </row>
    <row r="428" spans="8:9" x14ac:dyDescent="0.15">
      <c r="H428"/>
      <c r="I428"/>
    </row>
    <row r="429" spans="8:9" x14ac:dyDescent="0.15">
      <c r="H429"/>
      <c r="I429"/>
    </row>
    <row r="430" spans="8:9" x14ac:dyDescent="0.15">
      <c r="H430"/>
      <c r="I430"/>
    </row>
    <row r="431" spans="8:9" x14ac:dyDescent="0.15">
      <c r="H431"/>
      <c r="I431"/>
    </row>
    <row r="432" spans="8:9" x14ac:dyDescent="0.15">
      <c r="H432"/>
      <c r="I432"/>
    </row>
    <row r="433" spans="8:9" x14ac:dyDescent="0.15">
      <c r="H433"/>
      <c r="I433"/>
    </row>
    <row r="434" spans="8:9" x14ac:dyDescent="0.15">
      <c r="H434"/>
      <c r="I434"/>
    </row>
    <row r="435" spans="8:9" x14ac:dyDescent="0.15">
      <c r="H435"/>
      <c r="I435"/>
    </row>
    <row r="436" spans="8:9" x14ac:dyDescent="0.15">
      <c r="H436"/>
      <c r="I436"/>
    </row>
    <row r="437" spans="8:9" x14ac:dyDescent="0.15">
      <c r="H437"/>
      <c r="I437"/>
    </row>
    <row r="438" spans="8:9" x14ac:dyDescent="0.15">
      <c r="H438"/>
      <c r="I438"/>
    </row>
    <row r="439" spans="8:9" x14ac:dyDescent="0.15">
      <c r="H439"/>
      <c r="I439"/>
    </row>
    <row r="440" spans="8:9" x14ac:dyDescent="0.15">
      <c r="H440"/>
      <c r="I440"/>
    </row>
    <row r="441" spans="8:9" x14ac:dyDescent="0.15">
      <c r="H441"/>
      <c r="I441"/>
    </row>
    <row r="442" spans="8:9" x14ac:dyDescent="0.15">
      <c r="H442"/>
      <c r="I442"/>
    </row>
    <row r="443" spans="8:9" x14ac:dyDescent="0.15">
      <c r="H443"/>
      <c r="I443"/>
    </row>
    <row r="444" spans="8:9" x14ac:dyDescent="0.15">
      <c r="H444"/>
      <c r="I444"/>
    </row>
    <row r="445" spans="8:9" x14ac:dyDescent="0.15">
      <c r="H445"/>
      <c r="I445"/>
    </row>
    <row r="446" spans="8:9" x14ac:dyDescent="0.15">
      <c r="H446"/>
      <c r="I446"/>
    </row>
    <row r="447" spans="8:9" x14ac:dyDescent="0.15">
      <c r="H447"/>
      <c r="I447"/>
    </row>
    <row r="448" spans="8:9" x14ac:dyDescent="0.15">
      <c r="H448"/>
      <c r="I448"/>
    </row>
    <row r="449" spans="8:9" x14ac:dyDescent="0.15">
      <c r="H449"/>
      <c r="I449"/>
    </row>
    <row r="450" spans="8:9" x14ac:dyDescent="0.15">
      <c r="H450"/>
      <c r="I450"/>
    </row>
    <row r="451" spans="8:9" x14ac:dyDescent="0.15">
      <c r="H451"/>
      <c r="I451"/>
    </row>
    <row r="452" spans="8:9" x14ac:dyDescent="0.15">
      <c r="H452"/>
      <c r="I452"/>
    </row>
    <row r="453" spans="8:9" x14ac:dyDescent="0.15">
      <c r="H453"/>
      <c r="I453"/>
    </row>
    <row r="454" spans="8:9" x14ac:dyDescent="0.15">
      <c r="H454"/>
      <c r="I454"/>
    </row>
    <row r="455" spans="8:9" x14ac:dyDescent="0.15">
      <c r="H455"/>
      <c r="I455"/>
    </row>
    <row r="456" spans="8:9" x14ac:dyDescent="0.15">
      <c r="H456"/>
      <c r="I456"/>
    </row>
    <row r="457" spans="8:9" x14ac:dyDescent="0.15">
      <c r="H457"/>
      <c r="I457"/>
    </row>
    <row r="458" spans="8:9" x14ac:dyDescent="0.15">
      <c r="H458"/>
      <c r="I458"/>
    </row>
    <row r="459" spans="8:9" x14ac:dyDescent="0.15">
      <c r="H459"/>
      <c r="I459"/>
    </row>
    <row r="460" spans="8:9" x14ac:dyDescent="0.15">
      <c r="H460"/>
      <c r="I460"/>
    </row>
    <row r="461" spans="8:9" x14ac:dyDescent="0.15">
      <c r="H461"/>
      <c r="I461"/>
    </row>
    <row r="462" spans="8:9" x14ac:dyDescent="0.15">
      <c r="H462"/>
      <c r="I462"/>
    </row>
    <row r="463" spans="8:9" x14ac:dyDescent="0.15">
      <c r="H463"/>
      <c r="I463"/>
    </row>
    <row r="464" spans="8:9" x14ac:dyDescent="0.15">
      <c r="H464"/>
      <c r="I464"/>
    </row>
    <row r="465" spans="8:9" x14ac:dyDescent="0.15">
      <c r="H465"/>
      <c r="I465"/>
    </row>
    <row r="466" spans="8:9" x14ac:dyDescent="0.15">
      <c r="H466"/>
      <c r="I466"/>
    </row>
    <row r="467" spans="8:9" x14ac:dyDescent="0.15">
      <c r="H467"/>
      <c r="I467"/>
    </row>
    <row r="468" spans="8:9" x14ac:dyDescent="0.15">
      <c r="H468"/>
      <c r="I468"/>
    </row>
    <row r="469" spans="8:9" x14ac:dyDescent="0.15">
      <c r="H469"/>
      <c r="I469"/>
    </row>
    <row r="470" spans="8:9" x14ac:dyDescent="0.15">
      <c r="H470"/>
      <c r="I470"/>
    </row>
    <row r="471" spans="8:9" x14ac:dyDescent="0.15">
      <c r="H471"/>
      <c r="I471"/>
    </row>
    <row r="472" spans="8:9" x14ac:dyDescent="0.15">
      <c r="H472"/>
      <c r="I472"/>
    </row>
    <row r="473" spans="8:9" x14ac:dyDescent="0.15">
      <c r="H473"/>
      <c r="I473"/>
    </row>
    <row r="474" spans="8:9" x14ac:dyDescent="0.15">
      <c r="H474"/>
      <c r="I474"/>
    </row>
    <row r="475" spans="8:9" x14ac:dyDescent="0.15">
      <c r="H475"/>
      <c r="I475"/>
    </row>
    <row r="476" spans="8:9" x14ac:dyDescent="0.15">
      <c r="H476"/>
      <c r="I476"/>
    </row>
    <row r="477" spans="8:9" x14ac:dyDescent="0.15">
      <c r="H477"/>
      <c r="I477"/>
    </row>
    <row r="478" spans="8:9" x14ac:dyDescent="0.15">
      <c r="H478"/>
      <c r="I478"/>
    </row>
    <row r="479" spans="8:9" x14ac:dyDescent="0.15">
      <c r="H479"/>
      <c r="I479"/>
    </row>
    <row r="480" spans="8:9" x14ac:dyDescent="0.15">
      <c r="H480"/>
      <c r="I480"/>
    </row>
    <row r="481" spans="8:9" x14ac:dyDescent="0.15">
      <c r="H481"/>
      <c r="I481"/>
    </row>
    <row r="482" spans="8:9" x14ac:dyDescent="0.15">
      <c r="H482"/>
      <c r="I482"/>
    </row>
    <row r="483" spans="8:9" x14ac:dyDescent="0.15">
      <c r="H483"/>
      <c r="I483"/>
    </row>
    <row r="484" spans="8:9" x14ac:dyDescent="0.15">
      <c r="H484"/>
      <c r="I484"/>
    </row>
    <row r="485" spans="8:9" x14ac:dyDescent="0.15">
      <c r="H485"/>
      <c r="I485"/>
    </row>
    <row r="486" spans="8:9" x14ac:dyDescent="0.15">
      <c r="H486"/>
      <c r="I486"/>
    </row>
    <row r="487" spans="8:9" x14ac:dyDescent="0.15">
      <c r="H487"/>
      <c r="I487"/>
    </row>
    <row r="488" spans="8:9" x14ac:dyDescent="0.15">
      <c r="H488"/>
      <c r="I488"/>
    </row>
    <row r="489" spans="8:9" x14ac:dyDescent="0.15">
      <c r="H489"/>
      <c r="I489"/>
    </row>
    <row r="490" spans="8:9" x14ac:dyDescent="0.15">
      <c r="H490"/>
      <c r="I490"/>
    </row>
    <row r="491" spans="8:9" x14ac:dyDescent="0.15">
      <c r="H491"/>
      <c r="I491"/>
    </row>
    <row r="492" spans="8:9" x14ac:dyDescent="0.15">
      <c r="H492"/>
      <c r="I492"/>
    </row>
    <row r="493" spans="8:9" x14ac:dyDescent="0.15">
      <c r="H493"/>
      <c r="I493"/>
    </row>
    <row r="494" spans="8:9" x14ac:dyDescent="0.15">
      <c r="H494"/>
      <c r="I494"/>
    </row>
    <row r="495" spans="8:9" x14ac:dyDescent="0.15">
      <c r="H495"/>
      <c r="I495"/>
    </row>
    <row r="496" spans="8:9" x14ac:dyDescent="0.15">
      <c r="H496"/>
      <c r="I496"/>
    </row>
    <row r="497" spans="8:9" x14ac:dyDescent="0.15">
      <c r="H497"/>
      <c r="I497"/>
    </row>
    <row r="498" spans="8:9" x14ac:dyDescent="0.15">
      <c r="H498"/>
      <c r="I498"/>
    </row>
    <row r="499" spans="8:9" x14ac:dyDescent="0.15">
      <c r="H499"/>
      <c r="I499"/>
    </row>
    <row r="500" spans="8:9" x14ac:dyDescent="0.15">
      <c r="H500"/>
      <c r="I500"/>
    </row>
  </sheetData>
  <pageMargins left="0.7" right="0.7" top="0.75" bottom="0.75" header="0.3" footer="0.3"/>
  <pageSetup orientation="portrait" r:id="rId25"/>
  <drawing r:id="rId2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17B33-C828-4381-843B-CD775D130BCB}">
  <dimension ref="T11:AR137"/>
  <sheetViews>
    <sheetView zoomScale="50" zoomScaleNormal="50" workbookViewId="0">
      <selection activeCell="AL46" sqref="AL46"/>
    </sheetView>
  </sheetViews>
  <sheetFormatPr defaultColWidth="8.76171875" defaultRowHeight="12.75" x14ac:dyDescent="0.15"/>
  <cols>
    <col min="1" max="35" width="8.76171875" style="44"/>
    <col min="36" max="36" width="9.16796875" style="44" customWidth="1"/>
    <col min="37" max="43" width="8.76171875" style="44"/>
    <col min="44" max="44" width="9.16796875" style="44" customWidth="1"/>
    <col min="45" max="16384" width="8.76171875" style="44"/>
  </cols>
  <sheetData>
    <row r="11" spans="27:42" x14ac:dyDescent="0.15">
      <c r="AA11" s="45"/>
      <c r="AB11" s="45"/>
      <c r="AC11" s="45"/>
      <c r="AD11" s="45"/>
      <c r="AE11" s="45"/>
      <c r="AF11" s="45"/>
      <c r="AG11" s="45"/>
      <c r="AH11" s="45"/>
      <c r="AI11" s="45"/>
      <c r="AJ11" s="45"/>
      <c r="AK11" s="45"/>
      <c r="AL11" s="45"/>
      <c r="AM11" s="45"/>
      <c r="AN11" s="45"/>
      <c r="AO11" s="45"/>
      <c r="AP11" s="45"/>
    </row>
    <row r="12" spans="27:42" x14ac:dyDescent="0.15">
      <c r="AA12" s="45"/>
      <c r="AB12" s="45"/>
      <c r="AC12" s="45"/>
      <c r="AD12" s="45"/>
      <c r="AE12" s="45"/>
      <c r="AF12" s="45"/>
      <c r="AG12" s="45"/>
      <c r="AH12" s="45"/>
      <c r="AI12" s="45"/>
      <c r="AJ12" s="45"/>
      <c r="AK12" s="45"/>
      <c r="AL12" s="45"/>
      <c r="AM12" s="45"/>
      <c r="AN12" s="45"/>
      <c r="AO12" s="45"/>
      <c r="AP12" s="45"/>
    </row>
    <row r="13" spans="27:42" x14ac:dyDescent="0.15">
      <c r="AA13" s="45"/>
      <c r="AB13" s="45"/>
      <c r="AC13" s="45"/>
      <c r="AD13" s="45"/>
      <c r="AE13" s="45"/>
      <c r="AF13" s="45"/>
      <c r="AG13" s="45"/>
      <c r="AH13" s="45"/>
      <c r="AI13" s="45"/>
      <c r="AJ13" s="45"/>
      <c r="AK13" s="45"/>
      <c r="AL13" s="45"/>
      <c r="AM13" s="45"/>
      <c r="AP13" s="45"/>
    </row>
    <row r="14" spans="27:42" x14ac:dyDescent="0.15">
      <c r="AA14" s="45"/>
      <c r="AB14" s="45"/>
      <c r="AC14" s="45"/>
      <c r="AD14" s="45"/>
      <c r="AE14" s="45"/>
      <c r="AF14" s="45"/>
      <c r="AG14" s="45"/>
      <c r="AH14" s="45"/>
      <c r="AI14" s="45"/>
      <c r="AJ14" s="45"/>
      <c r="AK14" s="45"/>
      <c r="AL14" s="45"/>
      <c r="AM14" s="45"/>
      <c r="AP14" s="45"/>
    </row>
    <row r="15" spans="27:42" x14ac:dyDescent="0.15">
      <c r="AA15" s="45"/>
      <c r="AB15" s="45"/>
      <c r="AC15" s="45"/>
      <c r="AD15" s="45"/>
      <c r="AE15" s="45"/>
      <c r="AF15" s="45"/>
      <c r="AG15" s="45"/>
      <c r="AH15" s="45"/>
      <c r="AI15" s="45"/>
      <c r="AJ15" s="45"/>
      <c r="AK15" s="45"/>
      <c r="AL15" s="45"/>
      <c r="AM15" s="45"/>
      <c r="AP15" s="45"/>
    </row>
    <row r="16" spans="27:42" x14ac:dyDescent="0.15">
      <c r="AA16" s="45"/>
      <c r="AB16" s="45"/>
      <c r="AC16" s="45"/>
      <c r="AD16" s="45"/>
      <c r="AE16" s="45"/>
      <c r="AF16" s="45"/>
      <c r="AG16" s="45"/>
      <c r="AH16" s="45"/>
      <c r="AI16" s="45"/>
      <c r="AJ16" s="45"/>
      <c r="AK16" s="45"/>
      <c r="AL16" s="45"/>
      <c r="AM16" s="45"/>
      <c r="AP16" s="45"/>
    </row>
    <row r="17" spans="27:44" x14ac:dyDescent="0.15">
      <c r="AA17" s="45"/>
      <c r="AB17" s="45"/>
      <c r="AC17" s="45"/>
      <c r="AD17" s="45"/>
      <c r="AE17" s="45"/>
      <c r="AF17" s="45"/>
      <c r="AG17" s="45"/>
      <c r="AH17" s="45"/>
      <c r="AI17" s="45"/>
      <c r="AJ17" s="45"/>
      <c r="AK17" s="45"/>
      <c r="AL17" s="45"/>
      <c r="AM17" s="45"/>
      <c r="AP17" s="45"/>
    </row>
    <row r="18" spans="27:44" x14ac:dyDescent="0.15">
      <c r="AA18" s="45"/>
      <c r="AB18" s="45"/>
      <c r="AC18" s="45"/>
      <c r="AD18" s="45"/>
      <c r="AE18" s="45"/>
      <c r="AF18" s="45"/>
      <c r="AG18" s="45"/>
      <c r="AH18" s="45"/>
      <c r="AI18" s="45"/>
      <c r="AJ18" s="45"/>
      <c r="AK18" s="45"/>
      <c r="AL18" s="45"/>
      <c r="AM18" s="45"/>
      <c r="AP18" s="45"/>
    </row>
    <row r="19" spans="27:44" x14ac:dyDescent="0.15">
      <c r="AA19" s="45"/>
      <c r="AB19" s="45"/>
      <c r="AC19" s="45"/>
      <c r="AD19" s="45"/>
      <c r="AE19" s="45"/>
      <c r="AF19" s="45"/>
      <c r="AG19" s="45"/>
      <c r="AH19" s="45"/>
      <c r="AI19" s="45"/>
      <c r="AJ19" s="45"/>
      <c r="AK19" s="45"/>
      <c r="AL19" s="45"/>
      <c r="AM19" s="45"/>
      <c r="AP19" s="45"/>
    </row>
    <row r="20" spans="27:44" x14ac:dyDescent="0.15">
      <c r="AA20" s="45"/>
      <c r="AB20" s="45"/>
      <c r="AC20" s="45"/>
      <c r="AD20" s="45"/>
      <c r="AE20" s="45"/>
      <c r="AF20" s="45"/>
      <c r="AG20" s="45"/>
      <c r="AH20" s="45"/>
      <c r="AI20" s="45"/>
      <c r="AJ20" s="45"/>
      <c r="AK20" s="45"/>
      <c r="AL20" s="45"/>
      <c r="AM20" s="45"/>
      <c r="AP20" s="45"/>
    </row>
    <row r="21" spans="27:44" x14ac:dyDescent="0.15">
      <c r="AA21" s="45"/>
      <c r="AB21" s="45"/>
      <c r="AC21" s="45"/>
      <c r="AD21" s="45"/>
      <c r="AE21" s="45"/>
      <c r="AF21" s="45"/>
      <c r="AG21" s="45"/>
      <c r="AH21" s="45"/>
      <c r="AI21" s="45"/>
      <c r="AJ21" s="45"/>
      <c r="AK21" s="45"/>
      <c r="AL21" s="45"/>
      <c r="AM21" s="45"/>
      <c r="AP21" s="45"/>
    </row>
    <row r="22" spans="27:44" x14ac:dyDescent="0.15">
      <c r="AA22" s="45"/>
      <c r="AB22" s="45"/>
      <c r="AC22" s="45"/>
      <c r="AD22" s="45"/>
      <c r="AE22" s="45"/>
      <c r="AF22" s="45"/>
      <c r="AG22" s="45"/>
      <c r="AH22" s="45"/>
      <c r="AI22" s="45"/>
      <c r="AJ22" s="45"/>
      <c r="AK22" s="45"/>
      <c r="AL22" s="45"/>
      <c r="AM22" s="45"/>
      <c r="AP22" s="45"/>
    </row>
    <row r="23" spans="27:44" x14ac:dyDescent="0.15">
      <c r="AA23" s="45"/>
      <c r="AB23" s="45"/>
      <c r="AC23" s="45"/>
      <c r="AD23" s="45"/>
      <c r="AE23" s="45"/>
      <c r="AF23" s="45"/>
      <c r="AG23" s="45"/>
      <c r="AH23" s="45"/>
      <c r="AI23" s="45"/>
      <c r="AJ23" s="45"/>
      <c r="AK23" s="45"/>
      <c r="AL23" s="45"/>
      <c r="AM23" s="45"/>
      <c r="AP23" s="45"/>
    </row>
    <row r="24" spans="27:44" x14ac:dyDescent="0.15">
      <c r="AA24" s="45"/>
      <c r="AB24" s="45"/>
      <c r="AC24" s="45"/>
      <c r="AD24" s="45"/>
      <c r="AE24" s="45"/>
      <c r="AF24" s="45"/>
      <c r="AG24" s="45"/>
      <c r="AH24" s="45"/>
      <c r="AI24" s="45"/>
      <c r="AJ24" s="45"/>
      <c r="AK24" s="45"/>
      <c r="AL24" s="45"/>
      <c r="AM24" s="45"/>
      <c r="AP24" s="45"/>
    </row>
    <row r="25" spans="27:44" x14ac:dyDescent="0.15">
      <c r="AA25" s="45"/>
      <c r="AB25" s="45"/>
      <c r="AC25" s="45"/>
      <c r="AD25" s="45"/>
      <c r="AE25" s="45"/>
      <c r="AF25" s="45"/>
      <c r="AG25" s="45"/>
      <c r="AH25" s="45"/>
      <c r="AI25" s="45"/>
      <c r="AJ25" s="45"/>
      <c r="AK25" s="45"/>
      <c r="AL25" s="45"/>
      <c r="AM25" s="45"/>
      <c r="AP25" s="45"/>
    </row>
    <row r="26" spans="27:44" x14ac:dyDescent="0.15">
      <c r="AA26" s="45"/>
      <c r="AB26" s="45"/>
      <c r="AC26" s="45"/>
      <c r="AD26" s="45"/>
      <c r="AE26" s="45"/>
      <c r="AF26" s="45"/>
      <c r="AG26" s="45"/>
      <c r="AH26" s="45"/>
      <c r="AI26" s="45"/>
      <c r="AJ26" s="45"/>
      <c r="AK26" s="45"/>
      <c r="AL26" s="45"/>
      <c r="AM26" s="45"/>
      <c r="AP26" s="45"/>
    </row>
    <row r="27" spans="27:44" x14ac:dyDescent="0.15">
      <c r="AA27" s="45"/>
      <c r="AB27" s="45"/>
      <c r="AC27" s="45"/>
      <c r="AD27" s="45"/>
      <c r="AE27" s="45"/>
      <c r="AF27" s="45"/>
      <c r="AG27" s="45"/>
      <c r="AH27" s="45"/>
      <c r="AI27" s="45"/>
      <c r="AJ27" s="45"/>
      <c r="AK27" s="45"/>
      <c r="AL27" s="45"/>
      <c r="AM27" s="45"/>
      <c r="AP27" s="45"/>
    </row>
    <row r="28" spans="27:44" x14ac:dyDescent="0.15">
      <c r="AA28" s="45"/>
      <c r="AB28" s="45"/>
      <c r="AC28" s="45"/>
      <c r="AD28" s="45"/>
      <c r="AE28" s="45"/>
      <c r="AF28" s="45"/>
      <c r="AG28" s="45"/>
      <c r="AH28" s="45"/>
      <c r="AI28" s="45"/>
      <c r="AJ28" s="45"/>
      <c r="AK28" s="45"/>
      <c r="AL28" s="45"/>
      <c r="AM28" s="45"/>
      <c r="AP28" s="45"/>
    </row>
    <row r="29" spans="27:44" x14ac:dyDescent="0.15">
      <c r="AA29" s="45"/>
      <c r="AB29" s="45"/>
      <c r="AC29" s="45"/>
      <c r="AD29" s="45"/>
      <c r="AE29" s="45"/>
      <c r="AF29" s="45"/>
      <c r="AG29" s="45"/>
      <c r="AH29" s="45"/>
      <c r="AI29" s="45"/>
      <c r="AJ29" s="45"/>
      <c r="AK29" s="45"/>
      <c r="AL29" s="45"/>
      <c r="AM29" s="45"/>
      <c r="AP29" s="45"/>
    </row>
    <row r="30" spans="27:44" x14ac:dyDescent="0.15">
      <c r="AA30" s="45"/>
      <c r="AB30" s="45"/>
      <c r="AC30" s="45"/>
      <c r="AD30" s="45"/>
      <c r="AE30" s="45"/>
      <c r="AF30" s="45"/>
      <c r="AG30" s="45"/>
      <c r="AH30" s="45"/>
      <c r="AI30" s="45"/>
      <c r="AJ30" s="45"/>
      <c r="AK30" s="45"/>
      <c r="AL30" s="45"/>
      <c r="AM30" s="45"/>
      <c r="AP30" s="45"/>
    </row>
    <row r="31" spans="27:44" x14ac:dyDescent="0.15">
      <c r="AA31" s="45"/>
      <c r="AB31" s="45"/>
      <c r="AC31" s="45"/>
      <c r="AD31" s="45"/>
      <c r="AE31" s="45"/>
      <c r="AF31" s="45"/>
      <c r="AG31" s="45"/>
      <c r="AH31" s="45"/>
      <c r="AI31" s="45"/>
      <c r="AJ31" s="45"/>
      <c r="AK31" s="45"/>
      <c r="AL31" s="45"/>
      <c r="AM31" s="45"/>
      <c r="AP31" s="45"/>
    </row>
    <row r="32" spans="27:44" x14ac:dyDescent="0.15">
      <c r="AA32" s="45"/>
      <c r="AB32" s="45"/>
      <c r="AC32" s="45"/>
      <c r="AD32" s="45"/>
      <c r="AE32" s="45"/>
      <c r="AF32" s="45"/>
      <c r="AG32" s="45"/>
      <c r="AH32" s="45"/>
      <c r="AI32" s="45"/>
      <c r="AJ32" s="45"/>
      <c r="AK32" s="45"/>
      <c r="AL32" s="45"/>
      <c r="AM32" s="45"/>
      <c r="AP32" s="45"/>
      <c r="AR32" s="44">
        <f>'Dashboard FIX'!AW21</f>
        <v>0</v>
      </c>
    </row>
    <row r="33" spans="20:42" x14ac:dyDescent="0.15">
      <c r="AA33" s="45"/>
      <c r="AB33" s="45"/>
      <c r="AC33" s="45"/>
      <c r="AD33" s="45"/>
      <c r="AE33" s="45"/>
      <c r="AF33" s="45"/>
      <c r="AG33" s="45"/>
      <c r="AH33" s="45"/>
      <c r="AI33" s="45"/>
      <c r="AJ33" s="45"/>
      <c r="AK33" s="45"/>
      <c r="AL33" s="45"/>
      <c r="AM33" s="45"/>
      <c r="AP33" s="45"/>
    </row>
    <row r="34" spans="20:42" x14ac:dyDescent="0.15">
      <c r="T34" s="46"/>
      <c r="AA34" s="45"/>
      <c r="AB34" s="45"/>
      <c r="AC34" s="45"/>
      <c r="AD34" s="45"/>
      <c r="AE34" s="45"/>
      <c r="AF34" s="45"/>
      <c r="AG34" s="45"/>
      <c r="AH34" s="45"/>
      <c r="AI34" s="45"/>
      <c r="AJ34" s="45"/>
      <c r="AK34" s="45"/>
      <c r="AL34" s="45"/>
      <c r="AM34" s="45"/>
      <c r="AP34" s="45"/>
    </row>
    <row r="35" spans="20:42" x14ac:dyDescent="0.15">
      <c r="AA35" s="45"/>
      <c r="AB35" s="45"/>
      <c r="AC35" s="45"/>
      <c r="AD35" s="45"/>
      <c r="AE35" s="45"/>
      <c r="AF35" s="45"/>
      <c r="AG35" s="45"/>
      <c r="AH35" s="45"/>
      <c r="AI35" s="45"/>
      <c r="AJ35" s="45"/>
      <c r="AK35" s="45"/>
      <c r="AL35" s="45"/>
      <c r="AM35" s="45"/>
      <c r="AP35" s="45"/>
    </row>
    <row r="36" spans="20:42" x14ac:dyDescent="0.15">
      <c r="AA36" s="45"/>
      <c r="AB36" s="45"/>
      <c r="AC36" s="45"/>
      <c r="AD36" s="45"/>
      <c r="AE36" s="45"/>
      <c r="AF36" s="45"/>
      <c r="AG36" s="45"/>
      <c r="AH36" s="45"/>
      <c r="AI36" s="45"/>
      <c r="AJ36" s="45"/>
      <c r="AK36" s="45"/>
      <c r="AL36" s="45"/>
      <c r="AM36" s="45"/>
      <c r="AP36" s="45"/>
    </row>
    <row r="37" spans="20:42" x14ac:dyDescent="0.15">
      <c r="AA37" s="45"/>
      <c r="AB37" s="45"/>
      <c r="AC37" s="45"/>
      <c r="AD37" s="45"/>
      <c r="AE37" s="45"/>
      <c r="AF37" s="45"/>
      <c r="AG37" s="45"/>
      <c r="AH37" s="45"/>
      <c r="AI37" s="45"/>
      <c r="AJ37" s="45"/>
      <c r="AK37" s="45"/>
      <c r="AL37" s="45"/>
      <c r="AM37" s="45"/>
      <c r="AP37" s="45"/>
    </row>
    <row r="38" spans="20:42" x14ac:dyDescent="0.15">
      <c r="AA38" s="45"/>
      <c r="AB38" s="45"/>
      <c r="AC38" s="45"/>
      <c r="AD38" s="45"/>
      <c r="AE38" s="45"/>
      <c r="AF38" s="45"/>
      <c r="AG38" s="45"/>
      <c r="AH38" s="45"/>
      <c r="AI38" s="45"/>
      <c r="AJ38" s="45"/>
      <c r="AK38" s="45"/>
      <c r="AL38" s="45"/>
      <c r="AM38" s="45"/>
      <c r="AP38" s="45"/>
    </row>
    <row r="39" spans="20:42" x14ac:dyDescent="0.15">
      <c r="AA39" s="45"/>
      <c r="AB39" s="45"/>
      <c r="AC39" s="45"/>
      <c r="AD39" s="45"/>
      <c r="AE39" s="45"/>
      <c r="AF39" s="45"/>
      <c r="AG39" s="45"/>
      <c r="AH39" s="45"/>
      <c r="AI39" s="45"/>
      <c r="AJ39" s="45"/>
      <c r="AK39" s="45"/>
      <c r="AL39" s="45"/>
      <c r="AM39" s="45"/>
      <c r="AP39" s="45"/>
    </row>
    <row r="40" spans="20:42" x14ac:dyDescent="0.15">
      <c r="AA40" s="45"/>
      <c r="AB40" s="45"/>
      <c r="AC40" s="45"/>
      <c r="AD40" s="45"/>
      <c r="AE40" s="45"/>
      <c r="AF40" s="45"/>
      <c r="AG40" s="45"/>
      <c r="AH40" s="45"/>
      <c r="AI40" s="45"/>
      <c r="AJ40" s="45"/>
      <c r="AK40" s="45"/>
      <c r="AL40" s="45"/>
      <c r="AM40" s="45"/>
      <c r="AP40" s="45"/>
    </row>
    <row r="41" spans="20:42" x14ac:dyDescent="0.15">
      <c r="AA41" s="45"/>
      <c r="AB41" s="45"/>
      <c r="AC41" s="45"/>
      <c r="AD41" s="45"/>
      <c r="AE41" s="45"/>
      <c r="AF41" s="45"/>
      <c r="AG41" s="45"/>
      <c r="AH41" s="45"/>
      <c r="AI41" s="45"/>
      <c r="AK41" s="45"/>
      <c r="AL41" s="45"/>
      <c r="AM41" s="45"/>
      <c r="AP41" s="45"/>
    </row>
    <row r="42" spans="20:42" x14ac:dyDescent="0.15">
      <c r="AA42" s="45"/>
      <c r="AB42" s="45"/>
      <c r="AC42" s="45"/>
      <c r="AD42" s="45"/>
      <c r="AE42" s="45"/>
      <c r="AF42" s="45"/>
      <c r="AG42" s="45"/>
      <c r="AH42" s="45"/>
      <c r="AI42" s="45"/>
      <c r="AJ42" s="45"/>
      <c r="AK42" s="45"/>
      <c r="AL42" s="45"/>
      <c r="AM42" s="45"/>
      <c r="AP42" s="45"/>
    </row>
    <row r="43" spans="20:42" x14ac:dyDescent="0.15">
      <c r="AA43" s="45"/>
      <c r="AB43" s="45"/>
      <c r="AC43" s="45"/>
      <c r="AD43" s="45"/>
      <c r="AE43" s="45"/>
      <c r="AF43" s="45"/>
      <c r="AG43" s="45"/>
      <c r="AH43" s="45"/>
      <c r="AI43" s="45"/>
      <c r="AJ43" s="45"/>
      <c r="AK43" s="45"/>
      <c r="AL43" s="45"/>
      <c r="AM43" s="45"/>
      <c r="AP43" s="45"/>
    </row>
    <row r="44" spans="20:42" x14ac:dyDescent="0.15">
      <c r="AA44" s="45"/>
      <c r="AB44" s="45"/>
      <c r="AC44" s="45"/>
      <c r="AD44" s="45"/>
      <c r="AE44" s="45"/>
      <c r="AF44" s="45"/>
      <c r="AG44" s="45"/>
      <c r="AH44" s="45"/>
      <c r="AI44" s="45"/>
      <c r="AJ44" s="45"/>
      <c r="AK44" s="45"/>
      <c r="AL44" s="45"/>
      <c r="AM44" s="45"/>
      <c r="AP44" s="45"/>
    </row>
    <row r="45" spans="20:42" x14ac:dyDescent="0.15">
      <c r="AA45" s="45"/>
      <c r="AB45" s="45"/>
      <c r="AC45" s="45"/>
      <c r="AD45" s="45"/>
      <c r="AE45" s="45"/>
      <c r="AF45" s="45"/>
      <c r="AG45" s="45"/>
      <c r="AH45" s="45"/>
      <c r="AI45" s="45"/>
      <c r="AJ45" s="45"/>
      <c r="AK45" s="45"/>
      <c r="AL45" s="45"/>
      <c r="AM45" s="45"/>
      <c r="AP45" s="45"/>
    </row>
    <row r="46" spans="20:42" x14ac:dyDescent="0.15">
      <c r="AA46" s="45"/>
      <c r="AB46" s="45"/>
      <c r="AC46" s="45"/>
      <c r="AD46" s="45"/>
      <c r="AE46" s="45"/>
      <c r="AF46" s="45"/>
      <c r="AG46" s="45"/>
      <c r="AH46" s="45"/>
      <c r="AI46" s="45"/>
      <c r="AJ46" s="45"/>
      <c r="AK46" s="45"/>
      <c r="AL46" s="45"/>
      <c r="AM46" s="45"/>
      <c r="AP46" s="45"/>
    </row>
    <row r="47" spans="20:42" x14ac:dyDescent="0.15">
      <c r="AA47" s="45"/>
      <c r="AB47" s="45"/>
      <c r="AC47" s="45"/>
      <c r="AD47" s="45"/>
      <c r="AE47" s="45"/>
      <c r="AF47" s="45"/>
      <c r="AG47" s="45"/>
      <c r="AH47" s="45"/>
      <c r="AI47" s="45"/>
      <c r="AJ47" s="45"/>
      <c r="AK47" s="45"/>
      <c r="AL47" s="45"/>
      <c r="AM47" s="45"/>
      <c r="AP47" s="45"/>
    </row>
    <row r="48" spans="20:42" x14ac:dyDescent="0.15">
      <c r="AA48" s="45"/>
      <c r="AB48" s="45"/>
      <c r="AC48" s="45"/>
      <c r="AD48" s="45"/>
      <c r="AE48" s="45"/>
      <c r="AF48" s="45"/>
      <c r="AG48" s="45"/>
      <c r="AH48" s="45"/>
      <c r="AI48" s="45"/>
      <c r="AJ48" s="45"/>
      <c r="AK48" s="45"/>
      <c r="AL48" s="45"/>
      <c r="AM48" s="45"/>
      <c r="AP48" s="45"/>
    </row>
    <row r="49" spans="27:42" x14ac:dyDescent="0.15">
      <c r="AA49" s="45"/>
      <c r="AB49" s="45"/>
      <c r="AC49" s="45"/>
      <c r="AD49" s="45"/>
      <c r="AE49" s="45"/>
      <c r="AF49" s="45"/>
      <c r="AG49" s="45"/>
      <c r="AH49" s="45"/>
      <c r="AI49" s="45"/>
      <c r="AJ49" s="45"/>
      <c r="AK49" s="45"/>
      <c r="AL49" s="45"/>
      <c r="AM49" s="45"/>
      <c r="AP49" s="45"/>
    </row>
    <row r="50" spans="27:42" x14ac:dyDescent="0.15">
      <c r="AA50" s="45"/>
      <c r="AB50" s="45"/>
      <c r="AC50" s="45"/>
      <c r="AD50" s="45"/>
      <c r="AE50" s="45"/>
      <c r="AF50" s="45"/>
      <c r="AG50" s="45"/>
      <c r="AH50" s="45"/>
      <c r="AI50" s="45"/>
      <c r="AJ50" s="45"/>
      <c r="AK50" s="45"/>
      <c r="AL50" s="45"/>
      <c r="AM50" s="45"/>
      <c r="AP50" s="45"/>
    </row>
    <row r="51" spans="27:42" x14ac:dyDescent="0.15">
      <c r="AA51" s="45"/>
      <c r="AB51" s="45"/>
      <c r="AC51" s="45"/>
      <c r="AD51" s="45"/>
      <c r="AE51" s="45"/>
      <c r="AF51" s="45"/>
      <c r="AG51" s="45"/>
      <c r="AH51" s="45"/>
      <c r="AI51" s="45"/>
      <c r="AJ51" s="45"/>
      <c r="AK51" s="45"/>
      <c r="AL51" s="45"/>
      <c r="AM51" s="45"/>
      <c r="AP51" s="45"/>
    </row>
    <row r="52" spans="27:42" x14ac:dyDescent="0.15">
      <c r="AA52" s="45"/>
      <c r="AB52" s="45"/>
      <c r="AC52" s="45"/>
      <c r="AD52" s="45"/>
      <c r="AE52" s="45"/>
      <c r="AF52" s="45"/>
      <c r="AG52" s="45"/>
      <c r="AH52" s="45"/>
      <c r="AI52" s="45"/>
      <c r="AJ52" s="45"/>
      <c r="AK52" s="45"/>
      <c r="AL52" s="45"/>
      <c r="AM52" s="45"/>
      <c r="AP52" s="45"/>
    </row>
    <row r="53" spans="27:42" x14ac:dyDescent="0.15">
      <c r="AA53" s="45"/>
      <c r="AB53" s="45"/>
      <c r="AC53" s="45"/>
      <c r="AD53" s="45"/>
      <c r="AE53" s="45"/>
      <c r="AF53" s="45"/>
      <c r="AG53" s="45"/>
      <c r="AH53" s="45"/>
      <c r="AI53" s="45"/>
      <c r="AJ53" s="45"/>
      <c r="AK53" s="45"/>
      <c r="AL53" s="45"/>
      <c r="AM53" s="45"/>
      <c r="AP53" s="45"/>
    </row>
    <row r="54" spans="27:42" x14ac:dyDescent="0.15">
      <c r="AA54" s="45"/>
      <c r="AB54" s="45"/>
      <c r="AC54" s="45"/>
      <c r="AD54" s="45"/>
      <c r="AE54" s="45"/>
      <c r="AF54" s="45"/>
      <c r="AG54" s="45"/>
      <c r="AH54" s="45"/>
      <c r="AI54" s="45"/>
      <c r="AJ54" s="45"/>
      <c r="AK54" s="45"/>
      <c r="AL54" s="45"/>
      <c r="AM54" s="45"/>
      <c r="AP54" s="45"/>
    </row>
    <row r="55" spans="27:42" x14ac:dyDescent="0.15">
      <c r="AA55" s="45"/>
      <c r="AB55" s="45"/>
      <c r="AC55" s="45"/>
      <c r="AD55" s="45"/>
      <c r="AE55" s="45"/>
      <c r="AF55" s="45"/>
      <c r="AG55" s="45"/>
      <c r="AH55" s="45"/>
      <c r="AI55" s="45"/>
      <c r="AJ55" s="45"/>
      <c r="AK55" s="45"/>
      <c r="AL55" s="45"/>
      <c r="AM55" s="45"/>
      <c r="AP55" s="45"/>
    </row>
    <row r="56" spans="27:42" x14ac:dyDescent="0.15">
      <c r="AA56" s="45"/>
      <c r="AB56" s="45"/>
      <c r="AC56" s="45"/>
      <c r="AD56" s="45"/>
      <c r="AE56" s="45"/>
      <c r="AF56" s="45"/>
      <c r="AG56" s="45"/>
      <c r="AH56" s="45"/>
      <c r="AI56" s="45"/>
      <c r="AJ56" s="45"/>
      <c r="AK56" s="45"/>
      <c r="AL56" s="45"/>
      <c r="AM56" s="45"/>
      <c r="AP56" s="45"/>
    </row>
    <row r="57" spans="27:42" x14ac:dyDescent="0.15">
      <c r="AA57" s="45"/>
      <c r="AB57" s="45"/>
      <c r="AC57" s="45"/>
      <c r="AD57" s="45"/>
      <c r="AE57" s="45"/>
      <c r="AF57" s="45"/>
      <c r="AG57" s="45"/>
      <c r="AH57" s="45"/>
      <c r="AI57" s="45"/>
      <c r="AJ57" s="45"/>
      <c r="AK57" s="45"/>
      <c r="AL57" s="45"/>
      <c r="AM57" s="45"/>
      <c r="AP57" s="45"/>
    </row>
    <row r="58" spans="27:42" x14ac:dyDescent="0.15">
      <c r="AA58" s="45"/>
      <c r="AB58" s="45"/>
      <c r="AC58" s="45"/>
      <c r="AD58" s="45"/>
      <c r="AE58" s="45"/>
      <c r="AF58" s="45"/>
      <c r="AG58" s="45"/>
      <c r="AH58" s="45"/>
      <c r="AI58" s="45"/>
      <c r="AJ58" s="45"/>
      <c r="AK58" s="45"/>
      <c r="AL58" s="45"/>
      <c r="AM58" s="45"/>
      <c r="AP58" s="45"/>
    </row>
    <row r="59" spans="27:42" x14ac:dyDescent="0.15">
      <c r="AA59" s="45"/>
      <c r="AB59" s="45"/>
      <c r="AC59" s="45"/>
      <c r="AD59" s="45"/>
      <c r="AE59" s="45"/>
      <c r="AF59" s="45"/>
      <c r="AG59" s="45"/>
      <c r="AH59" s="45"/>
      <c r="AI59" s="45"/>
      <c r="AJ59" s="45"/>
      <c r="AK59" s="45"/>
      <c r="AL59" s="45"/>
      <c r="AM59" s="45"/>
      <c r="AP59" s="45"/>
    </row>
    <row r="60" spans="27:42" x14ac:dyDescent="0.15">
      <c r="AA60" s="45"/>
      <c r="AB60" s="45"/>
      <c r="AC60" s="45"/>
      <c r="AD60" s="45"/>
      <c r="AE60" s="45"/>
      <c r="AF60" s="45"/>
      <c r="AG60" s="45"/>
      <c r="AH60" s="45"/>
      <c r="AI60" s="45"/>
      <c r="AJ60" s="45"/>
      <c r="AK60" s="45"/>
      <c r="AL60" s="45"/>
      <c r="AM60" s="45"/>
      <c r="AP60" s="45"/>
    </row>
    <row r="61" spans="27:42" x14ac:dyDescent="0.15">
      <c r="AA61" s="45"/>
      <c r="AB61" s="45"/>
      <c r="AC61" s="45"/>
      <c r="AD61" s="45"/>
      <c r="AE61" s="45"/>
      <c r="AF61" s="45"/>
      <c r="AG61" s="45"/>
      <c r="AH61" s="45"/>
      <c r="AI61" s="45"/>
      <c r="AJ61" s="45"/>
      <c r="AK61" s="45"/>
      <c r="AL61" s="45"/>
      <c r="AM61" s="45"/>
      <c r="AP61" s="45"/>
    </row>
    <row r="62" spans="27:42" x14ac:dyDescent="0.15">
      <c r="AA62" s="45"/>
      <c r="AB62" s="45"/>
      <c r="AC62" s="45"/>
      <c r="AD62" s="45"/>
      <c r="AE62" s="45"/>
      <c r="AF62" s="45"/>
      <c r="AG62" s="45"/>
      <c r="AH62" s="45"/>
      <c r="AI62" s="45"/>
      <c r="AJ62" s="45"/>
      <c r="AK62" s="45"/>
      <c r="AL62" s="45"/>
      <c r="AM62" s="45"/>
      <c r="AP62" s="45"/>
    </row>
    <row r="63" spans="27:42" x14ac:dyDescent="0.15">
      <c r="AA63" s="45"/>
      <c r="AB63" s="45"/>
      <c r="AC63" s="45"/>
      <c r="AD63" s="45"/>
      <c r="AE63" s="45"/>
      <c r="AF63" s="45"/>
      <c r="AG63" s="45"/>
      <c r="AH63" s="45"/>
      <c r="AI63" s="45"/>
      <c r="AJ63" s="45"/>
      <c r="AK63" s="45"/>
      <c r="AL63" s="45"/>
      <c r="AM63" s="45"/>
      <c r="AP63" s="45"/>
    </row>
    <row r="64" spans="27:42" x14ac:dyDescent="0.15">
      <c r="AA64" s="45"/>
      <c r="AB64" s="45"/>
      <c r="AC64" s="45"/>
      <c r="AD64" s="45"/>
      <c r="AE64" s="45"/>
      <c r="AF64" s="45"/>
      <c r="AG64" s="45"/>
      <c r="AH64" s="45"/>
      <c r="AI64" s="45"/>
      <c r="AJ64" s="45"/>
      <c r="AK64" s="45"/>
      <c r="AL64" s="45"/>
      <c r="AM64" s="45"/>
      <c r="AP64" s="45"/>
    </row>
    <row r="65" spans="27:42" x14ac:dyDescent="0.15">
      <c r="AA65" s="45"/>
      <c r="AB65" s="45"/>
      <c r="AC65" s="45"/>
      <c r="AD65" s="45"/>
      <c r="AE65" s="45"/>
      <c r="AF65" s="45"/>
      <c r="AG65" s="45"/>
      <c r="AH65" s="45"/>
      <c r="AI65" s="45"/>
      <c r="AJ65" s="45"/>
      <c r="AK65" s="45"/>
      <c r="AL65" s="45"/>
      <c r="AM65" s="45"/>
      <c r="AP65" s="45"/>
    </row>
    <row r="66" spans="27:42" x14ac:dyDescent="0.15">
      <c r="AA66" s="45"/>
      <c r="AB66" s="45"/>
      <c r="AC66" s="45"/>
      <c r="AD66" s="45"/>
      <c r="AE66" s="45"/>
      <c r="AF66" s="45"/>
      <c r="AG66" s="45"/>
      <c r="AH66" s="45"/>
      <c r="AI66" s="45"/>
      <c r="AJ66" s="45"/>
      <c r="AK66" s="45"/>
      <c r="AL66" s="45"/>
      <c r="AM66" s="45"/>
      <c r="AP66" s="45"/>
    </row>
    <row r="67" spans="27:42" x14ac:dyDescent="0.15">
      <c r="AA67" s="45"/>
      <c r="AB67" s="45"/>
      <c r="AC67" s="45"/>
      <c r="AD67" s="45"/>
      <c r="AE67" s="45"/>
      <c r="AF67" s="45"/>
      <c r="AG67" s="45"/>
      <c r="AH67" s="45"/>
      <c r="AI67" s="45"/>
      <c r="AJ67" s="45"/>
      <c r="AK67" s="45"/>
      <c r="AL67" s="45"/>
      <c r="AM67" s="45"/>
      <c r="AP67" s="45"/>
    </row>
    <row r="68" spans="27:42" x14ac:dyDescent="0.15">
      <c r="AA68" s="45"/>
      <c r="AB68" s="45"/>
      <c r="AC68" s="45"/>
      <c r="AD68" s="45"/>
      <c r="AE68" s="45"/>
      <c r="AF68" s="45"/>
      <c r="AG68" s="45"/>
      <c r="AH68" s="45"/>
      <c r="AI68" s="45"/>
      <c r="AJ68" s="45"/>
      <c r="AK68" s="45"/>
      <c r="AL68" s="45"/>
      <c r="AM68" s="45"/>
      <c r="AP68" s="45"/>
    </row>
    <row r="69" spans="27:42" x14ac:dyDescent="0.15">
      <c r="AA69" s="45"/>
      <c r="AB69" s="45"/>
      <c r="AC69" s="45"/>
      <c r="AD69" s="45"/>
      <c r="AE69" s="45"/>
      <c r="AF69" s="45"/>
      <c r="AG69" s="45"/>
      <c r="AH69" s="45"/>
      <c r="AI69" s="45"/>
      <c r="AJ69" s="45"/>
      <c r="AK69" s="45"/>
      <c r="AL69" s="45"/>
      <c r="AM69" s="45"/>
      <c r="AP69" s="45"/>
    </row>
    <row r="70" spans="27:42" x14ac:dyDescent="0.15">
      <c r="AA70" s="45"/>
      <c r="AB70" s="45"/>
      <c r="AC70" s="45"/>
      <c r="AD70" s="45"/>
      <c r="AE70" s="45"/>
      <c r="AF70" s="45"/>
      <c r="AG70" s="45"/>
      <c r="AH70" s="45"/>
      <c r="AI70" s="45"/>
      <c r="AJ70" s="45"/>
      <c r="AK70" s="45"/>
      <c r="AL70" s="45"/>
      <c r="AM70" s="45"/>
      <c r="AP70" s="45"/>
    </row>
    <row r="71" spans="27:42" x14ac:dyDescent="0.15">
      <c r="AA71" s="45"/>
      <c r="AB71" s="45"/>
      <c r="AC71" s="45"/>
      <c r="AD71" s="45"/>
      <c r="AE71" s="45"/>
      <c r="AF71" s="45"/>
      <c r="AG71" s="45"/>
      <c r="AH71" s="45"/>
      <c r="AI71" s="45"/>
      <c r="AJ71" s="45"/>
      <c r="AK71" s="45"/>
      <c r="AL71" s="45"/>
      <c r="AM71" s="45"/>
      <c r="AP71" s="45"/>
    </row>
    <row r="72" spans="27:42" x14ac:dyDescent="0.15">
      <c r="AA72" s="45"/>
      <c r="AB72" s="45"/>
      <c r="AC72" s="45"/>
      <c r="AD72" s="45"/>
      <c r="AE72" s="45"/>
      <c r="AF72" s="45"/>
      <c r="AG72" s="45"/>
      <c r="AH72" s="45"/>
      <c r="AI72" s="45"/>
      <c r="AJ72" s="45"/>
      <c r="AK72" s="45"/>
      <c r="AL72" s="45"/>
      <c r="AM72" s="45"/>
      <c r="AP72" s="45"/>
    </row>
    <row r="73" spans="27:42" x14ac:dyDescent="0.15">
      <c r="AA73" s="45"/>
      <c r="AB73" s="45"/>
      <c r="AC73" s="45"/>
      <c r="AD73" s="45"/>
      <c r="AE73" s="45"/>
      <c r="AF73" s="45"/>
      <c r="AG73" s="45"/>
      <c r="AH73" s="45"/>
      <c r="AI73" s="45"/>
      <c r="AJ73" s="45"/>
      <c r="AK73" s="45"/>
      <c r="AL73" s="45"/>
      <c r="AM73" s="45"/>
      <c r="AP73" s="45"/>
    </row>
    <row r="74" spans="27:42" x14ac:dyDescent="0.15">
      <c r="AA74" s="45"/>
      <c r="AB74" s="45"/>
      <c r="AC74" s="45"/>
      <c r="AD74" s="45"/>
      <c r="AE74" s="45"/>
      <c r="AF74" s="45"/>
      <c r="AG74" s="45"/>
      <c r="AH74" s="45"/>
      <c r="AI74" s="45"/>
      <c r="AJ74" s="45"/>
      <c r="AK74" s="45"/>
      <c r="AL74" s="45"/>
      <c r="AM74" s="45"/>
      <c r="AP74" s="45"/>
    </row>
    <row r="75" spans="27:42" x14ac:dyDescent="0.15">
      <c r="AA75" s="45"/>
      <c r="AB75" s="45"/>
      <c r="AC75" s="45"/>
      <c r="AD75" s="45"/>
      <c r="AE75" s="45"/>
      <c r="AF75" s="45"/>
      <c r="AG75" s="45"/>
      <c r="AH75" s="45"/>
      <c r="AI75" s="45"/>
      <c r="AJ75" s="45"/>
      <c r="AK75" s="45"/>
      <c r="AL75" s="45"/>
      <c r="AM75" s="45"/>
      <c r="AP75" s="45"/>
    </row>
    <row r="76" spans="27:42" x14ac:dyDescent="0.15">
      <c r="AA76" s="45"/>
      <c r="AB76" s="45"/>
      <c r="AC76" s="45"/>
      <c r="AD76" s="45"/>
      <c r="AE76" s="45"/>
      <c r="AF76" s="45"/>
      <c r="AG76" s="45"/>
      <c r="AH76" s="45"/>
      <c r="AI76" s="45"/>
      <c r="AJ76" s="45"/>
      <c r="AK76" s="45"/>
      <c r="AL76" s="45"/>
      <c r="AM76" s="45"/>
      <c r="AP76" s="45"/>
    </row>
    <row r="77" spans="27:42" x14ac:dyDescent="0.15">
      <c r="AA77" s="45"/>
      <c r="AB77" s="45"/>
      <c r="AC77" s="45"/>
      <c r="AD77" s="45"/>
      <c r="AE77" s="45"/>
      <c r="AF77" s="45"/>
      <c r="AG77" s="45"/>
      <c r="AH77" s="45"/>
      <c r="AI77" s="45"/>
      <c r="AJ77" s="45"/>
      <c r="AK77" s="45"/>
      <c r="AL77" s="45"/>
      <c r="AM77" s="45"/>
      <c r="AP77" s="45"/>
    </row>
    <row r="78" spans="27:42" x14ac:dyDescent="0.15">
      <c r="AA78" s="45"/>
      <c r="AB78" s="45"/>
      <c r="AC78" s="45"/>
      <c r="AD78" s="45"/>
      <c r="AE78" s="45"/>
      <c r="AF78" s="45"/>
      <c r="AG78" s="45"/>
      <c r="AH78" s="45"/>
      <c r="AI78" s="45"/>
      <c r="AJ78" s="45"/>
      <c r="AK78" s="45"/>
      <c r="AL78" s="45"/>
      <c r="AM78" s="45"/>
      <c r="AP78" s="45"/>
    </row>
    <row r="79" spans="27:42" x14ac:dyDescent="0.15">
      <c r="AA79" s="45"/>
      <c r="AB79" s="45"/>
      <c r="AC79" s="45"/>
      <c r="AD79" s="45"/>
      <c r="AE79" s="45"/>
      <c r="AF79" s="45"/>
      <c r="AG79" s="45"/>
      <c r="AH79" s="45"/>
      <c r="AI79" s="45"/>
      <c r="AJ79" s="45"/>
      <c r="AK79" s="45"/>
      <c r="AL79" s="45"/>
      <c r="AM79" s="45"/>
      <c r="AP79" s="45"/>
    </row>
    <row r="80" spans="27:42" x14ac:dyDescent="0.15">
      <c r="AA80" s="45"/>
      <c r="AB80" s="45"/>
      <c r="AC80" s="45"/>
      <c r="AD80" s="45"/>
      <c r="AE80" s="45"/>
      <c r="AF80" s="45"/>
      <c r="AG80" s="45"/>
      <c r="AH80" s="45"/>
      <c r="AI80" s="45"/>
      <c r="AJ80" s="45"/>
      <c r="AK80" s="45"/>
      <c r="AL80" s="45"/>
      <c r="AM80" s="45"/>
      <c r="AP80" s="45"/>
    </row>
    <row r="81" spans="27:42" x14ac:dyDescent="0.15">
      <c r="AA81" s="45"/>
      <c r="AB81" s="45"/>
      <c r="AC81" s="45"/>
      <c r="AD81" s="45"/>
      <c r="AE81" s="45"/>
      <c r="AF81" s="45"/>
      <c r="AG81" s="45"/>
      <c r="AH81" s="45"/>
      <c r="AI81" s="45"/>
      <c r="AJ81" s="45"/>
      <c r="AK81" s="45"/>
      <c r="AL81" s="45"/>
      <c r="AM81" s="45"/>
      <c r="AP81" s="45"/>
    </row>
    <row r="82" spans="27:42" x14ac:dyDescent="0.15">
      <c r="AA82" s="45"/>
      <c r="AB82" s="45"/>
      <c r="AC82" s="45"/>
      <c r="AD82" s="45"/>
      <c r="AE82" s="45"/>
      <c r="AF82" s="45"/>
      <c r="AG82" s="45"/>
      <c r="AH82" s="45"/>
      <c r="AI82" s="45"/>
      <c r="AJ82" s="45"/>
      <c r="AK82" s="45"/>
      <c r="AL82" s="45"/>
      <c r="AM82" s="45"/>
      <c r="AP82" s="45"/>
    </row>
    <row r="83" spans="27:42" x14ac:dyDescent="0.15">
      <c r="AA83" s="45"/>
      <c r="AB83" s="45"/>
      <c r="AC83" s="45"/>
      <c r="AD83" s="45"/>
      <c r="AE83" s="45"/>
      <c r="AF83" s="45"/>
      <c r="AG83" s="45"/>
      <c r="AH83" s="45"/>
      <c r="AI83" s="45"/>
      <c r="AJ83" s="45"/>
      <c r="AK83" s="45"/>
      <c r="AL83" s="45"/>
      <c r="AM83" s="45"/>
      <c r="AP83" s="45"/>
    </row>
    <row r="84" spans="27:42" x14ac:dyDescent="0.15">
      <c r="AA84" s="45"/>
      <c r="AB84" s="45"/>
      <c r="AC84" s="45"/>
      <c r="AD84" s="45"/>
      <c r="AE84" s="45"/>
      <c r="AF84" s="45"/>
      <c r="AG84" s="45"/>
      <c r="AH84" s="45"/>
      <c r="AI84" s="45"/>
      <c r="AJ84" s="45"/>
      <c r="AK84" s="45"/>
      <c r="AL84" s="45"/>
      <c r="AM84" s="45"/>
      <c r="AP84" s="45"/>
    </row>
    <row r="85" spans="27:42" x14ac:dyDescent="0.15">
      <c r="AA85" s="45"/>
      <c r="AB85" s="45"/>
      <c r="AC85" s="45"/>
      <c r="AD85" s="45"/>
      <c r="AE85" s="45"/>
      <c r="AF85" s="45"/>
      <c r="AG85" s="45"/>
      <c r="AH85" s="45"/>
      <c r="AI85" s="45"/>
      <c r="AJ85" s="45"/>
      <c r="AK85" s="45"/>
      <c r="AL85" s="45"/>
      <c r="AM85" s="45"/>
      <c r="AP85" s="45"/>
    </row>
    <row r="86" spans="27:42" x14ac:dyDescent="0.15">
      <c r="AA86" s="45"/>
      <c r="AB86" s="45"/>
      <c r="AC86" s="45"/>
      <c r="AD86" s="45"/>
      <c r="AE86" s="45"/>
      <c r="AF86" s="45"/>
      <c r="AG86" s="45"/>
      <c r="AH86" s="45"/>
      <c r="AI86" s="45"/>
      <c r="AJ86" s="45"/>
      <c r="AK86" s="45"/>
      <c r="AL86" s="45"/>
      <c r="AM86" s="45"/>
      <c r="AP86" s="45"/>
    </row>
    <row r="87" spans="27:42" x14ac:dyDescent="0.15">
      <c r="AA87" s="45"/>
      <c r="AB87" s="45"/>
      <c r="AC87" s="45"/>
      <c r="AD87" s="45"/>
      <c r="AE87" s="45"/>
      <c r="AF87" s="45"/>
      <c r="AG87" s="45"/>
      <c r="AH87" s="45"/>
      <c r="AI87" s="45"/>
      <c r="AJ87" s="45"/>
      <c r="AK87" s="45"/>
      <c r="AL87" s="45"/>
      <c r="AM87" s="45"/>
      <c r="AP87" s="45"/>
    </row>
    <row r="88" spans="27:42" x14ac:dyDescent="0.15">
      <c r="AA88" s="45"/>
      <c r="AB88" s="45"/>
      <c r="AC88" s="45"/>
      <c r="AD88" s="45"/>
      <c r="AE88" s="45"/>
      <c r="AF88" s="45"/>
      <c r="AG88" s="45"/>
      <c r="AH88" s="45"/>
      <c r="AI88" s="45"/>
      <c r="AJ88" s="45"/>
      <c r="AK88" s="45"/>
      <c r="AL88" s="45"/>
      <c r="AM88" s="45"/>
      <c r="AP88" s="45"/>
    </row>
    <row r="89" spans="27:42" x14ac:dyDescent="0.15">
      <c r="AA89" s="45"/>
      <c r="AB89" s="45"/>
      <c r="AC89" s="45"/>
      <c r="AD89" s="45"/>
      <c r="AE89" s="45"/>
      <c r="AF89" s="45"/>
      <c r="AG89" s="45"/>
      <c r="AH89" s="45"/>
      <c r="AI89" s="45"/>
      <c r="AJ89" s="45"/>
      <c r="AK89" s="45"/>
      <c r="AL89" s="45"/>
      <c r="AM89" s="45"/>
      <c r="AP89" s="45"/>
    </row>
    <row r="90" spans="27:42" x14ac:dyDescent="0.15">
      <c r="AA90" s="45"/>
      <c r="AB90" s="45"/>
      <c r="AC90" s="45"/>
      <c r="AD90" s="45"/>
      <c r="AE90" s="45"/>
      <c r="AF90" s="45"/>
      <c r="AG90" s="45"/>
      <c r="AH90" s="45"/>
      <c r="AI90" s="45"/>
      <c r="AJ90" s="45"/>
      <c r="AK90" s="45"/>
      <c r="AL90" s="45"/>
      <c r="AM90" s="45"/>
      <c r="AP90" s="45"/>
    </row>
    <row r="91" spans="27:42" x14ac:dyDescent="0.15">
      <c r="AA91" s="45"/>
      <c r="AB91" s="45"/>
      <c r="AC91" s="45"/>
      <c r="AD91" s="45"/>
      <c r="AE91" s="45"/>
      <c r="AF91" s="45"/>
      <c r="AG91" s="45"/>
      <c r="AH91" s="45"/>
      <c r="AI91" s="45"/>
      <c r="AJ91" s="45"/>
      <c r="AK91" s="45"/>
      <c r="AL91" s="45"/>
      <c r="AM91" s="45"/>
      <c r="AP91" s="45"/>
    </row>
    <row r="92" spans="27:42" x14ac:dyDescent="0.15">
      <c r="AA92" s="45"/>
      <c r="AB92" s="45"/>
      <c r="AC92" s="45"/>
      <c r="AD92" s="45"/>
      <c r="AE92" s="45"/>
      <c r="AF92" s="45"/>
      <c r="AG92" s="45"/>
      <c r="AH92" s="45"/>
      <c r="AI92" s="45"/>
      <c r="AJ92" s="45"/>
      <c r="AK92" s="45"/>
      <c r="AL92" s="45"/>
      <c r="AM92" s="45"/>
      <c r="AP92" s="45"/>
    </row>
    <row r="93" spans="27:42" x14ac:dyDescent="0.15">
      <c r="AA93" s="45"/>
      <c r="AB93" s="45"/>
      <c r="AC93" s="45"/>
      <c r="AD93" s="45"/>
      <c r="AE93" s="45"/>
      <c r="AF93" s="45"/>
      <c r="AG93" s="45"/>
      <c r="AH93" s="45"/>
      <c r="AI93" s="45"/>
      <c r="AJ93" s="45"/>
      <c r="AK93" s="45"/>
      <c r="AL93" s="45"/>
      <c r="AM93" s="45"/>
      <c r="AP93" s="45"/>
    </row>
    <row r="94" spans="27:42" x14ac:dyDescent="0.15">
      <c r="AA94" s="45"/>
      <c r="AB94" s="45"/>
      <c r="AC94" s="45"/>
      <c r="AD94" s="45"/>
      <c r="AE94" s="45"/>
      <c r="AF94" s="45"/>
      <c r="AG94" s="45"/>
      <c r="AH94" s="45"/>
      <c r="AI94" s="45"/>
      <c r="AJ94" s="45"/>
      <c r="AK94" s="45"/>
      <c r="AL94" s="45"/>
      <c r="AM94" s="45"/>
      <c r="AP94" s="45"/>
    </row>
    <row r="95" spans="27:42" x14ac:dyDescent="0.15">
      <c r="AA95" s="45"/>
      <c r="AB95" s="45"/>
      <c r="AC95" s="45"/>
      <c r="AD95" s="45"/>
      <c r="AE95" s="45"/>
      <c r="AF95" s="45"/>
      <c r="AG95" s="45"/>
      <c r="AH95" s="45"/>
      <c r="AI95" s="45"/>
      <c r="AJ95" s="45"/>
      <c r="AK95" s="45"/>
      <c r="AL95" s="45"/>
      <c r="AM95" s="45"/>
      <c r="AP95" s="45"/>
    </row>
    <row r="96" spans="27:42" x14ac:dyDescent="0.15">
      <c r="AA96" s="45"/>
      <c r="AB96" s="45"/>
      <c r="AC96" s="45"/>
      <c r="AD96" s="45"/>
      <c r="AE96" s="45"/>
      <c r="AF96" s="45"/>
      <c r="AG96" s="45"/>
      <c r="AH96" s="45"/>
      <c r="AI96" s="45"/>
      <c r="AJ96" s="45"/>
      <c r="AK96" s="45"/>
      <c r="AL96" s="45"/>
      <c r="AM96" s="45"/>
      <c r="AP96" s="45"/>
    </row>
    <row r="97" spans="27:42" x14ac:dyDescent="0.15">
      <c r="AA97" s="45"/>
      <c r="AB97" s="45"/>
      <c r="AC97" s="45"/>
      <c r="AD97" s="45"/>
      <c r="AE97" s="45"/>
      <c r="AF97" s="45"/>
      <c r="AG97" s="45"/>
      <c r="AH97" s="45"/>
      <c r="AI97" s="45"/>
      <c r="AJ97" s="45"/>
      <c r="AK97" s="45"/>
      <c r="AL97" s="45"/>
      <c r="AM97" s="45"/>
      <c r="AP97" s="45"/>
    </row>
    <row r="98" spans="27:42" x14ac:dyDescent="0.15">
      <c r="AA98" s="45"/>
      <c r="AB98" s="45"/>
      <c r="AC98" s="45"/>
      <c r="AD98" s="45"/>
      <c r="AE98" s="45"/>
      <c r="AF98" s="45"/>
      <c r="AG98" s="45"/>
      <c r="AH98" s="45"/>
      <c r="AI98" s="45"/>
      <c r="AJ98" s="45"/>
      <c r="AK98" s="45"/>
      <c r="AL98" s="45"/>
      <c r="AM98" s="45"/>
      <c r="AP98" s="45"/>
    </row>
    <row r="99" spans="27:42" x14ac:dyDescent="0.15">
      <c r="AA99" s="45"/>
      <c r="AB99" s="45"/>
      <c r="AC99" s="45"/>
      <c r="AD99" s="45"/>
      <c r="AE99" s="45"/>
      <c r="AF99" s="45"/>
      <c r="AG99" s="45"/>
      <c r="AH99" s="45"/>
      <c r="AI99" s="45"/>
      <c r="AJ99" s="45"/>
      <c r="AK99" s="45"/>
      <c r="AL99" s="45"/>
      <c r="AM99" s="45"/>
      <c r="AP99" s="45"/>
    </row>
    <row r="100" spans="27:42" x14ac:dyDescent="0.15">
      <c r="AA100" s="45"/>
      <c r="AB100" s="45"/>
      <c r="AC100" s="45"/>
      <c r="AD100" s="45"/>
      <c r="AE100" s="45"/>
      <c r="AF100" s="45"/>
      <c r="AG100" s="45"/>
      <c r="AH100" s="45"/>
      <c r="AI100" s="45"/>
      <c r="AJ100" s="45"/>
      <c r="AK100" s="45"/>
      <c r="AL100" s="45"/>
      <c r="AM100" s="45"/>
      <c r="AP100" s="45"/>
    </row>
    <row r="101" spans="27:42" x14ac:dyDescent="0.15">
      <c r="AA101" s="45"/>
      <c r="AB101" s="45"/>
      <c r="AC101" s="45"/>
      <c r="AD101" s="45"/>
      <c r="AE101" s="45"/>
      <c r="AF101" s="45"/>
      <c r="AG101" s="45"/>
      <c r="AH101" s="45"/>
      <c r="AI101" s="45"/>
      <c r="AJ101" s="45"/>
      <c r="AK101" s="45"/>
      <c r="AL101" s="45"/>
      <c r="AM101" s="45"/>
      <c r="AP101" s="45"/>
    </row>
    <row r="102" spans="27:42" x14ac:dyDescent="0.15">
      <c r="AA102" s="45"/>
      <c r="AB102" s="45"/>
      <c r="AC102" s="45"/>
      <c r="AD102" s="45"/>
      <c r="AE102" s="45"/>
      <c r="AF102" s="45"/>
      <c r="AG102" s="45"/>
      <c r="AH102" s="45"/>
      <c r="AI102" s="45"/>
      <c r="AJ102" s="45"/>
      <c r="AK102" s="45"/>
      <c r="AL102" s="45"/>
      <c r="AM102" s="45"/>
      <c r="AP102" s="45"/>
    </row>
    <row r="103" spans="27:42" x14ac:dyDescent="0.15">
      <c r="AA103" s="45"/>
      <c r="AB103" s="45"/>
      <c r="AC103" s="45"/>
      <c r="AD103" s="45"/>
      <c r="AE103" s="45"/>
      <c r="AF103" s="45"/>
      <c r="AG103" s="45"/>
      <c r="AH103" s="45"/>
      <c r="AI103" s="45"/>
      <c r="AJ103" s="45"/>
      <c r="AK103" s="45"/>
      <c r="AL103" s="45"/>
      <c r="AM103" s="45"/>
      <c r="AP103" s="45"/>
    </row>
    <row r="104" spans="27:42" x14ac:dyDescent="0.15">
      <c r="AA104" s="45"/>
      <c r="AB104" s="45"/>
      <c r="AC104" s="45"/>
      <c r="AD104" s="45"/>
      <c r="AE104" s="45"/>
      <c r="AF104" s="45"/>
      <c r="AG104" s="45"/>
      <c r="AH104" s="45"/>
      <c r="AI104" s="45"/>
      <c r="AJ104" s="45"/>
      <c r="AK104" s="45"/>
      <c r="AL104" s="45"/>
      <c r="AM104" s="45"/>
      <c r="AP104" s="45"/>
    </row>
    <row r="105" spans="27:42" x14ac:dyDescent="0.15">
      <c r="AA105" s="45"/>
      <c r="AB105" s="45"/>
      <c r="AC105" s="45"/>
      <c r="AD105" s="45"/>
      <c r="AE105" s="45"/>
      <c r="AF105" s="45"/>
      <c r="AG105" s="45"/>
      <c r="AH105" s="45"/>
      <c r="AI105" s="45"/>
      <c r="AJ105" s="45"/>
      <c r="AK105" s="45"/>
      <c r="AL105" s="45"/>
      <c r="AM105" s="45"/>
      <c r="AP105" s="45"/>
    </row>
    <row r="106" spans="27:42" x14ac:dyDescent="0.15">
      <c r="AA106" s="45"/>
      <c r="AB106" s="45"/>
      <c r="AC106" s="45"/>
      <c r="AD106" s="45"/>
      <c r="AE106" s="45"/>
      <c r="AF106" s="45"/>
      <c r="AG106" s="45"/>
      <c r="AH106" s="45"/>
      <c r="AI106" s="45"/>
      <c r="AJ106" s="45"/>
      <c r="AK106" s="45"/>
      <c r="AL106" s="45"/>
      <c r="AM106" s="45"/>
      <c r="AP106" s="45"/>
    </row>
    <row r="107" spans="27:42" x14ac:dyDescent="0.15">
      <c r="AA107" s="45"/>
      <c r="AB107" s="45"/>
      <c r="AC107" s="45"/>
      <c r="AD107" s="45"/>
      <c r="AE107" s="45"/>
      <c r="AF107" s="45"/>
      <c r="AG107" s="45"/>
      <c r="AH107" s="45"/>
      <c r="AI107" s="45"/>
      <c r="AJ107" s="45"/>
      <c r="AK107" s="45"/>
      <c r="AL107" s="45"/>
      <c r="AM107" s="45"/>
      <c r="AP107" s="45"/>
    </row>
    <row r="108" spans="27:42" x14ac:dyDescent="0.15">
      <c r="AA108" s="45"/>
      <c r="AB108" s="45"/>
      <c r="AC108" s="45"/>
      <c r="AD108" s="45"/>
      <c r="AE108" s="45"/>
      <c r="AF108" s="45"/>
      <c r="AG108" s="45"/>
      <c r="AH108" s="45"/>
      <c r="AI108" s="45"/>
      <c r="AJ108" s="45"/>
      <c r="AK108" s="45"/>
      <c r="AL108" s="45"/>
      <c r="AM108" s="45"/>
      <c r="AP108" s="45"/>
    </row>
    <row r="109" spans="27:42" x14ac:dyDescent="0.15">
      <c r="AA109" s="45"/>
      <c r="AB109" s="45"/>
      <c r="AC109" s="45"/>
      <c r="AD109" s="45"/>
      <c r="AE109" s="45"/>
      <c r="AF109" s="45"/>
      <c r="AG109" s="45"/>
      <c r="AH109" s="45"/>
      <c r="AI109" s="45"/>
      <c r="AJ109" s="45"/>
      <c r="AK109" s="45"/>
      <c r="AL109" s="45"/>
      <c r="AM109" s="45"/>
      <c r="AP109" s="45"/>
    </row>
    <row r="110" spans="27:42" x14ac:dyDescent="0.15">
      <c r="AA110" s="45"/>
      <c r="AB110" s="45"/>
      <c r="AC110" s="45"/>
      <c r="AD110" s="45"/>
      <c r="AE110" s="45"/>
      <c r="AF110" s="45"/>
      <c r="AG110" s="45"/>
      <c r="AH110" s="45"/>
      <c r="AI110" s="45"/>
      <c r="AJ110" s="45"/>
      <c r="AK110" s="45"/>
      <c r="AL110" s="45"/>
      <c r="AM110" s="45"/>
      <c r="AP110" s="45"/>
    </row>
    <row r="111" spans="27:42" x14ac:dyDescent="0.15">
      <c r="AA111" s="45"/>
      <c r="AB111" s="45"/>
      <c r="AC111" s="45"/>
      <c r="AD111" s="45"/>
      <c r="AE111" s="45"/>
      <c r="AF111" s="45"/>
      <c r="AG111" s="45"/>
      <c r="AH111" s="45"/>
      <c r="AI111" s="45"/>
      <c r="AJ111" s="45"/>
      <c r="AK111" s="45"/>
      <c r="AL111" s="45"/>
      <c r="AM111" s="45"/>
      <c r="AP111" s="45"/>
    </row>
    <row r="112" spans="27:42" x14ac:dyDescent="0.15">
      <c r="AA112" s="45"/>
      <c r="AB112" s="45"/>
      <c r="AC112" s="45"/>
      <c r="AD112" s="45"/>
      <c r="AE112" s="45"/>
      <c r="AF112" s="45"/>
      <c r="AG112" s="45"/>
      <c r="AH112" s="45"/>
      <c r="AI112" s="45"/>
      <c r="AJ112" s="45"/>
      <c r="AK112" s="45"/>
      <c r="AL112" s="45"/>
      <c r="AM112" s="45"/>
      <c r="AP112" s="45"/>
    </row>
    <row r="113" spans="27:42" x14ac:dyDescent="0.15">
      <c r="AA113" s="45"/>
      <c r="AB113" s="45"/>
      <c r="AC113" s="45"/>
      <c r="AD113" s="45"/>
      <c r="AE113" s="45"/>
      <c r="AF113" s="45"/>
      <c r="AG113" s="45"/>
      <c r="AH113" s="45"/>
      <c r="AI113" s="45"/>
      <c r="AJ113" s="45"/>
      <c r="AK113" s="45"/>
      <c r="AL113" s="45"/>
      <c r="AM113" s="45"/>
      <c r="AP113" s="45"/>
    </row>
    <row r="114" spans="27:42" x14ac:dyDescent="0.15">
      <c r="AA114" s="45"/>
      <c r="AB114" s="45"/>
      <c r="AC114" s="45"/>
      <c r="AD114" s="45"/>
      <c r="AE114" s="45"/>
      <c r="AF114" s="45"/>
      <c r="AG114" s="45"/>
      <c r="AH114" s="45"/>
      <c r="AI114" s="45"/>
      <c r="AJ114" s="45"/>
      <c r="AK114" s="45"/>
      <c r="AL114" s="45"/>
      <c r="AM114" s="45"/>
      <c r="AP114" s="45"/>
    </row>
    <row r="115" spans="27:42" x14ac:dyDescent="0.15">
      <c r="AA115" s="45"/>
      <c r="AB115" s="45"/>
      <c r="AC115" s="45"/>
      <c r="AD115" s="45"/>
      <c r="AE115" s="45"/>
      <c r="AF115" s="45"/>
      <c r="AG115" s="45"/>
      <c r="AH115" s="45"/>
      <c r="AI115" s="45"/>
      <c r="AJ115" s="45"/>
      <c r="AK115" s="45"/>
      <c r="AL115" s="45"/>
      <c r="AM115" s="45"/>
      <c r="AP115" s="45"/>
    </row>
    <row r="116" spans="27:42" x14ac:dyDescent="0.15">
      <c r="AA116" s="45"/>
      <c r="AB116" s="45"/>
      <c r="AC116" s="45"/>
      <c r="AD116" s="45"/>
      <c r="AE116" s="45"/>
      <c r="AF116" s="45"/>
      <c r="AG116" s="45"/>
      <c r="AH116" s="45"/>
      <c r="AI116" s="45"/>
      <c r="AJ116" s="45"/>
      <c r="AK116" s="45"/>
      <c r="AL116" s="45"/>
      <c r="AM116" s="45"/>
      <c r="AP116" s="45"/>
    </row>
    <row r="117" spans="27:42" x14ac:dyDescent="0.15">
      <c r="AA117" s="45"/>
      <c r="AB117" s="45"/>
      <c r="AC117" s="45"/>
      <c r="AD117" s="45"/>
      <c r="AE117" s="45"/>
      <c r="AF117" s="45"/>
      <c r="AG117" s="45"/>
      <c r="AH117" s="45"/>
      <c r="AI117" s="45"/>
      <c r="AJ117" s="45"/>
      <c r="AK117" s="45"/>
      <c r="AL117" s="45"/>
      <c r="AM117" s="45"/>
      <c r="AP117" s="45"/>
    </row>
    <row r="118" spans="27:42" x14ac:dyDescent="0.15">
      <c r="AA118" s="45"/>
      <c r="AB118" s="45"/>
      <c r="AC118" s="45"/>
      <c r="AD118" s="45"/>
      <c r="AE118" s="45"/>
      <c r="AF118" s="45"/>
      <c r="AG118" s="45"/>
      <c r="AH118" s="45"/>
      <c r="AI118" s="45"/>
      <c r="AJ118" s="45"/>
      <c r="AK118" s="45"/>
      <c r="AL118" s="45"/>
      <c r="AM118" s="45"/>
      <c r="AP118" s="45"/>
    </row>
    <row r="119" spans="27:42" x14ac:dyDescent="0.15">
      <c r="AA119" s="45"/>
      <c r="AB119" s="45"/>
      <c r="AC119" s="45"/>
      <c r="AD119" s="45"/>
      <c r="AE119" s="45"/>
      <c r="AF119" s="45"/>
      <c r="AG119" s="45"/>
      <c r="AH119" s="45"/>
      <c r="AI119" s="45"/>
      <c r="AJ119" s="45"/>
      <c r="AK119" s="45"/>
      <c r="AL119" s="45"/>
      <c r="AM119" s="45"/>
      <c r="AP119" s="45"/>
    </row>
    <row r="120" spans="27:42" x14ac:dyDescent="0.15">
      <c r="AA120" s="45"/>
      <c r="AB120" s="45"/>
      <c r="AC120" s="45"/>
      <c r="AD120" s="45"/>
      <c r="AE120" s="45"/>
      <c r="AF120" s="45"/>
      <c r="AG120" s="45"/>
      <c r="AH120" s="45"/>
      <c r="AI120" s="45"/>
      <c r="AJ120" s="45"/>
      <c r="AK120" s="45"/>
      <c r="AL120" s="45"/>
      <c r="AM120" s="45"/>
      <c r="AP120" s="45"/>
    </row>
    <row r="121" spans="27:42" x14ac:dyDescent="0.15">
      <c r="AA121" s="45"/>
      <c r="AB121" s="45"/>
      <c r="AC121" s="45"/>
      <c r="AD121" s="45"/>
      <c r="AE121" s="45"/>
      <c r="AF121" s="45"/>
      <c r="AG121" s="45"/>
      <c r="AH121" s="45"/>
      <c r="AI121" s="45"/>
      <c r="AJ121" s="45"/>
      <c r="AK121" s="45"/>
      <c r="AL121" s="45"/>
      <c r="AM121" s="45"/>
      <c r="AP121" s="45"/>
    </row>
    <row r="122" spans="27:42" x14ac:dyDescent="0.15">
      <c r="AA122" s="45"/>
      <c r="AB122" s="45"/>
      <c r="AC122" s="45"/>
      <c r="AD122" s="45"/>
      <c r="AE122" s="45"/>
      <c r="AF122" s="45"/>
      <c r="AG122" s="45"/>
      <c r="AH122" s="45"/>
      <c r="AI122" s="45"/>
      <c r="AJ122" s="45"/>
      <c r="AK122" s="45"/>
      <c r="AL122" s="45"/>
      <c r="AM122" s="45"/>
      <c r="AP122" s="45"/>
    </row>
    <row r="123" spans="27:42" x14ac:dyDescent="0.15">
      <c r="AA123" s="45"/>
      <c r="AB123" s="45"/>
      <c r="AC123" s="45"/>
      <c r="AD123" s="45"/>
      <c r="AE123" s="45"/>
      <c r="AF123" s="45"/>
      <c r="AG123" s="45"/>
      <c r="AH123" s="45"/>
      <c r="AI123" s="45"/>
      <c r="AJ123" s="45"/>
      <c r="AK123" s="45"/>
      <c r="AL123" s="45"/>
      <c r="AM123" s="45"/>
      <c r="AP123" s="45"/>
    </row>
    <row r="124" spans="27:42" x14ac:dyDescent="0.15">
      <c r="AA124" s="45"/>
      <c r="AB124" s="45"/>
      <c r="AC124" s="45"/>
      <c r="AD124" s="45"/>
      <c r="AE124" s="45"/>
      <c r="AF124" s="45"/>
      <c r="AG124" s="45"/>
      <c r="AH124" s="45"/>
      <c r="AI124" s="45"/>
      <c r="AJ124" s="45"/>
      <c r="AK124" s="45"/>
      <c r="AL124" s="45"/>
      <c r="AM124" s="45"/>
      <c r="AP124" s="45"/>
    </row>
    <row r="125" spans="27:42" x14ac:dyDescent="0.15">
      <c r="AA125" s="45"/>
      <c r="AB125" s="45"/>
      <c r="AC125" s="45"/>
      <c r="AD125" s="45"/>
      <c r="AE125" s="45"/>
      <c r="AF125" s="45"/>
      <c r="AG125" s="45"/>
      <c r="AH125" s="45"/>
      <c r="AI125" s="45"/>
      <c r="AJ125" s="45"/>
      <c r="AK125" s="45"/>
      <c r="AL125" s="45"/>
      <c r="AM125" s="45"/>
      <c r="AP125" s="45"/>
    </row>
    <row r="126" spans="27:42" x14ac:dyDescent="0.15">
      <c r="AA126" s="45"/>
      <c r="AB126" s="45"/>
      <c r="AC126" s="45"/>
      <c r="AD126" s="45"/>
      <c r="AE126" s="45"/>
      <c r="AF126" s="45"/>
      <c r="AG126" s="45"/>
      <c r="AH126" s="45"/>
      <c r="AI126" s="45"/>
      <c r="AJ126" s="45"/>
      <c r="AK126" s="45"/>
      <c r="AL126" s="45"/>
      <c r="AM126" s="45"/>
      <c r="AP126" s="45"/>
    </row>
    <row r="127" spans="27:42" x14ac:dyDescent="0.15">
      <c r="AA127" s="45"/>
      <c r="AB127" s="45"/>
      <c r="AC127" s="45"/>
      <c r="AD127" s="45"/>
      <c r="AE127" s="45"/>
      <c r="AF127" s="45"/>
      <c r="AG127" s="45"/>
      <c r="AH127" s="45"/>
      <c r="AI127" s="45"/>
      <c r="AJ127" s="45"/>
      <c r="AK127" s="45"/>
      <c r="AL127" s="45"/>
      <c r="AM127" s="45"/>
      <c r="AP127" s="45"/>
    </row>
    <row r="128" spans="27:42" x14ac:dyDescent="0.15">
      <c r="AA128" s="45"/>
      <c r="AB128" s="45"/>
      <c r="AC128" s="45"/>
      <c r="AD128" s="45"/>
      <c r="AE128" s="45"/>
      <c r="AF128" s="45"/>
      <c r="AG128" s="45"/>
      <c r="AH128" s="45"/>
      <c r="AI128" s="45"/>
      <c r="AJ128" s="45"/>
      <c r="AK128" s="45"/>
      <c r="AL128" s="45"/>
      <c r="AM128" s="45"/>
      <c r="AP128" s="45"/>
    </row>
    <row r="129" spans="27:42" x14ac:dyDescent="0.15">
      <c r="AA129" s="45"/>
      <c r="AB129" s="45"/>
      <c r="AC129" s="45"/>
      <c r="AD129" s="45"/>
      <c r="AE129" s="45"/>
      <c r="AF129" s="45"/>
      <c r="AG129" s="45"/>
      <c r="AH129" s="45"/>
      <c r="AI129" s="45"/>
      <c r="AJ129" s="45"/>
      <c r="AK129" s="45"/>
      <c r="AL129" s="45"/>
      <c r="AM129" s="45"/>
      <c r="AP129" s="45"/>
    </row>
    <row r="130" spans="27:42" x14ac:dyDescent="0.15">
      <c r="AA130" s="45"/>
      <c r="AB130" s="45"/>
      <c r="AC130" s="45"/>
      <c r="AD130" s="45"/>
      <c r="AE130" s="45"/>
      <c r="AF130" s="45"/>
      <c r="AG130" s="45"/>
      <c r="AH130" s="45"/>
      <c r="AI130" s="45"/>
      <c r="AJ130" s="45"/>
      <c r="AK130" s="45"/>
      <c r="AL130" s="45"/>
      <c r="AM130" s="45"/>
      <c r="AP130" s="45"/>
    </row>
    <row r="131" spans="27:42" x14ac:dyDescent="0.15">
      <c r="AA131" s="45"/>
      <c r="AB131" s="45"/>
      <c r="AC131" s="45"/>
      <c r="AD131" s="45"/>
      <c r="AE131" s="45"/>
      <c r="AF131" s="45"/>
      <c r="AG131" s="45"/>
      <c r="AH131" s="45"/>
      <c r="AI131" s="45"/>
      <c r="AJ131" s="45"/>
      <c r="AK131" s="45"/>
      <c r="AL131" s="45"/>
      <c r="AM131" s="45"/>
      <c r="AP131" s="45"/>
    </row>
    <row r="132" spans="27:42" x14ac:dyDescent="0.15">
      <c r="AA132" s="45"/>
      <c r="AB132" s="45"/>
      <c r="AC132" s="45"/>
      <c r="AD132" s="45"/>
      <c r="AE132" s="45"/>
      <c r="AF132" s="45"/>
      <c r="AG132" s="45"/>
      <c r="AH132" s="45"/>
      <c r="AI132" s="45"/>
      <c r="AJ132" s="45"/>
      <c r="AK132" s="45"/>
      <c r="AL132" s="45"/>
      <c r="AM132" s="45"/>
      <c r="AP132" s="45"/>
    </row>
    <row r="133" spans="27:42" x14ac:dyDescent="0.15">
      <c r="AA133" s="45"/>
      <c r="AB133" s="45"/>
      <c r="AC133" s="45"/>
      <c r="AD133" s="45"/>
      <c r="AE133" s="45"/>
      <c r="AF133" s="45"/>
      <c r="AG133" s="45"/>
      <c r="AH133" s="45"/>
      <c r="AI133" s="45"/>
      <c r="AJ133" s="45"/>
      <c r="AK133" s="45"/>
      <c r="AL133" s="45"/>
      <c r="AM133" s="45"/>
      <c r="AP133" s="45"/>
    </row>
    <row r="134" spans="27:42" x14ac:dyDescent="0.15">
      <c r="AA134" s="45"/>
      <c r="AB134" s="45"/>
      <c r="AC134" s="45"/>
      <c r="AD134" s="45"/>
      <c r="AE134" s="45"/>
      <c r="AF134" s="45"/>
      <c r="AG134" s="45"/>
      <c r="AH134" s="45"/>
      <c r="AI134" s="45"/>
      <c r="AJ134" s="45"/>
      <c r="AK134" s="45"/>
      <c r="AL134" s="45"/>
      <c r="AM134" s="45"/>
      <c r="AP134" s="45"/>
    </row>
    <row r="135" spans="27:42" x14ac:dyDescent="0.15">
      <c r="AA135" s="45"/>
      <c r="AB135" s="45"/>
      <c r="AC135" s="45"/>
      <c r="AD135" s="45"/>
      <c r="AE135" s="45"/>
      <c r="AF135" s="45"/>
      <c r="AG135" s="45"/>
      <c r="AH135" s="45"/>
      <c r="AI135" s="45"/>
      <c r="AJ135" s="45"/>
      <c r="AK135" s="45"/>
      <c r="AL135" s="45"/>
      <c r="AM135" s="45"/>
      <c r="AP135" s="45"/>
    </row>
    <row r="136" spans="27:42" x14ac:dyDescent="0.15">
      <c r="AA136" s="45"/>
      <c r="AB136" s="45"/>
      <c r="AC136" s="45"/>
      <c r="AD136" s="45"/>
      <c r="AE136" s="45"/>
      <c r="AF136" s="45"/>
      <c r="AG136" s="45"/>
      <c r="AH136" s="45"/>
      <c r="AI136" s="45"/>
      <c r="AJ136" s="45"/>
      <c r="AK136" s="45"/>
      <c r="AL136" s="45"/>
      <c r="AM136" s="45"/>
      <c r="AP136" s="45"/>
    </row>
    <row r="137" spans="27:42" x14ac:dyDescent="0.15">
      <c r="AA137" s="45"/>
      <c r="AB137" s="45"/>
      <c r="AC137" s="45"/>
      <c r="AD137" s="45"/>
      <c r="AE137" s="45"/>
      <c r="AF137" s="45"/>
      <c r="AG137" s="45"/>
      <c r="AH137" s="45"/>
      <c r="AI137" s="45"/>
      <c r="AJ137" s="45"/>
      <c r="AK137" s="45"/>
      <c r="AL137" s="45"/>
      <c r="AM137" s="45"/>
      <c r="AP137" s="4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FB18F-24B4-484A-9E8D-1B9579DCA826}">
  <dimension ref="A1:B5"/>
  <sheetViews>
    <sheetView tabSelected="1" workbookViewId="0">
      <selection sqref="A1:A1048576"/>
    </sheetView>
  </sheetViews>
  <sheetFormatPr defaultRowHeight="12.75" x14ac:dyDescent="0.15"/>
  <cols>
    <col min="1" max="1" width="4.8515625" customWidth="1"/>
    <col min="2" max="2" width="20.90234375" customWidth="1"/>
  </cols>
  <sheetData>
    <row r="1" spans="1:2" x14ac:dyDescent="0.15">
      <c r="A1" t="s">
        <v>21</v>
      </c>
      <c r="B1" t="s">
        <v>1024</v>
      </c>
    </row>
    <row r="2" spans="1:2" x14ac:dyDescent="0.15">
      <c r="A2">
        <v>1</v>
      </c>
      <c r="B2" t="s">
        <v>1026</v>
      </c>
    </row>
    <row r="3" spans="1:2" x14ac:dyDescent="0.15">
      <c r="A3">
        <v>2</v>
      </c>
      <c r="B3" t="s">
        <v>1028</v>
      </c>
    </row>
    <row r="4" spans="1:2" x14ac:dyDescent="0.15">
      <c r="A4">
        <v>3</v>
      </c>
      <c r="B4" t="s">
        <v>1025</v>
      </c>
    </row>
    <row r="5" spans="1:2" x14ac:dyDescent="0.15">
      <c r="A5">
        <v>4</v>
      </c>
      <c r="B5" t="s">
        <v>1027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Lembar kerja</vt:lpstr>
      </vt:variant>
      <vt:variant>
        <vt:i4>8</vt:i4>
      </vt:variant>
    </vt:vector>
  </HeadingPairs>
  <TitlesOfParts>
    <vt:vector size="8" baseType="lpstr">
      <vt:lpstr>Guide </vt:lpstr>
      <vt:lpstr>Kode Diskon</vt:lpstr>
      <vt:lpstr>Katalog</vt:lpstr>
      <vt:lpstr>Tanggal</vt:lpstr>
      <vt:lpstr>Main Data</vt:lpstr>
      <vt:lpstr>Pivot Table</vt:lpstr>
      <vt:lpstr>Dashboard FIX</vt:lpstr>
      <vt:lpstr>Nama_Kelompok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Idhar Muhtar</dc:creator>
  <cp:lastModifiedBy>pakuy kuya</cp:lastModifiedBy>
  <dcterms:created xsi:type="dcterms:W3CDTF">2023-05-26T09:37:18Z</dcterms:created>
  <dcterms:modified xsi:type="dcterms:W3CDTF">2025-01-20T11:10:57Z</dcterms:modified>
</cp:coreProperties>
</file>